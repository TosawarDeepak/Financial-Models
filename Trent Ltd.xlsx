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2ad2d8d6231cb0a9/OFFICE/EXCEL FILES/"/>
    </mc:Choice>
  </mc:AlternateContent>
  <xr:revisionPtr revIDLastSave="1074" documentId="8_{4D25F766-89A2-480F-8D01-A196A7C1AC05}" xr6:coauthVersionLast="47" xr6:coauthVersionMax="47" xr10:uidLastSave="{D12EA8A7-575C-4100-98B1-20CCFAA86777}"/>
  <bookViews>
    <workbookView xWindow="-108" yWindow="-108" windowWidth="30936" windowHeight="16776" tabRatio="821" xr2:uid="{81F84FE7-9655-4683-B537-AFA475D67F0A}"/>
  </bookViews>
  <sheets>
    <sheet name="Historical IFS Trent Ltd" sheetId="23" r:id="rId1"/>
    <sheet name="CommonSize Statement Trent Ltd " sheetId="22" r:id="rId2"/>
    <sheet name="Ratio Analysis Trent Ltd" sheetId="25" r:id="rId3"/>
    <sheet name="Dupont Analysis" sheetId="26" r:id="rId4"/>
    <sheet name="VAR Trent Ltd" sheetId="28" r:id="rId5"/>
    <sheet name="WACC Calculation Trent Ltd  " sheetId="33" r:id="rId6"/>
    <sheet name="DCF Trent Ltd" sheetId="34" r:id="rId7"/>
    <sheet name="Forecasting Trent Ltd" sheetId="36" r:id="rId8"/>
    <sheet name="Raw Data CF Trent Ltd" sheetId="24" r:id="rId9"/>
    <sheet name="Raw Data Trent Ltd" sheetId="21" r:id="rId10"/>
  </sheets>
  <externalReferences>
    <externalReference r:id="rId11"/>
  </externalReferences>
  <definedNames>
    <definedName name="_xlnm._FilterDatabase" localSheetId="4" hidden="1">'VAR Trent Ltd'!$P$2:$P$2320</definedName>
    <definedName name="_xlchart.v1.0" hidden="1">'VAR Trent Ltd'!$H$3:$H$2120</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7">'Forecasting Trent Ltd'!$A$1:$O$56</definedName>
    <definedName name="UPDATE" localSheetId="9">'Raw Data Trent Ltd'!$E$1</definedName>
    <definedName name="UPDAT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34" l="1"/>
  <c r="M2" i="34"/>
  <c r="L2" i="34"/>
  <c r="H2" i="34"/>
  <c r="H31" i="34"/>
  <c r="D55" i="36"/>
  <c r="D54" i="36"/>
  <c r="D53" i="36"/>
  <c r="D52" i="36"/>
  <c r="D42" i="36" a="1"/>
  <c r="D43" i="36"/>
  <c r="C42" i="36"/>
  <c r="C43" i="36"/>
  <c r="C44" i="36"/>
  <c r="C45" i="36"/>
  <c r="C46" i="36"/>
  <c r="C47" i="36"/>
  <c r="C48" i="36"/>
  <c r="C49" i="36"/>
  <c r="C50" i="36"/>
  <c r="C51" i="36"/>
  <c r="C52" i="36"/>
  <c r="C53" i="36"/>
  <c r="C54" i="36"/>
  <c r="C55" i="36"/>
  <c r="D36" i="36"/>
  <c r="D35" i="36"/>
  <c r="D34" i="36"/>
  <c r="E35" i="36"/>
  <c r="D33" i="36"/>
  <c r="D23" i="36" a="1"/>
  <c r="D25" i="36"/>
  <c r="C23" i="36"/>
  <c r="C4" i="36"/>
  <c r="D4" i="36" a="1"/>
  <c r="D5" i="36"/>
  <c r="B21" i="36"/>
  <c r="B2" i="36"/>
  <c r="B40" i="36"/>
  <c r="D17" i="36"/>
  <c r="D16" i="36"/>
  <c r="D15" i="36"/>
  <c r="D14" i="36"/>
  <c r="E36" i="36"/>
  <c r="E53" i="36"/>
  <c r="E54" i="36"/>
  <c r="E55" i="36"/>
  <c r="E34" i="36"/>
  <c r="D42" i="36"/>
  <c r="E43" i="36"/>
  <c r="D48" i="36"/>
  <c r="D47" i="36"/>
  <c r="D45" i="36"/>
  <c r="D44" i="36"/>
  <c r="D50" i="36"/>
  <c r="D49" i="36"/>
  <c r="D46" i="36"/>
  <c r="D51" i="36"/>
  <c r="E52" i="36"/>
  <c r="D29" i="36"/>
  <c r="D27" i="36"/>
  <c r="D32" i="36"/>
  <c r="E33" i="36"/>
  <c r="D24" i="36"/>
  <c r="D31" i="36"/>
  <c r="D23" i="36"/>
  <c r="D30" i="36"/>
  <c r="D28" i="36"/>
  <c r="D26" i="36"/>
  <c r="D10" i="36"/>
  <c r="D9" i="36"/>
  <c r="D12" i="36"/>
  <c r="D4" i="36"/>
  <c r="D11" i="36"/>
  <c r="D6" i="36"/>
  <c r="D8" i="36"/>
  <c r="D7" i="36"/>
  <c r="D13" i="36"/>
  <c r="E14" i="36"/>
  <c r="E16" i="36"/>
  <c r="E15" i="36"/>
  <c r="E17" i="36"/>
  <c r="E48" i="36"/>
  <c r="E50" i="36"/>
  <c r="E45" i="36"/>
  <c r="E44" i="36"/>
  <c r="E46" i="36"/>
  <c r="E49" i="36"/>
  <c r="E51" i="36"/>
  <c r="E47" i="36"/>
  <c r="C24" i="36"/>
  <c r="C25" i="36"/>
  <c r="C26" i="36"/>
  <c r="C27" i="36"/>
  <c r="C28" i="36"/>
  <c r="C29" i="36"/>
  <c r="C30" i="36"/>
  <c r="C31" i="36"/>
  <c r="C32" i="36"/>
  <c r="C33" i="36"/>
  <c r="C34" i="36"/>
  <c r="C35" i="36"/>
  <c r="C36" i="36"/>
  <c r="C5" i="36"/>
  <c r="C6" i="36"/>
  <c r="C7" i="36"/>
  <c r="C8" i="36"/>
  <c r="C9" i="36"/>
  <c r="C10" i="36"/>
  <c r="C11" i="36"/>
  <c r="C12" i="36"/>
  <c r="C13" i="36"/>
  <c r="C14" i="36"/>
  <c r="C15" i="36"/>
  <c r="C16" i="36"/>
  <c r="C17" i="36"/>
  <c r="E24" i="36"/>
  <c r="E25" i="36"/>
  <c r="E29" i="36"/>
  <c r="E27" i="36"/>
  <c r="E7" i="36"/>
  <c r="E12" i="36"/>
  <c r="E5" i="36"/>
  <c r="E10" i="36"/>
  <c r="E8" i="36"/>
  <c r="E31" i="36"/>
  <c r="E32" i="36"/>
  <c r="E30" i="36"/>
  <c r="E26" i="36"/>
  <c r="E28" i="36"/>
  <c r="E13" i="36"/>
  <c r="E11" i="36"/>
  <c r="E6" i="36"/>
  <c r="E9" i="36"/>
  <c r="H29" i="34"/>
  <c r="H28" i="34"/>
  <c r="H4" i="34"/>
  <c r="H6" i="34"/>
  <c r="H8" i="34"/>
  <c r="H20" i="34"/>
  <c r="I9" i="34"/>
  <c r="J9" i="34"/>
  <c r="K9" i="34"/>
  <c r="L9" i="34"/>
  <c r="M9" i="34"/>
  <c r="I7" i="34"/>
  <c r="J7" i="34"/>
  <c r="K7" i="34"/>
  <c r="L7" i="34"/>
  <c r="I5" i="34"/>
  <c r="J5" i="34"/>
  <c r="K5" i="34"/>
  <c r="L5" i="34"/>
  <c r="M5" i="34"/>
  <c r="I2" i="34"/>
  <c r="J2" i="34"/>
  <c r="K2" i="34"/>
  <c r="E33" i="33"/>
  <c r="D33" i="33"/>
  <c r="C31" i="33"/>
  <c r="C30" i="33"/>
  <c r="H18" i="33"/>
  <c r="I17" i="33"/>
  <c r="I18" i="33"/>
  <c r="J17" i="33"/>
  <c r="J18" i="33"/>
  <c r="K15" i="33"/>
  <c r="K14" i="33"/>
  <c r="K13" i="33"/>
  <c r="K12" i="33"/>
  <c r="K11" i="33"/>
  <c r="K10" i="33"/>
  <c r="I15" i="33"/>
  <c r="I14" i="33"/>
  <c r="I13" i="33"/>
  <c r="I12" i="33"/>
  <c r="I11" i="33"/>
  <c r="I10" i="33"/>
  <c r="G18" i="33"/>
  <c r="K31" i="33"/>
  <c r="G17" i="33"/>
  <c r="H15" i="33"/>
  <c r="H17" i="33"/>
  <c r="H13" i="33"/>
  <c r="H11" i="33"/>
  <c r="H10" i="33"/>
  <c r="K23" i="33"/>
  <c r="H12" i="33"/>
  <c r="I4" i="34"/>
  <c r="I6" i="34"/>
  <c r="I8" i="34"/>
  <c r="K18" i="33"/>
  <c r="K17" i="33"/>
  <c r="H14" i="33"/>
  <c r="E23" i="33"/>
  <c r="E24" i="33"/>
  <c r="J37" i="33"/>
  <c r="J17" i="28"/>
  <c r="J2" i="28"/>
  <c r="N23" i="28"/>
  <c r="H657" i="28"/>
  <c r="H701" i="28"/>
  <c r="H807" i="28"/>
  <c r="H837" i="28"/>
  <c r="H941" i="28"/>
  <c r="H975" i="28"/>
  <c r="H1076" i="28"/>
  <c r="H1103" i="28"/>
  <c r="H1179" i="28"/>
  <c r="H1200" i="28"/>
  <c r="H1265" i="28"/>
  <c r="H1286" i="28"/>
  <c r="H1329" i="28"/>
  <c r="H1335" i="28"/>
  <c r="H1369" i="28"/>
  <c r="H1374" i="28"/>
  <c r="H1403" i="28"/>
  <c r="H1407" i="28"/>
  <c r="H1435" i="28"/>
  <c r="H1439" i="28"/>
  <c r="H1467" i="28"/>
  <c r="H1471" i="28"/>
  <c r="H1499" i="28"/>
  <c r="H1503" i="28"/>
  <c r="H1531" i="28"/>
  <c r="H1535" i="28"/>
  <c r="H1563" i="28"/>
  <c r="H1567" i="28"/>
  <c r="H1586" i="28"/>
  <c r="H1587" i="28"/>
  <c r="H1602" i="28"/>
  <c r="H1603" i="28"/>
  <c r="H1618" i="28"/>
  <c r="H1619" i="28"/>
  <c r="H1634" i="28"/>
  <c r="H1635" i="28"/>
  <c r="H1650" i="28"/>
  <c r="H1651" i="28"/>
  <c r="H1666" i="28"/>
  <c r="H1667" i="28"/>
  <c r="H1682" i="28"/>
  <c r="H1683" i="28"/>
  <c r="H1698" i="28"/>
  <c r="H1699" i="28"/>
  <c r="H1714" i="28"/>
  <c r="H1715" i="28"/>
  <c r="H1730" i="28"/>
  <c r="H1731" i="28"/>
  <c r="H1746" i="28"/>
  <c r="H1747" i="28"/>
  <c r="H1762" i="28"/>
  <c r="H1763" i="28"/>
  <c r="H1778" i="28"/>
  <c r="H1779" i="28"/>
  <c r="H1794" i="28"/>
  <c r="H1795" i="28"/>
  <c r="H1810" i="28"/>
  <c r="H1811" i="28"/>
  <c r="H1826" i="28"/>
  <c r="H1827" i="28"/>
  <c r="H1842" i="28"/>
  <c r="H1843" i="28"/>
  <c r="H1858" i="28"/>
  <c r="H1859" i="28"/>
  <c r="H1874" i="28"/>
  <c r="H1875" i="28"/>
  <c r="H1890" i="28"/>
  <c r="H1891" i="28"/>
  <c r="H1902" i="28"/>
  <c r="H1905" i="28"/>
  <c r="H1915" i="28"/>
  <c r="H1917" i="28"/>
  <c r="H1929" i="28"/>
  <c r="H1930" i="28"/>
  <c r="H1939" i="28"/>
  <c r="H1941" i="28"/>
  <c r="H1950" i="28"/>
  <c r="H1951" i="28"/>
  <c r="H1961" i="28"/>
  <c r="H1962" i="28"/>
  <c r="H1971" i="28"/>
  <c r="H1973" i="28"/>
  <c r="H1982" i="28"/>
  <c r="H1983" i="28"/>
  <c r="H1993" i="28"/>
  <c r="H1994" i="28"/>
  <c r="H2003" i="28"/>
  <c r="H2005" i="28"/>
  <c r="H2014" i="28"/>
  <c r="H2015" i="28"/>
  <c r="H2025" i="28"/>
  <c r="H2026" i="28"/>
  <c r="H2035" i="28"/>
  <c r="H2037" i="28"/>
  <c r="H2046" i="28"/>
  <c r="H2047" i="28"/>
  <c r="H2057" i="28"/>
  <c r="H2058" i="28"/>
  <c r="H2067" i="28"/>
  <c r="H2069" i="28"/>
  <c r="H2078" i="28"/>
  <c r="H2079" i="28"/>
  <c r="H2089" i="28"/>
  <c r="H2090" i="28"/>
  <c r="H2099" i="28"/>
  <c r="H2101" i="28"/>
  <c r="H2110" i="28"/>
  <c r="H2111" i="28"/>
  <c r="H2121" i="28"/>
  <c r="H2122" i="28"/>
  <c r="H2131" i="28"/>
  <c r="H2133" i="28"/>
  <c r="H2141" i="28"/>
  <c r="H2142" i="28"/>
  <c r="H2149" i="28"/>
  <c r="H2150" i="28"/>
  <c r="H2157" i="28"/>
  <c r="H2158" i="28"/>
  <c r="H2165" i="28"/>
  <c r="H2166" i="28"/>
  <c r="H2173" i="28"/>
  <c r="H2174" i="28"/>
  <c r="H2181" i="28"/>
  <c r="H2182" i="28"/>
  <c r="H2189" i="28"/>
  <c r="H2190" i="28"/>
  <c r="H2197" i="28"/>
  <c r="H2198" i="28"/>
  <c r="H2205" i="28"/>
  <c r="H2206" i="28"/>
  <c r="H2213" i="28"/>
  <c r="H2214" i="28"/>
  <c r="H2221" i="28"/>
  <c r="H2222" i="28"/>
  <c r="H2229" i="28"/>
  <c r="H2230" i="28"/>
  <c r="H2237" i="28"/>
  <c r="H2238" i="28"/>
  <c r="H2245" i="28"/>
  <c r="H2246" i="28"/>
  <c r="H2253" i="28"/>
  <c r="H2254" i="28"/>
  <c r="H2261" i="28"/>
  <c r="H2262" i="28"/>
  <c r="H2269" i="28"/>
  <c r="H2270" i="28"/>
  <c r="H2277" i="28"/>
  <c r="H2278" i="28"/>
  <c r="H2285" i="28"/>
  <c r="H2286" i="28"/>
  <c r="H2293" i="28"/>
  <c r="H2294" i="28"/>
  <c r="H2301" i="28"/>
  <c r="H2302" i="28"/>
  <c r="H2309" i="28"/>
  <c r="H2310" i="28"/>
  <c r="H2317" i="28"/>
  <c r="H2318" i="28"/>
  <c r="L14" i="28"/>
  <c r="M14" i="28"/>
  <c r="N14" i="28"/>
  <c r="L13" i="28"/>
  <c r="M13" i="28"/>
  <c r="N13" i="28"/>
  <c r="L12" i="28"/>
  <c r="M12" i="28"/>
  <c r="N12" i="28"/>
  <c r="L11" i="28"/>
  <c r="M11" i="28"/>
  <c r="N11" i="28"/>
  <c r="N7" i="28"/>
  <c r="N6" i="28"/>
  <c r="N4" i="28"/>
  <c r="H345" i="28"/>
  <c r="N5" i="28"/>
  <c r="D1207" i="28"/>
  <c r="D1417" i="28"/>
  <c r="D1043" i="28"/>
  <c r="D1206" i="28"/>
  <c r="D1340" i="28"/>
  <c r="D1485" i="28"/>
  <c r="D1660" i="28"/>
  <c r="D42" i="28"/>
  <c r="D384" i="28"/>
  <c r="D968" i="28"/>
  <c r="D1185" i="28"/>
  <c r="D1322" i="28"/>
  <c r="D2124" i="28"/>
  <c r="D1002" i="28"/>
  <c r="D4" i="28"/>
  <c r="D17" i="28"/>
  <c r="D1354" i="28"/>
  <c r="D2157" i="28"/>
  <c r="D1653" i="28"/>
  <c r="D1700" i="28"/>
  <c r="D74" i="28"/>
  <c r="D531" i="28"/>
  <c r="D1924" i="28"/>
  <c r="D187" i="28"/>
  <c r="D85" i="28"/>
  <c r="D2093" i="28"/>
  <c r="D2050" i="28"/>
  <c r="D1205" i="28"/>
  <c r="D1764" i="28"/>
  <c r="D2196" i="28"/>
  <c r="D357" i="28"/>
  <c r="D1651" i="28"/>
  <c r="D560" i="28"/>
  <c r="D822" i="28"/>
  <c r="D1450" i="28"/>
  <c r="D1865" i="28"/>
  <c r="D1129" i="28"/>
  <c r="D1370" i="28"/>
  <c r="D1690" i="28"/>
  <c r="D2032" i="28"/>
  <c r="D1405" i="28"/>
  <c r="D1014" i="28"/>
  <c r="D603" i="28"/>
  <c r="D486" i="28"/>
  <c r="D2161" i="28"/>
  <c r="D1359" i="28"/>
  <c r="D906" i="28"/>
  <c r="D1274" i="28"/>
  <c r="D1044" i="28"/>
  <c r="D516" i="28"/>
  <c r="D514" i="28"/>
  <c r="D1254" i="28"/>
  <c r="D2142" i="28"/>
  <c r="D1331" i="28"/>
  <c r="D1200" i="28"/>
  <c r="D2067" i="28"/>
  <c r="D261" i="28"/>
  <c r="D376" i="28"/>
  <c r="D305" i="28"/>
  <c r="D114" i="28"/>
  <c r="D83" i="28"/>
  <c r="D1391" i="28"/>
  <c r="D1667" i="28"/>
  <c r="D1293" i="28"/>
  <c r="D673" i="28"/>
  <c r="D1489" i="28"/>
  <c r="D1917" i="28"/>
  <c r="D554" i="28"/>
  <c r="D1668" i="28"/>
  <c r="D1699" i="28"/>
  <c r="D1744" i="28"/>
  <c r="D1033" i="28"/>
  <c r="D692" i="28"/>
  <c r="D1938" i="28"/>
  <c r="D1793" i="28"/>
  <c r="D1845" i="28"/>
  <c r="D1233" i="28"/>
  <c r="D2054" i="28"/>
  <c r="D1321" i="28"/>
  <c r="D1086" i="28"/>
  <c r="D607" i="28"/>
  <c r="D1396" i="28"/>
  <c r="D829" i="28"/>
  <c r="D1498" i="28"/>
  <c r="D1071" i="28"/>
  <c r="D927" i="28"/>
  <c r="D1473" i="28"/>
  <c r="D1901" i="28"/>
  <c r="D1056" i="28"/>
  <c r="D1538" i="28"/>
  <c r="D1801" i="28"/>
  <c r="D1882" i="28"/>
  <c r="D1561" i="28"/>
  <c r="D1342" i="28"/>
  <c r="D1549" i="28"/>
  <c r="D1219" i="28"/>
  <c r="D684" i="28"/>
  <c r="D1738" i="28"/>
  <c r="D563" i="28"/>
  <c r="D1502" i="28"/>
  <c r="D805" i="28"/>
  <c r="D733" i="28"/>
  <c r="D351" i="28"/>
  <c r="D1284" i="28"/>
  <c r="D1387" i="28"/>
  <c r="D1539" i="28"/>
  <c r="D1253" i="28"/>
  <c r="D729" i="28"/>
  <c r="D698" i="28"/>
  <c r="D1327" i="28"/>
  <c r="D1551" i="28"/>
  <c r="D1814" i="28"/>
  <c r="D1724" i="28"/>
  <c r="D1138" i="28"/>
  <c r="D1648" i="28"/>
  <c r="D1445" i="28"/>
  <c r="D1599" i="28"/>
  <c r="D2071" i="28"/>
  <c r="D1836" i="28"/>
  <c r="D737" i="28"/>
  <c r="D2085" i="28"/>
  <c r="D278" i="28"/>
  <c r="D1012" i="28"/>
  <c r="D1559" i="28"/>
  <c r="D483" i="28"/>
  <c r="D24" i="28"/>
  <c r="D851" i="28"/>
  <c r="D2290" i="28"/>
  <c r="D1567" i="28"/>
  <c r="D248" i="28"/>
  <c r="D132" i="28"/>
  <c r="D1419" i="28"/>
  <c r="D862" i="28"/>
  <c r="D1864" i="28"/>
  <c r="D380" i="28"/>
  <c r="D1443" i="28"/>
  <c r="D1082" i="28"/>
  <c r="D1193" i="28"/>
  <c r="D1540" i="28"/>
  <c r="D1099" i="28"/>
  <c r="D1657" i="28"/>
  <c r="D182" i="28"/>
  <c r="D9" i="28"/>
  <c r="D2293" i="28"/>
  <c r="D312" i="28"/>
  <c r="D761" i="28"/>
  <c r="D675" i="28"/>
  <c r="D1626" i="28"/>
  <c r="D1872" i="28"/>
  <c r="D2183" i="28"/>
  <c r="D1997" i="28"/>
  <c r="D176" i="28"/>
  <c r="D606" i="28"/>
  <c r="D1151" i="28"/>
  <c r="D2191" i="28"/>
  <c r="D937" i="28"/>
  <c r="D130" i="28"/>
  <c r="D72" i="28"/>
  <c r="D1167" i="28"/>
  <c r="D179" i="28"/>
  <c r="D1305" i="28"/>
  <c r="D720" i="28"/>
  <c r="D1301" i="28"/>
  <c r="D1790" i="28"/>
  <c r="D2160" i="28"/>
  <c r="D549" i="28"/>
  <c r="D206" i="28"/>
  <c r="D2039" i="28"/>
  <c r="D1819" i="28"/>
  <c r="D808" i="28"/>
  <c r="D452" i="28"/>
  <c r="D1431" i="28"/>
  <c r="D1712" i="28"/>
  <c r="D1756" i="28"/>
  <c r="D1123" i="28"/>
  <c r="D31" i="28"/>
  <c r="D1810" i="28"/>
  <c r="D1163" i="28"/>
  <c r="D1891" i="28"/>
  <c r="D2209" i="28"/>
  <c r="D1195" i="28"/>
  <c r="D1503" i="28"/>
  <c r="D1174" i="28"/>
  <c r="D394" i="28"/>
  <c r="D1642" i="28"/>
  <c r="D979" i="28"/>
  <c r="D725" i="28"/>
  <c r="D103" i="28"/>
  <c r="D928" i="28"/>
  <c r="D289" i="28"/>
  <c r="D2090" i="28"/>
  <c r="D1811" i="28"/>
  <c r="D333" i="28"/>
  <c r="D429" i="28"/>
  <c r="D745" i="28"/>
  <c r="D1815" i="28"/>
  <c r="D1252" i="28"/>
  <c r="D1527" i="28"/>
  <c r="D1232" i="28"/>
  <c r="D2133" i="28"/>
  <c r="D2170" i="28"/>
  <c r="D2053" i="28"/>
  <c r="D742" i="28"/>
  <c r="D806" i="28"/>
  <c r="D1303" i="28"/>
  <c r="D1343" i="28"/>
  <c r="D894" i="28"/>
  <c r="D1374" i="28"/>
  <c r="D1707" i="28"/>
  <c r="D395" i="28"/>
  <c r="D525" i="28"/>
  <c r="D102" i="28"/>
  <c r="D2198" i="28"/>
  <c r="D1689" i="28"/>
  <c r="D1289" i="28"/>
  <c r="D355" i="28"/>
  <c r="D356" i="28"/>
  <c r="D1166" i="28"/>
  <c r="D92" i="28"/>
  <c r="D108" i="28"/>
  <c r="D716" i="28"/>
  <c r="D646" i="28"/>
  <c r="D1210" i="28"/>
  <c r="D239" i="28"/>
  <c r="D2106" i="28"/>
  <c r="D2105" i="28"/>
  <c r="D1982" i="28"/>
  <c r="D2041" i="28"/>
  <c r="D1463" i="28"/>
  <c r="D208" i="28"/>
  <c r="D1671" i="28"/>
  <c r="D362" i="28"/>
  <c r="D1859" i="28"/>
  <c r="D2021" i="28"/>
  <c r="D1260" i="28"/>
  <c r="D1594" i="28"/>
  <c r="D801" i="28"/>
  <c r="D1874" i="28"/>
  <c r="D840" i="28"/>
  <c r="D915" i="28"/>
  <c r="D1415" i="28"/>
  <c r="D552" i="28"/>
  <c r="D1390" i="28"/>
  <c r="D1678" i="28"/>
  <c r="D1182" i="28"/>
  <c r="D584" i="28"/>
  <c r="D608" i="28"/>
  <c r="D2060" i="28"/>
  <c r="D1109" i="28"/>
  <c r="D1114" i="28"/>
  <c r="D123" i="28"/>
  <c r="D372" i="28"/>
  <c r="D2109" i="28"/>
  <c r="D473" i="28"/>
  <c r="D969" i="28"/>
  <c r="D799" i="28"/>
  <c r="D1267" i="28"/>
  <c r="D1932" i="28"/>
  <c r="D2078" i="28"/>
  <c r="D1912" i="28"/>
  <c r="D1904" i="28"/>
  <c r="D1418" i="28"/>
  <c r="D1186" i="28"/>
  <c r="D1524" i="28"/>
  <c r="D1639" i="28"/>
  <c r="D892" i="28"/>
  <c r="D2098" i="28"/>
  <c r="D1849" i="28"/>
  <c r="D541" i="28"/>
  <c r="D2249" i="28"/>
  <c r="D2248" i="28"/>
  <c r="D546" i="28"/>
  <c r="D226" i="28"/>
  <c r="D786" i="28"/>
  <c r="D331" i="28"/>
  <c r="D645" i="28"/>
  <c r="D1336" i="28"/>
  <c r="D1590" i="28"/>
  <c r="D869" i="28"/>
  <c r="D741" i="28"/>
  <c r="D1697" i="28"/>
  <c r="D1644" i="28"/>
  <c r="D1256" i="28"/>
  <c r="D1520" i="28"/>
  <c r="D1701" i="28"/>
  <c r="D1156" i="28"/>
  <c r="D983" i="28"/>
  <c r="D929" i="28"/>
  <c r="D1564" i="28"/>
  <c r="D756" i="28"/>
  <c r="D1888" i="28"/>
  <c r="D79" i="28"/>
  <c r="D84" i="28"/>
  <c r="D2222" i="28"/>
  <c r="D60" i="28"/>
  <c r="D399" i="28"/>
  <c r="D1531" i="28"/>
  <c r="D539" i="28"/>
  <c r="D1953" i="28"/>
  <c r="D1288" i="28"/>
  <c r="D1589" i="28"/>
  <c r="D1715" i="28"/>
  <c r="D1393" i="28"/>
  <c r="D244" i="28"/>
  <c r="D1574" i="28"/>
  <c r="D1038" i="28"/>
  <c r="D1255" i="28"/>
  <c r="D839" i="28"/>
  <c r="D1407" i="28"/>
  <c r="D736" i="28"/>
  <c r="D94" i="28"/>
  <c r="D502" i="28"/>
  <c r="D1980" i="28"/>
  <c r="D2094" i="28"/>
  <c r="D1829" i="28"/>
  <c r="D544" i="28"/>
  <c r="D1529" i="28"/>
  <c r="D1034" i="28"/>
  <c r="D1960" i="28"/>
  <c r="D2033" i="28"/>
  <c r="D700" i="28"/>
  <c r="D856" i="28"/>
  <c r="D461" i="28"/>
  <c r="D422" i="28"/>
  <c r="D1956" i="28"/>
  <c r="D1456" i="28"/>
  <c r="D1383" i="28"/>
  <c r="D610" i="28"/>
  <c r="D2179" i="28"/>
  <c r="D2219" i="28"/>
  <c r="D390" i="28"/>
  <c r="D1384" i="28"/>
  <c r="D1562" i="28"/>
  <c r="D1823" i="28"/>
  <c r="D1053" i="28"/>
  <c r="D958" i="28"/>
  <c r="D827" i="28"/>
  <c r="D1196" i="28"/>
  <c r="D1116" i="28"/>
  <c r="D1990" i="28"/>
  <c r="D1483" i="28"/>
  <c r="D1353" i="28"/>
  <c r="D1654" i="28"/>
  <c r="D1437" i="28"/>
  <c r="D722" i="28"/>
  <c r="D948" i="28"/>
  <c r="D1026" i="28"/>
  <c r="D1706" i="28"/>
  <c r="D1675" i="28"/>
  <c r="D704" i="28"/>
  <c r="D2018" i="28"/>
  <c r="D1528" i="28"/>
  <c r="D517" i="28"/>
  <c r="D1792" i="28"/>
  <c r="D1828" i="28"/>
  <c r="D1703" i="28"/>
  <c r="D1711" i="28"/>
  <c r="D567" i="28"/>
  <c r="D463" i="28"/>
  <c r="D904" i="28"/>
  <c r="D1934" i="28"/>
  <c r="D1541" i="28"/>
  <c r="D1202" i="28"/>
  <c r="D987" i="28"/>
  <c r="D1571" i="28"/>
  <c r="D1518" i="28"/>
  <c r="D1684" i="28"/>
  <c r="D1746" i="28"/>
  <c r="D2166" i="28"/>
  <c r="D1869" i="28"/>
  <c r="D174" i="28"/>
  <c r="D711" i="28"/>
  <c r="D1403" i="28"/>
  <c r="D991" i="28"/>
  <c r="D1497" i="28"/>
  <c r="D313" i="28"/>
  <c r="D23" i="28"/>
  <c r="D163" i="28"/>
  <c r="D117" i="28"/>
  <c r="D2294" i="28"/>
  <c r="D1428" i="28"/>
  <c r="D1991" i="28"/>
  <c r="D2086" i="28"/>
  <c r="D1398" i="28"/>
  <c r="D670" i="28"/>
  <c r="D1977" i="28"/>
  <c r="D81" i="28"/>
  <c r="D231" i="28"/>
  <c r="D935" i="28"/>
  <c r="D897" i="28"/>
  <c r="D975" i="28"/>
  <c r="D1987" i="28"/>
  <c r="D39" i="28"/>
  <c r="D1916" i="28"/>
  <c r="D837" i="28"/>
  <c r="D1880" i="28"/>
  <c r="D781" i="28"/>
  <c r="D1176" i="28"/>
  <c r="D986" i="28"/>
  <c r="D896" i="28"/>
  <c r="D1735" i="28"/>
  <c r="D767" i="28"/>
  <c r="D832" i="28"/>
  <c r="D933" i="28"/>
  <c r="D787" i="28"/>
  <c r="D890" i="28"/>
  <c r="D1361" i="28"/>
  <c r="D2108" i="28"/>
  <c r="D254" i="28"/>
  <c r="D138" i="28"/>
  <c r="D1863" i="28"/>
  <c r="D2148" i="28"/>
  <c r="D1362" i="28"/>
  <c r="D1578" i="28"/>
  <c r="D1499" i="28"/>
  <c r="D1750" i="28"/>
  <c r="D1620" i="28"/>
  <c r="D480" i="28"/>
  <c r="D1113" i="28"/>
  <c r="D1579" i="28"/>
  <c r="D1394" i="28"/>
  <c r="D1078" i="28"/>
  <c r="D879" i="28"/>
  <c r="D1983" i="28"/>
  <c r="D1534" i="28"/>
  <c r="D1808" i="28"/>
  <c r="D838" i="28"/>
  <c r="D1824" i="28"/>
  <c r="D1798" i="28"/>
  <c r="D1203" i="28"/>
  <c r="D2199" i="28"/>
  <c r="D2138" i="28"/>
  <c r="D203" i="28"/>
  <c r="D880" i="28"/>
  <c r="D804" i="28"/>
  <c r="D2216" i="28"/>
  <c r="D1984" i="28"/>
  <c r="D1168" i="28"/>
  <c r="D1784" i="28"/>
  <c r="D134" i="28"/>
  <c r="D2218" i="28"/>
  <c r="D192" i="28"/>
  <c r="D485" i="28"/>
  <c r="D2139" i="28"/>
  <c r="D594" i="28"/>
  <c r="D2151" i="28"/>
  <c r="D1410" i="28"/>
  <c r="D1876" i="28"/>
  <c r="D732" i="28"/>
  <c r="D911" i="28"/>
  <c r="D949" i="28"/>
  <c r="D1854" i="28"/>
  <c r="D957" i="28"/>
  <c r="D411" i="28"/>
  <c r="D2027" i="28"/>
  <c r="D1120" i="28"/>
  <c r="D442" i="28"/>
  <c r="D1471" i="28"/>
  <c r="D1496" i="28"/>
  <c r="D997" i="28"/>
  <c r="D715" i="28"/>
  <c r="D930" i="28"/>
  <c r="D1369" i="28"/>
  <c r="D1247" i="28"/>
  <c r="D1704" i="28"/>
  <c r="D1708" i="28"/>
  <c r="D1698" i="28"/>
  <c r="D515" i="28"/>
  <c r="D258" i="28"/>
  <c r="D1027" i="28"/>
  <c r="D593" i="28"/>
  <c r="D1197" i="28"/>
  <c r="D2102" i="28"/>
  <c r="D1586" i="28"/>
  <c r="D954" i="28"/>
  <c r="D1866" i="28"/>
  <c r="D1838" i="28"/>
  <c r="D1555" i="28"/>
  <c r="D430" i="28"/>
  <c r="D131" i="28"/>
  <c r="D78" i="28"/>
  <c r="D1087" i="28"/>
  <c r="D1037" i="28"/>
  <c r="D1472" i="28"/>
  <c r="D1545" i="28"/>
  <c r="D939" i="28"/>
  <c r="D1628" i="28"/>
  <c r="D1462" i="28"/>
  <c r="D1645" i="28"/>
  <c r="D895" i="28"/>
  <c r="D193" i="28"/>
  <c r="D195" i="28"/>
  <c r="D1655" i="28"/>
  <c r="D1915" i="28"/>
  <c r="D1992" i="28"/>
  <c r="D1686" i="28"/>
  <c r="D912" i="28"/>
  <c r="D909" i="28"/>
  <c r="D1035" i="28"/>
  <c r="D1547" i="28"/>
  <c r="D780" i="28"/>
  <c r="D1097" i="28"/>
  <c r="D899" i="28"/>
  <c r="D1806" i="28"/>
  <c r="D1190" i="28"/>
  <c r="D644" i="28"/>
  <c r="D150" i="28"/>
  <c r="D1688" i="28"/>
  <c r="D1593" i="28"/>
  <c r="D2005" i="28"/>
  <c r="D1665" i="28"/>
  <c r="D2197" i="28"/>
  <c r="D884" i="28"/>
  <c r="D1028" i="28"/>
  <c r="D456" i="28"/>
  <c r="D734" i="28"/>
  <c r="D1885" i="28"/>
  <c r="D298" i="28"/>
  <c r="D1605" i="28"/>
  <c r="D990" i="28"/>
  <c r="D1944" i="28"/>
  <c r="D2101" i="28"/>
  <c r="D1615" i="28"/>
  <c r="D769" i="28"/>
  <c r="D1572" i="28"/>
  <c r="D1948" i="28"/>
  <c r="D2220" i="28"/>
  <c r="D1126" i="28"/>
  <c r="D886" i="28"/>
  <c r="D1486" i="28"/>
  <c r="D1187" i="28"/>
  <c r="D1514" i="28"/>
  <c r="D1710" i="28"/>
  <c r="D626" i="28"/>
  <c r="D1047" i="28"/>
  <c r="D735" i="28"/>
  <c r="D69" i="28"/>
  <c r="D2025" i="28"/>
  <c r="D1457" i="28"/>
  <c r="D1935" i="28"/>
  <c r="D522" i="28"/>
  <c r="D75" i="28"/>
  <c r="D67" i="28"/>
  <c r="D385" i="28"/>
  <c r="D173" i="28"/>
  <c r="D985" i="28"/>
  <c r="D2014" i="28"/>
  <c r="D2136" i="28"/>
  <c r="D1778" i="28"/>
  <c r="D2088" i="28"/>
  <c r="D147" i="28"/>
  <c r="D481" i="28"/>
  <c r="D1893" i="28"/>
  <c r="D2116" i="28"/>
  <c r="D1552" i="28"/>
  <c r="D1258" i="28"/>
  <c r="D743" i="28"/>
  <c r="D2256" i="28"/>
  <c r="D901" i="28"/>
  <c r="D2073" i="28"/>
  <c r="D1375" i="28"/>
  <c r="D609" i="28"/>
  <c r="D765" i="28"/>
  <c r="D926" i="28"/>
  <c r="D988" i="28"/>
  <c r="D1052" i="28"/>
  <c r="D902" i="28"/>
  <c r="D1310" i="28"/>
  <c r="D1085" i="28"/>
  <c r="D1452" i="28"/>
  <c r="D1175" i="28"/>
  <c r="D1311" i="28"/>
  <c r="D345" i="28"/>
  <c r="D1309" i="28"/>
  <c r="D73" i="28"/>
  <c r="D358" i="28"/>
  <c r="D2127" i="28"/>
  <c r="D1068" i="28"/>
  <c r="D1278" i="28"/>
  <c r="D1776" i="28"/>
  <c r="D1895" i="28"/>
  <c r="D1237" i="28"/>
  <c r="D657" i="28"/>
  <c r="D1758" i="28"/>
  <c r="D693" i="28"/>
  <c r="D1171" i="28"/>
  <c r="D1490" i="28"/>
  <c r="D197" i="28"/>
  <c r="D635" i="28"/>
  <c r="D2100" i="28"/>
  <c r="D1177" i="28"/>
  <c r="D753" i="28"/>
  <c r="D1172" i="28"/>
  <c r="D482" i="28"/>
  <c r="D501" i="28"/>
  <c r="D61" i="28"/>
  <c r="D142" i="28"/>
  <c r="D2030" i="28"/>
  <c r="D1879" i="28"/>
  <c r="D1088" i="28"/>
  <c r="D1742" i="28"/>
  <c r="D1946" i="28"/>
  <c r="D1183" i="28"/>
  <c r="D1264" i="28"/>
  <c r="D2006" i="28"/>
  <c r="D469" i="28"/>
  <c r="D161" i="28"/>
  <c r="D757" i="28"/>
  <c r="D1103" i="28"/>
  <c r="D441" i="28"/>
  <c r="D48" i="28"/>
  <c r="D1631" i="28"/>
  <c r="D340" i="28"/>
  <c r="D1067" i="28"/>
  <c r="D242" i="28"/>
  <c r="D408" i="28"/>
  <c r="D1754" i="28"/>
  <c r="D1714" i="28"/>
  <c r="D1830" i="28"/>
  <c r="D2279" i="28"/>
  <c r="D299" i="28"/>
  <c r="D686" i="28"/>
  <c r="D643" i="28"/>
  <c r="D363" i="28"/>
  <c r="D1137" i="28"/>
  <c r="D2134" i="28"/>
  <c r="D596" i="28"/>
  <c r="D1152" i="28"/>
  <c r="D1908" i="28"/>
  <c r="D2224" i="28"/>
  <c r="D2178" i="28"/>
  <c r="D2135" i="28"/>
  <c r="D1127" i="28"/>
  <c r="D1766" i="28"/>
  <c r="D1669" i="28"/>
  <c r="D1345" i="28"/>
  <c r="D1426" i="28"/>
  <c r="D126" i="28"/>
  <c r="D101" i="28"/>
  <c r="D188" i="28"/>
  <c r="D445" i="28"/>
  <c r="D1786" i="28"/>
  <c r="D2011" i="28"/>
  <c r="D417" i="28"/>
  <c r="D446" i="28"/>
  <c r="D1683" i="28"/>
  <c r="D175" i="28"/>
  <c r="D294" i="28"/>
  <c r="D498" i="28"/>
  <c r="D631" i="28"/>
  <c r="D2007" i="28"/>
  <c r="D1101" i="28"/>
  <c r="D695" i="28"/>
  <c r="D1074" i="28"/>
  <c r="D1259" i="28"/>
  <c r="D1300" i="28"/>
  <c r="D1925" i="28"/>
  <c r="D2187" i="28"/>
  <c r="D1130" i="28"/>
  <c r="D435" i="28"/>
  <c r="D1751" i="28"/>
  <c r="D1476" i="28"/>
  <c r="D974" i="28"/>
  <c r="D748" i="28"/>
  <c r="D2079" i="28"/>
  <c r="D1663" i="28"/>
  <c r="D1959" i="28"/>
  <c r="D218" i="28"/>
  <c r="D1199" i="28"/>
  <c r="D140" i="28"/>
  <c r="D38" i="28"/>
  <c r="D70" i="28"/>
  <c r="D1235" i="28"/>
  <c r="D1149" i="28"/>
  <c r="D2186" i="28"/>
  <c r="D2208" i="28"/>
  <c r="D1928" i="28"/>
  <c r="D410" i="28"/>
  <c r="D687" i="28"/>
  <c r="D2114" i="28"/>
  <c r="D367" i="28"/>
  <c r="D487" i="28"/>
  <c r="D789" i="28"/>
  <c r="D931" i="28"/>
  <c r="D1276" i="28"/>
  <c r="D1236" i="28"/>
  <c r="D1848" i="28"/>
  <c r="D228" i="28"/>
  <c r="D371" i="28"/>
  <c r="D448" i="28"/>
  <c r="D925" i="28"/>
  <c r="D508" i="28"/>
  <c r="D440" i="28"/>
  <c r="D1608" i="28"/>
  <c r="D1072" i="28"/>
  <c r="D852" i="28"/>
  <c r="D891" i="28"/>
  <c r="D1976" i="28"/>
  <c r="D984" i="28"/>
  <c r="D978" i="28"/>
  <c r="D1460" i="28"/>
  <c r="D2164" i="28"/>
  <c r="D2274" i="28"/>
  <c r="D1435" i="28"/>
  <c r="D1841" i="28"/>
  <c r="D1610" i="28"/>
  <c r="D1251" i="28"/>
  <c r="D217" i="28"/>
  <c r="D2132" i="28"/>
  <c r="D1791" i="28"/>
  <c r="D754" i="28"/>
  <c r="D496" i="28"/>
  <c r="D921" i="28"/>
  <c r="D1606" i="28"/>
  <c r="D585" i="28"/>
  <c r="D265" i="28"/>
  <c r="D1204" i="28"/>
  <c r="D878" i="28"/>
  <c r="D1884" i="28"/>
  <c r="D2168" i="28"/>
  <c r="D1570" i="28"/>
  <c r="D1030" i="28"/>
  <c r="D1680" i="28"/>
  <c r="D1573" i="28"/>
  <c r="D365" i="28"/>
  <c r="D961" i="28"/>
  <c r="D964" i="28"/>
  <c r="D726" i="28"/>
  <c r="D1270" i="28"/>
  <c r="D1263" i="28"/>
  <c r="D281" i="28"/>
  <c r="D887" i="28"/>
  <c r="D1495" i="28"/>
  <c r="D1580" i="28"/>
  <c r="D189" i="28"/>
  <c r="D89" i="28"/>
  <c r="D2236" i="28"/>
  <c r="D1957" i="28"/>
  <c r="D451" i="28"/>
  <c r="D1076" i="28"/>
  <c r="D2084" i="28"/>
  <c r="D550" i="28"/>
  <c r="D1878" i="28"/>
  <c r="D135" i="28"/>
  <c r="D604" i="28"/>
  <c r="D1381" i="28"/>
  <c r="D772" i="28"/>
  <c r="D149" i="28"/>
  <c r="D93" i="28"/>
  <c r="D1998" i="28"/>
  <c r="D109" i="28"/>
  <c r="D1867" i="28"/>
  <c r="D1438" i="28"/>
  <c r="D1732" i="28"/>
  <c r="D1436" i="28"/>
  <c r="D1993" i="28"/>
  <c r="D661" i="28"/>
  <c r="D634" i="28"/>
  <c r="D1424" i="28"/>
  <c r="D1147" i="28"/>
  <c r="D1897" i="28"/>
  <c r="D470" i="28"/>
  <c r="D267" i="28"/>
  <c r="D1856" i="28"/>
  <c r="D1140" i="28"/>
  <c r="D6" i="28"/>
  <c r="D111" i="28"/>
  <c r="D154" i="28"/>
  <c r="D656" i="28"/>
  <c r="D129" i="28"/>
  <c r="D250" i="28"/>
  <c r="D167" i="28"/>
  <c r="D2188" i="28"/>
  <c r="D287" i="28"/>
  <c r="D139" i="28"/>
  <c r="D803" i="28"/>
  <c r="D1414" i="28"/>
  <c r="D2283" i="28"/>
  <c r="D1922" i="28"/>
  <c r="D2181" i="28"/>
  <c r="D58" i="28"/>
  <c r="D2062" i="28"/>
  <c r="D2282" i="28"/>
  <c r="D2034" i="28"/>
  <c r="D2200" i="28"/>
  <c r="D2257" i="28"/>
  <c r="D133" i="28"/>
  <c r="D2318" i="28"/>
  <c r="D2056" i="28"/>
  <c r="D2303" i="28"/>
  <c r="D1844" i="28"/>
  <c r="D2314" i="28"/>
  <c r="D2317" i="28"/>
  <c r="D11" i="28"/>
  <c r="D2315" i="28"/>
  <c r="D2319" i="28"/>
  <c r="D7" i="28"/>
  <c r="D13" i="28"/>
  <c r="D8" i="28"/>
  <c r="D2313" i="28"/>
  <c r="D199" i="28"/>
  <c r="D1630" i="28"/>
  <c r="D2278" i="28"/>
  <c r="D279" i="28"/>
  <c r="D703" i="28"/>
  <c r="D270" i="28"/>
  <c r="D2309" i="28"/>
  <c r="D548" i="28"/>
  <c r="D1102" i="28"/>
  <c r="D26" i="28"/>
  <c r="D484" i="28"/>
  <c r="D2286" i="28"/>
  <c r="D1169" i="28"/>
  <c r="D51" i="28"/>
  <c r="D1595" i="28"/>
  <c r="D598" i="28"/>
  <c r="D1860" i="28"/>
  <c r="D730" i="28"/>
  <c r="D260" i="28"/>
  <c r="D2259" i="28"/>
  <c r="D1478" i="28"/>
  <c r="D2172" i="28"/>
  <c r="D1161" i="28"/>
  <c r="D1768" i="28"/>
  <c r="D2001" i="28"/>
  <c r="D1989" i="28"/>
  <c r="D713" i="28"/>
  <c r="D1694" i="28"/>
  <c r="D1809" i="28"/>
  <c r="D2302" i="28"/>
  <c r="D2163" i="28"/>
  <c r="D905" i="28"/>
  <c r="D25" i="28"/>
  <c r="D234" i="28"/>
  <c r="D1228" i="28"/>
  <c r="D127" i="28"/>
  <c r="D1018" i="28"/>
  <c r="D1557" i="28"/>
  <c r="D15" i="28"/>
  <c r="D22" i="28"/>
  <c r="D12" i="28"/>
  <c r="D1273" i="28"/>
  <c r="D1132" i="28"/>
  <c r="D476" i="28"/>
  <c r="D2144" i="28"/>
  <c r="D2107" i="28"/>
  <c r="D2229" i="28"/>
  <c r="D2295" i="28"/>
  <c r="D170" i="28"/>
  <c r="D1368" i="28"/>
  <c r="D1170" i="28"/>
  <c r="D434" i="28"/>
  <c r="D54" i="28"/>
  <c r="D47" i="28"/>
  <c r="D5" i="28"/>
  <c r="D122" i="28"/>
  <c r="D377" i="28"/>
  <c r="D59" i="28"/>
  <c r="D2267" i="28"/>
  <c r="D2296" i="28"/>
  <c r="D2065" i="28"/>
  <c r="D1618" i="28"/>
  <c r="D1136" i="28"/>
  <c r="D495" i="28"/>
  <c r="D1165" i="28"/>
  <c r="D723" i="28"/>
  <c r="D1861" i="28"/>
  <c r="D1131" i="28"/>
  <c r="D1923" i="28"/>
  <c r="D1048" i="28"/>
  <c r="D821" i="28"/>
  <c r="D2113" i="28"/>
  <c r="D432" i="28"/>
  <c r="D1367" i="28"/>
  <c r="D1737" i="28"/>
  <c r="D1974" i="28"/>
  <c r="D1797" i="28"/>
  <c r="D2174" i="28"/>
  <c r="D2268" i="28"/>
  <c r="D2119" i="28"/>
  <c r="D669" i="28"/>
  <c r="D690" i="28"/>
  <c r="D873" i="28"/>
  <c r="D1825" i="28"/>
  <c r="D1226" i="28"/>
  <c r="D1332" i="28"/>
  <c r="D1358" i="28"/>
  <c r="D68" i="28"/>
  <c r="D443" i="28"/>
  <c r="D2230" i="28"/>
  <c r="D1926" i="28"/>
  <c r="D290" i="28"/>
  <c r="D1266" i="28"/>
  <c r="D1927" i="28"/>
  <c r="D204" i="28"/>
  <c r="D44" i="28"/>
  <c r="D491" i="28"/>
  <c r="D1380" i="28"/>
  <c r="D80" i="28"/>
  <c r="D477" i="28"/>
  <c r="D141" i="28"/>
  <c r="D1695" i="28"/>
  <c r="D1769" i="28"/>
  <c r="D2210" i="28"/>
  <c r="D1356" i="28"/>
  <c r="D295" i="28"/>
  <c r="D629" i="28"/>
  <c r="D1753" i="28"/>
  <c r="D868" i="28"/>
  <c r="D1795" i="28"/>
  <c r="D1357" i="28"/>
  <c r="D52" i="28"/>
  <c r="D232" i="28"/>
  <c r="D41" i="28"/>
  <c r="D601" i="28"/>
  <c r="D120" i="28"/>
  <c r="D2225" i="28"/>
  <c r="D2281" i="28"/>
  <c r="D2287" i="28"/>
  <c r="D2306" i="28"/>
  <c r="D1672" i="28"/>
  <c r="D1843" i="28"/>
  <c r="D237" i="28"/>
  <c r="D97" i="28"/>
  <c r="D388" i="28"/>
  <c r="D632" i="28"/>
  <c r="D1400" i="28"/>
  <c r="D2131" i="28"/>
  <c r="D169" i="28"/>
  <c r="D1432" i="28"/>
  <c r="D368" i="28"/>
  <c r="D1536" i="28"/>
  <c r="D347" i="28"/>
  <c r="D1285" i="28"/>
  <c r="D2299" i="28"/>
  <c r="D1434" i="28"/>
  <c r="D507" i="28"/>
  <c r="D1965" i="28"/>
  <c r="D1598" i="28"/>
  <c r="D1587" i="28"/>
  <c r="D1517" i="28"/>
  <c r="D1510" i="28"/>
  <c r="D1523" i="28"/>
  <c r="D34" i="28"/>
  <c r="D202" i="28"/>
  <c r="D2075" i="28"/>
  <c r="D1994" i="28"/>
  <c r="D1548" i="28"/>
  <c r="D672" i="28"/>
  <c r="D999" i="28"/>
  <c r="D755" i="28"/>
  <c r="D2237" i="28"/>
  <c r="D56" i="28"/>
  <c r="D519" i="28"/>
  <c r="D19" i="28"/>
  <c r="D2258" i="28"/>
  <c r="D66" i="28"/>
  <c r="D190" i="28"/>
  <c r="D1632" i="28"/>
  <c r="D903" i="28"/>
  <c r="D1747" i="28"/>
  <c r="D57" i="28"/>
  <c r="D1569" i="28"/>
  <c r="D2240" i="28"/>
  <c r="D2280" i="28"/>
  <c r="D1550" i="28"/>
  <c r="D597" i="28"/>
  <c r="D2244" i="28"/>
  <c r="D2092" i="28"/>
  <c r="D1821" i="28"/>
  <c r="D778" i="28"/>
  <c r="D433" i="28"/>
  <c r="D1759" i="28"/>
  <c r="D1647" i="28"/>
  <c r="D1154" i="28"/>
  <c r="D282" i="28"/>
  <c r="D415" i="28"/>
  <c r="D807" i="28"/>
  <c r="D1656" i="28"/>
  <c r="D1788" i="28"/>
  <c r="D2297" i="28"/>
  <c r="D393" i="28"/>
  <c r="D599" i="28"/>
  <c r="D1446" i="28"/>
  <c r="D771" i="28"/>
  <c r="D1905" i="28"/>
  <c r="D1931" i="28"/>
  <c r="D336" i="28"/>
  <c r="D1249" i="28"/>
  <c r="D1515" i="28"/>
  <c r="D1451" i="28"/>
  <c r="D1013" i="28"/>
  <c r="D1158" i="28"/>
  <c r="D492" i="28"/>
  <c r="D530" i="28"/>
  <c r="D1763" i="28"/>
  <c r="D1964" i="28"/>
  <c r="D2184" i="28"/>
  <c r="D2120" i="28"/>
  <c r="D216" i="28"/>
  <c r="D551" i="28"/>
  <c r="D962" i="28"/>
  <c r="D1506" i="28"/>
  <c r="D2082" i="28"/>
  <c r="D782" i="28"/>
  <c r="D1373" i="28"/>
  <c r="D1295" i="28"/>
  <c r="D2310" i="28"/>
  <c r="D259" i="28"/>
  <c r="D87" i="28"/>
  <c r="D236" i="28"/>
  <c r="D1731" i="28"/>
  <c r="D497" i="28"/>
  <c r="D518" i="28"/>
  <c r="D1723" i="28"/>
  <c r="D1055" i="28"/>
  <c r="D910" i="28"/>
  <c r="D1194" i="28"/>
  <c r="D532" i="28"/>
  <c r="D35" i="28"/>
  <c r="D177" i="28"/>
  <c r="D165" i="28"/>
  <c r="D574" i="28"/>
  <c r="D62" i="28"/>
  <c r="D1955" i="28"/>
  <c r="D2233" i="28"/>
  <c r="D125" i="28"/>
  <c r="D1385" i="28"/>
  <c r="D238" i="28"/>
  <c r="D21" i="28"/>
  <c r="D106" i="28"/>
  <c r="D474" i="28"/>
  <c r="D1970" i="28"/>
  <c r="D1900" i="28"/>
  <c r="D219" i="28"/>
  <c r="D1302" i="28"/>
  <c r="D2048" i="28"/>
  <c r="D2272" i="28"/>
  <c r="D1966" i="28"/>
  <c r="D1945" i="28"/>
  <c r="D1722" i="28"/>
  <c r="D2269" i="28"/>
  <c r="D1042" i="28"/>
  <c r="D326" i="28"/>
  <c r="D1696" i="28"/>
  <c r="D2288" i="28"/>
  <c r="D1807" i="28"/>
  <c r="D1505" i="28"/>
  <c r="D1507" i="28"/>
  <c r="D1817" i="28"/>
  <c r="D2140" i="28"/>
  <c r="D2158" i="28"/>
  <c r="D1565" i="28"/>
  <c r="D288" i="28"/>
  <c r="D1100" i="28"/>
  <c r="D2252" i="28"/>
  <c r="D200" i="28"/>
  <c r="D595" i="28"/>
  <c r="D360" i="28"/>
  <c r="D2266" i="28"/>
  <c r="D152" i="28"/>
  <c r="D1223" i="28"/>
  <c r="D91" i="28"/>
  <c r="D543" i="28"/>
  <c r="D471" i="28"/>
  <c r="D1796" i="28"/>
  <c r="D1090" i="28"/>
  <c r="D1439" i="28"/>
  <c r="D2070" i="28"/>
  <c r="D144" i="28"/>
  <c r="D685" i="28"/>
  <c r="D1929" i="28"/>
  <c r="D2141" i="28"/>
  <c r="D1834" i="28"/>
  <c r="D1008" i="28"/>
  <c r="D689" i="28"/>
  <c r="D826" i="28"/>
  <c r="D268" i="28"/>
  <c r="D96" i="28"/>
  <c r="D274" i="28"/>
  <c r="D2115" i="28"/>
  <c r="D1110" i="28"/>
  <c r="D872" i="28"/>
  <c r="D1323" i="28"/>
  <c r="D580" i="28"/>
  <c r="D1516" i="28"/>
  <c r="D637" i="28"/>
  <c r="D819" i="28"/>
  <c r="D709" i="28"/>
  <c r="D1509" i="28"/>
  <c r="D490" i="28"/>
  <c r="D1218" i="28"/>
  <c r="D936" i="28"/>
  <c r="D1257" i="28"/>
  <c r="D1320" i="28"/>
  <c r="D900" i="28"/>
  <c r="D272" i="28"/>
  <c r="D2069" i="28"/>
  <c r="D1297" i="28"/>
  <c r="D1480" i="28"/>
  <c r="D1001" i="28"/>
  <c r="D1816" i="28"/>
  <c r="D1602" i="28"/>
  <c r="D581" i="28"/>
  <c r="D1080" i="28"/>
  <c r="D1280" i="28"/>
  <c r="D982" i="28"/>
  <c r="D577" i="28"/>
  <c r="D1348" i="28"/>
  <c r="D1963" i="28"/>
  <c r="D1271" i="28"/>
  <c r="D119" i="28"/>
  <c r="D171" i="28"/>
  <c r="D1488" i="28"/>
  <c r="D1312" i="28"/>
  <c r="D184" i="28"/>
  <c r="D2012" i="28"/>
  <c r="D1364" i="28"/>
  <c r="D671" i="28"/>
  <c r="D812" i="28"/>
  <c r="D1889" i="28"/>
  <c r="D2121" i="28"/>
  <c r="D2206" i="28"/>
  <c r="D2055" i="28"/>
  <c r="D43" i="28"/>
  <c r="D582" i="28"/>
  <c r="D2167" i="28"/>
  <c r="D211" i="28"/>
  <c r="D627" i="28"/>
  <c r="D784" i="28"/>
  <c r="D863" i="28"/>
  <c r="D297" i="28"/>
  <c r="D959" i="28"/>
  <c r="D1937" i="28"/>
  <c r="D2083" i="28"/>
  <c r="D858" i="28"/>
  <c r="D1017" i="28"/>
  <c r="D424" i="28"/>
  <c r="D2304" i="28"/>
  <c r="D843" i="28"/>
  <c r="D1633" i="28"/>
  <c r="D1958" i="28"/>
  <c r="D573" i="28"/>
  <c r="D989" i="28"/>
  <c r="D1057" i="28"/>
  <c r="D1802" i="28"/>
  <c r="D848" i="28"/>
  <c r="D328" i="28"/>
  <c r="D82" i="28"/>
  <c r="D783" i="28"/>
  <c r="D143" i="28"/>
  <c r="D392" i="28"/>
  <c r="D383" i="28"/>
  <c r="D1892" i="28"/>
  <c r="D1121" i="28"/>
  <c r="D701" i="28"/>
  <c r="D1335" i="28"/>
  <c r="D458" i="28"/>
  <c r="D913" i="28"/>
  <c r="D1962" i="28"/>
  <c r="D1261" i="28"/>
  <c r="D1909" i="28"/>
  <c r="D1091" i="28"/>
  <c r="D2068" i="28"/>
  <c r="D1484" i="28"/>
  <c r="D1464" i="28"/>
  <c r="D561" i="28"/>
  <c r="D224" i="28"/>
  <c r="D1636" i="28"/>
  <c r="D1583" i="28"/>
  <c r="D579" i="28"/>
  <c r="D1979" i="28"/>
  <c r="D162" i="28"/>
  <c r="D124" i="28"/>
  <c r="D1988" i="28"/>
  <c r="D465" i="28"/>
  <c r="D558" i="28"/>
  <c r="D251" i="28"/>
  <c r="D568" i="28"/>
  <c r="D538" i="28"/>
  <c r="D1145" i="28"/>
  <c r="D116" i="28"/>
  <c r="D830" i="28"/>
  <c r="D1287" i="28"/>
  <c r="D2175" i="28"/>
  <c r="D2099" i="28"/>
  <c r="D1969" i="28"/>
  <c r="D2008" i="28"/>
  <c r="D2215" i="28"/>
  <c r="D1827" i="28"/>
  <c r="D503" i="28"/>
  <c r="D2193" i="28"/>
  <c r="D1687" i="28"/>
  <c r="D1282" i="28"/>
  <c r="D100" i="28"/>
  <c r="D37" i="28"/>
  <c r="D1577" i="28"/>
  <c r="D1009" i="28"/>
  <c r="D571" i="28"/>
  <c r="D802" i="28"/>
  <c r="D447" i="28"/>
  <c r="D916" i="28"/>
  <c r="D623" i="28"/>
  <c r="D505" i="28"/>
  <c r="D1178" i="28"/>
  <c r="D2275" i="28"/>
  <c r="D1542" i="28"/>
  <c r="D1749" i="28"/>
  <c r="D1546" i="28"/>
  <c r="D1951" i="28"/>
  <c r="D2201" i="28"/>
  <c r="D2238" i="28"/>
  <c r="D642" i="28"/>
  <c r="D1883" i="28"/>
  <c r="D659" i="28"/>
  <c r="D1619" i="28"/>
  <c r="D2010" i="28"/>
  <c r="D847" i="28"/>
  <c r="D321" i="28"/>
  <c r="D976" i="28"/>
  <c r="D1585" i="28"/>
  <c r="D768" i="28"/>
  <c r="D2059" i="28"/>
  <c r="D99" i="28"/>
  <c r="D2204" i="28"/>
  <c r="D697" i="28"/>
  <c r="D2264" i="28"/>
  <c r="D277" i="28"/>
  <c r="D344" i="28"/>
  <c r="D960" i="28"/>
  <c r="D1659" i="28"/>
  <c r="D795" i="28"/>
  <c r="D1111" i="28"/>
  <c r="D1582" i="28"/>
  <c r="D1392" i="28"/>
  <c r="D500" i="28"/>
  <c r="D1022" i="28"/>
  <c r="D1007" i="28"/>
  <c r="D719" i="28"/>
  <c r="D870" i="28"/>
  <c r="D682" i="28"/>
  <c r="D1404" i="28"/>
  <c r="D343" i="28"/>
  <c r="D164" i="28"/>
  <c r="D201" i="28"/>
  <c r="D352" i="28"/>
  <c r="D1625" i="28"/>
  <c r="D1899" i="28"/>
  <c r="D436" i="28"/>
  <c r="D1045" i="28"/>
  <c r="D1351" i="28"/>
  <c r="D2173" i="28"/>
  <c r="D2308" i="28"/>
  <c r="D2251" i="28"/>
  <c r="D2074" i="28"/>
  <c r="D1039" i="28"/>
  <c r="D304" i="28"/>
  <c r="D166" i="28"/>
  <c r="D680" i="28"/>
  <c r="D2020" i="28"/>
  <c r="D2146" i="28"/>
  <c r="D970" i="28"/>
  <c r="D555" i="28"/>
  <c r="D888" i="28"/>
  <c r="D809" i="28"/>
  <c r="D2273" i="28"/>
  <c r="D310" i="28"/>
  <c r="D391" i="28"/>
  <c r="D1804" i="28"/>
  <c r="D1760" i="28"/>
  <c r="D2077" i="28"/>
  <c r="D1371" i="28"/>
  <c r="D105" i="28"/>
  <c r="D2305" i="28"/>
  <c r="D53" i="28"/>
  <c r="D276" i="28"/>
  <c r="D249" i="28"/>
  <c r="D302" i="28"/>
  <c r="D1971" i="28"/>
  <c r="D2276" i="28"/>
  <c r="D688" i="28"/>
  <c r="D76" i="28"/>
  <c r="D110" i="28"/>
  <c r="D956" i="28"/>
  <c r="D311" i="28"/>
  <c r="D1914" i="28"/>
  <c r="D763" i="28"/>
  <c r="D32" i="28"/>
  <c r="D121" i="28"/>
  <c r="D1184" i="28"/>
  <c r="D457" i="28"/>
  <c r="D1487" i="28"/>
  <c r="D2103" i="28"/>
  <c r="D845" i="28"/>
  <c r="D1239" i="28"/>
  <c r="D1366" i="28"/>
  <c r="D1277" i="28"/>
  <c r="D724" i="28"/>
  <c r="D973" i="28"/>
  <c r="D230" i="28"/>
  <c r="D940" i="28"/>
  <c r="D1006" i="28"/>
  <c r="D2159" i="28"/>
  <c r="D1803" i="28"/>
  <c r="D1913" i="28"/>
  <c r="D2002" i="28"/>
  <c r="D1691" i="28"/>
  <c r="D349" i="28"/>
  <c r="D605" i="28"/>
  <c r="D796" i="28"/>
  <c r="D1094" i="28"/>
  <c r="D2076" i="28"/>
  <c r="D744" i="28"/>
  <c r="D2123" i="28"/>
  <c r="D2169" i="28"/>
  <c r="D275" i="28"/>
  <c r="D1930" i="28"/>
  <c r="D1146" i="28"/>
  <c r="D993" i="28"/>
  <c r="D2289" i="28"/>
  <c r="D2277" i="28"/>
  <c r="D2250" i="28"/>
  <c r="D2270" i="28"/>
  <c r="D2202" i="28"/>
  <c r="D255" i="28"/>
  <c r="D1820" i="28"/>
  <c r="D137" i="28"/>
  <c r="D229" i="28"/>
  <c r="D2261" i="28"/>
  <c r="D221" i="28"/>
  <c r="D625" i="28"/>
  <c r="D1972" i="28"/>
  <c r="D1637" i="28"/>
  <c r="D2190" i="28"/>
  <c r="D160" i="28"/>
  <c r="D88" i="28"/>
  <c r="D296" i="28"/>
  <c r="D1025" i="28"/>
  <c r="D1903" i="28"/>
  <c r="D439" i="28"/>
  <c r="D1837" i="28"/>
  <c r="D2156" i="28"/>
  <c r="D1286" i="28"/>
  <c r="D1767" i="28"/>
  <c r="D379" i="28"/>
  <c r="D1115" i="28"/>
  <c r="D2049" i="28"/>
  <c r="D746" i="28"/>
  <c r="D859" i="28"/>
  <c r="D2227" i="28"/>
  <c r="D2153" i="28"/>
  <c r="D396" i="28"/>
  <c r="D2143" i="28"/>
  <c r="D1525" i="28"/>
  <c r="D245" i="28"/>
  <c r="D557" i="28"/>
  <c r="D1661" i="28"/>
  <c r="D213" i="28"/>
  <c r="D586" i="28"/>
  <c r="D2019" i="28"/>
  <c r="D252" i="28"/>
  <c r="D253" i="28"/>
  <c r="D315" i="28"/>
  <c r="D205" i="28"/>
  <c r="D570" i="28"/>
  <c r="D308" i="28"/>
  <c r="D1773" i="28"/>
  <c r="D1805" i="28"/>
  <c r="D816" i="28"/>
  <c r="D967" i="28"/>
  <c r="D348" i="28"/>
  <c r="D1822" i="28"/>
  <c r="D683" i="28"/>
  <c r="D1350" i="28"/>
  <c r="D233" i="28"/>
  <c r="D1705" i="28"/>
  <c r="D1084" i="28"/>
  <c r="D918" i="28"/>
  <c r="D475" i="28"/>
  <c r="D1020" i="28"/>
  <c r="D338" i="28"/>
  <c r="D860" i="28"/>
  <c r="D592" i="28"/>
  <c r="D1333" i="28"/>
  <c r="D932" i="28"/>
  <c r="D893" i="28"/>
  <c r="D1382" i="28"/>
  <c r="D353" i="28"/>
  <c r="D423" i="28"/>
  <c r="D50" i="28"/>
  <c r="D386" i="28"/>
  <c r="D180" i="28"/>
  <c r="D2235" i="28"/>
  <c r="D2307" i="28"/>
  <c r="D2214" i="28"/>
  <c r="D468" i="28"/>
  <c r="D510" i="28"/>
  <c r="D316" i="28"/>
  <c r="D2165" i="28"/>
  <c r="D157" i="28"/>
  <c r="D655" i="28"/>
  <c r="D1160" i="28"/>
  <c r="D1554" i="28"/>
  <c r="D1060" i="28"/>
  <c r="D998" i="28"/>
  <c r="D760" i="28"/>
  <c r="D1920" i="28"/>
  <c r="D1016" i="28"/>
  <c r="D196" i="28"/>
  <c r="D678" i="28"/>
  <c r="D1709" i="28"/>
  <c r="D1296" i="28"/>
  <c r="D2026" i="28"/>
  <c r="D273" i="28"/>
  <c r="D293" i="28"/>
  <c r="D1427" i="28"/>
  <c r="D1702" i="28"/>
  <c r="D2285" i="28"/>
  <c r="D335" i="28"/>
  <c r="D2081" i="28"/>
  <c r="D1217" i="28"/>
  <c r="D727" i="28"/>
  <c r="D1079" i="28"/>
  <c r="D615" i="28"/>
  <c r="D431" i="28"/>
  <c r="D521" i="28"/>
  <c r="D2040" i="28"/>
  <c r="D1279" i="28"/>
  <c r="D1771" i="28"/>
  <c r="D1268" i="28"/>
  <c r="D1787" i="28"/>
  <c r="D2154" i="28"/>
  <c r="D209" i="28"/>
  <c r="D303" i="28"/>
  <c r="D1775" i="28"/>
  <c r="D950" i="28"/>
  <c r="D824" i="28"/>
  <c r="D1347" i="28"/>
  <c r="D460" i="28"/>
  <c r="D825" i="28"/>
  <c r="D178" i="28"/>
  <c r="D168" i="28"/>
  <c r="D1330" i="28"/>
  <c r="D1713" i="28"/>
  <c r="D1397" i="28"/>
  <c r="D1851" i="28"/>
  <c r="D1319" i="28"/>
  <c r="D1986" i="28"/>
  <c r="D1508" i="28"/>
  <c r="D2254" i="28"/>
  <c r="D1461" i="28"/>
  <c r="D1603" i="28"/>
  <c r="D1677" i="28"/>
  <c r="D1530" i="28"/>
  <c r="D1875" i="28"/>
  <c r="D332" i="28"/>
  <c r="D641" i="28"/>
  <c r="D779" i="28"/>
  <c r="D647" i="28"/>
  <c r="D1360" i="28"/>
  <c r="D611" i="28"/>
  <c r="D846" i="28"/>
  <c r="D831" i="28"/>
  <c r="D1142" i="28"/>
  <c r="D1376" i="28"/>
  <c r="D844" i="28"/>
  <c r="D1422" i="28"/>
  <c r="D1740" i="28"/>
  <c r="D1423" i="28"/>
  <c r="D1291" i="28"/>
  <c r="D1135" i="28"/>
  <c r="D1162" i="28"/>
  <c r="D1511" i="28"/>
  <c r="D2080" i="28"/>
  <c r="D1649" i="28"/>
  <c r="D1095" i="28"/>
  <c r="D1968" i="28"/>
  <c r="D2207" i="28"/>
  <c r="D2234" i="28"/>
  <c r="D524" i="28"/>
  <c r="D389" i="28"/>
  <c r="D1209" i="28"/>
  <c r="D1870" i="28"/>
  <c r="D420" i="28"/>
  <c r="D1454" i="28"/>
  <c r="D1442" i="28"/>
  <c r="D1777" i="28"/>
  <c r="D2195" i="28"/>
  <c r="D2149" i="28"/>
  <c r="D2147" i="28"/>
  <c r="D1890" i="28"/>
  <c r="D1133" i="28"/>
  <c r="D1032" i="28"/>
  <c r="D2047" i="28"/>
  <c r="D1098" i="28"/>
  <c r="D1840" i="28"/>
  <c r="D361" i="28"/>
  <c r="D1411" i="28"/>
  <c r="D1886" i="28"/>
  <c r="D1952" i="28"/>
  <c r="D454" i="28"/>
  <c r="D747" i="28"/>
  <c r="D1999" i="28"/>
  <c r="D1597" i="28"/>
  <c r="D679" i="28"/>
  <c r="D107" i="28"/>
  <c r="D1967" i="28"/>
  <c r="D618" i="28"/>
  <c r="D857" i="28"/>
  <c r="D1395" i="28"/>
  <c r="D1317" i="28"/>
  <c r="D18" i="28"/>
  <c r="D222" i="28"/>
  <c r="D1921" i="28"/>
  <c r="D1558" i="28"/>
  <c r="D427" i="28"/>
  <c r="D374" i="28"/>
  <c r="D790" i="28"/>
  <c r="D1847" i="28"/>
  <c r="D1433" i="28"/>
  <c r="D1468" i="28"/>
  <c r="D1568" i="28"/>
  <c r="D1624" i="28"/>
  <c r="D2162" i="28"/>
  <c r="D1173" i="28"/>
  <c r="D992" i="28"/>
  <c r="D1365" i="28"/>
  <c r="D1070" i="28"/>
  <c r="D306" i="28"/>
  <c r="D751" i="28"/>
  <c r="D526" i="28"/>
  <c r="D1852" i="28"/>
  <c r="D1092" i="28"/>
  <c r="D1658" i="28"/>
  <c r="D681" i="28"/>
  <c r="D1650" i="28"/>
  <c r="D421" i="28"/>
  <c r="D1743" i="28"/>
  <c r="D1188" i="28"/>
  <c r="D1211" i="28"/>
  <c r="D1265" i="28"/>
  <c r="D1621" i="28"/>
  <c r="D1141" i="28"/>
  <c r="D1781" i="28"/>
  <c r="D1150" i="28"/>
  <c r="D98" i="28"/>
  <c r="D791" i="28"/>
  <c r="D1681" i="28"/>
  <c r="D1164" i="28"/>
  <c r="D1262" i="28"/>
  <c r="D1535" i="28"/>
  <c r="D1096" i="28"/>
  <c r="D628" i="28"/>
  <c r="D1858" i="28"/>
  <c r="D836" i="28"/>
  <c r="D1346" i="28"/>
  <c r="D559" i="28"/>
  <c r="D696" i="28"/>
  <c r="D1298" i="28"/>
  <c r="D1482" i="28"/>
  <c r="D1372" i="28"/>
  <c r="D1069" i="28"/>
  <c r="D2211" i="28"/>
  <c r="D45" i="28"/>
  <c r="D1544" i="28"/>
  <c r="D1242" i="28"/>
  <c r="D578" i="28"/>
  <c r="D814" i="28"/>
  <c r="D677" i="28"/>
  <c r="D952" i="28"/>
  <c r="D513" i="28"/>
  <c r="D617" i="28"/>
  <c r="D511" i="28"/>
  <c r="D590" i="28"/>
  <c r="D1716" i="28"/>
  <c r="D1106" i="28"/>
  <c r="D1831" i="28"/>
  <c r="D924" i="28"/>
  <c r="D834" i="28"/>
  <c r="D1504" i="28"/>
  <c r="D773" i="28"/>
  <c r="D951" i="28"/>
  <c r="D499" i="28"/>
  <c r="D777" i="28"/>
  <c r="D364" i="28"/>
  <c r="D1623" i="28"/>
  <c r="D523" i="28"/>
  <c r="D616" i="28"/>
  <c r="D1313" i="28"/>
  <c r="D1061" i="28"/>
  <c r="D1180" i="28"/>
  <c r="D1024" i="28"/>
  <c r="D1532" i="28"/>
  <c r="D146" i="28"/>
  <c r="D104" i="28"/>
  <c r="D1469" i="28"/>
  <c r="D1157" i="28"/>
  <c r="D820" i="28"/>
  <c r="D1246" i="28"/>
  <c r="D1275" i="28"/>
  <c r="D1208" i="28"/>
  <c r="D828" i="28"/>
  <c r="D660" i="28"/>
  <c r="D708" i="28"/>
  <c r="D898" i="28"/>
  <c r="D876" i="28"/>
  <c r="D1519" i="28"/>
  <c r="D1250" i="28"/>
  <c r="D2129" i="28"/>
  <c r="D649" i="28"/>
  <c r="D1761" i="28"/>
  <c r="D2066" i="28"/>
  <c r="D1304" i="28"/>
  <c r="D1444" i="28"/>
  <c r="D1224" i="28"/>
  <c r="D1500" i="28"/>
  <c r="D479" i="28"/>
  <c r="D1466" i="28"/>
  <c r="D800" i="28"/>
  <c r="D889" i="28"/>
  <c r="D1134" i="28"/>
  <c r="D1112" i="28"/>
  <c r="D1652" i="28"/>
  <c r="D875" i="28"/>
  <c r="D1386" i="28"/>
  <c r="D1040" i="28"/>
  <c r="D323" i="28"/>
  <c r="D1729" i="28"/>
  <c r="D2097" i="28"/>
  <c r="D1679" i="28"/>
  <c r="D569" i="28"/>
  <c r="D1440" i="28"/>
  <c r="D1222" i="28"/>
  <c r="D115" i="28"/>
  <c r="D30" i="28"/>
  <c r="D262" i="28"/>
  <c r="D1058" i="28"/>
  <c r="D286" i="28"/>
  <c r="D341" i="28"/>
  <c r="D666" i="28"/>
  <c r="D1448" i="28"/>
  <c r="D409" i="28"/>
  <c r="D426" i="28"/>
  <c r="D938" i="28"/>
  <c r="D1907" i="28"/>
  <c r="D1818" i="28"/>
  <c r="D694" i="28"/>
  <c r="D369" i="28"/>
  <c r="D1318" i="28"/>
  <c r="D706" i="28"/>
  <c r="D1942" i="28"/>
  <c r="D1010" i="28"/>
  <c r="D775" i="28"/>
  <c r="D1054" i="28"/>
  <c r="D562" i="28"/>
  <c r="D1420" i="28"/>
  <c r="D1748" i="28"/>
  <c r="D1961" i="28"/>
  <c r="D535" i="28"/>
  <c r="D1214" i="28"/>
  <c r="D1441" i="28"/>
  <c r="D1355" i="28"/>
  <c r="D702" i="28"/>
  <c r="D1481" i="28"/>
  <c r="D285" i="28"/>
  <c r="D185" i="28"/>
  <c r="D2095" i="28"/>
  <c r="D1981" i="28"/>
  <c r="D1911" i="28"/>
  <c r="D980" i="28"/>
  <c r="D2061" i="28"/>
  <c r="D966" i="28"/>
  <c r="D449" i="28"/>
  <c r="D1513" i="28"/>
  <c r="D995" i="28"/>
  <c r="D749" i="28"/>
  <c r="D1083" i="28"/>
  <c r="D1155" i="28"/>
  <c r="D977" i="28"/>
  <c r="D1299" i="28"/>
  <c r="D2024" i="28"/>
  <c r="D1604" i="28"/>
  <c r="D1338" i="28"/>
  <c r="D2000" i="28"/>
  <c r="D1772" i="28"/>
  <c r="D1144" i="28"/>
  <c r="D46" i="28"/>
  <c r="D668" i="28"/>
  <c r="D412" i="28"/>
  <c r="D375" i="28"/>
  <c r="D861" i="28"/>
  <c r="D1281" i="28"/>
  <c r="D536" i="28"/>
  <c r="D49" i="28"/>
  <c r="D28" i="28"/>
  <c r="D853" i="28"/>
  <c r="D833" i="28"/>
  <c r="D712" i="28"/>
  <c r="D676" i="28"/>
  <c r="D520" i="28"/>
  <c r="D1894" i="28"/>
  <c r="D269" i="28"/>
  <c r="D540" i="28"/>
  <c r="D823" i="28"/>
  <c r="D1241" i="28"/>
  <c r="D752" i="28"/>
  <c r="D1064" i="28"/>
  <c r="D981" i="28"/>
  <c r="D602" i="28"/>
  <c r="D354" i="28"/>
  <c r="D320" i="28"/>
  <c r="D705" i="28"/>
  <c r="D494" i="28"/>
  <c r="D699" i="28"/>
  <c r="D1334" i="28"/>
  <c r="D1846" i="28"/>
  <c r="D620" i="28"/>
  <c r="D1081" i="28"/>
  <c r="D366" i="28"/>
  <c r="D504" i="28"/>
  <c r="D612" i="28"/>
  <c r="D1622" i="28"/>
  <c r="D1119" i="28"/>
  <c r="D1389" i="28"/>
  <c r="D2043" i="28"/>
  <c r="D640" i="28"/>
  <c r="D788" i="28"/>
  <c r="D488" i="28"/>
  <c r="D1073" i="28"/>
  <c r="D1063" i="28"/>
  <c r="D1198" i="28"/>
  <c r="D2038" i="28"/>
  <c r="D241" i="28"/>
  <c r="D565" i="28"/>
  <c r="D1492" i="28"/>
  <c r="D1408" i="28"/>
  <c r="D512" i="28"/>
  <c r="D416" i="28"/>
  <c r="D534" i="28"/>
  <c r="D1005" i="28"/>
  <c r="D1049" i="28"/>
  <c r="D1674" i="28"/>
  <c r="D1800" i="28"/>
  <c r="D1467" i="28"/>
  <c r="D462" i="28"/>
  <c r="D587" i="28"/>
  <c r="D1779" i="28"/>
  <c r="D1243" i="28"/>
  <c r="D674" i="28"/>
  <c r="D489" i="28"/>
  <c r="D2245" i="28"/>
  <c r="D2242" i="28"/>
  <c r="D419" i="28"/>
  <c r="D292" i="28"/>
  <c r="D2130" i="28"/>
  <c r="D1627" i="28"/>
  <c r="D14" i="28"/>
  <c r="D3" i="28"/>
  <c r="D1475" i="28"/>
  <c r="D1124" i="28"/>
  <c r="D455" i="28"/>
  <c r="D537" i="28"/>
  <c r="D350" i="28"/>
  <c r="D624" i="28"/>
  <c r="D339" i="28"/>
  <c r="D1421" i="28"/>
  <c r="D2104" i="28"/>
  <c r="D2009" i="28"/>
  <c r="D1031" i="28"/>
  <c r="D1794" i="28"/>
  <c r="D527" i="28"/>
  <c r="D1179" i="28"/>
  <c r="D1833" i="28"/>
  <c r="D945" i="28"/>
  <c r="D865" i="28"/>
  <c r="D1629" i="28"/>
  <c r="D1192" i="28"/>
  <c r="D2051" i="28"/>
  <c r="D246" i="28"/>
  <c r="D65" i="28"/>
  <c r="D1910" i="28"/>
  <c r="D1985" i="28"/>
  <c r="D770" i="28"/>
  <c r="D329" i="28"/>
  <c r="D1491" i="28"/>
  <c r="D1635" i="28"/>
  <c r="D2152" i="28"/>
  <c r="D425" i="28"/>
  <c r="D1406" i="28"/>
  <c r="D2028" i="28"/>
  <c r="D1399" i="28"/>
  <c r="D758" i="28"/>
  <c r="D1189" i="28"/>
  <c r="D1725" i="28"/>
  <c r="D1148" i="28"/>
  <c r="D307" i="28"/>
  <c r="D1041" i="28"/>
  <c r="D1666" i="28"/>
  <c r="D1581" i="28"/>
  <c r="D280" i="28"/>
  <c r="D444" i="28"/>
  <c r="D2035" i="28"/>
  <c r="D1613" i="28"/>
  <c r="D191" i="28"/>
  <c r="D1315" i="28"/>
  <c r="D112" i="28"/>
  <c r="D1592" i="28"/>
  <c r="D944" i="28"/>
  <c r="D402" i="28"/>
  <c r="D464" i="28"/>
  <c r="D1839" i="28"/>
  <c r="D29" i="28"/>
  <c r="D1051" i="28"/>
  <c r="D662" i="28"/>
  <c r="D1826" i="28"/>
  <c r="D1752" i="28"/>
  <c r="D965" i="28"/>
  <c r="D1741" i="28"/>
  <c r="D1522" i="28"/>
  <c r="D1240" i="28"/>
  <c r="D509" i="28"/>
  <c r="D652" i="28"/>
  <c r="D728" i="28"/>
  <c r="D810" i="28"/>
  <c r="D864" i="28"/>
  <c r="D792" i="28"/>
  <c r="D1780" i="28"/>
  <c r="D835" i="28"/>
  <c r="D564" i="28"/>
  <c r="D1341" i="28"/>
  <c r="D1745" i="28"/>
  <c r="D1229" i="28"/>
  <c r="D1328" i="28"/>
  <c r="D1774" i="28"/>
  <c r="D438" i="28"/>
  <c r="D2298" i="28"/>
  <c r="D20" i="28"/>
  <c r="D148" i="28"/>
  <c r="D638" i="28"/>
  <c r="D575" i="28"/>
  <c r="D1640" i="28"/>
  <c r="D633" i="28"/>
  <c r="D418" i="28"/>
  <c r="D381" i="28"/>
  <c r="D145" i="28"/>
  <c r="D1021" i="28"/>
  <c r="D1003" i="28"/>
  <c r="D2015" i="28"/>
  <c r="D738" i="28"/>
  <c r="D583" i="28"/>
  <c r="D1783" i="28"/>
  <c r="D1004" i="28"/>
  <c r="D405" i="28"/>
  <c r="D855" i="28"/>
  <c r="D717" i="28"/>
  <c r="D1153" i="28"/>
  <c r="D815" i="28"/>
  <c r="D874" i="28"/>
  <c r="D919" i="28"/>
  <c r="D1501" i="28"/>
  <c r="D1676" i="28"/>
  <c r="D658" i="28"/>
  <c r="D707" i="28"/>
  <c r="D731" i="28"/>
  <c r="D1474" i="28"/>
  <c r="D2260" i="28"/>
  <c r="D2292" i="28"/>
  <c r="D1726" i="28"/>
  <c r="D1543" i="28"/>
  <c r="D95" i="28"/>
  <c r="D1662" i="28"/>
  <c r="D403" i="28"/>
  <c r="D400" i="28"/>
  <c r="D215" i="28"/>
  <c r="D128" i="28"/>
  <c r="D850" i="28"/>
  <c r="D2180" i="28"/>
  <c r="D2311" i="28"/>
  <c r="D1139" i="28"/>
  <c r="D630" i="28"/>
  <c r="D71" i="28"/>
  <c r="D16" i="28"/>
  <c r="D27" i="28"/>
  <c r="D934" i="28"/>
  <c r="D1349" i="28"/>
  <c r="D317" i="28"/>
  <c r="D263" i="28"/>
  <c r="D589" i="28"/>
  <c r="D636" i="28"/>
  <c r="D373" i="28"/>
  <c r="D648" i="28"/>
  <c r="D941" i="28"/>
  <c r="D2063" i="28"/>
  <c r="D86" i="28"/>
  <c r="D764" i="28"/>
  <c r="D1118" i="28"/>
  <c r="D1306" i="28"/>
  <c r="D1950" i="28"/>
  <c r="D1449" i="28"/>
  <c r="D528" i="28"/>
  <c r="D1416" i="28"/>
  <c r="D1401" i="28"/>
  <c r="D842" i="28"/>
  <c r="D1065" i="28"/>
  <c r="D714" i="28"/>
  <c r="D1077" i="28"/>
  <c r="D750" i="28"/>
  <c r="D413" i="28"/>
  <c r="D1739" i="28"/>
  <c r="D1455" i="28"/>
  <c r="D650" i="28"/>
  <c r="D266" i="28"/>
  <c r="D653" i="28"/>
  <c r="D1015" i="28"/>
  <c r="D257" i="28"/>
  <c r="D1107" i="28"/>
  <c r="D2150" i="28"/>
  <c r="D1765" i="28"/>
  <c r="D1477" i="28"/>
  <c r="D2182" i="28"/>
  <c r="D971" i="28"/>
  <c r="D40" i="28"/>
  <c r="D33" i="28"/>
  <c r="D1494" i="28"/>
  <c r="D1292" i="28"/>
  <c r="D437" i="28"/>
  <c r="D1762" i="28"/>
  <c r="D2203" i="28"/>
  <c r="D2185" i="28"/>
  <c r="D1493" i="28"/>
  <c r="D1307" i="28"/>
  <c r="D2042" i="28"/>
  <c r="D1601" i="28"/>
  <c r="D1234" i="28"/>
  <c r="D2226" i="28"/>
  <c r="D914" i="28"/>
  <c r="D1378" i="28"/>
  <c r="D1062" i="28"/>
  <c r="D2111" i="28"/>
  <c r="D1225" i="28"/>
  <c r="D2031" i="28"/>
  <c r="D2016" i="28"/>
  <c r="D572" i="28"/>
  <c r="D2300" i="28"/>
  <c r="D2263" i="28"/>
  <c r="D1212" i="28"/>
  <c r="D156" i="28"/>
  <c r="D1941" i="28"/>
  <c r="D1721" i="28"/>
  <c r="D1973" i="28"/>
  <c r="D398" i="28"/>
  <c r="D1560" i="28"/>
  <c r="D330" i="28"/>
  <c r="D136" i="28"/>
  <c r="D1537" i="28"/>
  <c r="D854" i="28"/>
  <c r="D942" i="28"/>
  <c r="D1453" i="28"/>
  <c r="D766" i="28"/>
  <c r="D1664" i="28"/>
  <c r="D762" i="28"/>
  <c r="D622" i="28"/>
  <c r="D301" i="28"/>
  <c r="D1887" i="28"/>
  <c r="D1720" i="28"/>
  <c r="D566" i="28"/>
  <c r="D614" i="28"/>
  <c r="D1918" i="28"/>
  <c r="D883" i="28"/>
  <c r="D1458" i="28"/>
  <c r="D774" i="28"/>
  <c r="D621" i="28"/>
  <c r="D1940" i="28"/>
  <c r="D1412" i="28"/>
  <c r="D994" i="28"/>
  <c r="D1029" i="28"/>
  <c r="D291" i="28"/>
  <c r="D2044" i="28"/>
  <c r="D1612" i="28"/>
  <c r="D325" i="28"/>
  <c r="D591" i="28"/>
  <c r="D186" i="28"/>
  <c r="D2247" i="28"/>
  <c r="D2177" i="28"/>
  <c r="D2243" i="28"/>
  <c r="D1898" i="28"/>
  <c r="D1936" i="28"/>
  <c r="D2241" i="28"/>
  <c r="D2052" i="28"/>
  <c r="D342" i="28"/>
  <c r="D1379" i="28"/>
  <c r="D2112" i="28"/>
  <c r="D1643" i="28"/>
  <c r="D2271" i="28"/>
  <c r="D2284" i="28"/>
  <c r="D797" i="28"/>
  <c r="D1995" i="28"/>
  <c r="D2217" i="28"/>
  <c r="D1429" i="28"/>
  <c r="D314" i="28"/>
  <c r="D1075" i="28"/>
  <c r="D243" i="28"/>
  <c r="D36" i="28"/>
  <c r="D183" i="28"/>
  <c r="D2253" i="28"/>
  <c r="D2057" i="28"/>
  <c r="D2291" i="28"/>
  <c r="D2212" i="28"/>
  <c r="D1799" i="28"/>
  <c r="D2192" i="28"/>
  <c r="D1093" i="28"/>
  <c r="D378" i="28"/>
  <c r="D2126" i="28"/>
  <c r="D2091" i="28"/>
  <c r="D1813" i="28"/>
  <c r="D1227" i="28"/>
  <c r="D946" i="28"/>
  <c r="D654" i="28"/>
  <c r="D2058" i="28"/>
  <c r="D885" i="28"/>
  <c r="D2246" i="28"/>
  <c r="D1947" i="28"/>
  <c r="D271" i="28"/>
  <c r="D478" i="28"/>
  <c r="D90" i="28"/>
  <c r="D2004" i="28"/>
  <c r="D1566" i="28"/>
  <c r="D2221" i="28"/>
  <c r="D1308" i="28"/>
  <c r="D153" i="28"/>
  <c r="D1122" i="28"/>
  <c r="D588" i="28"/>
  <c r="D194" i="28"/>
  <c r="D996" i="28"/>
  <c r="D1556" i="28"/>
  <c r="D1290" i="28"/>
  <c r="D2096" i="28"/>
  <c r="D664" i="28"/>
  <c r="D284" i="28"/>
  <c r="D220" i="28"/>
  <c r="D1011" i="28"/>
  <c r="D545" i="28"/>
  <c r="D212" i="28"/>
  <c r="D529" i="28"/>
  <c r="D1835" i="28"/>
  <c r="D2320" i="28"/>
  <c r="D414" i="28"/>
  <c r="D2213" i="28"/>
  <c r="D533" i="28"/>
  <c r="D113" i="28"/>
  <c r="D710" i="28"/>
  <c r="D300" i="28"/>
  <c r="D77" i="28"/>
  <c r="D283" i="28"/>
  <c r="D1853" i="28"/>
  <c r="D877" i="28"/>
  <c r="D2064" i="28"/>
  <c r="D1734" i="28"/>
  <c r="D151" i="28"/>
  <c r="D1868" i="28"/>
  <c r="D1978" i="28"/>
  <c r="D506" i="28"/>
  <c r="D691" i="28"/>
  <c r="D2118" i="28"/>
  <c r="D739" i="28"/>
  <c r="D2137" i="28"/>
  <c r="D63" i="28"/>
  <c r="D817" i="28"/>
  <c r="D1607" i="28"/>
  <c r="D256" i="28"/>
  <c r="D309" i="28"/>
  <c r="D1128" i="28"/>
  <c r="D1857" i="28"/>
  <c r="D1850" i="28"/>
  <c r="D2013" i="28"/>
  <c r="D428" i="28"/>
  <c r="D943" i="28"/>
  <c r="D450" i="28"/>
  <c r="D1104" i="28"/>
  <c r="D613" i="28"/>
  <c r="D721" i="28"/>
  <c r="D1733" i="28"/>
  <c r="D1326" i="28"/>
  <c r="D1877" i="28"/>
  <c r="D547" i="28"/>
  <c r="D370" i="28"/>
  <c r="D235" i="28"/>
  <c r="D867" i="28"/>
  <c r="D1933" i="28"/>
  <c r="D1896" i="28"/>
  <c r="D2228" i="28"/>
  <c r="D472" i="28"/>
  <c r="D963" i="28"/>
  <c r="D793" i="28"/>
  <c r="D813" i="28"/>
  <c r="D207" i="28"/>
  <c r="D210" i="28"/>
  <c r="D407" i="28"/>
  <c r="D1216" i="28"/>
  <c r="D1634" i="28"/>
  <c r="D1238" i="28"/>
  <c r="D794" i="28"/>
  <c r="D639" i="28"/>
  <c r="D1409" i="28"/>
  <c r="D811" i="28"/>
  <c r="D2316" i="28"/>
  <c r="D1996" i="28"/>
  <c r="D1614" i="28"/>
  <c r="D1105" i="28"/>
  <c r="D1600" i="28"/>
  <c r="D1609" i="28"/>
  <c r="D1638" i="28"/>
  <c r="D1019" i="28"/>
  <c r="D553" i="28"/>
  <c r="D1283" i="28"/>
  <c r="D1377" i="28"/>
  <c r="D1512" i="28"/>
  <c r="D908" i="28"/>
  <c r="D1717" i="28"/>
  <c r="D2145" i="28"/>
  <c r="D2189" i="28"/>
  <c r="D1832" i="28"/>
  <c r="D1685" i="28"/>
  <c r="D920" i="28"/>
  <c r="D1316" i="28"/>
  <c r="D225" i="28"/>
  <c r="D397" i="28"/>
  <c r="D663" i="28"/>
  <c r="D346" i="28"/>
  <c r="D1736" i="28"/>
  <c r="D1425" i="28"/>
  <c r="D382" i="28"/>
  <c r="D1066" i="28"/>
  <c r="D1269" i="28"/>
  <c r="D1231" i="28"/>
  <c r="D158" i="28"/>
  <c r="D1719" i="28"/>
  <c r="D1718" i="28"/>
  <c r="D922" i="28"/>
  <c r="D1727" i="28"/>
  <c r="D1201" i="28"/>
  <c r="D2003" i="28"/>
  <c r="D2087" i="28"/>
  <c r="D556" i="28"/>
  <c r="D576" i="28"/>
  <c r="D718" i="28"/>
  <c r="D1245" i="28"/>
  <c r="D155" i="28"/>
  <c r="D1563" i="28"/>
  <c r="D2155" i="28"/>
  <c r="D2205" i="28"/>
  <c r="D1842" i="28"/>
  <c r="D1588" i="28"/>
  <c r="D1430" i="28"/>
  <c r="D1470" i="28"/>
  <c r="D1272" i="28"/>
  <c r="D493" i="28"/>
  <c r="D1526" i="28"/>
  <c r="D1873" i="28"/>
  <c r="D1789" i="28"/>
  <c r="D2194" i="28"/>
  <c r="D1344" i="28"/>
  <c r="D2122" i="28"/>
  <c r="D2125" i="28"/>
  <c r="D1220" i="28"/>
  <c r="D1339" i="28"/>
  <c r="D459" i="28"/>
  <c r="D1046" i="28"/>
  <c r="D1050" i="28"/>
  <c r="D2223" i="28"/>
  <c r="D953" i="28"/>
  <c r="D1682" i="28"/>
  <c r="D600" i="28"/>
  <c r="D1591" i="28"/>
  <c r="D1352" i="28"/>
  <c r="D818" i="28"/>
  <c r="D334" i="28"/>
  <c r="D849" i="28"/>
  <c r="D1143" i="28"/>
  <c r="D1181" i="28"/>
  <c r="D1059" i="28"/>
  <c r="D1616" i="28"/>
  <c r="D907" i="28"/>
  <c r="D1785" i="28"/>
  <c r="D1191" i="28"/>
  <c r="D1294" i="28"/>
  <c r="D1673" i="28"/>
  <c r="D1576" i="28"/>
  <c r="D1230" i="28"/>
  <c r="D1413" i="28"/>
  <c r="D1329" i="28"/>
  <c r="D2301" i="28"/>
  <c r="D2171" i="28"/>
  <c r="D785" i="28"/>
  <c r="D1036" i="28"/>
  <c r="D1125" i="28"/>
  <c r="D798" i="28"/>
  <c r="D1337" i="28"/>
  <c r="D1553" i="28"/>
  <c r="D882" i="28"/>
  <c r="D1325" i="28"/>
  <c r="D1755" i="28"/>
  <c r="D1906" i="28"/>
  <c r="D923" i="28"/>
  <c r="D1459" i="28"/>
  <c r="D1533" i="28"/>
  <c r="D1465" i="28"/>
  <c r="D1521" i="28"/>
  <c r="D1617" i="28"/>
  <c r="D1117" i="28"/>
  <c r="D1244" i="28"/>
  <c r="D1919" i="28"/>
  <c r="D2117" i="28"/>
  <c r="D917" i="28"/>
  <c r="D2089" i="28"/>
  <c r="D327" i="28"/>
  <c r="D1215" i="28"/>
  <c r="D619" i="28"/>
  <c r="D1730" i="28"/>
  <c r="D1902" i="28"/>
  <c r="D881" i="28"/>
  <c r="D227" i="28"/>
  <c r="D453" i="28"/>
  <c r="D665" i="28"/>
  <c r="D542" i="28"/>
  <c r="D1692" i="28"/>
  <c r="D1782" i="28"/>
  <c r="D841" i="28"/>
  <c r="D776" i="28"/>
  <c r="D322" i="28"/>
  <c r="D667" i="28"/>
  <c r="D2312" i="28"/>
  <c r="D2045" i="28"/>
  <c r="D1089" i="28"/>
  <c r="D1949" i="28"/>
  <c r="D740" i="28"/>
  <c r="D2036" i="28"/>
  <c r="D1596" i="28"/>
  <c r="D972" i="28"/>
  <c r="D1447" i="28"/>
  <c r="D1611" i="28"/>
  <c r="D2231" i="28"/>
  <c r="D651" i="28"/>
  <c r="D1479" i="28"/>
  <c r="D1584" i="28"/>
  <c r="D337" i="28"/>
  <c r="D1670" i="28"/>
  <c r="D1388" i="28"/>
  <c r="D1871" i="28"/>
  <c r="D2029" i="28"/>
  <c r="D55" i="28"/>
  <c r="D223" i="28"/>
  <c r="D404" i="28"/>
  <c r="D214" i="28"/>
  <c r="D406" i="28"/>
  <c r="D1023" i="28"/>
  <c r="D1221" i="28"/>
  <c r="D467" i="28"/>
  <c r="D1108" i="28"/>
  <c r="D1159" i="28"/>
  <c r="D2037" i="28"/>
  <c r="D1324" i="28"/>
  <c r="D1881" i="28"/>
  <c r="D1693" i="28"/>
  <c r="D1248" i="28"/>
  <c r="D2176" i="28"/>
  <c r="D1862" i="28"/>
  <c r="D1757" i="28"/>
  <c r="D1363" i="28"/>
  <c r="D2023" i="28"/>
  <c r="D2017" i="28"/>
  <c r="D1213" i="28"/>
  <c r="D1000" i="28"/>
  <c r="D2255" i="28"/>
  <c r="D264" i="28"/>
  <c r="D1939" i="28"/>
  <c r="D2232" i="28"/>
  <c r="D1641" i="28"/>
  <c r="D1314" i="28"/>
  <c r="D240" i="28"/>
  <c r="D319" i="28"/>
  <c r="D2262" i="28"/>
  <c r="D947" i="28"/>
  <c r="D2265" i="28"/>
  <c r="D1646" i="28"/>
  <c r="D318" i="28"/>
  <c r="D1575" i="28"/>
  <c r="D2239" i="28"/>
  <c r="D64" i="28"/>
  <c r="D955" i="28"/>
  <c r="D10" i="28"/>
  <c r="D247" i="28"/>
  <c r="D172" i="28"/>
  <c r="D1943" i="28"/>
  <c r="D759" i="28"/>
  <c r="D2022" i="28"/>
  <c r="D198" i="28"/>
  <c r="D401" i="28"/>
  <c r="D181" i="28"/>
  <c r="D359" i="28"/>
  <c r="D118" i="28"/>
  <c r="D387" i="28"/>
  <c r="D1975" i="28"/>
  <c r="D2072" i="28"/>
  <c r="D871" i="28"/>
  <c r="D1954" i="28"/>
  <c r="D866" i="28"/>
  <c r="D2128" i="28"/>
  <c r="D1770" i="28"/>
  <c r="D1402" i="28"/>
  <c r="D159" i="28"/>
  <c r="D324" i="28"/>
  <c r="D1855" i="28"/>
  <c r="D2046" i="28"/>
  <c r="D2110" i="28"/>
  <c r="D1728" i="28"/>
  <c r="D466" i="28"/>
  <c r="D1812" i="28"/>
  <c r="K29" i="28"/>
  <c r="K28" i="28"/>
  <c r="K27" i="28"/>
  <c r="K26" i="28"/>
  <c r="K14" i="28"/>
  <c r="K13" i="28"/>
  <c r="K12" i="28"/>
  <c r="K11" i="28"/>
  <c r="H2319" i="28"/>
  <c r="H2311" i="28"/>
  <c r="H2303" i="28"/>
  <c r="H2295" i="28"/>
  <c r="H2287" i="28"/>
  <c r="H2279" i="28"/>
  <c r="H2271" i="28"/>
  <c r="H2263" i="28"/>
  <c r="H2255" i="28"/>
  <c r="H2247" i="28"/>
  <c r="H2239" i="28"/>
  <c r="H2231" i="28"/>
  <c r="H2223" i="28"/>
  <c r="H2215" i="28"/>
  <c r="H2207" i="28"/>
  <c r="H2199" i="28"/>
  <c r="H2191" i="28"/>
  <c r="H2183" i="28"/>
  <c r="H2175" i="28"/>
  <c r="H2167" i="28"/>
  <c r="H2159" i="28"/>
  <c r="H2151" i="28"/>
  <c r="H2143" i="28"/>
  <c r="H2134" i="28"/>
  <c r="H2123" i="28"/>
  <c r="H2113" i="28"/>
  <c r="H2102" i="28"/>
  <c r="H2091" i="28"/>
  <c r="H2081" i="28"/>
  <c r="H2070" i="28"/>
  <c r="H2059" i="28"/>
  <c r="H2049" i="28"/>
  <c r="H2038" i="28"/>
  <c r="H2027" i="28"/>
  <c r="H2017" i="28"/>
  <c r="H2006" i="28"/>
  <c r="H1995" i="28"/>
  <c r="H1985" i="28"/>
  <c r="H1974" i="28"/>
  <c r="H1963" i="28"/>
  <c r="H1953" i="28"/>
  <c r="H1942" i="28"/>
  <c r="H1931" i="28"/>
  <c r="H1918" i="28"/>
  <c r="H1906" i="28"/>
  <c r="H1893" i="28"/>
  <c r="H1878" i="28"/>
  <c r="H1862" i="28"/>
  <c r="H1846" i="28"/>
  <c r="H1830" i="28"/>
  <c r="H1814" i="28"/>
  <c r="H1798" i="28"/>
  <c r="H1782" i="28"/>
  <c r="H1766" i="28"/>
  <c r="H1750" i="28"/>
  <c r="H1734" i="28"/>
  <c r="H1718" i="28"/>
  <c r="H1702" i="28"/>
  <c r="H1686" i="28"/>
  <c r="H1670" i="28"/>
  <c r="H1654" i="28"/>
  <c r="H1638" i="28"/>
  <c r="H1622" i="28"/>
  <c r="H1606" i="28"/>
  <c r="H1590" i="28"/>
  <c r="H1571" i="28"/>
  <c r="H1539" i="28"/>
  <c r="H1507" i="28"/>
  <c r="H1475" i="28"/>
  <c r="H1443" i="28"/>
  <c r="H1411" i="28"/>
  <c r="H1379" i="28"/>
  <c r="H1341" i="28"/>
  <c r="H1287" i="28"/>
  <c r="H1201" i="28"/>
  <c r="H1105" i="28"/>
  <c r="H976" i="28"/>
  <c r="H839" i="28"/>
  <c r="H704" i="28"/>
  <c r="H2316" i="28"/>
  <c r="H2308" i="28"/>
  <c r="H2300" i="28"/>
  <c r="H2292" i="28"/>
  <c r="H2284" i="28"/>
  <c r="H2276" i="28"/>
  <c r="H2268" i="28"/>
  <c r="H2260" i="28"/>
  <c r="H2252" i="28"/>
  <c r="H2244" i="28"/>
  <c r="H2236" i="28"/>
  <c r="H2228" i="28"/>
  <c r="H2220" i="28"/>
  <c r="H2212" i="28"/>
  <c r="H2204" i="28"/>
  <c r="H2196" i="28"/>
  <c r="H2188" i="28"/>
  <c r="H2180" i="28"/>
  <c r="H2172" i="28"/>
  <c r="H2164" i="28"/>
  <c r="H2156" i="28"/>
  <c r="H2148" i="28"/>
  <c r="H2140" i="28"/>
  <c r="H2130" i="28"/>
  <c r="H2119" i="28"/>
  <c r="H2109" i="28"/>
  <c r="H2098" i="28"/>
  <c r="H2087" i="28"/>
  <c r="H2077" i="28"/>
  <c r="H2066" i="28"/>
  <c r="H2055" i="28"/>
  <c r="H2045" i="28"/>
  <c r="H2034" i="28"/>
  <c r="H2023" i="28"/>
  <c r="H2013" i="28"/>
  <c r="H2002" i="28"/>
  <c r="H1991" i="28"/>
  <c r="H1981" i="28"/>
  <c r="H1970" i="28"/>
  <c r="H1959" i="28"/>
  <c r="H1949" i="28"/>
  <c r="H1938" i="28"/>
  <c r="H1926" i="28"/>
  <c r="H1914" i="28"/>
  <c r="H1901" i="28"/>
  <c r="H1889" i="28"/>
  <c r="H1873" i="28"/>
  <c r="H1857" i="28"/>
  <c r="H1841" i="28"/>
  <c r="H1825" i="28"/>
  <c r="H1809" i="28"/>
  <c r="H1793" i="28"/>
  <c r="H1777" i="28"/>
  <c r="H1761" i="28"/>
  <c r="H1745" i="28"/>
  <c r="H1729" i="28"/>
  <c r="H1713" i="28"/>
  <c r="H1697" i="28"/>
  <c r="H1681" i="28"/>
  <c r="H1665" i="28"/>
  <c r="H1649" i="28"/>
  <c r="H1633" i="28"/>
  <c r="H1617" i="28"/>
  <c r="H1601" i="28"/>
  <c r="H1585" i="28"/>
  <c r="H1562" i="28"/>
  <c r="H1530" i="28"/>
  <c r="H1498" i="28"/>
  <c r="H1466" i="28"/>
  <c r="H1434" i="28"/>
  <c r="H1402" i="28"/>
  <c r="H1368" i="28"/>
  <c r="H1328" i="28"/>
  <c r="H1264" i="28"/>
  <c r="H1176" i="28"/>
  <c r="H1075" i="28"/>
  <c r="H940" i="28"/>
  <c r="H804" i="28"/>
  <c r="H654" i="28"/>
  <c r="H2315" i="28"/>
  <c r="H2307" i="28"/>
  <c r="H2299" i="28"/>
  <c r="H2291" i="28"/>
  <c r="H2283" i="28"/>
  <c r="H2275" i="28"/>
  <c r="H2267" i="28"/>
  <c r="H2259" i="28"/>
  <c r="H2251" i="28"/>
  <c r="H2243" i="28"/>
  <c r="H2235" i="28"/>
  <c r="H2227" i="28"/>
  <c r="H2219" i="28"/>
  <c r="H2211" i="28"/>
  <c r="H2203" i="28"/>
  <c r="H2195" i="28"/>
  <c r="H2187" i="28"/>
  <c r="H2179" i="28"/>
  <c r="H2171" i="28"/>
  <c r="H2163" i="28"/>
  <c r="H2155" i="28"/>
  <c r="H2147" i="28"/>
  <c r="H2139" i="28"/>
  <c r="H2129" i="28"/>
  <c r="H2118" i="28"/>
  <c r="H2107" i="28"/>
  <c r="H2097" i="28"/>
  <c r="H2086" i="28"/>
  <c r="H2075" i="28"/>
  <c r="H2065" i="28"/>
  <c r="H2054" i="28"/>
  <c r="H2043" i="28"/>
  <c r="H2033" i="28"/>
  <c r="H2022" i="28"/>
  <c r="H2011" i="28"/>
  <c r="H2001" i="28"/>
  <c r="H1990" i="28"/>
  <c r="H1979" i="28"/>
  <c r="H1969" i="28"/>
  <c r="H1958" i="28"/>
  <c r="H1947" i="28"/>
  <c r="H1937" i="28"/>
  <c r="H1925" i="28"/>
  <c r="H1913" i="28"/>
  <c r="H1899" i="28"/>
  <c r="H1886" i="28"/>
  <c r="H1870" i="28"/>
  <c r="H1854" i="28"/>
  <c r="H1838" i="28"/>
  <c r="H1822" i="28"/>
  <c r="H1806" i="28"/>
  <c r="H1790" i="28"/>
  <c r="H1774" i="28"/>
  <c r="H1758" i="28"/>
  <c r="H1742" i="28"/>
  <c r="H1726" i="28"/>
  <c r="H1710" i="28"/>
  <c r="H1694" i="28"/>
  <c r="H1678" i="28"/>
  <c r="H1662" i="28"/>
  <c r="H1646" i="28"/>
  <c r="H1630" i="28"/>
  <c r="H1614" i="28"/>
  <c r="H1598" i="28"/>
  <c r="H1582" i="28"/>
  <c r="H1555" i="28"/>
  <c r="H1523" i="28"/>
  <c r="H1491" i="28"/>
  <c r="H1459" i="28"/>
  <c r="H1427" i="28"/>
  <c r="H1395" i="28"/>
  <c r="H1360" i="28"/>
  <c r="H1319" i="28"/>
  <c r="H1245" i="28"/>
  <c r="H1153" i="28"/>
  <c r="H1044" i="28"/>
  <c r="H909" i="28"/>
  <c r="H772" i="28"/>
  <c r="H562" i="28"/>
  <c r="H2314" i="28"/>
  <c r="H2306" i="28"/>
  <c r="H2298" i="28"/>
  <c r="H2290" i="28"/>
  <c r="H2282" i="28"/>
  <c r="H2274" i="28"/>
  <c r="H2266" i="28"/>
  <c r="H2258" i="28"/>
  <c r="H2250" i="28"/>
  <c r="H2242" i="28"/>
  <c r="H2234" i="28"/>
  <c r="H2226" i="28"/>
  <c r="H2218" i="28"/>
  <c r="H2210" i="28"/>
  <c r="H2202" i="28"/>
  <c r="H2194" i="28"/>
  <c r="H2186" i="28"/>
  <c r="H2178" i="28"/>
  <c r="H2170" i="28"/>
  <c r="H2162" i="28"/>
  <c r="H2154" i="28"/>
  <c r="H2146" i="28"/>
  <c r="H2138" i="28"/>
  <c r="H2127" i="28"/>
  <c r="H2117" i="28"/>
  <c r="H2106" i="28"/>
  <c r="H2095" i="28"/>
  <c r="H2085" i="28"/>
  <c r="H2074" i="28"/>
  <c r="H2063" i="28"/>
  <c r="H2053" i="28"/>
  <c r="H2042" i="28"/>
  <c r="H2031" i="28"/>
  <c r="H2021" i="28"/>
  <c r="H2010" i="28"/>
  <c r="H1999" i="28"/>
  <c r="H1989" i="28"/>
  <c r="H1978" i="28"/>
  <c r="H1967" i="28"/>
  <c r="H1957" i="28"/>
  <c r="H1946" i="28"/>
  <c r="H1935" i="28"/>
  <c r="H1923" i="28"/>
  <c r="H1910" i="28"/>
  <c r="H1898" i="28"/>
  <c r="H1883" i="28"/>
  <c r="H1867" i="28"/>
  <c r="H1851" i="28"/>
  <c r="H1835" i="28"/>
  <c r="H1819" i="28"/>
  <c r="H1803" i="28"/>
  <c r="H1787" i="28"/>
  <c r="H1771" i="28"/>
  <c r="H1755" i="28"/>
  <c r="H1739" i="28"/>
  <c r="H1723" i="28"/>
  <c r="H1707" i="28"/>
  <c r="H1691" i="28"/>
  <c r="H1675" i="28"/>
  <c r="H1659" i="28"/>
  <c r="H1643" i="28"/>
  <c r="H1627" i="28"/>
  <c r="H1611" i="28"/>
  <c r="H1595" i="28"/>
  <c r="H1579" i="28"/>
  <c r="H1551" i="28"/>
  <c r="H1519" i="28"/>
  <c r="H1487" i="28"/>
  <c r="H1455" i="28"/>
  <c r="H1423" i="28"/>
  <c r="H1391" i="28"/>
  <c r="H1356" i="28"/>
  <c r="H1313" i="28"/>
  <c r="H1243" i="28"/>
  <c r="H1152" i="28"/>
  <c r="H1041" i="28"/>
  <c r="H905" i="28"/>
  <c r="H769" i="28"/>
  <c r="H561" i="28"/>
  <c r="H3" i="28"/>
  <c r="H2313" i="28"/>
  <c r="H2305" i="28"/>
  <c r="H2297" i="28"/>
  <c r="H2289" i="28"/>
  <c r="H2281" i="28"/>
  <c r="H2273" i="28"/>
  <c r="H2265" i="28"/>
  <c r="H2257" i="28"/>
  <c r="H2249" i="28"/>
  <c r="H2241" i="28"/>
  <c r="H2233" i="28"/>
  <c r="H2225" i="28"/>
  <c r="H2217" i="28"/>
  <c r="H2209" i="28"/>
  <c r="H2201" i="28"/>
  <c r="H2193" i="28"/>
  <c r="H2185" i="28"/>
  <c r="H2177" i="28"/>
  <c r="H2169" i="28"/>
  <c r="H2161" i="28"/>
  <c r="H2153" i="28"/>
  <c r="H2145" i="28"/>
  <c r="H2137" i="28"/>
  <c r="H2126" i="28"/>
  <c r="H2115" i="28"/>
  <c r="H2105" i="28"/>
  <c r="H2094" i="28"/>
  <c r="H2083" i="28"/>
  <c r="H2073" i="28"/>
  <c r="H2062" i="28"/>
  <c r="H2051" i="28"/>
  <c r="H2041" i="28"/>
  <c r="H2030" i="28"/>
  <c r="H2019" i="28"/>
  <c r="H2009" i="28"/>
  <c r="H1998" i="28"/>
  <c r="H1987" i="28"/>
  <c r="H1977" i="28"/>
  <c r="H1966" i="28"/>
  <c r="H1955" i="28"/>
  <c r="H1945" i="28"/>
  <c r="H1934" i="28"/>
  <c r="H1922" i="28"/>
  <c r="H1909" i="28"/>
  <c r="H1897" i="28"/>
  <c r="H1882" i="28"/>
  <c r="H1866" i="28"/>
  <c r="H1850" i="28"/>
  <c r="H1834" i="28"/>
  <c r="H1818" i="28"/>
  <c r="H1802" i="28"/>
  <c r="H1786" i="28"/>
  <c r="H1770" i="28"/>
  <c r="H1754" i="28"/>
  <c r="H1738" i="28"/>
  <c r="H1722" i="28"/>
  <c r="H1706" i="28"/>
  <c r="H1690" i="28"/>
  <c r="H1674" i="28"/>
  <c r="H1658" i="28"/>
  <c r="H1642" i="28"/>
  <c r="H1626" i="28"/>
  <c r="H1610" i="28"/>
  <c r="H1594" i="28"/>
  <c r="H1578" i="28"/>
  <c r="H1547" i="28"/>
  <c r="H1515" i="28"/>
  <c r="H1483" i="28"/>
  <c r="H1451" i="28"/>
  <c r="H1419" i="28"/>
  <c r="H1387" i="28"/>
  <c r="H1351" i="28"/>
  <c r="H1309" i="28"/>
  <c r="H1223" i="28"/>
  <c r="H1128" i="28"/>
  <c r="H1012" i="28"/>
  <c r="H873" i="28"/>
  <c r="H736" i="28"/>
  <c r="H4" i="28"/>
  <c r="H12" i="28"/>
  <c r="H20" i="28"/>
  <c r="H28" i="28"/>
  <c r="H36" i="28"/>
  <c r="H44" i="28"/>
  <c r="H52" i="28"/>
  <c r="H60" i="28"/>
  <c r="H68" i="28"/>
  <c r="H76" i="28"/>
  <c r="H84" i="28"/>
  <c r="H92" i="28"/>
  <c r="H100" i="28"/>
  <c r="H108" i="28"/>
  <c r="H116" i="28"/>
  <c r="H124" i="28"/>
  <c r="H132" i="28"/>
  <c r="H140" i="28"/>
  <c r="H148" i="28"/>
  <c r="H156" i="28"/>
  <c r="H164" i="28"/>
  <c r="H172" i="28"/>
  <c r="H180" i="28"/>
  <c r="H188" i="28"/>
  <c r="H196" i="28"/>
  <c r="H204" i="28"/>
  <c r="H212" i="28"/>
  <c r="H220" i="28"/>
  <c r="H228" i="28"/>
  <c r="H236" i="28"/>
  <c r="H244" i="28"/>
  <c r="H252" i="28"/>
  <c r="H260" i="28"/>
  <c r="H268" i="28"/>
  <c r="H276" i="28"/>
  <c r="H284" i="28"/>
  <c r="H292" i="28"/>
  <c r="H300" i="28"/>
  <c r="H308" i="28"/>
  <c r="H316" i="28"/>
  <c r="H324" i="28"/>
  <c r="H332" i="28"/>
  <c r="H340" i="28"/>
  <c r="H348" i="28"/>
  <c r="H356" i="28"/>
  <c r="H364" i="28"/>
  <c r="H372" i="28"/>
  <c r="H380" i="28"/>
  <c r="H388" i="28"/>
  <c r="H396" i="28"/>
  <c r="H404" i="28"/>
  <c r="H412" i="28"/>
  <c r="H420" i="28"/>
  <c r="H428" i="28"/>
  <c r="H436" i="28"/>
  <c r="H444" i="28"/>
  <c r="H452" i="28"/>
  <c r="H460" i="28"/>
  <c r="H468" i="28"/>
  <c r="H476" i="28"/>
  <c r="H484" i="28"/>
  <c r="H492" i="28"/>
  <c r="H500" i="28"/>
  <c r="H508" i="28"/>
  <c r="H516" i="28"/>
  <c r="H524" i="28"/>
  <c r="H532" i="28"/>
  <c r="H540" i="28"/>
  <c r="H548" i="28"/>
  <c r="H556" i="28"/>
  <c r="H564" i="28"/>
  <c r="H572" i="28"/>
  <c r="H580" i="28"/>
  <c r="H588" i="28"/>
  <c r="H596" i="28"/>
  <c r="H604" i="28"/>
  <c r="H612" i="28"/>
  <c r="H620" i="28"/>
  <c r="H628" i="28"/>
  <c r="H636" i="28"/>
  <c r="H644" i="28"/>
  <c r="H652" i="28"/>
  <c r="H660" i="28"/>
  <c r="H668" i="28"/>
  <c r="H676" i="28"/>
  <c r="H5" i="28"/>
  <c r="H13" i="28"/>
  <c r="H21" i="28"/>
  <c r="H29" i="28"/>
  <c r="H37" i="28"/>
  <c r="H45" i="28"/>
  <c r="H53" i="28"/>
  <c r="H61" i="28"/>
  <c r="H69" i="28"/>
  <c r="H77" i="28"/>
  <c r="H85" i="28"/>
  <c r="H93" i="28"/>
  <c r="H101" i="28"/>
  <c r="H109" i="28"/>
  <c r="H117" i="28"/>
  <c r="H125" i="28"/>
  <c r="H133" i="28"/>
  <c r="H141" i="28"/>
  <c r="H149" i="28"/>
  <c r="H157" i="28"/>
  <c r="H165" i="28"/>
  <c r="H173" i="28"/>
  <c r="H181" i="28"/>
  <c r="H189" i="28"/>
  <c r="H197" i="28"/>
  <c r="H205" i="28"/>
  <c r="H213" i="28"/>
  <c r="H221" i="28"/>
  <c r="H229" i="28"/>
  <c r="H237" i="28"/>
  <c r="H245" i="28"/>
  <c r="H253" i="28"/>
  <c r="H261" i="28"/>
  <c r="H269" i="28"/>
  <c r="H277" i="28"/>
  <c r="H285" i="28"/>
  <c r="H293" i="28"/>
  <c r="H301" i="28"/>
  <c r="H309" i="28"/>
  <c r="H317" i="28"/>
  <c r="H325" i="28"/>
  <c r="H333" i="28"/>
  <c r="H341" i="28"/>
  <c r="H349" i="28"/>
  <c r="H357" i="28"/>
  <c r="H365" i="28"/>
  <c r="H373" i="28"/>
  <c r="H381" i="28"/>
  <c r="H389" i="28"/>
  <c r="H397" i="28"/>
  <c r="H405" i="28"/>
  <c r="H413" i="28"/>
  <c r="H421" i="28"/>
  <c r="H429" i="28"/>
  <c r="H437" i="28"/>
  <c r="H445" i="28"/>
  <c r="H453" i="28"/>
  <c r="H461" i="28"/>
  <c r="H469" i="28"/>
  <c r="H477" i="28"/>
  <c r="H485" i="28"/>
  <c r="H493" i="28"/>
  <c r="H501" i="28"/>
  <c r="H509" i="28"/>
  <c r="H517" i="28"/>
  <c r="H525" i="28"/>
  <c r="H533" i="28"/>
  <c r="H541" i="28"/>
  <c r="H549" i="28"/>
  <c r="H557" i="28"/>
  <c r="H565" i="28"/>
  <c r="H573" i="28"/>
  <c r="H581" i="28"/>
  <c r="H589" i="28"/>
  <c r="H597" i="28"/>
  <c r="H605" i="28"/>
  <c r="H613" i="28"/>
  <c r="H621" i="28"/>
  <c r="H629" i="28"/>
  <c r="H637" i="28"/>
  <c r="H645" i="28"/>
  <c r="H653" i="28"/>
  <c r="H661" i="28"/>
  <c r="H669" i="28"/>
  <c r="H677" i="28"/>
  <c r="H6" i="28"/>
  <c r="H14" i="28"/>
  <c r="H22" i="28"/>
  <c r="H30" i="28"/>
  <c r="H38" i="28"/>
  <c r="H46" i="28"/>
  <c r="H54" i="28"/>
  <c r="H62" i="28"/>
  <c r="H70" i="28"/>
  <c r="H78" i="28"/>
  <c r="H86" i="28"/>
  <c r="H94" i="28"/>
  <c r="H102" i="28"/>
  <c r="H110" i="28"/>
  <c r="H118" i="28"/>
  <c r="H126" i="28"/>
  <c r="H134" i="28"/>
  <c r="H142" i="28"/>
  <c r="H150" i="28"/>
  <c r="H158" i="28"/>
  <c r="H166" i="28"/>
  <c r="H174" i="28"/>
  <c r="H182" i="28"/>
  <c r="H190" i="28"/>
  <c r="H198" i="28"/>
  <c r="H206" i="28"/>
  <c r="H214" i="28"/>
  <c r="H222" i="28"/>
  <c r="H230" i="28"/>
  <c r="H238" i="28"/>
  <c r="H246" i="28"/>
  <c r="H254" i="28"/>
  <c r="H262" i="28"/>
  <c r="H270" i="28"/>
  <c r="H278" i="28"/>
  <c r="H286" i="28"/>
  <c r="H294" i="28"/>
  <c r="H302" i="28"/>
  <c r="H310" i="28"/>
  <c r="H318" i="28"/>
  <c r="H326" i="28"/>
  <c r="H334" i="28"/>
  <c r="H342" i="28"/>
  <c r="H350" i="28"/>
  <c r="H358" i="28"/>
  <c r="H366" i="28"/>
  <c r="H374" i="28"/>
  <c r="H382" i="28"/>
  <c r="H390" i="28"/>
  <c r="H398" i="28"/>
  <c r="H406" i="28"/>
  <c r="H414" i="28"/>
  <c r="H422" i="28"/>
  <c r="H430" i="28"/>
  <c r="H438" i="28"/>
  <c r="H446" i="28"/>
  <c r="H454" i="28"/>
  <c r="H462" i="28"/>
  <c r="H470" i="28"/>
  <c r="H478" i="28"/>
  <c r="H486" i="28"/>
  <c r="H494" i="28"/>
  <c r="H502" i="28"/>
  <c r="H510" i="28"/>
  <c r="H518" i="28"/>
  <c r="H526" i="28"/>
  <c r="H534" i="28"/>
  <c r="H542" i="28"/>
  <c r="H550" i="28"/>
  <c r="H558" i="28"/>
  <c r="H566" i="28"/>
  <c r="H574" i="28"/>
  <c r="H582" i="28"/>
  <c r="H590" i="28"/>
  <c r="H598" i="28"/>
  <c r="H606" i="28"/>
  <c r="H614" i="28"/>
  <c r="H622" i="28"/>
  <c r="H630" i="28"/>
  <c r="H638" i="28"/>
  <c r="H646" i="28"/>
  <c r="H7" i="28"/>
  <c r="H15" i="28"/>
  <c r="H23" i="28"/>
  <c r="H31" i="28"/>
  <c r="H39" i="28"/>
  <c r="H47" i="28"/>
  <c r="H55" i="28"/>
  <c r="H63" i="28"/>
  <c r="H71" i="28"/>
  <c r="H79" i="28"/>
  <c r="H87" i="28"/>
  <c r="H95" i="28"/>
  <c r="H103" i="28"/>
  <c r="H111" i="28"/>
  <c r="H119" i="28"/>
  <c r="H127" i="28"/>
  <c r="H135" i="28"/>
  <c r="H143" i="28"/>
  <c r="H151" i="28"/>
  <c r="H159" i="28"/>
  <c r="H167" i="28"/>
  <c r="H175" i="28"/>
  <c r="H183" i="28"/>
  <c r="H191" i="28"/>
  <c r="H199" i="28"/>
  <c r="H207" i="28"/>
  <c r="H215" i="28"/>
  <c r="H223" i="28"/>
  <c r="H231" i="28"/>
  <c r="H239" i="28"/>
  <c r="H247" i="28"/>
  <c r="H255" i="28"/>
  <c r="H263" i="28"/>
  <c r="H271" i="28"/>
  <c r="H279" i="28"/>
  <c r="H287" i="28"/>
  <c r="H295" i="28"/>
  <c r="H303" i="28"/>
  <c r="H311" i="28"/>
  <c r="H319" i="28"/>
  <c r="H327" i="28"/>
  <c r="H335" i="28"/>
  <c r="H343" i="28"/>
  <c r="H351" i="28"/>
  <c r="H359" i="28"/>
  <c r="H367" i="28"/>
  <c r="H375" i="28"/>
  <c r="H383" i="28"/>
  <c r="H391" i="28"/>
  <c r="H399" i="28"/>
  <c r="H407" i="28"/>
  <c r="H415" i="28"/>
  <c r="H423" i="28"/>
  <c r="H431" i="28"/>
  <c r="H439" i="28"/>
  <c r="H447" i="28"/>
  <c r="H455" i="28"/>
  <c r="H463" i="28"/>
  <c r="H471" i="28"/>
  <c r="H479" i="28"/>
  <c r="H487" i="28"/>
  <c r="H495" i="28"/>
  <c r="H503" i="28"/>
  <c r="H511" i="28"/>
  <c r="H519" i="28"/>
  <c r="H527" i="28"/>
  <c r="H535" i="28"/>
  <c r="H543" i="28"/>
  <c r="H551" i="28"/>
  <c r="H559" i="28"/>
  <c r="H567" i="28"/>
  <c r="H575" i="28"/>
  <c r="H583" i="28"/>
  <c r="H591" i="28"/>
  <c r="H599" i="28"/>
  <c r="H607" i="28"/>
  <c r="H615" i="28"/>
  <c r="H623" i="28"/>
  <c r="H631" i="28"/>
  <c r="H639" i="28"/>
  <c r="H647" i="28"/>
  <c r="H655" i="28"/>
  <c r="H663" i="28"/>
  <c r="H671" i="28"/>
  <c r="H679" i="28"/>
  <c r="H8" i="28"/>
  <c r="H16" i="28"/>
  <c r="H24" i="28"/>
  <c r="H32" i="28"/>
  <c r="H40" i="28"/>
  <c r="H48" i="28"/>
  <c r="H56" i="28"/>
  <c r="H64" i="28"/>
  <c r="H72" i="28"/>
  <c r="H80" i="28"/>
  <c r="H88" i="28"/>
  <c r="H96" i="28"/>
  <c r="H104" i="28"/>
  <c r="H112" i="28"/>
  <c r="H120" i="28"/>
  <c r="H128" i="28"/>
  <c r="H136" i="28"/>
  <c r="H144" i="28"/>
  <c r="H152" i="28"/>
  <c r="H160" i="28"/>
  <c r="H168" i="28"/>
  <c r="H176" i="28"/>
  <c r="H184" i="28"/>
  <c r="H192" i="28"/>
  <c r="H200" i="28"/>
  <c r="H208" i="28"/>
  <c r="H216" i="28"/>
  <c r="H224" i="28"/>
  <c r="H232" i="28"/>
  <c r="H240" i="28"/>
  <c r="H248" i="28"/>
  <c r="H256" i="28"/>
  <c r="H264" i="28"/>
  <c r="H272" i="28"/>
  <c r="H280" i="28"/>
  <c r="H288" i="28"/>
  <c r="H296" i="28"/>
  <c r="H304" i="28"/>
  <c r="H312" i="28"/>
  <c r="H320" i="28"/>
  <c r="H328" i="28"/>
  <c r="H336" i="28"/>
  <c r="H344" i="28"/>
  <c r="H352" i="28"/>
  <c r="H360" i="28"/>
  <c r="H368" i="28"/>
  <c r="H376" i="28"/>
  <c r="H384" i="28"/>
  <c r="H392" i="28"/>
  <c r="H400" i="28"/>
  <c r="H408" i="28"/>
  <c r="H416" i="28"/>
  <c r="H424" i="28"/>
  <c r="H432" i="28"/>
  <c r="H440" i="28"/>
  <c r="H448" i="28"/>
  <c r="H456" i="28"/>
  <c r="H464" i="28"/>
  <c r="H472" i="28"/>
  <c r="H480" i="28"/>
  <c r="H488" i="28"/>
  <c r="H496" i="28"/>
  <c r="H504" i="28"/>
  <c r="H512" i="28"/>
  <c r="H520" i="28"/>
  <c r="H528" i="28"/>
  <c r="H536" i="28"/>
  <c r="H544" i="28"/>
  <c r="H552" i="28"/>
  <c r="H560" i="28"/>
  <c r="H568" i="28"/>
  <c r="H576" i="28"/>
  <c r="H584" i="28"/>
  <c r="H592" i="28"/>
  <c r="H600" i="28"/>
  <c r="H608" i="28"/>
  <c r="H616" i="28"/>
  <c r="H624" i="28"/>
  <c r="H632" i="28"/>
  <c r="H640" i="28"/>
  <c r="H648" i="28"/>
  <c r="H656" i="28"/>
  <c r="H664" i="28"/>
  <c r="H672" i="28"/>
  <c r="H680" i="28"/>
  <c r="H9" i="28"/>
  <c r="H27" i="28"/>
  <c r="H50" i="28"/>
  <c r="H73" i="28"/>
  <c r="H91" i="28"/>
  <c r="H114" i="28"/>
  <c r="H137" i="28"/>
  <c r="H155" i="28"/>
  <c r="H10" i="28"/>
  <c r="H33" i="28"/>
  <c r="H51" i="28"/>
  <c r="H74" i="28"/>
  <c r="H97" i="28"/>
  <c r="H115" i="28"/>
  <c r="H138" i="28"/>
  <c r="H161" i="28"/>
  <c r="H179" i="28"/>
  <c r="H202" i="28"/>
  <c r="H225" i="28"/>
  <c r="H243" i="28"/>
  <c r="H266" i="28"/>
  <c r="H289" i="28"/>
  <c r="H307" i="28"/>
  <c r="H330" i="28"/>
  <c r="H353" i="28"/>
  <c r="H371" i="28"/>
  <c r="H394" i="28"/>
  <c r="H417" i="28"/>
  <c r="H435" i="28"/>
  <c r="H458" i="28"/>
  <c r="H481" i="28"/>
  <c r="H499" i="28"/>
  <c r="H522" i="28"/>
  <c r="H545" i="28"/>
  <c r="H563" i="28"/>
  <c r="H586" i="28"/>
  <c r="H609" i="28"/>
  <c r="H627" i="28"/>
  <c r="H650" i="28"/>
  <c r="H666" i="28"/>
  <c r="H682" i="28"/>
  <c r="H690" i="28"/>
  <c r="H698" i="28"/>
  <c r="H706" i="28"/>
  <c r="H714" i="28"/>
  <c r="H722" i="28"/>
  <c r="H730" i="28"/>
  <c r="H738" i="28"/>
  <c r="H746" i="28"/>
  <c r="H754" i="28"/>
  <c r="H762" i="28"/>
  <c r="H770" i="28"/>
  <c r="H778" i="28"/>
  <c r="H786" i="28"/>
  <c r="H794" i="28"/>
  <c r="H802" i="28"/>
  <c r="H810" i="28"/>
  <c r="H818" i="28"/>
  <c r="H826" i="28"/>
  <c r="H834" i="28"/>
  <c r="H842" i="28"/>
  <c r="H850" i="28"/>
  <c r="H858" i="28"/>
  <c r="H866" i="28"/>
  <c r="H874" i="28"/>
  <c r="H882" i="28"/>
  <c r="H890" i="28"/>
  <c r="H898" i="28"/>
  <c r="H906" i="28"/>
  <c r="H914" i="28"/>
  <c r="H922" i="28"/>
  <c r="H930" i="28"/>
  <c r="H938" i="28"/>
  <c r="H946" i="28"/>
  <c r="H954" i="28"/>
  <c r="H962" i="28"/>
  <c r="H970" i="28"/>
  <c r="H978" i="28"/>
  <c r="H986" i="28"/>
  <c r="H994" i="28"/>
  <c r="H1002" i="28"/>
  <c r="H1010" i="28"/>
  <c r="H1018" i="28"/>
  <c r="H1026" i="28"/>
  <c r="H1034" i="28"/>
  <c r="H1042" i="28"/>
  <c r="H1050" i="28"/>
  <c r="H1058" i="28"/>
  <c r="H1066" i="28"/>
  <c r="H1074" i="28"/>
  <c r="H1082" i="28"/>
  <c r="H1090" i="28"/>
  <c r="H1098" i="28"/>
  <c r="H1106" i="28"/>
  <c r="H1114" i="28"/>
  <c r="H1122" i="28"/>
  <c r="H1130" i="28"/>
  <c r="H1138" i="28"/>
  <c r="H1146" i="28"/>
  <c r="H1154" i="28"/>
  <c r="H1162" i="28"/>
  <c r="H1170" i="28"/>
  <c r="H1178" i="28"/>
  <c r="H1186" i="28"/>
  <c r="H1194" i="28"/>
  <c r="H11" i="28"/>
  <c r="H34" i="28"/>
  <c r="H57" i="28"/>
  <c r="H75" i="28"/>
  <c r="H98" i="28"/>
  <c r="H121" i="28"/>
  <c r="H139" i="28"/>
  <c r="H162" i="28"/>
  <c r="H185" i="28"/>
  <c r="H203" i="28"/>
  <c r="H226" i="28"/>
  <c r="H249" i="28"/>
  <c r="H267" i="28"/>
  <c r="H290" i="28"/>
  <c r="H313" i="28"/>
  <c r="H331" i="28"/>
  <c r="H354" i="28"/>
  <c r="H377" i="28"/>
  <c r="H395" i="28"/>
  <c r="H418" i="28"/>
  <c r="H441" i="28"/>
  <c r="H459" i="28"/>
  <c r="H482" i="28"/>
  <c r="H505" i="28"/>
  <c r="H523" i="28"/>
  <c r="H546" i="28"/>
  <c r="H569" i="28"/>
  <c r="H587" i="28"/>
  <c r="H610" i="28"/>
  <c r="H633" i="28"/>
  <c r="H651" i="28"/>
  <c r="H667" i="28"/>
  <c r="H683" i="28"/>
  <c r="H691" i="28"/>
  <c r="H699" i="28"/>
  <c r="H707" i="28"/>
  <c r="H715" i="28"/>
  <c r="H723" i="28"/>
  <c r="H731" i="28"/>
  <c r="H739" i="28"/>
  <c r="H747" i="28"/>
  <c r="H755" i="28"/>
  <c r="H763" i="28"/>
  <c r="H771" i="28"/>
  <c r="H779" i="28"/>
  <c r="H787" i="28"/>
  <c r="H795" i="28"/>
  <c r="H803" i="28"/>
  <c r="H811" i="28"/>
  <c r="H819" i="28"/>
  <c r="H827" i="28"/>
  <c r="H835" i="28"/>
  <c r="H843" i="28"/>
  <c r="H851" i="28"/>
  <c r="H859" i="28"/>
  <c r="H867" i="28"/>
  <c r="H875" i="28"/>
  <c r="H883" i="28"/>
  <c r="H891" i="28"/>
  <c r="H899" i="28"/>
  <c r="H907" i="28"/>
  <c r="H915" i="28"/>
  <c r="H923" i="28"/>
  <c r="H931" i="28"/>
  <c r="H939" i="28"/>
  <c r="H947" i="28"/>
  <c r="H955" i="28"/>
  <c r="H963" i="28"/>
  <c r="H971" i="28"/>
  <c r="H979" i="28"/>
  <c r="H987" i="28"/>
  <c r="H995" i="28"/>
  <c r="H1003" i="28"/>
  <c r="H1011" i="28"/>
  <c r="H1019" i="28"/>
  <c r="H1027" i="28"/>
  <c r="H1035" i="28"/>
  <c r="H1043" i="28"/>
  <c r="H1051" i="28"/>
  <c r="H1059" i="28"/>
  <c r="H17" i="28"/>
  <c r="H35" i="28"/>
  <c r="H58" i="28"/>
  <c r="H81" i="28"/>
  <c r="H99" i="28"/>
  <c r="H122" i="28"/>
  <c r="H145" i="28"/>
  <c r="H163" i="28"/>
  <c r="H19" i="28"/>
  <c r="H42" i="28"/>
  <c r="H65" i="28"/>
  <c r="H83" i="28"/>
  <c r="H106" i="28"/>
  <c r="H129" i="28"/>
  <c r="H147" i="28"/>
  <c r="H170" i="28"/>
  <c r="H193" i="28"/>
  <c r="H211" i="28"/>
  <c r="H234" i="28"/>
  <c r="H257" i="28"/>
  <c r="H275" i="28"/>
  <c r="H298" i="28"/>
  <c r="H321" i="28"/>
  <c r="H339" i="28"/>
  <c r="H362" i="28"/>
  <c r="H385" i="28"/>
  <c r="H403" i="28"/>
  <c r="H426" i="28"/>
  <c r="H449" i="28"/>
  <c r="H467" i="28"/>
  <c r="H490" i="28"/>
  <c r="H513" i="28"/>
  <c r="H531" i="28"/>
  <c r="H554" i="28"/>
  <c r="H577" i="28"/>
  <c r="H595" i="28"/>
  <c r="H618" i="28"/>
  <c r="H641" i="28"/>
  <c r="H658" i="28"/>
  <c r="H674" i="28"/>
  <c r="H686" i="28"/>
  <c r="H694" i="28"/>
  <c r="H702" i="28"/>
  <c r="H710" i="28"/>
  <c r="H718" i="28"/>
  <c r="H726" i="28"/>
  <c r="H734" i="28"/>
  <c r="H742" i="28"/>
  <c r="H750" i="28"/>
  <c r="H758" i="28"/>
  <c r="H766" i="28"/>
  <c r="H774" i="28"/>
  <c r="H782" i="28"/>
  <c r="H790" i="28"/>
  <c r="H798" i="28"/>
  <c r="H806" i="28"/>
  <c r="H814" i="28"/>
  <c r="H822" i="28"/>
  <c r="H830" i="28"/>
  <c r="H838" i="28"/>
  <c r="H846" i="28"/>
  <c r="H854" i="28"/>
  <c r="H862" i="28"/>
  <c r="H870" i="28"/>
  <c r="H878" i="28"/>
  <c r="H886" i="28"/>
  <c r="H894" i="28"/>
  <c r="H902" i="28"/>
  <c r="H910" i="28"/>
  <c r="H918" i="28"/>
  <c r="H926" i="28"/>
  <c r="H934" i="28"/>
  <c r="H942" i="28"/>
  <c r="H950" i="28"/>
  <c r="H958" i="28"/>
  <c r="H966" i="28"/>
  <c r="H974" i="28"/>
  <c r="H982" i="28"/>
  <c r="H990" i="28"/>
  <c r="H998" i="28"/>
  <c r="H1006" i="28"/>
  <c r="H1014" i="28"/>
  <c r="H1022" i="28"/>
  <c r="H1030" i="28"/>
  <c r="H1038" i="28"/>
  <c r="H1046" i="28"/>
  <c r="H1054" i="28"/>
  <c r="H1062" i="28"/>
  <c r="H1070" i="28"/>
  <c r="H1078" i="28"/>
  <c r="H1086" i="28"/>
  <c r="H1094" i="28"/>
  <c r="H1102" i="28"/>
  <c r="H18" i="28"/>
  <c r="H67" i="28"/>
  <c r="H130" i="28"/>
  <c r="H178" i="28"/>
  <c r="H217" i="28"/>
  <c r="H250" i="28"/>
  <c r="H282" i="28"/>
  <c r="H315" i="28"/>
  <c r="H347" i="28"/>
  <c r="H386" i="28"/>
  <c r="H419" i="28"/>
  <c r="H451" i="28"/>
  <c r="H489" i="28"/>
  <c r="H521" i="28"/>
  <c r="H555" i="28"/>
  <c r="H41" i="28"/>
  <c r="H90" i="28"/>
  <c r="H153" i="28"/>
  <c r="H194" i="28"/>
  <c r="H227" i="28"/>
  <c r="H259" i="28"/>
  <c r="H297" i="28"/>
  <c r="H329" i="28"/>
  <c r="H363" i="28"/>
  <c r="H401" i="28"/>
  <c r="H433" i="28"/>
  <c r="H466" i="28"/>
  <c r="H498" i="28"/>
  <c r="H537" i="28"/>
  <c r="H570" i="28"/>
  <c r="H602" i="28"/>
  <c r="H635" i="28"/>
  <c r="H665" i="28"/>
  <c r="H687" i="28"/>
  <c r="H700" i="28"/>
  <c r="H712" i="28"/>
  <c r="H725" i="28"/>
  <c r="H737" i="28"/>
  <c r="H751" i="28"/>
  <c r="H764" i="28"/>
  <c r="H776" i="28"/>
  <c r="H789" i="28"/>
  <c r="H801" i="28"/>
  <c r="H815" i="28"/>
  <c r="H828" i="28"/>
  <c r="H840" i="28"/>
  <c r="H853" i="28"/>
  <c r="H865" i="28"/>
  <c r="H879" i="28"/>
  <c r="H892" i="28"/>
  <c r="H904" i="28"/>
  <c r="H917" i="28"/>
  <c r="H929" i="28"/>
  <c r="H943" i="28"/>
  <c r="H956" i="28"/>
  <c r="H968" i="28"/>
  <c r="H981" i="28"/>
  <c r="H993" i="28"/>
  <c r="H1007" i="28"/>
  <c r="H1020" i="28"/>
  <c r="H1032" i="28"/>
  <c r="H1045" i="28"/>
  <c r="H1057" i="28"/>
  <c r="H1069" i="28"/>
  <c r="H1080" i="28"/>
  <c r="H1091" i="28"/>
  <c r="H1101" i="28"/>
  <c r="H1111" i="28"/>
  <c r="H1120" i="28"/>
  <c r="H1129" i="28"/>
  <c r="H1139" i="28"/>
  <c r="H1148" i="28"/>
  <c r="H1157" i="28"/>
  <c r="H1166" i="28"/>
  <c r="H1175" i="28"/>
  <c r="H1184" i="28"/>
  <c r="H1193" i="28"/>
  <c r="H1202" i="28"/>
  <c r="H1210" i="28"/>
  <c r="H1218" i="28"/>
  <c r="H1226" i="28"/>
  <c r="H1234" i="28"/>
  <c r="H1242" i="28"/>
  <c r="H1250" i="28"/>
  <c r="H1258" i="28"/>
  <c r="H1266" i="28"/>
  <c r="H1274" i="28"/>
  <c r="H1282" i="28"/>
  <c r="H1290" i="28"/>
  <c r="H1298" i="28"/>
  <c r="H1306" i="28"/>
  <c r="H1314" i="28"/>
  <c r="H1322" i="28"/>
  <c r="H1330" i="28"/>
  <c r="H1338" i="28"/>
  <c r="H1346" i="28"/>
  <c r="H1354" i="28"/>
  <c r="H1362" i="28"/>
  <c r="H1370" i="28"/>
  <c r="H1378" i="28"/>
  <c r="H43" i="28"/>
  <c r="H105" i="28"/>
  <c r="H154" i="28"/>
  <c r="H195" i="28"/>
  <c r="H233" i="28"/>
  <c r="H265" i="28"/>
  <c r="H299" i="28"/>
  <c r="H337" i="28"/>
  <c r="H369" i="28"/>
  <c r="H402" i="28"/>
  <c r="H434" i="28"/>
  <c r="H473" i="28"/>
  <c r="H506" i="28"/>
  <c r="H538" i="28"/>
  <c r="H49" i="28"/>
  <c r="H107" i="28"/>
  <c r="H169" i="28"/>
  <c r="H201" i="28"/>
  <c r="H235" i="28"/>
  <c r="H273" i="28"/>
  <c r="H305" i="28"/>
  <c r="H338" i="28"/>
  <c r="H370" i="28"/>
  <c r="H409" i="28"/>
  <c r="H442" i="28"/>
  <c r="H474" i="28"/>
  <c r="H507" i="28"/>
  <c r="H539" i="28"/>
  <c r="H578" i="28"/>
  <c r="H611" i="28"/>
  <c r="H643" i="28"/>
  <c r="H673" i="28"/>
  <c r="H689" i="28"/>
  <c r="H703" i="28"/>
  <c r="H716" i="28"/>
  <c r="H728" i="28"/>
  <c r="H741" i="28"/>
  <c r="H753" i="28"/>
  <c r="H767" i="28"/>
  <c r="H780" i="28"/>
  <c r="H792" i="28"/>
  <c r="H805" i="28"/>
  <c r="H817" i="28"/>
  <c r="H831" i="28"/>
  <c r="H844" i="28"/>
  <c r="H856" i="28"/>
  <c r="H869" i="28"/>
  <c r="H881" i="28"/>
  <c r="H895" i="28"/>
  <c r="H908" i="28"/>
  <c r="H920" i="28"/>
  <c r="H933" i="28"/>
  <c r="H945" i="28"/>
  <c r="H959" i="28"/>
  <c r="H972" i="28"/>
  <c r="H984" i="28"/>
  <c r="H997" i="28"/>
  <c r="H1009" i="28"/>
  <c r="H1023" i="28"/>
  <c r="H1036" i="28"/>
  <c r="H1048" i="28"/>
  <c r="H1061" i="28"/>
  <c r="H1072" i="28"/>
  <c r="H1083" i="28"/>
  <c r="H1093" i="28"/>
  <c r="H1104" i="28"/>
  <c r="H1113" i="28"/>
  <c r="H1123" i="28"/>
  <c r="H1132" i="28"/>
  <c r="H1141" i="28"/>
  <c r="H1150" i="28"/>
  <c r="H1159" i="28"/>
  <c r="H1168" i="28"/>
  <c r="H1177" i="28"/>
  <c r="H1187" i="28"/>
  <c r="H1196" i="28"/>
  <c r="H1204" i="28"/>
  <c r="H1212" i="28"/>
  <c r="H1220" i="28"/>
  <c r="H1228" i="28"/>
  <c r="H1236" i="28"/>
  <c r="H1244" i="28"/>
  <c r="H1252" i="28"/>
  <c r="H1260" i="28"/>
  <c r="H1268" i="28"/>
  <c r="H1276" i="28"/>
  <c r="H1284" i="28"/>
  <c r="H1292" i="28"/>
  <c r="H1300" i="28"/>
  <c r="H1308" i="28"/>
  <c r="H1316" i="28"/>
  <c r="H1324" i="28"/>
  <c r="H1332" i="28"/>
  <c r="H1340" i="28"/>
  <c r="H1348" i="28"/>
  <c r="H25" i="28"/>
  <c r="H131" i="28"/>
  <c r="H218" i="28"/>
  <c r="H283" i="28"/>
  <c r="H355" i="28"/>
  <c r="H425" i="28"/>
  <c r="H491" i="28"/>
  <c r="H26" i="28"/>
  <c r="H146" i="28"/>
  <c r="H219" i="28"/>
  <c r="H291" i="28"/>
  <c r="H361" i="28"/>
  <c r="H427" i="28"/>
  <c r="H497" i="28"/>
  <c r="H59" i="28"/>
  <c r="H171" i="28"/>
  <c r="H241" i="28"/>
  <c r="H306" i="28"/>
  <c r="H378" i="28"/>
  <c r="H443" i="28"/>
  <c r="H514" i="28"/>
  <c r="H571" i="28"/>
  <c r="H619" i="28"/>
  <c r="H659" i="28"/>
  <c r="H688" i="28"/>
  <c r="H705" i="28"/>
  <c r="H721" i="28"/>
  <c r="H740" i="28"/>
  <c r="H757" i="28"/>
  <c r="H773" i="28"/>
  <c r="H791" i="28"/>
  <c r="H808" i="28"/>
  <c r="H824" i="28"/>
  <c r="H841" i="28"/>
  <c r="H860" i="28"/>
  <c r="H876" i="28"/>
  <c r="H893" i="28"/>
  <c r="H911" i="28"/>
  <c r="H927" i="28"/>
  <c r="H944" i="28"/>
  <c r="H961" i="28"/>
  <c r="H977" i="28"/>
  <c r="H996" i="28"/>
  <c r="H1013" i="28"/>
  <c r="H1029" i="28"/>
  <c r="H1047" i="28"/>
  <c r="H1064" i="28"/>
  <c r="H1077" i="28"/>
  <c r="H1092" i="28"/>
  <c r="H1107" i="28"/>
  <c r="H1118" i="28"/>
  <c r="H1131" i="28"/>
  <c r="H1143" i="28"/>
  <c r="H1155" i="28"/>
  <c r="H1167" i="28"/>
  <c r="H1180" i="28"/>
  <c r="H1191" i="28"/>
  <c r="H1203" i="28"/>
  <c r="H1214" i="28"/>
  <c r="H1224" i="28"/>
  <c r="H1235" i="28"/>
  <c r="H1246" i="28"/>
  <c r="H1256" i="28"/>
  <c r="H1267" i="28"/>
  <c r="H1278" i="28"/>
  <c r="H1288" i="28"/>
  <c r="H1299" i="28"/>
  <c r="H1310" i="28"/>
  <c r="H1320" i="28"/>
  <c r="H1331" i="28"/>
  <c r="H1342" i="28"/>
  <c r="H1352" i="28"/>
  <c r="H1361" i="28"/>
  <c r="H1371" i="28"/>
  <c r="H1380" i="28"/>
  <c r="H1388" i="28"/>
  <c r="H1396" i="28"/>
  <c r="H1404" i="28"/>
  <c r="H1412" i="28"/>
  <c r="H1420" i="28"/>
  <c r="H1428" i="28"/>
  <c r="H1436" i="28"/>
  <c r="H1444" i="28"/>
  <c r="H1452" i="28"/>
  <c r="H1460" i="28"/>
  <c r="H1468" i="28"/>
  <c r="H1476" i="28"/>
  <c r="H1484" i="28"/>
  <c r="H1492" i="28"/>
  <c r="H1500" i="28"/>
  <c r="H1508" i="28"/>
  <c r="H1516" i="28"/>
  <c r="H1524" i="28"/>
  <c r="H1532" i="28"/>
  <c r="H1540" i="28"/>
  <c r="H1548" i="28"/>
  <c r="H1556" i="28"/>
  <c r="H1564" i="28"/>
  <c r="H1572" i="28"/>
  <c r="H66" i="28"/>
  <c r="H177" i="28"/>
  <c r="H242" i="28"/>
  <c r="H314" i="28"/>
  <c r="H379" i="28"/>
  <c r="H450" i="28"/>
  <c r="H515" i="28"/>
  <c r="H579" i="28"/>
  <c r="H625" i="28"/>
  <c r="H662" i="28"/>
  <c r="H692" i="28"/>
  <c r="H708" i="28"/>
  <c r="H724" i="28"/>
  <c r="H743" i="28"/>
  <c r="H759" i="28"/>
  <c r="H775" i="28"/>
  <c r="H793" i="28"/>
  <c r="H809" i="28"/>
  <c r="H825" i="28"/>
  <c r="H845" i="28"/>
  <c r="H861" i="28"/>
  <c r="H877" i="28"/>
  <c r="H896" i="28"/>
  <c r="H912" i="28"/>
  <c r="H928" i="28"/>
  <c r="H948" i="28"/>
  <c r="H964" i="28"/>
  <c r="H980" i="28"/>
  <c r="H999" i="28"/>
  <c r="H1015" i="28"/>
  <c r="H1031" i="28"/>
  <c r="H1049" i="28"/>
  <c r="H1065" i="28"/>
  <c r="H1079" i="28"/>
  <c r="H1095" i="28"/>
  <c r="H1108" i="28"/>
  <c r="H1119" i="28"/>
  <c r="H1133" i="28"/>
  <c r="H1144" i="28"/>
  <c r="H1156" i="28"/>
  <c r="H1169" i="28"/>
  <c r="H1181" i="28"/>
  <c r="H1192" i="28"/>
  <c r="H1205" i="28"/>
  <c r="H1215" i="28"/>
  <c r="H1225" i="28"/>
  <c r="H1237" i="28"/>
  <c r="H1247" i="28"/>
  <c r="H1257" i="28"/>
  <c r="H1269" i="28"/>
  <c r="H1279" i="28"/>
  <c r="H1289" i="28"/>
  <c r="H1301" i="28"/>
  <c r="H1311" i="28"/>
  <c r="H1321" i="28"/>
  <c r="H1333" i="28"/>
  <c r="H1343" i="28"/>
  <c r="H1353" i="28"/>
  <c r="H1363" i="28"/>
  <c r="H1372" i="28"/>
  <c r="H1381" i="28"/>
  <c r="H1389" i="28"/>
  <c r="H1397" i="28"/>
  <c r="H1405" i="28"/>
  <c r="H1413" i="28"/>
  <c r="H1421" i="28"/>
  <c r="H1429" i="28"/>
  <c r="H1437" i="28"/>
  <c r="H1445" i="28"/>
  <c r="H1453" i="28"/>
  <c r="H1461" i="28"/>
  <c r="H1469" i="28"/>
  <c r="H1477" i="28"/>
  <c r="H1485" i="28"/>
  <c r="H1493" i="28"/>
  <c r="H1501" i="28"/>
  <c r="H1509" i="28"/>
  <c r="H1517" i="28"/>
  <c r="H1525" i="28"/>
  <c r="H1533" i="28"/>
  <c r="H1541" i="28"/>
  <c r="H1549" i="28"/>
  <c r="H1557" i="28"/>
  <c r="H1565" i="28"/>
  <c r="H1573" i="28"/>
  <c r="H82" i="28"/>
  <c r="H186" i="28"/>
  <c r="H251" i="28"/>
  <c r="H322" i="28"/>
  <c r="H387" i="28"/>
  <c r="H457" i="28"/>
  <c r="H529" i="28"/>
  <c r="H585" i="28"/>
  <c r="H626" i="28"/>
  <c r="H670" i="28"/>
  <c r="H693" i="28"/>
  <c r="H709" i="28"/>
  <c r="H727" i="28"/>
  <c r="H744" i="28"/>
  <c r="H760" i="28"/>
  <c r="H777" i="28"/>
  <c r="H796" i="28"/>
  <c r="H812" i="28"/>
  <c r="H829" i="28"/>
  <c r="H847" i="28"/>
  <c r="H863" i="28"/>
  <c r="H880" i="28"/>
  <c r="H897" i="28"/>
  <c r="H913" i="28"/>
  <c r="H932" i="28"/>
  <c r="H949" i="28"/>
  <c r="H965" i="28"/>
  <c r="H983" i="28"/>
  <c r="H1000" i="28"/>
  <c r="H1016" i="28"/>
  <c r="H1033" i="28"/>
  <c r="H1052" i="28"/>
  <c r="H1067" i="28"/>
  <c r="H1081" i="28"/>
  <c r="H1096" i="28"/>
  <c r="H1109" i="28"/>
  <c r="H1121" i="28"/>
  <c r="H1134" i="28"/>
  <c r="H1145" i="28"/>
  <c r="H1158" i="28"/>
  <c r="H1171" i="28"/>
  <c r="H1182" i="28"/>
  <c r="H1195" i="28"/>
  <c r="H1206" i="28"/>
  <c r="H1216" i="28"/>
  <c r="H1227" i="28"/>
  <c r="H1238" i="28"/>
  <c r="H1248" i="28"/>
  <c r="H1259" i="28"/>
  <c r="H1270" i="28"/>
  <c r="H1280" i="28"/>
  <c r="H1291" i="28"/>
  <c r="H1302" i="28"/>
  <c r="H1312" i="28"/>
  <c r="H1323" i="28"/>
  <c r="H1334" i="28"/>
  <c r="H1344" i="28"/>
  <c r="H1355" i="28"/>
  <c r="H1364" i="28"/>
  <c r="H1373" i="28"/>
  <c r="H1382" i="28"/>
  <c r="H1390" i="28"/>
  <c r="H1398" i="28"/>
  <c r="H1406" i="28"/>
  <c r="H1414" i="28"/>
  <c r="H1422" i="28"/>
  <c r="H1430" i="28"/>
  <c r="H1438" i="28"/>
  <c r="H1446" i="28"/>
  <c r="H1454" i="28"/>
  <c r="H1462" i="28"/>
  <c r="H1470" i="28"/>
  <c r="H1478" i="28"/>
  <c r="H1486" i="28"/>
  <c r="H1494" i="28"/>
  <c r="H1502" i="28"/>
  <c r="H1510" i="28"/>
  <c r="H1518" i="28"/>
  <c r="H1526" i="28"/>
  <c r="H1534" i="28"/>
  <c r="H1542" i="28"/>
  <c r="H1550" i="28"/>
  <c r="H1558" i="28"/>
  <c r="H1566" i="28"/>
  <c r="H1574" i="28"/>
  <c r="H123" i="28"/>
  <c r="H210" i="28"/>
  <c r="H281" i="28"/>
  <c r="H346" i="28"/>
  <c r="H411" i="28"/>
  <c r="H483" i="28"/>
  <c r="H553" i="28"/>
  <c r="H601" i="28"/>
  <c r="H649" i="28"/>
  <c r="H681" i="28"/>
  <c r="H697" i="28"/>
  <c r="H717" i="28"/>
  <c r="H733" i="28"/>
  <c r="H749" i="28"/>
  <c r="H768" i="28"/>
  <c r="H784" i="28"/>
  <c r="H800" i="28"/>
  <c r="H820" i="28"/>
  <c r="H836" i="28"/>
  <c r="H852" i="28"/>
  <c r="H871" i="28"/>
  <c r="H887" i="28"/>
  <c r="H903" i="28"/>
  <c r="H921" i="28"/>
  <c r="H937" i="28"/>
  <c r="H953" i="28"/>
  <c r="H973" i="28"/>
  <c r="H989" i="28"/>
  <c r="H1005" i="28"/>
  <c r="H1024" i="28"/>
  <c r="H1040" i="28"/>
  <c r="H1056" i="28"/>
  <c r="H1073" i="28"/>
  <c r="H1087" i="28"/>
  <c r="H1100" i="28"/>
  <c r="H1115" i="28"/>
  <c r="H1126" i="28"/>
  <c r="H1137" i="28"/>
  <c r="H1151" i="28"/>
  <c r="H1163" i="28"/>
  <c r="H1174" i="28"/>
  <c r="H1188" i="28"/>
  <c r="H1199" i="28"/>
  <c r="H1209" i="28"/>
  <c r="H1221" i="28"/>
  <c r="H1231" i="28"/>
  <c r="H1241" i="28"/>
  <c r="H1253" i="28"/>
  <c r="H1263" i="28"/>
  <c r="H1273" i="28"/>
  <c r="H1285" i="28"/>
  <c r="H1295" i="28"/>
  <c r="H1305" i="28"/>
  <c r="H1317" i="28"/>
  <c r="H1327" i="28"/>
  <c r="H1337" i="28"/>
  <c r="H1349" i="28"/>
  <c r="H1358" i="28"/>
  <c r="H1367" i="28"/>
  <c r="H1376" i="28"/>
  <c r="H1385" i="28"/>
  <c r="H1393" i="28"/>
  <c r="H1401" i="28"/>
  <c r="H1409" i="28"/>
  <c r="H1417" i="28"/>
  <c r="H1425" i="28"/>
  <c r="H1433" i="28"/>
  <c r="H1441" i="28"/>
  <c r="H1449" i="28"/>
  <c r="H1457" i="28"/>
  <c r="H1465" i="28"/>
  <c r="H1473" i="28"/>
  <c r="H1481" i="28"/>
  <c r="H1489" i="28"/>
  <c r="H1497" i="28"/>
  <c r="H1505" i="28"/>
  <c r="H1513" i="28"/>
  <c r="H1521" i="28"/>
  <c r="H1529" i="28"/>
  <c r="H1537" i="28"/>
  <c r="H1545" i="28"/>
  <c r="H1553" i="28"/>
  <c r="H1561" i="28"/>
  <c r="H1569" i="28"/>
  <c r="H89" i="28"/>
  <c r="H393" i="28"/>
  <c r="H593" i="28"/>
  <c r="H675" i="28"/>
  <c r="H711" i="28"/>
  <c r="H745" i="28"/>
  <c r="H781" i="28"/>
  <c r="H813" i="28"/>
  <c r="H848" i="28"/>
  <c r="H884" i="28"/>
  <c r="H916" i="28"/>
  <c r="H951" i="28"/>
  <c r="H985" i="28"/>
  <c r="H1017" i="28"/>
  <c r="H1053" i="28"/>
  <c r="H1084" i="28"/>
  <c r="H1110" i="28"/>
  <c r="H1135" i="28"/>
  <c r="H1160" i="28"/>
  <c r="H1183" i="28"/>
  <c r="H1207" i="28"/>
  <c r="H1229" i="28"/>
  <c r="H1249" i="28"/>
  <c r="H1271" i="28"/>
  <c r="H1293" i="28"/>
  <c r="H113" i="28"/>
  <c r="H410" i="28"/>
  <c r="H594" i="28"/>
  <c r="H678" i="28"/>
  <c r="H713" i="28"/>
  <c r="H748" i="28"/>
  <c r="H783" i="28"/>
  <c r="H816" i="28"/>
  <c r="H849" i="28"/>
  <c r="H885" i="28"/>
  <c r="H919" i="28"/>
  <c r="H952" i="28"/>
  <c r="H988" i="28"/>
  <c r="H1021" i="28"/>
  <c r="H1055" i="28"/>
  <c r="H1085" i="28"/>
  <c r="H1112" i="28"/>
  <c r="H1136" i="28"/>
  <c r="H1161" i="28"/>
  <c r="H1185" i="28"/>
  <c r="H1208" i="28"/>
  <c r="H1230" i="28"/>
  <c r="H1251" i="28"/>
  <c r="H1272" i="28"/>
  <c r="H1294" i="28"/>
  <c r="H1315" i="28"/>
  <c r="H1336" i="28"/>
  <c r="H1357" i="28"/>
  <c r="H1375" i="28"/>
  <c r="H1392" i="28"/>
  <c r="H1408" i="28"/>
  <c r="H1424" i="28"/>
  <c r="H1440" i="28"/>
  <c r="H1456" i="28"/>
  <c r="H1472" i="28"/>
  <c r="H1488" i="28"/>
  <c r="H1504" i="28"/>
  <c r="H1520" i="28"/>
  <c r="H1536" i="28"/>
  <c r="H1552" i="28"/>
  <c r="H1568" i="28"/>
  <c r="H1580" i="28"/>
  <c r="H1588" i="28"/>
  <c r="H1596" i="28"/>
  <c r="H1604" i="28"/>
  <c r="H1612" i="28"/>
  <c r="H1620" i="28"/>
  <c r="H1628" i="28"/>
  <c r="H1636" i="28"/>
  <c r="H1644" i="28"/>
  <c r="H1652" i="28"/>
  <c r="H1660" i="28"/>
  <c r="H1668" i="28"/>
  <c r="H1676" i="28"/>
  <c r="H1684" i="28"/>
  <c r="H1692" i="28"/>
  <c r="H1700" i="28"/>
  <c r="H1708" i="28"/>
  <c r="H1716" i="28"/>
  <c r="H1724" i="28"/>
  <c r="H1732" i="28"/>
  <c r="H1740" i="28"/>
  <c r="H1748" i="28"/>
  <c r="H1756" i="28"/>
  <c r="H1764" i="28"/>
  <c r="H1772" i="28"/>
  <c r="H1780" i="28"/>
  <c r="H1788" i="28"/>
  <c r="H1796" i="28"/>
  <c r="H1804" i="28"/>
  <c r="H1812" i="28"/>
  <c r="H1820" i="28"/>
  <c r="H1828" i="28"/>
  <c r="H1836" i="28"/>
  <c r="H1844" i="28"/>
  <c r="H1852" i="28"/>
  <c r="H1860" i="28"/>
  <c r="H1868" i="28"/>
  <c r="H1876" i="28"/>
  <c r="H1884" i="28"/>
  <c r="H1892" i="28"/>
  <c r="H1900" i="28"/>
  <c r="H1908" i="28"/>
  <c r="H1916" i="28"/>
  <c r="H1924" i="28"/>
  <c r="H1932" i="28"/>
  <c r="H1940" i="28"/>
  <c r="H1948" i="28"/>
  <c r="H1956" i="28"/>
  <c r="H1964" i="28"/>
  <c r="H1972" i="28"/>
  <c r="H1980" i="28"/>
  <c r="H1988" i="28"/>
  <c r="H1996" i="28"/>
  <c r="H2004" i="28"/>
  <c r="H2012" i="28"/>
  <c r="H2020" i="28"/>
  <c r="H2028" i="28"/>
  <c r="H2036" i="28"/>
  <c r="H2044" i="28"/>
  <c r="H2052" i="28"/>
  <c r="H2060" i="28"/>
  <c r="H2068" i="28"/>
  <c r="H2076" i="28"/>
  <c r="H2084" i="28"/>
  <c r="H2092" i="28"/>
  <c r="H2100" i="28"/>
  <c r="H2108" i="28"/>
  <c r="H2116" i="28"/>
  <c r="H2124" i="28"/>
  <c r="H2132" i="28"/>
  <c r="H187" i="28"/>
  <c r="H465" i="28"/>
  <c r="H603" i="28"/>
  <c r="H684" i="28"/>
  <c r="H719" i="28"/>
  <c r="H752" i="28"/>
  <c r="H785" i="28"/>
  <c r="H821" i="28"/>
  <c r="H855" i="28"/>
  <c r="H888" i="28"/>
  <c r="H924" i="28"/>
  <c r="H957" i="28"/>
  <c r="H991" i="28"/>
  <c r="H1025" i="28"/>
  <c r="H1060" i="28"/>
  <c r="H1088" i="28"/>
  <c r="H1116" i="28"/>
  <c r="H1140" i="28"/>
  <c r="H1164" i="28"/>
  <c r="H1189" i="28"/>
  <c r="H1211" i="28"/>
  <c r="H1232" i="28"/>
  <c r="H1254" i="28"/>
  <c r="H1275" i="28"/>
  <c r="H1296" i="28"/>
  <c r="H1318" i="28"/>
  <c r="H1339" i="28"/>
  <c r="H1359" i="28"/>
  <c r="H1377" i="28"/>
  <c r="H1394" i="28"/>
  <c r="H1410" i="28"/>
  <c r="H1426" i="28"/>
  <c r="H1442" i="28"/>
  <c r="H1458" i="28"/>
  <c r="H1474" i="28"/>
  <c r="H1490" i="28"/>
  <c r="H1506" i="28"/>
  <c r="H1522" i="28"/>
  <c r="H1538" i="28"/>
  <c r="H1554" i="28"/>
  <c r="H1570" i="28"/>
  <c r="H1581" i="28"/>
  <c r="H1589" i="28"/>
  <c r="H1597" i="28"/>
  <c r="H1605" i="28"/>
  <c r="H1613" i="28"/>
  <c r="H1621" i="28"/>
  <c r="H1629" i="28"/>
  <c r="H1637" i="28"/>
  <c r="H1645" i="28"/>
  <c r="H1653" i="28"/>
  <c r="H1661" i="28"/>
  <c r="H1669" i="28"/>
  <c r="H1677" i="28"/>
  <c r="H1685" i="28"/>
  <c r="H1693" i="28"/>
  <c r="H1701" i="28"/>
  <c r="H1709" i="28"/>
  <c r="H1717" i="28"/>
  <c r="H1725" i="28"/>
  <c r="H1733" i="28"/>
  <c r="H1741" i="28"/>
  <c r="H1749" i="28"/>
  <c r="H1757" i="28"/>
  <c r="H1765" i="28"/>
  <c r="H1773" i="28"/>
  <c r="H1781" i="28"/>
  <c r="H1789" i="28"/>
  <c r="H1797" i="28"/>
  <c r="H1805" i="28"/>
  <c r="H1813" i="28"/>
  <c r="H1821" i="28"/>
  <c r="H1829" i="28"/>
  <c r="H1837" i="28"/>
  <c r="H1845" i="28"/>
  <c r="H1853" i="28"/>
  <c r="H1861" i="28"/>
  <c r="H1869" i="28"/>
  <c r="H1877" i="28"/>
  <c r="H1885" i="28"/>
  <c r="H209" i="28"/>
  <c r="H475" i="28"/>
  <c r="H617" i="28"/>
  <c r="H685" i="28"/>
  <c r="H720" i="28"/>
  <c r="H756" i="28"/>
  <c r="H788" i="28"/>
  <c r="H823" i="28"/>
  <c r="H857" i="28"/>
  <c r="H889" i="28"/>
  <c r="H925" i="28"/>
  <c r="H960" i="28"/>
  <c r="H992" i="28"/>
  <c r="H1028" i="28"/>
  <c r="H1063" i="28"/>
  <c r="H1089" i="28"/>
  <c r="H1117" i="28"/>
  <c r="H1142" i="28"/>
  <c r="H1165" i="28"/>
  <c r="H1190" i="28"/>
  <c r="H1213" i="28"/>
  <c r="H1233" i="28"/>
  <c r="H1255" i="28"/>
  <c r="H1277" i="28"/>
  <c r="H1297" i="28"/>
  <c r="H258" i="28"/>
  <c r="H530" i="28"/>
  <c r="H634" i="28"/>
  <c r="H695" i="28"/>
  <c r="H729" i="28"/>
  <c r="H761" i="28"/>
  <c r="H797" i="28"/>
  <c r="H832" i="28"/>
  <c r="H864" i="28"/>
  <c r="H900" i="28"/>
  <c r="H935" i="28"/>
  <c r="H967" i="28"/>
  <c r="H1001" i="28"/>
  <c r="H1037" i="28"/>
  <c r="H1068" i="28"/>
  <c r="H1097" i="28"/>
  <c r="H1124" i="28"/>
  <c r="H1147" i="28"/>
  <c r="H1172" i="28"/>
  <c r="H1197" i="28"/>
  <c r="H1217" i="28"/>
  <c r="H1239" i="28"/>
  <c r="H1261" i="28"/>
  <c r="H1281" i="28"/>
  <c r="H1303" i="28"/>
  <c r="H1325" i="28"/>
  <c r="H1345" i="28"/>
  <c r="H1365" i="28"/>
  <c r="H1383" i="28"/>
  <c r="H1399" i="28"/>
  <c r="H1415" i="28"/>
  <c r="H1431" i="28"/>
  <c r="H1447" i="28"/>
  <c r="H1463" i="28"/>
  <c r="H1479" i="28"/>
  <c r="H1495" i="28"/>
  <c r="H1511" i="28"/>
  <c r="H1527" i="28"/>
  <c r="H1543" i="28"/>
  <c r="H1559" i="28"/>
  <c r="H1575" i="28"/>
  <c r="H1583" i="28"/>
  <c r="H1591" i="28"/>
  <c r="H1599" i="28"/>
  <c r="H1607" i="28"/>
  <c r="H1615" i="28"/>
  <c r="H1623" i="28"/>
  <c r="H1631" i="28"/>
  <c r="H1639" i="28"/>
  <c r="H1647" i="28"/>
  <c r="H1655" i="28"/>
  <c r="H1663" i="28"/>
  <c r="H1671" i="28"/>
  <c r="H1679" i="28"/>
  <c r="H1687" i="28"/>
  <c r="H1695" i="28"/>
  <c r="H1703" i="28"/>
  <c r="H1711" i="28"/>
  <c r="H1719" i="28"/>
  <c r="H1727" i="28"/>
  <c r="H1735" i="28"/>
  <c r="H1743" i="28"/>
  <c r="H1751" i="28"/>
  <c r="H1759" i="28"/>
  <c r="H1767" i="28"/>
  <c r="H1775" i="28"/>
  <c r="H1783" i="28"/>
  <c r="H1791" i="28"/>
  <c r="H1799" i="28"/>
  <c r="H1807" i="28"/>
  <c r="H1815" i="28"/>
  <c r="H1823" i="28"/>
  <c r="H1831" i="28"/>
  <c r="H1839" i="28"/>
  <c r="H1847" i="28"/>
  <c r="H1855" i="28"/>
  <c r="H1863" i="28"/>
  <c r="H1871" i="28"/>
  <c r="H1879" i="28"/>
  <c r="H1887" i="28"/>
  <c r="H1895" i="28"/>
  <c r="H1903" i="28"/>
  <c r="H1911" i="28"/>
  <c r="H1919" i="28"/>
  <c r="H1927" i="28"/>
  <c r="H274" i="28"/>
  <c r="H547" i="28"/>
  <c r="H642" i="28"/>
  <c r="H696" i="28"/>
  <c r="H732" i="28"/>
  <c r="H765" i="28"/>
  <c r="H799" i="28"/>
  <c r="H833" i="28"/>
  <c r="H868" i="28"/>
  <c r="H901" i="28"/>
  <c r="H936" i="28"/>
  <c r="H969" i="28"/>
  <c r="H1004" i="28"/>
  <c r="H1039" i="28"/>
  <c r="H1071" i="28"/>
  <c r="H1099" i="28"/>
  <c r="H1125" i="28"/>
  <c r="H1149" i="28"/>
  <c r="H1173" i="28"/>
  <c r="H1198" i="28"/>
  <c r="H1219" i="28"/>
  <c r="H1240" i="28"/>
  <c r="H1262" i="28"/>
  <c r="H1283" i="28"/>
  <c r="H1304" i="28"/>
  <c r="H1326" i="28"/>
  <c r="H1347" i="28"/>
  <c r="H1366" i="28"/>
  <c r="H1384" i="28"/>
  <c r="H1400" i="28"/>
  <c r="H1416" i="28"/>
  <c r="H1432" i="28"/>
  <c r="H1448" i="28"/>
  <c r="H1464" i="28"/>
  <c r="H1480" i="28"/>
  <c r="H1496" i="28"/>
  <c r="H1512" i="28"/>
  <c r="H1528" i="28"/>
  <c r="H1544" i="28"/>
  <c r="H1560" i="28"/>
  <c r="H1576" i="28"/>
  <c r="H1584" i="28"/>
  <c r="H1592" i="28"/>
  <c r="H1600" i="28"/>
  <c r="H1608" i="28"/>
  <c r="H1616" i="28"/>
  <c r="H1624" i="28"/>
  <c r="H1632" i="28"/>
  <c r="H1640" i="28"/>
  <c r="H1648" i="28"/>
  <c r="H1656" i="28"/>
  <c r="H1664" i="28"/>
  <c r="H1672" i="28"/>
  <c r="H1680" i="28"/>
  <c r="H1688" i="28"/>
  <c r="H1696" i="28"/>
  <c r="H1704" i="28"/>
  <c r="H1712" i="28"/>
  <c r="H1720" i="28"/>
  <c r="H1728" i="28"/>
  <c r="H1736" i="28"/>
  <c r="H1744" i="28"/>
  <c r="H1752" i="28"/>
  <c r="H1760" i="28"/>
  <c r="H1768" i="28"/>
  <c r="H1776" i="28"/>
  <c r="H1784" i="28"/>
  <c r="H1792" i="28"/>
  <c r="H1800" i="28"/>
  <c r="H1808" i="28"/>
  <c r="H1816" i="28"/>
  <c r="H1824" i="28"/>
  <c r="H1832" i="28"/>
  <c r="H1840" i="28"/>
  <c r="H1848" i="28"/>
  <c r="H1856" i="28"/>
  <c r="H1864" i="28"/>
  <c r="H1872" i="28"/>
  <c r="H1880" i="28"/>
  <c r="H1888" i="28"/>
  <c r="H1896" i="28"/>
  <c r="H1904" i="28"/>
  <c r="H1912" i="28"/>
  <c r="H1920" i="28"/>
  <c r="H1928" i="28"/>
  <c r="H1936" i="28"/>
  <c r="H1944" i="28"/>
  <c r="H1952" i="28"/>
  <c r="H1960" i="28"/>
  <c r="H1968" i="28"/>
  <c r="H1976" i="28"/>
  <c r="H1984" i="28"/>
  <c r="H1992" i="28"/>
  <c r="H2000" i="28"/>
  <c r="H2008" i="28"/>
  <c r="H2016" i="28"/>
  <c r="H2024" i="28"/>
  <c r="H2032" i="28"/>
  <c r="H2040" i="28"/>
  <c r="H2048" i="28"/>
  <c r="H2056" i="28"/>
  <c r="H2064" i="28"/>
  <c r="H2072" i="28"/>
  <c r="H2080" i="28"/>
  <c r="H2088" i="28"/>
  <c r="H2096" i="28"/>
  <c r="H2104" i="28"/>
  <c r="H2112" i="28"/>
  <c r="H2120" i="28"/>
  <c r="H2128" i="28"/>
  <c r="H2136" i="28"/>
  <c r="H2320" i="28"/>
  <c r="H2312" i="28"/>
  <c r="H2304" i="28"/>
  <c r="H2296" i="28"/>
  <c r="H2288" i="28"/>
  <c r="H2280" i="28"/>
  <c r="H2272" i="28"/>
  <c r="H2264" i="28"/>
  <c r="H2256" i="28"/>
  <c r="H2248" i="28"/>
  <c r="H2240" i="28"/>
  <c r="H2232" i="28"/>
  <c r="H2224" i="28"/>
  <c r="H2216" i="28"/>
  <c r="H2208" i="28"/>
  <c r="H2200" i="28"/>
  <c r="H2192" i="28"/>
  <c r="H2184" i="28"/>
  <c r="H2176" i="28"/>
  <c r="H2168" i="28"/>
  <c r="H2160" i="28"/>
  <c r="H2152" i="28"/>
  <c r="H2144" i="28"/>
  <c r="H2135" i="28"/>
  <c r="H2125" i="28"/>
  <c r="H2114" i="28"/>
  <c r="H2103" i="28"/>
  <c r="H2093" i="28"/>
  <c r="H2082" i="28"/>
  <c r="H2071" i="28"/>
  <c r="H2061" i="28"/>
  <c r="H2050" i="28"/>
  <c r="H2039" i="28"/>
  <c r="H2029" i="28"/>
  <c r="H2018" i="28"/>
  <c r="H2007" i="28"/>
  <c r="H1997" i="28"/>
  <c r="H1986" i="28"/>
  <c r="H1975" i="28"/>
  <c r="H1965" i="28"/>
  <c r="H1954" i="28"/>
  <c r="H1943" i="28"/>
  <c r="H1933" i="28"/>
  <c r="H1921" i="28"/>
  <c r="H1907" i="28"/>
  <c r="H1894" i="28"/>
  <c r="H1881" i="28"/>
  <c r="H1865" i="28"/>
  <c r="H1849" i="28"/>
  <c r="H1833" i="28"/>
  <c r="H1817" i="28"/>
  <c r="H1801" i="28"/>
  <c r="H1785" i="28"/>
  <c r="H1769" i="28"/>
  <c r="H1753" i="28"/>
  <c r="H1737" i="28"/>
  <c r="H1721" i="28"/>
  <c r="H1705" i="28"/>
  <c r="H1689" i="28"/>
  <c r="H1673" i="28"/>
  <c r="H1657" i="28"/>
  <c r="H1641" i="28"/>
  <c r="H1625" i="28"/>
  <c r="H1609" i="28"/>
  <c r="H1593" i="28"/>
  <c r="H1577" i="28"/>
  <c r="H1546" i="28"/>
  <c r="H1514" i="28"/>
  <c r="H1482" i="28"/>
  <c r="H1450" i="28"/>
  <c r="H1418" i="28"/>
  <c r="H1386" i="28"/>
  <c r="H1350" i="28"/>
  <c r="H1307" i="28"/>
  <c r="H1222" i="28"/>
  <c r="H1127" i="28"/>
  <c r="H1008" i="28"/>
  <c r="H872" i="28"/>
  <c r="H735" i="28"/>
  <c r="H323" i="28"/>
  <c r="J4" i="34"/>
  <c r="K4" i="34"/>
  <c r="E30" i="33"/>
  <c r="K37" i="33"/>
  <c r="C33" i="33"/>
  <c r="D30" i="33"/>
  <c r="H10003" i="28"/>
  <c r="H9995" i="28"/>
  <c r="H9987" i="28"/>
  <c r="H9979" i="28"/>
  <c r="H9971" i="28"/>
  <c r="H9963" i="28"/>
  <c r="H9955" i="28"/>
  <c r="H9947" i="28"/>
  <c r="H9939" i="28"/>
  <c r="H9931" i="28"/>
  <c r="H9923" i="28"/>
  <c r="H9915" i="28"/>
  <c r="H9907" i="28"/>
  <c r="H9899" i="28"/>
  <c r="H9891" i="28"/>
  <c r="H9883" i="28"/>
  <c r="H9875" i="28"/>
  <c r="H9867" i="28"/>
  <c r="H9859" i="28"/>
  <c r="H9851" i="28"/>
  <c r="H9843" i="28"/>
  <c r="H9835" i="28"/>
  <c r="H9827" i="28"/>
  <c r="H9819" i="28"/>
  <c r="H9811" i="28"/>
  <c r="H9803" i="28"/>
  <c r="H9795" i="28"/>
  <c r="H9787" i="28"/>
  <c r="H9779" i="28"/>
  <c r="H9771" i="28"/>
  <c r="H9763" i="28"/>
  <c r="H9755" i="28"/>
  <c r="H9747" i="28"/>
  <c r="H9739" i="28"/>
  <c r="H9731" i="28"/>
  <c r="H9723" i="28"/>
  <c r="H9715" i="28"/>
  <c r="H9707" i="28"/>
  <c r="H9699" i="28"/>
  <c r="H9691" i="28"/>
  <c r="H9683" i="28"/>
  <c r="H9675" i="28"/>
  <c r="H9667" i="28"/>
  <c r="H9659" i="28"/>
  <c r="H9651" i="28"/>
  <c r="H9643" i="28"/>
  <c r="H9635" i="28"/>
  <c r="H9627" i="28"/>
  <c r="H9619" i="28"/>
  <c r="H9611" i="28"/>
  <c r="H9603" i="28"/>
  <c r="H9595" i="28"/>
  <c r="H9587" i="28"/>
  <c r="H9579" i="28"/>
  <c r="H9571" i="28"/>
  <c r="H9563" i="28"/>
  <c r="H9555" i="28"/>
  <c r="H9547" i="28"/>
  <c r="H9539" i="28"/>
  <c r="H9531" i="28"/>
  <c r="H9523" i="28"/>
  <c r="H9515" i="28"/>
  <c r="H9507" i="28"/>
  <c r="H9499" i="28"/>
  <c r="H9491" i="28"/>
  <c r="H9483" i="28"/>
  <c r="H9475" i="28"/>
  <c r="H9467" i="28"/>
  <c r="H9459" i="28"/>
  <c r="H9451" i="28"/>
  <c r="H9443" i="28"/>
  <c r="H9435" i="28"/>
  <c r="H9427" i="28"/>
  <c r="H9419" i="28"/>
  <c r="H9411" i="28"/>
  <c r="H9403" i="28"/>
  <c r="H9395" i="28"/>
  <c r="H9387" i="28"/>
  <c r="H9379" i="28"/>
  <c r="H9371" i="28"/>
  <c r="H9363" i="28"/>
  <c r="H9355" i="28"/>
  <c r="H9347" i="28"/>
  <c r="H9339" i="28"/>
  <c r="H9331" i="28"/>
  <c r="H10002" i="28"/>
  <c r="H9994" i="28"/>
  <c r="H9986" i="28"/>
  <c r="H9978" i="28"/>
  <c r="H9970" i="28"/>
  <c r="H9962" i="28"/>
  <c r="H9954" i="28"/>
  <c r="H9946" i="28"/>
  <c r="H9938" i="28"/>
  <c r="H9930" i="28"/>
  <c r="H9922" i="28"/>
  <c r="H9914" i="28"/>
  <c r="H9906" i="28"/>
  <c r="H9898" i="28"/>
  <c r="H9890" i="28"/>
  <c r="H9882" i="28"/>
  <c r="H9874" i="28"/>
  <c r="H9866" i="28"/>
  <c r="H9858" i="28"/>
  <c r="H9850" i="28"/>
  <c r="H9842" i="28"/>
  <c r="H9834" i="28"/>
  <c r="H9826" i="28"/>
  <c r="H9818" i="28"/>
  <c r="H9810" i="28"/>
  <c r="H9802" i="28"/>
  <c r="H9794" i="28"/>
  <c r="H9786" i="28"/>
  <c r="H9778" i="28"/>
  <c r="H9770" i="28"/>
  <c r="H9762" i="28"/>
  <c r="H9754" i="28"/>
  <c r="H9746" i="28"/>
  <c r="H9738" i="28"/>
  <c r="H9730" i="28"/>
  <c r="H9722" i="28"/>
  <c r="H9714" i="28"/>
  <c r="H9706" i="28"/>
  <c r="H9698" i="28"/>
  <c r="H9690" i="28"/>
  <c r="H9682" i="28"/>
  <c r="H9674" i="28"/>
  <c r="H9666" i="28"/>
  <c r="H9658" i="28"/>
  <c r="H9650" i="28"/>
  <c r="H9642" i="28"/>
  <c r="H9634" i="28"/>
  <c r="H9626" i="28"/>
  <c r="H9618" i="28"/>
  <c r="H9610" i="28"/>
  <c r="H10001" i="28"/>
  <c r="H9993" i="28"/>
  <c r="H9985" i="28"/>
  <c r="H9977" i="28"/>
  <c r="H9969" i="28"/>
  <c r="H9961" i="28"/>
  <c r="H9953" i="28"/>
  <c r="H9945" i="28"/>
  <c r="H9937" i="28"/>
  <c r="H9929" i="28"/>
  <c r="H9921" i="28"/>
  <c r="H9913" i="28"/>
  <c r="H9905" i="28"/>
  <c r="H9897" i="28"/>
  <c r="H9889" i="28"/>
  <c r="H9881" i="28"/>
  <c r="H9873" i="28"/>
  <c r="H9865" i="28"/>
  <c r="H9857" i="28"/>
  <c r="H9849" i="28"/>
  <c r="H9841" i="28"/>
  <c r="H9833" i="28"/>
  <c r="H9825" i="28"/>
  <c r="H9817" i="28"/>
  <c r="H9809" i="28"/>
  <c r="H9801" i="28"/>
  <c r="H9793" i="28"/>
  <c r="H9785" i="28"/>
  <c r="H9777" i="28"/>
  <c r="H9769" i="28"/>
  <c r="H9761" i="28"/>
  <c r="H9753" i="28"/>
  <c r="H9745" i="28"/>
  <c r="H9737" i="28"/>
  <c r="H9729" i="28"/>
  <c r="H9721" i="28"/>
  <c r="H9713" i="28"/>
  <c r="H9705" i="28"/>
  <c r="H9697" i="28"/>
  <c r="H9689" i="28"/>
  <c r="H9681" i="28"/>
  <c r="H9673" i="28"/>
  <c r="H9665" i="28"/>
  <c r="H9657" i="28"/>
  <c r="H9649" i="28"/>
  <c r="H9641" i="28"/>
  <c r="H9633" i="28"/>
  <c r="H9625" i="28"/>
  <c r="H9617" i="28"/>
  <c r="H9609" i="28"/>
  <c r="H9601" i="28"/>
  <c r="H9593" i="28"/>
  <c r="H9585" i="28"/>
  <c r="H9577" i="28"/>
  <c r="H9569" i="28"/>
  <c r="H9561" i="28"/>
  <c r="H9553" i="28"/>
  <c r="H9545" i="28"/>
  <c r="H9537" i="28"/>
  <c r="H9529" i="28"/>
  <c r="H9521" i="28"/>
  <c r="H9513" i="28"/>
  <c r="H9505" i="28"/>
  <c r="H9497" i="28"/>
  <c r="H9489" i="28"/>
  <c r="H9481" i="28"/>
  <c r="H9473" i="28"/>
  <c r="H9465" i="28"/>
  <c r="H9457" i="28"/>
  <c r="H9449" i="28"/>
  <c r="H9441" i="28"/>
  <c r="H9433" i="28"/>
  <c r="H9425" i="28"/>
  <c r="H9417" i="28"/>
  <c r="H9409" i="28"/>
  <c r="H9401" i="28"/>
  <c r="H9393" i="28"/>
  <c r="H9385" i="28"/>
  <c r="H9377" i="28"/>
  <c r="H9369" i="28"/>
  <c r="H9361" i="28"/>
  <c r="H9353" i="28"/>
  <c r="H9345" i="28"/>
  <c r="H9337" i="28"/>
  <c r="H10000" i="28"/>
  <c r="H9992" i="28"/>
  <c r="H9984" i="28"/>
  <c r="H9976" i="28"/>
  <c r="H9968" i="28"/>
  <c r="H9960" i="28"/>
  <c r="H9952" i="28"/>
  <c r="H9944" i="28"/>
  <c r="H9936" i="28"/>
  <c r="H9928" i="28"/>
  <c r="H9920" i="28"/>
  <c r="H9912" i="28"/>
  <c r="H9904" i="28"/>
  <c r="H9896" i="28"/>
  <c r="H9888" i="28"/>
  <c r="H9880" i="28"/>
  <c r="H9872" i="28"/>
  <c r="H9864" i="28"/>
  <c r="H9856" i="28"/>
  <c r="H9848" i="28"/>
  <c r="H9840" i="28"/>
  <c r="H9832" i="28"/>
  <c r="H9824" i="28"/>
  <c r="H9816" i="28"/>
  <c r="H9808" i="28"/>
  <c r="H9800" i="28"/>
  <c r="H9792" i="28"/>
  <c r="H9784" i="28"/>
  <c r="H9776" i="28"/>
  <c r="H9768" i="28"/>
  <c r="H9760" i="28"/>
  <c r="H9752" i="28"/>
  <c r="H9744" i="28"/>
  <c r="H9736" i="28"/>
  <c r="H9728" i="28"/>
  <c r="H9720" i="28"/>
  <c r="H9712" i="28"/>
  <c r="H9704" i="28"/>
  <c r="H9696" i="28"/>
  <c r="H9688" i="28"/>
  <c r="H9680" i="28"/>
  <c r="H9672" i="28"/>
  <c r="H9664" i="28"/>
  <c r="H9656" i="28"/>
  <c r="H9648" i="28"/>
  <c r="H9640" i="28"/>
  <c r="H9632" i="28"/>
  <c r="H9624" i="28"/>
  <c r="H9616" i="28"/>
  <c r="H9608" i="28"/>
  <c r="H9600" i="28"/>
  <c r="H9592" i="28"/>
  <c r="H9999" i="28"/>
  <c r="H9991" i="28"/>
  <c r="H9983" i="28"/>
  <c r="H9975" i="28"/>
  <c r="H9967" i="28"/>
  <c r="H9959" i="28"/>
  <c r="H9951" i="28"/>
  <c r="H9943" i="28"/>
  <c r="H9935" i="28"/>
  <c r="H9927" i="28"/>
  <c r="H9919" i="28"/>
  <c r="H9911" i="28"/>
  <c r="H9903" i="28"/>
  <c r="H9895" i="28"/>
  <c r="H9887" i="28"/>
  <c r="H9879" i="28"/>
  <c r="H9871" i="28"/>
  <c r="H9863" i="28"/>
  <c r="H9855" i="28"/>
  <c r="H9847" i="28"/>
  <c r="H9839" i="28"/>
  <c r="H9831" i="28"/>
  <c r="H9823" i="28"/>
  <c r="H9815" i="28"/>
  <c r="H9807" i="28"/>
  <c r="H9799" i="28"/>
  <c r="H9791" i="28"/>
  <c r="H9783" i="28"/>
  <c r="H9775" i="28"/>
  <c r="H9767" i="28"/>
  <c r="H9759" i="28"/>
  <c r="H9751" i="28"/>
  <c r="H9743" i="28"/>
  <c r="H9735" i="28"/>
  <c r="H9727" i="28"/>
  <c r="H9719" i="28"/>
  <c r="H9711" i="28"/>
  <c r="H9703" i="28"/>
  <c r="H9695" i="28"/>
  <c r="H9687" i="28"/>
  <c r="H9679" i="28"/>
  <c r="H9671" i="28"/>
  <c r="H9663" i="28"/>
  <c r="H9655" i="28"/>
  <c r="H9647" i="28"/>
  <c r="H9639" i="28"/>
  <c r="H9631" i="28"/>
  <c r="H9623" i="28"/>
  <c r="H9615" i="28"/>
  <c r="H9607" i="28"/>
  <c r="H9599" i="28"/>
  <c r="H9591" i="28"/>
  <c r="H9583" i="28"/>
  <c r="H9575" i="28"/>
  <c r="H9567" i="28"/>
  <c r="H9559" i="28"/>
  <c r="H9551" i="28"/>
  <c r="H9543" i="28"/>
  <c r="H9535" i="28"/>
  <c r="H9527" i="28"/>
  <c r="H9519" i="28"/>
  <c r="H9511" i="28"/>
  <c r="H9503" i="28"/>
  <c r="H9495" i="28"/>
  <c r="H9487" i="28"/>
  <c r="H9479" i="28"/>
  <c r="H9471" i="28"/>
  <c r="H9463" i="28"/>
  <c r="H9455" i="28"/>
  <c r="H9447" i="28"/>
  <c r="H9439" i="28"/>
  <c r="H9431" i="28"/>
  <c r="H9423" i="28"/>
  <c r="H9415" i="28"/>
  <c r="H9407" i="28"/>
  <c r="H9399" i="28"/>
  <c r="H9391" i="28"/>
  <c r="H9383" i="28"/>
  <c r="H9375" i="28"/>
  <c r="H9367" i="28"/>
  <c r="H9359" i="28"/>
  <c r="H9351" i="28"/>
  <c r="H9343" i="28"/>
  <c r="H9335" i="28"/>
  <c r="H9327" i="28"/>
  <c r="H9998" i="28"/>
  <c r="H9990" i="28"/>
  <c r="H9982" i="28"/>
  <c r="H9974" i="28"/>
  <c r="H9966" i="28"/>
  <c r="H9958" i="28"/>
  <c r="H9950" i="28"/>
  <c r="H9942" i="28"/>
  <c r="H9934" i="28"/>
  <c r="H9926" i="28"/>
  <c r="H9918" i="28"/>
  <c r="H9910" i="28"/>
  <c r="H9902" i="28"/>
  <c r="H9894" i="28"/>
  <c r="H9886" i="28"/>
  <c r="H9878" i="28"/>
  <c r="H9870" i="28"/>
  <c r="H9862" i="28"/>
  <c r="H9854" i="28"/>
  <c r="H9846" i="28"/>
  <c r="H9838" i="28"/>
  <c r="H9830" i="28"/>
  <c r="H9822" i="28"/>
  <c r="H9814" i="28"/>
  <c r="H9806" i="28"/>
  <c r="H9798" i="28"/>
  <c r="H9790" i="28"/>
  <c r="H9782" i="28"/>
  <c r="H9774" i="28"/>
  <c r="H9766" i="28"/>
  <c r="H9758" i="28"/>
  <c r="H9750" i="28"/>
  <c r="H9742" i="28"/>
  <c r="H9734" i="28"/>
  <c r="H9726" i="28"/>
  <c r="H9718" i="28"/>
  <c r="H9710" i="28"/>
  <c r="H9702" i="28"/>
  <c r="H9694" i="28"/>
  <c r="H9686" i="28"/>
  <c r="H9678" i="28"/>
  <c r="H9670" i="28"/>
  <c r="H9662" i="28"/>
  <c r="H9654" i="28"/>
  <c r="H9646" i="28"/>
  <c r="H9638" i="28"/>
  <c r="H9630" i="28"/>
  <c r="H9622" i="28"/>
  <c r="H9614" i="28"/>
  <c r="H9606" i="28"/>
  <c r="H9598" i="28"/>
  <c r="H9590" i="28"/>
  <c r="H9582" i="28"/>
  <c r="H9574" i="28"/>
  <c r="H9566" i="28"/>
  <c r="H9558" i="28"/>
  <c r="H9550" i="28"/>
  <c r="H9542" i="28"/>
  <c r="H9534" i="28"/>
  <c r="H9526" i="28"/>
  <c r="H9518" i="28"/>
  <c r="H9510" i="28"/>
  <c r="H9502" i="28"/>
  <c r="H9494" i="28"/>
  <c r="H9486" i="28"/>
  <c r="H9478" i="28"/>
  <c r="H9470" i="28"/>
  <c r="H9462" i="28"/>
  <c r="H9454" i="28"/>
  <c r="H9446" i="28"/>
  <c r="H9438" i="28"/>
  <c r="H9430" i="28"/>
  <c r="H9422" i="28"/>
  <c r="H9414" i="28"/>
  <c r="H9406" i="28"/>
  <c r="H9398" i="28"/>
  <c r="H9390" i="28"/>
  <c r="H9382" i="28"/>
  <c r="H9374" i="28"/>
  <c r="H9366" i="28"/>
  <c r="H9358" i="28"/>
  <c r="H9350" i="28"/>
  <c r="H9342" i="28"/>
  <c r="H9334" i="28"/>
  <c r="H9326" i="28"/>
  <c r="H9996" i="28"/>
  <c r="H9988" i="28"/>
  <c r="H9980" i="28"/>
  <c r="H9972" i="28"/>
  <c r="H9964" i="28"/>
  <c r="H9956" i="28"/>
  <c r="H9948" i="28"/>
  <c r="H9940" i="28"/>
  <c r="H9932" i="28"/>
  <c r="H9924" i="28"/>
  <c r="H9916" i="28"/>
  <c r="H9908" i="28"/>
  <c r="H9900" i="28"/>
  <c r="H9892" i="28"/>
  <c r="H9884" i="28"/>
  <c r="H9876" i="28"/>
  <c r="H9868" i="28"/>
  <c r="H9860" i="28"/>
  <c r="H9852" i="28"/>
  <c r="H9844" i="28"/>
  <c r="H9836" i="28"/>
  <c r="H9828" i="28"/>
  <c r="H9820" i="28"/>
  <c r="H9812" i="28"/>
  <c r="H9804" i="28"/>
  <c r="H9796" i="28"/>
  <c r="H9788" i="28"/>
  <c r="H9780" i="28"/>
  <c r="H9772" i="28"/>
  <c r="H9764" i="28"/>
  <c r="H9756" i="28"/>
  <c r="H9748" i="28"/>
  <c r="H9740" i="28"/>
  <c r="H9732" i="28"/>
  <c r="H9724" i="28"/>
  <c r="H9716" i="28"/>
  <c r="H9708" i="28"/>
  <c r="H9700" i="28"/>
  <c r="H9692" i="28"/>
  <c r="H9684" i="28"/>
  <c r="H9676" i="28"/>
  <c r="H9668" i="28"/>
  <c r="H9660" i="28"/>
  <c r="H9652" i="28"/>
  <c r="H9644" i="28"/>
  <c r="H9636" i="28"/>
  <c r="H9628" i="28"/>
  <c r="H9620" i="28"/>
  <c r="H9612" i="28"/>
  <c r="H9604" i="28"/>
  <c r="H9596" i="28"/>
  <c r="H9588" i="28"/>
  <c r="H9580" i="28"/>
  <c r="H9572" i="28"/>
  <c r="H9564" i="28"/>
  <c r="H9556" i="28"/>
  <c r="H9548" i="28"/>
  <c r="H9540" i="28"/>
  <c r="H9532" i="28"/>
  <c r="H9524" i="28"/>
  <c r="H9516" i="28"/>
  <c r="H9508" i="28"/>
  <c r="H9500" i="28"/>
  <c r="H9492" i="28"/>
  <c r="H9484" i="28"/>
  <c r="H9476" i="28"/>
  <c r="H9468" i="28"/>
  <c r="H9460" i="28"/>
  <c r="H9452" i="28"/>
  <c r="H9444" i="28"/>
  <c r="H9436" i="28"/>
  <c r="H9428" i="28"/>
  <c r="H9420" i="28"/>
  <c r="H9412" i="28"/>
  <c r="H9404" i="28"/>
  <c r="H9396" i="28"/>
  <c r="H9388" i="28"/>
  <c r="H9380" i="28"/>
  <c r="H9372" i="28"/>
  <c r="H9364" i="28"/>
  <c r="H9356" i="28"/>
  <c r="H9348" i="28"/>
  <c r="H9340" i="28"/>
  <c r="H9332" i="28"/>
  <c r="H9324" i="28"/>
  <c r="H9997" i="28"/>
  <c r="H9933" i="28"/>
  <c r="H9869" i="28"/>
  <c r="H9805" i="28"/>
  <c r="H9741" i="28"/>
  <c r="H9677" i="28"/>
  <c r="H9613" i="28"/>
  <c r="H9581" i="28"/>
  <c r="H9560" i="28"/>
  <c r="H9538" i="28"/>
  <c r="H9517" i="28"/>
  <c r="H9496" i="28"/>
  <c r="H9474" i="28"/>
  <c r="H9453" i="28"/>
  <c r="H9432" i="28"/>
  <c r="H9410" i="28"/>
  <c r="H9389" i="28"/>
  <c r="H9368" i="28"/>
  <c r="H9346" i="28"/>
  <c r="H9328" i="28"/>
  <c r="H9317" i="28"/>
  <c r="H9309" i="28"/>
  <c r="H9301" i="28"/>
  <c r="H9293" i="28"/>
  <c r="H9285" i="28"/>
  <c r="H9277" i="28"/>
  <c r="H9269" i="28"/>
  <c r="H9261" i="28"/>
  <c r="H9253" i="28"/>
  <c r="H9245" i="28"/>
  <c r="H9237" i="28"/>
  <c r="H9229" i="28"/>
  <c r="H9221" i="28"/>
  <c r="H9213" i="28"/>
  <c r="H9205" i="28"/>
  <c r="H9197" i="28"/>
  <c r="H9189" i="28"/>
  <c r="H9181" i="28"/>
  <c r="H9173" i="28"/>
  <c r="H9165" i="28"/>
  <c r="H9157" i="28"/>
  <c r="H9149" i="28"/>
  <c r="H9141" i="28"/>
  <c r="H9133" i="28"/>
  <c r="H9125" i="28"/>
  <c r="H9989" i="28"/>
  <c r="H9925" i="28"/>
  <c r="H9861" i="28"/>
  <c r="H9981" i="28"/>
  <c r="H9917" i="28"/>
  <c r="H9853" i="28"/>
  <c r="H9789" i="28"/>
  <c r="H9725" i="28"/>
  <c r="H9661" i="28"/>
  <c r="H9602" i="28"/>
  <c r="H9576" i="28"/>
  <c r="H9554" i="28"/>
  <c r="H9533" i="28"/>
  <c r="H9512" i="28"/>
  <c r="H9490" i="28"/>
  <c r="H9469" i="28"/>
  <c r="H9448" i="28"/>
  <c r="H9426" i="28"/>
  <c r="H9405" i="28"/>
  <c r="H9384" i="28"/>
  <c r="H9362" i="28"/>
  <c r="H9341" i="28"/>
  <c r="H9323" i="28"/>
  <c r="H9315" i="28"/>
  <c r="H9307" i="28"/>
  <c r="H9299" i="28"/>
  <c r="H9291" i="28"/>
  <c r="H9283" i="28"/>
  <c r="H9275" i="28"/>
  <c r="H9267" i="28"/>
  <c r="H9259" i="28"/>
  <c r="H9251" i="28"/>
  <c r="H9243" i="28"/>
  <c r="H9235" i="28"/>
  <c r="H9227" i="28"/>
  <c r="H9219" i="28"/>
  <c r="H9211" i="28"/>
  <c r="H9203" i="28"/>
  <c r="H9195" i="28"/>
  <c r="H9187" i="28"/>
  <c r="H9179" i="28"/>
  <c r="H9171" i="28"/>
  <c r="H9163" i="28"/>
  <c r="H9155" i="28"/>
  <c r="H9147" i="28"/>
  <c r="H9139" i="28"/>
  <c r="H9131" i="28"/>
  <c r="H9123" i="28"/>
  <c r="H9115" i="28"/>
  <c r="H9107" i="28"/>
  <c r="H9099" i="28"/>
  <c r="H9091" i="28"/>
  <c r="H9083" i="28"/>
  <c r="H9075" i="28"/>
  <c r="H9067" i="28"/>
  <c r="H9059" i="28"/>
  <c r="H9051" i="28"/>
  <c r="H9043" i="28"/>
  <c r="H9035" i="28"/>
  <c r="H9027" i="28"/>
  <c r="H9019" i="28"/>
  <c r="H9011" i="28"/>
  <c r="H9003" i="28"/>
  <c r="H8995" i="28"/>
  <c r="H8987" i="28"/>
  <c r="H8979" i="28"/>
  <c r="H8971" i="28"/>
  <c r="H8963" i="28"/>
  <c r="H8955" i="28"/>
  <c r="H8947" i="28"/>
  <c r="H8939" i="28"/>
  <c r="H8931" i="28"/>
  <c r="H8923" i="28"/>
  <c r="H8915" i="28"/>
  <c r="H8907" i="28"/>
  <c r="H8899" i="28"/>
  <c r="H8891" i="28"/>
  <c r="H8883" i="28"/>
  <c r="H8875" i="28"/>
  <c r="H8867" i="28"/>
  <c r="H8859" i="28"/>
  <c r="H8851" i="28"/>
  <c r="H8843" i="28"/>
  <c r="H8835" i="28"/>
  <c r="H8827" i="28"/>
  <c r="H8819" i="28"/>
  <c r="H8811" i="28"/>
  <c r="H8803" i="28"/>
  <c r="H9973" i="28"/>
  <c r="H9909" i="28"/>
  <c r="H9845" i="28"/>
  <c r="H9781" i="28"/>
  <c r="H9717" i="28"/>
  <c r="H9653" i="28"/>
  <c r="H9597" i="28"/>
  <c r="H9573" i="28"/>
  <c r="H9552" i="28"/>
  <c r="H9530" i="28"/>
  <c r="H9509" i="28"/>
  <c r="H9488" i="28"/>
  <c r="H9466" i="28"/>
  <c r="H9445" i="28"/>
  <c r="H9424" i="28"/>
  <c r="H9402" i="28"/>
  <c r="H9381" i="28"/>
  <c r="H9360" i="28"/>
  <c r="H9338" i="28"/>
  <c r="H9322" i="28"/>
  <c r="H9314" i="28"/>
  <c r="H9306" i="28"/>
  <c r="H9298" i="28"/>
  <c r="H9290" i="28"/>
  <c r="H9282" i="28"/>
  <c r="H9274" i="28"/>
  <c r="H9266" i="28"/>
  <c r="H9258" i="28"/>
  <c r="H9250" i="28"/>
  <c r="H9242" i="28"/>
  <c r="H9234" i="28"/>
  <c r="H9226" i="28"/>
  <c r="H9218" i="28"/>
  <c r="H9210" i="28"/>
  <c r="H9202" i="28"/>
  <c r="H9194" i="28"/>
  <c r="H9186" i="28"/>
  <c r="H9178" i="28"/>
  <c r="H9170" i="28"/>
  <c r="H9162" i="28"/>
  <c r="H9154" i="28"/>
  <c r="H9146" i="28"/>
  <c r="H9138" i="28"/>
  <c r="H9130" i="28"/>
  <c r="H9122" i="28"/>
  <c r="H9114" i="28"/>
  <c r="H9106" i="28"/>
  <c r="H9098" i="28"/>
  <c r="H9090" i="28"/>
  <c r="H9082" i="28"/>
  <c r="H9074" i="28"/>
  <c r="H9066" i="28"/>
  <c r="H9058" i="28"/>
  <c r="H9050" i="28"/>
  <c r="H9042" i="28"/>
  <c r="H9034" i="28"/>
  <c r="H9026" i="28"/>
  <c r="H9018" i="28"/>
  <c r="H9010" i="28"/>
  <c r="H9002" i="28"/>
  <c r="H8994" i="28"/>
  <c r="H8986" i="28"/>
  <c r="H8978" i="28"/>
  <c r="H8970" i="28"/>
  <c r="H8962" i="28"/>
  <c r="H8954" i="28"/>
  <c r="H8946" i="28"/>
  <c r="H8938" i="28"/>
  <c r="H8930" i="28"/>
  <c r="H8922" i="28"/>
  <c r="H8914" i="28"/>
  <c r="H8906" i="28"/>
  <c r="H8898" i="28"/>
  <c r="H8890" i="28"/>
  <c r="H8882" i="28"/>
  <c r="H8874" i="28"/>
  <c r="H8866" i="28"/>
  <c r="H9965" i="28"/>
  <c r="H9901" i="28"/>
  <c r="H9837" i="28"/>
  <c r="H9773" i="28"/>
  <c r="H9709" i="28"/>
  <c r="H9645" i="28"/>
  <c r="H9594" i="28"/>
  <c r="H9570" i="28"/>
  <c r="H9549" i="28"/>
  <c r="H9528" i="28"/>
  <c r="H9506" i="28"/>
  <c r="H9485" i="28"/>
  <c r="H9464" i="28"/>
  <c r="H9442" i="28"/>
  <c r="H9421" i="28"/>
  <c r="H9400" i="28"/>
  <c r="H9378" i="28"/>
  <c r="H9357" i="28"/>
  <c r="H9336" i="28"/>
  <c r="H9321" i="28"/>
  <c r="H9313" i="28"/>
  <c r="H9305" i="28"/>
  <c r="H9297" i="28"/>
  <c r="H9289" i="28"/>
  <c r="H9281" i="28"/>
  <c r="H9273" i="28"/>
  <c r="H9265" i="28"/>
  <c r="H9257" i="28"/>
  <c r="H9249" i="28"/>
  <c r="H9241" i="28"/>
  <c r="H9233" i="28"/>
  <c r="H9225" i="28"/>
  <c r="H9217" i="28"/>
  <c r="H9209" i="28"/>
  <c r="H9201" i="28"/>
  <c r="H9193" i="28"/>
  <c r="H9185" i="28"/>
  <c r="H9177" i="28"/>
  <c r="H9169" i="28"/>
  <c r="H9161" i="28"/>
  <c r="H9153" i="28"/>
  <c r="H9145" i="28"/>
  <c r="H9137" i="28"/>
  <c r="H9129" i="28"/>
  <c r="H9121" i="28"/>
  <c r="H9957" i="28"/>
  <c r="H9893" i="28"/>
  <c r="H9941" i="28"/>
  <c r="H9877" i="28"/>
  <c r="H9813" i="28"/>
  <c r="H9749" i="28"/>
  <c r="H9685" i="28"/>
  <c r="H9621" i="28"/>
  <c r="H9584" i="28"/>
  <c r="H9562" i="28"/>
  <c r="H9541" i="28"/>
  <c r="H9520" i="28"/>
  <c r="H9498" i="28"/>
  <c r="H9477" i="28"/>
  <c r="H9456" i="28"/>
  <c r="H9434" i="28"/>
  <c r="H9413" i="28"/>
  <c r="H9392" i="28"/>
  <c r="H9370" i="28"/>
  <c r="H9349" i="28"/>
  <c r="H9329" i="28"/>
  <c r="H9318" i="28"/>
  <c r="H9310" i="28"/>
  <c r="H9302" i="28"/>
  <c r="H9294" i="28"/>
  <c r="H9286" i="28"/>
  <c r="H9278" i="28"/>
  <c r="H9270" i="28"/>
  <c r="H9262" i="28"/>
  <c r="H9254" i="28"/>
  <c r="H9246" i="28"/>
  <c r="H9238" i="28"/>
  <c r="H9230" i="28"/>
  <c r="H9222" i="28"/>
  <c r="H9214" i="28"/>
  <c r="H9206" i="28"/>
  <c r="H9198" i="28"/>
  <c r="H9190" i="28"/>
  <c r="H9182" i="28"/>
  <c r="H9174" i="28"/>
  <c r="H9166" i="28"/>
  <c r="H9158" i="28"/>
  <c r="H9150" i="28"/>
  <c r="H9142" i="28"/>
  <c r="H9134" i="28"/>
  <c r="H9126" i="28"/>
  <c r="H9118" i="28"/>
  <c r="H9110" i="28"/>
  <c r="H9102" i="28"/>
  <c r="H9949" i="28"/>
  <c r="H9701" i="28"/>
  <c r="H9578" i="28"/>
  <c r="H9522" i="28"/>
  <c r="H9461" i="28"/>
  <c r="H9408" i="28"/>
  <c r="H9352" i="28"/>
  <c r="H9312" i="28"/>
  <c r="H9292" i="28"/>
  <c r="H9271" i="28"/>
  <c r="H9248" i="28"/>
  <c r="H9228" i="28"/>
  <c r="H9207" i="28"/>
  <c r="H9184" i="28"/>
  <c r="H9164" i="28"/>
  <c r="H9143" i="28"/>
  <c r="H9120" i="28"/>
  <c r="H9108" i="28"/>
  <c r="H9095" i="28"/>
  <c r="H9085" i="28"/>
  <c r="H9073" i="28"/>
  <c r="H9063" i="28"/>
  <c r="H9053" i="28"/>
  <c r="H9041" i="28"/>
  <c r="H9031" i="28"/>
  <c r="H9021" i="28"/>
  <c r="H9009" i="28"/>
  <c r="H8999" i="28"/>
  <c r="H8989" i="28"/>
  <c r="H8977" i="28"/>
  <c r="H8967" i="28"/>
  <c r="H8957" i="28"/>
  <c r="H8945" i="28"/>
  <c r="H8935" i="28"/>
  <c r="H8925" i="28"/>
  <c r="H8913" i="28"/>
  <c r="H9885" i="28"/>
  <c r="H9693" i="28"/>
  <c r="H9568" i="28"/>
  <c r="H9514" i="28"/>
  <c r="H9458" i="28"/>
  <c r="H9397" i="28"/>
  <c r="H9344" i="28"/>
  <c r="H9311" i="28"/>
  <c r="H9288" i="28"/>
  <c r="H9268" i="28"/>
  <c r="H9247" i="28"/>
  <c r="H9224" i="28"/>
  <c r="H9204" i="28"/>
  <c r="H9183" i="28"/>
  <c r="H9160" i="28"/>
  <c r="H9140" i="28"/>
  <c r="H9119" i="28"/>
  <c r="H9105" i="28"/>
  <c r="H9094" i="28"/>
  <c r="H9084" i="28"/>
  <c r="H9072" i="28"/>
  <c r="H9062" i="28"/>
  <c r="H9052" i="28"/>
  <c r="H9040" i="28"/>
  <c r="H9030" i="28"/>
  <c r="H9020" i="28"/>
  <c r="H9008" i="28"/>
  <c r="H8998" i="28"/>
  <c r="H8988" i="28"/>
  <c r="H8976" i="28"/>
  <c r="H8966" i="28"/>
  <c r="H8956" i="28"/>
  <c r="H8944" i="28"/>
  <c r="H8934" i="28"/>
  <c r="H9829" i="28"/>
  <c r="H9669" i="28"/>
  <c r="H9565" i="28"/>
  <c r="H9504" i="28"/>
  <c r="H9450" i="28"/>
  <c r="H9394" i="28"/>
  <c r="H9333" i="28"/>
  <c r="H9308" i="28"/>
  <c r="H9287" i="28"/>
  <c r="H9264" i="28"/>
  <c r="H9244" i="28"/>
  <c r="H9223" i="28"/>
  <c r="H9200" i="28"/>
  <c r="H9180" i="28"/>
  <c r="H9159" i="28"/>
  <c r="H9136" i="28"/>
  <c r="H9117" i="28"/>
  <c r="H9104" i="28"/>
  <c r="H9093" i="28"/>
  <c r="H9081" i="28"/>
  <c r="H9071" i="28"/>
  <c r="H9061" i="28"/>
  <c r="H9049" i="28"/>
  <c r="H9039" i="28"/>
  <c r="H9029" i="28"/>
  <c r="H9017" i="28"/>
  <c r="H9007" i="28"/>
  <c r="H8997" i="28"/>
  <c r="H8985" i="28"/>
  <c r="H8975" i="28"/>
  <c r="H8965" i="28"/>
  <c r="H8953" i="28"/>
  <c r="H8943" i="28"/>
  <c r="H8933" i="28"/>
  <c r="H8921" i="28"/>
  <c r="H8911" i="28"/>
  <c r="H8901" i="28"/>
  <c r="H8889" i="28"/>
  <c r="H8879" i="28"/>
  <c r="H8869" i="28"/>
  <c r="H8858" i="28"/>
  <c r="H8849" i="28"/>
  <c r="H8840" i="28"/>
  <c r="H8831" i="28"/>
  <c r="H8822" i="28"/>
  <c r="H8813" i="28"/>
  <c r="H8804" i="28"/>
  <c r="H8795" i="28"/>
  <c r="H8787" i="28"/>
  <c r="H8779" i="28"/>
  <c r="H8771" i="28"/>
  <c r="H8763" i="28"/>
  <c r="H8755" i="28"/>
  <c r="H8747" i="28"/>
  <c r="H8739" i="28"/>
  <c r="H8731" i="28"/>
  <c r="H8723" i="28"/>
  <c r="H8715" i="28"/>
  <c r="H8707" i="28"/>
  <c r="H8699" i="28"/>
  <c r="H8691" i="28"/>
  <c r="H8683" i="28"/>
  <c r="H8675" i="28"/>
  <c r="H8667" i="28"/>
  <c r="H8659" i="28"/>
  <c r="H8651" i="28"/>
  <c r="H8643" i="28"/>
  <c r="H8635" i="28"/>
  <c r="H8627" i="28"/>
  <c r="H8619" i="28"/>
  <c r="H8611" i="28"/>
  <c r="H8603" i="28"/>
  <c r="H8595" i="28"/>
  <c r="H8587" i="28"/>
  <c r="H8579" i="28"/>
  <c r="H8571" i="28"/>
  <c r="H8563" i="28"/>
  <c r="H8555" i="28"/>
  <c r="H8547" i="28"/>
  <c r="H8539" i="28"/>
  <c r="H8531" i="28"/>
  <c r="H8523" i="28"/>
  <c r="H8515" i="28"/>
  <c r="H8507" i="28"/>
  <c r="H8499" i="28"/>
  <c r="H8491" i="28"/>
  <c r="H8483" i="28"/>
  <c r="H8475" i="28"/>
  <c r="H8467" i="28"/>
  <c r="H8459" i="28"/>
  <c r="H8451" i="28"/>
  <c r="H8443" i="28"/>
  <c r="H8435" i="28"/>
  <c r="H8427" i="28"/>
  <c r="H8419" i="28"/>
  <c r="H8411" i="28"/>
  <c r="H8403" i="28"/>
  <c r="H8395" i="28"/>
  <c r="H9821" i="28"/>
  <c r="H9637" i="28"/>
  <c r="H9557" i="28"/>
  <c r="H9501" i="28"/>
  <c r="H9440" i="28"/>
  <c r="H9386" i="28"/>
  <c r="H9330" i="28"/>
  <c r="H9304" i="28"/>
  <c r="H9284" i="28"/>
  <c r="H9263" i="28"/>
  <c r="H9240" i="28"/>
  <c r="H9220" i="28"/>
  <c r="H9199" i="28"/>
  <c r="H9176" i="28"/>
  <c r="H9156" i="28"/>
  <c r="H9135" i="28"/>
  <c r="H9116" i="28"/>
  <c r="H9103" i="28"/>
  <c r="H9092" i="28"/>
  <c r="H9080" i="28"/>
  <c r="H9070" i="28"/>
  <c r="H9060" i="28"/>
  <c r="H9048" i="28"/>
  <c r="H9038" i="28"/>
  <c r="H9028" i="28"/>
  <c r="H9016" i="28"/>
  <c r="H9006" i="28"/>
  <c r="H8996" i="28"/>
  <c r="H8984" i="28"/>
  <c r="H8974" i="28"/>
  <c r="H8964" i="28"/>
  <c r="H8952" i="28"/>
  <c r="H8942" i="28"/>
  <c r="H8932" i="28"/>
  <c r="H8920" i="28"/>
  <c r="H8910" i="28"/>
  <c r="H8900" i="28"/>
  <c r="H8888" i="28"/>
  <c r="H8878" i="28"/>
  <c r="H8868" i="28"/>
  <c r="H8857" i="28"/>
  <c r="H8848" i="28"/>
  <c r="H8839" i="28"/>
  <c r="H8830" i="28"/>
  <c r="H8821" i="28"/>
  <c r="H8812" i="28"/>
  <c r="H8802" i="28"/>
  <c r="H8794" i="28"/>
  <c r="H8786" i="28"/>
  <c r="H8778" i="28"/>
  <c r="H8770" i="28"/>
  <c r="H8762" i="28"/>
  <c r="H8754" i="28"/>
  <c r="H8746" i="28"/>
  <c r="H8738" i="28"/>
  <c r="H8730" i="28"/>
  <c r="H8722" i="28"/>
  <c r="H8714" i="28"/>
  <c r="H8706" i="28"/>
  <c r="H8698" i="28"/>
  <c r="H8690" i="28"/>
  <c r="H8682" i="28"/>
  <c r="H8674" i="28"/>
  <c r="H8666" i="28"/>
  <c r="H8658" i="28"/>
  <c r="H8650" i="28"/>
  <c r="H8642" i="28"/>
  <c r="H8634" i="28"/>
  <c r="H8626" i="28"/>
  <c r="H8618" i="28"/>
  <c r="H8610" i="28"/>
  <c r="H8602" i="28"/>
  <c r="H8594" i="28"/>
  <c r="H8586" i="28"/>
  <c r="H8578" i="28"/>
  <c r="H8570" i="28"/>
  <c r="H8562" i="28"/>
  <c r="H8554" i="28"/>
  <c r="H8546" i="28"/>
  <c r="H8538" i="28"/>
  <c r="H8530" i="28"/>
  <c r="H8522" i="28"/>
  <c r="H8514" i="28"/>
  <c r="H8506" i="28"/>
  <c r="H8498" i="28"/>
  <c r="H9797" i="28"/>
  <c r="H9629" i="28"/>
  <c r="H9546" i="28"/>
  <c r="H9493" i="28"/>
  <c r="H9437" i="28"/>
  <c r="H9376" i="28"/>
  <c r="H9325" i="28"/>
  <c r="H9303" i="28"/>
  <c r="H9280" i="28"/>
  <c r="H9260" i="28"/>
  <c r="H9239" i="28"/>
  <c r="H9216" i="28"/>
  <c r="H9196" i="28"/>
  <c r="H9175" i="28"/>
  <c r="H9152" i="28"/>
  <c r="H9132" i="28"/>
  <c r="H9113" i="28"/>
  <c r="H9101" i="28"/>
  <c r="H9089" i="28"/>
  <c r="H9079" i="28"/>
  <c r="H9069" i="28"/>
  <c r="H9057" i="28"/>
  <c r="H9047" i="28"/>
  <c r="H9037" i="28"/>
  <c r="H9025" i="28"/>
  <c r="H9015" i="28"/>
  <c r="H9005" i="28"/>
  <c r="H8993" i="28"/>
  <c r="H8983" i="28"/>
  <c r="H8973" i="28"/>
  <c r="H8961" i="28"/>
  <c r="H8951" i="28"/>
  <c r="H8941" i="28"/>
  <c r="H8929" i="28"/>
  <c r="H8919" i="28"/>
  <c r="H8909" i="28"/>
  <c r="H9765" i="28"/>
  <c r="H9605" i="28"/>
  <c r="H9544" i="28"/>
  <c r="H9482" i="28"/>
  <c r="H9429" i="28"/>
  <c r="H9373" i="28"/>
  <c r="H9320" i="28"/>
  <c r="H9300" i="28"/>
  <c r="H9279" i="28"/>
  <c r="H9256" i="28"/>
  <c r="H9236" i="28"/>
  <c r="H9215" i="28"/>
  <c r="H9192" i="28"/>
  <c r="H9172" i="28"/>
  <c r="H9151" i="28"/>
  <c r="H9128" i="28"/>
  <c r="H9112" i="28"/>
  <c r="H9100" i="28"/>
  <c r="H9088" i="28"/>
  <c r="H9078" i="28"/>
  <c r="H9068" i="28"/>
  <c r="H9056" i="28"/>
  <c r="H9046" i="28"/>
  <c r="H9036" i="28"/>
  <c r="H9024" i="28"/>
  <c r="H9014" i="28"/>
  <c r="H9004" i="28"/>
  <c r="H8992" i="28"/>
  <c r="H8982" i="28"/>
  <c r="H8972" i="28"/>
  <c r="H8960" i="28"/>
  <c r="H8950" i="28"/>
  <c r="H8940" i="28"/>
  <c r="H8928" i="28"/>
  <c r="H9733" i="28"/>
  <c r="H9586" i="28"/>
  <c r="H9525" i="28"/>
  <c r="H9472" i="28"/>
  <c r="H9416" i="28"/>
  <c r="H9354" i="28"/>
  <c r="H9316" i="28"/>
  <c r="H9295" i="28"/>
  <c r="H9272" i="28"/>
  <c r="H9252" i="28"/>
  <c r="H9231" i="28"/>
  <c r="H9208" i="28"/>
  <c r="H9188" i="28"/>
  <c r="H9167" i="28"/>
  <c r="H9144" i="28"/>
  <c r="H9124" i="28"/>
  <c r="H9109" i="28"/>
  <c r="H9096" i="28"/>
  <c r="H9086" i="28"/>
  <c r="H9076" i="28"/>
  <c r="H9064" i="28"/>
  <c r="H9054" i="28"/>
  <c r="H9044" i="28"/>
  <c r="H9032" i="28"/>
  <c r="H9022" i="28"/>
  <c r="H9012" i="28"/>
  <c r="H9000" i="28"/>
  <c r="H8990" i="28"/>
  <c r="H8980" i="28"/>
  <c r="H8968" i="28"/>
  <c r="H8958" i="28"/>
  <c r="H8948" i="28"/>
  <c r="H8936" i="28"/>
  <c r="H8926" i="28"/>
  <c r="H8916" i="28"/>
  <c r="H8904" i="28"/>
  <c r="H8894" i="28"/>
  <c r="H8884" i="28"/>
  <c r="H8872" i="28"/>
  <c r="H8862" i="28"/>
  <c r="H8853" i="28"/>
  <c r="H8844" i="28"/>
  <c r="H8834" i="28"/>
  <c r="H8825" i="28"/>
  <c r="H8816" i="28"/>
  <c r="H8807" i="28"/>
  <c r="H8798" i="28"/>
  <c r="H8790" i="28"/>
  <c r="H8782" i="28"/>
  <c r="H8774" i="28"/>
  <c r="H8766" i="28"/>
  <c r="H8758" i="28"/>
  <c r="H8750" i="28"/>
  <c r="H8742" i="28"/>
  <c r="H8734" i="28"/>
  <c r="H8726" i="28"/>
  <c r="H8718" i="28"/>
  <c r="H8710" i="28"/>
  <c r="H8702" i="28"/>
  <c r="H8694" i="28"/>
  <c r="H8686" i="28"/>
  <c r="H8678" i="28"/>
  <c r="H8670" i="28"/>
  <c r="H8662" i="28"/>
  <c r="H8654" i="28"/>
  <c r="H8646" i="28"/>
  <c r="H8638" i="28"/>
  <c r="H8630" i="28"/>
  <c r="H8622" i="28"/>
  <c r="H8614" i="28"/>
  <c r="H8606" i="28"/>
  <c r="H8598" i="28"/>
  <c r="H8590" i="28"/>
  <c r="H8582" i="28"/>
  <c r="H8574" i="28"/>
  <c r="H8566" i="28"/>
  <c r="H8558" i="28"/>
  <c r="H8550" i="28"/>
  <c r="H8542" i="28"/>
  <c r="H8534" i="28"/>
  <c r="H8526" i="28"/>
  <c r="H8518" i="28"/>
  <c r="H8510" i="28"/>
  <c r="H8502" i="28"/>
  <c r="H8494" i="28"/>
  <c r="H8486" i="28"/>
  <c r="H8478" i="28"/>
  <c r="H9757" i="28"/>
  <c r="H9276" i="28"/>
  <c r="H9111" i="28"/>
  <c r="H9023" i="28"/>
  <c r="H8937" i="28"/>
  <c r="H8903" i="28"/>
  <c r="H8886" i="28"/>
  <c r="H8870" i="28"/>
  <c r="H8854" i="28"/>
  <c r="H8838" i="28"/>
  <c r="H8824" i="28"/>
  <c r="H8809" i="28"/>
  <c r="H8796" i="28"/>
  <c r="H8783" i="28"/>
  <c r="H8769" i="28"/>
  <c r="H8757" i="28"/>
  <c r="H8744" i="28"/>
  <c r="H8732" i="28"/>
  <c r="H8719" i="28"/>
  <c r="H8705" i="28"/>
  <c r="H8693" i="28"/>
  <c r="H8680" i="28"/>
  <c r="H8668" i="28"/>
  <c r="H8655" i="28"/>
  <c r="H8641" i="28"/>
  <c r="H8629" i="28"/>
  <c r="H8616" i="28"/>
  <c r="H8604" i="28"/>
  <c r="H8591" i="28"/>
  <c r="H8577" i="28"/>
  <c r="H8565" i="28"/>
  <c r="H8552" i="28"/>
  <c r="H8540" i="28"/>
  <c r="H8527" i="28"/>
  <c r="H8513" i="28"/>
  <c r="H8501" i="28"/>
  <c r="H8489" i="28"/>
  <c r="H8479" i="28"/>
  <c r="H8469" i="28"/>
  <c r="H8460" i="28"/>
  <c r="H8450" i="28"/>
  <c r="H8441" i="28"/>
  <c r="H8432" i="28"/>
  <c r="H8423" i="28"/>
  <c r="H8414" i="28"/>
  <c r="H8405" i="28"/>
  <c r="H8396" i="28"/>
  <c r="H8387" i="28"/>
  <c r="H8379" i="28"/>
  <c r="H8371" i="28"/>
  <c r="H8363" i="28"/>
  <c r="H8355" i="28"/>
  <c r="H8347" i="28"/>
  <c r="H8339" i="28"/>
  <c r="H8331" i="28"/>
  <c r="H8323" i="28"/>
  <c r="H8315" i="28"/>
  <c r="H8307" i="28"/>
  <c r="H8299" i="28"/>
  <c r="H8291" i="28"/>
  <c r="H8283" i="28"/>
  <c r="H8275" i="28"/>
  <c r="H8267" i="28"/>
  <c r="H8259" i="28"/>
  <c r="H8251" i="28"/>
  <c r="H8243" i="28"/>
  <c r="H8235" i="28"/>
  <c r="H8227" i="28"/>
  <c r="H8219" i="28"/>
  <c r="H8211" i="28"/>
  <c r="H8203" i="28"/>
  <c r="H8195" i="28"/>
  <c r="H8187" i="28"/>
  <c r="H8179" i="28"/>
  <c r="H8171" i="28"/>
  <c r="H8163" i="28"/>
  <c r="H8155" i="28"/>
  <c r="H8147" i="28"/>
  <c r="H8139" i="28"/>
  <c r="H8131" i="28"/>
  <c r="H8123" i="28"/>
  <c r="H8115" i="28"/>
  <c r="H8107" i="28"/>
  <c r="H8099" i="28"/>
  <c r="H8091" i="28"/>
  <c r="H8083" i="28"/>
  <c r="H8075" i="28"/>
  <c r="H8067" i="28"/>
  <c r="H8059" i="28"/>
  <c r="H8051" i="28"/>
  <c r="H8043" i="28"/>
  <c r="H8035" i="28"/>
  <c r="H8027" i="28"/>
  <c r="H8019" i="28"/>
  <c r="H8011" i="28"/>
  <c r="H8003" i="28"/>
  <c r="H7995" i="28"/>
  <c r="H7987" i="28"/>
  <c r="H7979" i="28"/>
  <c r="H7971" i="28"/>
  <c r="H7963" i="28"/>
  <c r="H7955" i="28"/>
  <c r="H7947" i="28"/>
  <c r="H7939" i="28"/>
  <c r="H7931" i="28"/>
  <c r="H7923" i="28"/>
  <c r="H7915" i="28"/>
  <c r="H7907" i="28"/>
  <c r="H7899" i="28"/>
  <c r="H7891" i="28"/>
  <c r="H7883" i="28"/>
  <c r="H7875" i="28"/>
  <c r="H7867" i="28"/>
  <c r="H7859" i="28"/>
  <c r="H7851" i="28"/>
  <c r="H7843" i="28"/>
  <c r="H7835" i="28"/>
  <c r="H7827" i="28"/>
  <c r="H7819" i="28"/>
  <c r="H7811" i="28"/>
  <c r="H7803" i="28"/>
  <c r="H7795" i="28"/>
  <c r="H7787" i="28"/>
  <c r="H7779" i="28"/>
  <c r="H7771" i="28"/>
  <c r="H7763" i="28"/>
  <c r="H7755" i="28"/>
  <c r="H7747" i="28"/>
  <c r="H7739" i="28"/>
  <c r="H7731" i="28"/>
  <c r="H7723" i="28"/>
  <c r="H7715" i="28"/>
  <c r="H7707" i="28"/>
  <c r="H7699" i="28"/>
  <c r="H7691" i="28"/>
  <c r="H9589" i="28"/>
  <c r="H9255" i="28"/>
  <c r="H9097" i="28"/>
  <c r="H9013" i="28"/>
  <c r="H8927" i="28"/>
  <c r="H8902" i="28"/>
  <c r="H8885" i="28"/>
  <c r="H8865" i="28"/>
  <c r="H8852" i="28"/>
  <c r="H8837" i="28"/>
  <c r="H8823" i="28"/>
  <c r="H8808" i="28"/>
  <c r="H8793" i="28"/>
  <c r="H8781" i="28"/>
  <c r="H8768" i="28"/>
  <c r="H8756" i="28"/>
  <c r="H8743" i="28"/>
  <c r="H8729" i="28"/>
  <c r="H8717" i="28"/>
  <c r="H8704" i="28"/>
  <c r="H8692" i="28"/>
  <c r="H8679" i="28"/>
  <c r="H8665" i="28"/>
  <c r="H8653" i="28"/>
  <c r="H8640" i="28"/>
  <c r="H8628" i="28"/>
  <c r="H8615" i="28"/>
  <c r="H8601" i="28"/>
  <c r="H8589" i="28"/>
  <c r="H8576" i="28"/>
  <c r="H8564" i="28"/>
  <c r="H8551" i="28"/>
  <c r="H8537" i="28"/>
  <c r="H8525" i="28"/>
  <c r="H8512" i="28"/>
  <c r="H8500" i="28"/>
  <c r="H8488" i="28"/>
  <c r="H8477" i="28"/>
  <c r="H8468" i="28"/>
  <c r="H8458" i="28"/>
  <c r="H8449" i="28"/>
  <c r="H8440" i="28"/>
  <c r="H8431" i="28"/>
  <c r="H8422" i="28"/>
  <c r="H8413" i="28"/>
  <c r="H8404" i="28"/>
  <c r="H8394" i="28"/>
  <c r="H8386" i="28"/>
  <c r="H8378" i="28"/>
  <c r="H8370" i="28"/>
  <c r="H8362" i="28"/>
  <c r="H8354" i="28"/>
  <c r="H8346" i="28"/>
  <c r="H8338" i="28"/>
  <c r="H8330" i="28"/>
  <c r="H8322" i="28"/>
  <c r="H8314" i="28"/>
  <c r="H8306" i="28"/>
  <c r="H8298" i="28"/>
  <c r="H8290" i="28"/>
  <c r="H8282" i="28"/>
  <c r="H8274" i="28"/>
  <c r="H8266" i="28"/>
  <c r="H8258" i="28"/>
  <c r="H8250" i="28"/>
  <c r="H9536" i="28"/>
  <c r="H9232" i="28"/>
  <c r="H9087" i="28"/>
  <c r="H9001" i="28"/>
  <c r="H8924" i="28"/>
  <c r="H8897" i="28"/>
  <c r="H8881" i="28"/>
  <c r="H8864" i="28"/>
  <c r="H8850" i="28"/>
  <c r="H8836" i="28"/>
  <c r="H8820" i="28"/>
  <c r="H8806" i="28"/>
  <c r="H8792" i="28"/>
  <c r="H8780" i="28"/>
  <c r="H8767" i="28"/>
  <c r="H8753" i="28"/>
  <c r="H8741" i="28"/>
  <c r="H8728" i="28"/>
  <c r="H8716" i="28"/>
  <c r="H8703" i="28"/>
  <c r="H8689" i="28"/>
  <c r="H8677" i="28"/>
  <c r="H8664" i="28"/>
  <c r="H8652" i="28"/>
  <c r="H8639" i="28"/>
  <c r="H8625" i="28"/>
  <c r="H8613" i="28"/>
  <c r="H8600" i="28"/>
  <c r="H8588" i="28"/>
  <c r="H8575" i="28"/>
  <c r="H8561" i="28"/>
  <c r="H8549" i="28"/>
  <c r="H8536" i="28"/>
  <c r="H8524" i="28"/>
  <c r="H8511" i="28"/>
  <c r="H8497" i="28"/>
  <c r="H8487" i="28"/>
  <c r="H8476" i="28"/>
  <c r="H8466" i="28"/>
  <c r="H8457" i="28"/>
  <c r="H8448" i="28"/>
  <c r="H8439" i="28"/>
  <c r="H8430" i="28"/>
  <c r="H8421" i="28"/>
  <c r="H8412" i="28"/>
  <c r="H8402" i="28"/>
  <c r="H8393" i="28"/>
  <c r="H8385" i="28"/>
  <c r="H8377" i="28"/>
  <c r="H8369" i="28"/>
  <c r="H8361" i="28"/>
  <c r="H8353" i="28"/>
  <c r="H8345" i="28"/>
  <c r="H8337" i="28"/>
  <c r="H8329" i="28"/>
  <c r="H8321" i="28"/>
  <c r="H8313" i="28"/>
  <c r="H8305" i="28"/>
  <c r="H8297" i="28"/>
  <c r="H8289" i="28"/>
  <c r="H8281" i="28"/>
  <c r="H8273" i="28"/>
  <c r="H8265" i="28"/>
  <c r="H8257" i="28"/>
  <c r="H8249" i="28"/>
  <c r="H8241" i="28"/>
  <c r="H8233" i="28"/>
  <c r="H8225" i="28"/>
  <c r="H8217" i="28"/>
  <c r="H8209" i="28"/>
  <c r="H8201" i="28"/>
  <c r="H8193" i="28"/>
  <c r="H8185" i="28"/>
  <c r="H8177" i="28"/>
  <c r="H8169" i="28"/>
  <c r="H8161" i="28"/>
  <c r="H8153" i="28"/>
  <c r="H8145" i="28"/>
  <c r="H8137" i="28"/>
  <c r="H8129" i="28"/>
  <c r="H8121" i="28"/>
  <c r="H8113" i="28"/>
  <c r="H8105" i="28"/>
  <c r="H8097" i="28"/>
  <c r="H8089" i="28"/>
  <c r="H8081" i="28"/>
  <c r="H8073" i="28"/>
  <c r="H8065" i="28"/>
  <c r="H8057" i="28"/>
  <c r="H8049" i="28"/>
  <c r="H8041" i="28"/>
  <c r="H8033" i="28"/>
  <c r="H8025" i="28"/>
  <c r="H8017" i="28"/>
  <c r="H8009" i="28"/>
  <c r="H8001" i="28"/>
  <c r="H7993" i="28"/>
  <c r="H7985" i="28"/>
  <c r="H7977" i="28"/>
  <c r="H7969" i="28"/>
  <c r="H7961" i="28"/>
  <c r="H7953" i="28"/>
  <c r="H7945" i="28"/>
  <c r="H7937" i="28"/>
  <c r="H7929" i="28"/>
  <c r="H7921" i="28"/>
  <c r="H7913" i="28"/>
  <c r="H7905" i="28"/>
  <c r="H7897" i="28"/>
  <c r="H7889" i="28"/>
  <c r="H7881" i="28"/>
  <c r="H7873" i="28"/>
  <c r="H7865" i="28"/>
  <c r="H7857" i="28"/>
  <c r="H7849" i="28"/>
  <c r="H7841" i="28"/>
  <c r="H7833" i="28"/>
  <c r="H7825" i="28"/>
  <c r="H7817" i="28"/>
  <c r="H7809" i="28"/>
  <c r="H7801" i="28"/>
  <c r="H7793" i="28"/>
  <c r="H7785" i="28"/>
  <c r="H7777" i="28"/>
  <c r="H7769" i="28"/>
  <c r="H7761" i="28"/>
  <c r="H7753" i="28"/>
  <c r="H7745" i="28"/>
  <c r="H7737" i="28"/>
  <c r="H7729" i="28"/>
  <c r="H7721" i="28"/>
  <c r="H7713" i="28"/>
  <c r="H7705" i="28"/>
  <c r="H7697" i="28"/>
  <c r="H7689" i="28"/>
  <c r="H7681" i="28"/>
  <c r="H7673" i="28"/>
  <c r="H7665" i="28"/>
  <c r="H7657" i="28"/>
  <c r="H7649" i="28"/>
  <c r="H7641" i="28"/>
  <c r="H7633" i="28"/>
  <c r="H7625" i="28"/>
  <c r="H7617" i="28"/>
  <c r="H7609" i="28"/>
  <c r="H7601" i="28"/>
  <c r="H7593" i="28"/>
  <c r="H7585" i="28"/>
  <c r="H7577" i="28"/>
  <c r="H7569" i="28"/>
  <c r="H7561" i="28"/>
  <c r="H7553" i="28"/>
  <c r="H7545" i="28"/>
  <c r="H7537" i="28"/>
  <c r="H7529" i="28"/>
  <c r="H7521" i="28"/>
  <c r="H7513" i="28"/>
  <c r="H7505" i="28"/>
  <c r="H7497" i="28"/>
  <c r="H7489" i="28"/>
  <c r="H7481" i="28"/>
  <c r="H7473" i="28"/>
  <c r="H7465" i="28"/>
  <c r="H7457" i="28"/>
  <c r="H7449" i="28"/>
  <c r="H7441" i="28"/>
  <c r="H7433" i="28"/>
  <c r="H7425" i="28"/>
  <c r="H7417" i="28"/>
  <c r="H7409" i="28"/>
  <c r="H9480" i="28"/>
  <c r="H9212" i="28"/>
  <c r="H9077" i="28"/>
  <c r="H8991" i="28"/>
  <c r="H8918" i="28"/>
  <c r="H8896" i="28"/>
  <c r="H8880" i="28"/>
  <c r="H8863" i="28"/>
  <c r="H8847" i="28"/>
  <c r="H8833" i="28"/>
  <c r="H8818" i="28"/>
  <c r="H8805" i="28"/>
  <c r="H8791" i="28"/>
  <c r="H8777" i="28"/>
  <c r="H8765" i="28"/>
  <c r="H8752" i="28"/>
  <c r="H8740" i="28"/>
  <c r="H8727" i="28"/>
  <c r="H8713" i="28"/>
  <c r="H8701" i="28"/>
  <c r="H8688" i="28"/>
  <c r="H8676" i="28"/>
  <c r="H8663" i="28"/>
  <c r="H8649" i="28"/>
  <c r="H8637" i="28"/>
  <c r="H8624" i="28"/>
  <c r="H8612" i="28"/>
  <c r="H8599" i="28"/>
  <c r="H8585" i="28"/>
  <c r="H8573" i="28"/>
  <c r="H8560" i="28"/>
  <c r="H8548" i="28"/>
  <c r="H8535" i="28"/>
  <c r="H8521" i="28"/>
  <c r="H8509" i="28"/>
  <c r="H8496" i="28"/>
  <c r="H8485" i="28"/>
  <c r="H8474" i="28"/>
  <c r="H8465" i="28"/>
  <c r="H8456" i="28"/>
  <c r="H8447" i="28"/>
  <c r="H8438" i="28"/>
  <c r="H8429" i="28"/>
  <c r="H8420" i="28"/>
  <c r="H8410" i="28"/>
  <c r="H8401" i="28"/>
  <c r="H8392" i="28"/>
  <c r="H8384" i="28"/>
  <c r="H8376" i="28"/>
  <c r="H8368" i="28"/>
  <c r="H8360" i="28"/>
  <c r="H8352" i="28"/>
  <c r="H8344" i="28"/>
  <c r="H8336" i="28"/>
  <c r="H8328" i="28"/>
  <c r="H8320" i="28"/>
  <c r="H8312" i="28"/>
  <c r="H8304" i="28"/>
  <c r="H8296" i="28"/>
  <c r="H8288" i="28"/>
  <c r="H8280" i="28"/>
  <c r="H8272" i="28"/>
  <c r="H8264" i="28"/>
  <c r="H8256" i="28"/>
  <c r="H9418" i="28"/>
  <c r="H9191" i="28"/>
  <c r="H9065" i="28"/>
  <c r="H8981" i="28"/>
  <c r="H8917" i="28"/>
  <c r="H8895" i="28"/>
  <c r="H8877" i="28"/>
  <c r="H8861" i="28"/>
  <c r="H8846" i="28"/>
  <c r="H8832" i="28"/>
  <c r="H8817" i="28"/>
  <c r="H8801" i="28"/>
  <c r="H8789" i="28"/>
  <c r="H8776" i="28"/>
  <c r="H8764" i="28"/>
  <c r="H8751" i="28"/>
  <c r="H8737" i="28"/>
  <c r="H8725" i="28"/>
  <c r="H8712" i="28"/>
  <c r="H8700" i="28"/>
  <c r="H8687" i="28"/>
  <c r="H8673" i="28"/>
  <c r="H8661" i="28"/>
  <c r="H8648" i="28"/>
  <c r="H8636" i="28"/>
  <c r="H8623" i="28"/>
  <c r="H8609" i="28"/>
  <c r="H8597" i="28"/>
  <c r="H8584" i="28"/>
  <c r="H8572" i="28"/>
  <c r="H8559" i="28"/>
  <c r="H8545" i="28"/>
  <c r="H8533" i="28"/>
  <c r="H8520" i="28"/>
  <c r="H8508" i="28"/>
  <c r="H8495" i="28"/>
  <c r="H8484" i="28"/>
  <c r="H8473" i="28"/>
  <c r="H8464" i="28"/>
  <c r="H8455" i="28"/>
  <c r="H8446" i="28"/>
  <c r="H8437" i="28"/>
  <c r="H8428" i="28"/>
  <c r="H8418" i="28"/>
  <c r="H8409" i="28"/>
  <c r="H8400" i="28"/>
  <c r="H8391" i="28"/>
  <c r="H8383" i="28"/>
  <c r="H8375" i="28"/>
  <c r="H8367" i="28"/>
  <c r="H8359" i="28"/>
  <c r="H8351" i="28"/>
  <c r="H8343" i="28"/>
  <c r="H8335" i="28"/>
  <c r="H8327" i="28"/>
  <c r="H8319" i="28"/>
  <c r="H8311" i="28"/>
  <c r="H8303" i="28"/>
  <c r="H8295" i="28"/>
  <c r="H8287" i="28"/>
  <c r="H8279" i="28"/>
  <c r="H8271" i="28"/>
  <c r="H8263" i="28"/>
  <c r="H8255" i="28"/>
  <c r="H8247" i="28"/>
  <c r="H8239" i="28"/>
  <c r="H8231" i="28"/>
  <c r="H8223" i="28"/>
  <c r="H8215" i="28"/>
  <c r="H8207" i="28"/>
  <c r="H8199" i="28"/>
  <c r="H8191" i="28"/>
  <c r="H8183" i="28"/>
  <c r="H8175" i="28"/>
  <c r="H8167" i="28"/>
  <c r="H8159" i="28"/>
  <c r="H8151" i="28"/>
  <c r="H8143" i="28"/>
  <c r="H8135" i="28"/>
  <c r="H8127" i="28"/>
  <c r="H8119" i="28"/>
  <c r="H8111" i="28"/>
  <c r="H8103" i="28"/>
  <c r="H8095" i="28"/>
  <c r="H8087" i="28"/>
  <c r="H8079" i="28"/>
  <c r="H8071" i="28"/>
  <c r="H8063" i="28"/>
  <c r="H8055" i="28"/>
  <c r="H8047" i="28"/>
  <c r="H8039" i="28"/>
  <c r="H8031" i="28"/>
  <c r="H8023" i="28"/>
  <c r="H8015" i="28"/>
  <c r="H8007" i="28"/>
  <c r="H7999" i="28"/>
  <c r="H7991" i="28"/>
  <c r="H7983" i="28"/>
  <c r="H7975" i="28"/>
  <c r="H7967" i="28"/>
  <c r="H7959" i="28"/>
  <c r="H7951" i="28"/>
  <c r="H7943" i="28"/>
  <c r="H7935" i="28"/>
  <c r="H7927" i="28"/>
  <c r="H7919" i="28"/>
  <c r="H7911" i="28"/>
  <c r="H7903" i="28"/>
  <c r="H7895" i="28"/>
  <c r="H7887" i="28"/>
  <c r="H7879" i="28"/>
  <c r="H7871" i="28"/>
  <c r="H7863" i="28"/>
  <c r="H7855" i="28"/>
  <c r="H7847" i="28"/>
  <c r="H7839" i="28"/>
  <c r="H7831" i="28"/>
  <c r="H7823" i="28"/>
  <c r="H7815" i="28"/>
  <c r="H7807" i="28"/>
  <c r="H7799" i="28"/>
  <c r="H7791" i="28"/>
  <c r="H7783" i="28"/>
  <c r="H7775" i="28"/>
  <c r="H7767" i="28"/>
  <c r="H7759" i="28"/>
  <c r="H7751" i="28"/>
  <c r="H7743" i="28"/>
  <c r="H7735" i="28"/>
  <c r="H7727" i="28"/>
  <c r="H7719" i="28"/>
  <c r="H7711" i="28"/>
  <c r="H7703" i="28"/>
  <c r="H7695" i="28"/>
  <c r="H7687" i="28"/>
  <c r="H7679" i="28"/>
  <c r="H7671" i="28"/>
  <c r="H7663" i="28"/>
  <c r="H7655" i="28"/>
  <c r="H7647" i="28"/>
  <c r="H7639" i="28"/>
  <c r="H7631" i="28"/>
  <c r="H7623" i="28"/>
  <c r="H7615" i="28"/>
  <c r="H7607" i="28"/>
  <c r="H7599" i="28"/>
  <c r="H7591" i="28"/>
  <c r="H7583" i="28"/>
  <c r="H7575" i="28"/>
  <c r="H7567" i="28"/>
  <c r="H7559" i="28"/>
  <c r="H9365" i="28"/>
  <c r="H9168" i="28"/>
  <c r="H9055" i="28"/>
  <c r="H8969" i="28"/>
  <c r="H8912" i="28"/>
  <c r="H8893" i="28"/>
  <c r="H8876" i="28"/>
  <c r="H8860" i="28"/>
  <c r="H8845" i="28"/>
  <c r="H8829" i="28"/>
  <c r="H8815" i="28"/>
  <c r="H8800" i="28"/>
  <c r="H8788" i="28"/>
  <c r="H8775" i="28"/>
  <c r="H8761" i="28"/>
  <c r="H8749" i="28"/>
  <c r="H8736" i="28"/>
  <c r="H8724" i="28"/>
  <c r="H8711" i="28"/>
  <c r="H8697" i="28"/>
  <c r="H8685" i="28"/>
  <c r="H8672" i="28"/>
  <c r="H8660" i="28"/>
  <c r="H8647" i="28"/>
  <c r="H8633" i="28"/>
  <c r="H8621" i="28"/>
  <c r="H8608" i="28"/>
  <c r="H8596" i="28"/>
  <c r="H8583" i="28"/>
  <c r="H8569" i="28"/>
  <c r="H8557" i="28"/>
  <c r="H8544" i="28"/>
  <c r="H8532" i="28"/>
  <c r="H8519" i="28"/>
  <c r="H8505" i="28"/>
  <c r="H8493" i="28"/>
  <c r="H8482" i="28"/>
  <c r="H8472" i="28"/>
  <c r="H8463" i="28"/>
  <c r="H8454" i="28"/>
  <c r="H8445" i="28"/>
  <c r="H8436" i="28"/>
  <c r="H8426" i="28"/>
  <c r="H8417" i="28"/>
  <c r="H8408" i="28"/>
  <c r="H8399" i="28"/>
  <c r="H8390" i="28"/>
  <c r="H8382" i="28"/>
  <c r="H8374" i="28"/>
  <c r="H8366" i="28"/>
  <c r="H8358" i="28"/>
  <c r="H8350" i="28"/>
  <c r="H8342" i="28"/>
  <c r="H8334" i="28"/>
  <c r="H8326" i="28"/>
  <c r="H8318" i="28"/>
  <c r="H8310" i="28"/>
  <c r="H8302" i="28"/>
  <c r="H8294" i="28"/>
  <c r="H8286" i="28"/>
  <c r="H8278" i="28"/>
  <c r="H8270" i="28"/>
  <c r="H8262" i="28"/>
  <c r="H8254" i="28"/>
  <c r="H8246" i="28"/>
  <c r="H8238" i="28"/>
  <c r="H8230" i="28"/>
  <c r="H8222" i="28"/>
  <c r="H8214" i="28"/>
  <c r="H8206" i="28"/>
  <c r="H8198" i="28"/>
  <c r="H8190" i="28"/>
  <c r="H8182" i="28"/>
  <c r="H8174" i="28"/>
  <c r="H8166" i="28"/>
  <c r="H8158" i="28"/>
  <c r="H8150" i="28"/>
  <c r="H8142" i="28"/>
  <c r="H8134" i="28"/>
  <c r="H8126" i="28"/>
  <c r="H8118" i="28"/>
  <c r="H8110" i="28"/>
  <c r="H8102" i="28"/>
  <c r="H8094" i="28"/>
  <c r="H8086" i="28"/>
  <c r="H8078" i="28"/>
  <c r="H8070" i="28"/>
  <c r="H8062" i="28"/>
  <c r="H8054" i="28"/>
  <c r="H8046" i="28"/>
  <c r="H8038" i="28"/>
  <c r="H8030" i="28"/>
  <c r="H8022" i="28"/>
  <c r="H8014" i="28"/>
  <c r="H8006" i="28"/>
  <c r="H7998" i="28"/>
  <c r="H7990" i="28"/>
  <c r="H7982" i="28"/>
  <c r="H7974" i="28"/>
  <c r="H7966" i="28"/>
  <c r="H7958" i="28"/>
  <c r="H7950" i="28"/>
  <c r="H7942" i="28"/>
  <c r="H7934" i="28"/>
  <c r="H7926" i="28"/>
  <c r="H7918" i="28"/>
  <c r="H7910" i="28"/>
  <c r="H7902" i="28"/>
  <c r="H7894" i="28"/>
  <c r="H7886" i="28"/>
  <c r="H7878" i="28"/>
  <c r="H7870" i="28"/>
  <c r="H7862" i="28"/>
  <c r="H7854" i="28"/>
  <c r="H7846" i="28"/>
  <c r="H7838" i="28"/>
  <c r="H7830" i="28"/>
  <c r="H7822" i="28"/>
  <c r="H7814" i="28"/>
  <c r="H7806" i="28"/>
  <c r="H7798" i="28"/>
  <c r="H7790" i="28"/>
  <c r="H7782" i="28"/>
  <c r="H7774" i="28"/>
  <c r="H7766" i="28"/>
  <c r="H7758" i="28"/>
  <c r="H7750" i="28"/>
  <c r="H7742" i="28"/>
  <c r="H7734" i="28"/>
  <c r="H7726" i="28"/>
  <c r="H7718" i="28"/>
  <c r="H7710" i="28"/>
  <c r="H7702" i="28"/>
  <c r="H7694" i="28"/>
  <c r="H7686" i="28"/>
  <c r="H7678" i="28"/>
  <c r="H7670" i="28"/>
  <c r="H7662" i="28"/>
  <c r="H7654" i="28"/>
  <c r="H9296" i="28"/>
  <c r="H9127" i="28"/>
  <c r="H9033" i="28"/>
  <c r="H8949" i="28"/>
  <c r="H8905" i="28"/>
  <c r="H8887" i="28"/>
  <c r="H8871" i="28"/>
  <c r="H8855" i="28"/>
  <c r="H8841" i="28"/>
  <c r="H8826" i="28"/>
  <c r="H8810" i="28"/>
  <c r="H8797" i="28"/>
  <c r="H8784" i="28"/>
  <c r="H8772" i="28"/>
  <c r="H8759" i="28"/>
  <c r="H8745" i="28"/>
  <c r="H8733" i="28"/>
  <c r="H8720" i="28"/>
  <c r="H8708" i="28"/>
  <c r="H8695" i="28"/>
  <c r="H8681" i="28"/>
  <c r="H8669" i="28"/>
  <c r="H8656" i="28"/>
  <c r="H8644" i="28"/>
  <c r="H8631" i="28"/>
  <c r="H8617" i="28"/>
  <c r="H8605" i="28"/>
  <c r="H8592" i="28"/>
  <c r="H8580" i="28"/>
  <c r="H8567" i="28"/>
  <c r="H8553" i="28"/>
  <c r="H8541" i="28"/>
  <c r="H8528" i="28"/>
  <c r="H8516" i="28"/>
  <c r="H8503" i="28"/>
  <c r="H8490" i="28"/>
  <c r="H8480" i="28"/>
  <c r="H8470" i="28"/>
  <c r="H8461" i="28"/>
  <c r="H8452" i="28"/>
  <c r="H8442" i="28"/>
  <c r="H8433" i="28"/>
  <c r="H8424" i="28"/>
  <c r="H8415" i="28"/>
  <c r="H8406" i="28"/>
  <c r="H8397" i="28"/>
  <c r="H8388" i="28"/>
  <c r="H8380" i="28"/>
  <c r="H8372" i="28"/>
  <c r="H8364" i="28"/>
  <c r="H8356" i="28"/>
  <c r="H8348" i="28"/>
  <c r="H8340" i="28"/>
  <c r="H8332" i="28"/>
  <c r="H8324" i="28"/>
  <c r="H8316" i="28"/>
  <c r="H8308" i="28"/>
  <c r="H8300" i="28"/>
  <c r="H8292" i="28"/>
  <c r="H8284" i="28"/>
  <c r="H8276" i="28"/>
  <c r="H8268" i="28"/>
  <c r="H8260" i="28"/>
  <c r="H8252" i="28"/>
  <c r="H8244" i="28"/>
  <c r="H8236" i="28"/>
  <c r="H8228" i="28"/>
  <c r="H8220" i="28"/>
  <c r="H8212" i="28"/>
  <c r="H8204" i="28"/>
  <c r="H8196" i="28"/>
  <c r="H8188" i="28"/>
  <c r="H8180" i="28"/>
  <c r="H8172" i="28"/>
  <c r="H8164" i="28"/>
  <c r="H8156" i="28"/>
  <c r="H8148" i="28"/>
  <c r="H8140" i="28"/>
  <c r="H8132" i="28"/>
  <c r="H8124" i="28"/>
  <c r="H8116" i="28"/>
  <c r="H8108" i="28"/>
  <c r="H8100" i="28"/>
  <c r="H8092" i="28"/>
  <c r="H8084" i="28"/>
  <c r="H8076" i="28"/>
  <c r="H8068" i="28"/>
  <c r="H8060" i="28"/>
  <c r="H8052" i="28"/>
  <c r="H8044" i="28"/>
  <c r="H8036" i="28"/>
  <c r="H8028" i="28"/>
  <c r="H8020" i="28"/>
  <c r="H8012" i="28"/>
  <c r="H8004" i="28"/>
  <c r="H7996" i="28"/>
  <c r="H7988" i="28"/>
  <c r="H7980" i="28"/>
  <c r="H7972" i="28"/>
  <c r="H7964" i="28"/>
  <c r="H7956" i="28"/>
  <c r="H7948" i="28"/>
  <c r="H7940" i="28"/>
  <c r="H7932" i="28"/>
  <c r="H7924" i="28"/>
  <c r="H7916" i="28"/>
  <c r="H7908" i="28"/>
  <c r="H7900" i="28"/>
  <c r="H7892" i="28"/>
  <c r="H7884" i="28"/>
  <c r="H7876" i="28"/>
  <c r="H7868" i="28"/>
  <c r="H7860" i="28"/>
  <c r="H7852" i="28"/>
  <c r="H7844" i="28"/>
  <c r="H7836" i="28"/>
  <c r="H7828" i="28"/>
  <c r="H7820" i="28"/>
  <c r="H7812" i="28"/>
  <c r="H7804" i="28"/>
  <c r="H7796" i="28"/>
  <c r="H7788" i="28"/>
  <c r="H7780" i="28"/>
  <c r="H7772" i="28"/>
  <c r="H7764" i="28"/>
  <c r="H7756" i="28"/>
  <c r="H7748" i="28"/>
  <c r="H7740" i="28"/>
  <c r="H7732" i="28"/>
  <c r="H7724" i="28"/>
  <c r="H7716" i="28"/>
  <c r="H7708" i="28"/>
  <c r="H7700" i="28"/>
  <c r="H7692" i="28"/>
  <c r="H7684" i="28"/>
  <c r="H7676" i="28"/>
  <c r="H7668" i="28"/>
  <c r="H7660" i="28"/>
  <c r="H7652" i="28"/>
  <c r="H7644" i="28"/>
  <c r="H7636" i="28"/>
  <c r="H7628" i="28"/>
  <c r="H7620" i="28"/>
  <c r="H7612" i="28"/>
  <c r="H7604" i="28"/>
  <c r="H7596" i="28"/>
  <c r="H7588" i="28"/>
  <c r="H7580" i="28"/>
  <c r="H7572" i="28"/>
  <c r="H7564" i="28"/>
  <c r="H7556" i="28"/>
  <c r="H9319" i="28"/>
  <c r="H8842" i="28"/>
  <c r="H8735" i="28"/>
  <c r="H8632" i="28"/>
  <c r="H8529" i="28"/>
  <c r="H8444" i="28"/>
  <c r="H8373" i="28"/>
  <c r="H8309" i="28"/>
  <c r="H8248" i="28"/>
  <c r="H8226" i="28"/>
  <c r="H8205" i="28"/>
  <c r="H8184" i="28"/>
  <c r="H8162" i="28"/>
  <c r="H8141" i="28"/>
  <c r="H8120" i="28"/>
  <c r="H8098" i="28"/>
  <c r="H8077" i="28"/>
  <c r="H8056" i="28"/>
  <c r="H8034" i="28"/>
  <c r="H8013" i="28"/>
  <c r="H7992" i="28"/>
  <c r="H7970" i="28"/>
  <c r="H7949" i="28"/>
  <c r="H7928" i="28"/>
  <c r="H7906" i="28"/>
  <c r="H7885" i="28"/>
  <c r="H7864" i="28"/>
  <c r="H7842" i="28"/>
  <c r="H7821" i="28"/>
  <c r="H7800" i="28"/>
  <c r="H7778" i="28"/>
  <c r="H7757" i="28"/>
  <c r="H7736" i="28"/>
  <c r="H7714" i="28"/>
  <c r="H7693" i="28"/>
  <c r="H7675" i="28"/>
  <c r="H7659" i="28"/>
  <c r="H7645" i="28"/>
  <c r="H7632" i="28"/>
  <c r="H7619" i="28"/>
  <c r="H7606" i="28"/>
  <c r="H7594" i="28"/>
  <c r="H7581" i="28"/>
  <c r="H7568" i="28"/>
  <c r="H7555" i="28"/>
  <c r="H7546" i="28"/>
  <c r="H7536" i="28"/>
  <c r="H7527" i="28"/>
  <c r="H7518" i="28"/>
  <c r="H7509" i="28"/>
  <c r="H7500" i="28"/>
  <c r="H7491" i="28"/>
  <c r="H7482" i="28"/>
  <c r="H7472" i="28"/>
  <c r="H7463" i="28"/>
  <c r="H7454" i="28"/>
  <c r="H7445" i="28"/>
  <c r="H7436" i="28"/>
  <c r="H7427" i="28"/>
  <c r="H7418" i="28"/>
  <c r="H7408" i="28"/>
  <c r="H7400" i="28"/>
  <c r="H7392" i="28"/>
  <c r="H7384" i="28"/>
  <c r="H7376" i="28"/>
  <c r="H7368" i="28"/>
  <c r="H7360" i="28"/>
  <c r="H7352" i="28"/>
  <c r="H7344" i="28"/>
  <c r="H7336" i="28"/>
  <c r="H7328" i="28"/>
  <c r="H7320" i="28"/>
  <c r="H7312" i="28"/>
  <c r="H7304" i="28"/>
  <c r="H7296" i="28"/>
  <c r="H7288" i="28"/>
  <c r="H7280" i="28"/>
  <c r="H7272" i="28"/>
  <c r="H7264" i="28"/>
  <c r="H7256" i="28"/>
  <c r="H7248" i="28"/>
  <c r="H7240" i="28"/>
  <c r="H7232" i="28"/>
  <c r="H7224" i="28"/>
  <c r="H7216" i="28"/>
  <c r="H7208" i="28"/>
  <c r="H7200" i="28"/>
  <c r="H7192" i="28"/>
  <c r="H7184" i="28"/>
  <c r="H7176" i="28"/>
  <c r="H7168" i="28"/>
  <c r="H7160" i="28"/>
  <c r="H7152" i="28"/>
  <c r="H7144" i="28"/>
  <c r="H7136" i="28"/>
  <c r="H7128" i="28"/>
  <c r="H7120" i="28"/>
  <c r="H7112" i="28"/>
  <c r="H7104" i="28"/>
  <c r="H7096" i="28"/>
  <c r="H7088" i="28"/>
  <c r="H7080" i="28"/>
  <c r="H7072" i="28"/>
  <c r="H7064" i="28"/>
  <c r="H7056" i="28"/>
  <c r="H7048" i="28"/>
  <c r="H7040" i="28"/>
  <c r="H7032" i="28"/>
  <c r="H7024" i="28"/>
  <c r="H7016" i="28"/>
  <c r="H7008" i="28"/>
  <c r="H7000" i="28"/>
  <c r="H6992" i="28"/>
  <c r="H6984" i="28"/>
  <c r="H6976" i="28"/>
  <c r="H6968" i="28"/>
  <c r="H6960" i="28"/>
  <c r="H6952" i="28"/>
  <c r="H6944" i="28"/>
  <c r="H6936" i="28"/>
  <c r="H6928" i="28"/>
  <c r="H6920" i="28"/>
  <c r="H6912" i="28"/>
  <c r="H6904" i="28"/>
  <c r="H6896" i="28"/>
  <c r="H6888" i="28"/>
  <c r="H6880" i="28"/>
  <c r="H6872" i="28"/>
  <c r="H6864" i="28"/>
  <c r="H6856" i="28"/>
  <c r="H6848" i="28"/>
  <c r="H6840" i="28"/>
  <c r="H6832" i="28"/>
  <c r="H6824" i="28"/>
  <c r="H6816" i="28"/>
  <c r="H6808" i="28"/>
  <c r="H6800" i="28"/>
  <c r="H6792" i="28"/>
  <c r="H6784" i="28"/>
  <c r="H6776" i="28"/>
  <c r="H6768" i="28"/>
  <c r="H6760" i="28"/>
  <c r="H6752" i="28"/>
  <c r="H6744" i="28"/>
  <c r="H6736" i="28"/>
  <c r="H6728" i="28"/>
  <c r="H6720" i="28"/>
  <c r="H6712" i="28"/>
  <c r="H6704" i="28"/>
  <c r="H6696" i="28"/>
  <c r="H6688" i="28"/>
  <c r="H6680" i="28"/>
  <c r="H6672" i="28"/>
  <c r="H6664" i="28"/>
  <c r="H6656" i="28"/>
  <c r="H6648" i="28"/>
  <c r="H6640" i="28"/>
  <c r="H6632" i="28"/>
  <c r="H6624" i="28"/>
  <c r="H6616" i="28"/>
  <c r="H6608" i="28"/>
  <c r="H6600" i="28"/>
  <c r="H6592" i="28"/>
  <c r="H6584" i="28"/>
  <c r="H9148" i="28"/>
  <c r="H8828" i="28"/>
  <c r="H8721" i="28"/>
  <c r="H8620" i="28"/>
  <c r="H8517" i="28"/>
  <c r="H8434" i="28"/>
  <c r="H8365" i="28"/>
  <c r="H8301" i="28"/>
  <c r="H8245" i="28"/>
  <c r="H8224" i="28"/>
  <c r="H8202" i="28"/>
  <c r="H8181" i="28"/>
  <c r="H8160" i="28"/>
  <c r="H8138" i="28"/>
  <c r="H8117" i="28"/>
  <c r="H8096" i="28"/>
  <c r="H8074" i="28"/>
  <c r="H8053" i="28"/>
  <c r="H8032" i="28"/>
  <c r="H8010" i="28"/>
  <c r="H7989" i="28"/>
  <c r="H7968" i="28"/>
  <c r="H7946" i="28"/>
  <c r="H7925" i="28"/>
  <c r="H7904" i="28"/>
  <c r="H7882" i="28"/>
  <c r="H7861" i="28"/>
  <c r="H9045" i="28"/>
  <c r="H8814" i="28"/>
  <c r="H8709" i="28"/>
  <c r="H8607" i="28"/>
  <c r="H8504" i="28"/>
  <c r="H8425" i="28"/>
  <c r="H8357" i="28"/>
  <c r="H8293" i="28"/>
  <c r="H8242" i="28"/>
  <c r="H8221" i="28"/>
  <c r="H8200" i="28"/>
  <c r="H8178" i="28"/>
  <c r="H8157" i="28"/>
  <c r="H8136" i="28"/>
  <c r="H8114" i="28"/>
  <c r="H8093" i="28"/>
  <c r="H8072" i="28"/>
  <c r="H8050" i="28"/>
  <c r="H8029" i="28"/>
  <c r="H8008" i="28"/>
  <c r="H7986" i="28"/>
  <c r="H7965" i="28"/>
  <c r="H7944" i="28"/>
  <c r="H7922" i="28"/>
  <c r="H7901" i="28"/>
  <c r="H7880" i="28"/>
  <c r="H7858" i="28"/>
  <c r="H7837" i="28"/>
  <c r="H7816" i="28"/>
  <c r="H7794" i="28"/>
  <c r="H7773" i="28"/>
  <c r="H7752" i="28"/>
  <c r="H7730" i="28"/>
  <c r="H7709" i="28"/>
  <c r="H7688" i="28"/>
  <c r="H7672" i="28"/>
  <c r="H7656" i="28"/>
  <c r="H7642" i="28"/>
  <c r="H7629" i="28"/>
  <c r="H7616" i="28"/>
  <c r="H7603" i="28"/>
  <c r="H7590" i="28"/>
  <c r="H7578" i="28"/>
  <c r="H7565" i="28"/>
  <c r="H7552" i="28"/>
  <c r="H7543" i="28"/>
  <c r="H7534" i="28"/>
  <c r="H7525" i="28"/>
  <c r="H7516" i="28"/>
  <c r="H7507" i="28"/>
  <c r="H7498" i="28"/>
  <c r="H7488" i="28"/>
  <c r="H7479" i="28"/>
  <c r="H7470" i="28"/>
  <c r="H7461" i="28"/>
  <c r="H7452" i="28"/>
  <c r="H7443" i="28"/>
  <c r="H7434" i="28"/>
  <c r="H7424" i="28"/>
  <c r="H7415" i="28"/>
  <c r="H7406" i="28"/>
  <c r="H7398" i="28"/>
  <c r="H7390" i="28"/>
  <c r="H7382" i="28"/>
  <c r="H7374" i="28"/>
  <c r="H7366" i="28"/>
  <c r="H7358" i="28"/>
  <c r="H7350" i="28"/>
  <c r="H7342" i="28"/>
  <c r="H7334" i="28"/>
  <c r="H7326" i="28"/>
  <c r="H7318" i="28"/>
  <c r="H7310" i="28"/>
  <c r="H7302" i="28"/>
  <c r="H7294" i="28"/>
  <c r="H7286" i="28"/>
  <c r="H7278" i="28"/>
  <c r="H7270" i="28"/>
  <c r="H7262" i="28"/>
  <c r="H7254" i="28"/>
  <c r="H7246" i="28"/>
  <c r="H7238" i="28"/>
  <c r="H7230" i="28"/>
  <c r="H7222" i="28"/>
  <c r="H7214" i="28"/>
  <c r="H7206" i="28"/>
  <c r="H7198" i="28"/>
  <c r="H7190" i="28"/>
  <c r="H7182" i="28"/>
  <c r="H7174" i="28"/>
  <c r="H7166" i="28"/>
  <c r="H7158" i="28"/>
  <c r="H7150" i="28"/>
  <c r="H7142" i="28"/>
  <c r="H7134" i="28"/>
  <c r="H7126" i="28"/>
  <c r="H7118" i="28"/>
  <c r="H7110" i="28"/>
  <c r="H7102" i="28"/>
  <c r="H7094" i="28"/>
  <c r="H7086" i="28"/>
  <c r="H7078" i="28"/>
  <c r="H7070" i="28"/>
  <c r="H7062" i="28"/>
  <c r="H7054" i="28"/>
  <c r="H7046" i="28"/>
  <c r="H7038" i="28"/>
  <c r="H7030" i="28"/>
  <c r="H7022" i="28"/>
  <c r="H7014" i="28"/>
  <c r="H7006" i="28"/>
  <c r="H6998" i="28"/>
  <c r="H6990" i="28"/>
  <c r="H6982" i="28"/>
  <c r="H6974" i="28"/>
  <c r="H6966" i="28"/>
  <c r="H6958" i="28"/>
  <c r="H6950" i="28"/>
  <c r="H6942" i="28"/>
  <c r="H6934" i="28"/>
  <c r="H6926" i="28"/>
  <c r="H6918" i="28"/>
  <c r="H6910" i="28"/>
  <c r="H6902" i="28"/>
  <c r="H6894" i="28"/>
  <c r="H6886" i="28"/>
  <c r="H6878" i="28"/>
  <c r="H6870" i="28"/>
  <c r="H6862" i="28"/>
  <c r="H6854" i="28"/>
  <c r="H6846" i="28"/>
  <c r="H6838" i="28"/>
  <c r="H6830" i="28"/>
  <c r="H6822" i="28"/>
  <c r="H6814" i="28"/>
  <c r="H6806" i="28"/>
  <c r="H6798" i="28"/>
  <c r="H6790" i="28"/>
  <c r="H6782" i="28"/>
  <c r="H6774" i="28"/>
  <c r="H6766" i="28"/>
  <c r="H6758" i="28"/>
  <c r="H6750" i="28"/>
  <c r="H6742" i="28"/>
  <c r="H6734" i="28"/>
  <c r="H6726" i="28"/>
  <c r="H6718" i="28"/>
  <c r="H6710" i="28"/>
  <c r="H6702" i="28"/>
  <c r="H6694" i="28"/>
  <c r="H6686" i="28"/>
  <c r="H6678" i="28"/>
  <c r="H6670" i="28"/>
  <c r="H6662" i="28"/>
  <c r="H8959" i="28"/>
  <c r="H8799" i="28"/>
  <c r="H8696" i="28"/>
  <c r="H8593" i="28"/>
  <c r="H8492" i="28"/>
  <c r="H8416" i="28"/>
  <c r="H8349" i="28"/>
  <c r="H8285" i="28"/>
  <c r="H8240" i="28"/>
  <c r="H8218" i="28"/>
  <c r="H8197" i="28"/>
  <c r="H8176" i="28"/>
  <c r="H8154" i="28"/>
  <c r="H8133" i="28"/>
  <c r="H8112" i="28"/>
  <c r="H8090" i="28"/>
  <c r="H8069" i="28"/>
  <c r="H8048" i="28"/>
  <c r="H8026" i="28"/>
  <c r="H8005" i="28"/>
  <c r="H7984" i="28"/>
  <c r="H7962" i="28"/>
  <c r="H7941" i="28"/>
  <c r="H7920" i="28"/>
  <c r="H7898" i="28"/>
  <c r="H7877" i="28"/>
  <c r="H7856" i="28"/>
  <c r="H7834" i="28"/>
  <c r="H7813" i="28"/>
  <c r="H7792" i="28"/>
  <c r="H7770" i="28"/>
  <c r="H7749" i="28"/>
  <c r="H7728" i="28"/>
  <c r="H7706" i="28"/>
  <c r="H7685" i="28"/>
  <c r="H7669" i="28"/>
  <c r="H7653" i="28"/>
  <c r="H7640" i="28"/>
  <c r="H7627" i="28"/>
  <c r="H7614" i="28"/>
  <c r="H7602" i="28"/>
  <c r="H7589" i="28"/>
  <c r="H7576" i="28"/>
  <c r="H7563" i="28"/>
  <c r="H7551" i="28"/>
  <c r="H7542" i="28"/>
  <c r="H7533" i="28"/>
  <c r="H7524" i="28"/>
  <c r="H7515" i="28"/>
  <c r="H7506" i="28"/>
  <c r="H7496" i="28"/>
  <c r="H7487" i="28"/>
  <c r="H7478" i="28"/>
  <c r="H7469" i="28"/>
  <c r="H7460" i="28"/>
  <c r="H7451" i="28"/>
  <c r="H7442" i="28"/>
  <c r="H7432" i="28"/>
  <c r="H7423" i="28"/>
  <c r="H7414" i="28"/>
  <c r="H7405" i="28"/>
  <c r="H7397" i="28"/>
  <c r="H7389" i="28"/>
  <c r="H7381" i="28"/>
  <c r="H7373" i="28"/>
  <c r="H7365" i="28"/>
  <c r="H7357" i="28"/>
  <c r="H7349" i="28"/>
  <c r="H7341" i="28"/>
  <c r="H7333" i="28"/>
  <c r="H7325" i="28"/>
  <c r="H7317" i="28"/>
  <c r="H7309" i="28"/>
  <c r="H7301" i="28"/>
  <c r="H7293" i="28"/>
  <c r="H7285" i="28"/>
  <c r="H7277" i="28"/>
  <c r="H7269" i="28"/>
  <c r="H7261" i="28"/>
  <c r="H7253" i="28"/>
  <c r="H7245" i="28"/>
  <c r="H7237" i="28"/>
  <c r="H7229" i="28"/>
  <c r="H7221" i="28"/>
  <c r="H7213" i="28"/>
  <c r="H7205" i="28"/>
  <c r="H7197" i="28"/>
  <c r="H7189" i="28"/>
  <c r="H7181" i="28"/>
  <c r="H7173" i="28"/>
  <c r="H7165" i="28"/>
  <c r="H7157" i="28"/>
  <c r="H7149" i="28"/>
  <c r="H7141" i="28"/>
  <c r="H7133" i="28"/>
  <c r="H7125" i="28"/>
  <c r="H7117" i="28"/>
  <c r="H7109" i="28"/>
  <c r="H7101" i="28"/>
  <c r="H7093" i="28"/>
  <c r="H7085" i="28"/>
  <c r="H7077" i="28"/>
  <c r="H7069" i="28"/>
  <c r="H7061" i="28"/>
  <c r="H7053" i="28"/>
  <c r="H7045" i="28"/>
  <c r="H7037" i="28"/>
  <c r="H7029" i="28"/>
  <c r="H7021" i="28"/>
  <c r="H7013" i="28"/>
  <c r="H7005" i="28"/>
  <c r="H6997" i="28"/>
  <c r="H6989" i="28"/>
  <c r="H6981" i="28"/>
  <c r="H6973" i="28"/>
  <c r="H6965" i="28"/>
  <c r="H6957" i="28"/>
  <c r="H6949" i="28"/>
  <c r="H6941" i="28"/>
  <c r="H6933" i="28"/>
  <c r="H6925" i="28"/>
  <c r="H6917" i="28"/>
  <c r="H6909" i="28"/>
  <c r="H6901" i="28"/>
  <c r="H6893" i="28"/>
  <c r="H6885" i="28"/>
  <c r="H6877" i="28"/>
  <c r="H6869" i="28"/>
  <c r="H6861" i="28"/>
  <c r="H6853" i="28"/>
  <c r="H6845" i="28"/>
  <c r="H6837" i="28"/>
  <c r="H6829" i="28"/>
  <c r="H6821" i="28"/>
  <c r="H6813" i="28"/>
  <c r="H6805" i="28"/>
  <c r="H6797" i="28"/>
  <c r="H6789" i="28"/>
  <c r="H6781" i="28"/>
  <c r="H6773" i="28"/>
  <c r="H6765" i="28"/>
  <c r="H6757" i="28"/>
  <c r="H6749" i="28"/>
  <c r="H6741" i="28"/>
  <c r="H6733" i="28"/>
  <c r="H6725" i="28"/>
  <c r="H6717" i="28"/>
  <c r="H6709" i="28"/>
  <c r="H6701" i="28"/>
  <c r="H6693" i="28"/>
  <c r="H6685" i="28"/>
  <c r="H6677" i="28"/>
  <c r="H6669" i="28"/>
  <c r="H6661" i="28"/>
  <c r="H6653" i="28"/>
  <c r="H6645" i="28"/>
  <c r="H6637" i="28"/>
  <c r="H6629" i="28"/>
  <c r="H6621" i="28"/>
  <c r="H6613" i="28"/>
  <c r="H6605" i="28"/>
  <c r="H6597" i="28"/>
  <c r="H6589" i="28"/>
  <c r="H6581" i="28"/>
  <c r="H6573" i="28"/>
  <c r="H6565" i="28"/>
  <c r="H6557" i="28"/>
  <c r="H6549" i="28"/>
  <c r="H8908" i="28"/>
  <c r="H8785" i="28"/>
  <c r="H8684" i="28"/>
  <c r="H8581" i="28"/>
  <c r="H8481" i="28"/>
  <c r="H8407" i="28"/>
  <c r="H8341" i="28"/>
  <c r="H8277" i="28"/>
  <c r="H8237" i="28"/>
  <c r="H8216" i="28"/>
  <c r="H8194" i="28"/>
  <c r="H8173" i="28"/>
  <c r="H8152" i="28"/>
  <c r="H8130" i="28"/>
  <c r="H8109" i="28"/>
  <c r="H8088" i="28"/>
  <c r="H8066" i="28"/>
  <c r="H8045" i="28"/>
  <c r="H8024" i="28"/>
  <c r="H8002" i="28"/>
  <c r="H7981" i="28"/>
  <c r="H7960" i="28"/>
  <c r="H7938" i="28"/>
  <c r="H7917" i="28"/>
  <c r="H7896" i="28"/>
  <c r="H7874" i="28"/>
  <c r="H7853" i="28"/>
  <c r="H7832" i="28"/>
  <c r="H7810" i="28"/>
  <c r="H7789" i="28"/>
  <c r="H7768" i="28"/>
  <c r="H7746" i="28"/>
  <c r="H7725" i="28"/>
  <c r="H7704" i="28"/>
  <c r="H7683" i="28"/>
  <c r="H7667" i="28"/>
  <c r="H7651" i="28"/>
  <c r="H7638" i="28"/>
  <c r="H7626" i="28"/>
  <c r="H7613" i="28"/>
  <c r="H7600" i="28"/>
  <c r="H7587" i="28"/>
  <c r="H7574" i="28"/>
  <c r="H7562" i="28"/>
  <c r="H7550" i="28"/>
  <c r="H7541" i="28"/>
  <c r="H7532" i="28"/>
  <c r="H7523" i="28"/>
  <c r="H7514" i="28"/>
  <c r="H7504" i="28"/>
  <c r="H7495" i="28"/>
  <c r="H7486" i="28"/>
  <c r="H7477" i="28"/>
  <c r="H7468" i="28"/>
  <c r="H7459" i="28"/>
  <c r="H7450" i="28"/>
  <c r="H7440" i="28"/>
  <c r="H7431" i="28"/>
  <c r="H7422" i="28"/>
  <c r="H7413" i="28"/>
  <c r="H7404" i="28"/>
  <c r="H7396" i="28"/>
  <c r="H7388" i="28"/>
  <c r="H7380" i="28"/>
  <c r="H7372" i="28"/>
  <c r="H7364" i="28"/>
  <c r="H7356" i="28"/>
  <c r="H7348" i="28"/>
  <c r="H7340" i="28"/>
  <c r="H7332" i="28"/>
  <c r="H7324" i="28"/>
  <c r="H7316" i="28"/>
  <c r="H7308" i="28"/>
  <c r="H7300" i="28"/>
  <c r="H7292" i="28"/>
  <c r="H7284" i="28"/>
  <c r="H7276" i="28"/>
  <c r="H7268" i="28"/>
  <c r="H7260" i="28"/>
  <c r="H7252" i="28"/>
  <c r="H7244" i="28"/>
  <c r="H7236" i="28"/>
  <c r="H7228" i="28"/>
  <c r="H7220" i="28"/>
  <c r="H7212" i="28"/>
  <c r="H7204" i="28"/>
  <c r="H7196" i="28"/>
  <c r="H7188" i="28"/>
  <c r="H7180" i="28"/>
  <c r="H7172" i="28"/>
  <c r="H7164" i="28"/>
  <c r="H7156" i="28"/>
  <c r="H7148" i="28"/>
  <c r="H7140" i="28"/>
  <c r="H7132" i="28"/>
  <c r="H7124" i="28"/>
  <c r="H7116" i="28"/>
  <c r="H7108" i="28"/>
  <c r="H7100" i="28"/>
  <c r="H7092" i="28"/>
  <c r="H7084" i="28"/>
  <c r="H7076" i="28"/>
  <c r="H7068" i="28"/>
  <c r="H7060" i="28"/>
  <c r="H7052" i="28"/>
  <c r="H7044" i="28"/>
  <c r="H7036" i="28"/>
  <c r="H7028" i="28"/>
  <c r="H7020" i="28"/>
  <c r="H7012" i="28"/>
  <c r="H7004" i="28"/>
  <c r="H6996" i="28"/>
  <c r="H6988" i="28"/>
  <c r="H6980" i="28"/>
  <c r="H6972" i="28"/>
  <c r="H6964" i="28"/>
  <c r="H6956" i="28"/>
  <c r="H6948" i="28"/>
  <c r="H6940" i="28"/>
  <c r="H6932" i="28"/>
  <c r="H6924" i="28"/>
  <c r="H6916" i="28"/>
  <c r="H6908" i="28"/>
  <c r="H6900" i="28"/>
  <c r="H6892" i="28"/>
  <c r="H6884" i="28"/>
  <c r="H6876" i="28"/>
  <c r="H6868" i="28"/>
  <c r="H6860" i="28"/>
  <c r="H6852" i="28"/>
  <c r="H6844" i="28"/>
  <c r="H6836" i="28"/>
  <c r="H6828" i="28"/>
  <c r="H6820" i="28"/>
  <c r="H6812" i="28"/>
  <c r="H6804" i="28"/>
  <c r="H6796" i="28"/>
  <c r="H6788" i="28"/>
  <c r="H6780" i="28"/>
  <c r="H6772" i="28"/>
  <c r="H6764" i="28"/>
  <c r="H6756" i="28"/>
  <c r="H6748" i="28"/>
  <c r="H6740" i="28"/>
  <c r="H6732" i="28"/>
  <c r="H6724" i="28"/>
  <c r="H6716" i="28"/>
  <c r="H6708" i="28"/>
  <c r="H6700" i="28"/>
  <c r="H6692" i="28"/>
  <c r="H6684" i="28"/>
  <c r="H6676" i="28"/>
  <c r="H6668" i="28"/>
  <c r="H6660" i="28"/>
  <c r="H6652" i="28"/>
  <c r="H6644" i="28"/>
  <c r="H6636" i="28"/>
  <c r="H6628" i="28"/>
  <c r="H6620" i="28"/>
  <c r="H6612" i="28"/>
  <c r="H6604" i="28"/>
  <c r="H6596" i="28"/>
  <c r="H6588" i="28"/>
  <c r="H6580" i="28"/>
  <c r="H6572" i="28"/>
  <c r="H6564" i="28"/>
  <c r="H6556" i="28"/>
  <c r="H6548" i="28"/>
  <c r="H6540" i="28"/>
  <c r="H6532" i="28"/>
  <c r="H8892" i="28"/>
  <c r="H8773" i="28"/>
  <c r="H8671" i="28"/>
  <c r="H8568" i="28"/>
  <c r="H8471" i="28"/>
  <c r="H8398" i="28"/>
  <c r="H8333" i="28"/>
  <c r="H8269" i="28"/>
  <c r="H8234" i="28"/>
  <c r="H8213" i="28"/>
  <c r="H8192" i="28"/>
  <c r="H8170" i="28"/>
  <c r="H8149" i="28"/>
  <c r="H8128" i="28"/>
  <c r="H8106" i="28"/>
  <c r="H8085" i="28"/>
  <c r="H8064" i="28"/>
  <c r="H8042" i="28"/>
  <c r="H8021" i="28"/>
  <c r="H8000" i="28"/>
  <c r="H7978" i="28"/>
  <c r="H7957" i="28"/>
  <c r="H7936" i="28"/>
  <c r="H7914" i="28"/>
  <c r="H7893" i="28"/>
  <c r="H7872" i="28"/>
  <c r="H7850" i="28"/>
  <c r="H8856" i="28"/>
  <c r="H8748" i="28"/>
  <c r="H8645" i="28"/>
  <c r="H8543" i="28"/>
  <c r="H8453" i="28"/>
  <c r="H8381" i="28"/>
  <c r="H8317" i="28"/>
  <c r="H8253" i="28"/>
  <c r="H8229" i="28"/>
  <c r="H8208" i="28"/>
  <c r="H8186" i="28"/>
  <c r="H8165" i="28"/>
  <c r="H8144" i="28"/>
  <c r="H8122" i="28"/>
  <c r="H8101" i="28"/>
  <c r="H8080" i="28"/>
  <c r="H8058" i="28"/>
  <c r="H8037" i="28"/>
  <c r="H8016" i="28"/>
  <c r="H7994" i="28"/>
  <c r="H7973" i="28"/>
  <c r="H7952" i="28"/>
  <c r="H7930" i="28"/>
  <c r="H7909" i="28"/>
  <c r="H7888" i="28"/>
  <c r="H7866" i="28"/>
  <c r="H7845" i="28"/>
  <c r="H7824" i="28"/>
  <c r="H7802" i="28"/>
  <c r="H7781" i="28"/>
  <c r="H7760" i="28"/>
  <c r="H7738" i="28"/>
  <c r="H7717" i="28"/>
  <c r="H7696" i="28"/>
  <c r="H7677" i="28"/>
  <c r="H7661" i="28"/>
  <c r="H7646" i="28"/>
  <c r="H7634" i="28"/>
  <c r="H7621" i="28"/>
  <c r="H7608" i="28"/>
  <c r="H7595" i="28"/>
  <c r="H7582" i="28"/>
  <c r="H7570" i="28"/>
  <c r="H7557" i="28"/>
  <c r="H7547" i="28"/>
  <c r="H7538" i="28"/>
  <c r="H7528" i="28"/>
  <c r="H7519" i="28"/>
  <c r="H7510" i="28"/>
  <c r="H7501" i="28"/>
  <c r="H7492" i="28"/>
  <c r="H7483" i="28"/>
  <c r="H7474" i="28"/>
  <c r="H7464" i="28"/>
  <c r="H7455" i="28"/>
  <c r="H7446" i="28"/>
  <c r="H7437" i="28"/>
  <c r="H7428" i="28"/>
  <c r="H7419" i="28"/>
  <c r="H7410" i="28"/>
  <c r="H7401" i="28"/>
  <c r="H7393" i="28"/>
  <c r="H7385" i="28"/>
  <c r="H7377" i="28"/>
  <c r="H7369" i="28"/>
  <c r="H7361" i="28"/>
  <c r="H7353" i="28"/>
  <c r="H7345" i="28"/>
  <c r="H7337" i="28"/>
  <c r="H7329" i="28"/>
  <c r="H7321" i="28"/>
  <c r="H7313" i="28"/>
  <c r="H7305" i="28"/>
  <c r="H7297" i="28"/>
  <c r="H7289" i="28"/>
  <c r="H7281" i="28"/>
  <c r="H7273" i="28"/>
  <c r="H7265" i="28"/>
  <c r="H7257" i="28"/>
  <c r="H7249" i="28"/>
  <c r="H7241" i="28"/>
  <c r="H7233" i="28"/>
  <c r="H7225" i="28"/>
  <c r="H7217" i="28"/>
  <c r="H7209" i="28"/>
  <c r="H7201" i="28"/>
  <c r="H7193" i="28"/>
  <c r="H7185" i="28"/>
  <c r="H7177" i="28"/>
  <c r="H7169" i="28"/>
  <c r="H7161" i="28"/>
  <c r="H7153" i="28"/>
  <c r="H7145" i="28"/>
  <c r="H7137" i="28"/>
  <c r="H7129" i="28"/>
  <c r="H7121" i="28"/>
  <c r="H7113" i="28"/>
  <c r="H7105" i="28"/>
  <c r="H7097" i="28"/>
  <c r="H7089" i="28"/>
  <c r="H7081" i="28"/>
  <c r="H7073" i="28"/>
  <c r="H7065" i="28"/>
  <c r="H7057" i="28"/>
  <c r="H7049" i="28"/>
  <c r="H7041" i="28"/>
  <c r="H7033" i="28"/>
  <c r="H7025" i="28"/>
  <c r="H7017" i="28"/>
  <c r="H7009" i="28"/>
  <c r="H7001" i="28"/>
  <c r="H6993" i="28"/>
  <c r="H6985" i="28"/>
  <c r="H6977" i="28"/>
  <c r="H6969" i="28"/>
  <c r="H6961" i="28"/>
  <c r="H6953" i="28"/>
  <c r="H6945" i="28"/>
  <c r="H6937" i="28"/>
  <c r="H6929" i="28"/>
  <c r="H6921" i="28"/>
  <c r="H6913" i="28"/>
  <c r="H6905" i="28"/>
  <c r="H6897" i="28"/>
  <c r="H6889" i="28"/>
  <c r="H6881" i="28"/>
  <c r="H6873" i="28"/>
  <c r="H6865" i="28"/>
  <c r="H6857" i="28"/>
  <c r="H6849" i="28"/>
  <c r="H6841" i="28"/>
  <c r="H6833" i="28"/>
  <c r="H6825" i="28"/>
  <c r="H6817" i="28"/>
  <c r="H6809" i="28"/>
  <c r="H6801" i="28"/>
  <c r="H6793" i="28"/>
  <c r="H6785" i="28"/>
  <c r="H6777" i="28"/>
  <c r="H6769" i="28"/>
  <c r="H6761" i="28"/>
  <c r="H6753" i="28"/>
  <c r="H6745" i="28"/>
  <c r="H6737" i="28"/>
  <c r="H6729" i="28"/>
  <c r="H6721" i="28"/>
  <c r="H6713" i="28"/>
  <c r="H6705" i="28"/>
  <c r="H6697" i="28"/>
  <c r="H6689" i="28"/>
  <c r="H6681" i="28"/>
  <c r="H6673" i="28"/>
  <c r="H6665" i="28"/>
  <c r="H6657" i="28"/>
  <c r="H6649" i="28"/>
  <c r="H6641" i="28"/>
  <c r="H6633" i="28"/>
  <c r="H6625" i="28"/>
  <c r="H6617" i="28"/>
  <c r="H6609" i="28"/>
  <c r="H6601" i="28"/>
  <c r="H6593" i="28"/>
  <c r="H6585" i="28"/>
  <c r="H6577" i="28"/>
  <c r="H6569" i="28"/>
  <c r="H6561" i="28"/>
  <c r="H6553" i="28"/>
  <c r="H8873" i="28"/>
  <c r="H8232" i="28"/>
  <c r="H8061" i="28"/>
  <c r="H7890" i="28"/>
  <c r="H7805" i="28"/>
  <c r="H7744" i="28"/>
  <c r="H7690" i="28"/>
  <c r="H7648" i="28"/>
  <c r="H7611" i="28"/>
  <c r="H7579" i="28"/>
  <c r="H7548" i="28"/>
  <c r="H7522" i="28"/>
  <c r="H7499" i="28"/>
  <c r="H7475" i="28"/>
  <c r="H7448" i="28"/>
  <c r="H7426" i="28"/>
  <c r="H7402" i="28"/>
  <c r="H7379" i="28"/>
  <c r="H7359" i="28"/>
  <c r="H7338" i="28"/>
  <c r="H7315" i="28"/>
  <c r="H7295" i="28"/>
  <c r="H7274" i="28"/>
  <c r="H7251" i="28"/>
  <c r="H7231" i="28"/>
  <c r="H7210" i="28"/>
  <c r="H7187" i="28"/>
  <c r="H7167" i="28"/>
  <c r="H7146" i="28"/>
  <c r="H7123" i="28"/>
  <c r="H7103" i="28"/>
  <c r="H7082" i="28"/>
  <c r="H7059" i="28"/>
  <c r="H7039" i="28"/>
  <c r="H7018" i="28"/>
  <c r="H6995" i="28"/>
  <c r="H6975" i="28"/>
  <c r="H6954" i="28"/>
  <c r="H6931" i="28"/>
  <c r="H6911" i="28"/>
  <c r="H6890" i="28"/>
  <c r="H6867" i="28"/>
  <c r="H6847" i="28"/>
  <c r="H6826" i="28"/>
  <c r="H6803" i="28"/>
  <c r="H6783" i="28"/>
  <c r="H6762" i="28"/>
  <c r="H6739" i="28"/>
  <c r="H6719" i="28"/>
  <c r="H6698" i="28"/>
  <c r="H6675" i="28"/>
  <c r="H6655" i="28"/>
  <c r="H6639" i="28"/>
  <c r="H6623" i="28"/>
  <c r="H6607" i="28"/>
  <c r="H6591" i="28"/>
  <c r="H6576" i="28"/>
  <c r="H6563" i="28"/>
  <c r="H6551" i="28"/>
  <c r="H6541" i="28"/>
  <c r="H6531" i="28"/>
  <c r="H6523" i="28"/>
  <c r="H6515" i="28"/>
  <c r="H6507" i="28"/>
  <c r="H6499" i="28"/>
  <c r="H6491" i="28"/>
  <c r="H6483" i="28"/>
  <c r="H6475" i="28"/>
  <c r="H6467" i="28"/>
  <c r="H6459" i="28"/>
  <c r="H6451" i="28"/>
  <c r="H6443" i="28"/>
  <c r="H6435" i="28"/>
  <c r="H6427" i="28"/>
  <c r="H6419" i="28"/>
  <c r="H6411" i="28"/>
  <c r="H6403" i="28"/>
  <c r="H6395" i="28"/>
  <c r="H6387" i="28"/>
  <c r="H6379" i="28"/>
  <c r="H6371" i="28"/>
  <c r="H6363" i="28"/>
  <c r="H6355" i="28"/>
  <c r="H6347" i="28"/>
  <c r="H6339" i="28"/>
  <c r="H6331" i="28"/>
  <c r="H6323" i="28"/>
  <c r="H6315" i="28"/>
  <c r="H6307" i="28"/>
  <c r="H6299" i="28"/>
  <c r="H6291" i="28"/>
  <c r="H6283" i="28"/>
  <c r="H6275" i="28"/>
  <c r="H6267" i="28"/>
  <c r="H6259" i="28"/>
  <c r="H6251" i="28"/>
  <c r="H6243" i="28"/>
  <c r="H6235" i="28"/>
  <c r="H6227" i="28"/>
  <c r="H6219" i="28"/>
  <c r="H6211" i="28"/>
  <c r="H6203" i="28"/>
  <c r="H8760" i="28"/>
  <c r="H8210" i="28"/>
  <c r="H8040" i="28"/>
  <c r="H7869" i="28"/>
  <c r="H7797" i="28"/>
  <c r="H7741" i="28"/>
  <c r="H7682" i="28"/>
  <c r="H7643" i="28"/>
  <c r="H7610" i="28"/>
  <c r="H7573" i="28"/>
  <c r="H7544" i="28"/>
  <c r="H7520" i="28"/>
  <c r="H7494" i="28"/>
  <c r="H7471" i="28"/>
  <c r="H7447" i="28"/>
  <c r="H7421" i="28"/>
  <c r="H7399" i="28"/>
  <c r="H7378" i="28"/>
  <c r="H7355" i="28"/>
  <c r="H7335" i="28"/>
  <c r="H7314" i="28"/>
  <c r="H7291" i="28"/>
  <c r="H7271" i="28"/>
  <c r="H7250" i="28"/>
  <c r="H7227" i="28"/>
  <c r="H7207" i="28"/>
  <c r="H7186" i="28"/>
  <c r="H7163" i="28"/>
  <c r="H7143" i="28"/>
  <c r="H7122" i="28"/>
  <c r="H7099" i="28"/>
  <c r="H7079" i="28"/>
  <c r="H7058" i="28"/>
  <c r="H7035" i="28"/>
  <c r="H7015" i="28"/>
  <c r="H6994" i="28"/>
  <c r="H6971" i="28"/>
  <c r="H6951" i="28"/>
  <c r="H6930" i="28"/>
  <c r="H6907" i="28"/>
  <c r="H6887" i="28"/>
  <c r="H6866" i="28"/>
  <c r="H6843" i="28"/>
  <c r="H6823" i="28"/>
  <c r="H6802" i="28"/>
  <c r="H6779" i="28"/>
  <c r="H6759" i="28"/>
  <c r="H6738" i="28"/>
  <c r="H6715" i="28"/>
  <c r="H6695" i="28"/>
  <c r="H6674" i="28"/>
  <c r="H6654" i="28"/>
  <c r="H6638" i="28"/>
  <c r="H6622" i="28"/>
  <c r="H6606" i="28"/>
  <c r="H6590" i="28"/>
  <c r="H6575" i="28"/>
  <c r="H6562" i="28"/>
  <c r="H6550" i="28"/>
  <c r="H6539" i="28"/>
  <c r="H6530" i="28"/>
  <c r="H6522" i="28"/>
  <c r="H6514" i="28"/>
  <c r="H6506" i="28"/>
  <c r="H6498" i="28"/>
  <c r="H6490" i="28"/>
  <c r="H6482" i="28"/>
  <c r="H6474" i="28"/>
  <c r="H6466" i="28"/>
  <c r="H6458" i="28"/>
  <c r="H6450" i="28"/>
  <c r="H6442" i="28"/>
  <c r="H6434" i="28"/>
  <c r="H6426" i="28"/>
  <c r="H6418" i="28"/>
  <c r="H6410" i="28"/>
  <c r="H6402" i="28"/>
  <c r="H8657" i="28"/>
  <c r="H8189" i="28"/>
  <c r="H8018" i="28"/>
  <c r="H7848" i="28"/>
  <c r="H7786" i="28"/>
  <c r="H7733" i="28"/>
  <c r="H7680" i="28"/>
  <c r="H7637" i="28"/>
  <c r="H7605" i="28"/>
  <c r="H7571" i="28"/>
  <c r="H7540" i="28"/>
  <c r="H7517" i="28"/>
  <c r="H7493" i="28"/>
  <c r="H7467" i="28"/>
  <c r="H7444" i="28"/>
  <c r="H7420" i="28"/>
  <c r="H7395" i="28"/>
  <c r="H7375" i="28"/>
  <c r="H7354" i="28"/>
  <c r="H7331" i="28"/>
  <c r="H7311" i="28"/>
  <c r="H7290" i="28"/>
  <c r="H7267" i="28"/>
  <c r="H7247" i="28"/>
  <c r="H7226" i="28"/>
  <c r="H7203" i="28"/>
  <c r="H7183" i="28"/>
  <c r="H7162" i="28"/>
  <c r="H7139" i="28"/>
  <c r="H7119" i="28"/>
  <c r="H7098" i="28"/>
  <c r="H7075" i="28"/>
  <c r="H7055" i="28"/>
  <c r="H7034" i="28"/>
  <c r="H7011" i="28"/>
  <c r="H6991" i="28"/>
  <c r="H6970" i="28"/>
  <c r="H6947" i="28"/>
  <c r="H6927" i="28"/>
  <c r="H6906" i="28"/>
  <c r="H6883" i="28"/>
  <c r="H6863" i="28"/>
  <c r="H6842" i="28"/>
  <c r="H6819" i="28"/>
  <c r="H6799" i="28"/>
  <c r="H6778" i="28"/>
  <c r="H6755" i="28"/>
  <c r="H6735" i="28"/>
  <c r="H6714" i="28"/>
  <c r="H6691" i="28"/>
  <c r="H6671" i="28"/>
  <c r="H6651" i="28"/>
  <c r="H6635" i="28"/>
  <c r="H6619" i="28"/>
  <c r="H6603" i="28"/>
  <c r="H6587" i="28"/>
  <c r="H6574" i="28"/>
  <c r="H6560" i="28"/>
  <c r="H6547" i="28"/>
  <c r="H6538" i="28"/>
  <c r="H6529" i="28"/>
  <c r="H6521" i="28"/>
  <c r="H6513" i="28"/>
  <c r="H6505" i="28"/>
  <c r="H6497" i="28"/>
  <c r="H6489" i="28"/>
  <c r="H6481" i="28"/>
  <c r="H6473" i="28"/>
  <c r="H6465" i="28"/>
  <c r="H6457" i="28"/>
  <c r="H6449" i="28"/>
  <c r="H6441" i="28"/>
  <c r="H6433" i="28"/>
  <c r="H6425" i="28"/>
  <c r="H6417" i="28"/>
  <c r="H6409" i="28"/>
  <c r="H6401" i="28"/>
  <c r="H6393" i="28"/>
  <c r="H6385" i="28"/>
  <c r="H6377" i="28"/>
  <c r="H6369" i="28"/>
  <c r="H6361" i="28"/>
  <c r="H6353" i="28"/>
  <c r="H6345" i="28"/>
  <c r="H6337" i="28"/>
  <c r="H6329" i="28"/>
  <c r="H6321" i="28"/>
  <c r="H6313" i="28"/>
  <c r="H6305" i="28"/>
  <c r="H6297" i="28"/>
  <c r="H6289" i="28"/>
  <c r="H6281" i="28"/>
  <c r="H6273" i="28"/>
  <c r="H6265" i="28"/>
  <c r="H6257" i="28"/>
  <c r="H6249" i="28"/>
  <c r="H6241" i="28"/>
  <c r="H6233" i="28"/>
  <c r="H6225" i="28"/>
  <c r="H6217" i="28"/>
  <c r="H6209" i="28"/>
  <c r="H6201" i="28"/>
  <c r="H6193" i="28"/>
  <c r="H6185" i="28"/>
  <c r="H6177" i="28"/>
  <c r="H6169" i="28"/>
  <c r="H6161" i="28"/>
  <c r="H6153" i="28"/>
  <c r="H6145" i="28"/>
  <c r="H6137" i="28"/>
  <c r="H6129" i="28"/>
  <c r="H6121" i="28"/>
  <c r="H6113" i="28"/>
  <c r="H6105" i="28"/>
  <c r="H6097" i="28"/>
  <c r="H6089" i="28"/>
  <c r="H6081" i="28"/>
  <c r="H6073" i="28"/>
  <c r="H6065" i="28"/>
  <c r="H6057" i="28"/>
  <c r="H6049" i="28"/>
  <c r="H6041" i="28"/>
  <c r="H6033" i="28"/>
  <c r="H6025" i="28"/>
  <c r="H6017" i="28"/>
  <c r="H6009" i="28"/>
  <c r="H6001" i="28"/>
  <c r="H5993" i="28"/>
  <c r="H5985" i="28"/>
  <c r="H5977" i="28"/>
  <c r="H5969" i="28"/>
  <c r="H5961" i="28"/>
  <c r="H5953" i="28"/>
  <c r="H5945" i="28"/>
  <c r="H5937" i="28"/>
  <c r="H5929" i="28"/>
  <c r="H5921" i="28"/>
  <c r="H5913" i="28"/>
  <c r="H5905" i="28"/>
  <c r="H5897" i="28"/>
  <c r="H5889" i="28"/>
  <c r="H5881" i="28"/>
  <c r="H5873" i="28"/>
  <c r="H5865" i="28"/>
  <c r="H5857" i="28"/>
  <c r="H5849" i="28"/>
  <c r="H5841" i="28"/>
  <c r="H5833" i="28"/>
  <c r="H5825" i="28"/>
  <c r="H5817" i="28"/>
  <c r="H5809" i="28"/>
  <c r="H5801" i="28"/>
  <c r="H5793" i="28"/>
  <c r="H5785" i="28"/>
  <c r="H5777" i="28"/>
  <c r="H5769" i="28"/>
  <c r="H5761" i="28"/>
  <c r="H5753" i="28"/>
  <c r="H5745" i="28"/>
  <c r="H5737" i="28"/>
  <c r="H5729" i="28"/>
  <c r="H5721" i="28"/>
  <c r="H5713" i="28"/>
  <c r="H5705" i="28"/>
  <c r="H5697" i="28"/>
  <c r="H5689" i="28"/>
  <c r="H5681" i="28"/>
  <c r="H5673" i="28"/>
  <c r="H5665" i="28"/>
  <c r="H5657" i="28"/>
  <c r="H8556" i="28"/>
  <c r="H8168" i="28"/>
  <c r="H7997" i="28"/>
  <c r="H7840" i="28"/>
  <c r="H7784" i="28"/>
  <c r="H7722" i="28"/>
  <c r="H7674" i="28"/>
  <c r="H7635" i="28"/>
  <c r="H7598" i="28"/>
  <c r="H7566" i="28"/>
  <c r="H7539" i="28"/>
  <c r="H7512" i="28"/>
  <c r="H7490" i="28"/>
  <c r="H7466" i="28"/>
  <c r="H7439" i="28"/>
  <c r="H7416" i="28"/>
  <c r="H7394" i="28"/>
  <c r="H7371" i="28"/>
  <c r="H7351" i="28"/>
  <c r="H7330" i="28"/>
  <c r="H7307" i="28"/>
  <c r="H7287" i="28"/>
  <c r="H7266" i="28"/>
  <c r="H7243" i="28"/>
  <c r="H7223" i="28"/>
  <c r="H7202" i="28"/>
  <c r="H7179" i="28"/>
  <c r="H7159" i="28"/>
  <c r="H7138" i="28"/>
  <c r="H7115" i="28"/>
  <c r="H7095" i="28"/>
  <c r="H7074" i="28"/>
  <c r="H7051" i="28"/>
  <c r="H7031" i="28"/>
  <c r="H7010" i="28"/>
  <c r="H6987" i="28"/>
  <c r="H6967" i="28"/>
  <c r="H6946" i="28"/>
  <c r="H6923" i="28"/>
  <c r="H6903" i="28"/>
  <c r="H6882" i="28"/>
  <c r="H6859" i="28"/>
  <c r="H6839" i="28"/>
  <c r="H6818" i="28"/>
  <c r="H6795" i="28"/>
  <c r="H6775" i="28"/>
  <c r="H6754" i="28"/>
  <c r="H6731" i="28"/>
  <c r="H6711" i="28"/>
  <c r="H6690" i="28"/>
  <c r="H6667" i="28"/>
  <c r="H6650" i="28"/>
  <c r="H6634" i="28"/>
  <c r="H6618" i="28"/>
  <c r="H6602" i="28"/>
  <c r="H6586" i="28"/>
  <c r="H6571" i="28"/>
  <c r="H6559" i="28"/>
  <c r="H6546" i="28"/>
  <c r="H6537" i="28"/>
  <c r="H6528" i="28"/>
  <c r="H6520" i="28"/>
  <c r="H6512" i="28"/>
  <c r="H6504" i="28"/>
  <c r="H6496" i="28"/>
  <c r="H6488" i="28"/>
  <c r="H6480" i="28"/>
  <c r="H6472" i="28"/>
  <c r="H6464" i="28"/>
  <c r="H6456" i="28"/>
  <c r="H6448" i="28"/>
  <c r="H6440" i="28"/>
  <c r="H6432" i="28"/>
  <c r="H6424" i="28"/>
  <c r="H6416" i="28"/>
  <c r="H6408" i="28"/>
  <c r="H6400" i="28"/>
  <c r="H6392" i="28"/>
  <c r="H6384" i="28"/>
  <c r="H6376" i="28"/>
  <c r="H6368" i="28"/>
  <c r="H6360" i="28"/>
  <c r="H6352" i="28"/>
  <c r="H6344" i="28"/>
  <c r="H6336" i="28"/>
  <c r="H6328" i="28"/>
  <c r="H6320" i="28"/>
  <c r="H6312" i="28"/>
  <c r="H6304" i="28"/>
  <c r="H6296" i="28"/>
  <c r="H6288" i="28"/>
  <c r="H6280" i="28"/>
  <c r="H6272" i="28"/>
  <c r="H6264" i="28"/>
  <c r="H6256" i="28"/>
  <c r="H6248" i="28"/>
  <c r="H6240" i="28"/>
  <c r="H6232" i="28"/>
  <c r="H6224" i="28"/>
  <c r="H6216" i="28"/>
  <c r="H6208" i="28"/>
  <c r="H6200" i="28"/>
  <c r="H6192" i="28"/>
  <c r="H6184" i="28"/>
  <c r="H6176" i="28"/>
  <c r="H6168" i="28"/>
  <c r="H6160" i="28"/>
  <c r="H6152" i="28"/>
  <c r="H6144" i="28"/>
  <c r="H6136" i="28"/>
  <c r="H6128" i="28"/>
  <c r="H6120" i="28"/>
  <c r="H6112" i="28"/>
  <c r="H6104" i="28"/>
  <c r="H6096" i="28"/>
  <c r="H6088" i="28"/>
  <c r="H6080" i="28"/>
  <c r="H6072" i="28"/>
  <c r="H6064" i="28"/>
  <c r="H6056" i="28"/>
  <c r="H6048" i="28"/>
  <c r="H6040" i="28"/>
  <c r="H6032" i="28"/>
  <c r="H6024" i="28"/>
  <c r="H6016" i="28"/>
  <c r="H6008" i="28"/>
  <c r="H6000" i="28"/>
  <c r="H5992" i="28"/>
  <c r="H5984" i="28"/>
  <c r="H5976" i="28"/>
  <c r="H5968" i="28"/>
  <c r="H5960" i="28"/>
  <c r="H5952" i="28"/>
  <c r="H5944" i="28"/>
  <c r="H5936" i="28"/>
  <c r="H5928" i="28"/>
  <c r="H5920" i="28"/>
  <c r="H5912" i="28"/>
  <c r="H5904" i="28"/>
  <c r="H5896" i="28"/>
  <c r="H5888" i="28"/>
  <c r="H5880" i="28"/>
  <c r="H5872" i="28"/>
  <c r="H5864" i="28"/>
  <c r="H5856" i="28"/>
  <c r="H5848" i="28"/>
  <c r="H5840" i="28"/>
  <c r="H5832" i="28"/>
  <c r="H5824" i="28"/>
  <c r="H5816" i="28"/>
  <c r="H5808" i="28"/>
  <c r="H5800" i="28"/>
  <c r="H5792" i="28"/>
  <c r="H5784" i="28"/>
  <c r="H5776" i="28"/>
  <c r="H5768" i="28"/>
  <c r="H5760" i="28"/>
  <c r="H5752" i="28"/>
  <c r="H5744" i="28"/>
  <c r="H5736" i="28"/>
  <c r="H5728" i="28"/>
  <c r="H5720" i="28"/>
  <c r="H5712" i="28"/>
  <c r="H5704" i="28"/>
  <c r="H5696" i="28"/>
  <c r="H5688" i="28"/>
  <c r="H5680" i="28"/>
  <c r="H5672" i="28"/>
  <c r="H5664" i="28"/>
  <c r="H5656" i="28"/>
  <c r="H8462" i="28"/>
  <c r="H8146" i="28"/>
  <c r="H7976" i="28"/>
  <c r="H7829" i="28"/>
  <c r="H7776" i="28"/>
  <c r="H7720" i="28"/>
  <c r="H7666" i="28"/>
  <c r="H7630" i="28"/>
  <c r="H7597" i="28"/>
  <c r="H7560" i="28"/>
  <c r="H7535" i="28"/>
  <c r="H7511" i="28"/>
  <c r="H7485" i="28"/>
  <c r="H7462" i="28"/>
  <c r="H7438" i="28"/>
  <c r="H7412" i="28"/>
  <c r="H7391" i="28"/>
  <c r="H7370" i="28"/>
  <c r="H7347" i="28"/>
  <c r="H7327" i="28"/>
  <c r="H7306" i="28"/>
  <c r="H7283" i="28"/>
  <c r="H7263" i="28"/>
  <c r="H7242" i="28"/>
  <c r="H7219" i="28"/>
  <c r="H7199" i="28"/>
  <c r="H7178" i="28"/>
  <c r="H7155" i="28"/>
  <c r="H7135" i="28"/>
  <c r="H7114" i="28"/>
  <c r="H7091" i="28"/>
  <c r="H7071" i="28"/>
  <c r="H7050" i="28"/>
  <c r="H7027" i="28"/>
  <c r="H7007" i="28"/>
  <c r="H6986" i="28"/>
  <c r="H6963" i="28"/>
  <c r="H6943" i="28"/>
  <c r="H6922" i="28"/>
  <c r="H6899" i="28"/>
  <c r="H6879" i="28"/>
  <c r="H6858" i="28"/>
  <c r="H6835" i="28"/>
  <c r="H6815" i="28"/>
  <c r="H6794" i="28"/>
  <c r="H6771" i="28"/>
  <c r="H6751" i="28"/>
  <c r="H6730" i="28"/>
  <c r="H6707" i="28"/>
  <c r="H6687" i="28"/>
  <c r="H6666" i="28"/>
  <c r="H6647" i="28"/>
  <c r="H6631" i="28"/>
  <c r="H6615" i="28"/>
  <c r="H6599" i="28"/>
  <c r="H6583" i="28"/>
  <c r="H6570" i="28"/>
  <c r="H6558" i="28"/>
  <c r="H6545" i="28"/>
  <c r="H6536" i="28"/>
  <c r="H6527" i="28"/>
  <c r="H6519" i="28"/>
  <c r="H6511" i="28"/>
  <c r="H6503" i="28"/>
  <c r="H6495" i="28"/>
  <c r="H6487" i="28"/>
  <c r="H6479" i="28"/>
  <c r="H6471" i="28"/>
  <c r="H6463" i="28"/>
  <c r="H6455" i="28"/>
  <c r="H6447" i="28"/>
  <c r="H6439" i="28"/>
  <c r="H6431" i="28"/>
  <c r="H6423" i="28"/>
  <c r="H6415" i="28"/>
  <c r="H6407" i="28"/>
  <c r="H6399" i="28"/>
  <c r="H6391" i="28"/>
  <c r="H6383" i="28"/>
  <c r="H6375" i="28"/>
  <c r="H6367" i="28"/>
  <c r="H6359" i="28"/>
  <c r="H6351" i="28"/>
  <c r="H6343" i="28"/>
  <c r="H6335" i="28"/>
  <c r="H6327" i="28"/>
  <c r="H6319" i="28"/>
  <c r="H6311" i="28"/>
  <c r="H6303" i="28"/>
  <c r="H6295" i="28"/>
  <c r="H6287" i="28"/>
  <c r="H6279" i="28"/>
  <c r="H6271" i="28"/>
  <c r="H6263" i="28"/>
  <c r="H6255" i="28"/>
  <c r="H6247" i="28"/>
  <c r="H6239" i="28"/>
  <c r="H6231" i="28"/>
  <c r="H6223" i="28"/>
  <c r="H6215" i="28"/>
  <c r="H6207" i="28"/>
  <c r="H6199" i="28"/>
  <c r="H6191" i="28"/>
  <c r="H6183" i="28"/>
  <c r="H6175" i="28"/>
  <c r="H6167" i="28"/>
  <c r="H6159" i="28"/>
  <c r="H6151" i="28"/>
  <c r="H8389" i="28"/>
  <c r="H8125" i="28"/>
  <c r="H7954" i="28"/>
  <c r="H7826" i="28"/>
  <c r="H7765" i="28"/>
  <c r="H7712" i="28"/>
  <c r="H7664" i="28"/>
  <c r="H7624" i="28"/>
  <c r="H7592" i="28"/>
  <c r="H7558" i="28"/>
  <c r="H7531" i="28"/>
  <c r="H7508" i="28"/>
  <c r="H7484" i="28"/>
  <c r="H7458" i="28"/>
  <c r="H7435" i="28"/>
  <c r="H7411" i="28"/>
  <c r="H7387" i="28"/>
  <c r="H7367" i="28"/>
  <c r="H7346" i="28"/>
  <c r="H7323" i="28"/>
  <c r="H7303" i="28"/>
  <c r="H7282" i="28"/>
  <c r="H7259" i="28"/>
  <c r="H7239" i="28"/>
  <c r="H7218" i="28"/>
  <c r="H7195" i="28"/>
  <c r="H7175" i="28"/>
  <c r="H7154" i="28"/>
  <c r="H7131" i="28"/>
  <c r="H7111" i="28"/>
  <c r="H7090" i="28"/>
  <c r="H7067" i="28"/>
  <c r="H7047" i="28"/>
  <c r="H7026" i="28"/>
  <c r="H7003" i="28"/>
  <c r="H6983" i="28"/>
  <c r="H6962" i="28"/>
  <c r="H6939" i="28"/>
  <c r="H6919" i="28"/>
  <c r="H6898" i="28"/>
  <c r="H6875" i="28"/>
  <c r="H6855" i="28"/>
  <c r="H6834" i="28"/>
  <c r="H6811" i="28"/>
  <c r="H6791" i="28"/>
  <c r="H6770" i="28"/>
  <c r="H6747" i="28"/>
  <c r="H6727" i="28"/>
  <c r="H6706" i="28"/>
  <c r="H6683" i="28"/>
  <c r="H6663" i="28"/>
  <c r="H6646" i="28"/>
  <c r="H6630" i="28"/>
  <c r="H6614" i="28"/>
  <c r="H6598" i="28"/>
  <c r="H6582" i="28"/>
  <c r="H6568" i="28"/>
  <c r="H6555" i="28"/>
  <c r="H6544" i="28"/>
  <c r="H6535" i="28"/>
  <c r="H6526" i="28"/>
  <c r="H6518" i="28"/>
  <c r="H6510" i="28"/>
  <c r="H6502" i="28"/>
  <c r="H6494" i="28"/>
  <c r="H6486" i="28"/>
  <c r="H6478" i="28"/>
  <c r="H6470" i="28"/>
  <c r="H6462" i="28"/>
  <c r="H6454" i="28"/>
  <c r="H6446" i="28"/>
  <c r="H6438" i="28"/>
  <c r="H6430" i="28"/>
  <c r="H6422" i="28"/>
  <c r="H6414" i="28"/>
  <c r="H6406" i="28"/>
  <c r="H6398" i="28"/>
  <c r="H6390" i="28"/>
  <c r="H6382" i="28"/>
  <c r="H6374" i="28"/>
  <c r="H8261" i="28"/>
  <c r="H8082" i="28"/>
  <c r="H7912" i="28"/>
  <c r="H7808" i="28"/>
  <c r="H7754" i="28"/>
  <c r="H7698" i="28"/>
  <c r="H7650" i="28"/>
  <c r="H7618" i="28"/>
  <c r="H7584" i="28"/>
  <c r="H7549" i="28"/>
  <c r="H7526" i="28"/>
  <c r="H7502" i="28"/>
  <c r="H7476" i="28"/>
  <c r="H7453" i="28"/>
  <c r="H7429" i="28"/>
  <c r="H7403" i="28"/>
  <c r="H7383" i="28"/>
  <c r="H7362" i="28"/>
  <c r="H7339" i="28"/>
  <c r="H7319" i="28"/>
  <c r="H7298" i="28"/>
  <c r="H7275" i="28"/>
  <c r="H7255" i="28"/>
  <c r="H7234" i="28"/>
  <c r="H7211" i="28"/>
  <c r="H7191" i="28"/>
  <c r="H7170" i="28"/>
  <c r="H7147" i="28"/>
  <c r="H7127" i="28"/>
  <c r="H7106" i="28"/>
  <c r="H7083" i="28"/>
  <c r="H7063" i="28"/>
  <c r="H7042" i="28"/>
  <c r="H7019" i="28"/>
  <c r="H6999" i="28"/>
  <c r="H6978" i="28"/>
  <c r="H6955" i="28"/>
  <c r="H6935" i="28"/>
  <c r="H6914" i="28"/>
  <c r="H6891" i="28"/>
  <c r="H6871" i="28"/>
  <c r="H6850" i="28"/>
  <c r="H6827" i="28"/>
  <c r="H6807" i="28"/>
  <c r="H6786" i="28"/>
  <c r="H6763" i="28"/>
  <c r="H6743" i="28"/>
  <c r="H6722" i="28"/>
  <c r="H6699" i="28"/>
  <c r="H6679" i="28"/>
  <c r="H6658" i="28"/>
  <c r="H6642" i="28"/>
  <c r="H6626" i="28"/>
  <c r="H6610" i="28"/>
  <c r="H6594" i="28"/>
  <c r="H6578" i="28"/>
  <c r="H6566" i="28"/>
  <c r="H6552" i="28"/>
  <c r="H6542" i="28"/>
  <c r="H6533" i="28"/>
  <c r="H6524" i="28"/>
  <c r="H6516" i="28"/>
  <c r="H6508" i="28"/>
  <c r="H6500" i="28"/>
  <c r="H6492" i="28"/>
  <c r="H6484" i="28"/>
  <c r="H6476" i="28"/>
  <c r="H6468" i="28"/>
  <c r="H6460" i="28"/>
  <c r="H6452" i="28"/>
  <c r="H6444" i="28"/>
  <c r="H6436" i="28"/>
  <c r="H6428" i="28"/>
  <c r="H6420" i="28"/>
  <c r="H6412" i="28"/>
  <c r="H6404" i="28"/>
  <c r="H6396" i="28"/>
  <c r="H6388" i="28"/>
  <c r="H6380" i="28"/>
  <c r="H6372" i="28"/>
  <c r="H6364" i="28"/>
  <c r="H6356" i="28"/>
  <c r="H6348" i="28"/>
  <c r="H6340" i="28"/>
  <c r="H6332" i="28"/>
  <c r="H6324" i="28"/>
  <c r="H6316" i="28"/>
  <c r="H6308" i="28"/>
  <c r="H6300" i="28"/>
  <c r="H6292" i="28"/>
  <c r="H6284" i="28"/>
  <c r="H6276" i="28"/>
  <c r="H6268" i="28"/>
  <c r="H6260" i="28"/>
  <c r="H6252" i="28"/>
  <c r="H6244" i="28"/>
  <c r="H6236" i="28"/>
  <c r="H6228" i="28"/>
  <c r="H6220" i="28"/>
  <c r="H6212" i="28"/>
  <c r="H6204" i="28"/>
  <c r="H6196" i="28"/>
  <c r="H6188" i="28"/>
  <c r="H6180" i="28"/>
  <c r="H6172" i="28"/>
  <c r="H6164" i="28"/>
  <c r="H6156" i="28"/>
  <c r="H6148" i="28"/>
  <c r="H6140" i="28"/>
  <c r="H6132" i="28"/>
  <c r="H6124" i="28"/>
  <c r="H6116" i="28"/>
  <c r="H6108" i="28"/>
  <c r="H6100" i="28"/>
  <c r="H6092" i="28"/>
  <c r="H6084" i="28"/>
  <c r="H6076" i="28"/>
  <c r="H6068" i="28"/>
  <c r="H6060" i="28"/>
  <c r="H6052" i="28"/>
  <c r="H6044" i="28"/>
  <c r="H6036" i="28"/>
  <c r="H6028" i="28"/>
  <c r="H6020" i="28"/>
  <c r="H6012" i="28"/>
  <c r="H6004" i="28"/>
  <c r="H5996" i="28"/>
  <c r="H5988" i="28"/>
  <c r="H5980" i="28"/>
  <c r="H5972" i="28"/>
  <c r="H5964" i="28"/>
  <c r="H5956" i="28"/>
  <c r="H5948" i="28"/>
  <c r="H5940" i="28"/>
  <c r="H5932" i="28"/>
  <c r="H5924" i="28"/>
  <c r="H5916" i="28"/>
  <c r="H5908" i="28"/>
  <c r="H5900" i="28"/>
  <c r="H5892" i="28"/>
  <c r="H5884" i="28"/>
  <c r="H5876" i="28"/>
  <c r="H5868" i="28"/>
  <c r="H5860" i="28"/>
  <c r="H5852" i="28"/>
  <c r="H5844" i="28"/>
  <c r="H5836" i="28"/>
  <c r="H5828" i="28"/>
  <c r="H5820" i="28"/>
  <c r="H5812" i="28"/>
  <c r="H5804" i="28"/>
  <c r="H5796" i="28"/>
  <c r="H5788" i="28"/>
  <c r="H5780" i="28"/>
  <c r="H5772" i="28"/>
  <c r="H5764" i="28"/>
  <c r="H5756" i="28"/>
  <c r="H5748" i="28"/>
  <c r="H5740" i="28"/>
  <c r="H5732" i="28"/>
  <c r="H5724" i="28"/>
  <c r="H5716" i="28"/>
  <c r="H5708" i="28"/>
  <c r="H5700" i="28"/>
  <c r="H5692" i="28"/>
  <c r="H5684" i="28"/>
  <c r="H5676" i="28"/>
  <c r="H5668" i="28"/>
  <c r="H5660" i="28"/>
  <c r="H5652" i="28"/>
  <c r="H8325" i="28"/>
  <c r="H7586" i="28"/>
  <c r="H7386" i="28"/>
  <c r="H7215" i="28"/>
  <c r="H7043" i="28"/>
  <c r="H6874" i="28"/>
  <c r="H6703" i="28"/>
  <c r="H6567" i="28"/>
  <c r="H6493" i="28"/>
  <c r="H6429" i="28"/>
  <c r="H6381" i="28"/>
  <c r="H6357" i="28"/>
  <c r="H6334" i="28"/>
  <c r="H6314" i="28"/>
  <c r="H6293" i="28"/>
  <c r="H6270" i="28"/>
  <c r="H6250" i="28"/>
  <c r="H6229" i="28"/>
  <c r="H6206" i="28"/>
  <c r="H6189" i="28"/>
  <c r="H6173" i="28"/>
  <c r="H6157" i="28"/>
  <c r="H6142" i="28"/>
  <c r="H6130" i="28"/>
  <c r="H6117" i="28"/>
  <c r="H6103" i="28"/>
  <c r="H6091" i="28"/>
  <c r="H6078" i="28"/>
  <c r="H6066" i="28"/>
  <c r="H6053" i="28"/>
  <c r="H6039" i="28"/>
  <c r="H6027" i="28"/>
  <c r="H6014" i="28"/>
  <c r="H6002" i="28"/>
  <c r="H5989" i="28"/>
  <c r="H5975" i="28"/>
  <c r="H5963" i="28"/>
  <c r="H5950" i="28"/>
  <c r="H5938" i="28"/>
  <c r="H5925" i="28"/>
  <c r="H5911" i="28"/>
  <c r="H5899" i="28"/>
  <c r="H5886" i="28"/>
  <c r="H5874" i="28"/>
  <c r="H5861" i="28"/>
  <c r="H5847" i="28"/>
  <c r="H5835" i="28"/>
  <c r="H5822" i="28"/>
  <c r="H5810" i="28"/>
  <c r="H5797" i="28"/>
  <c r="H5783" i="28"/>
  <c r="H5771" i="28"/>
  <c r="H5758" i="28"/>
  <c r="H5746" i="28"/>
  <c r="H5733" i="28"/>
  <c r="H5719" i="28"/>
  <c r="H5707" i="28"/>
  <c r="H5694" i="28"/>
  <c r="H5682" i="28"/>
  <c r="H5669" i="28"/>
  <c r="H5655" i="28"/>
  <c r="H5646" i="28"/>
  <c r="H5638" i="28"/>
  <c r="H5630" i="28"/>
  <c r="H5622" i="28"/>
  <c r="H5614" i="28"/>
  <c r="H5606" i="28"/>
  <c r="H5598" i="28"/>
  <c r="H5590" i="28"/>
  <c r="H5582" i="28"/>
  <c r="H5574" i="28"/>
  <c r="H5566" i="28"/>
  <c r="H5558" i="28"/>
  <c r="H5550" i="28"/>
  <c r="H5542" i="28"/>
  <c r="H5534" i="28"/>
  <c r="H5526" i="28"/>
  <c r="H5518" i="28"/>
  <c r="H5510" i="28"/>
  <c r="H5502" i="28"/>
  <c r="H5494" i="28"/>
  <c r="H5486" i="28"/>
  <c r="H5478" i="28"/>
  <c r="H5470" i="28"/>
  <c r="H5462" i="28"/>
  <c r="H5454" i="28"/>
  <c r="H5446" i="28"/>
  <c r="H5438" i="28"/>
  <c r="H5430" i="28"/>
  <c r="H5422" i="28"/>
  <c r="H5414" i="28"/>
  <c r="H5406" i="28"/>
  <c r="H5398" i="28"/>
  <c r="H5390" i="28"/>
  <c r="H5382" i="28"/>
  <c r="H5374" i="28"/>
  <c r="H5366" i="28"/>
  <c r="H5358" i="28"/>
  <c r="H5350" i="28"/>
  <c r="H5342" i="28"/>
  <c r="H5334" i="28"/>
  <c r="H5326" i="28"/>
  <c r="H5318" i="28"/>
  <c r="H5310" i="28"/>
  <c r="H5302" i="28"/>
  <c r="H5294" i="28"/>
  <c r="H5286" i="28"/>
  <c r="H5278" i="28"/>
  <c r="H5270" i="28"/>
  <c r="H5262" i="28"/>
  <c r="H5254" i="28"/>
  <c r="H5246" i="28"/>
  <c r="H5238" i="28"/>
  <c r="H5230" i="28"/>
  <c r="H5222" i="28"/>
  <c r="H5214" i="28"/>
  <c r="H5206" i="28"/>
  <c r="H5198" i="28"/>
  <c r="H5190" i="28"/>
  <c r="H8104" i="28"/>
  <c r="H7554" i="28"/>
  <c r="H7363" i="28"/>
  <c r="H7194" i="28"/>
  <c r="H7023" i="28"/>
  <c r="H6851" i="28"/>
  <c r="H6682" i="28"/>
  <c r="H6554" i="28"/>
  <c r="H6485" i="28"/>
  <c r="H6421" i="28"/>
  <c r="H6378" i="28"/>
  <c r="H6354" i="28"/>
  <c r="H6333" i="28"/>
  <c r="H6310" i="28"/>
  <c r="H6290" i="28"/>
  <c r="H6269" i="28"/>
  <c r="H6246" i="28"/>
  <c r="H6226" i="28"/>
  <c r="H6205" i="28"/>
  <c r="H6187" i="28"/>
  <c r="H6171" i="28"/>
  <c r="H6155" i="28"/>
  <c r="H6141" i="28"/>
  <c r="H6127" i="28"/>
  <c r="H6115" i="28"/>
  <c r="H6102" i="28"/>
  <c r="H6090" i="28"/>
  <c r="H6077" i="28"/>
  <c r="H6063" i="28"/>
  <c r="H6051" i="28"/>
  <c r="H6038" i="28"/>
  <c r="H6026" i="28"/>
  <c r="H6013" i="28"/>
  <c r="H5999" i="28"/>
  <c r="H5987" i="28"/>
  <c r="H5974" i="28"/>
  <c r="H5962" i="28"/>
  <c r="H5949" i="28"/>
  <c r="H5935" i="28"/>
  <c r="H5923" i="28"/>
  <c r="H5910" i="28"/>
  <c r="H5898" i="28"/>
  <c r="H5885" i="28"/>
  <c r="H5871" i="28"/>
  <c r="H5859" i="28"/>
  <c r="H5846" i="28"/>
  <c r="H5834" i="28"/>
  <c r="H5821" i="28"/>
  <c r="H5807" i="28"/>
  <c r="H5795" i="28"/>
  <c r="H5782" i="28"/>
  <c r="H5770" i="28"/>
  <c r="H5757" i="28"/>
  <c r="H5743" i="28"/>
  <c r="H5731" i="28"/>
  <c r="H5718" i="28"/>
  <c r="H5706" i="28"/>
  <c r="H5693" i="28"/>
  <c r="H5679" i="28"/>
  <c r="H5667" i="28"/>
  <c r="H5654" i="28"/>
  <c r="H5645" i="28"/>
  <c r="H5637" i="28"/>
  <c r="H5629" i="28"/>
  <c r="H5621" i="28"/>
  <c r="H5613" i="28"/>
  <c r="H5605" i="28"/>
  <c r="H5597" i="28"/>
  <c r="H5589" i="28"/>
  <c r="H5581" i="28"/>
  <c r="H5573" i="28"/>
  <c r="H5565" i="28"/>
  <c r="H5557" i="28"/>
  <c r="H5549" i="28"/>
  <c r="H5541" i="28"/>
  <c r="H5533" i="28"/>
  <c r="H5525" i="28"/>
  <c r="H5517" i="28"/>
  <c r="H5509" i="28"/>
  <c r="H5501" i="28"/>
  <c r="H5493" i="28"/>
  <c r="H5485" i="28"/>
  <c r="H5477" i="28"/>
  <c r="H5469" i="28"/>
  <c r="H5461" i="28"/>
  <c r="H7933" i="28"/>
  <c r="H7530" i="28"/>
  <c r="H7343" i="28"/>
  <c r="H7171" i="28"/>
  <c r="H7002" i="28"/>
  <c r="H6831" i="28"/>
  <c r="H6659" i="28"/>
  <c r="H6543" i="28"/>
  <c r="H6477" i="28"/>
  <c r="H6413" i="28"/>
  <c r="H6373" i="28"/>
  <c r="H6350" i="28"/>
  <c r="H6330" i="28"/>
  <c r="H6309" i="28"/>
  <c r="H6286" i="28"/>
  <c r="H6266" i="28"/>
  <c r="H6245" i="28"/>
  <c r="H6222" i="28"/>
  <c r="H6202" i="28"/>
  <c r="H6186" i="28"/>
  <c r="H6170" i="28"/>
  <c r="H6154" i="28"/>
  <c r="H6139" i="28"/>
  <c r="H6126" i="28"/>
  <c r="H6114" i="28"/>
  <c r="H6101" i="28"/>
  <c r="H6087" i="28"/>
  <c r="H6075" i="28"/>
  <c r="H6062" i="28"/>
  <c r="H6050" i="28"/>
  <c r="H6037" i="28"/>
  <c r="H6023" i="28"/>
  <c r="H6011" i="28"/>
  <c r="H5998" i="28"/>
  <c r="H5986" i="28"/>
  <c r="H5973" i="28"/>
  <c r="H5959" i="28"/>
  <c r="H5947" i="28"/>
  <c r="H5934" i="28"/>
  <c r="H5922" i="28"/>
  <c r="H5909" i="28"/>
  <c r="H5895" i="28"/>
  <c r="H5883" i="28"/>
  <c r="H5870" i="28"/>
  <c r="H5858" i="28"/>
  <c r="H5845" i="28"/>
  <c r="H5831" i="28"/>
  <c r="H5819" i="28"/>
  <c r="H5806" i="28"/>
  <c r="H5794" i="28"/>
  <c r="H5781" i="28"/>
  <c r="H5767" i="28"/>
  <c r="H5755" i="28"/>
  <c r="H5742" i="28"/>
  <c r="H5730" i="28"/>
  <c r="H5717" i="28"/>
  <c r="H5703" i="28"/>
  <c r="H5691" i="28"/>
  <c r="H5678" i="28"/>
  <c r="H5666" i="28"/>
  <c r="H5653" i="28"/>
  <c r="H5644" i="28"/>
  <c r="H5636" i="28"/>
  <c r="H5628" i="28"/>
  <c r="H5620" i="28"/>
  <c r="H5612" i="28"/>
  <c r="H5604" i="28"/>
  <c r="H5596" i="28"/>
  <c r="H5588" i="28"/>
  <c r="H5580" i="28"/>
  <c r="H5572" i="28"/>
  <c r="H5564" i="28"/>
  <c r="H5556" i="28"/>
  <c r="H5548" i="28"/>
  <c r="H5540" i="28"/>
  <c r="H5532" i="28"/>
  <c r="H5524" i="28"/>
  <c r="H5516" i="28"/>
  <c r="H5508" i="28"/>
  <c r="H5500" i="28"/>
  <c r="H5492" i="28"/>
  <c r="H5484" i="28"/>
  <c r="H5476" i="28"/>
  <c r="H5468" i="28"/>
  <c r="H5460" i="28"/>
  <c r="H5452" i="28"/>
  <c r="H5444" i="28"/>
  <c r="H5436" i="28"/>
  <c r="H5428" i="28"/>
  <c r="H5420" i="28"/>
  <c r="H5412" i="28"/>
  <c r="H5404" i="28"/>
  <c r="H5396" i="28"/>
  <c r="H5388" i="28"/>
  <c r="H5380" i="28"/>
  <c r="H5372" i="28"/>
  <c r="H5364" i="28"/>
  <c r="H5356" i="28"/>
  <c r="H5348" i="28"/>
  <c r="H5340" i="28"/>
  <c r="H5332" i="28"/>
  <c r="H5324" i="28"/>
  <c r="H5316" i="28"/>
  <c r="H5308" i="28"/>
  <c r="H5300" i="28"/>
  <c r="H5292" i="28"/>
  <c r="H5284" i="28"/>
  <c r="H5276" i="28"/>
  <c r="H5268" i="28"/>
  <c r="H5260" i="28"/>
  <c r="H5252" i="28"/>
  <c r="H5244" i="28"/>
  <c r="H5236" i="28"/>
  <c r="H5228" i="28"/>
  <c r="H5220" i="28"/>
  <c r="H5212" i="28"/>
  <c r="H5204" i="28"/>
  <c r="H5196" i="28"/>
  <c r="H5188" i="28"/>
  <c r="H7818" i="28"/>
  <c r="H7503" i="28"/>
  <c r="H7322" i="28"/>
  <c r="H7151" i="28"/>
  <c r="H6979" i="28"/>
  <c r="H6810" i="28"/>
  <c r="H6643" i="28"/>
  <c r="H6534" i="28"/>
  <c r="H6469" i="28"/>
  <c r="H6405" i="28"/>
  <c r="H6370" i="28"/>
  <c r="H6349" i="28"/>
  <c r="H6326" i="28"/>
  <c r="H6306" i="28"/>
  <c r="H6285" i="28"/>
  <c r="H6262" i="28"/>
  <c r="H6242" i="28"/>
  <c r="H6221" i="28"/>
  <c r="H6198" i="28"/>
  <c r="H6182" i="28"/>
  <c r="H6166" i="28"/>
  <c r="H6150" i="28"/>
  <c r="H6138" i="28"/>
  <c r="H6125" i="28"/>
  <c r="H6111" i="28"/>
  <c r="H6099" i="28"/>
  <c r="H6086" i="28"/>
  <c r="H6074" i="28"/>
  <c r="H6061" i="28"/>
  <c r="H6047" i="28"/>
  <c r="H6035" i="28"/>
  <c r="H6022" i="28"/>
  <c r="H6010" i="28"/>
  <c r="H5997" i="28"/>
  <c r="H5983" i="28"/>
  <c r="H5971" i="28"/>
  <c r="H5958" i="28"/>
  <c r="H5946" i="28"/>
  <c r="H5933" i="28"/>
  <c r="H5919" i="28"/>
  <c r="H5907" i="28"/>
  <c r="H5894" i="28"/>
  <c r="H5882" i="28"/>
  <c r="H5869" i="28"/>
  <c r="H5855" i="28"/>
  <c r="H5843" i="28"/>
  <c r="H5830" i="28"/>
  <c r="H5818" i="28"/>
  <c r="H5805" i="28"/>
  <c r="H5791" i="28"/>
  <c r="H5779" i="28"/>
  <c r="H5766" i="28"/>
  <c r="H5754" i="28"/>
  <c r="H5741" i="28"/>
  <c r="H5727" i="28"/>
  <c r="H5715" i="28"/>
  <c r="H5702" i="28"/>
  <c r="H5690" i="28"/>
  <c r="H5677" i="28"/>
  <c r="H5663" i="28"/>
  <c r="H5651" i="28"/>
  <c r="H5643" i="28"/>
  <c r="H5635" i="28"/>
  <c r="H5627" i="28"/>
  <c r="H5619" i="28"/>
  <c r="H5611" i="28"/>
  <c r="H5603" i="28"/>
  <c r="H5595" i="28"/>
  <c r="H5587" i="28"/>
  <c r="H5579" i="28"/>
  <c r="H5571" i="28"/>
  <c r="H5563" i="28"/>
  <c r="H5555" i="28"/>
  <c r="H5547" i="28"/>
  <c r="H5539" i="28"/>
  <c r="H5531" i="28"/>
  <c r="H5523" i="28"/>
  <c r="H5515" i="28"/>
  <c r="H5507" i="28"/>
  <c r="H5499" i="28"/>
  <c r="H5491" i="28"/>
  <c r="H5483" i="28"/>
  <c r="H5475" i="28"/>
  <c r="H5467" i="28"/>
  <c r="H5459" i="28"/>
  <c r="H5451" i="28"/>
  <c r="H5443" i="28"/>
  <c r="H5435" i="28"/>
  <c r="H5427" i="28"/>
  <c r="H5419" i="28"/>
  <c r="H5411" i="28"/>
  <c r="H5403" i="28"/>
  <c r="H5395" i="28"/>
  <c r="H5387" i="28"/>
  <c r="H5379" i="28"/>
  <c r="H5371" i="28"/>
  <c r="H5363" i="28"/>
  <c r="H5355" i="28"/>
  <c r="H5347" i="28"/>
  <c r="H5339" i="28"/>
  <c r="H5331" i="28"/>
  <c r="H5323" i="28"/>
  <c r="H5315" i="28"/>
  <c r="H5307" i="28"/>
  <c r="H5299" i="28"/>
  <c r="H5291" i="28"/>
  <c r="H5283" i="28"/>
  <c r="H5275" i="28"/>
  <c r="H5267" i="28"/>
  <c r="H5259" i="28"/>
  <c r="H5251" i="28"/>
  <c r="H5243" i="28"/>
  <c r="H5235" i="28"/>
  <c r="H5227" i="28"/>
  <c r="H5219" i="28"/>
  <c r="H5211" i="28"/>
  <c r="H5203" i="28"/>
  <c r="H5195" i="28"/>
  <c r="H5187" i="28"/>
  <c r="H7762" i="28"/>
  <c r="H7480" i="28"/>
  <c r="H7299" i="28"/>
  <c r="H7130" i="28"/>
  <c r="H6959" i="28"/>
  <c r="H6787" i="28"/>
  <c r="H6627" i="28"/>
  <c r="H6525" i="28"/>
  <c r="H6461" i="28"/>
  <c r="H6397" i="28"/>
  <c r="H6366" i="28"/>
  <c r="H6346" i="28"/>
  <c r="H6325" i="28"/>
  <c r="H6302" i="28"/>
  <c r="H6282" i="28"/>
  <c r="H6261" i="28"/>
  <c r="H6238" i="28"/>
  <c r="H6218" i="28"/>
  <c r="H6197" i="28"/>
  <c r="H6181" i="28"/>
  <c r="H6165" i="28"/>
  <c r="H6149" i="28"/>
  <c r="H6135" i="28"/>
  <c r="H6123" i="28"/>
  <c r="H6110" i="28"/>
  <c r="H6098" i="28"/>
  <c r="H6085" i="28"/>
  <c r="H6071" i="28"/>
  <c r="H6059" i="28"/>
  <c r="H6046" i="28"/>
  <c r="H6034" i="28"/>
  <c r="H6021" i="28"/>
  <c r="H6007" i="28"/>
  <c r="H5995" i="28"/>
  <c r="H5982" i="28"/>
  <c r="H5970" i="28"/>
  <c r="H5957" i="28"/>
  <c r="H5943" i="28"/>
  <c r="H5931" i="28"/>
  <c r="H5918" i="28"/>
  <c r="H5906" i="28"/>
  <c r="H5893" i="28"/>
  <c r="H5879" i="28"/>
  <c r="H5867" i="28"/>
  <c r="H5854" i="28"/>
  <c r="H5842" i="28"/>
  <c r="H5829" i="28"/>
  <c r="H5815" i="28"/>
  <c r="H5803" i="28"/>
  <c r="H5790" i="28"/>
  <c r="H5778" i="28"/>
  <c r="H5765" i="28"/>
  <c r="H5751" i="28"/>
  <c r="H5739" i="28"/>
  <c r="H5726" i="28"/>
  <c r="H5714" i="28"/>
  <c r="H5701" i="28"/>
  <c r="H5687" i="28"/>
  <c r="H5675" i="28"/>
  <c r="H5662" i="28"/>
  <c r="H5650" i="28"/>
  <c r="H5642" i="28"/>
  <c r="H5634" i="28"/>
  <c r="H5626" i="28"/>
  <c r="H5618" i="28"/>
  <c r="H5610" i="28"/>
  <c r="H5602" i="28"/>
  <c r="H5594" i="28"/>
  <c r="H5586" i="28"/>
  <c r="H5578" i="28"/>
  <c r="H5570" i="28"/>
  <c r="H5562" i="28"/>
  <c r="H5554" i="28"/>
  <c r="H5546" i="28"/>
  <c r="H5538" i="28"/>
  <c r="H5530" i="28"/>
  <c r="H5522" i="28"/>
  <c r="H5514" i="28"/>
  <c r="H5506" i="28"/>
  <c r="H5498" i="28"/>
  <c r="H5490" i="28"/>
  <c r="H5482" i="28"/>
  <c r="H5474" i="28"/>
  <c r="H5466" i="28"/>
  <c r="H5458" i="28"/>
  <c r="H5450" i="28"/>
  <c r="H5442" i="28"/>
  <c r="H5434" i="28"/>
  <c r="H5426" i="28"/>
  <c r="H5418" i="28"/>
  <c r="H5410" i="28"/>
  <c r="H5402" i="28"/>
  <c r="H5394" i="28"/>
  <c r="H5386" i="28"/>
  <c r="H5378" i="28"/>
  <c r="H5370" i="28"/>
  <c r="H5362" i="28"/>
  <c r="H5354" i="28"/>
  <c r="H5346" i="28"/>
  <c r="H5338" i="28"/>
  <c r="H5330" i="28"/>
  <c r="H5322" i="28"/>
  <c r="H5314" i="28"/>
  <c r="H5306" i="28"/>
  <c r="H5298" i="28"/>
  <c r="H5290" i="28"/>
  <c r="H5282" i="28"/>
  <c r="H5274" i="28"/>
  <c r="H5266" i="28"/>
  <c r="H5258" i="28"/>
  <c r="H5250" i="28"/>
  <c r="H5242" i="28"/>
  <c r="H5234" i="28"/>
  <c r="H5226" i="28"/>
  <c r="H5218" i="28"/>
  <c r="H5210" i="28"/>
  <c r="H5202" i="28"/>
  <c r="H5194" i="28"/>
  <c r="H5186" i="28"/>
  <c r="H7701" i="28"/>
  <c r="H7456" i="28"/>
  <c r="H7279" i="28"/>
  <c r="H7107" i="28"/>
  <c r="H6938" i="28"/>
  <c r="H6767" i="28"/>
  <c r="H6611" i="28"/>
  <c r="H6517" i="28"/>
  <c r="H6453" i="28"/>
  <c r="H6394" i="28"/>
  <c r="H6365" i="28"/>
  <c r="H6342" i="28"/>
  <c r="H6322" i="28"/>
  <c r="H6301" i="28"/>
  <c r="H6278" i="28"/>
  <c r="H6258" i="28"/>
  <c r="H6237" i="28"/>
  <c r="H6214" i="28"/>
  <c r="H6195" i="28"/>
  <c r="H6179" i="28"/>
  <c r="H6163" i="28"/>
  <c r="H6147" i="28"/>
  <c r="H6134" i="28"/>
  <c r="H6122" i="28"/>
  <c r="H6109" i="28"/>
  <c r="H6095" i="28"/>
  <c r="H6083" i="28"/>
  <c r="H6070" i="28"/>
  <c r="H6058" i="28"/>
  <c r="H6045" i="28"/>
  <c r="H6031" i="28"/>
  <c r="H6019" i="28"/>
  <c r="H6006" i="28"/>
  <c r="H5994" i="28"/>
  <c r="H5981" i="28"/>
  <c r="H5967" i="28"/>
  <c r="H5955" i="28"/>
  <c r="H5942" i="28"/>
  <c r="H5930" i="28"/>
  <c r="H5917" i="28"/>
  <c r="H5903" i="28"/>
  <c r="H5891" i="28"/>
  <c r="H5878" i="28"/>
  <c r="H5866" i="28"/>
  <c r="H5853" i="28"/>
  <c r="H5839" i="28"/>
  <c r="H5827" i="28"/>
  <c r="H5814" i="28"/>
  <c r="H5802" i="28"/>
  <c r="H5789" i="28"/>
  <c r="H5775" i="28"/>
  <c r="H5763" i="28"/>
  <c r="H5750" i="28"/>
  <c r="H5738" i="28"/>
  <c r="H5725" i="28"/>
  <c r="H5711" i="28"/>
  <c r="H5699" i="28"/>
  <c r="H5686" i="28"/>
  <c r="H5674" i="28"/>
  <c r="H5661" i="28"/>
  <c r="H5649" i="28"/>
  <c r="H5641" i="28"/>
  <c r="H5633" i="28"/>
  <c r="H5625" i="28"/>
  <c r="H5617" i="28"/>
  <c r="H5609" i="28"/>
  <c r="H5601" i="28"/>
  <c r="H5593" i="28"/>
  <c r="H5585" i="28"/>
  <c r="H5577" i="28"/>
  <c r="H5569" i="28"/>
  <c r="H5561" i="28"/>
  <c r="H5553" i="28"/>
  <c r="H5545" i="28"/>
  <c r="H5537" i="28"/>
  <c r="H5529" i="28"/>
  <c r="H5521" i="28"/>
  <c r="H5513" i="28"/>
  <c r="H5505" i="28"/>
  <c r="H5497" i="28"/>
  <c r="H5489" i="28"/>
  <c r="H5481" i="28"/>
  <c r="H5473" i="28"/>
  <c r="H5465" i="28"/>
  <c r="H5457" i="28"/>
  <c r="H5449" i="28"/>
  <c r="H7622" i="28"/>
  <c r="H7407" i="28"/>
  <c r="H7235" i="28"/>
  <c r="H7066" i="28"/>
  <c r="H6895" i="28"/>
  <c r="H6723" i="28"/>
  <c r="H6579" i="28"/>
  <c r="H6501" i="28"/>
  <c r="H6437" i="28"/>
  <c r="H6386" i="28"/>
  <c r="H6358" i="28"/>
  <c r="H6338" i="28"/>
  <c r="H6317" i="28"/>
  <c r="H6294" i="28"/>
  <c r="H6274" i="28"/>
  <c r="H6253" i="28"/>
  <c r="H6230" i="28"/>
  <c r="H6210" i="28"/>
  <c r="H6190" i="28"/>
  <c r="H6174" i="28"/>
  <c r="H6158" i="28"/>
  <c r="H6143" i="28"/>
  <c r="H6131" i="28"/>
  <c r="H6118" i="28"/>
  <c r="H6106" i="28"/>
  <c r="H6093" i="28"/>
  <c r="H6079" i="28"/>
  <c r="H6067" i="28"/>
  <c r="H6054" i="28"/>
  <c r="H6042" i="28"/>
  <c r="H6029" i="28"/>
  <c r="H6015" i="28"/>
  <c r="H6003" i="28"/>
  <c r="H5990" i="28"/>
  <c r="H5978" i="28"/>
  <c r="H5965" i="28"/>
  <c r="H5951" i="28"/>
  <c r="H5939" i="28"/>
  <c r="H5926" i="28"/>
  <c r="H5914" i="28"/>
  <c r="H5901" i="28"/>
  <c r="H5887" i="28"/>
  <c r="H5875" i="28"/>
  <c r="H5862" i="28"/>
  <c r="H5850" i="28"/>
  <c r="H5837" i="28"/>
  <c r="H5823" i="28"/>
  <c r="H5811" i="28"/>
  <c r="H5798" i="28"/>
  <c r="H5786" i="28"/>
  <c r="H5773" i="28"/>
  <c r="H5759" i="28"/>
  <c r="H5747" i="28"/>
  <c r="H5734" i="28"/>
  <c r="H5722" i="28"/>
  <c r="H5709" i="28"/>
  <c r="H5695" i="28"/>
  <c r="H5683" i="28"/>
  <c r="H5670" i="28"/>
  <c r="H5658" i="28"/>
  <c r="H5647" i="28"/>
  <c r="H5639" i="28"/>
  <c r="H5631" i="28"/>
  <c r="H5623" i="28"/>
  <c r="H5615" i="28"/>
  <c r="H5607" i="28"/>
  <c r="H5599" i="28"/>
  <c r="H5591" i="28"/>
  <c r="H5583" i="28"/>
  <c r="H5575" i="28"/>
  <c r="H5567" i="28"/>
  <c r="H5559" i="28"/>
  <c r="H5551" i="28"/>
  <c r="H5543" i="28"/>
  <c r="H5535" i="28"/>
  <c r="H5527" i="28"/>
  <c r="H5519" i="28"/>
  <c r="H5511" i="28"/>
  <c r="H5503" i="28"/>
  <c r="H5495" i="28"/>
  <c r="H5487" i="28"/>
  <c r="H5479" i="28"/>
  <c r="H5471" i="28"/>
  <c r="H5463" i="28"/>
  <c r="H5455" i="28"/>
  <c r="H5447" i="28"/>
  <c r="H5439" i="28"/>
  <c r="H5431" i="28"/>
  <c r="H5423" i="28"/>
  <c r="H5415" i="28"/>
  <c r="H5407" i="28"/>
  <c r="H5399" i="28"/>
  <c r="H5391" i="28"/>
  <c r="H5383" i="28"/>
  <c r="H5375" i="28"/>
  <c r="H5367" i="28"/>
  <c r="H5359" i="28"/>
  <c r="H5351" i="28"/>
  <c r="H5343" i="28"/>
  <c r="H5335" i="28"/>
  <c r="H5327" i="28"/>
  <c r="H5319" i="28"/>
  <c r="H5311" i="28"/>
  <c r="H5303" i="28"/>
  <c r="H5295" i="28"/>
  <c r="H5287" i="28"/>
  <c r="H5279" i="28"/>
  <c r="H5271" i="28"/>
  <c r="H5263" i="28"/>
  <c r="H5255" i="28"/>
  <c r="H5247" i="28"/>
  <c r="H5239" i="28"/>
  <c r="H5231" i="28"/>
  <c r="H5223" i="28"/>
  <c r="H5215" i="28"/>
  <c r="H5207" i="28"/>
  <c r="H5199" i="28"/>
  <c r="H5191" i="28"/>
  <c r="H7658" i="28"/>
  <c r="H6445" i="28"/>
  <c r="H6234" i="28"/>
  <c r="H6107" i="28"/>
  <c r="H6005" i="28"/>
  <c r="H5902" i="28"/>
  <c r="H5799" i="28"/>
  <c r="H5698" i="28"/>
  <c r="H5616" i="28"/>
  <c r="H5552" i="28"/>
  <c r="H5488" i="28"/>
  <c r="H5441" i="28"/>
  <c r="H5421" i="28"/>
  <c r="H5400" i="28"/>
  <c r="H5377" i="28"/>
  <c r="H5357" i="28"/>
  <c r="H5336" i="28"/>
  <c r="H5313" i="28"/>
  <c r="H5293" i="28"/>
  <c r="H5272" i="28"/>
  <c r="H5249" i="28"/>
  <c r="H5229" i="28"/>
  <c r="H5208" i="28"/>
  <c r="H7430" i="28"/>
  <c r="H6389" i="28"/>
  <c r="H6213" i="28"/>
  <c r="H6094" i="28"/>
  <c r="H5991" i="28"/>
  <c r="H5890" i="28"/>
  <c r="H5787" i="28"/>
  <c r="H5685" i="28"/>
  <c r="H5608" i="28"/>
  <c r="H5544" i="28"/>
  <c r="H5480" i="28"/>
  <c r="H5440" i="28"/>
  <c r="H5417" i="28"/>
  <c r="H5397" i="28"/>
  <c r="H5376" i="28"/>
  <c r="H5353" i="28"/>
  <c r="H5333" i="28"/>
  <c r="H5312" i="28"/>
  <c r="H5289" i="28"/>
  <c r="H5269" i="28"/>
  <c r="H5248" i="28"/>
  <c r="H5225" i="28"/>
  <c r="H5205" i="28"/>
  <c r="H7258" i="28"/>
  <c r="H6362" i="28"/>
  <c r="H6194" i="28"/>
  <c r="H6082" i="28"/>
  <c r="H5979" i="28"/>
  <c r="H5877" i="28"/>
  <c r="H5774" i="28"/>
  <c r="H5671" i="28"/>
  <c r="H5600" i="28"/>
  <c r="H5536" i="28"/>
  <c r="H5472" i="28"/>
  <c r="H5437" i="28"/>
  <c r="H5416" i="28"/>
  <c r="H5393" i="28"/>
  <c r="H5373" i="28"/>
  <c r="H5352" i="28"/>
  <c r="H5329" i="28"/>
  <c r="H5309" i="28"/>
  <c r="H5288" i="28"/>
  <c r="H5265" i="28"/>
  <c r="H5245" i="28"/>
  <c r="H5224" i="28"/>
  <c r="H5201" i="28"/>
  <c r="H7087" i="28"/>
  <c r="H6341" i="28"/>
  <c r="H6178" i="28"/>
  <c r="H6069" i="28"/>
  <c r="H5966" i="28"/>
  <c r="H5863" i="28"/>
  <c r="H5762" i="28"/>
  <c r="H5659" i="28"/>
  <c r="H5592" i="28"/>
  <c r="H5528" i="28"/>
  <c r="H5464" i="28"/>
  <c r="H5433" i="28"/>
  <c r="H5413" i="28"/>
  <c r="H5392" i="28"/>
  <c r="H5369" i="28"/>
  <c r="H5349" i="28"/>
  <c r="H5328" i="28"/>
  <c r="H5305" i="28"/>
  <c r="H5285" i="28"/>
  <c r="H5264" i="28"/>
  <c r="H5241" i="28"/>
  <c r="H5221" i="28"/>
  <c r="H5200" i="28"/>
  <c r="H6915" i="28"/>
  <c r="H6318" i="28"/>
  <c r="H6162" i="28"/>
  <c r="H6055" i="28"/>
  <c r="H5954" i="28"/>
  <c r="H5851" i="28"/>
  <c r="H5749" i="28"/>
  <c r="H5648" i="28"/>
  <c r="H5584" i="28"/>
  <c r="H5520" i="28"/>
  <c r="H5456" i="28"/>
  <c r="H5432" i="28"/>
  <c r="H5409" i="28"/>
  <c r="H5389" i="28"/>
  <c r="H5368" i="28"/>
  <c r="H5345" i="28"/>
  <c r="H5325" i="28"/>
  <c r="H5304" i="28"/>
  <c r="H5281" i="28"/>
  <c r="H5261" i="28"/>
  <c r="H5240" i="28"/>
  <c r="H5217" i="28"/>
  <c r="H5197" i="28"/>
  <c r="H6746" i="28"/>
  <c r="H6298" i="28"/>
  <c r="H6146" i="28"/>
  <c r="H6043" i="28"/>
  <c r="H5941" i="28"/>
  <c r="H5838" i="28"/>
  <c r="H5735" i="28"/>
  <c r="H5640" i="28"/>
  <c r="H5576" i="28"/>
  <c r="H5512" i="28"/>
  <c r="H5453" i="28"/>
  <c r="H5429" i="28"/>
  <c r="H5408" i="28"/>
  <c r="H5385" i="28"/>
  <c r="H5365" i="28"/>
  <c r="H5344" i="28"/>
  <c r="H5321" i="28"/>
  <c r="H5301" i="28"/>
  <c r="H5280" i="28"/>
  <c r="H5257" i="28"/>
  <c r="H5237" i="28"/>
  <c r="H5216" i="28"/>
  <c r="H5193" i="28"/>
  <c r="H6509" i="28"/>
  <c r="H6254" i="28"/>
  <c r="H6119" i="28"/>
  <c r="H6018" i="28"/>
  <c r="H5915" i="28"/>
  <c r="H5813" i="28"/>
  <c r="H5710" i="28"/>
  <c r="H5624" i="28"/>
  <c r="H5560" i="28"/>
  <c r="H5496" i="28"/>
  <c r="H5445" i="28"/>
  <c r="H5424" i="28"/>
  <c r="H5401" i="28"/>
  <c r="H5381" i="28"/>
  <c r="H5360" i="28"/>
  <c r="H5337" i="28"/>
  <c r="H5317" i="28"/>
  <c r="H5296" i="28"/>
  <c r="H5273" i="28"/>
  <c r="H5253" i="28"/>
  <c r="H5232" i="28"/>
  <c r="H5209" i="28"/>
  <c r="H5189" i="28"/>
  <c r="H6595" i="28"/>
  <c r="H5568" i="28"/>
  <c r="H5320" i="28"/>
  <c r="H6277" i="28"/>
  <c r="H5504" i="28"/>
  <c r="H5297" i="28"/>
  <c r="H6133" i="28"/>
  <c r="H5448" i="28"/>
  <c r="H5277" i="28"/>
  <c r="H6030" i="28"/>
  <c r="H5425" i="28"/>
  <c r="H5256" i="28"/>
  <c r="H5927" i="28"/>
  <c r="H5405" i="28"/>
  <c r="H5233" i="28"/>
  <c r="H5826" i="28"/>
  <c r="H5384" i="28"/>
  <c r="H5213" i="28"/>
  <c r="H5632" i="28"/>
  <c r="H5341" i="28"/>
  <c r="H5723" i="28"/>
  <c r="H5361" i="28"/>
  <c r="H5192" i="28"/>
  <c r="J6" i="34"/>
  <c r="J8" i="34"/>
  <c r="K6" i="34"/>
  <c r="K8" i="34"/>
  <c r="L4" i="34"/>
  <c r="K29" i="33"/>
  <c r="D31" i="33"/>
  <c r="D32" i="33"/>
  <c r="M4" i="34"/>
  <c r="M6" i="34"/>
  <c r="M8" i="34"/>
  <c r="L6" i="34"/>
  <c r="L8" i="34"/>
  <c r="K101" i="26"/>
  <c r="K103" i="26"/>
  <c r="K100" i="26"/>
  <c r="K99" i="26"/>
  <c r="K97" i="26"/>
  <c r="K96" i="26"/>
  <c r="K95" i="26"/>
  <c r="K94" i="26"/>
  <c r="K90" i="26"/>
  <c r="K89" i="26"/>
  <c r="K91" i="26"/>
  <c r="K88" i="26"/>
  <c r="K82" i="26"/>
  <c r="K78" i="26"/>
  <c r="K81" i="26"/>
  <c r="K83" i="26"/>
  <c r="K74" i="26"/>
  <c r="K77" i="26"/>
  <c r="K79" i="26"/>
  <c r="K73" i="26"/>
  <c r="K75" i="26"/>
  <c r="K72" i="26"/>
  <c r="K68" i="26"/>
  <c r="K67" i="26"/>
  <c r="K69" i="26"/>
  <c r="K66" i="26"/>
  <c r="J100" i="26"/>
  <c r="I100" i="26"/>
  <c r="J99" i="26"/>
  <c r="J101" i="26"/>
  <c r="I99" i="26"/>
  <c r="I101" i="26"/>
  <c r="J96" i="26"/>
  <c r="I96" i="26"/>
  <c r="J90" i="26"/>
  <c r="I90" i="26"/>
  <c r="J88" i="26"/>
  <c r="J94" i="26"/>
  <c r="I88" i="26"/>
  <c r="I94" i="26"/>
  <c r="J82" i="26"/>
  <c r="I82" i="26"/>
  <c r="J81" i="26"/>
  <c r="J83" i="26"/>
  <c r="J78" i="26"/>
  <c r="I78" i="26"/>
  <c r="I81" i="26"/>
  <c r="J74" i="26"/>
  <c r="J77" i="26"/>
  <c r="J79" i="26"/>
  <c r="I74" i="26"/>
  <c r="I77" i="26"/>
  <c r="I79" i="26"/>
  <c r="J73" i="26"/>
  <c r="J95" i="26"/>
  <c r="I73" i="26"/>
  <c r="I75" i="26"/>
  <c r="J72" i="26"/>
  <c r="I72" i="26"/>
  <c r="J69" i="26"/>
  <c r="J68" i="26"/>
  <c r="I68" i="26"/>
  <c r="J67" i="26"/>
  <c r="I67" i="26"/>
  <c r="I69" i="26"/>
  <c r="J66" i="26"/>
  <c r="I66" i="26"/>
  <c r="H78" i="26"/>
  <c r="G78" i="26"/>
  <c r="F78" i="26"/>
  <c r="E78" i="26"/>
  <c r="D78" i="26"/>
  <c r="C78" i="26"/>
  <c r="H74" i="26"/>
  <c r="G74" i="26"/>
  <c r="F74" i="26"/>
  <c r="E74" i="26"/>
  <c r="D74" i="26"/>
  <c r="C74" i="26"/>
  <c r="H18" i="34"/>
  <c r="K85" i="26"/>
  <c r="J97" i="26"/>
  <c r="J103" i="26"/>
  <c r="J75" i="26"/>
  <c r="J85" i="26"/>
  <c r="I89" i="26"/>
  <c r="I91" i="26"/>
  <c r="I95" i="26"/>
  <c r="I97" i="26"/>
  <c r="I103" i="26"/>
  <c r="I83" i="26"/>
  <c r="J89" i="26"/>
  <c r="J91" i="26"/>
  <c r="I85" i="26"/>
  <c r="H67" i="26"/>
  <c r="H69" i="26"/>
  <c r="G67" i="26"/>
  <c r="F67" i="26"/>
  <c r="E67" i="26"/>
  <c r="E69" i="26"/>
  <c r="D67" i="26"/>
  <c r="C67" i="26"/>
  <c r="C73" i="26"/>
  <c r="H68" i="26"/>
  <c r="G68" i="26"/>
  <c r="F68" i="26"/>
  <c r="E68" i="26"/>
  <c r="D68" i="26"/>
  <c r="D69" i="26"/>
  <c r="C68" i="26"/>
  <c r="C82" i="26"/>
  <c r="H66" i="26"/>
  <c r="G66" i="26"/>
  <c r="F66" i="26"/>
  <c r="E66" i="26"/>
  <c r="E88" i="26"/>
  <c r="E94" i="26"/>
  <c r="D66" i="26"/>
  <c r="D72" i="26"/>
  <c r="C66" i="26"/>
  <c r="B2" i="26"/>
  <c r="B3" i="26"/>
  <c r="G96" i="26"/>
  <c r="B95" i="26"/>
  <c r="G88" i="26"/>
  <c r="G94" i="26"/>
  <c r="F88" i="26"/>
  <c r="F94" i="26"/>
  <c r="G82" i="26"/>
  <c r="C81" i="26"/>
  <c r="H90" i="26"/>
  <c r="G90" i="26"/>
  <c r="F90" i="26"/>
  <c r="E100" i="26"/>
  <c r="D100" i="26"/>
  <c r="C100" i="26"/>
  <c r="G77" i="26"/>
  <c r="C77" i="26"/>
  <c r="C99" i="26"/>
  <c r="H96" i="26"/>
  <c r="F77" i="26"/>
  <c r="E77" i="26"/>
  <c r="D77" i="26"/>
  <c r="C96" i="26"/>
  <c r="E73" i="26"/>
  <c r="E75" i="26"/>
  <c r="D73" i="26"/>
  <c r="D75" i="26"/>
  <c r="B73" i="26"/>
  <c r="E72" i="26"/>
  <c r="G69" i="26"/>
  <c r="H82" i="26"/>
  <c r="F82" i="26"/>
  <c r="E82" i="26"/>
  <c r="G73" i="26"/>
  <c r="F69" i="26"/>
  <c r="H72" i="26"/>
  <c r="G72" i="26"/>
  <c r="F72" i="26"/>
  <c r="C72" i="26"/>
  <c r="G100" i="26"/>
  <c r="G79" i="26"/>
  <c r="H77" i="26"/>
  <c r="H79" i="26"/>
  <c r="D96" i="26"/>
  <c r="F81" i="26"/>
  <c r="F83" i="26"/>
  <c r="F100" i="26"/>
  <c r="H73" i="26"/>
  <c r="D82" i="26"/>
  <c r="D99" i="26"/>
  <c r="D101" i="26"/>
  <c r="D79" i="26"/>
  <c r="C83" i="26"/>
  <c r="C95" i="26"/>
  <c r="C97" i="26"/>
  <c r="C75" i="26"/>
  <c r="C89" i="26"/>
  <c r="E99" i="26"/>
  <c r="E101" i="26"/>
  <c r="E79" i="26"/>
  <c r="F79" i="26"/>
  <c r="F99" i="26"/>
  <c r="G89" i="26"/>
  <c r="G91" i="26"/>
  <c r="G95" i="26"/>
  <c r="G97" i="26"/>
  <c r="G75" i="26"/>
  <c r="C101" i="26"/>
  <c r="F73" i="26"/>
  <c r="H75" i="26"/>
  <c r="C79" i="26"/>
  <c r="D81" i="26"/>
  <c r="D83" i="26"/>
  <c r="H88" i="26"/>
  <c r="H94" i="26"/>
  <c r="D95" i="26"/>
  <c r="D97" i="26"/>
  <c r="E96" i="26"/>
  <c r="G99" i="26"/>
  <c r="G101" i="26"/>
  <c r="H100" i="26"/>
  <c r="E81" i="26"/>
  <c r="E83" i="26"/>
  <c r="E85" i="26"/>
  <c r="C90" i="26"/>
  <c r="E95" i="26"/>
  <c r="F96" i="26"/>
  <c r="D90" i="26"/>
  <c r="G81" i="26"/>
  <c r="G83" i="26"/>
  <c r="C88" i="26"/>
  <c r="C94" i="26"/>
  <c r="D89" i="26"/>
  <c r="E90" i="26"/>
  <c r="H81" i="26"/>
  <c r="H83" i="26"/>
  <c r="D88" i="26"/>
  <c r="D94" i="26"/>
  <c r="E89" i="26"/>
  <c r="C69" i="26"/>
  <c r="D103" i="26"/>
  <c r="D91" i="26"/>
  <c r="G103" i="26"/>
  <c r="E97" i="26"/>
  <c r="E103" i="26"/>
  <c r="C103" i="26"/>
  <c r="C85" i="26"/>
  <c r="F101" i="26"/>
  <c r="H99" i="26"/>
  <c r="H101" i="26"/>
  <c r="C91" i="26"/>
  <c r="H85" i="26"/>
  <c r="H95" i="26"/>
  <c r="H97" i="26"/>
  <c r="H89" i="26"/>
  <c r="H91" i="26"/>
  <c r="D85" i="26"/>
  <c r="G85" i="26"/>
  <c r="F75" i="26"/>
  <c r="F85" i="26"/>
  <c r="F89" i="26"/>
  <c r="F91" i="26"/>
  <c r="F95" i="26"/>
  <c r="F97" i="26"/>
  <c r="F103" i="26"/>
  <c r="E91" i="26"/>
  <c r="H103" i="26"/>
  <c r="C3" i="25"/>
  <c r="D3" i="25"/>
  <c r="E3" i="25"/>
  <c r="F3" i="25"/>
  <c r="G3" i="25"/>
  <c r="H3" i="25"/>
  <c r="I3" i="25"/>
  <c r="J3" i="25"/>
  <c r="K3" i="25"/>
  <c r="L3" i="25"/>
  <c r="B36" i="22"/>
  <c r="B35" i="22"/>
  <c r="B34" i="22"/>
  <c r="B33" i="22"/>
  <c r="B32" i="22"/>
  <c r="B31" i="22"/>
  <c r="B30" i="22"/>
  <c r="B27" i="22"/>
  <c r="B26" i="22"/>
  <c r="B25" i="22"/>
  <c r="B24" i="22"/>
  <c r="C22" i="22"/>
  <c r="D22" i="22"/>
  <c r="E22" i="22"/>
  <c r="F22" i="22"/>
  <c r="G22" i="22"/>
  <c r="H22" i="22"/>
  <c r="I22" i="22"/>
  <c r="J22" i="22"/>
  <c r="K22" i="22"/>
  <c r="L22" i="22"/>
  <c r="C3" i="22"/>
  <c r="D3" i="22"/>
  <c r="E3" i="22"/>
  <c r="F3" i="22"/>
  <c r="G3" i="22"/>
  <c r="H3" i="22"/>
  <c r="I3" i="22"/>
  <c r="J3" i="22"/>
  <c r="K3" i="22"/>
  <c r="L3" i="22"/>
  <c r="B21" i="22"/>
  <c r="B19" i="22"/>
  <c r="B18" i="22"/>
  <c r="B17" i="22"/>
  <c r="B16" i="22"/>
  <c r="B15" i="22"/>
  <c r="B14" i="22"/>
  <c r="B13" i="22"/>
  <c r="B12" i="22"/>
  <c r="B11" i="22"/>
  <c r="B10" i="22"/>
  <c r="B9" i="22"/>
  <c r="B8" i="22"/>
  <c r="B7" i="22"/>
  <c r="B6" i="22"/>
  <c r="B5" i="22"/>
  <c r="B4" i="22"/>
  <c r="B2" i="25"/>
  <c r="B2" i="22"/>
  <c r="B106" i="23"/>
  <c r="B100" i="23"/>
  <c r="B99" i="23"/>
  <c r="B98" i="23"/>
  <c r="B97" i="23"/>
  <c r="B96" i="23"/>
  <c r="B95" i="23"/>
  <c r="B94" i="23"/>
  <c r="B90" i="23"/>
  <c r="B89" i="23"/>
  <c r="B88" i="23"/>
  <c r="B87" i="23"/>
  <c r="B86" i="23"/>
  <c r="B85" i="23"/>
  <c r="B84" i="23"/>
  <c r="B83" i="23"/>
  <c r="B82" i="23"/>
  <c r="B81" i="23"/>
  <c r="B77" i="23"/>
  <c r="B75" i="23"/>
  <c r="B74" i="23"/>
  <c r="B73" i="23"/>
  <c r="B72" i="23"/>
  <c r="B71" i="23"/>
  <c r="B70" i="23"/>
  <c r="B75" i="21"/>
  <c r="K75" i="21"/>
  <c r="J75" i="21"/>
  <c r="I75" i="21"/>
  <c r="H75" i="21"/>
  <c r="G75" i="21"/>
  <c r="F75" i="21"/>
  <c r="E75" i="21"/>
  <c r="D75" i="21"/>
  <c r="C75" i="21"/>
  <c r="J56" i="23"/>
  <c r="F56" i="23"/>
  <c r="E56" i="23"/>
  <c r="G56" i="23"/>
  <c r="L56" i="23"/>
  <c r="H56" i="23"/>
  <c r="D56" i="23"/>
  <c r="I56" i="23"/>
  <c r="K56" i="23"/>
  <c r="C33" i="22"/>
  <c r="C56" i="23"/>
  <c r="H73" i="21"/>
  <c r="B77" i="21"/>
  <c r="C9" i="23"/>
  <c r="D9" i="23"/>
  <c r="E9" i="23"/>
  <c r="F9" i="23"/>
  <c r="G9" i="23"/>
  <c r="H9" i="23"/>
  <c r="I9" i="23"/>
  <c r="J9" i="23"/>
  <c r="K9" i="23"/>
  <c r="L9" i="23"/>
  <c r="B2" i="23"/>
  <c r="C3" i="23"/>
  <c r="D3" i="23"/>
  <c r="E3" i="23"/>
  <c r="F3" i="23"/>
  <c r="G3" i="23"/>
  <c r="H3" i="23"/>
  <c r="I3" i="23"/>
  <c r="J3" i="23"/>
  <c r="K3" i="23"/>
  <c r="L3" i="23"/>
  <c r="L100" i="23"/>
  <c r="K100" i="23"/>
  <c r="J100" i="23"/>
  <c r="I100" i="23"/>
  <c r="H100" i="23"/>
  <c r="G100" i="23"/>
  <c r="F100" i="23"/>
  <c r="E100" i="23"/>
  <c r="D100" i="23"/>
  <c r="L99" i="23"/>
  <c r="K99" i="23"/>
  <c r="J99" i="23"/>
  <c r="I99" i="23"/>
  <c r="H99" i="23"/>
  <c r="G99" i="23"/>
  <c r="F99" i="23"/>
  <c r="E99" i="23"/>
  <c r="D99" i="23"/>
  <c r="L98" i="23"/>
  <c r="K98" i="23"/>
  <c r="J98" i="23"/>
  <c r="I98" i="23"/>
  <c r="H98" i="23"/>
  <c r="G98" i="23"/>
  <c r="F98" i="23"/>
  <c r="E98" i="23"/>
  <c r="D98" i="23"/>
  <c r="L97" i="23"/>
  <c r="K97" i="23"/>
  <c r="J97" i="23"/>
  <c r="I97" i="23"/>
  <c r="H97" i="23"/>
  <c r="G97" i="23"/>
  <c r="F97" i="23"/>
  <c r="E97" i="23"/>
  <c r="D97" i="23"/>
  <c r="L96" i="23"/>
  <c r="K96" i="23"/>
  <c r="J96" i="23"/>
  <c r="I96" i="23"/>
  <c r="H96" i="23"/>
  <c r="G96" i="23"/>
  <c r="F96" i="23"/>
  <c r="E96" i="23"/>
  <c r="D96" i="23"/>
  <c r="L95" i="23"/>
  <c r="K95" i="23"/>
  <c r="J95" i="23"/>
  <c r="I95" i="23"/>
  <c r="H95" i="23"/>
  <c r="G95" i="23"/>
  <c r="F95" i="23"/>
  <c r="E95" i="23"/>
  <c r="D95" i="23"/>
  <c r="L94" i="23"/>
  <c r="K94" i="23"/>
  <c r="J94" i="23"/>
  <c r="I94" i="23"/>
  <c r="H94" i="23"/>
  <c r="G94" i="23"/>
  <c r="F94" i="23"/>
  <c r="E94" i="23"/>
  <c r="D94" i="23"/>
  <c r="C100" i="23"/>
  <c r="C99" i="23"/>
  <c r="C98" i="23"/>
  <c r="C97" i="23"/>
  <c r="C96" i="23"/>
  <c r="C95" i="23"/>
  <c r="C94" i="23"/>
  <c r="L90" i="23"/>
  <c r="K90" i="23"/>
  <c r="J90" i="23"/>
  <c r="I90" i="23"/>
  <c r="H90" i="23"/>
  <c r="G90" i="23"/>
  <c r="F90" i="23"/>
  <c r="E90" i="23"/>
  <c r="D90" i="23"/>
  <c r="L89" i="23"/>
  <c r="K89" i="23"/>
  <c r="J89" i="23"/>
  <c r="I89" i="23"/>
  <c r="H89" i="23"/>
  <c r="G89" i="23"/>
  <c r="F89" i="23"/>
  <c r="E89" i="23"/>
  <c r="D89" i="23"/>
  <c r="L88" i="23"/>
  <c r="K88" i="23"/>
  <c r="J88" i="23"/>
  <c r="I88" i="23"/>
  <c r="H88" i="23"/>
  <c r="G88" i="23"/>
  <c r="F88" i="23"/>
  <c r="E88" i="23"/>
  <c r="D88" i="23"/>
  <c r="L87" i="23"/>
  <c r="K87" i="23"/>
  <c r="J87" i="23"/>
  <c r="I87" i="23"/>
  <c r="H87" i="23"/>
  <c r="G87" i="23"/>
  <c r="F87" i="23"/>
  <c r="E87" i="23"/>
  <c r="D87" i="23"/>
  <c r="L86" i="23"/>
  <c r="K86" i="23"/>
  <c r="J86" i="23"/>
  <c r="I86" i="23"/>
  <c r="H86" i="23"/>
  <c r="G86" i="23"/>
  <c r="F86" i="23"/>
  <c r="E86" i="23"/>
  <c r="D86" i="23"/>
  <c r="L85" i="23"/>
  <c r="K85" i="23"/>
  <c r="J85" i="23"/>
  <c r="I85" i="23"/>
  <c r="H85" i="23"/>
  <c r="G85" i="23"/>
  <c r="F85" i="23"/>
  <c r="E85" i="23"/>
  <c r="D85" i="23"/>
  <c r="L84" i="23"/>
  <c r="K84" i="23"/>
  <c r="J84" i="23"/>
  <c r="I84" i="23"/>
  <c r="H84" i="23"/>
  <c r="G84" i="23"/>
  <c r="F84" i="23"/>
  <c r="E84" i="23"/>
  <c r="D84" i="23"/>
  <c r="L83" i="23"/>
  <c r="K83" i="23"/>
  <c r="J83" i="23"/>
  <c r="I83" i="23"/>
  <c r="H83" i="23"/>
  <c r="G83" i="23"/>
  <c r="F83" i="23"/>
  <c r="E83" i="23"/>
  <c r="D83" i="23"/>
  <c r="L82" i="23"/>
  <c r="K82" i="23"/>
  <c r="J82" i="23"/>
  <c r="I82" i="23"/>
  <c r="H82" i="23"/>
  <c r="G82" i="23"/>
  <c r="F82" i="23"/>
  <c r="E82" i="23"/>
  <c r="D82" i="23"/>
  <c r="L81" i="23"/>
  <c r="K81" i="23"/>
  <c r="J81" i="23"/>
  <c r="I81" i="23"/>
  <c r="H81" i="23"/>
  <c r="G81" i="23"/>
  <c r="F81" i="23"/>
  <c r="E81" i="23"/>
  <c r="D81" i="23"/>
  <c r="C90" i="23"/>
  <c r="C89" i="23"/>
  <c r="C88" i="23"/>
  <c r="C87" i="23"/>
  <c r="C86" i="23"/>
  <c r="C85" i="23"/>
  <c r="C84" i="23"/>
  <c r="C83" i="23"/>
  <c r="C82" i="23"/>
  <c r="C81" i="23"/>
  <c r="L77" i="23"/>
  <c r="K77" i="23"/>
  <c r="J77" i="23"/>
  <c r="I77" i="23"/>
  <c r="H77" i="23"/>
  <c r="G77" i="23"/>
  <c r="F77" i="23"/>
  <c r="E77" i="23"/>
  <c r="D77" i="23"/>
  <c r="L75" i="23"/>
  <c r="K75" i="23"/>
  <c r="J75" i="23"/>
  <c r="I75" i="23"/>
  <c r="H75" i="23"/>
  <c r="G75" i="23"/>
  <c r="F75" i="23"/>
  <c r="E75" i="23"/>
  <c r="D75" i="23"/>
  <c r="L74" i="23"/>
  <c r="K74" i="23"/>
  <c r="J74" i="23"/>
  <c r="I74" i="23"/>
  <c r="H74" i="23"/>
  <c r="G74" i="23"/>
  <c r="F74" i="23"/>
  <c r="E74" i="23"/>
  <c r="D74" i="23"/>
  <c r="L73" i="23"/>
  <c r="K73" i="23"/>
  <c r="J73" i="23"/>
  <c r="I73" i="23"/>
  <c r="H73" i="23"/>
  <c r="G73" i="23"/>
  <c r="F73" i="23"/>
  <c r="E73" i="23"/>
  <c r="D73" i="23"/>
  <c r="L72" i="23"/>
  <c r="K72" i="23"/>
  <c r="J72" i="23"/>
  <c r="I72" i="23"/>
  <c r="H72" i="23"/>
  <c r="G72" i="23"/>
  <c r="F72" i="23"/>
  <c r="E72" i="23"/>
  <c r="D72" i="23"/>
  <c r="L71" i="23"/>
  <c r="K71" i="23"/>
  <c r="J71" i="23"/>
  <c r="I71" i="23"/>
  <c r="H71" i="23"/>
  <c r="G71" i="23"/>
  <c r="F71" i="23"/>
  <c r="E71" i="23"/>
  <c r="D71" i="23"/>
  <c r="L70" i="23"/>
  <c r="K70" i="23"/>
  <c r="J70" i="23"/>
  <c r="I70" i="23"/>
  <c r="H70" i="23"/>
  <c r="G70" i="23"/>
  <c r="F70" i="23"/>
  <c r="E70" i="23"/>
  <c r="D70" i="23"/>
  <c r="C77" i="23"/>
  <c r="C75" i="23"/>
  <c r="C74" i="23"/>
  <c r="C73" i="23"/>
  <c r="C72" i="23"/>
  <c r="C71" i="23"/>
  <c r="C70" i="23"/>
  <c r="L61" i="23"/>
  <c r="L60" i="23"/>
  <c r="L59" i="23"/>
  <c r="K61" i="23"/>
  <c r="J61" i="23"/>
  <c r="I61" i="23"/>
  <c r="H61" i="23"/>
  <c r="G61" i="23"/>
  <c r="F61" i="23"/>
  <c r="E61" i="23"/>
  <c r="D61" i="23"/>
  <c r="C61" i="23"/>
  <c r="K60" i="23"/>
  <c r="J60" i="23"/>
  <c r="I60" i="23"/>
  <c r="H60" i="23"/>
  <c r="G60" i="23"/>
  <c r="F60" i="23"/>
  <c r="E60" i="23"/>
  <c r="D60" i="23"/>
  <c r="C60" i="23"/>
  <c r="K59" i="23"/>
  <c r="J59" i="23"/>
  <c r="I59" i="23"/>
  <c r="H59" i="23"/>
  <c r="G59" i="23"/>
  <c r="F59" i="23"/>
  <c r="E59" i="23"/>
  <c r="D59" i="23"/>
  <c r="C59" i="23"/>
  <c r="L55" i="23"/>
  <c r="L54" i="23"/>
  <c r="L53" i="23"/>
  <c r="K55" i="23"/>
  <c r="J55" i="23"/>
  <c r="I55" i="23"/>
  <c r="H55" i="23"/>
  <c r="G55" i="23"/>
  <c r="F55" i="23"/>
  <c r="E55" i="23"/>
  <c r="D55" i="23"/>
  <c r="C55" i="23"/>
  <c r="K54" i="23"/>
  <c r="J54" i="23"/>
  <c r="I54" i="23"/>
  <c r="H54" i="23"/>
  <c r="G54" i="23"/>
  <c r="F54" i="23"/>
  <c r="E54" i="23"/>
  <c r="D54" i="23"/>
  <c r="C54" i="23"/>
  <c r="K53" i="23"/>
  <c r="J53" i="23"/>
  <c r="I53" i="23"/>
  <c r="H53" i="23"/>
  <c r="G53" i="23"/>
  <c r="F53" i="23"/>
  <c r="E53" i="23"/>
  <c r="D53" i="23"/>
  <c r="C53" i="23"/>
  <c r="K50" i="23"/>
  <c r="J50" i="23"/>
  <c r="I50" i="23"/>
  <c r="H50" i="23"/>
  <c r="G50" i="23"/>
  <c r="F50" i="23"/>
  <c r="E50" i="23"/>
  <c r="D50" i="23"/>
  <c r="C50" i="23"/>
  <c r="K49" i="23"/>
  <c r="J49" i="23"/>
  <c r="I49" i="23"/>
  <c r="H49" i="23"/>
  <c r="G49" i="23"/>
  <c r="F49" i="23"/>
  <c r="E49" i="23"/>
  <c r="D49" i="23"/>
  <c r="C49" i="23"/>
  <c r="L50" i="23"/>
  <c r="L49" i="23"/>
  <c r="L48" i="23"/>
  <c r="K48" i="23"/>
  <c r="J48" i="23"/>
  <c r="I48" i="23"/>
  <c r="H48" i="23"/>
  <c r="G48" i="23"/>
  <c r="F48" i="23"/>
  <c r="E48" i="23"/>
  <c r="D48" i="23"/>
  <c r="C48" i="23"/>
  <c r="L47" i="23"/>
  <c r="K47" i="23"/>
  <c r="J47" i="23"/>
  <c r="I47" i="23"/>
  <c r="H47" i="23"/>
  <c r="G47" i="23"/>
  <c r="F47" i="23"/>
  <c r="E47" i="23"/>
  <c r="D47" i="23"/>
  <c r="C47" i="23"/>
  <c r="M36" i="23"/>
  <c r="M41" i="23"/>
  <c r="L36" i="23"/>
  <c r="L41" i="23"/>
  <c r="K36" i="23"/>
  <c r="K41" i="23"/>
  <c r="J36" i="23"/>
  <c r="J41" i="23"/>
  <c r="I36" i="23"/>
  <c r="I41" i="23"/>
  <c r="H36" i="23"/>
  <c r="H41" i="23"/>
  <c r="G36" i="23"/>
  <c r="G41" i="23"/>
  <c r="F36" i="23"/>
  <c r="F41" i="23"/>
  <c r="E36" i="23"/>
  <c r="E41" i="23"/>
  <c r="D36" i="23"/>
  <c r="D41" i="23"/>
  <c r="C36" i="23"/>
  <c r="C41" i="23"/>
  <c r="K30" i="23"/>
  <c r="J30" i="23"/>
  <c r="I30" i="23"/>
  <c r="H30" i="23"/>
  <c r="G30" i="23"/>
  <c r="F30" i="23"/>
  <c r="E30" i="23"/>
  <c r="D30" i="23"/>
  <c r="C30" i="23"/>
  <c r="L30" i="23"/>
  <c r="M30" i="23"/>
  <c r="M24" i="23"/>
  <c r="L24" i="23"/>
  <c r="K24" i="23"/>
  <c r="J24" i="23"/>
  <c r="I24" i="23"/>
  <c r="H24" i="23"/>
  <c r="G24" i="23"/>
  <c r="F24" i="23"/>
  <c r="E24" i="23"/>
  <c r="D24" i="23"/>
  <c r="C24" i="23"/>
  <c r="M21" i="23"/>
  <c r="L21" i="23"/>
  <c r="K21" i="23"/>
  <c r="J21" i="23"/>
  <c r="I21" i="23"/>
  <c r="H21" i="23"/>
  <c r="G21" i="23"/>
  <c r="F21" i="23"/>
  <c r="E21" i="23"/>
  <c r="D21" i="23"/>
  <c r="C21" i="23"/>
  <c r="J15" i="23"/>
  <c r="I15" i="23"/>
  <c r="H15" i="23"/>
  <c r="G15" i="23"/>
  <c r="F15" i="23"/>
  <c r="E15" i="23"/>
  <c r="D15" i="23"/>
  <c r="C15" i="23"/>
  <c r="K15" i="23"/>
  <c r="L15" i="23"/>
  <c r="M9" i="23"/>
  <c r="M6" i="23"/>
  <c r="L6" i="23"/>
  <c r="K6" i="23"/>
  <c r="J6" i="23"/>
  <c r="I6" i="23"/>
  <c r="H6" i="23"/>
  <c r="G6" i="23"/>
  <c r="F6" i="23"/>
  <c r="E6" i="23"/>
  <c r="D6" i="23"/>
  <c r="C6" i="23"/>
  <c r="L27" i="22"/>
  <c r="K27" i="22"/>
  <c r="J27" i="22"/>
  <c r="I27" i="22"/>
  <c r="H27" i="22"/>
  <c r="G27" i="22"/>
  <c r="F27" i="22"/>
  <c r="E27" i="22"/>
  <c r="D27" i="22"/>
  <c r="C27" i="22"/>
  <c r="L26" i="22"/>
  <c r="K26" i="22"/>
  <c r="J26" i="22"/>
  <c r="I26" i="22"/>
  <c r="H26" i="22"/>
  <c r="G26" i="22"/>
  <c r="F26" i="22"/>
  <c r="E26" i="22"/>
  <c r="D26" i="22"/>
  <c r="C26" i="22"/>
  <c r="L25" i="22"/>
  <c r="K25" i="22"/>
  <c r="J25" i="22"/>
  <c r="I25" i="22"/>
  <c r="H25" i="22"/>
  <c r="G25" i="22"/>
  <c r="F25" i="22"/>
  <c r="E25" i="22"/>
  <c r="D25" i="22"/>
  <c r="C25" i="22"/>
  <c r="L24" i="22"/>
  <c r="K24" i="22"/>
  <c r="J24" i="22"/>
  <c r="I24" i="22"/>
  <c r="H24" i="22"/>
  <c r="G24" i="22"/>
  <c r="F24" i="22"/>
  <c r="E24" i="22"/>
  <c r="D24" i="22"/>
  <c r="C24" i="22"/>
  <c r="J76" i="23"/>
  <c r="J78" i="23"/>
  <c r="D76" i="23"/>
  <c r="D78" i="23"/>
  <c r="L76" i="23"/>
  <c r="L78" i="23"/>
  <c r="E76" i="23"/>
  <c r="E78" i="23"/>
  <c r="F76" i="23"/>
  <c r="F78" i="23"/>
  <c r="G76" i="23"/>
  <c r="G78" i="23"/>
  <c r="H76" i="23"/>
  <c r="H78" i="23"/>
  <c r="I76" i="23"/>
  <c r="I78" i="23"/>
  <c r="K76" i="23"/>
  <c r="K78" i="23"/>
  <c r="C76" i="23"/>
  <c r="C78" i="23"/>
  <c r="J31" i="25"/>
  <c r="K9" i="25"/>
  <c r="G51" i="23"/>
  <c r="L29" i="25"/>
  <c r="L35" i="25"/>
  <c r="D51" i="23"/>
  <c r="J51" i="23"/>
  <c r="I51" i="23"/>
  <c r="C51" i="23"/>
  <c r="K51" i="23"/>
  <c r="L51" i="23"/>
  <c r="E51" i="23"/>
  <c r="G31" i="25"/>
  <c r="I31" i="25"/>
  <c r="F51" i="23"/>
  <c r="H51" i="23"/>
  <c r="K30" i="25"/>
  <c r="C31" i="25"/>
  <c r="E28" i="25"/>
  <c r="E34" i="25"/>
  <c r="F27" i="25"/>
  <c r="F33" i="25"/>
  <c r="H31" i="25"/>
  <c r="D29" i="25"/>
  <c r="D35" i="25"/>
  <c r="I9" i="25"/>
  <c r="D9" i="25"/>
  <c r="L9" i="25"/>
  <c r="E9" i="25"/>
  <c r="G9" i="25"/>
  <c r="H9" i="25"/>
  <c r="F9" i="25"/>
  <c r="J9" i="25"/>
  <c r="C27" i="25"/>
  <c r="C33" i="25"/>
  <c r="G27" i="25"/>
  <c r="G33" i="25"/>
  <c r="F28" i="25"/>
  <c r="E29" i="25"/>
  <c r="E35" i="25"/>
  <c r="D30" i="25"/>
  <c r="L30" i="25"/>
  <c r="K31" i="25"/>
  <c r="C28" i="25"/>
  <c r="H27" i="25"/>
  <c r="H33" i="25"/>
  <c r="G28" i="25"/>
  <c r="G34" i="25"/>
  <c r="F29" i="25"/>
  <c r="F35" i="25"/>
  <c r="E30" i="25"/>
  <c r="D31" i="25"/>
  <c r="L31" i="25"/>
  <c r="C29" i="25"/>
  <c r="C35" i="25"/>
  <c r="I27" i="25"/>
  <c r="I33" i="25"/>
  <c r="H28" i="25"/>
  <c r="H34" i="25"/>
  <c r="G29" i="25"/>
  <c r="G35" i="25"/>
  <c r="F30" i="25"/>
  <c r="E31" i="25"/>
  <c r="C30" i="25"/>
  <c r="J27" i="25"/>
  <c r="J33" i="25"/>
  <c r="I28" i="25"/>
  <c r="I34" i="25"/>
  <c r="H29" i="25"/>
  <c r="H35" i="25"/>
  <c r="G30" i="25"/>
  <c r="F31" i="25"/>
  <c r="K27" i="25"/>
  <c r="K33" i="25"/>
  <c r="J28" i="25"/>
  <c r="J34" i="25"/>
  <c r="I29" i="25"/>
  <c r="I35" i="25"/>
  <c r="H30" i="25"/>
  <c r="D27" i="25"/>
  <c r="D33" i="25"/>
  <c r="L27" i="25"/>
  <c r="L33" i="25"/>
  <c r="K28" i="25"/>
  <c r="K34" i="25"/>
  <c r="J29" i="25"/>
  <c r="J35" i="25"/>
  <c r="I30" i="25"/>
  <c r="E27" i="25"/>
  <c r="E33" i="25"/>
  <c r="D28" i="25"/>
  <c r="D34" i="25"/>
  <c r="L28" i="25"/>
  <c r="L34" i="25"/>
  <c r="K29" i="25"/>
  <c r="K35" i="25"/>
  <c r="J30" i="25"/>
  <c r="L23" i="22"/>
  <c r="K23" i="22"/>
  <c r="J23" i="22"/>
  <c r="I23" i="22"/>
  <c r="H23" i="22"/>
  <c r="G23" i="22"/>
  <c r="F23" i="22"/>
  <c r="E23" i="22"/>
  <c r="D23" i="22"/>
  <c r="C23" i="22"/>
  <c r="L18" i="22"/>
  <c r="K18" i="22"/>
  <c r="J18" i="22"/>
  <c r="I18" i="22"/>
  <c r="H18" i="22"/>
  <c r="G18" i="22"/>
  <c r="F18" i="22"/>
  <c r="E18" i="22"/>
  <c r="D18" i="22"/>
  <c r="C18" i="22"/>
  <c r="L17" i="22"/>
  <c r="K17" i="22"/>
  <c r="J17" i="22"/>
  <c r="I17" i="22"/>
  <c r="H17" i="22"/>
  <c r="G17" i="22"/>
  <c r="F17" i="22"/>
  <c r="E17" i="22"/>
  <c r="D17" i="22"/>
  <c r="C17" i="22"/>
  <c r="L16" i="22"/>
  <c r="K16" i="22"/>
  <c r="J16" i="22"/>
  <c r="I16" i="22"/>
  <c r="H16" i="22"/>
  <c r="G16" i="22"/>
  <c r="F16" i="22"/>
  <c r="E16" i="22"/>
  <c r="D16" i="22"/>
  <c r="C16" i="22"/>
  <c r="L15" i="22"/>
  <c r="K15" i="22"/>
  <c r="J15" i="22"/>
  <c r="I15" i="22"/>
  <c r="H15" i="22"/>
  <c r="G15" i="22"/>
  <c r="F15" i="22"/>
  <c r="E15" i="22"/>
  <c r="D15" i="22"/>
  <c r="C15" i="22"/>
  <c r="L14" i="22"/>
  <c r="K14" i="22"/>
  <c r="J14" i="22"/>
  <c r="I14" i="22"/>
  <c r="H14" i="22"/>
  <c r="G14" i="22"/>
  <c r="F14" i="22"/>
  <c r="E14" i="22"/>
  <c r="D14" i="22"/>
  <c r="C14" i="22"/>
  <c r="L13" i="22"/>
  <c r="K13" i="22"/>
  <c r="J13" i="22"/>
  <c r="I13" i="22"/>
  <c r="H13" i="22"/>
  <c r="G13" i="22"/>
  <c r="F13" i="22"/>
  <c r="E13" i="22"/>
  <c r="D13" i="22"/>
  <c r="C13" i="22"/>
  <c r="L12" i="22"/>
  <c r="K12" i="22"/>
  <c r="J12" i="22"/>
  <c r="I12" i="22"/>
  <c r="H12" i="22"/>
  <c r="G12" i="22"/>
  <c r="F12" i="22"/>
  <c r="E12" i="22"/>
  <c r="D12" i="22"/>
  <c r="C12" i="22"/>
  <c r="L11" i="22"/>
  <c r="K11" i="22"/>
  <c r="J11" i="22"/>
  <c r="I11" i="22"/>
  <c r="H11" i="22"/>
  <c r="G11" i="22"/>
  <c r="F11" i="22"/>
  <c r="E11" i="22"/>
  <c r="D11" i="22"/>
  <c r="C11" i="22"/>
  <c r="L10" i="22"/>
  <c r="K10" i="22"/>
  <c r="J10" i="22"/>
  <c r="I10" i="22"/>
  <c r="H10" i="22"/>
  <c r="G10" i="22"/>
  <c r="F10" i="22"/>
  <c r="E10" i="22"/>
  <c r="D10" i="22"/>
  <c r="C10" i="22"/>
  <c r="L9" i="22"/>
  <c r="K9" i="22"/>
  <c r="J9" i="22"/>
  <c r="I9" i="22"/>
  <c r="H9" i="22"/>
  <c r="G9" i="22"/>
  <c r="F9" i="22"/>
  <c r="E9" i="22"/>
  <c r="D9" i="22"/>
  <c r="C9" i="22"/>
  <c r="L8" i="22"/>
  <c r="K8" i="22"/>
  <c r="J8" i="22"/>
  <c r="I8" i="22"/>
  <c r="H8" i="22"/>
  <c r="G8" i="22"/>
  <c r="F8" i="22"/>
  <c r="E8" i="22"/>
  <c r="D8" i="22"/>
  <c r="C8" i="22"/>
  <c r="L7" i="22"/>
  <c r="K7" i="22"/>
  <c r="J7" i="22"/>
  <c r="I7" i="22"/>
  <c r="H7" i="22"/>
  <c r="G7" i="22"/>
  <c r="F7" i="22"/>
  <c r="E7" i="22"/>
  <c r="D7" i="22"/>
  <c r="C7" i="22"/>
  <c r="L6" i="22"/>
  <c r="K6" i="22"/>
  <c r="J6" i="22"/>
  <c r="I6" i="22"/>
  <c r="H6" i="22"/>
  <c r="G6" i="22"/>
  <c r="F6" i="22"/>
  <c r="E6" i="22"/>
  <c r="D6" i="22"/>
  <c r="C6" i="22"/>
  <c r="L5" i="22"/>
  <c r="K5" i="22"/>
  <c r="J5" i="22"/>
  <c r="I5" i="22"/>
  <c r="H5" i="22"/>
  <c r="G5" i="22"/>
  <c r="F5" i="22"/>
  <c r="E5" i="22"/>
  <c r="D5" i="22"/>
  <c r="C5" i="22"/>
  <c r="L4" i="22"/>
  <c r="K4" i="22"/>
  <c r="J4" i="22"/>
  <c r="I4" i="22"/>
  <c r="H4" i="22"/>
  <c r="G4" i="22"/>
  <c r="F4" i="22"/>
  <c r="E4" i="22"/>
  <c r="D4" i="22"/>
  <c r="C4" i="22"/>
  <c r="H101" i="23"/>
  <c r="G101" i="23"/>
  <c r="L101" i="23"/>
  <c r="K101" i="23"/>
  <c r="J101" i="23"/>
  <c r="I101" i="23"/>
  <c r="F101" i="23"/>
  <c r="E101" i="23"/>
  <c r="D101" i="23"/>
  <c r="C101" i="23"/>
  <c r="L91" i="23"/>
  <c r="K91" i="23"/>
  <c r="J91" i="23"/>
  <c r="I91" i="23"/>
  <c r="H91" i="23"/>
  <c r="G91" i="23"/>
  <c r="F91" i="23"/>
  <c r="E91" i="23"/>
  <c r="D91" i="23"/>
  <c r="C91" i="23"/>
  <c r="L62" i="23"/>
  <c r="K62" i="23"/>
  <c r="D62" i="23"/>
  <c r="C62" i="23"/>
  <c r="J62" i="23"/>
  <c r="I62" i="23"/>
  <c r="H62" i="23"/>
  <c r="G62" i="23"/>
  <c r="F62" i="23"/>
  <c r="E62" i="23"/>
  <c r="L57" i="23"/>
  <c r="K57" i="23"/>
  <c r="J57" i="23"/>
  <c r="I57" i="23"/>
  <c r="H57" i="23"/>
  <c r="G57" i="23"/>
  <c r="F57" i="23"/>
  <c r="E57" i="23"/>
  <c r="D57" i="23"/>
  <c r="C57" i="23"/>
  <c r="L25" i="23"/>
  <c r="L18" i="25"/>
  <c r="K25" i="23"/>
  <c r="K18" i="25"/>
  <c r="D25" i="23"/>
  <c r="D18" i="25"/>
  <c r="C25" i="23"/>
  <c r="C18" i="25"/>
  <c r="M25" i="23"/>
  <c r="J25" i="23"/>
  <c r="J18" i="25"/>
  <c r="I25" i="23"/>
  <c r="I18" i="25"/>
  <c r="H25" i="23"/>
  <c r="H18" i="25"/>
  <c r="G25" i="23"/>
  <c r="G18" i="25"/>
  <c r="F25" i="23"/>
  <c r="F18" i="25"/>
  <c r="E25" i="23"/>
  <c r="E18" i="25"/>
  <c r="J22" i="23"/>
  <c r="I22" i="23"/>
  <c r="M22" i="23"/>
  <c r="L22" i="23"/>
  <c r="K22" i="23"/>
  <c r="G22" i="23"/>
  <c r="F22" i="23"/>
  <c r="E22" i="23"/>
  <c r="D22" i="23"/>
  <c r="C22" i="23"/>
  <c r="L16" i="23"/>
  <c r="L17" i="25"/>
  <c r="E16" i="23"/>
  <c r="E17" i="25"/>
  <c r="D16" i="23"/>
  <c r="D17" i="25"/>
  <c r="J16" i="23"/>
  <c r="J17" i="25"/>
  <c r="I16" i="23"/>
  <c r="I17" i="25"/>
  <c r="H16" i="23"/>
  <c r="H17" i="25"/>
  <c r="G16" i="23"/>
  <c r="G17" i="25"/>
  <c r="F16" i="23"/>
  <c r="F17" i="25"/>
  <c r="M12" i="23"/>
  <c r="M13" i="23"/>
  <c r="L12" i="23"/>
  <c r="L13" i="23"/>
  <c r="L11" i="25"/>
  <c r="E12" i="23"/>
  <c r="E13" i="23"/>
  <c r="E11" i="25"/>
  <c r="D12" i="23"/>
  <c r="D13" i="23"/>
  <c r="D11" i="25"/>
  <c r="M10" i="23"/>
  <c r="L10" i="23"/>
  <c r="K10" i="23"/>
  <c r="J10" i="23"/>
  <c r="I10" i="23"/>
  <c r="F10" i="23"/>
  <c r="E10" i="23"/>
  <c r="D10" i="23"/>
  <c r="C10" i="23"/>
  <c r="M7" i="23"/>
  <c r="L7" i="23"/>
  <c r="L5" i="25"/>
  <c r="F7" i="23"/>
  <c r="F5" i="25"/>
  <c r="E7" i="23"/>
  <c r="E5" i="25"/>
  <c r="D7" i="23"/>
  <c r="D5" i="25"/>
  <c r="K16" i="23"/>
  <c r="K17" i="25"/>
  <c r="J12" i="23"/>
  <c r="I12" i="23"/>
  <c r="H22" i="23"/>
  <c r="G12" i="23"/>
  <c r="F12" i="23"/>
  <c r="C16" i="23"/>
  <c r="C17" i="25"/>
  <c r="K77" i="21"/>
  <c r="L33" i="22"/>
  <c r="J77" i="21"/>
  <c r="K33" i="22"/>
  <c r="I77" i="21"/>
  <c r="J33" i="22"/>
  <c r="H77" i="21"/>
  <c r="I33" i="22"/>
  <c r="G77" i="21"/>
  <c r="H33" i="22"/>
  <c r="F77" i="21"/>
  <c r="G33" i="22"/>
  <c r="E77" i="21"/>
  <c r="F33" i="22"/>
  <c r="D77" i="21"/>
  <c r="E33" i="22"/>
  <c r="C77" i="21"/>
  <c r="D33" i="22"/>
  <c r="K73" i="21"/>
  <c r="J73" i="21"/>
  <c r="I73" i="21"/>
  <c r="K51" i="21"/>
  <c r="J51" i="21"/>
  <c r="I51" i="21"/>
  <c r="H51" i="21"/>
  <c r="G51" i="21"/>
  <c r="F51" i="21"/>
  <c r="E51" i="21"/>
  <c r="D51" i="21"/>
  <c r="C51" i="21"/>
  <c r="B51" i="21"/>
  <c r="K34" i="21"/>
  <c r="L19" i="22"/>
  <c r="J34" i="21"/>
  <c r="K19" i="22"/>
  <c r="I34" i="21"/>
  <c r="J19" i="22"/>
  <c r="H34" i="21"/>
  <c r="I19" i="22"/>
  <c r="G34" i="21"/>
  <c r="H19" i="22"/>
  <c r="F34" i="21"/>
  <c r="G19" i="22"/>
  <c r="E34" i="21"/>
  <c r="F19" i="22"/>
  <c r="D34" i="21"/>
  <c r="E19" i="22"/>
  <c r="C34" i="21"/>
  <c r="D19" i="22"/>
  <c r="B34" i="21"/>
  <c r="K32" i="21"/>
  <c r="J32" i="21"/>
  <c r="I32" i="21"/>
  <c r="H32" i="21"/>
  <c r="G32" i="21"/>
  <c r="F32" i="21"/>
  <c r="E32" i="21"/>
  <c r="D32" i="21"/>
  <c r="C32" i="21"/>
  <c r="B32" i="21"/>
  <c r="O9" i="25"/>
  <c r="F35" i="22"/>
  <c r="F31" i="22"/>
  <c r="F34" i="22"/>
  <c r="F30" i="22"/>
  <c r="F29" i="22"/>
  <c r="F36" i="22"/>
  <c r="F32" i="22"/>
  <c r="G35" i="22"/>
  <c r="G34" i="22"/>
  <c r="G30" i="22"/>
  <c r="G31" i="22"/>
  <c r="G29" i="22"/>
  <c r="G36" i="22"/>
  <c r="G32" i="22"/>
  <c r="J29" i="22"/>
  <c r="J36" i="22"/>
  <c r="J32" i="22"/>
  <c r="J35" i="22"/>
  <c r="J31" i="22"/>
  <c r="J34" i="22"/>
  <c r="J30" i="22"/>
  <c r="H34" i="22"/>
  <c r="H30" i="22"/>
  <c r="H29" i="22"/>
  <c r="H36" i="22"/>
  <c r="H32" i="22"/>
  <c r="H35" i="22"/>
  <c r="H31" i="22"/>
  <c r="C36" i="22"/>
  <c r="C32" i="22"/>
  <c r="C35" i="22"/>
  <c r="C31" i="22"/>
  <c r="C29" i="22"/>
  <c r="C34" i="22"/>
  <c r="C30" i="22"/>
  <c r="K29" i="22"/>
  <c r="K36" i="22"/>
  <c r="K32" i="22"/>
  <c r="K35" i="22"/>
  <c r="K31" i="22"/>
  <c r="K34" i="22"/>
  <c r="K30" i="22"/>
  <c r="I29" i="22"/>
  <c r="I34" i="22"/>
  <c r="I36" i="22"/>
  <c r="I32" i="22"/>
  <c r="I30" i="22"/>
  <c r="I35" i="22"/>
  <c r="I31" i="22"/>
  <c r="D36" i="22"/>
  <c r="D32" i="22"/>
  <c r="D35" i="22"/>
  <c r="D31" i="22"/>
  <c r="D34" i="22"/>
  <c r="D30" i="22"/>
  <c r="D29" i="22"/>
  <c r="L36" i="22"/>
  <c r="L32" i="22"/>
  <c r="L35" i="22"/>
  <c r="L31" i="22"/>
  <c r="L34" i="22"/>
  <c r="L30" i="22"/>
  <c r="L29" i="22"/>
  <c r="E35" i="22"/>
  <c r="E31" i="22"/>
  <c r="E34" i="22"/>
  <c r="E30" i="22"/>
  <c r="E36" i="22"/>
  <c r="E32" i="22"/>
  <c r="E29" i="22"/>
  <c r="M18" i="23"/>
  <c r="M19" i="23"/>
  <c r="N30" i="25"/>
  <c r="O18" i="25"/>
  <c r="C19" i="22"/>
  <c r="O31" i="25"/>
  <c r="O17" i="25"/>
  <c r="I36" i="25"/>
  <c r="N18" i="25"/>
  <c r="O28" i="25"/>
  <c r="O30" i="25"/>
  <c r="F40" i="25"/>
  <c r="F38" i="25"/>
  <c r="G40" i="25"/>
  <c r="G38" i="25"/>
  <c r="H38" i="25"/>
  <c r="H40" i="25"/>
  <c r="I38" i="25"/>
  <c r="I40" i="25"/>
  <c r="N28" i="25"/>
  <c r="J40" i="25"/>
  <c r="J38" i="25"/>
  <c r="C40" i="25"/>
  <c r="C38" i="25"/>
  <c r="K40" i="25"/>
  <c r="K38" i="25"/>
  <c r="D40" i="25"/>
  <c r="D38" i="25"/>
  <c r="L40" i="25"/>
  <c r="L38" i="25"/>
  <c r="E40" i="25"/>
  <c r="E38" i="25"/>
  <c r="L36" i="25"/>
  <c r="H36" i="25"/>
  <c r="E36" i="25"/>
  <c r="K36" i="25"/>
  <c r="E103" i="23"/>
  <c r="D64" i="23"/>
  <c r="D66" i="23"/>
  <c r="N33" i="25"/>
  <c r="J36" i="25"/>
  <c r="O33" i="25"/>
  <c r="D36" i="25"/>
  <c r="N35" i="25"/>
  <c r="O35" i="25"/>
  <c r="G36" i="25"/>
  <c r="C34" i="25"/>
  <c r="N9" i="25"/>
  <c r="N17" i="25"/>
  <c r="N27" i="25"/>
  <c r="N29" i="25"/>
  <c r="N31" i="25"/>
  <c r="O27" i="25"/>
  <c r="O29" i="25"/>
  <c r="F34" i="25"/>
  <c r="F36" i="25"/>
  <c r="I18" i="23"/>
  <c r="I13" i="23"/>
  <c r="I11" i="25"/>
  <c r="H64" i="23"/>
  <c r="H66" i="23"/>
  <c r="F103" i="23"/>
  <c r="J13" i="23"/>
  <c r="J11" i="25"/>
  <c r="J18" i="23"/>
  <c r="I64" i="23"/>
  <c r="I66" i="23"/>
  <c r="C64" i="23"/>
  <c r="C66" i="23"/>
  <c r="J64" i="23"/>
  <c r="J66" i="23"/>
  <c r="K64" i="23"/>
  <c r="K66" i="23"/>
  <c r="I103" i="23"/>
  <c r="G103" i="23"/>
  <c r="L64" i="23"/>
  <c r="L66" i="23"/>
  <c r="J103" i="23"/>
  <c r="H103" i="23"/>
  <c r="F13" i="23"/>
  <c r="F11" i="25"/>
  <c r="F18" i="23"/>
  <c r="E64" i="23"/>
  <c r="E66" i="23"/>
  <c r="C103" i="23"/>
  <c r="K103" i="23"/>
  <c r="G64" i="23"/>
  <c r="G66" i="23"/>
  <c r="G13" i="23"/>
  <c r="G11" i="25"/>
  <c r="G18" i="23"/>
  <c r="F64" i="23"/>
  <c r="F66" i="23"/>
  <c r="D103" i="23"/>
  <c r="L103" i="23"/>
  <c r="H10" i="23"/>
  <c r="G7" i="23"/>
  <c r="G5" i="25"/>
  <c r="D18" i="23"/>
  <c r="L18" i="23"/>
  <c r="G10" i="23"/>
  <c r="H7" i="23"/>
  <c r="H5" i="25"/>
  <c r="E18" i="23"/>
  <c r="I7" i="23"/>
  <c r="I5" i="25"/>
  <c r="H12" i="23"/>
  <c r="J7" i="23"/>
  <c r="J5" i="25"/>
  <c r="K7" i="23"/>
  <c r="K5" i="25"/>
  <c r="C12" i="23"/>
  <c r="K12" i="23"/>
  <c r="N40" i="25"/>
  <c r="D39" i="25"/>
  <c r="M27" i="23"/>
  <c r="M31" i="23"/>
  <c r="E6" i="25"/>
  <c r="O38" i="25"/>
  <c r="N5" i="25"/>
  <c r="O5" i="25"/>
  <c r="O40" i="25"/>
  <c r="J39" i="25"/>
  <c r="H39" i="25"/>
  <c r="G6" i="25"/>
  <c r="E39" i="25"/>
  <c r="J6" i="25"/>
  <c r="K39" i="25"/>
  <c r="G39" i="25"/>
  <c r="I39" i="25"/>
  <c r="F6" i="25"/>
  <c r="L39" i="25"/>
  <c r="N38" i="25"/>
  <c r="C39" i="25"/>
  <c r="F39" i="25"/>
  <c r="O36" i="25"/>
  <c r="N34" i="25"/>
  <c r="C36" i="25"/>
  <c r="N36" i="25"/>
  <c r="O34" i="25"/>
  <c r="G27" i="23"/>
  <c r="G19" i="23"/>
  <c r="G12" i="25"/>
  <c r="H13" i="23"/>
  <c r="H11" i="25"/>
  <c r="H18" i="23"/>
  <c r="H6" i="25"/>
  <c r="F19" i="23"/>
  <c r="F12" i="25"/>
  <c r="F27" i="23"/>
  <c r="E19" i="23"/>
  <c r="E12" i="25"/>
  <c r="E27" i="23"/>
  <c r="K18" i="23"/>
  <c r="K6" i="25"/>
  <c r="K13" i="23"/>
  <c r="K11" i="25"/>
  <c r="C18" i="23"/>
  <c r="D6" i="25"/>
  <c r="C13" i="23"/>
  <c r="C11" i="25"/>
  <c r="L19" i="23"/>
  <c r="L12" i="25"/>
  <c r="L27" i="23"/>
  <c r="J19" i="23"/>
  <c r="J12" i="25"/>
  <c r="J27" i="23"/>
  <c r="D19" i="23"/>
  <c r="D12" i="25"/>
  <c r="D27" i="23"/>
  <c r="I27" i="23"/>
  <c r="I19" i="23"/>
  <c r="I12" i="25"/>
  <c r="O39" i="25"/>
  <c r="M33" i="23"/>
  <c r="M38" i="23"/>
  <c r="M28" i="23"/>
  <c r="O11" i="25"/>
  <c r="I6" i="25"/>
  <c r="J21" i="25"/>
  <c r="J25" i="25"/>
  <c r="J7" i="25"/>
  <c r="J13" i="25"/>
  <c r="J19" i="25"/>
  <c r="E25" i="25"/>
  <c r="E7" i="25"/>
  <c r="E13" i="25"/>
  <c r="E19" i="25"/>
  <c r="E21" i="25"/>
  <c r="N39" i="25"/>
  <c r="I13" i="25"/>
  <c r="I19" i="25"/>
  <c r="I21" i="25"/>
  <c r="I25" i="25"/>
  <c r="L25" i="25"/>
  <c r="L13" i="25"/>
  <c r="L19" i="25"/>
  <c r="L21" i="25"/>
  <c r="F25" i="25"/>
  <c r="F7" i="25"/>
  <c r="F13" i="25"/>
  <c r="F19" i="25"/>
  <c r="F21" i="25"/>
  <c r="L6" i="25"/>
  <c r="D25" i="25"/>
  <c r="D13" i="25"/>
  <c r="D21" i="25"/>
  <c r="N11" i="25"/>
  <c r="G25" i="25"/>
  <c r="G7" i="25"/>
  <c r="G13" i="25"/>
  <c r="G19" i="25"/>
  <c r="G21" i="25"/>
  <c r="J33" i="23"/>
  <c r="J28" i="23"/>
  <c r="J14" i="25"/>
  <c r="J31" i="23"/>
  <c r="E33" i="23"/>
  <c r="E28" i="23"/>
  <c r="E14" i="25"/>
  <c r="E31" i="23"/>
  <c r="D28" i="23"/>
  <c r="D14" i="25"/>
  <c r="D33" i="23"/>
  <c r="D31" i="23"/>
  <c r="H19" i="23"/>
  <c r="H12" i="25"/>
  <c r="H27" i="23"/>
  <c r="I7" i="25"/>
  <c r="I33" i="23"/>
  <c r="I28" i="23"/>
  <c r="I14" i="25"/>
  <c r="I31" i="23"/>
  <c r="L28" i="23"/>
  <c r="L14" i="25"/>
  <c r="L33" i="23"/>
  <c r="L31" i="23"/>
  <c r="F28" i="23"/>
  <c r="F14" i="25"/>
  <c r="F33" i="23"/>
  <c r="F31" i="23"/>
  <c r="C19" i="23"/>
  <c r="C12" i="25"/>
  <c r="C27" i="23"/>
  <c r="D7" i="25"/>
  <c r="K19" i="23"/>
  <c r="K12" i="25"/>
  <c r="K27" i="23"/>
  <c r="G31" i="23"/>
  <c r="G33" i="23"/>
  <c r="G28" i="23"/>
  <c r="G14" i="25"/>
  <c r="M34" i="23"/>
  <c r="N6" i="25"/>
  <c r="O12" i="25"/>
  <c r="C25" i="25"/>
  <c r="C13" i="25"/>
  <c r="C21" i="25"/>
  <c r="N12" i="25"/>
  <c r="L23" i="25"/>
  <c r="I23" i="25"/>
  <c r="E8" i="25"/>
  <c r="E23" i="25"/>
  <c r="J8" i="25"/>
  <c r="J23" i="25"/>
  <c r="D19" i="25"/>
  <c r="G8" i="25"/>
  <c r="G23" i="25"/>
  <c r="F8" i="25"/>
  <c r="F23" i="25"/>
  <c r="H13" i="25"/>
  <c r="H19" i="25"/>
  <c r="H21" i="25"/>
  <c r="H25" i="25"/>
  <c r="H7" i="25"/>
  <c r="K21" i="25"/>
  <c r="K25" i="25"/>
  <c r="K7" i="25"/>
  <c r="K13" i="25"/>
  <c r="K19" i="25"/>
  <c r="D23" i="25"/>
  <c r="O6" i="25"/>
  <c r="L7" i="25"/>
  <c r="L38" i="23"/>
  <c r="M39" i="23"/>
  <c r="L34" i="23"/>
  <c r="L15" i="25"/>
  <c r="E34" i="23"/>
  <c r="E15" i="25"/>
  <c r="E38" i="23"/>
  <c r="H31" i="23"/>
  <c r="H33" i="23"/>
  <c r="H28" i="23"/>
  <c r="H14" i="25"/>
  <c r="C33" i="23"/>
  <c r="C23" i="25"/>
  <c r="C28" i="23"/>
  <c r="C14" i="25"/>
  <c r="C31" i="23"/>
  <c r="K33" i="23"/>
  <c r="L8" i="25"/>
  <c r="K28" i="23"/>
  <c r="K14" i="25"/>
  <c r="K31" i="23"/>
  <c r="M44" i="23"/>
  <c r="M42" i="23"/>
  <c r="D38" i="23"/>
  <c r="D34" i="23"/>
  <c r="D15" i="25"/>
  <c r="G34" i="23"/>
  <c r="G15" i="25"/>
  <c r="G38" i="23"/>
  <c r="I38" i="23"/>
  <c r="I34" i="23"/>
  <c r="I15" i="25"/>
  <c r="F34" i="23"/>
  <c r="F15" i="25"/>
  <c r="F38" i="23"/>
  <c r="J38" i="23"/>
  <c r="J34" i="23"/>
  <c r="J15" i="25"/>
  <c r="O25" i="25"/>
  <c r="N21" i="25"/>
  <c r="O14" i="25"/>
  <c r="N7" i="25"/>
  <c r="O21" i="25"/>
  <c r="O7" i="25"/>
  <c r="N13" i="25"/>
  <c r="C19" i="25"/>
  <c r="N19" i="25"/>
  <c r="N25" i="25"/>
  <c r="H23" i="25"/>
  <c r="H8" i="25"/>
  <c r="I8" i="25"/>
  <c r="K8" i="25"/>
  <c r="K23" i="25"/>
  <c r="D8" i="25"/>
  <c r="O13" i="25"/>
  <c r="O19" i="25"/>
  <c r="N14" i="25"/>
  <c r="H34" i="23"/>
  <c r="H15" i="25"/>
  <c r="H38" i="23"/>
  <c r="I42" i="23"/>
  <c r="I44" i="23"/>
  <c r="I22" i="25"/>
  <c r="I24" i="25"/>
  <c r="E39" i="23"/>
  <c r="E42" i="23"/>
  <c r="E44" i="23"/>
  <c r="E22" i="25"/>
  <c r="E24" i="25"/>
  <c r="K38" i="23"/>
  <c r="L39" i="23"/>
  <c r="K34" i="23"/>
  <c r="K15" i="25"/>
  <c r="F39" i="23"/>
  <c r="F42" i="23"/>
  <c r="F44" i="23"/>
  <c r="F22" i="25"/>
  <c r="F24" i="25"/>
  <c r="C34" i="23"/>
  <c r="C15" i="25"/>
  <c r="C38" i="23"/>
  <c r="D39" i="23"/>
  <c r="G39" i="23"/>
  <c r="G42" i="23"/>
  <c r="G44" i="23"/>
  <c r="G22" i="25"/>
  <c r="G24" i="25"/>
  <c r="J39" i="23"/>
  <c r="J42" i="23"/>
  <c r="J44" i="23"/>
  <c r="J22" i="25"/>
  <c r="J24" i="25"/>
  <c r="D42" i="23"/>
  <c r="D44" i="23"/>
  <c r="D22" i="25"/>
  <c r="L42" i="23"/>
  <c r="L44" i="23"/>
  <c r="L22" i="25"/>
  <c r="L24" i="25"/>
  <c r="N15" i="25"/>
  <c r="N23" i="25"/>
  <c r="O15" i="25"/>
  <c r="O23" i="25"/>
  <c r="D24" i="25"/>
  <c r="N8" i="25"/>
  <c r="O8" i="25"/>
  <c r="H39" i="23"/>
  <c r="H42" i="23"/>
  <c r="H44" i="23"/>
  <c r="H22" i="25"/>
  <c r="H24" i="25"/>
  <c r="K39" i="23"/>
  <c r="K42" i="23"/>
  <c r="K44" i="23"/>
  <c r="K22" i="25"/>
  <c r="C42" i="23"/>
  <c r="C44" i="23"/>
  <c r="C22" i="25"/>
  <c r="I39" i="23"/>
  <c r="K24" i="25"/>
  <c r="O24" i="25"/>
  <c r="O22" i="25"/>
  <c r="C24" i="25"/>
  <c r="N22" i="25"/>
  <c r="N24" i="25"/>
  <c r="E31" i="33"/>
  <c r="K38" i="33"/>
  <c r="E32" i="33"/>
  <c r="K30" i="33"/>
  <c r="K32" i="33"/>
  <c r="K24" i="33"/>
  <c r="K25" i="33"/>
  <c r="J38" i="33"/>
  <c r="K39" i="33" s="1"/>
  <c r="D15" i="34" s="1"/>
  <c r="N22" i="28" l="1"/>
  <c r="L28" i="28"/>
  <c r="M28" i="28" s="1"/>
  <c r="N28" i="28" s="1"/>
  <c r="N21" i="28"/>
  <c r="N19" i="28"/>
  <c r="L26" i="28"/>
  <c r="M26" i="28" s="1"/>
  <c r="N26" i="28" s="1"/>
  <c r="N20" i="28"/>
  <c r="L29" i="28"/>
  <c r="M29" i="28" s="1"/>
  <c r="N29" i="28" s="1"/>
  <c r="L27" i="28"/>
  <c r="M27" i="28" s="1"/>
  <c r="N27" i="28" s="1"/>
  <c r="H19" i="34"/>
  <c r="H21" i="34" s="1"/>
  <c r="M10" i="34"/>
  <c r="M11" i="34" s="1"/>
  <c r="J10" i="34"/>
  <c r="J11" i="34" s="1"/>
  <c r="L10" i="34"/>
  <c r="L11" i="34" s="1"/>
  <c r="I10" i="34"/>
  <c r="I11" i="34" s="1"/>
  <c r="K10" i="34"/>
  <c r="K11" i="34" s="1"/>
  <c r="H24" i="34" l="1"/>
  <c r="B38" i="34"/>
  <c r="H25" i="34"/>
  <c r="H26" i="34" l="1"/>
  <c r="H30" i="34" s="1"/>
  <c r="H32" i="34" s="1"/>
  <c r="H35" i="34" s="1"/>
</calcChain>
</file>

<file path=xl/sharedStrings.xml><?xml version="1.0" encoding="utf-8"?>
<sst xmlns="http://schemas.openxmlformats.org/spreadsheetml/2006/main" count="451" uniqueCount="317">
  <si>
    <t>Total</t>
  </si>
  <si>
    <t>Particulars</t>
  </si>
  <si>
    <t>Reserves</t>
  </si>
  <si>
    <t>Net Block</t>
  </si>
  <si>
    <t>Investments</t>
  </si>
  <si>
    <t>Profit from operations</t>
  </si>
  <si>
    <t>Receivables</t>
  </si>
  <si>
    <t>Inventory</t>
  </si>
  <si>
    <t>Payables</t>
  </si>
  <si>
    <t>Other WC items</t>
  </si>
  <si>
    <t>Working capital changes</t>
  </si>
  <si>
    <t>Direct taxes</t>
  </si>
  <si>
    <t>Fixed assets purchased</t>
  </si>
  <si>
    <t>Fixed assets sold</t>
  </si>
  <si>
    <t>Investments purchased</t>
  </si>
  <si>
    <t>Investments sold</t>
  </si>
  <si>
    <t>Interest received</t>
  </si>
  <si>
    <t>Dividends received</t>
  </si>
  <si>
    <t>Redemp n Canc of Shares</t>
  </si>
  <si>
    <t>Acquisition of companies</t>
  </si>
  <si>
    <t>Other investing items</t>
  </si>
  <si>
    <t>Proceeds from borrowings</t>
  </si>
  <si>
    <t>Repayment of borrowings</t>
  </si>
  <si>
    <t>Interest paid fin</t>
  </si>
  <si>
    <t>Dividends paid</t>
  </si>
  <si>
    <t>Financial liabilities</t>
  </si>
  <si>
    <t>Other financing items</t>
  </si>
  <si>
    <t>Net Cash Flow</t>
  </si>
  <si>
    <t xml:space="preserve">Total Current Assets </t>
  </si>
  <si>
    <t>#</t>
  </si>
  <si>
    <t>EBITDA</t>
  </si>
  <si>
    <t>COMPANY NAME</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</si>
  <si>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</si>
  <si>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</si>
  <si>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</si>
  <si>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</si>
  <si>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</si>
  <si>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</si>
  <si>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</si>
  <si>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</si>
  <si>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</si>
  <si>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</si>
  <si>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</si>
  <si>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</si>
  <si>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</si>
  <si>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</si>
  <si>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</si>
  <si>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</si>
  <si>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</si>
  <si>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</si>
  <si>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</si>
  <si>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</si>
  <si>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</si>
  <si>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</si>
  <si>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</si>
  <si>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</si>
  <si>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</si>
  <si>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Effective Tax Rate</t>
  </si>
  <si>
    <t>Quarters</t>
  </si>
  <si>
    <t>Expenses</t>
  </si>
  <si>
    <t>Operating Profit</t>
  </si>
  <si>
    <t>BALANCE SHEET</t>
  </si>
  <si>
    <t>Equity Share Capital</t>
  </si>
  <si>
    <t>Borrowings</t>
  </si>
  <si>
    <t>Other Liabilities</t>
  </si>
  <si>
    <t>Capital Work in Progress</t>
  </si>
  <si>
    <t>Other Assets</t>
  </si>
  <si>
    <t>Cash &amp; Bank</t>
  </si>
  <si>
    <t>No. of Equity Shares</t>
  </si>
  <si>
    <t>New Bonus Shares</t>
  </si>
  <si>
    <t>Face value</t>
  </si>
  <si>
    <t xml:space="preserve">Total Assets </t>
  </si>
  <si>
    <t>CASH FLOW:</t>
  </si>
  <si>
    <t>Cash from Operating Activity</t>
  </si>
  <si>
    <t>Cash from Investing Activity</t>
  </si>
  <si>
    <t>Cash from Financing Activity</t>
  </si>
  <si>
    <t>PRICE:</t>
  </si>
  <si>
    <t>DERIVED:</t>
  </si>
  <si>
    <t>Adjusted Equity Shares in Cr</t>
  </si>
  <si>
    <t xml:space="preserve">Net Profit </t>
  </si>
  <si>
    <t>Mean</t>
  </si>
  <si>
    <t>Total Liablities</t>
  </si>
  <si>
    <t>Years</t>
  </si>
  <si>
    <t>LTM</t>
  </si>
  <si>
    <t>Income Statement</t>
  </si>
  <si>
    <t>Sales Growth</t>
  </si>
  <si>
    <t>COGS</t>
  </si>
  <si>
    <t xml:space="preserve">COGS % Sales </t>
  </si>
  <si>
    <t xml:space="preserve">Gross Profit </t>
  </si>
  <si>
    <t>Selling &amp; General Expenses</t>
  </si>
  <si>
    <t xml:space="preserve">S&amp;G Exp % Sales </t>
  </si>
  <si>
    <t xml:space="preserve">EBITDA </t>
  </si>
  <si>
    <t>EBITDA % Sales</t>
  </si>
  <si>
    <t xml:space="preserve">Interest </t>
  </si>
  <si>
    <t>Interest % Sales</t>
  </si>
  <si>
    <t xml:space="preserve">Depriciation </t>
  </si>
  <si>
    <t xml:space="preserve">Deprication % Sales </t>
  </si>
  <si>
    <t xml:space="preserve">Earnings before Tax </t>
  </si>
  <si>
    <t xml:space="preserve">EBT % Sales </t>
  </si>
  <si>
    <t xml:space="preserve">Tax </t>
  </si>
  <si>
    <t xml:space="preserve">Effective Tax Rate </t>
  </si>
  <si>
    <t xml:space="preserve">Net Margin </t>
  </si>
  <si>
    <t xml:space="preserve">No of Equity Share </t>
  </si>
  <si>
    <t xml:space="preserve">EPS </t>
  </si>
  <si>
    <t>EPS Growth %</t>
  </si>
  <si>
    <t xml:space="preserve">Dividend per Share </t>
  </si>
  <si>
    <t>Divident Payout Ratio %</t>
  </si>
  <si>
    <t xml:space="preserve">Retained Earnings </t>
  </si>
  <si>
    <t xml:space="preserve">Balace Sheet </t>
  </si>
  <si>
    <t xml:space="preserve">Total Liablity </t>
  </si>
  <si>
    <t>Fixed Asset Net Block</t>
  </si>
  <si>
    <t xml:space="preserve">Total Non Current Assets </t>
  </si>
  <si>
    <t xml:space="preserve">Total Asset </t>
  </si>
  <si>
    <t xml:space="preserve">Check </t>
  </si>
  <si>
    <t xml:space="preserve">Cash Flow </t>
  </si>
  <si>
    <t xml:space="preserve">Operating Activities </t>
  </si>
  <si>
    <t>Loans Advances</t>
  </si>
  <si>
    <t>CFO</t>
  </si>
  <si>
    <t>Investing Activity</t>
  </si>
  <si>
    <t>CFI</t>
  </si>
  <si>
    <t xml:space="preserve">Financing Activity </t>
  </si>
  <si>
    <t>Proceeds from shares</t>
  </si>
  <si>
    <t>CFF</t>
  </si>
  <si>
    <t xml:space="preserve">Net Cash Flow </t>
  </si>
  <si>
    <t>Cash from Operating Activity -</t>
  </si>
  <si>
    <t>Cash from Investing Activity -</t>
  </si>
  <si>
    <t>Cash from Financing Activity -</t>
  </si>
  <si>
    <t>Trend</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</si>
  <si>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</si>
  <si>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</si>
  <si>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</si>
  <si>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</si>
  <si>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</si>
  <si>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</si>
  <si>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</si>
  <si>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</si>
  <si>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</si>
  <si>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</si>
  <si>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</si>
  <si>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</si>
  <si>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</si>
  <si>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</si>
  <si>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</si>
  <si>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</si>
  <si>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</si>
  <si>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</si>
  <si>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</si>
  <si>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</si>
  <si>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</si>
  <si>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</si>
  <si>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</si>
  <si>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</si>
  <si>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</si>
  <si>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</si>
  <si>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</si>
  <si>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t>
  </si>
  <si>
    <t>CFO/Sales</t>
  </si>
  <si>
    <t>CFO/Total Assets</t>
  </si>
  <si>
    <t>CFO/Total Debt</t>
  </si>
  <si>
    <t>Other Asset</t>
  </si>
  <si>
    <t xml:space="preserve">GP % Sales </t>
  </si>
  <si>
    <t>Free Cash Flow</t>
  </si>
  <si>
    <t>CFO/OP</t>
  </si>
  <si>
    <r>
      <t xml:space="preserve">Working Capital Changes </t>
    </r>
    <r>
      <rPr>
        <b/>
        <i/>
        <vertAlign val="superscript"/>
        <sz val="11"/>
        <color theme="1"/>
        <rFont val="Calibri"/>
        <family val="2"/>
      </rPr>
      <t>1</t>
    </r>
  </si>
  <si>
    <t>Note:</t>
  </si>
  <si>
    <t>Working Capital Changes = Receivables + Inventory + Payables + Loans &amp; Advances + Other WC</t>
  </si>
  <si>
    <t>TRENT LTD</t>
  </si>
  <si>
    <t/>
  </si>
  <si>
    <t>Invest in subsidiaries</t>
  </si>
  <si>
    <t xml:space="preserve"> </t>
  </si>
  <si>
    <t>About the Company</t>
  </si>
  <si>
    <t xml:space="preserve">Financial Summary </t>
  </si>
  <si>
    <t xml:space="preserve">  </t>
  </si>
  <si>
    <t>Return on Equity (ROE)</t>
  </si>
  <si>
    <t xml:space="preserve">Average Shareholder Equity </t>
  </si>
  <si>
    <t>Return on Equity</t>
  </si>
  <si>
    <t xml:space="preserve">ROE - Dupont Equation </t>
  </si>
  <si>
    <t>Revenue</t>
  </si>
  <si>
    <t xml:space="preserve">Net Profit Margin (A) </t>
  </si>
  <si>
    <t xml:space="preserve">Revenue </t>
  </si>
  <si>
    <t xml:space="preserve">Average Total Asset </t>
  </si>
  <si>
    <t>Asset Turnover Ratio (B)</t>
  </si>
  <si>
    <t>Equity Multiplier (C)</t>
  </si>
  <si>
    <t>Return on Equity (A*B*C)</t>
  </si>
  <si>
    <t xml:space="preserve">Return on Asset </t>
  </si>
  <si>
    <t xml:space="preserve">Avg Total Asset </t>
  </si>
  <si>
    <t xml:space="preserve">ROA - Dupont Equation </t>
  </si>
  <si>
    <t>Return on Asset (A*B)</t>
  </si>
  <si>
    <t>Trent Limited, originally incorporated as Lakme Limited on December 5, 1952, was initially in the business of cosmetics, toiletries, and perfumery products. In 1998, the company divested from cosmetics and shifted focus to apparel and lifestyle retailing, establishing Trent as a strong presence in India’s retail sector. The company is headquartered in Mumbai and is a publicly listed entity under the Tata Group. Its growth is primarily driven by Zudio’s strong demand, high inventory turnover, and efficient store economics, which have helped improve profitability and generate strong returns on equity through operational efficiency rather than heavy debt usage.</t>
  </si>
  <si>
    <t>Date</t>
  </si>
  <si>
    <t>Adj Close</t>
  </si>
  <si>
    <t>Return</t>
  </si>
  <si>
    <t xml:space="preserve">Sorted Returns </t>
  </si>
  <si>
    <t xml:space="preserve">Std Deviation </t>
  </si>
  <si>
    <t xml:space="preserve">Min </t>
  </si>
  <si>
    <t>Max</t>
  </si>
  <si>
    <t xml:space="preserve">Current MP </t>
  </si>
  <si>
    <t xml:space="preserve">Percentile </t>
  </si>
  <si>
    <t>Confidence</t>
  </si>
  <si>
    <t>VAR%</t>
  </si>
  <si>
    <t xml:space="preserve">Stock Price </t>
  </si>
  <si>
    <t xml:space="preserve">VAR (INR) </t>
  </si>
  <si>
    <t xml:space="preserve">Replication </t>
  </si>
  <si>
    <t xml:space="preserve">Simulated Returns </t>
  </si>
  <si>
    <t xml:space="preserve">Historical Approach </t>
  </si>
  <si>
    <t xml:space="preserve">Monte Carlo Approach </t>
  </si>
  <si>
    <t>EBIT</t>
  </si>
  <si>
    <t>EBIT(1-T)</t>
  </si>
  <si>
    <t xml:space="preserve">Median </t>
  </si>
  <si>
    <t xml:space="preserve">Weighted Avg Cost of Capital </t>
  </si>
  <si>
    <t xml:space="preserve">All Figure are in INR unless stated otherwise </t>
  </si>
  <si>
    <t>Peer Comp</t>
  </si>
  <si>
    <t>Debt /</t>
  </si>
  <si>
    <t>Levered</t>
  </si>
  <si>
    <t>Unlevered</t>
  </si>
  <si>
    <t>Name if the Comp</t>
  </si>
  <si>
    <t>Country</t>
  </si>
  <si>
    <t xml:space="preserve">Total Debt </t>
  </si>
  <si>
    <t xml:space="preserve">Total Equity </t>
  </si>
  <si>
    <r>
      <t xml:space="preserve">Tax Rate </t>
    </r>
    <r>
      <rPr>
        <vertAlign val="superscript"/>
        <sz val="11"/>
        <color theme="1"/>
        <rFont val="Calibri"/>
        <family val="2"/>
      </rPr>
      <t>1</t>
    </r>
    <r>
      <rPr>
        <sz val="11"/>
        <color theme="1"/>
        <rFont val="Calibri"/>
        <family val="2"/>
      </rPr>
      <t xml:space="preserve"> </t>
    </r>
  </si>
  <si>
    <t xml:space="preserve">Equity </t>
  </si>
  <si>
    <t>Capital</t>
  </si>
  <si>
    <r>
      <t xml:space="preserve">Beta </t>
    </r>
    <r>
      <rPr>
        <vertAlign val="superscript"/>
        <sz val="11"/>
        <color theme="1"/>
        <rFont val="Calibri"/>
        <family val="2"/>
      </rPr>
      <t>2</t>
    </r>
  </si>
  <si>
    <r>
      <t xml:space="preserve">Beta </t>
    </r>
    <r>
      <rPr>
        <vertAlign val="superscript"/>
        <sz val="11"/>
        <color theme="1"/>
        <rFont val="Calibri"/>
        <family val="2"/>
      </rPr>
      <t>3</t>
    </r>
  </si>
  <si>
    <t>India</t>
  </si>
  <si>
    <t>Aditya Bir. Fas.</t>
  </si>
  <si>
    <t xml:space="preserve">Average </t>
  </si>
  <si>
    <t xml:space="preserve">Cost of Debt </t>
  </si>
  <si>
    <t xml:space="preserve">Cost of Equity </t>
  </si>
  <si>
    <t xml:space="preserve">Pre-Tax Cost of Debt </t>
  </si>
  <si>
    <r>
      <t xml:space="preserve">Risk Free Rate </t>
    </r>
    <r>
      <rPr>
        <vertAlign val="superscript"/>
        <sz val="11"/>
        <color theme="1"/>
        <rFont val="Calibri"/>
        <family val="2"/>
      </rPr>
      <t>5</t>
    </r>
  </si>
  <si>
    <t xml:space="preserve">Tax Rate </t>
  </si>
  <si>
    <t xml:space="preserve">Equity Risk Premium </t>
  </si>
  <si>
    <t xml:space="preserve">Post Tax Cost of Debt </t>
  </si>
  <si>
    <r>
      <t xml:space="preserve">Levered Beta </t>
    </r>
    <r>
      <rPr>
        <vertAlign val="superscript"/>
        <sz val="11"/>
        <color theme="1"/>
        <rFont val="Calibri"/>
        <family val="2"/>
      </rPr>
      <t>4</t>
    </r>
  </si>
  <si>
    <t xml:space="preserve">Capital Structure </t>
  </si>
  <si>
    <t xml:space="preserve">Levered Beta </t>
  </si>
  <si>
    <t>Amt</t>
  </si>
  <si>
    <t xml:space="preserve">Current </t>
  </si>
  <si>
    <t xml:space="preserve">Target </t>
  </si>
  <si>
    <t xml:space="preserve">Comps Median Unlevered Beta </t>
  </si>
  <si>
    <t xml:space="preserve">Debt / Total Capital  </t>
  </si>
  <si>
    <t xml:space="preserve">Target Debt / Equity </t>
  </si>
  <si>
    <t>Equity / Total Capital</t>
  </si>
  <si>
    <t xml:space="preserve">Debt / Equity </t>
  </si>
  <si>
    <t>Levered Beta (Comparable Method)</t>
  </si>
  <si>
    <t>Total Capital</t>
  </si>
  <si>
    <t>Notes:</t>
  </si>
  <si>
    <t xml:space="preserve">1. Tax Rate considered as Marginal Tax Rate for the Country </t>
  </si>
  <si>
    <t xml:space="preserve">2. Levered Beta is based on 5 Year Monthly Data </t>
  </si>
  <si>
    <t xml:space="preserve">Total Cost </t>
  </si>
  <si>
    <t xml:space="preserve">Total Weight </t>
  </si>
  <si>
    <t>3. Unlevered Beta = Levered Beta / (1=(1-Tax Rate)* Debt/Equity)</t>
  </si>
  <si>
    <t xml:space="preserve">Debt </t>
  </si>
  <si>
    <t>4. Levered Beta = Unlevered Beta * (1+(1-Tax Rate)*Debt/Equity)</t>
  </si>
  <si>
    <t xml:space="preserve">5. Risk Free Rate - 10 Years India Bond YTM </t>
  </si>
  <si>
    <t>WACC</t>
  </si>
  <si>
    <t>Trent Ltd</t>
  </si>
  <si>
    <t>Avenue Supermarts</t>
  </si>
  <si>
    <t>Vishal Mega Mart</t>
  </si>
  <si>
    <t>V-Mart Retail Ltd</t>
  </si>
  <si>
    <t xml:space="preserve">V2 Retail Ltd </t>
  </si>
  <si>
    <t xml:space="preserve">Calculation of PV of FCFF </t>
  </si>
  <si>
    <t xml:space="preserve">Less: Reinvestment Rate </t>
  </si>
  <si>
    <t>Free Cash Flow to Firm (FCFF)</t>
  </si>
  <si>
    <t xml:space="preserve">Mid Year Convention </t>
  </si>
  <si>
    <t xml:space="preserve">Discounting Factor </t>
  </si>
  <si>
    <t>PV of FCFF</t>
  </si>
  <si>
    <t xml:space="preserve">Expected Growth </t>
  </si>
  <si>
    <t>Terminal Growth</t>
  </si>
  <si>
    <t xml:space="preserve">Calculation of Terminal Value </t>
  </si>
  <si>
    <t>FCFF(n+1)</t>
  </si>
  <si>
    <t>Terminal Growth Rate</t>
  </si>
  <si>
    <t xml:space="preserve">Terminal Value </t>
  </si>
  <si>
    <t xml:space="preserve">Calculation of Equity Value </t>
  </si>
  <si>
    <t xml:space="preserve">PV of Terminal Value </t>
  </si>
  <si>
    <t xml:space="preserve">Value of Operating Assets </t>
  </si>
  <si>
    <t xml:space="preserve">Add: Cash </t>
  </si>
  <si>
    <t xml:space="preserve">Less: Debt </t>
  </si>
  <si>
    <t xml:space="preserve">Value of Equity </t>
  </si>
  <si>
    <t>No of Shares</t>
  </si>
  <si>
    <t>Equity Value per Share</t>
  </si>
  <si>
    <t xml:space="preserve">Actual Share price </t>
  </si>
  <si>
    <t xml:space="preserve">Discount/Premium </t>
  </si>
  <si>
    <t xml:space="preserve">Terminal Growth Rate </t>
  </si>
  <si>
    <t xml:space="preserve">    52 Week (High - INR6261 &amp; Low-3276)</t>
  </si>
  <si>
    <t xml:space="preserve">  INR 3997.6</t>
  </si>
  <si>
    <t xml:space="preserve">Year Weight </t>
  </si>
  <si>
    <t xml:space="preserve">Year </t>
  </si>
  <si>
    <t xml:space="preserve">Sales </t>
  </si>
  <si>
    <t>Sales Growth %</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</si>
  <si>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</si>
  <si>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</si>
  <si>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</si>
  <si>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</si>
  <si>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</si>
  <si>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</si>
  <si>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</si>
  <si>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</si>
  <si>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</si>
  <si>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</si>
  <si>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</si>
  <si>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</si>
  <si>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</si>
  <si>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</si>
  <si>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</si>
  <si>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</si>
  <si>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</si>
  <si>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</si>
  <si>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</si>
  <si>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</si>
  <si>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</si>
  <si>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</si>
  <si>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</si>
  <si>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EPS</t>
  </si>
  <si>
    <t>EBITDA Growth %</t>
  </si>
  <si>
    <t>Scenario Analysis of Terminal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</si>
</sst>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 #,##0.00_ ;_ * \-#,##0.00_ ;_ * &quot;-&quot;??_ ;_ @_ "/>
    <numFmt numFmtId="164" formatCode="[$-409]mmm\-yy;@"/>
    <numFmt numFmtId="165" formatCode="&quot;₹&quot;\ #,##0.0;&quot;₹&quot;\ \(#,##0.00\)"/>
    <numFmt numFmtId="166" formatCode="&quot;₹&quot;\ #,##0.00"/>
    <numFmt numFmtId="167" formatCode="0.00&quot;x&quot;"/>
    <numFmt numFmtId="168" formatCode="0&quot; Days&quot;"/>
    <numFmt numFmtId="169" formatCode="0.0"/>
    <numFmt numFmtId="170" formatCode="0.00\x"/>
    <numFmt numFmtId="171" formatCode="0.00000000"/>
    <numFmt numFmtId="172" formatCode="0.0000%"/>
    <numFmt numFmtId="173" formatCode="mmm/yy&quot; A&quot;"/>
    <numFmt numFmtId="174" formatCode="mmm/yy&quot; F&quot;"/>
    <numFmt numFmtId="175" formatCode="0.00&quot; Times&quot;"/>
    <numFmt numFmtId="176" formatCode="[$-409]mmm/yy;@"/>
    <numFmt numFmtId="177" formatCode="#,##0.0"/>
    <numFmt numFmtId="178" formatCode="0.0000000"/>
    <numFmt numFmtId="179" formatCode="yyyy\ \A"/>
    <numFmt numFmtId="180" formatCode="yyyy\ \F"/>
    <numFmt numFmtId="181" formatCode="&quot;₹&quot;\ #,##0.0"/>
    <numFmt numFmtId="182" formatCode="&quot;₹&quot;\ #,##0.0;&quot;₹&quot;\ \(#,##0.0\)"/>
  </numFmts>
  <fonts count="37" x14ac:knownFonts="1">
    <font>
      <sz val="11"/>
      <color theme="1"/>
      <name val="Calibri"/>
      <family val="2"/>
    </font>
    <font>
      <sz val="11"/>
      <color theme="1"/>
      <name val="Calibri"/>
      <family val="2"/>
    </font>
    <font>
      <b/>
      <sz val="11"/>
      <color theme="1"/>
      <name val="Calibri"/>
      <family val="2"/>
    </font>
    <font>
      <b/>
      <sz val="11"/>
      <color theme="2"/>
      <name val="Calibri"/>
      <family val="2"/>
    </font>
    <font>
      <i/>
      <sz val="11"/>
      <color theme="1"/>
      <name val="Calibri"/>
      <family val="2"/>
    </font>
    <font>
      <b/>
      <sz val="11"/>
      <color theme="0" tint="-0.14999847407452621"/>
      <name val="Calibri"/>
      <family val="2"/>
    </font>
    <font>
      <sz val="12"/>
      <color theme="1"/>
      <name val="Aptos Narrow"/>
      <family val="2"/>
      <scheme val="minor"/>
    </font>
    <font>
      <u/>
      <sz val="11"/>
      <color theme="10"/>
      <name val="Calibri"/>
      <family val="2"/>
    </font>
    <font>
      <sz val="11"/>
      <color theme="1"/>
      <name val="Aptos Narrow"/>
      <family val="2"/>
      <scheme val="minor"/>
    </font>
    <font>
      <b/>
      <sz val="10"/>
      <color theme="1"/>
      <name val="Arial"/>
      <family val="2"/>
    </font>
    <font>
      <sz val="10"/>
      <color theme="1"/>
      <name val="Arial"/>
      <family val="2"/>
    </font>
    <font>
      <sz val="11"/>
      <color theme="0"/>
      <name val="Aptos Narrow"/>
      <family val="2"/>
      <scheme val="minor"/>
    </font>
    <font>
      <b/>
      <sz val="10"/>
      <color theme="0"/>
      <name val="Arial"/>
      <family val="2"/>
    </font>
    <font>
      <sz val="10"/>
      <name val="Arial"/>
      <family val="2"/>
    </font>
    <font>
      <sz val="11"/>
      <color theme="1"/>
      <name val="Arial Narrow"/>
      <family val="2"/>
    </font>
    <font>
      <sz val="11"/>
      <color theme="2"/>
      <name val="Calibri"/>
      <family val="2"/>
    </font>
    <font>
      <sz val="11"/>
      <color theme="0" tint="-0.499984740745262"/>
      <name val="Calibri"/>
      <family val="2"/>
    </font>
    <font>
      <i/>
      <sz val="11"/>
      <color theme="0" tint="-0.499984740745262"/>
      <name val="calibri"/>
      <family val="2"/>
    </font>
    <font>
      <sz val="11"/>
      <color theme="0" tint="-0.34998626667073579"/>
      <name val="Calibri"/>
      <family val="2"/>
    </font>
    <font>
      <b/>
      <sz val="11"/>
      <color theme="4" tint="-0.249977111117893"/>
      <name val="Calibri"/>
      <family val="2"/>
    </font>
    <font>
      <b/>
      <sz val="11"/>
      <color theme="1"/>
      <name val="Aptos Narrow"/>
      <family val="2"/>
      <scheme val="minor"/>
    </font>
    <font>
      <b/>
      <sz val="11"/>
      <color theme="0"/>
      <name val="Aptos Narrow"/>
      <family val="2"/>
      <scheme val="minor"/>
    </font>
    <font>
      <b/>
      <i/>
      <sz val="11"/>
      <color theme="1"/>
      <name val="Calibri"/>
      <family val="2"/>
    </font>
    <font>
      <b/>
      <i/>
      <vertAlign val="superscript"/>
      <sz val="11"/>
      <color theme="1"/>
      <name val="Calibri"/>
      <family val="2"/>
    </font>
    <font>
      <sz val="10"/>
      <color theme="1"/>
      <name val="Calibri"/>
      <family val="2"/>
    </font>
    <font>
      <b/>
      <sz val="12"/>
      <color theme="0" tint="-4.9989318521683403E-2"/>
      <name val="Calibri"/>
      <family val="2"/>
    </font>
    <font>
      <b/>
      <sz val="22"/>
      <color rgb="FF4DA42E"/>
      <name val="Calibri"/>
      <family val="2"/>
    </font>
    <font>
      <b/>
      <sz val="14"/>
      <color rgb="FF4DA42E"/>
      <name val="Calibri"/>
      <family val="2"/>
    </font>
    <font>
      <b/>
      <sz val="11"/>
      <color rgb="FF4DA42E"/>
      <name val="Calibri"/>
      <family val="2"/>
    </font>
    <font>
      <sz val="12"/>
      <color rgb="FF202122"/>
      <name val="Calibri"/>
      <family val="2"/>
    </font>
    <font>
      <sz val="11"/>
      <color rgb="FF0066FF"/>
      <name val="Calibri"/>
      <family val="2"/>
    </font>
    <font>
      <b/>
      <sz val="11"/>
      <color theme="0"/>
      <name val="Calibri"/>
      <family val="2"/>
    </font>
    <font>
      <sz val="11"/>
      <name val="Calibri"/>
      <family val="2"/>
    </font>
    <font>
      <vertAlign val="superscript"/>
      <sz val="11"/>
      <color theme="1"/>
      <name val="Calibri"/>
      <family val="2"/>
    </font>
    <font>
      <i/>
      <sz val="9"/>
      <color theme="1"/>
      <name val="Calibri"/>
      <family val="2"/>
    </font>
    <font>
      <sz val="11"/>
      <color rgb="FF0070C0"/>
      <name val="Calibri"/>
      <family val="2"/>
    </font>
    <font>
      <b/>
      <sz val="11"/>
      <color theme="0" tint="-4.9989318521683403E-2"/>
      <name val="Calibri"/>
      <family val="2"/>
    </font>
  </fonts>
  <fills count="15">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9"/>
      </patternFill>
    </fill>
    <fill>
      <patternFill patternType="solid">
        <fgColor rgb="FF0275D8"/>
        <bgColor indexed="64"/>
      </patternFill>
    </fill>
    <fill>
      <patternFill patternType="solid">
        <fgColor theme="4" tint="0.39997558519241921"/>
        <bgColor indexed="65"/>
      </patternFill>
    </fill>
    <fill>
      <patternFill patternType="solid">
        <fgColor theme="6" tint="0.39997558519241921"/>
        <bgColor indexed="65"/>
      </patternFill>
    </fill>
    <fill>
      <patternFill patternType="solid">
        <fgColor theme="9" tint="0.79998168889431442"/>
        <bgColor indexed="64"/>
      </patternFill>
    </fill>
    <fill>
      <patternFill patternType="solid">
        <fgColor rgb="FF4DA42E"/>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theme="3"/>
        <bgColor indexed="64"/>
      </patternFill>
    </fill>
    <fill>
      <patternFill patternType="solid">
        <fgColor theme="1" tint="0.34998626667073579"/>
        <bgColor indexed="64"/>
      </patternFill>
    </fill>
    <fill>
      <patternFill patternType="solid">
        <fgColor rgb="FF0E2841"/>
        <bgColor indexed="64"/>
      </patternFill>
    </fill>
  </fills>
  <borders count="37">
    <border>
      <left/>
      <right/>
      <top/>
      <bottom/>
      <diagonal/>
    </border>
    <border>
      <left/>
      <right/>
      <top style="thin">
        <color auto="1"/>
      </top>
      <bottom/>
      <diagonal/>
    </border>
    <border>
      <left/>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theme="4" tint="-0.24994659260841701"/>
      </bottom>
      <diagonal/>
    </border>
    <border>
      <left/>
      <right/>
      <top style="dashed">
        <color auto="1"/>
      </top>
      <bottom style="dashed">
        <color auto="1"/>
      </bottom>
      <diagonal/>
    </border>
    <border>
      <left/>
      <right/>
      <top style="dashed">
        <color theme="4" tint="-0.24994659260841701"/>
      </top>
      <bottom/>
      <diagonal/>
    </border>
    <border>
      <left/>
      <right/>
      <top/>
      <bottom style="dashed">
        <color theme="4" tint="-0.24994659260841701"/>
      </bottom>
      <diagonal/>
    </border>
    <border>
      <left/>
      <right/>
      <top style="dashed">
        <color theme="4" tint="-0.24994659260841701"/>
      </top>
      <bottom style="dashed">
        <color theme="4" tint="-0.24994659260841701"/>
      </bottom>
      <diagonal/>
    </border>
    <border>
      <left/>
      <right/>
      <top/>
      <bottom style="medium">
        <color rgb="FF21873D"/>
      </bottom>
      <diagonal/>
    </border>
    <border>
      <left/>
      <right/>
      <top style="thin">
        <color theme="4" tint="-0.24994659260841701"/>
      </top>
      <bottom style="thin">
        <color theme="4" tint="-0.24994659260841701"/>
      </bottom>
      <diagonal/>
    </border>
    <border>
      <left/>
      <right/>
      <top style="thin">
        <color theme="4" tint="-0.24994659260841701"/>
      </top>
      <bottom style="thick">
        <color theme="4" tint="-0.24994659260841701"/>
      </bottom>
      <diagonal/>
    </border>
    <border>
      <left/>
      <right/>
      <top/>
      <bottom style="thick">
        <color theme="4" tint="-0.24994659260841701"/>
      </bottom>
      <diagonal/>
    </border>
    <border>
      <left/>
      <right/>
      <top style="thin">
        <color theme="4" tint="-0.24994659260841701"/>
      </top>
      <bottom/>
      <diagonal/>
    </border>
    <border>
      <left/>
      <right/>
      <top style="medium">
        <color auto="1"/>
      </top>
      <bottom/>
      <diagonal/>
    </border>
    <border>
      <left/>
      <right/>
      <top/>
      <bottom style="thick">
        <color auto="1"/>
      </bottom>
      <diagonal/>
    </border>
    <border>
      <left/>
      <right/>
      <top style="thin">
        <color auto="1"/>
      </top>
      <bottom style="dashed">
        <color auto="1"/>
      </bottom>
      <diagonal/>
    </border>
    <border>
      <left/>
      <right/>
      <top style="dashed">
        <color auto="1"/>
      </top>
      <bottom style="thin">
        <color auto="1"/>
      </bottom>
      <diagonal/>
    </border>
    <border>
      <left/>
      <right/>
      <top style="dashed">
        <color auto="1"/>
      </top>
      <bottom/>
      <diagonal/>
    </border>
    <border>
      <left/>
      <right/>
      <top/>
      <bottom style="dashed">
        <color auto="1"/>
      </bottom>
      <diagonal/>
    </border>
    <border>
      <left/>
      <right/>
      <top style="dashed">
        <color auto="1"/>
      </top>
      <bottom style="medium">
        <color auto="1"/>
      </bottom>
      <diagonal/>
    </border>
    <border>
      <left/>
      <right/>
      <top style="thin">
        <color theme="3" tint="0.24994659260841701"/>
      </top>
      <bottom style="thick">
        <color theme="3" tint="0.24994659260841701"/>
      </bottom>
      <diagonal/>
    </border>
    <border>
      <left style="dashed">
        <color auto="1"/>
      </left>
      <right style="dashed">
        <color auto="1"/>
      </right>
      <top/>
      <bottom/>
      <diagonal/>
    </border>
    <border>
      <left style="dashed">
        <color auto="1"/>
      </left>
      <right style="dashed">
        <color auto="1"/>
      </right>
      <top style="dashed">
        <color auto="1"/>
      </top>
      <bottom style="dashed">
        <color auto="1"/>
      </bottom>
      <diagonal/>
    </border>
    <border>
      <left style="dashed">
        <color auto="1"/>
      </left>
      <right/>
      <top/>
      <bottom/>
      <diagonal/>
    </border>
    <border>
      <left/>
      <right/>
      <top style="medium">
        <color indexed="64"/>
      </top>
      <bottom style="thin">
        <color auto="1"/>
      </bottom>
      <diagonal/>
    </border>
    <border>
      <left/>
      <right/>
      <top/>
      <bottom style="medium">
        <color indexed="64"/>
      </bottom>
      <diagonal/>
    </border>
    <border>
      <left style="dashed">
        <color auto="1"/>
      </left>
      <right/>
      <top style="dashed">
        <color auto="1"/>
      </top>
      <bottom/>
      <diagonal/>
    </border>
    <border>
      <left/>
      <right style="dashed">
        <color auto="1"/>
      </right>
      <top style="dashed">
        <color auto="1"/>
      </top>
      <bottom/>
      <diagonal/>
    </border>
    <border>
      <left/>
      <right style="dashed">
        <color auto="1"/>
      </right>
      <top/>
      <bottom/>
      <diagonal/>
    </border>
    <border>
      <left/>
      <right style="dashed">
        <color auto="1"/>
      </right>
      <top style="medium">
        <color indexed="64"/>
      </top>
      <bottom style="thin">
        <color auto="1"/>
      </bottom>
      <diagonal/>
    </border>
    <border>
      <left/>
      <right style="dashed">
        <color auto="1"/>
      </right>
      <top/>
      <bottom style="medium">
        <color indexed="64"/>
      </bottom>
      <diagonal/>
    </border>
  </borders>
  <cellStyleXfs count="14">
    <xf numFmtId="0" fontId="0" fillId="0" borderId="0"/>
    <xf numFmtId="9" fontId="1" fillId="0" borderId="0" applyFont="0" applyFill="0" applyBorder="0" applyAlignment="0" applyProtection="0"/>
    <xf numFmtId="0" fontId="6" fillId="0" borderId="0"/>
    <xf numFmtId="43" fontId="8" fillId="0" borderId="0" applyFont="0" applyFill="0" applyBorder="0" applyAlignment="0" applyProtection="0"/>
    <xf numFmtId="0" fontId="7" fillId="0" borderId="0" applyNumberFormat="0" applyFill="0" applyBorder="0" applyAlignment="0" applyProtection="0">
      <alignment vertical="top"/>
      <protection locked="0"/>
    </xf>
    <xf numFmtId="0" fontId="11" fillId="4" borderId="0" applyNumberFormat="0" applyBorder="0" applyAlignment="0" applyProtection="0"/>
    <xf numFmtId="0" fontId="8" fillId="0" borderId="0"/>
    <xf numFmtId="9" fontId="8" fillId="0" borderId="0" applyFont="0" applyFill="0" applyBorder="0" applyAlignment="0" applyProtection="0"/>
    <xf numFmtId="0" fontId="14" fillId="0" borderId="0"/>
    <xf numFmtId="43" fontId="8" fillId="0" borderId="0" applyFont="0" applyFill="0" applyBorder="0" applyAlignment="0" applyProtection="0"/>
    <xf numFmtId="0" fontId="11" fillId="6" borderId="0" applyNumberFormat="0" applyBorder="0" applyAlignment="0" applyProtection="0"/>
    <xf numFmtId="0" fontId="11" fillId="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cellStyleXfs>
  <cellXfs count="260">
    <xf numFmtId="0" fontId="0" fillId="0" borderId="0" xfId="0"/>
    <xf numFmtId="10" fontId="0" fillId="0" borderId="0" xfId="1" applyNumberFormat="1" applyFont="1"/>
    <xf numFmtId="0" fontId="0" fillId="0" borderId="1" xfId="0" applyBorder="1"/>
    <xf numFmtId="10" fontId="0" fillId="0" borderId="0" xfId="0" applyNumberFormat="1"/>
    <xf numFmtId="0" fontId="2" fillId="0" borderId="0" xfId="0" applyFont="1"/>
    <xf numFmtId="0" fontId="0" fillId="0" borderId="4" xfId="0" applyBorder="1"/>
    <xf numFmtId="9" fontId="0" fillId="0" borderId="0" xfId="0" applyNumberFormat="1"/>
    <xf numFmtId="3" fontId="0" fillId="0" borderId="0" xfId="0" applyNumberFormat="1"/>
    <xf numFmtId="0" fontId="0" fillId="3" borderId="0" xfId="0" applyFill="1"/>
    <xf numFmtId="0" fontId="0" fillId="2" borderId="0" xfId="0" applyFill="1"/>
    <xf numFmtId="10" fontId="2" fillId="0" borderId="0" xfId="1" applyNumberFormat="1" applyFont="1"/>
    <xf numFmtId="43" fontId="9" fillId="0" borderId="0" xfId="3" applyFont="1" applyBorder="1"/>
    <xf numFmtId="43" fontId="10" fillId="0" borderId="0" xfId="3" applyFont="1" applyBorder="1"/>
    <xf numFmtId="164" fontId="13" fillId="0" borderId="0" xfId="3" applyNumberFormat="1" applyFont="1" applyFill="1" applyBorder="1"/>
    <xf numFmtId="9" fontId="10" fillId="0" borderId="0" xfId="7" applyFont="1" applyBorder="1"/>
    <xf numFmtId="17" fontId="0" fillId="0" borderId="0" xfId="0" applyNumberFormat="1"/>
    <xf numFmtId="0" fontId="2" fillId="0" borderId="9" xfId="0" applyFont="1" applyBorder="1"/>
    <xf numFmtId="17" fontId="2" fillId="0" borderId="9" xfId="0" applyNumberFormat="1" applyFont="1" applyBorder="1"/>
    <xf numFmtId="43" fontId="0" fillId="0" borderId="0" xfId="0" applyNumberFormat="1"/>
    <xf numFmtId="10" fontId="2" fillId="0" borderId="0" xfId="1" applyNumberFormat="1" applyFont="1" applyBorder="1"/>
    <xf numFmtId="10" fontId="1" fillId="0" borderId="0" xfId="1" applyNumberFormat="1" applyFont="1" applyBorder="1"/>
    <xf numFmtId="43" fontId="2" fillId="0" borderId="0" xfId="0" applyNumberFormat="1" applyFont="1"/>
    <xf numFmtId="0" fontId="15" fillId="0" borderId="0" xfId="0" applyFont="1"/>
    <xf numFmtId="17" fontId="15" fillId="0" borderId="0" xfId="0" applyNumberFormat="1" applyFont="1"/>
    <xf numFmtId="0" fontId="15" fillId="0" borderId="0" xfId="0" applyFont="1" applyAlignment="1">
      <alignment horizontal="right"/>
    </xf>
    <xf numFmtId="165" fontId="0" fillId="0" borderId="0" xfId="0" applyNumberFormat="1"/>
    <xf numFmtId="0" fontId="16" fillId="0" borderId="0" xfId="0" applyFont="1"/>
    <xf numFmtId="10" fontId="17" fillId="0" borderId="0" xfId="1" applyNumberFormat="1" applyFont="1"/>
    <xf numFmtId="0" fontId="18" fillId="0" borderId="0" xfId="0" applyFont="1"/>
    <xf numFmtId="10" fontId="18" fillId="0" borderId="0" xfId="1" applyNumberFormat="1" applyFont="1"/>
    <xf numFmtId="0" fontId="2" fillId="0" borderId="10" xfId="0" applyFont="1" applyBorder="1"/>
    <xf numFmtId="166" fontId="2" fillId="0" borderId="10" xfId="0" applyNumberFormat="1" applyFont="1" applyBorder="1"/>
    <xf numFmtId="166" fontId="0" fillId="0" borderId="0" xfId="0" applyNumberFormat="1"/>
    <xf numFmtId="165" fontId="2" fillId="0" borderId="10" xfId="0" applyNumberFormat="1" applyFont="1" applyBorder="1"/>
    <xf numFmtId="43" fontId="9" fillId="0" borderId="10" xfId="3" applyFont="1" applyBorder="1"/>
    <xf numFmtId="43" fontId="9" fillId="0" borderId="10" xfId="3" applyFont="1" applyFill="1" applyBorder="1"/>
    <xf numFmtId="0" fontId="4" fillId="0" borderId="0" xfId="0" applyFont="1"/>
    <xf numFmtId="0" fontId="4" fillId="0" borderId="0" xfId="0" applyFont="1" applyAlignment="1">
      <alignment horizontal="center"/>
    </xf>
    <xf numFmtId="0" fontId="2" fillId="0" borderId="10" xfId="0" applyFont="1" applyBorder="1" applyAlignment="1">
      <alignment horizontal="center"/>
    </xf>
    <xf numFmtId="17" fontId="19" fillId="0" borderId="0" xfId="0" applyNumberFormat="1" applyFont="1" applyAlignment="1">
      <alignment horizontal="center"/>
    </xf>
    <xf numFmtId="43" fontId="9" fillId="3" borderId="10" xfId="3" applyFont="1" applyFill="1" applyBorder="1"/>
    <xf numFmtId="166" fontId="2" fillId="3" borderId="10" xfId="0" applyNumberFormat="1" applyFont="1" applyFill="1" applyBorder="1"/>
    <xf numFmtId="164" fontId="12" fillId="0" borderId="0" xfId="6" applyNumberFormat="1" applyFont="1" applyAlignment="1">
      <alignment horizontal="center"/>
    </xf>
    <xf numFmtId="43" fontId="20" fillId="0" borderId="0" xfId="12" applyFont="1" applyBorder="1"/>
    <xf numFmtId="164" fontId="21" fillId="5" borderId="0" xfId="12" applyNumberFormat="1" applyFont="1" applyFill="1" applyBorder="1"/>
    <xf numFmtId="0" fontId="8" fillId="0" borderId="0" xfId="6"/>
    <xf numFmtId="164" fontId="21" fillId="5" borderId="0" xfId="6" applyNumberFormat="1" applyFont="1" applyFill="1" applyAlignment="1">
      <alignment horizontal="center"/>
    </xf>
    <xf numFmtId="0" fontId="22" fillId="2" borderId="0" xfId="0" applyFont="1" applyFill="1"/>
    <xf numFmtId="165" fontId="0" fillId="2" borderId="0" xfId="0" applyNumberFormat="1" applyFill="1"/>
    <xf numFmtId="3" fontId="0" fillId="3" borderId="0" xfId="0" applyNumberFormat="1" applyFill="1"/>
    <xf numFmtId="0" fontId="24" fillId="0" borderId="0" xfId="0" applyFont="1" applyAlignment="1">
      <alignment vertical="top" wrapText="1"/>
    </xf>
    <xf numFmtId="0" fontId="2" fillId="2" borderId="10" xfId="0" applyFont="1" applyFill="1" applyBorder="1" applyAlignment="1">
      <alignment horizontal="center"/>
    </xf>
    <xf numFmtId="165" fontId="2" fillId="2" borderId="10" xfId="0" applyNumberFormat="1" applyFont="1" applyFill="1" applyBorder="1"/>
    <xf numFmtId="0" fontId="22" fillId="0" borderId="3" xfId="0" applyFont="1" applyBorder="1" applyAlignment="1">
      <alignment horizontal="right"/>
    </xf>
    <xf numFmtId="10" fontId="10" fillId="0" borderId="0" xfId="1" applyNumberFormat="1" applyFont="1" applyBorder="1"/>
    <xf numFmtId="2" fontId="0" fillId="0" borderId="0" xfId="0" applyNumberFormat="1"/>
    <xf numFmtId="43" fontId="20" fillId="0" borderId="0" xfId="13" applyFont="1" applyBorder="1"/>
    <xf numFmtId="43" fontId="8" fillId="0" borderId="0" xfId="13" applyFont="1" applyBorder="1"/>
    <xf numFmtId="164" fontId="21" fillId="5" borderId="0" xfId="13" applyNumberFormat="1" applyFont="1" applyFill="1" applyBorder="1"/>
    <xf numFmtId="10" fontId="2" fillId="0" borderId="0" xfId="0" applyNumberFormat="1" applyFont="1"/>
    <xf numFmtId="17" fontId="2" fillId="0" borderId="0" xfId="0" applyNumberFormat="1" applyFont="1"/>
    <xf numFmtId="169" fontId="0" fillId="0" borderId="0" xfId="0" applyNumberFormat="1"/>
    <xf numFmtId="0" fontId="2" fillId="8" borderId="0" xfId="0" applyFont="1" applyFill="1"/>
    <xf numFmtId="10" fontId="2" fillId="8" borderId="0" xfId="1" applyNumberFormat="1" applyFont="1" applyFill="1"/>
    <xf numFmtId="170" fontId="2" fillId="8" borderId="0" xfId="1" applyNumberFormat="1" applyFont="1" applyFill="1"/>
    <xf numFmtId="43" fontId="26" fillId="0" borderId="0" xfId="0" applyNumberFormat="1" applyFont="1"/>
    <xf numFmtId="0" fontId="27" fillId="0" borderId="0" xfId="0" applyFont="1"/>
    <xf numFmtId="0" fontId="28" fillId="0" borderId="0" xfId="0" applyFont="1"/>
    <xf numFmtId="0" fontId="0" fillId="9" borderId="0" xfId="0" applyFill="1"/>
    <xf numFmtId="14" fontId="0" fillId="0" borderId="0" xfId="0" applyNumberFormat="1"/>
    <xf numFmtId="171" fontId="0" fillId="0" borderId="0" xfId="0" applyNumberFormat="1"/>
    <xf numFmtId="0" fontId="0" fillId="0" borderId="15" xfId="0" applyBorder="1"/>
    <xf numFmtId="10" fontId="0" fillId="0" borderId="15" xfId="1" applyNumberFormat="1" applyFont="1" applyBorder="1"/>
    <xf numFmtId="0" fontId="2" fillId="0" borderId="16" xfId="0" applyFont="1" applyBorder="1" applyAlignment="1">
      <alignment horizontal="left"/>
    </xf>
    <xf numFmtId="10" fontId="0" fillId="0" borderId="9" xfId="0" applyNumberFormat="1" applyBorder="1" applyAlignment="1">
      <alignment horizontal="left"/>
    </xf>
    <xf numFmtId="10" fontId="0" fillId="0" borderId="9" xfId="0" applyNumberFormat="1" applyBorder="1"/>
    <xf numFmtId="10" fontId="0" fillId="0" borderId="15" xfId="0" applyNumberFormat="1" applyBorder="1" applyAlignment="1">
      <alignment horizontal="left"/>
    </xf>
    <xf numFmtId="10" fontId="0" fillId="0" borderId="15" xfId="0" applyNumberFormat="1" applyBorder="1"/>
    <xf numFmtId="0" fontId="0" fillId="0" borderId="0" xfId="0" applyAlignment="1">
      <alignment horizontal="center"/>
    </xf>
    <xf numFmtId="0" fontId="2" fillId="0" borderId="17" xfId="0" applyFont="1" applyBorder="1" applyAlignment="1">
      <alignment horizontal="left"/>
    </xf>
    <xf numFmtId="0" fontId="2" fillId="0" borderId="17" xfId="0" applyFont="1" applyBorder="1"/>
    <xf numFmtId="0" fontId="2" fillId="0" borderId="17" xfId="0" applyFont="1" applyBorder="1" applyAlignment="1">
      <alignment horizontal="right"/>
    </xf>
    <xf numFmtId="0" fontId="0" fillId="0" borderId="18" xfId="0" applyBorder="1"/>
    <xf numFmtId="0" fontId="0" fillId="0" borderId="18" xfId="0" applyBorder="1" applyAlignment="1">
      <alignment horizontal="right"/>
    </xf>
    <xf numFmtId="0" fontId="2" fillId="0" borderId="2" xfId="0" applyFont="1" applyBorder="1"/>
    <xf numFmtId="0" fontId="0" fillId="0" borderId="2" xfId="0" applyBorder="1"/>
    <xf numFmtId="0" fontId="2" fillId="2" borderId="0" xfId="0" applyFont="1" applyFill="1"/>
    <xf numFmtId="0" fontId="3" fillId="0" borderId="0" xfId="0" applyFont="1"/>
    <xf numFmtId="0" fontId="2" fillId="0" borderId="20" xfId="0" applyFont="1" applyBorder="1"/>
    <xf numFmtId="0" fontId="0" fillId="0" borderId="20" xfId="0" applyBorder="1"/>
    <xf numFmtId="0" fontId="0" fillId="0" borderId="20" xfId="0" applyBorder="1" applyAlignment="1">
      <alignment horizontal="center"/>
    </xf>
    <xf numFmtId="0" fontId="30" fillId="0" borderId="10" xfId="0" applyFont="1" applyBorder="1"/>
    <xf numFmtId="10" fontId="30" fillId="0" borderId="10" xfId="1" applyNumberFormat="1" applyFont="1" applyBorder="1"/>
    <xf numFmtId="10" fontId="0" fillId="0" borderId="10" xfId="1" applyNumberFormat="1" applyFont="1" applyBorder="1"/>
    <xf numFmtId="2" fontId="30" fillId="0" borderId="10" xfId="0" applyNumberFormat="1" applyFont="1" applyBorder="1"/>
    <xf numFmtId="2" fontId="0" fillId="0" borderId="10" xfId="0" applyNumberFormat="1" applyBorder="1" applyAlignment="1">
      <alignment horizontal="center"/>
    </xf>
    <xf numFmtId="0" fontId="2" fillId="0" borderId="21" xfId="0" applyFont="1" applyBorder="1"/>
    <xf numFmtId="10" fontId="0" fillId="0" borderId="21" xfId="0" applyNumberFormat="1" applyBorder="1"/>
    <xf numFmtId="10" fontId="0" fillId="0" borderId="21" xfId="1" applyNumberFormat="1" applyFont="1" applyBorder="1"/>
    <xf numFmtId="2" fontId="0" fillId="0" borderId="21" xfId="0" applyNumberFormat="1" applyBorder="1"/>
    <xf numFmtId="0" fontId="2" fillId="0" borderId="22" xfId="0" applyFont="1" applyBorder="1"/>
    <xf numFmtId="10" fontId="0" fillId="0" borderId="22" xfId="0" applyNumberFormat="1" applyBorder="1"/>
    <xf numFmtId="10" fontId="0" fillId="0" borderId="22" xfId="1" applyNumberFormat="1" applyFont="1" applyBorder="1"/>
    <xf numFmtId="2" fontId="0" fillId="0" borderId="22" xfId="0" applyNumberFormat="1" applyBorder="1"/>
    <xf numFmtId="0" fontId="0" fillId="11" borderId="0" xfId="0" applyFill="1"/>
    <xf numFmtId="0" fontId="0" fillId="0" borderId="22" xfId="0" applyBorder="1"/>
    <xf numFmtId="10" fontId="30" fillId="0" borderId="22" xfId="0" applyNumberFormat="1" applyFont="1" applyBorder="1"/>
    <xf numFmtId="0" fontId="0" fillId="0" borderId="10" xfId="0" applyBorder="1"/>
    <xf numFmtId="10" fontId="30" fillId="0" borderId="10" xfId="0" applyNumberFormat="1" applyFont="1" applyBorder="1"/>
    <xf numFmtId="10" fontId="32" fillId="0" borderId="0" xfId="0" applyNumberFormat="1" applyFont="1"/>
    <xf numFmtId="10" fontId="32" fillId="0" borderId="10" xfId="0" applyNumberFormat="1" applyFont="1" applyBorder="1"/>
    <xf numFmtId="0" fontId="2" fillId="2" borderId="19" xfId="0" applyFont="1" applyFill="1" applyBorder="1"/>
    <xf numFmtId="172" fontId="2" fillId="2" borderId="19" xfId="0" applyNumberFormat="1" applyFont="1" applyFill="1" applyBorder="1"/>
    <xf numFmtId="0" fontId="0" fillId="0" borderId="23" xfId="0" applyBorder="1"/>
    <xf numFmtId="2" fontId="0" fillId="0" borderId="23" xfId="0" applyNumberFormat="1" applyBorder="1"/>
    <xf numFmtId="10" fontId="2" fillId="2" borderId="19" xfId="0" applyNumberFormat="1" applyFont="1" applyFill="1" applyBorder="1"/>
    <xf numFmtId="0" fontId="0" fillId="0" borderId="21" xfId="0" applyBorder="1"/>
    <xf numFmtId="0" fontId="0" fillId="0" borderId="24" xfId="0" applyBorder="1"/>
    <xf numFmtId="2" fontId="0" fillId="0" borderId="24" xfId="0" applyNumberFormat="1" applyBorder="1"/>
    <xf numFmtId="0" fontId="30" fillId="0" borderId="24" xfId="0" applyFont="1" applyBorder="1"/>
    <xf numFmtId="10" fontId="0" fillId="0" borderId="24" xfId="0" applyNumberFormat="1" applyBorder="1"/>
    <xf numFmtId="10" fontId="30" fillId="0" borderId="24" xfId="0" applyNumberFormat="1" applyFont="1" applyBorder="1"/>
    <xf numFmtId="10" fontId="0" fillId="0" borderId="10" xfId="0" applyNumberFormat="1" applyBorder="1"/>
    <xf numFmtId="10" fontId="0" fillId="0" borderId="23" xfId="0" applyNumberFormat="1" applyBorder="1"/>
    <xf numFmtId="2" fontId="2" fillId="2" borderId="19" xfId="0" applyNumberFormat="1" applyFont="1" applyFill="1" applyBorder="1"/>
    <xf numFmtId="10" fontId="2" fillId="2" borderId="19" xfId="1" applyNumberFormat="1" applyFont="1" applyFill="1" applyBorder="1"/>
    <xf numFmtId="0" fontId="34" fillId="0" borderId="3" xfId="0" applyFont="1" applyBorder="1" applyAlignment="1">
      <alignment vertical="top"/>
    </xf>
    <xf numFmtId="0" fontId="34" fillId="0" borderId="5" xfId="0" applyFont="1" applyBorder="1" applyAlignment="1">
      <alignment vertical="top"/>
    </xf>
    <xf numFmtId="0" fontId="0" fillId="0" borderId="6" xfId="0" applyBorder="1"/>
    <xf numFmtId="172" fontId="0" fillId="0" borderId="10" xfId="0" applyNumberFormat="1" applyBorder="1"/>
    <xf numFmtId="0" fontId="0" fillId="0" borderId="25" xfId="0" applyBorder="1"/>
    <xf numFmtId="10" fontId="0" fillId="0" borderId="25" xfId="0" applyNumberFormat="1" applyBorder="1"/>
    <xf numFmtId="0" fontId="34" fillId="0" borderId="7" xfId="0" applyFont="1" applyBorder="1" applyAlignment="1">
      <alignment vertical="top"/>
    </xf>
    <xf numFmtId="0" fontId="0" fillId="0" borderId="8" xfId="0" applyBorder="1"/>
    <xf numFmtId="10" fontId="2" fillId="2" borderId="0" xfId="1" applyNumberFormat="1" applyFont="1" applyFill="1" applyBorder="1"/>
    <xf numFmtId="10" fontId="0" fillId="0" borderId="2" xfId="0" applyNumberFormat="1" applyBorder="1"/>
    <xf numFmtId="0" fontId="30" fillId="2" borderId="0" xfId="0" applyFont="1" applyFill="1"/>
    <xf numFmtId="10" fontId="30" fillId="2" borderId="0" xfId="0" applyNumberFormat="1" applyFont="1" applyFill="1"/>
    <xf numFmtId="10" fontId="30" fillId="0" borderId="0" xfId="0" applyNumberFormat="1" applyFont="1"/>
    <xf numFmtId="0" fontId="0" fillId="0" borderId="16" xfId="0" applyBorder="1"/>
    <xf numFmtId="10" fontId="0" fillId="3" borderId="0" xfId="0" applyNumberFormat="1" applyFill="1"/>
    <xf numFmtId="10" fontId="30" fillId="3" borderId="0" xfId="0" applyNumberFormat="1" applyFont="1" applyFill="1"/>
    <xf numFmtId="174" fontId="5" fillId="0" borderId="0" xfId="0" applyNumberFormat="1" applyFont="1" applyAlignment="1">
      <alignment horizontal="center"/>
    </xf>
    <xf numFmtId="0" fontId="2" fillId="0" borderId="26" xfId="0" applyFont="1" applyBorder="1"/>
    <xf numFmtId="2" fontId="30" fillId="0" borderId="0" xfId="0" applyNumberFormat="1" applyFont="1"/>
    <xf numFmtId="2" fontId="2" fillId="0" borderId="26" xfId="0" applyNumberFormat="1" applyFont="1" applyBorder="1"/>
    <xf numFmtId="175" fontId="0" fillId="0" borderId="0" xfId="0" applyNumberFormat="1"/>
    <xf numFmtId="10" fontId="2" fillId="0" borderId="27" xfId="1" applyNumberFormat="1" applyFont="1" applyBorder="1" applyAlignment="1">
      <alignment horizontal="left"/>
    </xf>
    <xf numFmtId="2" fontId="31" fillId="0" borderId="28" xfId="1" applyNumberFormat="1" applyFont="1" applyBorder="1" applyAlignment="1">
      <alignment horizontal="left"/>
    </xf>
    <xf numFmtId="10" fontId="2" fillId="0" borderId="10" xfId="1" applyNumberFormat="1" applyFont="1" applyBorder="1"/>
    <xf numFmtId="9" fontId="0" fillId="2" borderId="0" xfId="1" applyFont="1" applyFill="1"/>
    <xf numFmtId="0" fontId="2" fillId="2" borderId="23" xfId="0" applyFont="1" applyFill="1" applyBorder="1"/>
    <xf numFmtId="9" fontId="2" fillId="2" borderId="29" xfId="1" applyFont="1" applyFill="1" applyBorder="1" applyAlignment="1">
      <alignment horizontal="center"/>
    </xf>
    <xf numFmtId="0" fontId="0" fillId="0" borderId="0" xfId="0" applyAlignment="1">
      <alignment horizontal="left"/>
    </xf>
    <xf numFmtId="0" fontId="32" fillId="0" borderId="0" xfId="0" applyFont="1"/>
    <xf numFmtId="0" fontId="0" fillId="0" borderId="31" xfId="0" applyBorder="1"/>
    <xf numFmtId="0" fontId="4" fillId="0" borderId="30" xfId="0" applyFont="1" applyBorder="1" applyAlignment="1">
      <alignment horizontal="center"/>
    </xf>
    <xf numFmtId="0" fontId="4" fillId="0" borderId="30" xfId="0" applyFont="1" applyBorder="1" applyAlignment="1">
      <alignment horizontal="centerContinuous"/>
    </xf>
    <xf numFmtId="0" fontId="0" fillId="0" borderId="33" xfId="0" applyBorder="1"/>
    <xf numFmtId="0" fontId="36" fillId="12" borderId="29" xfId="0" applyFont="1" applyFill="1" applyBorder="1"/>
    <xf numFmtId="0" fontId="36" fillId="12" borderId="0" xfId="0" applyFont="1" applyFill="1" applyAlignment="1">
      <alignment horizontal="center"/>
    </xf>
    <xf numFmtId="176" fontId="0" fillId="0" borderId="0" xfId="0" applyNumberFormat="1"/>
    <xf numFmtId="0" fontId="0" fillId="0" borderId="34" xfId="0" applyBorder="1"/>
    <xf numFmtId="0" fontId="0" fillId="0" borderId="29" xfId="0" applyBorder="1" applyAlignment="1">
      <alignment horizontal="left"/>
    </xf>
    <xf numFmtId="2" fontId="35" fillId="0" borderId="0" xfId="0" applyNumberFormat="1" applyFont="1" applyAlignment="1">
      <alignment horizontal="center"/>
    </xf>
    <xf numFmtId="177" fontId="0" fillId="0" borderId="0" xfId="0" applyNumberFormat="1"/>
    <xf numFmtId="10" fontId="0" fillId="0" borderId="0" xfId="1" applyNumberFormat="1" applyFont="1" applyBorder="1" applyAlignment="1">
      <alignment horizontal="center"/>
    </xf>
    <xf numFmtId="0" fontId="0" fillId="2" borderId="29" xfId="0" applyFill="1" applyBorder="1" applyAlignment="1">
      <alignment horizontal="left"/>
    </xf>
    <xf numFmtId="10" fontId="0" fillId="2" borderId="0" xfId="1" applyNumberFormat="1" applyFont="1" applyFill="1" applyBorder="1" applyAlignment="1">
      <alignment horizontal="center"/>
    </xf>
    <xf numFmtId="0" fontId="4" fillId="0" borderId="35" xfId="0" applyFont="1" applyBorder="1" applyAlignment="1">
      <alignment horizontal="center"/>
    </xf>
    <xf numFmtId="0" fontId="0" fillId="0" borderId="36" xfId="0" applyBorder="1"/>
    <xf numFmtId="0" fontId="0" fillId="13" borderId="0" xfId="0" applyFill="1"/>
    <xf numFmtId="0" fontId="36" fillId="12" borderId="0" xfId="0" applyFont="1" applyFill="1"/>
    <xf numFmtId="0" fontId="36" fillId="14" borderId="0" xfId="0" applyFont="1" applyFill="1" applyAlignment="1">
      <alignment horizontal="center"/>
    </xf>
    <xf numFmtId="0" fontId="0" fillId="13" borderId="0" xfId="0" applyFill="1" applyAlignment="1">
      <alignment horizontal="left"/>
    </xf>
    <xf numFmtId="0" fontId="0" fillId="13" borderId="0" xfId="0" applyFill="1" applyAlignment="1">
      <alignment horizontal="center"/>
    </xf>
    <xf numFmtId="0" fontId="32" fillId="13" borderId="0" xfId="0" applyFont="1" applyFill="1"/>
    <xf numFmtId="10" fontId="0" fillId="13" borderId="0" xfId="1" applyNumberFormat="1" applyFont="1" applyFill="1"/>
    <xf numFmtId="2" fontId="32" fillId="2" borderId="0" xfId="0" applyNumberFormat="1" applyFont="1" applyFill="1" applyAlignment="1">
      <alignment horizontal="center"/>
    </xf>
    <xf numFmtId="178" fontId="0" fillId="0" borderId="0" xfId="0" applyNumberFormat="1"/>
    <xf numFmtId="10" fontId="0" fillId="0" borderId="0" xfId="1" applyNumberFormat="1" applyFont="1" applyAlignment="1">
      <alignment horizontal="center"/>
    </xf>
    <xf numFmtId="179" fontId="0" fillId="0" borderId="0" xfId="0" applyNumberFormat="1" applyAlignment="1">
      <alignment horizontal="center"/>
    </xf>
    <xf numFmtId="180" fontId="0" fillId="2" borderId="0" xfId="0" applyNumberFormat="1" applyFill="1" applyAlignment="1">
      <alignment horizontal="center"/>
    </xf>
    <xf numFmtId="181" fontId="0" fillId="0" borderId="0" xfId="0" applyNumberFormat="1"/>
    <xf numFmtId="166" fontId="30" fillId="2" borderId="0" xfId="0" applyNumberFormat="1" applyFont="1" applyFill="1"/>
    <xf numFmtId="181" fontId="35" fillId="0" borderId="0" xfId="0" applyNumberFormat="1" applyFont="1"/>
    <xf numFmtId="181" fontId="35" fillId="0" borderId="0" xfId="0" applyNumberFormat="1" applyFont="1" applyAlignment="1">
      <alignment horizontal="center"/>
    </xf>
    <xf numFmtId="181" fontId="32" fillId="2" borderId="0" xfId="0" applyNumberFormat="1" applyFont="1" applyFill="1" applyAlignment="1">
      <alignment horizontal="center"/>
    </xf>
    <xf numFmtId="181" fontId="30" fillId="0" borderId="15" xfId="0" applyNumberFormat="1" applyFont="1" applyBorder="1"/>
    <xf numFmtId="181" fontId="0" fillId="0" borderId="15" xfId="0" applyNumberFormat="1" applyBorder="1"/>
    <xf numFmtId="181" fontId="0" fillId="0" borderId="9" xfId="0" applyNumberFormat="1" applyBorder="1"/>
    <xf numFmtId="182" fontId="0" fillId="0" borderId="9" xfId="0" applyNumberFormat="1" applyBorder="1"/>
    <xf numFmtId="182" fontId="0" fillId="0" borderId="15" xfId="0" applyNumberFormat="1" applyBorder="1"/>
    <xf numFmtId="0" fontId="0" fillId="0" borderId="11" xfId="0" applyBorder="1" applyAlignment="1">
      <alignment horizontal="center"/>
    </xf>
    <xf numFmtId="10" fontId="0" fillId="0" borderId="11" xfId="1" applyNumberFormat="1" applyFont="1" applyBorder="1" applyAlignment="1">
      <alignment horizontal="center"/>
    </xf>
    <xf numFmtId="10" fontId="0" fillId="0" borderId="11" xfId="0" applyNumberFormat="1" applyBorder="1" applyAlignment="1">
      <alignment horizontal="center"/>
    </xf>
    <xf numFmtId="10" fontId="0" fillId="0" borderId="0" xfId="0" applyNumberFormat="1" applyAlignment="1">
      <alignment horizontal="center"/>
    </xf>
    <xf numFmtId="0" fontId="0" fillId="0" borderId="12" xfId="0" applyBorder="1" applyAlignment="1">
      <alignment horizontal="center"/>
    </xf>
    <xf numFmtId="10" fontId="0" fillId="0" borderId="12" xfId="1" applyNumberFormat="1" applyFont="1" applyBorder="1" applyAlignment="1">
      <alignment horizontal="center"/>
    </xf>
    <xf numFmtId="10" fontId="0" fillId="0" borderId="12" xfId="0" applyNumberFormat="1" applyBorder="1" applyAlignment="1">
      <alignment horizontal="center"/>
    </xf>
    <xf numFmtId="0" fontId="0" fillId="2" borderId="0" xfId="0" applyFill="1" applyAlignment="1">
      <alignment horizontal="center"/>
    </xf>
    <xf numFmtId="10" fontId="0" fillId="2" borderId="0" xfId="0" applyNumberFormat="1" applyFill="1" applyAlignment="1">
      <alignment horizontal="center"/>
    </xf>
    <xf numFmtId="167" fontId="0" fillId="0" borderId="12" xfId="0" applyNumberFormat="1" applyBorder="1" applyAlignment="1">
      <alignment horizontal="center"/>
    </xf>
    <xf numFmtId="167" fontId="0" fillId="0" borderId="11" xfId="0" applyNumberFormat="1" applyBorder="1" applyAlignment="1">
      <alignment horizontal="center"/>
    </xf>
    <xf numFmtId="167" fontId="0" fillId="0" borderId="0" xfId="0" applyNumberFormat="1" applyAlignment="1">
      <alignment horizontal="center"/>
    </xf>
    <xf numFmtId="168" fontId="0" fillId="0" borderId="11" xfId="0" applyNumberFormat="1" applyBorder="1" applyAlignment="1">
      <alignment horizontal="center"/>
    </xf>
    <xf numFmtId="168" fontId="0" fillId="0" borderId="0" xfId="0" applyNumberFormat="1" applyAlignment="1">
      <alignment horizontal="center"/>
    </xf>
    <xf numFmtId="168" fontId="0" fillId="0" borderId="12" xfId="0" applyNumberFormat="1" applyBorder="1" applyAlignment="1">
      <alignment horizontal="center"/>
    </xf>
    <xf numFmtId="181" fontId="0" fillId="0" borderId="0" xfId="1" applyNumberFormat="1" applyFont="1"/>
    <xf numFmtId="181" fontId="0" fillId="2" borderId="0" xfId="1" applyNumberFormat="1" applyFont="1" applyFill="1"/>
    <xf numFmtId="181" fontId="0" fillId="0" borderId="16" xfId="0" applyNumberFormat="1" applyBorder="1"/>
    <xf numFmtId="181" fontId="30" fillId="0" borderId="10" xfId="0" applyNumberFormat="1" applyFont="1" applyBorder="1"/>
    <xf numFmtId="0" fontId="0" fillId="0" borderId="11" xfId="0" applyBorder="1" applyAlignment="1">
      <alignment horizontal="left"/>
    </xf>
    <xf numFmtId="0" fontId="0" fillId="0" borderId="12" xfId="0" applyBorder="1" applyAlignment="1">
      <alignment horizontal="left"/>
    </xf>
    <xf numFmtId="0" fontId="0" fillId="2" borderId="0" xfId="0" applyFill="1" applyAlignment="1">
      <alignment horizontal="left"/>
    </xf>
    <xf numFmtId="10" fontId="0" fillId="0" borderId="11" xfId="1" applyNumberFormat="1" applyFont="1" applyBorder="1" applyAlignment="1">
      <alignment horizontal="right"/>
    </xf>
    <xf numFmtId="10" fontId="0" fillId="0" borderId="0" xfId="1" applyNumberFormat="1" applyFont="1" applyBorder="1" applyAlignment="1">
      <alignment horizontal="right"/>
    </xf>
    <xf numFmtId="10" fontId="0" fillId="0" borderId="12" xfId="1" applyNumberFormat="1" applyFont="1" applyBorder="1" applyAlignment="1">
      <alignment horizontal="right"/>
    </xf>
    <xf numFmtId="0" fontId="0" fillId="2" borderId="0" xfId="0" applyFill="1" applyAlignment="1">
      <alignment horizontal="right"/>
    </xf>
    <xf numFmtId="167" fontId="0" fillId="0" borderId="12" xfId="0" applyNumberFormat="1" applyBorder="1" applyAlignment="1">
      <alignment horizontal="right"/>
    </xf>
    <xf numFmtId="167" fontId="0" fillId="0" borderId="11" xfId="0" applyNumberFormat="1" applyBorder="1" applyAlignment="1">
      <alignment horizontal="right"/>
    </xf>
    <xf numFmtId="167" fontId="0" fillId="0" borderId="0" xfId="0" applyNumberFormat="1" applyAlignment="1">
      <alignment horizontal="right"/>
    </xf>
    <xf numFmtId="168" fontId="0" fillId="0" borderId="11" xfId="0" applyNumberFormat="1" applyBorder="1" applyAlignment="1">
      <alignment horizontal="right"/>
    </xf>
    <xf numFmtId="168" fontId="0" fillId="0" borderId="0" xfId="0" applyNumberFormat="1" applyAlignment="1">
      <alignment horizontal="right"/>
    </xf>
    <xf numFmtId="168" fontId="0" fillId="0" borderId="12" xfId="0" applyNumberFormat="1" applyBorder="1" applyAlignment="1">
      <alignment horizontal="right"/>
    </xf>
    <xf numFmtId="43" fontId="7" fillId="0" borderId="0" xfId="4" applyNumberFormat="1" applyBorder="1" applyAlignment="1" applyProtection="1">
      <alignment horizontal="center"/>
    </xf>
    <xf numFmtId="43" fontId="21" fillId="4" borderId="0" xfId="5" applyNumberFormat="1" applyFont="1" applyBorder="1" applyAlignment="1">
      <alignment horizontal="center"/>
    </xf>
    <xf numFmtId="0" fontId="24" fillId="0" borderId="0" xfId="0" applyFont="1" applyAlignment="1">
      <alignment vertical="top" wrapText="1"/>
    </xf>
    <xf numFmtId="0" fontId="24" fillId="0" borderId="6" xfId="0" applyFont="1" applyBorder="1" applyAlignment="1">
      <alignment vertical="top" wrapText="1"/>
    </xf>
    <xf numFmtId="0" fontId="24" fillId="0" borderId="2" xfId="0" applyFont="1" applyBorder="1" applyAlignment="1">
      <alignment vertical="top" wrapText="1"/>
    </xf>
    <xf numFmtId="0" fontId="24" fillId="0" borderId="8" xfId="0" applyFont="1" applyBorder="1" applyAlignment="1">
      <alignment vertical="top" wrapText="1"/>
    </xf>
    <xf numFmtId="0" fontId="24" fillId="0" borderId="5" xfId="0" applyFont="1" applyBorder="1" applyAlignment="1">
      <alignment horizontal="right" vertical="center" wrapText="1"/>
    </xf>
    <xf numFmtId="0" fontId="24" fillId="0" borderId="7" xfId="0" applyFont="1" applyBorder="1" applyAlignment="1">
      <alignment horizontal="right" vertical="center" wrapText="1"/>
    </xf>
    <xf numFmtId="0" fontId="0" fillId="2" borderId="13" xfId="0" applyFill="1" applyBorder="1" applyAlignment="1">
      <alignment horizontal="center"/>
    </xf>
    <xf numFmtId="0" fontId="25" fillId="9" borderId="0" xfId="0" applyFont="1" applyFill="1" applyAlignment="1">
      <alignment horizontal="center"/>
    </xf>
    <xf numFmtId="0" fontId="0" fillId="9" borderId="0" xfId="0" applyFill="1" applyAlignment="1">
      <alignment horizontal="center"/>
    </xf>
    <xf numFmtId="0" fontId="0" fillId="0" borderId="0" xfId="0"/>
    <xf numFmtId="0" fontId="0" fillId="0" borderId="14" xfId="0" applyBorder="1" applyAlignment="1">
      <alignment horizontal="center"/>
    </xf>
    <xf numFmtId="0" fontId="29" fillId="0" borderId="0" xfId="0" applyFont="1" applyAlignment="1">
      <alignment horizontal="left" vertical="center" wrapText="1"/>
    </xf>
    <xf numFmtId="0" fontId="2" fillId="2" borderId="19" xfId="0" applyFont="1" applyFill="1" applyBorder="1"/>
    <xf numFmtId="0" fontId="5" fillId="14" borderId="32" xfId="0" applyFont="1" applyFill="1" applyBorder="1" applyAlignment="1">
      <alignment horizontal="center"/>
    </xf>
    <xf numFmtId="0" fontId="5" fillId="14" borderId="23" xfId="0" applyFont="1" applyFill="1" applyBorder="1" applyAlignment="1">
      <alignment horizontal="center"/>
    </xf>
    <xf numFmtId="0" fontId="5" fillId="12" borderId="0" xfId="0" applyFont="1" applyFill="1" applyAlignment="1">
      <alignment horizontal="center"/>
    </xf>
    <xf numFmtId="173" fontId="5" fillId="12" borderId="0" xfId="0" applyNumberFormat="1" applyFont="1" applyFill="1" applyAlignment="1">
      <alignment horizontal="center"/>
    </xf>
    <xf numFmtId="174" fontId="5" fillId="12" borderId="0" xfId="0" applyNumberFormat="1" applyFont="1" applyFill="1" applyAlignment="1">
      <alignment horizontal="center"/>
    </xf>
    <xf numFmtId="0" fontId="5" fillId="12" borderId="24" xfId="0" applyFont="1" applyFill="1" applyBorder="1" applyAlignment="1">
      <alignment horizontal="center"/>
    </xf>
    <xf numFmtId="0" fontId="3" fillId="12" borderId="0" xfId="0" applyFont="1" applyFill="1" applyAlignment="1">
      <alignment horizontal="center"/>
    </xf>
    <xf numFmtId="0" fontId="5" fillId="12" borderId="0" xfId="0" applyFont="1" applyFill="1"/>
    <xf numFmtId="0" fontId="5" fillId="12" borderId="0" xfId="0" applyFont="1" applyFill="1" applyAlignment="1">
      <alignment horizontal="right"/>
    </xf>
    <xf numFmtId="0" fontId="5" fillId="12" borderId="0" xfId="0" applyFont="1" applyFill="1" applyAlignment="1">
      <alignment horizontal="center"/>
    </xf>
    <xf numFmtId="0" fontId="3" fillId="12" borderId="0" xfId="0" applyFont="1" applyFill="1"/>
    <xf numFmtId="17" fontId="3" fillId="12" borderId="0" xfId="0" applyNumberFormat="1" applyFont="1" applyFill="1"/>
    <xf numFmtId="0" fontId="3" fillId="12" borderId="0" xfId="0" applyFont="1" applyFill="1" applyAlignment="1">
      <alignment horizontal="center"/>
    </xf>
    <xf numFmtId="0" fontId="0" fillId="12" borderId="0" xfId="0" applyFill="1"/>
    <xf numFmtId="17" fontId="3" fillId="12" borderId="0" xfId="0" applyNumberFormat="1" applyFont="1" applyFill="1" applyAlignment="1">
      <alignment horizontal="center"/>
    </xf>
    <xf numFmtId="0" fontId="15" fillId="12" borderId="0" xfId="0" applyFont="1" applyFill="1"/>
    <xf numFmtId="17" fontId="15" fillId="12" borderId="0" xfId="0" applyNumberFormat="1" applyFont="1" applyFill="1"/>
    <xf numFmtId="17" fontId="15" fillId="12" borderId="0" xfId="0" applyNumberFormat="1" applyFont="1" applyFill="1" applyAlignment="1">
      <alignment horizontal="center"/>
    </xf>
    <xf numFmtId="0" fontId="0" fillId="10" borderId="0" xfId="0" applyFill="1"/>
    <xf numFmtId="0" fontId="5" fillId="10" borderId="0" xfId="0" applyFont="1" applyFill="1"/>
  </cellXfs>
  <cellStyles count="14">
    <cellStyle name="60% - Accent1 2" xfId="10" xr:uid="{1AC3E283-22C2-4323-834D-54FAC0B05962}"/>
    <cellStyle name="60% - Accent3 2" xfId="11" xr:uid="{303BC14A-3E8D-4506-8B2D-8C3AD93EE031}"/>
    <cellStyle name="Accent6 2" xfId="5" xr:uid="{055A2F12-0409-41D7-A4D7-D667CBE730E6}"/>
    <cellStyle name="Comma 2" xfId="3" xr:uid="{0B567918-27FE-4916-93EB-C0710FF40CF8}"/>
    <cellStyle name="Comma 3" xfId="9" xr:uid="{73362A4A-FC26-43F7-842A-3914DEE0C7C9}"/>
    <cellStyle name="Comma 4" xfId="12" xr:uid="{AB1BEFBA-F4BF-4D4E-AC00-EE3ED959E918}"/>
    <cellStyle name="Comma 5" xfId="13" xr:uid="{BE63AD91-38A6-4B3F-91AB-DCFEB0BD02EF}"/>
    <cellStyle name="Hyperlink 2" xfId="4" xr:uid="{71B40603-7BB2-41CD-A978-C180E2BEA611}"/>
    <cellStyle name="Normal" xfId="0" builtinId="0"/>
    <cellStyle name="Normal 2" xfId="2" xr:uid="{58D1988B-2F41-4DF7-B7AE-C22FD2D767B9}"/>
    <cellStyle name="Normal 2 2" xfId="8" xr:uid="{54772634-A6D1-414C-AA20-C207CC1CC46E}"/>
    <cellStyle name="Normal 3" xfId="6" xr:uid="{9D4CA56B-ED63-4EB1-AF9B-AB2AFE51B886}"/>
    <cellStyle name="Percent" xfId="1" builtinId="5"/>
    <cellStyle name="Percent 3" xfId="7" xr:uid="{DFF9FCCC-5490-47C8-AC66-BDFE47841969}"/>
  </cellStyles>
  <dxfs count="1">
    <dxf>
      <font>
        <b/>
        <i val="0"/>
        <color theme="0"/>
      </font>
      <fill>
        <patternFill>
          <bgColor theme="5"/>
        </patternFill>
      </fill>
    </dxf>
  </dxfs>
  <tableStyles count="0" defaultTableStyle="TableStyleMedium2" defaultPivotStyle="PivotStyleLight16"/>
  <colors>
    <mruColors>
      <color rgb="FF4DA42E"/>
      <color rgb="FF0E2841"/>
      <color rgb="FF0066FF"/>
      <color rgb="FF21873D"/>
      <color rgb="FFFFCC99"/>
      <color rgb="FF028655"/>
      <color rgb="FFE7F7E1"/>
      <color rgb="FF1FDF4D"/>
      <color rgb="FF03BD76"/>
      <color rgb="FF7AC4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4DA42E"/>
              </a:solidFill>
              <a:ln>
                <a:noFill/>
              </a:ln>
              <a:effectLst/>
            </c:spPr>
            <c:extLst>
              <c:ext xmlns:c16="http://schemas.microsoft.com/office/drawing/2014/chart" uri="{C3380CC4-5D6E-409C-BE32-E72D297353CC}">
                <c16:uniqueId val="{00000001-862A-471B-98DF-49478865154B}"/>
              </c:ext>
            </c:extLst>
          </c:dPt>
          <c:dPt>
            <c:idx val="1"/>
            <c:invertIfNegative val="0"/>
            <c:bubble3D val="0"/>
            <c:spPr>
              <a:solidFill>
                <a:srgbClr val="4DA42E"/>
              </a:solidFill>
              <a:ln>
                <a:noFill/>
              </a:ln>
              <a:effectLst/>
            </c:spPr>
            <c:extLst>
              <c:ext xmlns:c16="http://schemas.microsoft.com/office/drawing/2014/chart" uri="{C3380CC4-5D6E-409C-BE32-E72D297353CC}">
                <c16:uniqueId val="{0000000E-037F-4F7F-BC40-D21B4CFE4070}"/>
              </c:ext>
            </c:extLst>
          </c:dPt>
          <c:dPt>
            <c:idx val="2"/>
            <c:invertIfNegative val="0"/>
            <c:bubble3D val="0"/>
            <c:spPr>
              <a:solidFill>
                <a:srgbClr val="4DA42E"/>
              </a:solidFill>
              <a:ln>
                <a:noFill/>
              </a:ln>
              <a:effectLst/>
            </c:spPr>
            <c:extLst>
              <c:ext xmlns:c16="http://schemas.microsoft.com/office/drawing/2014/chart" uri="{C3380CC4-5D6E-409C-BE32-E72D297353CC}">
                <c16:uniqueId val="{0000000D-037F-4F7F-BC40-D21B4CFE4070}"/>
              </c:ext>
            </c:extLst>
          </c:dPt>
          <c:dPt>
            <c:idx val="3"/>
            <c:invertIfNegative val="0"/>
            <c:bubble3D val="0"/>
            <c:spPr>
              <a:solidFill>
                <a:srgbClr val="4DA42E"/>
              </a:solidFill>
              <a:ln>
                <a:noFill/>
              </a:ln>
              <a:effectLst/>
            </c:spPr>
            <c:extLst>
              <c:ext xmlns:c16="http://schemas.microsoft.com/office/drawing/2014/chart" uri="{C3380CC4-5D6E-409C-BE32-E72D297353CC}">
                <c16:uniqueId val="{0000000C-037F-4F7F-BC40-D21B4CFE4070}"/>
              </c:ext>
            </c:extLst>
          </c:dPt>
          <c:dPt>
            <c:idx val="4"/>
            <c:invertIfNegative val="0"/>
            <c:bubble3D val="0"/>
            <c:spPr>
              <a:solidFill>
                <a:srgbClr val="4DA42E"/>
              </a:solidFill>
              <a:ln>
                <a:noFill/>
              </a:ln>
              <a:effectLst/>
            </c:spPr>
            <c:extLst>
              <c:ext xmlns:c16="http://schemas.microsoft.com/office/drawing/2014/chart" uri="{C3380CC4-5D6E-409C-BE32-E72D297353CC}">
                <c16:uniqueId val="{0000000B-037F-4F7F-BC40-D21B4CFE4070}"/>
              </c:ext>
            </c:extLst>
          </c:dPt>
          <c:dPt>
            <c:idx val="5"/>
            <c:invertIfNegative val="0"/>
            <c:bubble3D val="0"/>
            <c:spPr>
              <a:solidFill>
                <a:srgbClr val="4DA42E"/>
              </a:solidFill>
              <a:ln>
                <a:noFill/>
              </a:ln>
              <a:effectLst/>
            </c:spPr>
            <c:extLst>
              <c:ext xmlns:c16="http://schemas.microsoft.com/office/drawing/2014/chart" uri="{C3380CC4-5D6E-409C-BE32-E72D297353CC}">
                <c16:uniqueId val="{0000000A-037F-4F7F-BC40-D21B4CFE4070}"/>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44286</c:v>
                </c:pt>
                <c:pt idx="1">
                  <c:v>44651</c:v>
                </c:pt>
                <c:pt idx="2">
                  <c:v>45016</c:v>
                </c:pt>
                <c:pt idx="3">
                  <c:v>45382</c:v>
                </c:pt>
                <c:pt idx="4">
                  <c:v>45747</c:v>
                </c:pt>
                <c:pt idx="5">
                  <c:v>46112</c:v>
                </c:pt>
              </c:numCache>
            </c:numRef>
          </c:cat>
          <c:val>
            <c:numRef>
              <c:f>'Dupont Analysis'!$F$74:$K$74</c:f>
              <c:numCache>
                <c:formatCode>0.0</c:formatCode>
                <c:ptCount val="6"/>
                <c:pt idx="0">
                  <c:v>2592.96</c:v>
                </c:pt>
                <c:pt idx="1">
                  <c:v>4498.0200000000004</c:v>
                </c:pt>
                <c:pt idx="2">
                  <c:v>8242.02</c:v>
                </c:pt>
                <c:pt idx="3">
                  <c:v>12375.11</c:v>
                </c:pt>
                <c:pt idx="4">
                  <c:v>17134.61</c:v>
                </c:pt>
                <c:pt idx="5">
                  <c:v>20074.21</c:v>
                </c:pt>
              </c:numCache>
            </c:numRef>
          </c:val>
          <c:extLst>
            <c:ext xmlns:c16="http://schemas.microsoft.com/office/drawing/2014/chart" uri="{C3380CC4-5D6E-409C-BE32-E72D297353CC}">
              <c16:uniqueId val="{00000002-862A-471B-98DF-49478865154B}"/>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4DA42E"/>
              </a:solidFill>
              <a:ln>
                <a:noFill/>
              </a:ln>
              <a:effectLst/>
            </c:spPr>
            <c:extLst>
              <c:ext xmlns:c16="http://schemas.microsoft.com/office/drawing/2014/chart" uri="{C3380CC4-5D6E-409C-BE32-E72D297353CC}">
                <c16:uniqueId val="{00000000-65B0-4363-BFB8-6B5FAF0668C1}"/>
              </c:ext>
            </c:extLst>
          </c:dPt>
          <c:dPt>
            <c:idx val="1"/>
            <c:invertIfNegative val="0"/>
            <c:bubble3D val="0"/>
            <c:spPr>
              <a:solidFill>
                <a:srgbClr val="4DA42E"/>
              </a:solidFill>
              <a:ln>
                <a:noFill/>
              </a:ln>
              <a:effectLst/>
            </c:spPr>
            <c:extLst>
              <c:ext xmlns:c16="http://schemas.microsoft.com/office/drawing/2014/chart" uri="{C3380CC4-5D6E-409C-BE32-E72D297353CC}">
                <c16:uniqueId val="{00000001-65B0-4363-BFB8-6B5FAF0668C1}"/>
              </c:ext>
            </c:extLst>
          </c:dPt>
          <c:dPt>
            <c:idx val="2"/>
            <c:invertIfNegative val="0"/>
            <c:bubble3D val="0"/>
            <c:spPr>
              <a:solidFill>
                <a:srgbClr val="4DA42E"/>
              </a:solidFill>
              <a:ln>
                <a:noFill/>
              </a:ln>
              <a:effectLst/>
            </c:spPr>
            <c:extLst>
              <c:ext xmlns:c16="http://schemas.microsoft.com/office/drawing/2014/chart" uri="{C3380CC4-5D6E-409C-BE32-E72D297353CC}">
                <c16:uniqueId val="{00000002-65B0-4363-BFB8-6B5FAF0668C1}"/>
              </c:ext>
            </c:extLst>
          </c:dPt>
          <c:dPt>
            <c:idx val="3"/>
            <c:invertIfNegative val="0"/>
            <c:bubble3D val="0"/>
            <c:spPr>
              <a:solidFill>
                <a:srgbClr val="4DA42E"/>
              </a:solidFill>
              <a:ln>
                <a:noFill/>
              </a:ln>
              <a:effectLst/>
            </c:spPr>
            <c:extLst>
              <c:ext xmlns:c16="http://schemas.microsoft.com/office/drawing/2014/chart" uri="{C3380CC4-5D6E-409C-BE32-E72D297353CC}">
                <c16:uniqueId val="{00000003-65B0-4363-BFB8-6B5FAF0668C1}"/>
              </c:ext>
            </c:extLst>
          </c:dPt>
          <c:dPt>
            <c:idx val="4"/>
            <c:invertIfNegative val="0"/>
            <c:bubble3D val="0"/>
            <c:spPr>
              <a:solidFill>
                <a:srgbClr val="4DA42E"/>
              </a:solidFill>
              <a:ln>
                <a:noFill/>
              </a:ln>
              <a:effectLst/>
            </c:spPr>
            <c:extLst>
              <c:ext xmlns:c16="http://schemas.microsoft.com/office/drawing/2014/chart" uri="{C3380CC4-5D6E-409C-BE32-E72D297353CC}">
                <c16:uniqueId val="{00000004-65B0-4363-BFB8-6B5FAF0668C1}"/>
              </c:ext>
            </c:extLst>
          </c:dPt>
          <c:dPt>
            <c:idx val="5"/>
            <c:invertIfNegative val="0"/>
            <c:bubble3D val="0"/>
            <c:spPr>
              <a:solidFill>
                <a:srgbClr val="4DA42E"/>
              </a:solidFill>
              <a:ln>
                <a:noFill/>
              </a:ln>
              <a:effectLst/>
            </c:spPr>
            <c:extLst>
              <c:ext xmlns:c16="http://schemas.microsoft.com/office/drawing/2014/chart" uri="{C3380CC4-5D6E-409C-BE32-E72D297353CC}">
                <c16:uniqueId val="{00000005-65B0-4363-BFB8-6B5FAF0668C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44286</c:v>
                </c:pt>
                <c:pt idx="1">
                  <c:v>44651</c:v>
                </c:pt>
                <c:pt idx="2">
                  <c:v>45016</c:v>
                </c:pt>
                <c:pt idx="3">
                  <c:v>45382</c:v>
                </c:pt>
                <c:pt idx="4">
                  <c:v>45747</c:v>
                </c:pt>
                <c:pt idx="5">
                  <c:v>46112</c:v>
                </c:pt>
              </c:numCache>
            </c:numRef>
          </c:cat>
          <c:val>
            <c:numRef>
              <c:f>'Dupont Analysis'!$F$73:$K$73</c:f>
              <c:numCache>
                <c:formatCode>0.0</c:formatCode>
                <c:ptCount val="6"/>
                <c:pt idx="0">
                  <c:v>-146.16999999999999</c:v>
                </c:pt>
                <c:pt idx="1">
                  <c:v>105.83</c:v>
                </c:pt>
                <c:pt idx="2">
                  <c:v>444.63</c:v>
                </c:pt>
                <c:pt idx="3">
                  <c:v>1486.8</c:v>
                </c:pt>
                <c:pt idx="4">
                  <c:v>1546.72</c:v>
                </c:pt>
                <c:pt idx="5">
                  <c:v>1719.65</c:v>
                </c:pt>
              </c:numCache>
            </c:numRef>
          </c:val>
          <c:extLst>
            <c:ext xmlns:c16="http://schemas.microsoft.com/office/drawing/2014/chart" uri="{C3380CC4-5D6E-409C-BE32-E72D297353CC}">
              <c16:uniqueId val="{00000000-4367-4FF1-9C0B-6A0DF3AEC776}"/>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4DA42E"/>
              </a:solidFill>
              <a:ln>
                <a:noFill/>
              </a:ln>
              <a:effectLst/>
            </c:spPr>
            <c:extLst>
              <c:ext xmlns:c16="http://schemas.microsoft.com/office/drawing/2014/chart" uri="{C3380CC4-5D6E-409C-BE32-E72D297353CC}">
                <c16:uniqueId val="{00000000-D93E-4601-A2F3-3C62636357D9}"/>
              </c:ext>
            </c:extLst>
          </c:dPt>
          <c:dPt>
            <c:idx val="1"/>
            <c:invertIfNegative val="0"/>
            <c:bubble3D val="0"/>
            <c:spPr>
              <a:solidFill>
                <a:srgbClr val="4DA42E"/>
              </a:solidFill>
              <a:ln>
                <a:noFill/>
              </a:ln>
              <a:effectLst/>
            </c:spPr>
            <c:extLst>
              <c:ext xmlns:c16="http://schemas.microsoft.com/office/drawing/2014/chart" uri="{C3380CC4-5D6E-409C-BE32-E72D297353CC}">
                <c16:uniqueId val="{00000001-D93E-4601-A2F3-3C62636357D9}"/>
              </c:ext>
            </c:extLst>
          </c:dPt>
          <c:dPt>
            <c:idx val="2"/>
            <c:invertIfNegative val="0"/>
            <c:bubble3D val="0"/>
            <c:spPr>
              <a:solidFill>
                <a:srgbClr val="4DA42E"/>
              </a:solidFill>
              <a:ln>
                <a:noFill/>
              </a:ln>
              <a:effectLst/>
            </c:spPr>
            <c:extLst>
              <c:ext xmlns:c16="http://schemas.microsoft.com/office/drawing/2014/chart" uri="{C3380CC4-5D6E-409C-BE32-E72D297353CC}">
                <c16:uniqueId val="{00000002-D93E-4601-A2F3-3C62636357D9}"/>
              </c:ext>
            </c:extLst>
          </c:dPt>
          <c:dPt>
            <c:idx val="3"/>
            <c:invertIfNegative val="0"/>
            <c:bubble3D val="0"/>
            <c:spPr>
              <a:solidFill>
                <a:srgbClr val="4DA42E"/>
              </a:solidFill>
              <a:ln>
                <a:noFill/>
              </a:ln>
              <a:effectLst/>
            </c:spPr>
            <c:extLst>
              <c:ext xmlns:c16="http://schemas.microsoft.com/office/drawing/2014/chart" uri="{C3380CC4-5D6E-409C-BE32-E72D297353CC}">
                <c16:uniqueId val="{00000003-D93E-4601-A2F3-3C62636357D9}"/>
              </c:ext>
            </c:extLst>
          </c:dPt>
          <c:dPt>
            <c:idx val="4"/>
            <c:invertIfNegative val="0"/>
            <c:bubble3D val="0"/>
            <c:spPr>
              <a:solidFill>
                <a:srgbClr val="4DA42E"/>
              </a:solidFill>
              <a:ln>
                <a:noFill/>
              </a:ln>
              <a:effectLst/>
            </c:spPr>
            <c:extLst>
              <c:ext xmlns:c16="http://schemas.microsoft.com/office/drawing/2014/chart" uri="{C3380CC4-5D6E-409C-BE32-E72D297353CC}">
                <c16:uniqueId val="{00000004-D93E-4601-A2F3-3C62636357D9}"/>
              </c:ext>
            </c:extLst>
          </c:dPt>
          <c:dPt>
            <c:idx val="5"/>
            <c:invertIfNegative val="0"/>
            <c:bubble3D val="0"/>
            <c:spPr>
              <a:solidFill>
                <a:srgbClr val="4DA42E"/>
              </a:solidFill>
              <a:ln>
                <a:noFill/>
              </a:ln>
              <a:effectLst/>
            </c:spPr>
            <c:extLst>
              <c:ext xmlns:c16="http://schemas.microsoft.com/office/drawing/2014/chart" uri="{C3380CC4-5D6E-409C-BE32-E72D297353CC}">
                <c16:uniqueId val="{00000005-D93E-4601-A2F3-3C62636357D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44286</c:v>
                </c:pt>
                <c:pt idx="1">
                  <c:v>44651</c:v>
                </c:pt>
                <c:pt idx="2">
                  <c:v>45016</c:v>
                </c:pt>
                <c:pt idx="3">
                  <c:v>45382</c:v>
                </c:pt>
                <c:pt idx="4">
                  <c:v>45747</c:v>
                </c:pt>
                <c:pt idx="5">
                  <c:v>46112</c:v>
                </c:pt>
              </c:numCache>
            </c:numRef>
          </c:cat>
          <c:val>
            <c:numRef>
              <c:f>'Dupont Analysis'!$F$78:$K$78</c:f>
              <c:numCache>
                <c:formatCode>0.0</c:formatCode>
                <c:ptCount val="6"/>
                <c:pt idx="0">
                  <c:v>6724.875</c:v>
                </c:pt>
                <c:pt idx="1">
                  <c:v>7903.7749999999996</c:v>
                </c:pt>
                <c:pt idx="2">
                  <c:v>7621.6399999999994</c:v>
                </c:pt>
                <c:pt idx="3">
                  <c:v>8290.6949999999997</c:v>
                </c:pt>
                <c:pt idx="4">
                  <c:v>10574.11</c:v>
                </c:pt>
                <c:pt idx="5">
                  <c:v>5864.29</c:v>
                </c:pt>
              </c:numCache>
            </c:numRef>
          </c:val>
          <c:extLst>
            <c:ext xmlns:c16="http://schemas.microsoft.com/office/drawing/2014/chart" uri="{C3380CC4-5D6E-409C-BE32-E72D297353CC}">
              <c16:uniqueId val="{00000000-1711-41E7-BB6E-7C1E56BCEF89}"/>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DA42E"/>
            </a:solidFill>
            <a:ln>
              <a:noFill/>
            </a:ln>
            <a:effectLst/>
          </c:spPr>
          <c:invertIfNegative val="0"/>
          <c:dLbls>
            <c:dLbl>
              <c:idx val="0"/>
              <c:showLegendKey val="0"/>
              <c:showVal val="1"/>
              <c:showCatName val="0"/>
              <c:showSerName val="0"/>
              <c:showPercent val="0"/>
              <c:showBubbleSize val="0"/>
              <c:extLst>
                <c:ext xmlns:c15="http://schemas.microsoft.com/office/drawing/2012/chart" uri="{CE6537A1-D6FC-4f65-9D91-7224C49458BB}">
                  <c15:layout>
                    <c:manualLayout>
                      <c:w val="0.19759887428520104"/>
                      <c:h val="0.11099237595300587"/>
                    </c:manualLayout>
                  </c15:layout>
                </c:ext>
                <c:ext xmlns:c16="http://schemas.microsoft.com/office/drawing/2014/chart" uri="{C3380CC4-5D6E-409C-BE32-E72D297353CC}">
                  <c16:uniqueId val="{00000000-B954-49C8-BE2F-0A3753A73B0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1556240831112838"/>
                      <c:h val="0.19817460317460317"/>
                    </c:manualLayout>
                  </c15:layout>
                </c:ext>
                <c:ext xmlns:c16="http://schemas.microsoft.com/office/drawing/2014/chart" uri="{C3380CC4-5D6E-409C-BE32-E72D297353CC}">
                  <c16:uniqueId val="{00000001-B954-49C8-BE2F-0A3753A73B0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21556240831112838"/>
                      <c:h val="0.19817460317460317"/>
                    </c:manualLayout>
                  </c15:layout>
                </c:ext>
                <c:ext xmlns:c16="http://schemas.microsoft.com/office/drawing/2014/chart" uri="{C3380CC4-5D6E-409C-BE32-E72D297353CC}">
                  <c16:uniqueId val="{00000002-B954-49C8-BE2F-0A3753A73B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44286</c:v>
                </c:pt>
                <c:pt idx="1">
                  <c:v>44651</c:v>
                </c:pt>
                <c:pt idx="2">
                  <c:v>45016</c:v>
                </c:pt>
                <c:pt idx="3">
                  <c:v>45382</c:v>
                </c:pt>
                <c:pt idx="4">
                  <c:v>45747</c:v>
                </c:pt>
                <c:pt idx="5">
                  <c:v>46112</c:v>
                </c:pt>
              </c:numCache>
            </c:numRef>
          </c:cat>
          <c:val>
            <c:numRef>
              <c:f>'Dupont Analysis'!$F$85:$K$85</c:f>
              <c:numCache>
                <c:formatCode>0.00%</c:formatCode>
                <c:ptCount val="6"/>
                <c:pt idx="0">
                  <c:v>-6.2505478904347406E-2</c:v>
                </c:pt>
                <c:pt idx="1">
                  <c:v>4.2677775335770413E-2</c:v>
                </c:pt>
                <c:pt idx="2">
                  <c:v>0.13345779749460845</c:v>
                </c:pt>
                <c:pt idx="3">
                  <c:v>0.31204221006812549</c:v>
                </c:pt>
                <c:pt idx="4">
                  <c:v>0.24854054418861005</c:v>
                </c:pt>
                <c:pt idx="5">
                  <c:v>0.4924062376515459</c:v>
                </c:pt>
              </c:numCache>
            </c:numRef>
          </c:val>
          <c:extLst>
            <c:ext xmlns:c16="http://schemas.microsoft.com/office/drawing/2014/chart" uri="{C3380CC4-5D6E-409C-BE32-E72D297353CC}">
              <c16:uniqueId val="{00000004-B954-49C8-BE2F-0A3753A73B09}"/>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4DA4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44286</c:v>
                </c:pt>
                <c:pt idx="1">
                  <c:v>44651</c:v>
                </c:pt>
                <c:pt idx="2">
                  <c:v>45016</c:v>
                </c:pt>
                <c:pt idx="3">
                  <c:v>45382</c:v>
                </c:pt>
                <c:pt idx="4">
                  <c:v>45747</c:v>
                </c:pt>
                <c:pt idx="5">
                  <c:v>46112</c:v>
                </c:pt>
              </c:numCache>
            </c:numRef>
          </c:cat>
          <c:val>
            <c:numRef>
              <c:f>'Dupont Analysis'!$F$83:$K$83</c:f>
              <c:numCache>
                <c:formatCode>0.00\x</c:formatCode>
                <c:ptCount val="6"/>
                <c:pt idx="0">
                  <c:v>2.8757031706018559</c:v>
                </c:pt>
                <c:pt idx="1">
                  <c:v>3.1873337782715563</c:v>
                </c:pt>
                <c:pt idx="2">
                  <c:v>2.2876712945523412</c:v>
                </c:pt>
                <c:pt idx="3">
                  <c:v>1.7400099480769151</c:v>
                </c:pt>
                <c:pt idx="4">
                  <c:v>1.6991407971127441</c:v>
                </c:pt>
                <c:pt idx="5">
                  <c:v>1.6791864480548857</c:v>
                </c:pt>
              </c:numCache>
            </c:numRef>
          </c:val>
          <c:extLst>
            <c:ext xmlns:c16="http://schemas.microsoft.com/office/drawing/2014/chart" uri="{C3380CC4-5D6E-409C-BE32-E72D297353CC}">
              <c16:uniqueId val="{00000000-F48F-4E8B-B86B-5BB72EDD4517}"/>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0\x"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4DA42E"/>
              </a:solidFill>
              <a:ln>
                <a:noFill/>
              </a:ln>
              <a:effectLst/>
            </c:spPr>
            <c:extLst>
              <c:ext xmlns:c16="http://schemas.microsoft.com/office/drawing/2014/chart" uri="{C3380CC4-5D6E-409C-BE32-E72D297353CC}">
                <c16:uniqueId val="{00000005-2C29-463C-9B25-8DE3D1702AFC}"/>
              </c:ext>
            </c:extLst>
          </c:dPt>
          <c:dPt>
            <c:idx val="1"/>
            <c:invertIfNegative val="0"/>
            <c:bubble3D val="0"/>
            <c:spPr>
              <a:solidFill>
                <a:srgbClr val="4DA42E"/>
              </a:solidFill>
              <a:ln>
                <a:noFill/>
              </a:ln>
              <a:effectLst/>
            </c:spPr>
            <c:extLst>
              <c:ext xmlns:c16="http://schemas.microsoft.com/office/drawing/2014/chart" uri="{C3380CC4-5D6E-409C-BE32-E72D297353CC}">
                <c16:uniqueId val="{00000004-2C29-463C-9B25-8DE3D1702AFC}"/>
              </c:ext>
            </c:extLst>
          </c:dPt>
          <c:dPt>
            <c:idx val="2"/>
            <c:invertIfNegative val="0"/>
            <c:bubble3D val="0"/>
            <c:spPr>
              <a:solidFill>
                <a:srgbClr val="4DA42E"/>
              </a:solidFill>
              <a:ln>
                <a:noFill/>
              </a:ln>
              <a:effectLst/>
            </c:spPr>
            <c:extLst>
              <c:ext xmlns:c16="http://schemas.microsoft.com/office/drawing/2014/chart" uri="{C3380CC4-5D6E-409C-BE32-E72D297353CC}">
                <c16:uniqueId val="{00000003-2C29-463C-9B25-8DE3D1702AFC}"/>
              </c:ext>
            </c:extLst>
          </c:dPt>
          <c:dPt>
            <c:idx val="3"/>
            <c:invertIfNegative val="0"/>
            <c:bubble3D val="0"/>
            <c:spPr>
              <a:solidFill>
                <a:srgbClr val="4DA42E"/>
              </a:solidFill>
              <a:ln>
                <a:noFill/>
              </a:ln>
              <a:effectLst/>
            </c:spPr>
            <c:extLst>
              <c:ext xmlns:c16="http://schemas.microsoft.com/office/drawing/2014/chart" uri="{C3380CC4-5D6E-409C-BE32-E72D297353CC}">
                <c16:uniqueId val="{00000000-2C29-463C-9B25-8DE3D1702AFC}"/>
              </c:ext>
            </c:extLst>
          </c:dPt>
          <c:dPt>
            <c:idx val="4"/>
            <c:invertIfNegative val="0"/>
            <c:bubble3D val="0"/>
            <c:spPr>
              <a:solidFill>
                <a:srgbClr val="4DA42E"/>
              </a:solidFill>
              <a:ln>
                <a:noFill/>
              </a:ln>
              <a:effectLst/>
            </c:spPr>
            <c:extLst>
              <c:ext xmlns:c16="http://schemas.microsoft.com/office/drawing/2014/chart" uri="{C3380CC4-5D6E-409C-BE32-E72D297353CC}">
                <c16:uniqueId val="{00000001-2C29-463C-9B25-8DE3D1702AFC}"/>
              </c:ext>
            </c:extLst>
          </c:dPt>
          <c:dPt>
            <c:idx val="5"/>
            <c:invertIfNegative val="0"/>
            <c:bubble3D val="0"/>
            <c:spPr>
              <a:solidFill>
                <a:srgbClr val="4DA42E"/>
              </a:solidFill>
              <a:ln>
                <a:noFill/>
              </a:ln>
              <a:effectLst/>
            </c:spPr>
            <c:extLst>
              <c:ext xmlns:c16="http://schemas.microsoft.com/office/drawing/2014/chart" uri="{C3380CC4-5D6E-409C-BE32-E72D297353CC}">
                <c16:uniqueId val="{00000002-2C29-463C-9B25-8DE3D1702AFC}"/>
              </c:ext>
            </c:extLst>
          </c:dPt>
          <c:dLbls>
            <c:spPr>
              <a:noFill/>
              <a:ln>
                <a:noFill/>
              </a:ln>
              <a:effectLst/>
            </c:spPr>
            <c:txPr>
              <a:bodyPr rot="0" spcFirstLastPara="1" vertOverflow="ellipsis" vert="horz" wrap="square" lIns="3810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'Dupont Analysis'!$F$72:$K$72</c:f>
              <c:numCache>
                <c:formatCode>mmm\-yy</c:formatCode>
                <c:ptCount val="6"/>
                <c:pt idx="0">
                  <c:v>44286</c:v>
                </c:pt>
                <c:pt idx="1">
                  <c:v>44651</c:v>
                </c:pt>
                <c:pt idx="2">
                  <c:v>45016</c:v>
                </c:pt>
                <c:pt idx="3">
                  <c:v>45382</c:v>
                </c:pt>
                <c:pt idx="4">
                  <c:v>45747</c:v>
                </c:pt>
                <c:pt idx="5">
                  <c:v>46112</c:v>
                </c:pt>
              </c:numCache>
            </c:numRef>
          </c:cat>
          <c:val>
            <c:numRef>
              <c:f>'Dupont Analysis'!$F$103:$K$103</c:f>
              <c:numCache>
                <c:formatCode>0.00%</c:formatCode>
                <c:ptCount val="6"/>
                <c:pt idx="0">
                  <c:v>-2.1735719994795441E-2</c:v>
                </c:pt>
                <c:pt idx="1">
                  <c:v>1.3389804239113588E-2</c:v>
                </c:pt>
                <c:pt idx="2">
                  <c:v>5.8337838050603281E-2</c:v>
                </c:pt>
                <c:pt idx="3">
                  <c:v>0.17933357818614726</c:v>
                </c:pt>
                <c:pt idx="4">
                  <c:v>0.14627424908573866</c:v>
                </c:pt>
                <c:pt idx="5">
                  <c:v>0.29324095500052011</c:v>
                </c:pt>
              </c:numCache>
            </c:numRef>
          </c:val>
          <c:extLst>
            <c:ext xmlns:c16="http://schemas.microsoft.com/office/drawing/2014/chart" uri="{C3380CC4-5D6E-409C-BE32-E72D297353CC}">
              <c16:uniqueId val="{00000000-B40F-413F-A8B2-F46F23B4149E}"/>
            </c:ext>
          </c:extLst>
        </c:ser>
        <c:dLbls>
          <c:showLegendKey val="0"/>
          <c:showVal val="0"/>
          <c:showCatName val="0"/>
          <c:showSerName val="0"/>
          <c:showPercent val="0"/>
          <c:showBubbleSize val="0"/>
        </c:dLbls>
        <c:gapWidth val="219"/>
        <c:overlap val="-27"/>
        <c:axId val="1897072560"/>
        <c:axId val="1945651680"/>
      </c:barChart>
      <c:catAx>
        <c:axId val="189707256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651680"/>
        <c:crosses val="autoZero"/>
        <c:auto val="0"/>
        <c:lblAlgn val="ctr"/>
        <c:lblOffset val="100"/>
        <c:noMultiLvlLbl val="0"/>
      </c:catAx>
      <c:valAx>
        <c:axId val="1945651680"/>
        <c:scaling>
          <c:orientation val="minMax"/>
        </c:scaling>
        <c:delete val="1"/>
        <c:axPos val="l"/>
        <c:numFmt formatCode="0.00%" sourceLinked="1"/>
        <c:majorTickMark val="none"/>
        <c:minorTickMark val="none"/>
        <c:tickLblPos val="nextTo"/>
        <c:crossAx val="189707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70114942528732E-2"/>
          <c:y val="0.14317717194898377"/>
          <c:w val="0.85545977011494256"/>
          <c:h val="0.81574539363484089"/>
        </c:manualLayout>
      </c:layout>
      <c:scatterChart>
        <c:scatterStyle val="lineMarker"/>
        <c:varyColors val="0"/>
        <c:ser>
          <c:idx val="0"/>
          <c:order val="0"/>
          <c:tx>
            <c:strRef>
              <c:f>'Forecasting Trent Ltd'!$B$2:$E$2</c:f>
              <c:strCache>
                <c:ptCount val="1"/>
                <c:pt idx="0">
                  <c:v>Forecasting - Sales (TRENT LTD).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 Trent Ltd'!$C$4:$C$17</c:f>
              <c:numCache>
                <c:formatCode>yyyy\ \A</c:formatCode>
                <c:ptCount val="14"/>
                <c:pt idx="0">
                  <c:v>42825</c:v>
                </c:pt>
                <c:pt idx="1">
                  <c:v>43190</c:v>
                </c:pt>
                <c:pt idx="2">
                  <c:v>43555</c:v>
                </c:pt>
                <c:pt idx="3">
                  <c:v>43920</c:v>
                </c:pt>
                <c:pt idx="4">
                  <c:v>44285</c:v>
                </c:pt>
                <c:pt idx="5">
                  <c:v>44650</c:v>
                </c:pt>
                <c:pt idx="6">
                  <c:v>45015</c:v>
                </c:pt>
                <c:pt idx="7">
                  <c:v>45380</c:v>
                </c:pt>
                <c:pt idx="8">
                  <c:v>45745</c:v>
                </c:pt>
                <c:pt idx="9">
                  <c:v>46110</c:v>
                </c:pt>
                <c:pt idx="10" formatCode="yyyy\ \F">
                  <c:v>46475</c:v>
                </c:pt>
                <c:pt idx="11" formatCode="yyyy\ \F">
                  <c:v>46840</c:v>
                </c:pt>
                <c:pt idx="12" formatCode="yyyy\ \F">
                  <c:v>47205</c:v>
                </c:pt>
                <c:pt idx="13" formatCode="yyyy\ \F">
                  <c:v>47570</c:v>
                </c:pt>
              </c:numCache>
            </c:numRef>
          </c:xVal>
          <c:yVal>
            <c:numRef>
              <c:f>'Forecasting Trent Ltd'!$D$4:$D$17</c:f>
              <c:numCache>
                <c:formatCode>0.00</c:formatCode>
                <c:ptCount val="14"/>
                <c:pt idx="0">
                  <c:v>1812.44</c:v>
                </c:pt>
                <c:pt idx="1">
                  <c:v>2157.46</c:v>
                </c:pt>
                <c:pt idx="2">
                  <c:v>2630.24</c:v>
                </c:pt>
                <c:pt idx="3">
                  <c:v>3485.98</c:v>
                </c:pt>
                <c:pt idx="4">
                  <c:v>2592.96</c:v>
                </c:pt>
                <c:pt idx="5">
                  <c:v>4498.0200000000004</c:v>
                </c:pt>
                <c:pt idx="6">
                  <c:v>8242.02</c:v>
                </c:pt>
                <c:pt idx="7">
                  <c:v>12375.11</c:v>
                </c:pt>
                <c:pt idx="8">
                  <c:v>17134.61</c:v>
                </c:pt>
                <c:pt idx="9">
                  <c:v>20074.21</c:v>
                </c:pt>
                <c:pt idx="10">
                  <c:v>18636.755333333334</c:v>
                </c:pt>
                <c:pt idx="11">
                  <c:v>20661.564484848488</c:v>
                </c:pt>
                <c:pt idx="12">
                  <c:v>22686.373636363638</c:v>
                </c:pt>
                <c:pt idx="13">
                  <c:v>24711.182787878792</c:v>
                </c:pt>
              </c:numCache>
            </c:numRef>
          </c:yVal>
          <c:smooth val="0"/>
          <c:extLst>
            <c:ext xmlns:c16="http://schemas.microsoft.com/office/drawing/2014/chart" uri="{C3380CC4-5D6E-409C-BE32-E72D297353CC}">
              <c16:uniqueId val="{00000000-A7BA-411B-8470-DBE3D2AA8A74}"/>
            </c:ext>
          </c:extLst>
        </c:ser>
        <c:dLbls>
          <c:showLegendKey val="0"/>
          <c:showVal val="0"/>
          <c:showCatName val="0"/>
          <c:showSerName val="0"/>
          <c:showPercent val="0"/>
          <c:showBubbleSize val="0"/>
        </c:dLbls>
        <c:axId val="17664512"/>
        <c:axId val="71595088"/>
      </c:scatterChart>
      <c:valAx>
        <c:axId val="17664512"/>
        <c:scaling>
          <c:orientation val="minMax"/>
        </c:scaling>
        <c:delete val="0"/>
        <c:axPos val="b"/>
        <c:numFmt formatCode="yyyy\ \A"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95088"/>
        <c:crosses val="autoZero"/>
        <c:crossBetween val="midCat"/>
      </c:valAx>
      <c:valAx>
        <c:axId val="71595088"/>
        <c:scaling>
          <c:orientation val="minMax"/>
        </c:scaling>
        <c:delete val="1"/>
        <c:axPos val="l"/>
        <c:numFmt formatCode="0.00" sourceLinked="1"/>
        <c:majorTickMark val="none"/>
        <c:minorTickMark val="none"/>
        <c:tickLblPos val="nextTo"/>
        <c:crossAx val="1766451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336010709504679E-2"/>
          <c:y val="0.16697057604641524"/>
          <c:w val="0.86532797858099064"/>
          <c:h val="0.82456140350877194"/>
        </c:manualLayout>
      </c:layout>
      <c:scatterChart>
        <c:scatterStyle val="lineMarker"/>
        <c:varyColors val="0"/>
        <c:ser>
          <c:idx val="0"/>
          <c:order val="0"/>
          <c:tx>
            <c:strRef>
              <c:f>'Forecasting Trent Ltd'!$B$21:$E$21</c:f>
              <c:strCache>
                <c:ptCount val="1"/>
                <c:pt idx="0">
                  <c:v>Forecasting - EBITDA  (TRENT LTD).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 Trent Ltd'!$C$23:$C$36</c:f>
              <c:numCache>
                <c:formatCode>yyyy\ \A</c:formatCode>
                <c:ptCount val="14"/>
                <c:pt idx="0">
                  <c:v>42825</c:v>
                </c:pt>
                <c:pt idx="1">
                  <c:v>43190</c:v>
                </c:pt>
                <c:pt idx="2">
                  <c:v>43555</c:v>
                </c:pt>
                <c:pt idx="3">
                  <c:v>43920</c:v>
                </c:pt>
                <c:pt idx="4">
                  <c:v>44285</c:v>
                </c:pt>
                <c:pt idx="5">
                  <c:v>44650</c:v>
                </c:pt>
                <c:pt idx="6">
                  <c:v>45015</c:v>
                </c:pt>
                <c:pt idx="7">
                  <c:v>45380</c:v>
                </c:pt>
                <c:pt idx="8">
                  <c:v>45745</c:v>
                </c:pt>
                <c:pt idx="9">
                  <c:v>46110</c:v>
                </c:pt>
                <c:pt idx="10" formatCode="yyyy\ \F">
                  <c:v>46475</c:v>
                </c:pt>
                <c:pt idx="11" formatCode="yyyy\ \F">
                  <c:v>46840</c:v>
                </c:pt>
                <c:pt idx="12" formatCode="yyyy\ \F">
                  <c:v>47205</c:v>
                </c:pt>
                <c:pt idx="13" formatCode="yyyy\ \F">
                  <c:v>47570</c:v>
                </c:pt>
              </c:numCache>
            </c:numRef>
          </c:xVal>
          <c:yVal>
            <c:numRef>
              <c:f>'Forecasting Trent Ltd'!$D$23:$D$36</c:f>
              <c:numCache>
                <c:formatCode>"₹"\ #,##0.0</c:formatCode>
                <c:ptCount val="14"/>
                <c:pt idx="0">
                  <c:v>133.52999999999986</c:v>
                </c:pt>
                <c:pt idx="1">
                  <c:v>208.50000000000011</c:v>
                </c:pt>
                <c:pt idx="2">
                  <c:v>240.63999999999987</c:v>
                </c:pt>
                <c:pt idx="3">
                  <c:v>528.96999999999969</c:v>
                </c:pt>
                <c:pt idx="4">
                  <c:v>113.86999999999966</c:v>
                </c:pt>
                <c:pt idx="5">
                  <c:v>594.72000000000071</c:v>
                </c:pt>
                <c:pt idx="6">
                  <c:v>1114.1500000000015</c:v>
                </c:pt>
                <c:pt idx="7">
                  <c:v>1970.6899999999996</c:v>
                </c:pt>
                <c:pt idx="8">
                  <c:v>2819.9600000000005</c:v>
                </c:pt>
                <c:pt idx="9">
                  <c:v>3673.3900000000003</c:v>
                </c:pt>
                <c:pt idx="10">
                  <c:v>3174.028666666668</c:v>
                </c:pt>
                <c:pt idx="11">
                  <c:v>3543.8807878787893</c:v>
                </c:pt>
                <c:pt idx="12">
                  <c:v>3913.7329090909107</c:v>
                </c:pt>
                <c:pt idx="13">
                  <c:v>4283.585030303032</c:v>
                </c:pt>
              </c:numCache>
            </c:numRef>
          </c:yVal>
          <c:smooth val="0"/>
          <c:extLst>
            <c:ext xmlns:c16="http://schemas.microsoft.com/office/drawing/2014/chart" uri="{C3380CC4-5D6E-409C-BE32-E72D297353CC}">
              <c16:uniqueId val="{00000000-39FD-470F-929C-79736522CA75}"/>
            </c:ext>
          </c:extLst>
        </c:ser>
        <c:dLbls>
          <c:showLegendKey val="0"/>
          <c:showVal val="0"/>
          <c:showCatName val="0"/>
          <c:showSerName val="0"/>
          <c:showPercent val="0"/>
          <c:showBubbleSize val="0"/>
        </c:dLbls>
        <c:axId val="9602080"/>
        <c:axId val="71704528"/>
      </c:scatterChart>
      <c:valAx>
        <c:axId val="9602080"/>
        <c:scaling>
          <c:orientation val="minMax"/>
        </c:scaling>
        <c:delete val="0"/>
        <c:axPos val="b"/>
        <c:numFmt formatCode="yyyy\ \A"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4528"/>
        <c:crosses val="autoZero"/>
        <c:crossBetween val="midCat"/>
      </c:valAx>
      <c:valAx>
        <c:axId val="71704528"/>
        <c:scaling>
          <c:orientation val="minMax"/>
        </c:scaling>
        <c:delete val="1"/>
        <c:axPos val="l"/>
        <c:numFmt formatCode="&quot;₹&quot;\ #,##0.0" sourceLinked="1"/>
        <c:majorTickMark val="none"/>
        <c:minorTickMark val="none"/>
        <c:tickLblPos val="nextTo"/>
        <c:crossAx val="9602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336010709504679E-2"/>
          <c:y val="0.16697057604641524"/>
          <c:w val="0.86532797858099064"/>
          <c:h val="0.82456140350877194"/>
        </c:manualLayout>
      </c:layout>
      <c:scatterChart>
        <c:scatterStyle val="lineMarker"/>
        <c:varyColors val="0"/>
        <c:ser>
          <c:idx val="0"/>
          <c:order val="0"/>
          <c:tx>
            <c:strRef>
              <c:f>'Forecasting Trent Ltd'!$B$40:$E$40</c:f>
              <c:strCache>
                <c:ptCount val="1"/>
                <c:pt idx="0">
                  <c:v>Forecasting - EPS  (TRENT LTD).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'Forecasting Trent Ltd'!$C$42:$C$55</c:f>
              <c:numCache>
                <c:formatCode>yyyy\ \A</c:formatCode>
                <c:ptCount val="14"/>
                <c:pt idx="0">
                  <c:v>42825</c:v>
                </c:pt>
                <c:pt idx="1">
                  <c:v>43190</c:v>
                </c:pt>
                <c:pt idx="2">
                  <c:v>43555</c:v>
                </c:pt>
                <c:pt idx="3">
                  <c:v>43920</c:v>
                </c:pt>
                <c:pt idx="4">
                  <c:v>44285</c:v>
                </c:pt>
                <c:pt idx="5">
                  <c:v>44650</c:v>
                </c:pt>
                <c:pt idx="6">
                  <c:v>45015</c:v>
                </c:pt>
                <c:pt idx="7">
                  <c:v>45380</c:v>
                </c:pt>
                <c:pt idx="8">
                  <c:v>45745</c:v>
                </c:pt>
                <c:pt idx="9">
                  <c:v>46110</c:v>
                </c:pt>
                <c:pt idx="10" formatCode="yyyy\ \F">
                  <c:v>46475</c:v>
                </c:pt>
                <c:pt idx="11" formatCode="yyyy\ \F">
                  <c:v>46840</c:v>
                </c:pt>
                <c:pt idx="12" formatCode="yyyy\ \F">
                  <c:v>47205</c:v>
                </c:pt>
                <c:pt idx="13" formatCode="yyyy\ \F">
                  <c:v>47570</c:v>
                </c:pt>
              </c:numCache>
            </c:numRef>
          </c:xVal>
          <c:yVal>
            <c:numRef>
              <c:f>'Forecasting Trent Ltd'!$D$42:$D$55</c:f>
              <c:numCache>
                <c:formatCode>"₹"\ #,##0.0</c:formatCode>
                <c:ptCount val="14"/>
                <c:pt idx="0">
                  <c:v>0.10953957267528916</c:v>
                </c:pt>
                <c:pt idx="1">
                  <c:v>1.7926572374360554</c:v>
                </c:pt>
                <c:pt idx="2">
                  <c:v>1.9476376767980703</c:v>
                </c:pt>
                <c:pt idx="3">
                  <c:v>-1.1434599156118237</c:v>
                </c:pt>
                <c:pt idx="4">
                  <c:v>-10.704078762306622</c:v>
                </c:pt>
                <c:pt idx="5">
                  <c:v>-3.3068917018283903</c:v>
                </c:pt>
                <c:pt idx="6">
                  <c:v>1.4917018284107284</c:v>
                </c:pt>
                <c:pt idx="7">
                  <c:v>13.742616033755265</c:v>
                </c:pt>
                <c:pt idx="8">
                  <c:v>34.580872011251778</c:v>
                </c:pt>
                <c:pt idx="9">
                  <c:v>45.81434599156119</c:v>
                </c:pt>
                <c:pt idx="10">
                  <c:v>32.270438172681324</c:v>
                </c:pt>
                <c:pt idx="11">
                  <c:v>36.604609840948079</c:v>
                </c:pt>
                <c:pt idx="12">
                  <c:v>40.938781509214841</c:v>
                </c:pt>
                <c:pt idx="13">
                  <c:v>45.272953177481597</c:v>
                </c:pt>
              </c:numCache>
            </c:numRef>
          </c:yVal>
          <c:smooth val="0"/>
          <c:extLst>
            <c:ext xmlns:c16="http://schemas.microsoft.com/office/drawing/2014/chart" uri="{C3380CC4-5D6E-409C-BE32-E72D297353CC}">
              <c16:uniqueId val="{00000001-42F4-45B6-A4B6-2C218FE49D2C}"/>
            </c:ext>
          </c:extLst>
        </c:ser>
        <c:dLbls>
          <c:showLegendKey val="0"/>
          <c:showVal val="0"/>
          <c:showCatName val="0"/>
          <c:showSerName val="0"/>
          <c:showPercent val="0"/>
          <c:showBubbleSize val="0"/>
        </c:dLbls>
        <c:axId val="9602080"/>
        <c:axId val="71704528"/>
      </c:scatterChart>
      <c:valAx>
        <c:axId val="9602080"/>
        <c:scaling>
          <c:orientation val="minMax"/>
        </c:scaling>
        <c:delete val="0"/>
        <c:axPos val="b"/>
        <c:numFmt formatCode="yyyy\ \A"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04528"/>
        <c:crosses val="autoZero"/>
        <c:crossBetween val="midCat"/>
      </c:valAx>
      <c:valAx>
        <c:axId val="71704528"/>
        <c:scaling>
          <c:orientation val="minMax"/>
        </c:scaling>
        <c:delete val="1"/>
        <c:axPos val="l"/>
        <c:numFmt formatCode="&quot;₹&quot;\ #,##0.0" sourceLinked="1"/>
        <c:majorTickMark val="none"/>
        <c:minorTickMark val="none"/>
        <c:tickLblPos val="nextTo"/>
        <c:crossAx val="96020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Returns Distribution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Daily Returns Distribution </a:t>
          </a:r>
        </a:p>
      </cx:txPr>
    </cx:title>
    <cx:plotArea>
      <cx:plotAreaRegion>
        <cx:series layoutId="clusteredColumn" uniqueId="{00000000-E287-45B1-A176-E319AFC4B814}">
          <cx:spPr>
            <a:solidFill>
              <a:schemeClr val="tx2"/>
            </a:solidFill>
          </cx:spPr>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213360</xdr:colOff>
      <xdr:row>13</xdr:row>
      <xdr:rowOff>114300</xdr:rowOff>
    </xdr:from>
    <xdr:to>
      <xdr:col>2</xdr:col>
      <xdr:colOff>99060</xdr:colOff>
      <xdr:row>23</xdr:row>
      <xdr:rowOff>0</xdr:rowOff>
    </xdr:to>
    <xdr:grpSp>
      <xdr:nvGrpSpPr>
        <xdr:cNvPr id="2" name="Group 1">
          <a:extLst>
            <a:ext uri="{FF2B5EF4-FFF2-40B4-BE49-F238E27FC236}">
              <a16:creationId xmlns:a16="http://schemas.microsoft.com/office/drawing/2014/main" id="{A043472D-F20B-4299-9072-861F4705EC22}"/>
            </a:ext>
          </a:extLst>
        </xdr:cNvPr>
        <xdr:cNvGrpSpPr/>
      </xdr:nvGrpSpPr>
      <xdr:grpSpPr>
        <a:xfrm>
          <a:off x="350520" y="3002280"/>
          <a:ext cx="2019300" cy="1714500"/>
          <a:chOff x="83820" y="2613660"/>
          <a:chExt cx="2004060" cy="1714500"/>
        </a:xfrm>
      </xdr:grpSpPr>
      <xdr:graphicFrame macro="">
        <xdr:nvGraphicFramePr>
          <xdr:cNvPr id="3" name="Chart 2">
            <a:extLst>
              <a:ext uri="{FF2B5EF4-FFF2-40B4-BE49-F238E27FC236}">
                <a16:creationId xmlns:a16="http://schemas.microsoft.com/office/drawing/2014/main" id="{3E8A0644-E581-3968-9CA2-8E38AB384730}"/>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CB2C642C-64CC-FA7F-0D7D-D7BF3530FFEA}"/>
              </a:ext>
            </a:extLst>
          </xdr:cNvPr>
          <xdr:cNvSpPr txBox="1"/>
        </xdr:nvSpPr>
        <xdr:spPr>
          <a:xfrm>
            <a:off x="320040" y="2651760"/>
            <a:ext cx="14097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Revenues (INR</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4DA42E"/>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5" name="Straight Connector 4">
            <a:extLst>
              <a:ext uri="{FF2B5EF4-FFF2-40B4-BE49-F238E27FC236}">
                <a16:creationId xmlns:a16="http://schemas.microsoft.com/office/drawing/2014/main" id="{B82DB33C-F2C1-1C55-6ED6-60E47BCD2AD4}"/>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3</xdr:col>
      <xdr:colOff>281940</xdr:colOff>
      <xdr:row>13</xdr:row>
      <xdr:rowOff>91440</xdr:rowOff>
    </xdr:from>
    <xdr:to>
      <xdr:col>6</xdr:col>
      <xdr:colOff>312420</xdr:colOff>
      <xdr:row>22</xdr:row>
      <xdr:rowOff>175260</xdr:rowOff>
    </xdr:to>
    <xdr:grpSp>
      <xdr:nvGrpSpPr>
        <xdr:cNvPr id="6" name="Group 5">
          <a:extLst>
            <a:ext uri="{FF2B5EF4-FFF2-40B4-BE49-F238E27FC236}">
              <a16:creationId xmlns:a16="http://schemas.microsoft.com/office/drawing/2014/main" id="{B729C83D-46BD-45DB-BFB3-84D82EAA501E}"/>
            </a:ext>
          </a:extLst>
        </xdr:cNvPr>
        <xdr:cNvGrpSpPr/>
      </xdr:nvGrpSpPr>
      <xdr:grpSpPr>
        <a:xfrm>
          <a:off x="3200400" y="2979420"/>
          <a:ext cx="1973580" cy="1729740"/>
          <a:chOff x="83820" y="2598420"/>
          <a:chExt cx="2004060" cy="1729740"/>
        </a:xfrm>
      </xdr:grpSpPr>
      <xdr:graphicFrame macro="">
        <xdr:nvGraphicFramePr>
          <xdr:cNvPr id="7" name="Chart 6">
            <a:extLst>
              <a:ext uri="{FF2B5EF4-FFF2-40B4-BE49-F238E27FC236}">
                <a16:creationId xmlns:a16="http://schemas.microsoft.com/office/drawing/2014/main" id="{293D3800-3308-2B12-3346-636E0C1C7E66}"/>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8" name="TextBox 7">
            <a:extLst>
              <a:ext uri="{FF2B5EF4-FFF2-40B4-BE49-F238E27FC236}">
                <a16:creationId xmlns:a16="http://schemas.microsoft.com/office/drawing/2014/main" id="{22F05BB2-40AF-7294-EC63-71ED61F08188}"/>
              </a:ext>
            </a:extLst>
          </xdr:cNvPr>
          <xdr:cNvSpPr txBox="1"/>
        </xdr:nvSpPr>
        <xdr:spPr>
          <a:xfrm>
            <a:off x="335280" y="2598420"/>
            <a:ext cx="14097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Net</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Profit</a:t>
            </a:r>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 (INR</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4DA42E"/>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9" name="Straight Connector 8">
            <a:extLst>
              <a:ext uri="{FF2B5EF4-FFF2-40B4-BE49-F238E27FC236}">
                <a16:creationId xmlns:a16="http://schemas.microsoft.com/office/drawing/2014/main" id="{B81CCD15-88C2-64DC-FD6E-F0D8A439FAA5}"/>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7</xdr:col>
      <xdr:colOff>259080</xdr:colOff>
      <xdr:row>13</xdr:row>
      <xdr:rowOff>60960</xdr:rowOff>
    </xdr:from>
    <xdr:to>
      <xdr:col>10</xdr:col>
      <xdr:colOff>342900</xdr:colOff>
      <xdr:row>22</xdr:row>
      <xdr:rowOff>152400</xdr:rowOff>
    </xdr:to>
    <xdr:grpSp>
      <xdr:nvGrpSpPr>
        <xdr:cNvPr id="10" name="Group 9">
          <a:extLst>
            <a:ext uri="{FF2B5EF4-FFF2-40B4-BE49-F238E27FC236}">
              <a16:creationId xmlns:a16="http://schemas.microsoft.com/office/drawing/2014/main" id="{2F726F04-6B6E-4540-9F7F-1C74F67EDAB9}"/>
            </a:ext>
          </a:extLst>
        </xdr:cNvPr>
        <xdr:cNvGrpSpPr/>
      </xdr:nvGrpSpPr>
      <xdr:grpSpPr>
        <a:xfrm>
          <a:off x="5806440" y="2948940"/>
          <a:ext cx="2087880" cy="1737360"/>
          <a:chOff x="83820" y="2590800"/>
          <a:chExt cx="2004060" cy="1737360"/>
        </a:xfrm>
      </xdr:grpSpPr>
      <xdr:graphicFrame macro="">
        <xdr:nvGraphicFramePr>
          <xdr:cNvPr id="11" name="Chart 10">
            <a:extLst>
              <a:ext uri="{FF2B5EF4-FFF2-40B4-BE49-F238E27FC236}">
                <a16:creationId xmlns:a16="http://schemas.microsoft.com/office/drawing/2014/main" id="{79A4CA2C-2776-0D7C-9160-CA7EB2780A65}"/>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2" name="TextBox 11">
            <a:extLst>
              <a:ext uri="{FF2B5EF4-FFF2-40B4-BE49-F238E27FC236}">
                <a16:creationId xmlns:a16="http://schemas.microsoft.com/office/drawing/2014/main" id="{65E91F47-A655-ABB6-E8F5-904C85A4E859}"/>
              </a:ext>
            </a:extLst>
          </xdr:cNvPr>
          <xdr:cNvSpPr txBox="1"/>
        </xdr:nvSpPr>
        <xdr:spPr>
          <a:xfrm>
            <a:off x="228600" y="2590800"/>
            <a:ext cx="17297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Avg Total Asset (INR</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4DA42E"/>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13" name="Straight Connector 12">
            <a:extLst>
              <a:ext uri="{FF2B5EF4-FFF2-40B4-BE49-F238E27FC236}">
                <a16:creationId xmlns:a16="http://schemas.microsoft.com/office/drawing/2014/main" id="{4CDFE79F-1BBD-38C2-B699-0F4DEC60C83A}"/>
              </a:ext>
            </a:extLst>
          </xdr:cNvPr>
          <xdr:cNvCxnSpPr/>
        </xdr:nvCxnSpPr>
        <xdr:spPr>
          <a:xfrm>
            <a:off x="319707"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1</xdr:col>
      <xdr:colOff>259080</xdr:colOff>
      <xdr:row>24</xdr:row>
      <xdr:rowOff>152400</xdr:rowOff>
    </xdr:from>
    <xdr:to>
      <xdr:col>2</xdr:col>
      <xdr:colOff>137160</xdr:colOff>
      <xdr:row>34</xdr:row>
      <xdr:rowOff>15240</xdr:rowOff>
    </xdr:to>
    <xdr:grpSp>
      <xdr:nvGrpSpPr>
        <xdr:cNvPr id="14" name="Group 13">
          <a:extLst>
            <a:ext uri="{FF2B5EF4-FFF2-40B4-BE49-F238E27FC236}">
              <a16:creationId xmlns:a16="http://schemas.microsoft.com/office/drawing/2014/main" id="{A657A5BA-9FBD-41D1-A383-7C5A4CED2223}"/>
            </a:ext>
          </a:extLst>
        </xdr:cNvPr>
        <xdr:cNvGrpSpPr/>
      </xdr:nvGrpSpPr>
      <xdr:grpSpPr>
        <a:xfrm>
          <a:off x="396240" y="5052060"/>
          <a:ext cx="2011680" cy="1691640"/>
          <a:chOff x="83820" y="2598420"/>
          <a:chExt cx="2004060" cy="1729740"/>
        </a:xfrm>
      </xdr:grpSpPr>
      <xdr:graphicFrame macro="">
        <xdr:nvGraphicFramePr>
          <xdr:cNvPr id="15" name="Chart 14">
            <a:extLst>
              <a:ext uri="{FF2B5EF4-FFF2-40B4-BE49-F238E27FC236}">
                <a16:creationId xmlns:a16="http://schemas.microsoft.com/office/drawing/2014/main" id="{2D600BD8-47BC-677F-1370-BAB06595555F}"/>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6" name="TextBox 15">
            <a:extLst>
              <a:ext uri="{FF2B5EF4-FFF2-40B4-BE49-F238E27FC236}">
                <a16:creationId xmlns:a16="http://schemas.microsoft.com/office/drawing/2014/main" id="{FD0534DF-2368-0852-C1B7-5D87E4FEB47B}"/>
              </a:ext>
            </a:extLst>
          </xdr:cNvPr>
          <xdr:cNvSpPr txBox="1"/>
        </xdr:nvSpPr>
        <xdr:spPr>
          <a:xfrm>
            <a:off x="167640" y="2598420"/>
            <a:ext cx="176022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Return</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on Equity</a:t>
            </a:r>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 (INR</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4DA42E"/>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17" name="Straight Connector 16">
            <a:extLst>
              <a:ext uri="{FF2B5EF4-FFF2-40B4-BE49-F238E27FC236}">
                <a16:creationId xmlns:a16="http://schemas.microsoft.com/office/drawing/2014/main" id="{D38834B7-611D-05EC-1730-AFCE464C36B8}"/>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3</xdr:col>
      <xdr:colOff>304800</xdr:colOff>
      <xdr:row>24</xdr:row>
      <xdr:rowOff>53340</xdr:rowOff>
    </xdr:from>
    <xdr:to>
      <xdr:col>6</xdr:col>
      <xdr:colOff>381000</xdr:colOff>
      <xdr:row>33</xdr:row>
      <xdr:rowOff>129540</xdr:rowOff>
    </xdr:to>
    <xdr:grpSp>
      <xdr:nvGrpSpPr>
        <xdr:cNvPr id="18" name="Group 17">
          <a:extLst>
            <a:ext uri="{FF2B5EF4-FFF2-40B4-BE49-F238E27FC236}">
              <a16:creationId xmlns:a16="http://schemas.microsoft.com/office/drawing/2014/main" id="{024AA61D-EFCE-45B3-B0DB-5D250C4C47BE}"/>
            </a:ext>
          </a:extLst>
        </xdr:cNvPr>
        <xdr:cNvGrpSpPr/>
      </xdr:nvGrpSpPr>
      <xdr:grpSpPr>
        <a:xfrm>
          <a:off x="3223260" y="4953000"/>
          <a:ext cx="2019300" cy="1722120"/>
          <a:chOff x="83820" y="2598420"/>
          <a:chExt cx="2004060" cy="1729740"/>
        </a:xfrm>
      </xdr:grpSpPr>
      <xdr:graphicFrame macro="">
        <xdr:nvGraphicFramePr>
          <xdr:cNvPr id="19" name="Chart 18">
            <a:extLst>
              <a:ext uri="{FF2B5EF4-FFF2-40B4-BE49-F238E27FC236}">
                <a16:creationId xmlns:a16="http://schemas.microsoft.com/office/drawing/2014/main" id="{A6CD4478-7888-A6E9-2843-BC786ABAAAED}"/>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0" name="TextBox 19">
            <a:extLst>
              <a:ext uri="{FF2B5EF4-FFF2-40B4-BE49-F238E27FC236}">
                <a16:creationId xmlns:a16="http://schemas.microsoft.com/office/drawing/2014/main" id="{641D6CCE-5B19-5609-0044-E982E13BA989}"/>
              </a:ext>
            </a:extLst>
          </xdr:cNvPr>
          <xdr:cNvSpPr txBox="1"/>
        </xdr:nvSpPr>
        <xdr:spPr>
          <a:xfrm>
            <a:off x="99060" y="2598420"/>
            <a:ext cx="184404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Financial</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Leverage</a:t>
            </a:r>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 (INR</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4DA42E"/>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21" name="Straight Connector 20">
            <a:extLst>
              <a:ext uri="{FF2B5EF4-FFF2-40B4-BE49-F238E27FC236}">
                <a16:creationId xmlns:a16="http://schemas.microsoft.com/office/drawing/2014/main" id="{85F6F3F7-0E09-23A0-66CE-A639C91E081C}"/>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twoCellAnchor>
    <xdr:from>
      <xdr:col>7</xdr:col>
      <xdr:colOff>381000</xdr:colOff>
      <xdr:row>24</xdr:row>
      <xdr:rowOff>68580</xdr:rowOff>
    </xdr:from>
    <xdr:to>
      <xdr:col>10</xdr:col>
      <xdr:colOff>381000</xdr:colOff>
      <xdr:row>33</xdr:row>
      <xdr:rowOff>121920</xdr:rowOff>
    </xdr:to>
    <xdr:grpSp>
      <xdr:nvGrpSpPr>
        <xdr:cNvPr id="22" name="Group 21">
          <a:extLst>
            <a:ext uri="{FF2B5EF4-FFF2-40B4-BE49-F238E27FC236}">
              <a16:creationId xmlns:a16="http://schemas.microsoft.com/office/drawing/2014/main" id="{2D6C2ED6-AF84-4D0C-B26B-14571C95C1DB}"/>
            </a:ext>
          </a:extLst>
        </xdr:cNvPr>
        <xdr:cNvGrpSpPr/>
      </xdr:nvGrpSpPr>
      <xdr:grpSpPr>
        <a:xfrm>
          <a:off x="5928360" y="4968240"/>
          <a:ext cx="2004060" cy="1699260"/>
          <a:chOff x="83820" y="2560320"/>
          <a:chExt cx="2004060" cy="1767840"/>
        </a:xfrm>
      </xdr:grpSpPr>
      <xdr:graphicFrame macro="">
        <xdr:nvGraphicFramePr>
          <xdr:cNvPr id="23" name="Chart 22">
            <a:extLst>
              <a:ext uri="{FF2B5EF4-FFF2-40B4-BE49-F238E27FC236}">
                <a16:creationId xmlns:a16="http://schemas.microsoft.com/office/drawing/2014/main" id="{CA4B3C2B-73ED-CACA-9E78-D11B7583F280}"/>
              </a:ext>
            </a:extLst>
          </xdr:cNvPr>
          <xdr:cNvGraphicFramePr/>
        </xdr:nvGraphicFramePr>
        <xdr:xfrm>
          <a:off x="83820" y="2727960"/>
          <a:ext cx="2004060" cy="16002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4" name="TextBox 23">
            <a:extLst>
              <a:ext uri="{FF2B5EF4-FFF2-40B4-BE49-F238E27FC236}">
                <a16:creationId xmlns:a16="http://schemas.microsoft.com/office/drawing/2014/main" id="{1FEB1C9E-3258-35F7-293E-D6E0D177E32C}"/>
              </a:ext>
            </a:extLst>
          </xdr:cNvPr>
          <xdr:cNvSpPr txBox="1"/>
        </xdr:nvSpPr>
        <xdr:spPr>
          <a:xfrm>
            <a:off x="190500" y="2560320"/>
            <a:ext cx="1684020" cy="2362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100" b="1">
                <a:solidFill>
                  <a:srgbClr val="4DA42E"/>
                </a:solidFill>
                <a:latin typeface="Calibri" panose="020F0502020204030204" pitchFamily="34" charset="0"/>
                <a:ea typeface="Calibri" panose="020F0502020204030204" pitchFamily="34" charset="0"/>
                <a:cs typeface="Calibri" panose="020F0502020204030204" pitchFamily="34" charset="0"/>
              </a:rPr>
              <a:t>Return on Asset (INR</a:t>
            </a:r>
            <a:r>
              <a:rPr lang="en-IN" sz="1100" b="1" baseline="0">
                <a:solidFill>
                  <a:srgbClr val="4DA42E"/>
                </a:solidFill>
                <a:latin typeface="Calibri" panose="020F0502020204030204" pitchFamily="34" charset="0"/>
                <a:ea typeface="Calibri" panose="020F0502020204030204" pitchFamily="34" charset="0"/>
                <a:cs typeface="Calibri" panose="020F0502020204030204" pitchFamily="34" charset="0"/>
              </a:rPr>
              <a:t> Crs.)</a:t>
            </a:r>
            <a:endParaRPr lang="en-IN" sz="1100" b="1">
              <a:solidFill>
                <a:srgbClr val="4DA42E"/>
              </a:solidFill>
              <a:latin typeface="Calibri" panose="020F0502020204030204" pitchFamily="34" charset="0"/>
              <a:ea typeface="Calibri" panose="020F0502020204030204" pitchFamily="34" charset="0"/>
              <a:cs typeface="Calibri" panose="020F0502020204030204" pitchFamily="34" charset="0"/>
            </a:endParaRPr>
          </a:p>
          <a:p>
            <a:endParaRPr lang="en-IN" sz="1100">
              <a:solidFill>
                <a:srgbClr val="028655"/>
              </a:solidFill>
            </a:endParaRPr>
          </a:p>
        </xdr:txBody>
      </xdr:sp>
      <xdr:cxnSp macro="">
        <xdr:nvCxnSpPr>
          <xdr:cNvPr id="25" name="Straight Connector 24">
            <a:extLst>
              <a:ext uri="{FF2B5EF4-FFF2-40B4-BE49-F238E27FC236}">
                <a16:creationId xmlns:a16="http://schemas.microsoft.com/office/drawing/2014/main" id="{5F9221EB-1461-AE75-E53C-DFE46883842E}"/>
              </a:ext>
            </a:extLst>
          </xdr:cNvPr>
          <xdr:cNvCxnSpPr/>
        </xdr:nvCxnSpPr>
        <xdr:spPr>
          <a:xfrm>
            <a:off x="312420" y="2613660"/>
            <a:ext cx="1386840" cy="0"/>
          </a:xfrm>
          <a:prstGeom prst="line">
            <a:avLst/>
          </a:prstGeom>
        </xdr:spPr>
        <xdr:style>
          <a:lnRef idx="2">
            <a:schemeClr val="dk1"/>
          </a:lnRef>
          <a:fillRef idx="0">
            <a:schemeClr val="dk1"/>
          </a:fillRef>
          <a:effectRef idx="1">
            <a:schemeClr val="dk1"/>
          </a:effectRef>
          <a:fontRef idx="minor">
            <a:schemeClr val="tx1"/>
          </a:fontRef>
        </xdr:style>
      </xdr:cxnSp>
    </xdr:grpSp>
    <xdr:clientData/>
  </xdr:twoCellAnchor>
  <xdr:oneCellAnchor>
    <xdr:from>
      <xdr:col>0</xdr:col>
      <xdr:colOff>91440</xdr:colOff>
      <xdr:row>37</xdr:row>
      <xdr:rowOff>7620</xdr:rowOff>
    </xdr:from>
    <xdr:ext cx="8039100" cy="3764280"/>
    <xdr:sp macro="" textlink="">
      <xdr:nvSpPr>
        <xdr:cNvPr id="26" name="TextBox 25">
          <a:extLst>
            <a:ext uri="{FF2B5EF4-FFF2-40B4-BE49-F238E27FC236}">
              <a16:creationId xmlns:a16="http://schemas.microsoft.com/office/drawing/2014/main" id="{26AE080E-5CA9-48B8-84DC-62B3CE52C4BA}"/>
            </a:ext>
          </a:extLst>
        </xdr:cNvPr>
        <xdr:cNvSpPr txBox="1"/>
      </xdr:nvSpPr>
      <xdr:spPr>
        <a:xfrm>
          <a:off x="91440" y="7200900"/>
          <a:ext cx="8039100" cy="3764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rgbClr val="028655"/>
              </a:solidFill>
              <a:latin typeface="Calibri" panose="020F0502020204030204" pitchFamily="34" charset="0"/>
              <a:ea typeface="Calibri" panose="020F0502020204030204" pitchFamily="34" charset="0"/>
              <a:cs typeface="Calibri" panose="020F0502020204030204" pitchFamily="34" charset="0"/>
            </a:rPr>
            <a:t>    </a:t>
          </a:r>
          <a:r>
            <a:rPr lang="en-IN" sz="1600" b="1">
              <a:solidFill>
                <a:srgbClr val="4DA42E"/>
              </a:solidFill>
              <a:latin typeface="Calibri" panose="020F0502020204030204" pitchFamily="34" charset="0"/>
              <a:ea typeface="Calibri" panose="020F0502020204030204" pitchFamily="34" charset="0"/>
              <a:cs typeface="Calibri" panose="020F0502020204030204" pitchFamily="34" charset="0"/>
            </a:rPr>
            <a:t>Recent Updates</a:t>
          </a:r>
          <a:endParaRPr lang="en-IN">
            <a:solidFill>
              <a:srgbClr val="4DA42E"/>
            </a:solidFill>
            <a:effectLst/>
          </a:endParaRPr>
        </a:p>
        <a:p>
          <a:pPr marL="171450" indent="-171450" rtl="0" eaLnBrk="1" fontAlgn="auto" latinLnBrk="0" hangingPunct="1">
            <a:buFont typeface="Arial" panose="020B0604020202020204" pitchFamily="34" charset="0"/>
            <a:buChar char="•"/>
          </a:pPr>
          <a:r>
            <a:rPr lang="en-IN" sz="1400">
              <a:latin typeface="Calibri" panose="020F0502020204030204" pitchFamily="34" charset="0"/>
              <a:ea typeface="Calibri" panose="020F0502020204030204" pitchFamily="34" charset="0"/>
              <a:cs typeface="Calibri" panose="020F0502020204030204" pitchFamily="34" charset="0"/>
            </a:rPr>
            <a:t>Net profit (PAT) increased about 30–33% YoY to roughly ₹413–455 crore</a:t>
          </a:r>
          <a:r>
            <a:rPr lang="en-IN" sz="14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 misses street</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a:t>
          </a:r>
          <a:r>
            <a:rPr lang="en-IN" sz="14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estimates.</a:t>
          </a:r>
          <a:endParaRPr lang="en-IN" sz="1400">
            <a:effectLst/>
            <a:latin typeface="Calibri" panose="020F0502020204030204" pitchFamily="34" charset="0"/>
            <a:ea typeface="Calibri" panose="020F0502020204030204" pitchFamily="34" charset="0"/>
            <a:cs typeface="Calibri" panose="020F0502020204030204" pitchFamily="34" charset="0"/>
          </a:endParaRPr>
        </a:p>
        <a:p>
          <a:pPr marL="171450" indent="-171450">
            <a:buFont typeface="Arial" panose="020B0604020202020204" pitchFamily="34" charset="0"/>
            <a:buChar char="•"/>
          </a:pPr>
          <a:r>
            <a:rPr lang="en-IN" sz="1400">
              <a:latin typeface="Calibri" panose="020F0502020204030204" pitchFamily="34" charset="0"/>
              <a:ea typeface="Calibri" panose="020F0502020204030204" pitchFamily="34" charset="0"/>
              <a:cs typeface="Calibri" panose="020F0502020204030204" pitchFamily="34" charset="0"/>
            </a:rPr>
            <a:t>Margin performance was one of the strongest parts of the result. Gross margin improved by ~170 bps YoY to ~44.3%, while EBITDA margin expanded to ~18.6% from ~16.2–16.3% last year, helped by better product mix, lower discounting, and operating leverage from scale.</a:t>
          </a:r>
        </a:p>
        <a:p>
          <a:pPr marL="171450" indent="-171450">
            <a:buFont typeface="Arial" panose="020B0604020202020204" pitchFamily="34" charset="0"/>
            <a:buChar char="•"/>
          </a:pPr>
          <a:r>
            <a:rPr lang="en-IN" sz="1400">
              <a:latin typeface="Calibri" panose="020F0502020204030204" pitchFamily="34" charset="0"/>
              <a:ea typeface="Calibri" panose="020F0502020204030204" pitchFamily="34" charset="0"/>
              <a:cs typeface="Calibri" panose="020F0502020204030204" pitchFamily="34" charset="0"/>
            </a:rPr>
            <a:t>Earnings Per Share (EPS) for Q4 FY26 came in around ₹11.26 versus about ₹8.95 in Q4 FY25, showing ~26% YoY growth in per-share earnings. Full-year FY26 EPS was reported around ₹48.37. </a:t>
          </a:r>
        </a:p>
        <a:p>
          <a:pPr marL="171450" indent="-171450">
            <a:buFont typeface="Arial" panose="020B0604020202020204" pitchFamily="34" charset="0"/>
            <a:buChar char="•"/>
          </a:pPr>
          <a:r>
            <a:rPr lang="en-IN" sz="1400">
              <a:latin typeface="Calibri" panose="020F0502020204030204" pitchFamily="34" charset="0"/>
              <a:ea typeface="Calibri" panose="020F0502020204030204" pitchFamily="34" charset="0"/>
              <a:cs typeface="Calibri" panose="020F0502020204030204" pitchFamily="34" charset="0"/>
            </a:rPr>
            <a:t>Store expansion remained the biggest growth driver. During Q4 alone, Trent added 109 Zudio stores and 23 Westside stores, taking its total fashion store count to more than 1,250 stores across 321 cities.</a:t>
          </a:r>
        </a:p>
        <a:p>
          <a:pPr marL="171450" indent="-171450">
            <a:buFont typeface="Arial" panose="020B0604020202020204" pitchFamily="34" charset="0"/>
            <a:buChar char="•"/>
          </a:pPr>
          <a:r>
            <a:rPr lang="en-IN" sz="14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Higher depreciation expenses (up 12% YoY) further impacted profitability. Ensuing PBT stood at Rs 624.9 crore (I-direct estimate: Rs 659.1 crore, up 3% YoY). Lower tax rate 26% vs 30% in Q4FY22 enabled the company to report a PAT of  Rs 460 crore during the quarter.</a:t>
          </a:r>
        </a:p>
        <a:p>
          <a:pPr marL="171450" indent="-171450">
            <a:buFont typeface="Arial" panose="020B0604020202020204" pitchFamily="34" charset="0"/>
            <a:buChar char="•"/>
          </a:pPr>
          <a:r>
            <a:rPr lang="en-IN" sz="1400">
              <a:latin typeface="Calibri" panose="020F0502020204030204" pitchFamily="34" charset="0"/>
              <a:ea typeface="Calibri" panose="020F0502020204030204" pitchFamily="34" charset="0"/>
              <a:cs typeface="Calibri" panose="020F0502020204030204" pitchFamily="34" charset="0"/>
            </a:rPr>
            <a:t>Depreciation expense increased YoY mainly because of aggressive store additions (especially Zudio and Westside) and continued investment in retail infrastructure and leased assets.</a:t>
          </a:r>
          <a:endParaRPr lang="en-IN" sz="1400" b="1">
            <a:solidFill>
              <a:srgbClr val="028655"/>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1</xdr:col>
      <xdr:colOff>144780</xdr:colOff>
      <xdr:row>59</xdr:row>
      <xdr:rowOff>114300</xdr:rowOff>
    </xdr:from>
    <xdr:ext cx="7848600" cy="483722"/>
    <xdr:sp macro="" textlink="">
      <xdr:nvSpPr>
        <xdr:cNvPr id="27" name="TextBox 26">
          <a:extLst>
            <a:ext uri="{FF2B5EF4-FFF2-40B4-BE49-F238E27FC236}">
              <a16:creationId xmlns:a16="http://schemas.microsoft.com/office/drawing/2014/main" id="{15B5E6AF-B820-4F82-B2F6-382E63895DBF}"/>
            </a:ext>
          </a:extLst>
        </xdr:cNvPr>
        <xdr:cNvSpPr txBox="1"/>
      </xdr:nvSpPr>
      <xdr:spPr>
        <a:xfrm>
          <a:off x="281940" y="10957560"/>
          <a:ext cx="7848600" cy="483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500" b="1">
              <a:solidFill>
                <a:srgbClr val="4DA42E"/>
              </a:solidFill>
              <a:latin typeface="Calibri" panose="020F0502020204030204" pitchFamily="34" charset="0"/>
              <a:ea typeface="Calibri" panose="020F0502020204030204" pitchFamily="34" charset="0"/>
              <a:cs typeface="Calibri" panose="020F0502020204030204" pitchFamily="34" charset="0"/>
            </a:rPr>
            <a:t>Dupont</a:t>
          </a:r>
          <a:r>
            <a:rPr lang="en-IN" sz="2500" b="1" baseline="0">
              <a:solidFill>
                <a:srgbClr val="4DA42E"/>
              </a:solidFill>
              <a:latin typeface="Calibri" panose="020F0502020204030204" pitchFamily="34" charset="0"/>
              <a:ea typeface="Calibri" panose="020F0502020204030204" pitchFamily="34" charset="0"/>
              <a:cs typeface="Calibri" panose="020F0502020204030204" pitchFamily="34" charset="0"/>
            </a:rPr>
            <a:t> Analysis - Return on Equity and Return on Assets </a:t>
          </a:r>
          <a:endParaRPr lang="en-IN" sz="2500" b="1">
            <a:solidFill>
              <a:srgbClr val="4DA42E"/>
            </a:solidFill>
            <a:latin typeface="Calibri" panose="020F0502020204030204" pitchFamily="34" charset="0"/>
            <a:ea typeface="Calibri" panose="020F0502020204030204" pitchFamily="34" charset="0"/>
            <a:cs typeface="Calibri" panose="020F0502020204030204" pitchFamily="34" charset="0"/>
          </a:endParaRPr>
        </a:p>
      </xdr:txBody>
    </xdr:sp>
    <xdr:clientData/>
  </xdr:oneCellAnchor>
  <xdr:oneCellAnchor>
    <xdr:from>
      <xdr:col>0</xdr:col>
      <xdr:colOff>129540</xdr:colOff>
      <xdr:row>104</xdr:row>
      <xdr:rowOff>144780</xdr:rowOff>
    </xdr:from>
    <xdr:ext cx="7985760" cy="2423160"/>
    <xdr:sp macro="" textlink="">
      <xdr:nvSpPr>
        <xdr:cNvPr id="28" name="TextBox 27">
          <a:extLst>
            <a:ext uri="{FF2B5EF4-FFF2-40B4-BE49-F238E27FC236}">
              <a16:creationId xmlns:a16="http://schemas.microsoft.com/office/drawing/2014/main" id="{AD39C2C2-FE27-404A-8A82-97CAA20B8283}"/>
            </a:ext>
          </a:extLst>
        </xdr:cNvPr>
        <xdr:cNvSpPr txBox="1"/>
      </xdr:nvSpPr>
      <xdr:spPr>
        <a:xfrm>
          <a:off x="129540" y="19651980"/>
          <a:ext cx="7985760" cy="2423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600" b="1">
              <a:solidFill>
                <a:srgbClr val="4DA42E"/>
              </a:solidFill>
              <a:latin typeface="Calibri" panose="020F0502020204030204" pitchFamily="34" charset="0"/>
              <a:ea typeface="Calibri" panose="020F0502020204030204" pitchFamily="34" charset="0"/>
              <a:cs typeface="Calibri" panose="020F0502020204030204" pitchFamily="34" charset="0"/>
            </a:rPr>
            <a:t>    Dupont</a:t>
          </a:r>
          <a:r>
            <a:rPr lang="en-IN" sz="1600" b="1" baseline="0">
              <a:solidFill>
                <a:srgbClr val="4DA42E"/>
              </a:solidFill>
              <a:latin typeface="Calibri" panose="020F0502020204030204" pitchFamily="34" charset="0"/>
              <a:ea typeface="Calibri" panose="020F0502020204030204" pitchFamily="34" charset="0"/>
              <a:cs typeface="Calibri" panose="020F0502020204030204" pitchFamily="34" charset="0"/>
            </a:rPr>
            <a:t> Summary </a:t>
          </a:r>
        </a:p>
        <a:p>
          <a:pPr marL="171450" indent="-171450" rtl="0" eaLnBrk="1" fontAlgn="auto" latinLnBrk="0" hangingPunct="1">
            <a:buFont typeface="Arial" panose="020B0604020202020204" pitchFamily="34" charset="0"/>
            <a:buChar char="•"/>
          </a:pPr>
          <a:r>
            <a:rPr lang="en-IN" sz="1400"/>
            <a:t>ROE fell to -6.25% during FY21 due to pandemic-led disruption in retail operations </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and </a:t>
          </a:r>
          <a:r>
            <a:rPr lang="en-IN" sz="1400"/>
            <a:t>rebounded sharply following the pandemic period</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currently at 49.24% as of 31 March 2026.</a:t>
          </a:r>
          <a:endParaRPr lang="en-IN" sz="1400">
            <a:effectLst/>
            <a:latin typeface="Calibri" panose="020F0502020204030204" pitchFamily="34" charset="0"/>
            <a:ea typeface="Calibri" panose="020F0502020204030204" pitchFamily="34" charset="0"/>
            <a:cs typeface="Calibri" panose="020F0502020204030204" pitchFamily="34" charset="0"/>
          </a:endParaRPr>
        </a:p>
        <a:p>
          <a:pPr marL="171450" indent="-171450" rtl="0" eaLnBrk="1" fontAlgn="auto" latinLnBrk="0" hangingPunct="1">
            <a:buFont typeface="Arial" panose="020B0604020202020204" pitchFamily="34" charset="0"/>
            <a:buChar char="•"/>
          </a:pP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ROE has been increased significantly in past 6 years from -6.25% to 49.24%. While the company was able to increase the net margins from -6.25% in FY2017 to 49.24% in FY26. </a:t>
          </a:r>
          <a:r>
            <a:rPr lang="en-IN" sz="1400"/>
            <a:t>Although the company reduced its reliance on leverage</a:t>
          </a:r>
          <a:r>
            <a:rPr lang="en-IN" sz="1400" baseline="0"/>
            <a:t> </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(from 2.88 to 1.68), but it is compensated by the improvement in Asset Efficieny, thus explaining </a:t>
          </a:r>
          <a:r>
            <a:rPr lang="en-IN" sz="1400"/>
            <a:t>accelerated growth</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of ROE as compared to Net Profit Margin.</a:t>
          </a:r>
          <a:endParaRPr lang="en-IN" sz="1400">
            <a:effectLst/>
            <a:latin typeface="Calibri" panose="020F0502020204030204" pitchFamily="34" charset="0"/>
            <a:ea typeface="Calibri" panose="020F0502020204030204" pitchFamily="34" charset="0"/>
            <a:cs typeface="Calibri" panose="020F0502020204030204" pitchFamily="34" charset="0"/>
          </a:endParaRPr>
        </a:p>
        <a:p>
          <a:pPr marL="171450" indent="-171450" rtl="0" eaLnBrk="1" fontAlgn="auto" latinLnBrk="0" hangingPunct="1">
            <a:buFont typeface="Arial" panose="020B0604020202020204" pitchFamily="34" charset="0"/>
            <a:buChar char="•"/>
          </a:pPr>
          <a:r>
            <a:rPr lang="en-IN" sz="1400" b="0" i="0">
              <a:solidFill>
                <a:schemeClr val="tx1"/>
              </a:solidFill>
              <a:effectLst/>
              <a:latin typeface="Calibri" panose="020F0502020204030204" pitchFamily="34" charset="0"/>
              <a:ea typeface="Calibri" panose="020F0502020204030204" pitchFamily="34" charset="0"/>
              <a:cs typeface="Calibri" panose="020F0502020204030204" pitchFamily="34" charset="0"/>
            </a:rPr>
            <a:t>ROA of Avenue Supermart has been increased from 3.55% in FY2018 to 29.32% in FY2026. While</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the NP Margin has increased modestly, </a:t>
          </a:r>
          <a:r>
            <a:rPr lang="en-IN" sz="1400"/>
            <a:t>the primary driver behind the expansion in ROA </a:t>
          </a:r>
          <a:r>
            <a:rPr lang="en-IN" sz="1400" b="0" i="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is Asset Efficiency.</a:t>
          </a:r>
          <a:endParaRPr lang="en-IN" sz="1400">
            <a:effectLst/>
            <a:latin typeface="Calibri" panose="020F0502020204030204" pitchFamily="34" charset="0"/>
            <a:ea typeface="Calibri" panose="020F0502020204030204" pitchFamily="34" charset="0"/>
            <a:cs typeface="Calibri" panose="020F0502020204030204" pitchFamily="34" charset="0"/>
          </a:endParaRPr>
        </a:p>
        <a:p>
          <a:endParaRPr lang="en-IN" sz="12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22860</xdr:colOff>
      <xdr:row>29</xdr:row>
      <xdr:rowOff>137160</xdr:rowOff>
    </xdr:from>
    <xdr:to>
      <xdr:col>14</xdr:col>
      <xdr:colOff>30480</xdr:colOff>
      <xdr:row>46</xdr:row>
      <xdr:rowOff>167640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5B2D3A3-E063-4F9C-B8F7-D945A9C075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318760" y="5501640"/>
              <a:ext cx="5486400" cy="3139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30480</xdr:colOff>
      <xdr:row>1</xdr:row>
      <xdr:rowOff>91440</xdr:rowOff>
    </xdr:from>
    <xdr:to>
      <xdr:col>12</xdr:col>
      <xdr:colOff>83820</xdr:colOff>
      <xdr:row>9</xdr:row>
      <xdr:rowOff>129540</xdr:rowOff>
    </xdr:to>
    <xdr:graphicFrame macro="">
      <xdr:nvGraphicFramePr>
        <xdr:cNvPr id="5" name="Chart 4">
          <a:extLst>
            <a:ext uri="{FF2B5EF4-FFF2-40B4-BE49-F238E27FC236}">
              <a16:creationId xmlns:a16="http://schemas.microsoft.com/office/drawing/2014/main" id="{3E842E39-F6BE-6AEB-5E11-6DE954711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45720</xdr:colOff>
      <xdr:row>20</xdr:row>
      <xdr:rowOff>53340</xdr:rowOff>
    </xdr:from>
    <xdr:to>
      <xdr:col>12</xdr:col>
      <xdr:colOff>160020</xdr:colOff>
      <xdr:row>28</xdr:row>
      <xdr:rowOff>167640</xdr:rowOff>
    </xdr:to>
    <xdr:graphicFrame macro="">
      <xdr:nvGraphicFramePr>
        <xdr:cNvPr id="6" name="Chart 5">
          <a:extLst>
            <a:ext uri="{FF2B5EF4-FFF2-40B4-BE49-F238E27FC236}">
              <a16:creationId xmlns:a16="http://schemas.microsoft.com/office/drawing/2014/main" id="{D7CD4678-0EB0-1F53-4C92-0362732C6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xdr:colOff>
      <xdr:row>41</xdr:row>
      <xdr:rowOff>68580</xdr:rowOff>
    </xdr:from>
    <xdr:to>
      <xdr:col>12</xdr:col>
      <xdr:colOff>144780</xdr:colOff>
      <xdr:row>47</xdr:row>
      <xdr:rowOff>167640</xdr:rowOff>
    </xdr:to>
    <xdr:graphicFrame macro="">
      <xdr:nvGraphicFramePr>
        <xdr:cNvPr id="7" name="Chart 6">
          <a:extLst>
            <a:ext uri="{FF2B5EF4-FFF2-40B4-BE49-F238E27FC236}">
              <a16:creationId xmlns:a16="http://schemas.microsoft.com/office/drawing/2014/main" id="{B5FC07FA-E095-4994-B21B-4C12B9411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d2d8d6231cb0a9/OFFICE/EXCEL%20FILES/Master%20FMA%20File.xlsx" TargetMode="External"/><Relationship Id="rId1" Type="http://schemas.openxmlformats.org/officeDocument/2006/relationships/externalLinkPath" Target="Master%20FMA%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ACC Calculation "/>
      <sheetName val="Data WACC"/>
      <sheetName val="Raw FS "/>
      <sheetName val="Intrinsic Growth "/>
      <sheetName val="Beta Regression"/>
      <sheetName val="Rm Calculation "/>
      <sheetName val="India Sector Data "/>
      <sheetName val="Raw Data Comaparable Analysis"/>
      <sheetName val="Cipla Comparable Analysis"/>
      <sheetName val="DCF"/>
      <sheetName val="Dupont Analysis"/>
      <sheetName val="Data Sheet Avenue Supermarts"/>
      <sheetName val="List of Stocks"/>
      <sheetName val="Historical VAR "/>
      <sheetName val="Monte Carlo Simulation "/>
      <sheetName val="Data Sheet TATA FMA"/>
      <sheetName val="Historical IFS TATA"/>
      <sheetName val="CashFlow TATA"/>
      <sheetName val="Common Size Statement TATA"/>
      <sheetName val="Ratio Analysis TATA"/>
      <sheetName val="Tata Forecasting "/>
      <sheetName val="Adani Enterprice "/>
    </sheetNames>
    <sheetDataSet>
      <sheetData sheetId="0"/>
      <sheetData sheetId="1"/>
      <sheetData sheetId="2"/>
      <sheetData sheetId="3"/>
      <sheetData sheetId="4"/>
      <sheetData sheetId="5">
        <row r="7">
          <cell r="G7">
            <v>0.16801739130434784</v>
          </cell>
        </row>
      </sheetData>
      <sheetData sheetId="6">
        <row r="22">
          <cell r="M22">
            <v>0.20753919314975397</v>
          </cell>
        </row>
      </sheetData>
      <sheetData sheetId="7"/>
      <sheetData sheetId="8"/>
      <sheetData sheetId="9"/>
      <sheetData sheetId="10"/>
      <sheetData sheetId="11"/>
      <sheetData sheetId="12">
        <row r="2">
          <cell r="A2" t="str">
            <v>COMPANY_NAME</v>
          </cell>
          <cell r="B2" t="str">
            <v>BSE</v>
          </cell>
          <cell r="C2" t="str">
            <v>NSE</v>
          </cell>
        </row>
        <row r="3">
          <cell r="A3" t="str">
            <v>20 MICRONS LTD</v>
          </cell>
          <cell r="B3">
            <v>533022</v>
          </cell>
          <cell r="C3" t="str">
            <v>20MICRONS</v>
          </cell>
        </row>
        <row r="4">
          <cell r="A4" t="str">
            <v>21ST CENTURY MANAGEMENT SERVICES LTD</v>
          </cell>
          <cell r="B4">
            <v>526921</v>
          </cell>
          <cell r="C4" t="str">
            <v>21STCENMGM</v>
          </cell>
        </row>
        <row r="5">
          <cell r="A5" t="str">
            <v>3I INFOTECH LTD</v>
          </cell>
          <cell r="B5">
            <v>532628</v>
          </cell>
          <cell r="C5" t="str">
            <v>3IINFOTECH</v>
          </cell>
        </row>
        <row r="6">
          <cell r="A6" t="str">
            <v>3M (INDIA) LTD</v>
          </cell>
          <cell r="B6">
            <v>523395</v>
          </cell>
          <cell r="C6" t="str">
            <v>3M(INDIA)</v>
          </cell>
        </row>
        <row r="7">
          <cell r="A7" t="str">
            <v>3M INDIA LTD</v>
          </cell>
          <cell r="B7">
            <v>523395</v>
          </cell>
          <cell r="C7" t="str">
            <v>3MINDIA</v>
          </cell>
        </row>
        <row r="8">
          <cell r="A8" t="str">
            <v>3P LAND HOLDINGS LTD</v>
          </cell>
          <cell r="B8">
            <v>516092</v>
          </cell>
          <cell r="C8" t="str">
            <v>3PLAND</v>
          </cell>
        </row>
        <row r="9">
          <cell r="A9" t="str">
            <v>5PAISA CAPITAL LTD</v>
          </cell>
          <cell r="B9">
            <v>540776</v>
          </cell>
          <cell r="C9" t="str">
            <v>5PAISA</v>
          </cell>
        </row>
        <row r="10">
          <cell r="A10" t="str">
            <v>63 MOONS TECHNOLOGIES LTD</v>
          </cell>
          <cell r="B10">
            <v>526881</v>
          </cell>
          <cell r="C10" t="str">
            <v>63MOONS</v>
          </cell>
        </row>
        <row r="11">
          <cell r="A11" t="str">
            <v>7NR RETAIL LTD</v>
          </cell>
          <cell r="B11">
            <v>540615</v>
          </cell>
          <cell r="C11" t="str">
            <v>Not Listed</v>
          </cell>
        </row>
        <row r="12">
          <cell r="A12" t="str">
            <v>7SEAS ENTERTAINMENT LTD</v>
          </cell>
          <cell r="B12">
            <v>540874</v>
          </cell>
          <cell r="C12" t="str">
            <v>Not Listed</v>
          </cell>
        </row>
        <row r="13">
          <cell r="A13" t="str">
            <v>8K MILES SOFTWARE SERVICES LTD</v>
          </cell>
          <cell r="B13">
            <v>512161</v>
          </cell>
          <cell r="C13" t="str">
            <v>8KMILES</v>
          </cell>
        </row>
        <row r="14">
          <cell r="A14" t="str">
            <v>A &amp; M FEBCON LTD</v>
          </cell>
          <cell r="B14">
            <v>540697</v>
          </cell>
          <cell r="C14" t="str">
            <v>Not Listed</v>
          </cell>
        </row>
        <row r="15">
          <cell r="A15" t="str">
            <v>A AND M JUMBO BAGS LTD</v>
          </cell>
          <cell r="B15" t="str">
            <v>Not Listed</v>
          </cell>
          <cell r="C15" t="str">
            <v>AMJUMBO</v>
          </cell>
        </row>
        <row r="16">
          <cell r="A16" t="str">
            <v>A INFRASTRUCTURE LTD</v>
          </cell>
          <cell r="B16">
            <v>539620</v>
          </cell>
          <cell r="C16" t="str">
            <v>Not Listed</v>
          </cell>
        </row>
        <row r="17">
          <cell r="A17" t="str">
            <v>A K  SPINTEX LTD</v>
          </cell>
          <cell r="B17">
            <v>539300</v>
          </cell>
          <cell r="C17" t="str">
            <v>Not Listed</v>
          </cell>
        </row>
        <row r="18">
          <cell r="A18" t="str">
            <v>A K CAPITAL SERVICES LTD</v>
          </cell>
          <cell r="B18">
            <v>530499</v>
          </cell>
          <cell r="C18" t="str">
            <v>Not Listed</v>
          </cell>
        </row>
        <row r="19">
          <cell r="A19" t="str">
            <v>A.F. Enterprises Ltd</v>
          </cell>
          <cell r="B19">
            <v>538351</v>
          </cell>
          <cell r="C19" t="str">
            <v>AFEL</v>
          </cell>
        </row>
        <row r="20">
          <cell r="A20" t="str">
            <v>A-1 ACID LTD</v>
          </cell>
          <cell r="B20">
            <v>542012</v>
          </cell>
          <cell r="C20" t="str">
            <v>Not Listed</v>
          </cell>
        </row>
        <row r="21">
          <cell r="A21" t="str">
            <v>A2Z INFRA ENGINEERING LTD</v>
          </cell>
          <cell r="B21">
            <v>533292</v>
          </cell>
          <cell r="C21" t="str">
            <v>A2ZINFRA</v>
          </cell>
        </row>
        <row r="22">
          <cell r="A22" t="str">
            <v>AADHAAR VENTURES (INDIA) LTD</v>
          </cell>
          <cell r="B22">
            <v>531611</v>
          </cell>
          <cell r="C22" t="str">
            <v>Not Listed</v>
          </cell>
        </row>
        <row r="23">
          <cell r="A23" t="str">
            <v>AADHAAR VENTURES INDIA LTD</v>
          </cell>
          <cell r="B23">
            <v>531611</v>
          </cell>
          <cell r="C23" t="str">
            <v>Not Listed</v>
          </cell>
        </row>
        <row r="24">
          <cell r="A24" t="str">
            <v>AAKASH EXPLORATION SERVICES LTD</v>
          </cell>
          <cell r="B24" t="str">
            <v>Not Listed</v>
          </cell>
          <cell r="C24" t="str">
            <v>AAKASH</v>
          </cell>
        </row>
        <row r="25">
          <cell r="A25" t="str">
            <v>AANANDA LAKSHMI SPINNING MILLS LTD</v>
          </cell>
          <cell r="B25">
            <v>539096</v>
          </cell>
          <cell r="C25" t="str">
            <v>Not Listed</v>
          </cell>
        </row>
        <row r="26">
          <cell r="A26" t="str">
            <v>AANCHAL ISPAT LTD</v>
          </cell>
          <cell r="B26">
            <v>538812</v>
          </cell>
          <cell r="C26" t="str">
            <v>Not Listed</v>
          </cell>
        </row>
        <row r="27">
          <cell r="A27" t="str">
            <v>AAR COMMERCIAL COMPANY LTD</v>
          </cell>
          <cell r="B27">
            <v>539632</v>
          </cell>
          <cell r="C27" t="str">
            <v>Not Listed</v>
          </cell>
        </row>
        <row r="28">
          <cell r="A28" t="str">
            <v>Aar Shyam India Investment Company Ltd</v>
          </cell>
          <cell r="B28">
            <v>542377</v>
          </cell>
          <cell r="C28" t="str">
            <v>AARSHYAM</v>
          </cell>
        </row>
        <row r="29">
          <cell r="A29" t="str">
            <v>AAREY DRUGS &amp; PHARMACEUTICALS LTD</v>
          </cell>
          <cell r="B29">
            <v>524412</v>
          </cell>
          <cell r="C29" t="str">
            <v>Not Listed</v>
          </cell>
        </row>
        <row r="30">
          <cell r="A30" t="str">
            <v>AARON INDUSTRIES LTD</v>
          </cell>
          <cell r="B30" t="str">
            <v>Not Listed</v>
          </cell>
          <cell r="C30" t="str">
            <v>AARON</v>
          </cell>
        </row>
        <row r="31">
          <cell r="A31" t="str">
            <v>Aartech Solonics Ltd</v>
          </cell>
          <cell r="B31">
            <v>542580</v>
          </cell>
          <cell r="C31" t="str">
            <v>AARTECH</v>
          </cell>
        </row>
        <row r="32">
          <cell r="A32" t="str">
            <v>AARTI DRUGS LTD</v>
          </cell>
          <cell r="B32">
            <v>524348</v>
          </cell>
          <cell r="C32" t="str">
            <v>AARTIDRUGS</v>
          </cell>
        </row>
        <row r="33">
          <cell r="A33" t="str">
            <v>AARTI INDUSTRIES LTD</v>
          </cell>
          <cell r="B33">
            <v>524208</v>
          </cell>
          <cell r="C33" t="str">
            <v>AARTIIND</v>
          </cell>
        </row>
        <row r="34">
          <cell r="A34" t="str">
            <v>AARV INFRATEL LTD</v>
          </cell>
          <cell r="B34">
            <v>526488</v>
          </cell>
          <cell r="C34" t="str">
            <v>Not Listed</v>
          </cell>
        </row>
        <row r="35">
          <cell r="A35" t="str">
            <v>AARVEE DENIMS &amp; EXPORTS LTD</v>
          </cell>
          <cell r="B35">
            <v>514274</v>
          </cell>
          <cell r="C35" t="str">
            <v>AARVEEDEN</v>
          </cell>
        </row>
        <row r="36">
          <cell r="A36" t="str">
            <v>AARVI ENCON LTD</v>
          </cell>
          <cell r="B36" t="str">
            <v>Not Listed</v>
          </cell>
          <cell r="C36" t="str">
            <v>AARVI</v>
          </cell>
        </row>
        <row r="37">
          <cell r="A37" t="str">
            <v>AASHEE INFOTECH LTD</v>
          </cell>
          <cell r="B37">
            <v>519319</v>
          </cell>
          <cell r="C37" t="str">
            <v>Not Listed</v>
          </cell>
        </row>
        <row r="38">
          <cell r="A38" t="str">
            <v>AASWA TRADING &amp; EXPORTS LTD</v>
          </cell>
          <cell r="B38">
            <v>512038</v>
          </cell>
          <cell r="C38" t="str">
            <v>Not Listed</v>
          </cell>
        </row>
        <row r="39">
          <cell r="A39" t="str">
            <v>AAVAS FINANCIERS LTD</v>
          </cell>
          <cell r="B39">
            <v>541988</v>
          </cell>
          <cell r="C39" t="str">
            <v>AAVAS</v>
          </cell>
        </row>
        <row r="40">
          <cell r="A40" t="str">
            <v>AAYUSH FOOD AND HERBS LTD</v>
          </cell>
          <cell r="B40">
            <v>539528</v>
          </cell>
          <cell r="C40" t="str">
            <v>Not Listed</v>
          </cell>
        </row>
        <row r="41">
          <cell r="A41" t="str">
            <v>ABAN OFFSHORE LTD</v>
          </cell>
          <cell r="B41">
            <v>523204</v>
          </cell>
          <cell r="C41" t="str">
            <v>ABAN</v>
          </cell>
        </row>
        <row r="42">
          <cell r="A42" t="str">
            <v>ABANS ENTERPRISES LTD</v>
          </cell>
          <cell r="B42">
            <v>512165</v>
          </cell>
          <cell r="C42" t="str">
            <v>Not Listed</v>
          </cell>
        </row>
        <row r="43">
          <cell r="A43" t="str">
            <v>ABB INDIA LTD</v>
          </cell>
          <cell r="B43">
            <v>500002</v>
          </cell>
          <cell r="C43" t="str">
            <v>ABB</v>
          </cell>
        </row>
        <row r="44">
          <cell r="A44" t="str">
            <v>ABBOTT (INDIA) LTD</v>
          </cell>
          <cell r="B44">
            <v>500488</v>
          </cell>
          <cell r="C44" t="str">
            <v>ABBOT(INDIA)</v>
          </cell>
        </row>
        <row r="45">
          <cell r="A45" t="str">
            <v>ABBOTT INDIA LTD</v>
          </cell>
          <cell r="B45">
            <v>500488</v>
          </cell>
          <cell r="C45" t="str">
            <v>ABBOTINDIA</v>
          </cell>
        </row>
        <row r="46">
          <cell r="A46" t="str">
            <v>ABC (INDIA) LTD</v>
          </cell>
          <cell r="B46">
            <v>520123</v>
          </cell>
          <cell r="C46" t="str">
            <v>Not Listed</v>
          </cell>
        </row>
        <row r="47">
          <cell r="A47" t="str">
            <v>ABC GAS INTERNATIONAL LTD</v>
          </cell>
          <cell r="B47">
            <v>513119</v>
          </cell>
          <cell r="C47" t="str">
            <v>Not Listed</v>
          </cell>
        </row>
        <row r="48">
          <cell r="A48" t="str">
            <v>ABC INDIA LTD</v>
          </cell>
          <cell r="B48">
            <v>520123</v>
          </cell>
          <cell r="C48" t="str">
            <v>Not Listed</v>
          </cell>
        </row>
        <row r="49">
          <cell r="A49" t="str">
            <v>ABG SHIPYARD LTD</v>
          </cell>
          <cell r="B49">
            <v>532682</v>
          </cell>
          <cell r="C49" t="str">
            <v>ABGSHIP</v>
          </cell>
        </row>
        <row r="50">
          <cell r="A50" t="str">
            <v>ABHIJIT TRADING COMPANY LTD</v>
          </cell>
          <cell r="B50">
            <v>539560</v>
          </cell>
          <cell r="C50" t="str">
            <v>Not Listed</v>
          </cell>
        </row>
        <row r="51">
          <cell r="A51" t="str">
            <v>ABHINAV CAPITAL SERVICES LTD</v>
          </cell>
          <cell r="B51">
            <v>532057</v>
          </cell>
          <cell r="C51" t="str">
            <v>Not Listed</v>
          </cell>
        </row>
        <row r="52">
          <cell r="A52" t="str">
            <v>ABHINAV LEASING &amp; FINANCE LTD</v>
          </cell>
          <cell r="B52">
            <v>538952</v>
          </cell>
          <cell r="C52" t="str">
            <v>Not Listed</v>
          </cell>
        </row>
        <row r="53">
          <cell r="A53" t="str">
            <v>ABHISHEK FINLEASE LTD</v>
          </cell>
          <cell r="B53">
            <v>538935</v>
          </cell>
          <cell r="C53" t="str">
            <v>Not Listed</v>
          </cell>
        </row>
        <row r="54">
          <cell r="A54" t="str">
            <v>ABHISHEK INFRAVENTURES LTD</v>
          </cell>
          <cell r="B54">
            <v>539544</v>
          </cell>
          <cell r="C54" t="str">
            <v>Not Listed</v>
          </cell>
        </row>
        <row r="55">
          <cell r="A55" t="str">
            <v>ABIRAMI FINANCIAL SERVICES (INDIA) LTD</v>
          </cell>
          <cell r="B55">
            <v>511756</v>
          </cell>
          <cell r="C55" t="str">
            <v>Not Listed</v>
          </cell>
        </row>
        <row r="56">
          <cell r="A56" t="str">
            <v>ABIRAMI FINANCIAL SERVICES INDIA LTD</v>
          </cell>
          <cell r="B56">
            <v>511756</v>
          </cell>
          <cell r="C56" t="str">
            <v>Not Listed</v>
          </cell>
        </row>
        <row r="57">
          <cell r="A57" t="str">
            <v>ABM INTERNATIONAL LTD</v>
          </cell>
          <cell r="B57" t="str">
            <v>Not Listed</v>
          </cell>
          <cell r="C57" t="str">
            <v>ABMINTLTD</v>
          </cell>
        </row>
        <row r="58">
          <cell r="A58" t="str">
            <v>ABM KNOWLEDGEWARE LTD</v>
          </cell>
          <cell r="B58">
            <v>531161</v>
          </cell>
          <cell r="C58" t="str">
            <v>Not Listed</v>
          </cell>
        </row>
        <row r="59">
          <cell r="A59" t="str">
            <v>ACC LTD</v>
          </cell>
          <cell r="B59">
            <v>500410</v>
          </cell>
          <cell r="C59" t="str">
            <v>ACC</v>
          </cell>
        </row>
        <row r="60">
          <cell r="A60" t="str">
            <v>ACCEL LTD</v>
          </cell>
          <cell r="B60">
            <v>517494</v>
          </cell>
          <cell r="C60" t="str">
            <v>Not Listed</v>
          </cell>
        </row>
        <row r="61">
          <cell r="A61" t="str">
            <v>ACCELYA KALE SOLUTIONS LTD</v>
          </cell>
          <cell r="B61">
            <v>532268</v>
          </cell>
          <cell r="C61" t="str">
            <v>ACCELYA</v>
          </cell>
        </row>
        <row r="62">
          <cell r="A62" t="str">
            <v>ACCORD SYNERGY LTD</v>
          </cell>
          <cell r="B62" t="str">
            <v>Not Listed</v>
          </cell>
          <cell r="C62" t="str">
            <v>ACCORD</v>
          </cell>
        </row>
        <row r="63">
          <cell r="A63" t="str">
            <v>ACCURACY SHIPPING LTD</v>
          </cell>
          <cell r="B63" t="str">
            <v>Not Listed</v>
          </cell>
          <cell r="C63" t="str">
            <v>ACCURACY</v>
          </cell>
        </row>
        <row r="64">
          <cell r="A64" t="str">
            <v>ACE EDUTREND LTD</v>
          </cell>
          <cell r="B64">
            <v>530093</v>
          </cell>
          <cell r="C64" t="str">
            <v>Not Listed</v>
          </cell>
        </row>
        <row r="65">
          <cell r="A65" t="str">
            <v>ACE INTEGRATED SOLUTIONS LTD</v>
          </cell>
          <cell r="B65" t="str">
            <v>Not Listed</v>
          </cell>
          <cell r="C65" t="str">
            <v>ACEINTEG</v>
          </cell>
        </row>
        <row r="66">
          <cell r="A66" t="str">
            <v>ACE MEN ENGG WORKS LTD</v>
          </cell>
          <cell r="B66">
            <v>539661</v>
          </cell>
          <cell r="C66" t="str">
            <v>Not Listed</v>
          </cell>
        </row>
        <row r="67">
          <cell r="A67" t="str">
            <v>ACE SOFTWARE EXPORTS LTD</v>
          </cell>
          <cell r="B67">
            <v>531525</v>
          </cell>
          <cell r="C67" t="str">
            <v>Not Listed</v>
          </cell>
        </row>
        <row r="68">
          <cell r="A68" t="str">
            <v>Achal Investments Ltd</v>
          </cell>
          <cell r="B68">
            <v>538570</v>
          </cell>
          <cell r="C68" t="str">
            <v>ACHAL</v>
          </cell>
        </row>
        <row r="69">
          <cell r="A69" t="str">
            <v>ACI INFOCOM LTD</v>
          </cell>
          <cell r="B69">
            <v>517356</v>
          </cell>
          <cell r="C69" t="str">
            <v>Not Listed</v>
          </cell>
        </row>
        <row r="70">
          <cell r="A70" t="str">
            <v>ACKNIT INDUSTRIES LTD</v>
          </cell>
          <cell r="B70">
            <v>530043</v>
          </cell>
          <cell r="C70" t="str">
            <v>Not Listed</v>
          </cell>
        </row>
        <row r="71">
          <cell r="A71" t="str">
            <v>ACME RESOURCES LTD</v>
          </cell>
          <cell r="B71">
            <v>539391</v>
          </cell>
          <cell r="C71" t="str">
            <v>Not Listed</v>
          </cell>
        </row>
        <row r="72">
          <cell r="A72" t="str">
            <v>ACROW INDIA LTD.</v>
          </cell>
          <cell r="B72">
            <v>513149</v>
          </cell>
          <cell r="C72" t="str">
            <v>ACROW</v>
          </cell>
        </row>
        <row r="73">
          <cell r="A73" t="str">
            <v>ACRYSIL LTD</v>
          </cell>
          <cell r="B73">
            <v>524091</v>
          </cell>
          <cell r="C73" t="str">
            <v>Not Listed</v>
          </cell>
        </row>
        <row r="74">
          <cell r="A74" t="str">
            <v>ACTION CONSTRUCTION EQUIPMENT LTD</v>
          </cell>
          <cell r="B74">
            <v>532762</v>
          </cell>
          <cell r="C74" t="str">
            <v>ACE</v>
          </cell>
        </row>
        <row r="75">
          <cell r="A75" t="str">
            <v>ACTION FINANCIAL SERVICES (INDIA) LTD</v>
          </cell>
          <cell r="B75">
            <v>511706</v>
          </cell>
          <cell r="C75" t="str">
            <v>Not Listed</v>
          </cell>
        </row>
        <row r="76">
          <cell r="A76" t="str">
            <v>ACTION FINANCIAL SERVICES INDIA LTD</v>
          </cell>
          <cell r="B76">
            <v>511706</v>
          </cell>
          <cell r="C76" t="str">
            <v>Not Listed</v>
          </cell>
        </row>
        <row r="77">
          <cell r="A77" t="str">
            <v>ACTIVE CLOTHING CO LTD</v>
          </cell>
          <cell r="B77">
            <v>541144</v>
          </cell>
          <cell r="C77" t="str">
            <v>Not Listed</v>
          </cell>
        </row>
        <row r="78">
          <cell r="A78" t="str">
            <v>ADANI ENTERPRISES LTD</v>
          </cell>
          <cell r="B78">
            <v>512599</v>
          </cell>
          <cell r="C78" t="str">
            <v>ADANIENT</v>
          </cell>
        </row>
        <row r="79">
          <cell r="A79" t="str">
            <v>ADANI GAS LTD</v>
          </cell>
          <cell r="B79">
            <v>542066</v>
          </cell>
          <cell r="C79" t="str">
            <v>ADANIGAS</v>
          </cell>
        </row>
        <row r="80">
          <cell r="A80" t="str">
            <v>ADANI GREEN ENERGY LTD</v>
          </cell>
          <cell r="B80">
            <v>541450</v>
          </cell>
          <cell r="C80" t="str">
            <v>ADANIGREEN</v>
          </cell>
        </row>
        <row r="81">
          <cell r="A81" t="str">
            <v>ADANI PORTS AND SPECIAL ECONOMIC ZONE LTD</v>
          </cell>
          <cell r="B81">
            <v>532921</v>
          </cell>
          <cell r="C81" t="str">
            <v>ADANIPORTS</v>
          </cell>
        </row>
        <row r="82">
          <cell r="A82" t="str">
            <v>ADANI POWER LTD</v>
          </cell>
          <cell r="B82">
            <v>533096</v>
          </cell>
          <cell r="C82" t="str">
            <v>ADANIPOWER</v>
          </cell>
        </row>
        <row r="83">
          <cell r="A83" t="str">
            <v>ADANI TRANSMISSION LTD</v>
          </cell>
          <cell r="B83">
            <v>539254</v>
          </cell>
          <cell r="C83" t="str">
            <v>ADANITRANS</v>
          </cell>
        </row>
        <row r="84">
          <cell r="A84" t="str">
            <v>ADARSH MERCANTILE LTD</v>
          </cell>
          <cell r="B84">
            <v>538563</v>
          </cell>
          <cell r="C84" t="str">
            <v>Not Listed</v>
          </cell>
        </row>
        <row r="85">
          <cell r="A85" t="str">
            <v>ADARSH PLANT PROTECT LTD</v>
          </cell>
          <cell r="B85">
            <v>526711</v>
          </cell>
          <cell r="C85" t="str">
            <v>Not Listed</v>
          </cell>
        </row>
        <row r="86">
          <cell r="A86" t="str">
            <v>ADC INDIA COMMUNICATIONS LTD</v>
          </cell>
          <cell r="B86">
            <v>523411</v>
          </cell>
          <cell r="C86" t="str">
            <v>Not Listed</v>
          </cell>
        </row>
        <row r="87">
          <cell r="A87" t="str">
            <v>ADCON CAPITAL SERVICES LTD</v>
          </cell>
          <cell r="B87">
            <v>539506</v>
          </cell>
          <cell r="C87" t="str">
            <v>Not Listed</v>
          </cell>
        </row>
        <row r="88">
          <cell r="A88" t="str">
            <v>ADDI INDUSTRIES LTD</v>
          </cell>
          <cell r="B88">
            <v>507852</v>
          </cell>
          <cell r="C88" t="str">
            <v>Not Listed</v>
          </cell>
        </row>
        <row r="89">
          <cell r="A89" t="str">
            <v>ADD-SHOP PROMOTIONS LTD</v>
          </cell>
          <cell r="B89">
            <v>541865</v>
          </cell>
          <cell r="C89" t="str">
            <v>Not Listed</v>
          </cell>
        </row>
        <row r="90">
          <cell r="A90" t="str">
            <v>ADF FOODS LTD</v>
          </cell>
          <cell r="B90">
            <v>519183</v>
          </cell>
          <cell r="C90" t="str">
            <v>ADFFOODS</v>
          </cell>
        </row>
        <row r="91">
          <cell r="A91" t="str">
            <v>ADHARSHILA CAPITAL SERVICES LTD</v>
          </cell>
          <cell r="B91">
            <v>539493</v>
          </cell>
          <cell r="C91" t="str">
            <v>Not Listed</v>
          </cell>
        </row>
        <row r="92">
          <cell r="A92" t="str">
            <v>ADHBHUT INFRASTRUCTURE LTD</v>
          </cell>
          <cell r="B92">
            <v>539189</v>
          </cell>
          <cell r="C92" t="str">
            <v>Not Listed</v>
          </cell>
        </row>
        <row r="93">
          <cell r="A93" t="str">
            <v>ADHIRAJ DISTRIBUTORS LTD</v>
          </cell>
          <cell r="B93">
            <v>780018</v>
          </cell>
          <cell r="C93" t="str">
            <v>Not Listed</v>
          </cell>
        </row>
        <row r="94">
          <cell r="A94" t="str">
            <v>ADHUNIK INDUSTRIES LTD</v>
          </cell>
          <cell r="B94">
            <v>538365</v>
          </cell>
          <cell r="C94" t="str">
            <v>ADHUNIKIND</v>
          </cell>
        </row>
        <row r="95">
          <cell r="A95" t="str">
            <v>ADHUNIK METALIKS LTD</v>
          </cell>
          <cell r="B95">
            <v>532727</v>
          </cell>
          <cell r="C95" t="str">
            <v>ADHUNIK</v>
          </cell>
        </row>
        <row r="96">
          <cell r="A96" t="str">
            <v>ADI RASAYAN LTD</v>
          </cell>
          <cell r="B96">
            <v>531592</v>
          </cell>
          <cell r="C96" t="str">
            <v>Not Listed</v>
          </cell>
        </row>
        <row r="97">
          <cell r="A97" t="str">
            <v>ADINATH EXIM RESOURCES LTD</v>
          </cell>
          <cell r="B97">
            <v>532056</v>
          </cell>
          <cell r="C97" t="str">
            <v>Not Listed</v>
          </cell>
        </row>
        <row r="98">
          <cell r="A98" t="str">
            <v>ADINATH TEXTILES LTD</v>
          </cell>
          <cell r="B98">
            <v>514113</v>
          </cell>
          <cell r="C98" t="str">
            <v>Not Listed</v>
          </cell>
        </row>
        <row r="99">
          <cell r="A99" t="str">
            <v>ADITRI INDUSTRIES LTD</v>
          </cell>
          <cell r="B99">
            <v>534707</v>
          </cell>
          <cell r="C99" t="str">
            <v>Not Listed</v>
          </cell>
        </row>
        <row r="100">
          <cell r="A100" t="str">
            <v>ADITYA BIRLA CAPITAL LTD</v>
          </cell>
          <cell r="B100">
            <v>540691</v>
          </cell>
          <cell r="C100" t="str">
            <v>ABCAPITAL</v>
          </cell>
        </row>
        <row r="101">
          <cell r="A101" t="str">
            <v>ADITYA BIRLA FASHION AND RETAIL LTD</v>
          </cell>
          <cell r="B101">
            <v>535755</v>
          </cell>
          <cell r="C101" t="str">
            <v>ABFRL</v>
          </cell>
        </row>
        <row r="102">
          <cell r="A102" t="str">
            <v>ADITYA BIRLA MONEY LTD</v>
          </cell>
          <cell r="B102">
            <v>532974</v>
          </cell>
          <cell r="C102" t="str">
            <v>BIRLAMONEY</v>
          </cell>
        </row>
        <row r="103">
          <cell r="A103" t="str">
            <v>ADITYA CONSUMER MARKETING LTD</v>
          </cell>
          <cell r="B103">
            <v>540146</v>
          </cell>
          <cell r="C103" t="str">
            <v>Not Listed</v>
          </cell>
        </row>
        <row r="104">
          <cell r="A104" t="str">
            <v>ADITYA ISPAT LTD</v>
          </cell>
          <cell r="B104">
            <v>513513</v>
          </cell>
          <cell r="C104" t="str">
            <v>Not Listed</v>
          </cell>
        </row>
        <row r="105">
          <cell r="A105" t="str">
            <v>ADITYA SPINNERS LTD</v>
          </cell>
          <cell r="B105">
            <v>521141</v>
          </cell>
          <cell r="C105" t="str">
            <v>Not Listed</v>
          </cell>
        </row>
        <row r="106">
          <cell r="A106" t="str">
            <v>ADITYA VISION LTD</v>
          </cell>
          <cell r="B106">
            <v>540205</v>
          </cell>
          <cell r="C106" t="str">
            <v>Not Listed</v>
          </cell>
        </row>
        <row r="107">
          <cell r="A107" t="str">
            <v>ADLABS ENTERTAINMENT LTD</v>
          </cell>
          <cell r="B107">
            <v>539056</v>
          </cell>
          <cell r="C107" t="str">
            <v>ADLABS</v>
          </cell>
        </row>
        <row r="108">
          <cell r="A108" t="str">
            <v>AD-MANUM FINANCE LTD</v>
          </cell>
          <cell r="B108">
            <v>511359</v>
          </cell>
          <cell r="C108" t="str">
            <v>Not Listed</v>
          </cell>
        </row>
        <row r="109">
          <cell r="A109" t="str">
            <v>ADOR FONTECH LTD</v>
          </cell>
          <cell r="B109">
            <v>530431</v>
          </cell>
          <cell r="C109" t="str">
            <v>Not Listed</v>
          </cell>
        </row>
        <row r="110">
          <cell r="A110" t="str">
            <v>ADOR MULTIPRODUCTS LTD</v>
          </cell>
          <cell r="B110">
            <v>523120</v>
          </cell>
          <cell r="C110" t="str">
            <v>Not Listed</v>
          </cell>
        </row>
        <row r="111">
          <cell r="A111" t="str">
            <v>ADOR WELDING LTD</v>
          </cell>
          <cell r="B111">
            <v>517041</v>
          </cell>
          <cell r="C111" t="str">
            <v>ADORWELD</v>
          </cell>
        </row>
        <row r="112">
          <cell r="A112" t="str">
            <v>ADROIT INFOTECH LTD</v>
          </cell>
          <cell r="B112">
            <v>532172</v>
          </cell>
          <cell r="C112" t="str">
            <v>ADROITINFO</v>
          </cell>
        </row>
        <row r="113">
          <cell r="A113" t="str">
            <v>ADS DIAGNOSTIC LTD</v>
          </cell>
          <cell r="B113">
            <v>523031</v>
          </cell>
          <cell r="C113" t="str">
            <v>Not Listed</v>
          </cell>
        </row>
        <row r="114">
          <cell r="A114" t="str">
            <v>ADVANCE LIFESTYLES LTD</v>
          </cell>
          <cell r="B114">
            <v>521048</v>
          </cell>
          <cell r="C114" t="str">
            <v>Not Listed</v>
          </cell>
        </row>
        <row r="115">
          <cell r="A115" t="str">
            <v>ADVANCE METERING TECHNOLOGY LTD</v>
          </cell>
          <cell r="B115">
            <v>534612</v>
          </cell>
          <cell r="C115" t="str">
            <v>Not Listed</v>
          </cell>
        </row>
        <row r="116">
          <cell r="A116" t="str">
            <v>ADVANCE PETROCHEMICALS LTD</v>
          </cell>
          <cell r="B116">
            <v>506947</v>
          </cell>
          <cell r="C116" t="str">
            <v>Not Listed</v>
          </cell>
        </row>
        <row r="117">
          <cell r="A117" t="str">
            <v>ADVANCE POWERINFRA TECH LTD</v>
          </cell>
          <cell r="B117">
            <v>531047</v>
          </cell>
          <cell r="C117" t="str">
            <v>Not Listed</v>
          </cell>
        </row>
        <row r="118">
          <cell r="A118" t="str">
            <v>ADVANCE SYNTEX LTD</v>
          </cell>
          <cell r="B118">
            <v>539982</v>
          </cell>
          <cell r="C118" t="str">
            <v>Not Listed</v>
          </cell>
        </row>
        <row r="119">
          <cell r="A119" t="str">
            <v>ADVANCED ENZYME TECHNOLOGIES LTD</v>
          </cell>
          <cell r="B119">
            <v>540025</v>
          </cell>
          <cell r="C119" t="str">
            <v>ADVENZYMES</v>
          </cell>
        </row>
        <row r="120">
          <cell r="A120" t="str">
            <v>ADVANI HOTELS &amp; RESORTS (INDIA) LTD</v>
          </cell>
          <cell r="B120">
            <v>523269</v>
          </cell>
          <cell r="C120" t="str">
            <v>ADVANIHOTR</v>
          </cell>
        </row>
        <row r="121">
          <cell r="A121" t="str">
            <v>ADVANI HOTELS &amp; RESORTS INDIA LTD</v>
          </cell>
          <cell r="B121">
            <v>523269</v>
          </cell>
          <cell r="C121" t="str">
            <v>ADVANIHOTR</v>
          </cell>
        </row>
        <row r="122">
          <cell r="A122" t="str">
            <v>ADVENT COMPUTER SERVICES LTD</v>
          </cell>
          <cell r="B122">
            <v>531429</v>
          </cell>
          <cell r="C122" t="str">
            <v>Not Listed</v>
          </cell>
        </row>
        <row r="123">
          <cell r="A123" t="str">
            <v>ADVIK CAPITAL LTD</v>
          </cell>
          <cell r="B123">
            <v>539773</v>
          </cell>
          <cell r="C123" t="str">
            <v>Not Listed</v>
          </cell>
        </row>
        <row r="124">
          <cell r="A124" t="str">
            <v>ADVIK LABORATORIES LTD</v>
          </cell>
          <cell r="B124">
            <v>531686</v>
          </cell>
          <cell r="C124" t="str">
            <v>Not Listed</v>
          </cell>
        </row>
        <row r="125">
          <cell r="A125" t="str">
            <v>ADVITIYA TRADE (INDIA) LTD</v>
          </cell>
          <cell r="B125">
            <v>541152</v>
          </cell>
          <cell r="C125" t="str">
            <v>Not Listed</v>
          </cell>
        </row>
        <row r="126">
          <cell r="A126" t="str">
            <v>ADVITIYA TRADE INDIA LTD</v>
          </cell>
          <cell r="B126">
            <v>541152</v>
          </cell>
          <cell r="C126" t="str">
            <v>Not Listed</v>
          </cell>
        </row>
        <row r="127">
          <cell r="A127" t="str">
            <v>AEGIS LOGISTICS LTD</v>
          </cell>
          <cell r="B127">
            <v>500003</v>
          </cell>
          <cell r="C127" t="str">
            <v>AEGISCHEM</v>
          </cell>
        </row>
        <row r="128">
          <cell r="A128" t="str">
            <v>AFFORDABLE ROBOTIC &amp; AUTOMATION LTD</v>
          </cell>
          <cell r="B128">
            <v>541402</v>
          </cell>
          <cell r="C128" t="str">
            <v>Not Listed</v>
          </cell>
        </row>
        <row r="129">
          <cell r="A129" t="str">
            <v>AGARWAL INDUSTRIAL CORPORATION LTD</v>
          </cell>
          <cell r="B129">
            <v>531921</v>
          </cell>
          <cell r="C129" t="str">
            <v>AGARIND</v>
          </cell>
        </row>
        <row r="130">
          <cell r="A130" t="str">
            <v>AGC NETWORKS LTD</v>
          </cell>
          <cell r="B130">
            <v>500463</v>
          </cell>
          <cell r="C130" t="str">
            <v>AGCNET</v>
          </cell>
        </row>
        <row r="131">
          <cell r="A131" t="str">
            <v>AGI INFRA LTD</v>
          </cell>
          <cell r="B131">
            <v>539042</v>
          </cell>
          <cell r="C131" t="str">
            <v>Not Listed</v>
          </cell>
        </row>
        <row r="132">
          <cell r="A132" t="str">
            <v>AGIO PAPER &amp; INDUSTRIES LTD</v>
          </cell>
          <cell r="B132">
            <v>516020</v>
          </cell>
          <cell r="C132" t="str">
            <v>Not Listed</v>
          </cell>
        </row>
        <row r="133">
          <cell r="A133" t="str">
            <v>AGRIMONY COMMODITIES LTD</v>
          </cell>
          <cell r="B133">
            <v>537492</v>
          </cell>
          <cell r="C133" t="str">
            <v>Not Listed</v>
          </cell>
        </row>
        <row r="134">
          <cell r="A134" t="str">
            <v>AGRI-TECH (INDIA) LTD</v>
          </cell>
          <cell r="B134">
            <v>537292</v>
          </cell>
          <cell r="C134" t="str">
            <v>AGRITECH</v>
          </cell>
        </row>
        <row r="135">
          <cell r="A135" t="str">
            <v>AGRI-TECH INDIA LTD</v>
          </cell>
          <cell r="B135">
            <v>537292</v>
          </cell>
          <cell r="C135" t="str">
            <v>AGRITECH</v>
          </cell>
        </row>
        <row r="136">
          <cell r="A136" t="str">
            <v>AGRO PHOS (INDIA) LTD</v>
          </cell>
          <cell r="B136" t="str">
            <v>Not Listed</v>
          </cell>
          <cell r="C136" t="str">
            <v>AGROPHOS</v>
          </cell>
        </row>
        <row r="137">
          <cell r="A137" t="str">
            <v>AGRO PHOS INDIA LTD</v>
          </cell>
          <cell r="B137" t="str">
            <v>Not Listed</v>
          </cell>
          <cell r="C137" t="str">
            <v>AGROPHOS</v>
          </cell>
        </row>
        <row r="138">
          <cell r="A138" t="str">
            <v>AGRO TECH FOODS LTD</v>
          </cell>
          <cell r="B138">
            <v>500215</v>
          </cell>
          <cell r="C138" t="str">
            <v>ATFL</v>
          </cell>
        </row>
        <row r="139">
          <cell r="A139" t="str">
            <v>AHIMSA INDUSTRIES LTD</v>
          </cell>
          <cell r="B139" t="str">
            <v>Not Listed</v>
          </cell>
          <cell r="C139" t="str">
            <v>AHIMSA</v>
          </cell>
        </row>
        <row r="140">
          <cell r="A140" t="str">
            <v>AHLADA ENGINEERS LTD</v>
          </cell>
          <cell r="B140" t="str">
            <v>Not Listed</v>
          </cell>
          <cell r="C140" t="str">
            <v>AHLADA</v>
          </cell>
        </row>
        <row r="141">
          <cell r="A141" t="str">
            <v>AHLUWALIA CONTRACTS (INDIA) LTD</v>
          </cell>
          <cell r="B141">
            <v>532811</v>
          </cell>
          <cell r="C141" t="str">
            <v>AHLUCONT</v>
          </cell>
        </row>
        <row r="142">
          <cell r="A142" t="str">
            <v>AHLUWALIA CONTRACTS INDIA LTD</v>
          </cell>
          <cell r="B142">
            <v>532811</v>
          </cell>
          <cell r="C142" t="str">
            <v>AHLUCONT</v>
          </cell>
        </row>
        <row r="143">
          <cell r="A143" t="str">
            <v>AHMEDABAD STEELCRAFT LTD</v>
          </cell>
          <cell r="B143">
            <v>522273</v>
          </cell>
          <cell r="C143" t="str">
            <v>Not Listed</v>
          </cell>
        </row>
        <row r="144">
          <cell r="A144" t="str">
            <v>AI CHAMPDANY INDUSTRIES LTD</v>
          </cell>
          <cell r="B144">
            <v>532806</v>
          </cell>
          <cell r="C144" t="str">
            <v>Not Listed</v>
          </cell>
        </row>
        <row r="145">
          <cell r="A145" t="str">
            <v>AIA ENGINEERING LTD</v>
          </cell>
          <cell r="B145">
            <v>532683</v>
          </cell>
          <cell r="C145" t="str">
            <v>AIAENG</v>
          </cell>
        </row>
        <row r="146">
          <cell r="A146" t="str">
            <v>AIMCO PESTICIDES LTD</v>
          </cell>
          <cell r="B146">
            <v>524288</v>
          </cell>
          <cell r="C146" t="str">
            <v>Not Listed</v>
          </cell>
        </row>
        <row r="147">
          <cell r="A147" t="str">
            <v>AIRAN LTD</v>
          </cell>
          <cell r="B147" t="str">
            <v>Not Listed</v>
          </cell>
          <cell r="C147" t="str">
            <v>AIRAN</v>
          </cell>
        </row>
        <row r="148">
          <cell r="A148" t="str">
            <v>AIRO LAM LTD</v>
          </cell>
          <cell r="B148" t="str">
            <v>Not Listed</v>
          </cell>
          <cell r="C148" t="str">
            <v>AIROLAM</v>
          </cell>
        </row>
        <row r="149">
          <cell r="A149" t="str">
            <v>AISHWARYA TELECOM LTD</v>
          </cell>
          <cell r="B149">
            <v>532975</v>
          </cell>
          <cell r="C149" t="str">
            <v>Not Listed</v>
          </cell>
        </row>
        <row r="150">
          <cell r="A150" t="str">
            <v>AJANTA PHARMA LTD</v>
          </cell>
          <cell r="B150">
            <v>532331</v>
          </cell>
          <cell r="C150" t="str">
            <v>AJANTPHARM</v>
          </cell>
        </row>
        <row r="151">
          <cell r="A151" t="str">
            <v>AJANTA SOYA LTD</v>
          </cell>
          <cell r="B151">
            <v>519216</v>
          </cell>
          <cell r="C151" t="str">
            <v>Not Listed</v>
          </cell>
        </row>
        <row r="152">
          <cell r="A152" t="str">
            <v>AJCON GLOBAL SERVICES LTD</v>
          </cell>
          <cell r="B152">
            <v>511692</v>
          </cell>
          <cell r="C152" t="str">
            <v>Not Listed</v>
          </cell>
        </row>
        <row r="153">
          <cell r="A153" t="str">
            <v>AJEL LTD</v>
          </cell>
          <cell r="B153">
            <v>530713</v>
          </cell>
          <cell r="C153" t="str">
            <v>Not Listed</v>
          </cell>
        </row>
        <row r="154">
          <cell r="A154" t="str">
            <v>AJMERA REALTY &amp; INFRA (INDIA) LTD</v>
          </cell>
          <cell r="B154">
            <v>513349</v>
          </cell>
          <cell r="C154" t="str">
            <v>AJMERA</v>
          </cell>
        </row>
        <row r="155">
          <cell r="A155" t="str">
            <v>AJMERA REALTY &amp; INFRA INDIA LTD</v>
          </cell>
          <cell r="B155">
            <v>513349</v>
          </cell>
          <cell r="C155" t="str">
            <v>AJMERA</v>
          </cell>
        </row>
        <row r="156">
          <cell r="A156" t="str">
            <v>AJOONI BIOTECH LTD</v>
          </cell>
          <cell r="B156" t="str">
            <v>Not Listed</v>
          </cell>
          <cell r="C156" t="str">
            <v>AJOONI</v>
          </cell>
        </row>
        <row r="157">
          <cell r="A157" t="str">
            <v>AJWA FUN WORLD &amp; RESORT LTD</v>
          </cell>
          <cell r="B157">
            <v>526628</v>
          </cell>
          <cell r="C157" t="str">
            <v>Not Listed</v>
          </cell>
        </row>
        <row r="158">
          <cell r="A158" t="str">
            <v>AKAR AUTO INDUSTRIES LTD</v>
          </cell>
          <cell r="B158">
            <v>530621</v>
          </cell>
          <cell r="C158" t="str">
            <v>Not Listed</v>
          </cell>
        </row>
        <row r="159">
          <cell r="A159" t="str">
            <v>AKASH INFRA PROJECTS LTD</v>
          </cell>
          <cell r="B159" t="str">
            <v>Not Listed</v>
          </cell>
          <cell r="C159" t="str">
            <v>AKASH</v>
          </cell>
        </row>
        <row r="160">
          <cell r="A160" t="str">
            <v>AKASHDEEP METAL INDUSTRIES LTD</v>
          </cell>
          <cell r="B160">
            <v>538778</v>
          </cell>
          <cell r="C160" t="str">
            <v>Not Listed</v>
          </cell>
        </row>
        <row r="161">
          <cell r="A161" t="str">
            <v>AKG EXIM LTD</v>
          </cell>
          <cell r="B161" t="str">
            <v>Not Listed</v>
          </cell>
          <cell r="C161" t="str">
            <v>AKG</v>
          </cell>
        </row>
        <row r="162">
          <cell r="A162" t="str">
            <v>AKI (INDIA) LTD</v>
          </cell>
          <cell r="B162">
            <v>542020</v>
          </cell>
          <cell r="C162" t="str">
            <v>Not Listed</v>
          </cell>
        </row>
        <row r="163">
          <cell r="A163" t="str">
            <v>AKI INDIA LTD</v>
          </cell>
          <cell r="B163">
            <v>542020</v>
          </cell>
          <cell r="C163" t="str">
            <v>Not Listed</v>
          </cell>
        </row>
        <row r="164">
          <cell r="A164" t="str">
            <v>AKM LACE AND EMBROTEX LTD</v>
          </cell>
          <cell r="B164">
            <v>540718</v>
          </cell>
          <cell r="C164" t="str">
            <v>Not Listed</v>
          </cell>
        </row>
        <row r="165">
          <cell r="A165" t="str">
            <v>AKME STAR HOUSING FINANCE LTD</v>
          </cell>
          <cell r="B165">
            <v>539017</v>
          </cell>
          <cell r="C165" t="str">
            <v>Not Listed</v>
          </cell>
        </row>
        <row r="166">
          <cell r="A166" t="str">
            <v>AKSH OPTIFIBRE LTD</v>
          </cell>
          <cell r="B166">
            <v>532351</v>
          </cell>
          <cell r="C166" t="str">
            <v>AKSHOPTFBR</v>
          </cell>
        </row>
        <row r="167">
          <cell r="A167" t="str">
            <v>AKSHAR SPINTEX LTD</v>
          </cell>
          <cell r="B167">
            <v>541303</v>
          </cell>
          <cell r="C167" t="str">
            <v>Not Listed</v>
          </cell>
        </row>
        <row r="168">
          <cell r="A168" t="str">
            <v>AKSHARCHEM (INDIA) LTD</v>
          </cell>
          <cell r="B168">
            <v>524598</v>
          </cell>
          <cell r="C168" t="str">
            <v>AKSHARCHEM</v>
          </cell>
        </row>
        <row r="169">
          <cell r="A169" t="str">
            <v>AKSHARCHEM INDIA LTD</v>
          </cell>
          <cell r="B169">
            <v>524598</v>
          </cell>
          <cell r="C169" t="str">
            <v>AKSHARCHEM</v>
          </cell>
        </row>
        <row r="170">
          <cell r="A170" t="str">
            <v>AKZO NOBEL (INDIA) LTD</v>
          </cell>
          <cell r="B170">
            <v>500710</v>
          </cell>
          <cell r="C170" t="str">
            <v>AKZO(INDIA)</v>
          </cell>
        </row>
        <row r="171">
          <cell r="A171" t="str">
            <v>AKZO NOBEL INDIA LTD</v>
          </cell>
          <cell r="B171">
            <v>500710</v>
          </cell>
          <cell r="C171" t="str">
            <v>AKZOINDIA</v>
          </cell>
        </row>
        <row r="172">
          <cell r="A172" t="str">
            <v>ALACRITY SECURITIES LTD</v>
          </cell>
          <cell r="B172">
            <v>535916</v>
          </cell>
          <cell r="C172" t="str">
            <v>Not Listed</v>
          </cell>
        </row>
        <row r="173">
          <cell r="A173" t="str">
            <v>ALAN SCOTT INDUSTRIES LTD</v>
          </cell>
          <cell r="B173">
            <v>539115</v>
          </cell>
          <cell r="C173" t="str">
            <v>Not Listed</v>
          </cell>
        </row>
        <row r="174">
          <cell r="A174" t="str">
            <v>ALANKIT LTD</v>
          </cell>
          <cell r="B174">
            <v>531082</v>
          </cell>
          <cell r="C174" t="str">
            <v>ALANKIT</v>
          </cell>
        </row>
        <row r="175">
          <cell r="A175" t="str">
            <v>ALBERT DAVID LTD</v>
          </cell>
          <cell r="B175">
            <v>524075</v>
          </cell>
          <cell r="C175" t="str">
            <v>ALBERTDAVD</v>
          </cell>
        </row>
        <row r="176">
          <cell r="A176" t="str">
            <v>ALCHEMIST CORPORATION LTD</v>
          </cell>
          <cell r="B176">
            <v>531409</v>
          </cell>
          <cell r="C176" t="str">
            <v>Not Listed</v>
          </cell>
        </row>
        <row r="177">
          <cell r="A177" t="str">
            <v>ALCHEMIST LTD</v>
          </cell>
          <cell r="B177">
            <v>526707</v>
          </cell>
          <cell r="C177" t="str">
            <v>ALCHEM</v>
          </cell>
        </row>
        <row r="178">
          <cell r="A178" t="str">
            <v>ALCHEMIST REALTY LTD</v>
          </cell>
          <cell r="B178">
            <v>532114</v>
          </cell>
          <cell r="C178" t="str">
            <v>Not Listed</v>
          </cell>
        </row>
        <row r="179">
          <cell r="A179" t="str">
            <v>ALEMBIC LTD</v>
          </cell>
          <cell r="B179">
            <v>506235</v>
          </cell>
          <cell r="C179" t="str">
            <v>ALEMBICLTD</v>
          </cell>
        </row>
        <row r="180">
          <cell r="A180" t="str">
            <v>ALEMBIC PHARMACEUTICALS LTD</v>
          </cell>
          <cell r="B180">
            <v>533573</v>
          </cell>
          <cell r="C180" t="str">
            <v>APLLTD</v>
          </cell>
        </row>
        <row r="181">
          <cell r="A181" t="str">
            <v>ALEXANDER STAMPS AND COIN LTD</v>
          </cell>
          <cell r="B181">
            <v>511463</v>
          </cell>
          <cell r="C181" t="str">
            <v>Not Listed</v>
          </cell>
        </row>
        <row r="182">
          <cell r="A182" t="str">
            <v>ALFA ICA (INDIA) LTD</v>
          </cell>
          <cell r="B182">
            <v>530973</v>
          </cell>
          <cell r="C182" t="str">
            <v>Not Listed</v>
          </cell>
        </row>
        <row r="183">
          <cell r="A183" t="str">
            <v>ALFA ICA INDIA LTD</v>
          </cell>
          <cell r="B183">
            <v>530973</v>
          </cell>
          <cell r="C183" t="str">
            <v>Not Listed</v>
          </cell>
        </row>
        <row r="184">
          <cell r="A184" t="str">
            <v>ALFA TRANSFORMERS LTD</v>
          </cell>
          <cell r="B184">
            <v>517546</v>
          </cell>
          <cell r="C184" t="str">
            <v>Not Listed</v>
          </cell>
        </row>
        <row r="185">
          <cell r="A185" t="str">
            <v>ALFAVISION OVERSEAS (INDIA) LTD</v>
          </cell>
          <cell r="B185">
            <v>531156</v>
          </cell>
          <cell r="C185" t="str">
            <v>Not Listed</v>
          </cell>
        </row>
        <row r="186">
          <cell r="A186" t="str">
            <v>ALFAVISION OVERSEAS INDIA LTD</v>
          </cell>
          <cell r="B186">
            <v>531156</v>
          </cell>
          <cell r="C186" t="str">
            <v>Not Listed</v>
          </cell>
        </row>
        <row r="187">
          <cell r="A187" t="str">
            <v>ALFRED HERBERT (INDIA) LTD</v>
          </cell>
          <cell r="B187">
            <v>505216</v>
          </cell>
          <cell r="C187" t="str">
            <v>Not Listed</v>
          </cell>
        </row>
        <row r="188">
          <cell r="A188" t="str">
            <v>ALFRED HERBERT INDIA LTD</v>
          </cell>
          <cell r="B188">
            <v>505216</v>
          </cell>
          <cell r="C188" t="str">
            <v>Not Listed</v>
          </cell>
        </row>
        <row r="189">
          <cell r="A189" t="str">
            <v>ALICON CASTALLOY LTD</v>
          </cell>
          <cell r="B189">
            <v>531147</v>
          </cell>
          <cell r="C189" t="str">
            <v>ALICON</v>
          </cell>
        </row>
        <row r="190">
          <cell r="A190" t="str">
            <v>ALKA (INDIA) LTD</v>
          </cell>
          <cell r="B190">
            <v>530889</v>
          </cell>
          <cell r="C190" t="str">
            <v>Not Listed</v>
          </cell>
        </row>
        <row r="191">
          <cell r="A191" t="str">
            <v>ALKA DIAMOND INDUSTRIES LTD</v>
          </cell>
          <cell r="B191">
            <v>531581</v>
          </cell>
          <cell r="C191" t="str">
            <v>Not Listed</v>
          </cell>
        </row>
        <row r="192">
          <cell r="A192" t="str">
            <v>ALKA INDIA LTD</v>
          </cell>
          <cell r="B192">
            <v>530889</v>
          </cell>
          <cell r="C192" t="str">
            <v>Not Listed</v>
          </cell>
        </row>
        <row r="193">
          <cell r="A193" t="str">
            <v>ALKA SECURITIES LTD</v>
          </cell>
          <cell r="B193">
            <v>532166</v>
          </cell>
          <cell r="C193" t="str">
            <v>Not Listed</v>
          </cell>
        </row>
        <row r="194">
          <cell r="A194" t="str">
            <v>ALKALI METALS LTD</v>
          </cell>
          <cell r="B194">
            <v>533029</v>
          </cell>
          <cell r="C194" t="str">
            <v>ALKALI</v>
          </cell>
        </row>
        <row r="195">
          <cell r="A195" t="str">
            <v>ALKEM LABORATORIES LTD</v>
          </cell>
          <cell r="B195">
            <v>539523</v>
          </cell>
          <cell r="C195" t="str">
            <v>ALKEM</v>
          </cell>
        </row>
        <row r="196">
          <cell r="A196" t="str">
            <v>ALKYL AMINES CHEMICALS LTD</v>
          </cell>
          <cell r="B196">
            <v>506767</v>
          </cell>
          <cell r="C196" t="str">
            <v>ALKYLAMINE</v>
          </cell>
        </row>
        <row r="197">
          <cell r="A197" t="str">
            <v>ALLAHABAD BANK</v>
          </cell>
          <cell r="B197">
            <v>532480</v>
          </cell>
          <cell r="C197" t="str">
            <v>ALBK</v>
          </cell>
        </row>
        <row r="198">
          <cell r="A198" t="str">
            <v>ALLCARGO LOGISTICS LTD</v>
          </cell>
          <cell r="B198">
            <v>532749</v>
          </cell>
          <cell r="C198" t="str">
            <v>ALLCARGO</v>
          </cell>
        </row>
        <row r="199">
          <cell r="A199" t="str">
            <v>ALLIANCE INTEGRATED METALIKS LTD</v>
          </cell>
          <cell r="B199">
            <v>534064</v>
          </cell>
          <cell r="C199" t="str">
            <v>Not Listed</v>
          </cell>
        </row>
        <row r="200">
          <cell r="A200" t="str">
            <v>ALLIED COMPUTERS INTERNATIONAL ASIA LTD</v>
          </cell>
          <cell r="B200">
            <v>532919</v>
          </cell>
          <cell r="C200" t="str">
            <v>Not Listed</v>
          </cell>
        </row>
        <row r="201">
          <cell r="A201" t="str">
            <v>ALLIED DIGITAL SERVICES LTD</v>
          </cell>
          <cell r="B201">
            <v>532875</v>
          </cell>
          <cell r="C201" t="str">
            <v>ADSL</v>
          </cell>
        </row>
        <row r="202">
          <cell r="A202" t="str">
            <v>ALLSEC TECHNOLOGIES LTD</v>
          </cell>
          <cell r="B202">
            <v>532633</v>
          </cell>
          <cell r="C202" t="str">
            <v>ALLSEC</v>
          </cell>
        </row>
        <row r="203">
          <cell r="A203" t="str">
            <v>ALMONDZ GLOBAL SECURITIES LTD</v>
          </cell>
          <cell r="B203">
            <v>531400</v>
          </cell>
          <cell r="C203" t="str">
            <v>ALMONDZ</v>
          </cell>
        </row>
        <row r="204">
          <cell r="A204" t="str">
            <v>ALNA TRADING &amp; EXPORTS LTD</v>
          </cell>
          <cell r="B204">
            <v>506120</v>
          </cell>
          <cell r="C204" t="str">
            <v>Not Listed</v>
          </cell>
        </row>
        <row r="205">
          <cell r="A205" t="str">
            <v>ALOK INDUSTRIES LTD</v>
          </cell>
          <cell r="B205">
            <v>521070</v>
          </cell>
          <cell r="C205" t="str">
            <v>ALOKTEXT</v>
          </cell>
        </row>
        <row r="206">
          <cell r="A206" t="str">
            <v>ALPA LABORATORIES LTD</v>
          </cell>
          <cell r="B206">
            <v>532878</v>
          </cell>
          <cell r="C206" t="str">
            <v>ALPA</v>
          </cell>
        </row>
        <row r="207">
          <cell r="A207" t="str">
            <v>ALPHAGEO (INDIA) LTD</v>
          </cell>
          <cell r="B207">
            <v>526397</v>
          </cell>
          <cell r="C207" t="str">
            <v>ALPHAGEO</v>
          </cell>
        </row>
        <row r="208">
          <cell r="A208" t="str">
            <v>ALPHAGEO INDIA LTD</v>
          </cell>
          <cell r="B208">
            <v>526397</v>
          </cell>
          <cell r="C208" t="str">
            <v>ALPHAGEO</v>
          </cell>
        </row>
        <row r="209">
          <cell r="A209" t="str">
            <v>ALPINE HOUSING DEVELOPMENT CORPORATION LTD</v>
          </cell>
          <cell r="B209">
            <v>526519</v>
          </cell>
          <cell r="C209" t="str">
            <v>Not Listed</v>
          </cell>
        </row>
        <row r="210">
          <cell r="A210" t="str">
            <v>ALPS INDUSTRIES LTD</v>
          </cell>
          <cell r="B210">
            <v>530715</v>
          </cell>
          <cell r="C210" t="str">
            <v>ALPSINDUS</v>
          </cell>
        </row>
        <row r="211">
          <cell r="A211" t="str">
            <v>Alps Motor Finance Ltd</v>
          </cell>
          <cell r="B211">
            <v>538423</v>
          </cell>
          <cell r="C211" t="str">
            <v>ALPSMOTOR</v>
          </cell>
        </row>
        <row r="212">
          <cell r="A212" t="str">
            <v>ALSTONE TEXTILES (INDIA) LTD</v>
          </cell>
          <cell r="B212">
            <v>539277</v>
          </cell>
          <cell r="C212" t="str">
            <v>Not Listed</v>
          </cell>
        </row>
        <row r="213">
          <cell r="A213" t="str">
            <v>ALSTONE TEXTILES INDIA LTD</v>
          </cell>
          <cell r="B213">
            <v>539277</v>
          </cell>
          <cell r="C213" t="str">
            <v>Not Listed</v>
          </cell>
        </row>
        <row r="214">
          <cell r="A214" t="str">
            <v>ALUFLUORIDE LTD</v>
          </cell>
          <cell r="B214">
            <v>524634</v>
          </cell>
          <cell r="C214" t="str">
            <v>Not Listed</v>
          </cell>
        </row>
        <row r="215">
          <cell r="A215" t="str">
            <v>AMAL LTD</v>
          </cell>
          <cell r="B215">
            <v>506597</v>
          </cell>
          <cell r="C215" t="str">
            <v>Not Listed</v>
          </cell>
        </row>
        <row r="216">
          <cell r="A216" t="str">
            <v>AMANI TRADING &amp; EXPORTS LTD</v>
          </cell>
          <cell r="B216">
            <v>512008</v>
          </cell>
          <cell r="C216" t="str">
            <v>Not Listed</v>
          </cell>
        </row>
        <row r="217">
          <cell r="A217" t="str">
            <v>AMARA RAJA BATTERIES LTD</v>
          </cell>
          <cell r="B217">
            <v>500008</v>
          </cell>
          <cell r="C217" t="str">
            <v>AMARAJABAT</v>
          </cell>
        </row>
        <row r="218">
          <cell r="A218" t="str">
            <v>AMARJOTHI SPINNING MILLS LTD</v>
          </cell>
          <cell r="B218">
            <v>521097</v>
          </cell>
          <cell r="C218" t="str">
            <v>Not Listed</v>
          </cell>
        </row>
        <row r="219">
          <cell r="A219" t="str">
            <v>AMARNATH SECURITIES LTD</v>
          </cell>
          <cell r="B219">
            <v>538465</v>
          </cell>
          <cell r="C219" t="str">
            <v>Not Listed</v>
          </cell>
        </row>
        <row r="220">
          <cell r="A220" t="str">
            <v>AMAZE ENTERTECH LTD</v>
          </cell>
          <cell r="B220">
            <v>531112</v>
          </cell>
          <cell r="C220" t="str">
            <v>Not Listed</v>
          </cell>
        </row>
        <row r="221">
          <cell r="A221" t="str">
            <v>AMBA ENTERPRISES LTD</v>
          </cell>
          <cell r="B221">
            <v>539196</v>
          </cell>
          <cell r="C221" t="str">
            <v>Not Listed</v>
          </cell>
        </row>
        <row r="222">
          <cell r="A222" t="str">
            <v>AMBALAL SARABHAI ENTERPRISES LTD</v>
          </cell>
          <cell r="B222">
            <v>500009</v>
          </cell>
          <cell r="C222" t="str">
            <v>Not Listed</v>
          </cell>
        </row>
        <row r="223">
          <cell r="A223" t="str">
            <v>AMBANI ORGANICS LTD</v>
          </cell>
          <cell r="B223" t="str">
            <v>Not Listed</v>
          </cell>
          <cell r="C223" t="str">
            <v>AMBANIORG</v>
          </cell>
        </row>
        <row r="224">
          <cell r="A224" t="str">
            <v>AMBAR PROTEIN INDUSTRIES LTD</v>
          </cell>
          <cell r="B224">
            <v>519471</v>
          </cell>
          <cell r="C224" t="str">
            <v>Not Listed</v>
          </cell>
        </row>
        <row r="225">
          <cell r="A225" t="str">
            <v>Ambassador Intra Holdings Ltd</v>
          </cell>
          <cell r="B225">
            <v>542524</v>
          </cell>
          <cell r="C225" t="str">
            <v>AIHL</v>
          </cell>
        </row>
        <row r="226">
          <cell r="A226" t="str">
            <v>AMBER ENTERPRISES (INDIA) LTD</v>
          </cell>
          <cell r="B226">
            <v>540902</v>
          </cell>
          <cell r="C226" t="str">
            <v>AMBER</v>
          </cell>
        </row>
        <row r="227">
          <cell r="A227" t="str">
            <v>AMBER ENTERPRISES INDIA LTD</v>
          </cell>
          <cell r="B227">
            <v>540902</v>
          </cell>
          <cell r="C227" t="str">
            <v>AMBER</v>
          </cell>
        </row>
        <row r="228">
          <cell r="A228" t="str">
            <v>AMBIKA COTTON MILLS LTD</v>
          </cell>
          <cell r="B228">
            <v>531978</v>
          </cell>
          <cell r="C228" t="str">
            <v>AMBIKCO</v>
          </cell>
        </row>
        <row r="229">
          <cell r="A229" t="str">
            <v>AMBITION MICA LTD</v>
          </cell>
          <cell r="B229">
            <v>539223</v>
          </cell>
          <cell r="C229" t="str">
            <v>Not Listed</v>
          </cell>
        </row>
        <row r="230">
          <cell r="A230" t="str">
            <v>AMBUJA CEMENTS LTD</v>
          </cell>
          <cell r="B230">
            <v>500425</v>
          </cell>
          <cell r="C230" t="str">
            <v>AMBUJACEM</v>
          </cell>
        </row>
        <row r="231">
          <cell r="A231" t="str">
            <v>AMCO (INDIA) LTD</v>
          </cell>
          <cell r="B231">
            <v>530133</v>
          </cell>
          <cell r="C231" t="str">
            <v>Not Listed</v>
          </cell>
        </row>
        <row r="232">
          <cell r="A232" t="str">
            <v>AMCO INDIA LTD</v>
          </cell>
          <cell r="B232">
            <v>530133</v>
          </cell>
          <cell r="C232" t="str">
            <v>Not Listed</v>
          </cell>
        </row>
        <row r="233">
          <cell r="A233" t="str">
            <v>AMD INDUSTRIES LTD</v>
          </cell>
          <cell r="B233">
            <v>532828</v>
          </cell>
          <cell r="C233" t="str">
            <v>AMDIND</v>
          </cell>
        </row>
        <row r="234">
          <cell r="A234" t="str">
            <v>AMFORGE INDUSTRIES LTD</v>
          </cell>
          <cell r="B234">
            <v>513117</v>
          </cell>
          <cell r="C234" t="str">
            <v>Not Listed</v>
          </cell>
        </row>
        <row r="235">
          <cell r="A235" t="str">
            <v>AMIN TANNERY LTD</v>
          </cell>
          <cell r="B235">
            <v>541771</v>
          </cell>
          <cell r="C235" t="str">
            <v>Not Listed</v>
          </cell>
        </row>
        <row r="236">
          <cell r="A236" t="str">
            <v>AMINES &amp; PLASTICIZERS LTD</v>
          </cell>
          <cell r="B236">
            <v>506248</v>
          </cell>
          <cell r="C236" t="str">
            <v>Not Listed</v>
          </cell>
        </row>
        <row r="237">
          <cell r="A237" t="str">
            <v>AMIT INTERNATIONAL LTD</v>
          </cell>
          <cell r="B237">
            <v>531300</v>
          </cell>
          <cell r="C237" t="str">
            <v>Not Listed</v>
          </cell>
        </row>
        <row r="238">
          <cell r="A238" t="str">
            <v>AMIT SECURITIES LTD</v>
          </cell>
          <cell r="B238">
            <v>531557</v>
          </cell>
          <cell r="C238" t="str">
            <v>Not Listed</v>
          </cell>
        </row>
        <row r="239">
          <cell r="A239" t="str">
            <v>AMJ LAND HOLDINGS LTD</v>
          </cell>
          <cell r="B239">
            <v>500343</v>
          </cell>
          <cell r="C239" t="str">
            <v>AMJLAND</v>
          </cell>
        </row>
        <row r="240">
          <cell r="A240" t="str">
            <v>AMRADEEP INDUSTRIES LTD</v>
          </cell>
          <cell r="B240">
            <v>531681</v>
          </cell>
          <cell r="C240" t="str">
            <v>Not Listed</v>
          </cell>
        </row>
        <row r="241">
          <cell r="A241" t="str">
            <v>AMRAPALI CAPITAL AND FINANCE SERVICES LTD</v>
          </cell>
          <cell r="B241">
            <v>536737</v>
          </cell>
          <cell r="C241" t="str">
            <v>Not Listed</v>
          </cell>
        </row>
        <row r="242">
          <cell r="A242" t="str">
            <v>AMRAPALI FINCAP LTD</v>
          </cell>
          <cell r="B242">
            <v>539265</v>
          </cell>
          <cell r="C242" t="str">
            <v>Not Listed</v>
          </cell>
        </row>
        <row r="243">
          <cell r="A243" t="str">
            <v>AMRAPALI INDUSTRIES LTD</v>
          </cell>
          <cell r="B243">
            <v>526241</v>
          </cell>
          <cell r="C243" t="str">
            <v>Not Listed</v>
          </cell>
        </row>
        <row r="244">
          <cell r="A244" t="str">
            <v>AMRAWORLD AGRICO LTD</v>
          </cell>
          <cell r="B244">
            <v>531991</v>
          </cell>
          <cell r="C244" t="str">
            <v>Not Listed</v>
          </cell>
        </row>
        <row r="245">
          <cell r="A245" t="str">
            <v>AMRIT CORP LTD</v>
          </cell>
          <cell r="B245">
            <v>507525</v>
          </cell>
          <cell r="C245" t="str">
            <v>Not Listed</v>
          </cell>
        </row>
        <row r="246">
          <cell r="A246" t="str">
            <v>AMRUTANJAN HEALTH CARE LTD</v>
          </cell>
          <cell r="B246">
            <v>590006</v>
          </cell>
          <cell r="C246" t="str">
            <v>AMRUTANJAN</v>
          </cell>
        </row>
        <row r="247">
          <cell r="A247" t="str">
            <v>AMSONS APPARELS LTD</v>
          </cell>
          <cell r="B247">
            <v>538861</v>
          </cell>
          <cell r="C247" t="str">
            <v>Not Listed</v>
          </cell>
        </row>
        <row r="248">
          <cell r="A248" t="str">
            <v>ANAND PROJECTS LTD</v>
          </cell>
          <cell r="B248">
            <v>501630</v>
          </cell>
          <cell r="C248" t="str">
            <v>Not Listed</v>
          </cell>
        </row>
        <row r="249">
          <cell r="A249" t="str">
            <v>ANANT RAJ LTD</v>
          </cell>
          <cell r="B249">
            <v>515055</v>
          </cell>
          <cell r="C249" t="str">
            <v>ANANTRAJ</v>
          </cell>
        </row>
        <row r="250">
          <cell r="A250" t="str">
            <v>ANDHRA BANK</v>
          </cell>
          <cell r="B250">
            <v>532418</v>
          </cell>
          <cell r="C250" t="str">
            <v>ANDHRABANK</v>
          </cell>
        </row>
        <row r="251">
          <cell r="A251" t="str">
            <v>ANDHRA CEMENTS LTD</v>
          </cell>
          <cell r="B251">
            <v>532141</v>
          </cell>
          <cell r="C251" t="str">
            <v>ANDHRACEMT</v>
          </cell>
        </row>
        <row r="252">
          <cell r="A252" t="str">
            <v>ANDHRA PETROCHEMICALS LTD</v>
          </cell>
          <cell r="B252">
            <v>500012</v>
          </cell>
          <cell r="C252" t="str">
            <v>Not Listed</v>
          </cell>
        </row>
        <row r="253">
          <cell r="A253" t="str">
            <v>ANDREW YULE &amp; COMPANY LTD</v>
          </cell>
          <cell r="B253">
            <v>526173</v>
          </cell>
          <cell r="C253" t="str">
            <v>Not Listed</v>
          </cell>
        </row>
        <row r="254">
          <cell r="A254" t="str">
            <v>ANERI FINCAP LTD</v>
          </cell>
          <cell r="B254">
            <v>531252</v>
          </cell>
          <cell r="C254" t="str">
            <v>Not Listed</v>
          </cell>
        </row>
        <row r="255">
          <cell r="A255" t="str">
            <v>ANG INDUSTRIES LTD</v>
          </cell>
          <cell r="B255">
            <v>530721</v>
          </cell>
          <cell r="C255" t="str">
            <v>ANGIND</v>
          </cell>
        </row>
        <row r="256">
          <cell r="A256" t="str">
            <v>ANG LIFESCIENCES (INDIA) LTD</v>
          </cell>
          <cell r="B256">
            <v>540694</v>
          </cell>
          <cell r="C256" t="str">
            <v>Not Listed</v>
          </cell>
        </row>
        <row r="257">
          <cell r="A257" t="str">
            <v>ANG LIFESCIENCES INDIA LTD</v>
          </cell>
          <cell r="B257">
            <v>540694</v>
          </cell>
          <cell r="C257" t="str">
            <v>Not Listed</v>
          </cell>
        </row>
        <row r="258">
          <cell r="A258" t="str">
            <v>ANGEL FIBERS LTD</v>
          </cell>
          <cell r="B258">
            <v>541006</v>
          </cell>
          <cell r="C258" t="str">
            <v>Not Listed</v>
          </cell>
        </row>
        <row r="259">
          <cell r="A259" t="str">
            <v>ANI INTEGRATED SERVICES LTD</v>
          </cell>
          <cell r="B259" t="str">
            <v>Not Listed</v>
          </cell>
          <cell r="C259" t="str">
            <v>AISL</v>
          </cell>
        </row>
        <row r="260">
          <cell r="A260" t="str">
            <v>ANIK INDUSTRIES LTD</v>
          </cell>
          <cell r="B260">
            <v>519383</v>
          </cell>
          <cell r="C260" t="str">
            <v>ANIKINDS</v>
          </cell>
        </row>
        <row r="261">
          <cell r="A261" t="str">
            <v>ANISHA IMPEX LTD</v>
          </cell>
          <cell r="B261">
            <v>537785</v>
          </cell>
          <cell r="C261" t="str">
            <v>Not Listed</v>
          </cell>
        </row>
        <row r="262">
          <cell r="A262" t="str">
            <v>ANJANI FINANCE LTD</v>
          </cell>
          <cell r="B262">
            <v>531878</v>
          </cell>
          <cell r="C262" t="str">
            <v>Not Listed</v>
          </cell>
        </row>
        <row r="263">
          <cell r="A263" t="str">
            <v>ANJANI FOODS LTD</v>
          </cell>
          <cell r="B263">
            <v>511153</v>
          </cell>
          <cell r="C263" t="str">
            <v>Not Listed</v>
          </cell>
        </row>
        <row r="264">
          <cell r="A264" t="str">
            <v>ANJANI PORTLAND CEMENT LTD</v>
          </cell>
          <cell r="B264">
            <v>518091</v>
          </cell>
          <cell r="C264" t="str">
            <v>APCL</v>
          </cell>
        </row>
        <row r="265">
          <cell r="A265" t="str">
            <v>ANJANI SYNTHETICS LTD</v>
          </cell>
          <cell r="B265">
            <v>531223</v>
          </cell>
          <cell r="C265" t="str">
            <v>Not Listed</v>
          </cell>
        </row>
        <row r="266">
          <cell r="A266" t="str">
            <v>ANKA (INDIA) LTD</v>
          </cell>
          <cell r="B266">
            <v>531673</v>
          </cell>
          <cell r="C266" t="str">
            <v>Not Listed</v>
          </cell>
        </row>
        <row r="267">
          <cell r="A267" t="str">
            <v>ANKA INDIA LTD</v>
          </cell>
          <cell r="B267">
            <v>531673</v>
          </cell>
          <cell r="C267" t="str">
            <v>Not Listed</v>
          </cell>
        </row>
        <row r="268">
          <cell r="A268" t="str">
            <v>ANKIT METAL &amp; POWER LTD</v>
          </cell>
          <cell r="B268">
            <v>532870</v>
          </cell>
          <cell r="C268" t="str">
            <v>ANKITMETAL</v>
          </cell>
        </row>
        <row r="269">
          <cell r="A269" t="str">
            <v>ANKUSH FINSTOCK LTD</v>
          </cell>
          <cell r="B269">
            <v>531519</v>
          </cell>
          <cell r="C269" t="str">
            <v>Not Listed</v>
          </cell>
        </row>
        <row r="270">
          <cell r="A270" t="str">
            <v>Anmol India Ltd</v>
          </cell>
          <cell r="B270">
            <v>542437</v>
          </cell>
          <cell r="C270" t="str">
            <v>ANMOL</v>
          </cell>
        </row>
        <row r="271">
          <cell r="A271" t="str">
            <v>ANNA INFRASTRUCTURES LTD</v>
          </cell>
          <cell r="B271">
            <v>530799</v>
          </cell>
          <cell r="C271" t="str">
            <v>Not Listed</v>
          </cell>
        </row>
        <row r="272">
          <cell r="A272" t="str">
            <v>ANS INDUSTRIES LTD</v>
          </cell>
          <cell r="B272">
            <v>531406</v>
          </cell>
          <cell r="C272" t="str">
            <v>Not Listed</v>
          </cell>
        </row>
        <row r="273">
          <cell r="A273" t="str">
            <v>ANSAL BUILDWELL LTD</v>
          </cell>
          <cell r="B273">
            <v>523007</v>
          </cell>
          <cell r="C273" t="str">
            <v>Not Listed</v>
          </cell>
        </row>
        <row r="274">
          <cell r="A274" t="str">
            <v>ANSAL HOUSING AND CONSTRUCTION LTD</v>
          </cell>
          <cell r="B274">
            <v>507828</v>
          </cell>
          <cell r="C274" t="str">
            <v>ANSALHSG</v>
          </cell>
        </row>
        <row r="275">
          <cell r="A275" t="str">
            <v>ANSAL PROPERTIES &amp; INFRASTRUCTURE LTD</v>
          </cell>
          <cell r="B275">
            <v>500013</v>
          </cell>
          <cell r="C275" t="str">
            <v>ANSALAPI</v>
          </cell>
        </row>
        <row r="276">
          <cell r="A276" t="str">
            <v>ANSHUNI COMMERCIALS LTD</v>
          </cell>
          <cell r="B276">
            <v>512091</v>
          </cell>
          <cell r="C276" t="str">
            <v>Not Listed</v>
          </cell>
        </row>
        <row r="277">
          <cell r="A277" t="str">
            <v>ANTARCTICA LTD</v>
          </cell>
          <cell r="B277" t="str">
            <v>Not Listed</v>
          </cell>
          <cell r="C277" t="str">
            <v>ANTGRAPHIC</v>
          </cell>
        </row>
        <row r="278">
          <cell r="A278" t="str">
            <v>ANTARIKSH INDUSTRIES LTD</v>
          </cell>
          <cell r="B278">
            <v>501270</v>
          </cell>
          <cell r="C278" t="str">
            <v>Not Listed</v>
          </cell>
        </row>
        <row r="279">
          <cell r="A279" t="str">
            <v>ANUBHAV INDUSTRIAL RESOURCES LTD</v>
          </cell>
          <cell r="B279">
            <v>539697</v>
          </cell>
          <cell r="C279" t="str">
            <v>Not Listed</v>
          </cell>
        </row>
        <row r="280">
          <cell r="A280" t="str">
            <v>ANUBHAV INFRASTRUCTURE LTD</v>
          </cell>
          <cell r="B280">
            <v>538833</v>
          </cell>
          <cell r="C280" t="str">
            <v>Not Listed</v>
          </cell>
        </row>
        <row r="281">
          <cell r="A281" t="str">
            <v>ANUH PHARMA LTD</v>
          </cell>
          <cell r="B281">
            <v>506260</v>
          </cell>
          <cell r="C281" t="str">
            <v>Not Listed</v>
          </cell>
        </row>
        <row r="282">
          <cell r="A282" t="str">
            <v>ANUP MALLEABLE LTD</v>
          </cell>
          <cell r="B282">
            <v>506087</v>
          </cell>
          <cell r="C282" t="str">
            <v>Not Listed</v>
          </cell>
        </row>
        <row r="283">
          <cell r="A283" t="str">
            <v>ANUPAM FINSERV LTD</v>
          </cell>
          <cell r="B283">
            <v>530109</v>
          </cell>
          <cell r="C283" t="str">
            <v>Not Listed</v>
          </cell>
        </row>
        <row r="284">
          <cell r="A284" t="str">
            <v>APAR INDUSTRIES LTD</v>
          </cell>
          <cell r="B284">
            <v>532259</v>
          </cell>
          <cell r="C284" t="str">
            <v>APARINDS</v>
          </cell>
        </row>
        <row r="285">
          <cell r="A285" t="str">
            <v>APCOTEX INDUSTRIES LTD</v>
          </cell>
          <cell r="B285">
            <v>523694</v>
          </cell>
          <cell r="C285" t="str">
            <v>APCOTEXIND</v>
          </cell>
        </row>
        <row r="286">
          <cell r="A286" t="str">
            <v>APEX FROZEN FOODS LTD</v>
          </cell>
          <cell r="B286">
            <v>540692</v>
          </cell>
          <cell r="C286" t="str">
            <v>APEX</v>
          </cell>
        </row>
        <row r="287">
          <cell r="A287" t="str">
            <v>APEX HOME FINANCE LTD</v>
          </cell>
          <cell r="B287">
            <v>541133</v>
          </cell>
          <cell r="C287" t="str">
            <v>Not Listed</v>
          </cell>
        </row>
        <row r="288">
          <cell r="A288" t="str">
            <v>APIS (INDIA) LTD</v>
          </cell>
          <cell r="B288">
            <v>506166</v>
          </cell>
          <cell r="C288" t="str">
            <v>Not Listed</v>
          </cell>
        </row>
        <row r="289">
          <cell r="A289" t="str">
            <v>APIS INDIA LTD</v>
          </cell>
          <cell r="B289">
            <v>506166</v>
          </cell>
          <cell r="C289" t="str">
            <v>Not Listed</v>
          </cell>
        </row>
        <row r="290">
          <cell r="A290" t="str">
            <v>APL APOLLO TUBES LTD</v>
          </cell>
          <cell r="B290">
            <v>533758</v>
          </cell>
          <cell r="C290" t="str">
            <v>APLAPOLLO</v>
          </cell>
        </row>
        <row r="291">
          <cell r="A291" t="str">
            <v>APLAB LTD</v>
          </cell>
          <cell r="B291">
            <v>517096</v>
          </cell>
          <cell r="C291" t="str">
            <v>Not Listed</v>
          </cell>
        </row>
        <row r="292">
          <cell r="A292" t="str">
            <v>Aplaya Creations Ltd</v>
          </cell>
          <cell r="B292">
            <v>511064</v>
          </cell>
          <cell r="C292" t="str">
            <v>APLAYA</v>
          </cell>
        </row>
        <row r="293">
          <cell r="A293" t="str">
            <v>APM INDUSTRIES LTD</v>
          </cell>
          <cell r="B293">
            <v>523537</v>
          </cell>
          <cell r="C293" t="str">
            <v>Not Listed</v>
          </cell>
        </row>
        <row r="294">
          <cell r="A294" t="str">
            <v>APOLLO FINVEST (INDIA) LTD</v>
          </cell>
          <cell r="B294">
            <v>512437</v>
          </cell>
          <cell r="C294" t="str">
            <v>Not Listed</v>
          </cell>
        </row>
        <row r="295">
          <cell r="A295" t="str">
            <v>APOLLO FINVEST INDIA LTD</v>
          </cell>
          <cell r="B295">
            <v>512437</v>
          </cell>
          <cell r="C295" t="str">
            <v>Not Listed</v>
          </cell>
        </row>
        <row r="296">
          <cell r="A296" t="str">
            <v>APOLLO HOSPITALS ENTERPRISE LTD</v>
          </cell>
          <cell r="B296">
            <v>508869</v>
          </cell>
          <cell r="C296" t="str">
            <v>APOLLOHOSP</v>
          </cell>
        </row>
        <row r="297">
          <cell r="A297" t="str">
            <v>APOLLO MICRO SYSTEMS LTD</v>
          </cell>
          <cell r="B297">
            <v>540879</v>
          </cell>
          <cell r="C297" t="str">
            <v>APOLLO</v>
          </cell>
        </row>
        <row r="298">
          <cell r="A298" t="str">
            <v>APOLLO PIPES LTD</v>
          </cell>
          <cell r="B298">
            <v>531761</v>
          </cell>
          <cell r="C298" t="str">
            <v>Not Listed</v>
          </cell>
        </row>
        <row r="299">
          <cell r="A299" t="str">
            <v>APOLLO SINDOORI HOTELS LTD</v>
          </cell>
          <cell r="B299" t="str">
            <v>Not Listed</v>
          </cell>
          <cell r="C299" t="str">
            <v>APOLSINHOT</v>
          </cell>
        </row>
        <row r="300">
          <cell r="A300" t="str">
            <v>APOLLO TRICOAT TUBES LTD</v>
          </cell>
          <cell r="B300">
            <v>538566</v>
          </cell>
          <cell r="C300" t="str">
            <v>Not Listed</v>
          </cell>
        </row>
        <row r="301">
          <cell r="A301" t="str">
            <v>APOLLO TYRES LTD</v>
          </cell>
          <cell r="B301">
            <v>500877</v>
          </cell>
          <cell r="C301" t="str">
            <v>APOLLOTYRE</v>
          </cell>
        </row>
        <row r="302">
          <cell r="A302" t="str">
            <v>APOORVA LEASING FINANCE AND INVESTMENT COMPANY LTD</v>
          </cell>
          <cell r="B302">
            <v>539545</v>
          </cell>
          <cell r="C302" t="str">
            <v>Not Listed</v>
          </cell>
        </row>
        <row r="303">
          <cell r="A303" t="str">
            <v>APPLE FINANCE LTD</v>
          </cell>
          <cell r="B303">
            <v>500014</v>
          </cell>
          <cell r="C303" t="str">
            <v>Not Listed</v>
          </cell>
        </row>
        <row r="304">
          <cell r="A304" t="str">
            <v>APTECH LTD</v>
          </cell>
          <cell r="B304">
            <v>532475</v>
          </cell>
          <cell r="C304" t="str">
            <v>APTECHT</v>
          </cell>
        </row>
        <row r="305">
          <cell r="A305" t="str">
            <v>APUNKA INVEST COMMERCIAL LTD</v>
          </cell>
          <cell r="B305">
            <v>539469</v>
          </cell>
          <cell r="C305" t="str">
            <v>Not Listed</v>
          </cell>
        </row>
        <row r="306">
          <cell r="A306" t="str">
            <v>AQUA PUMPS INFRA VENTURES LTD</v>
          </cell>
          <cell r="B306">
            <v>531364</v>
          </cell>
          <cell r="C306" t="str">
            <v>Not Listed</v>
          </cell>
        </row>
        <row r="307">
          <cell r="A307" t="str">
            <v>ARAMBHAN HOSPITALITY SERVICES LTD</v>
          </cell>
          <cell r="B307">
            <v>539403</v>
          </cell>
          <cell r="C307" t="str">
            <v>Not Listed</v>
          </cell>
        </row>
        <row r="308">
          <cell r="A308" t="str">
            <v>ARC FINANCE LTD</v>
          </cell>
          <cell r="B308">
            <v>540135</v>
          </cell>
          <cell r="C308" t="str">
            <v>Not Listed</v>
          </cell>
        </row>
        <row r="309">
          <cell r="A309" t="str">
            <v>ARCEE INDUSTRIES LTD</v>
          </cell>
          <cell r="B309">
            <v>520121</v>
          </cell>
          <cell r="C309" t="str">
            <v>Not Listed</v>
          </cell>
        </row>
        <row r="310">
          <cell r="A310" t="str">
            <v>ARCHANA SOFTWARE LTD</v>
          </cell>
          <cell r="B310">
            <v>530565</v>
          </cell>
          <cell r="C310" t="str">
            <v>Not Listed</v>
          </cell>
        </row>
        <row r="311">
          <cell r="A311" t="str">
            <v>ARCHIDPLY INDUSTRIES LTD</v>
          </cell>
          <cell r="B311">
            <v>532994</v>
          </cell>
          <cell r="C311" t="str">
            <v>ARCHIDPLY</v>
          </cell>
        </row>
        <row r="312">
          <cell r="A312" t="str">
            <v>ARCHIES LTD</v>
          </cell>
          <cell r="B312">
            <v>532212</v>
          </cell>
          <cell r="C312" t="str">
            <v>ARCHIES</v>
          </cell>
        </row>
        <row r="313">
          <cell r="A313" t="str">
            <v>ARCHIT ORGANOSYS LTD</v>
          </cell>
          <cell r="B313">
            <v>524640</v>
          </cell>
          <cell r="C313" t="str">
            <v>Not Listed</v>
          </cell>
        </row>
        <row r="314">
          <cell r="A314" t="str">
            <v>ARCOTECH LTD</v>
          </cell>
          <cell r="B314">
            <v>532914</v>
          </cell>
          <cell r="C314" t="str">
            <v>ARCOTECH</v>
          </cell>
        </row>
        <row r="315">
          <cell r="A315" t="str">
            <v>ARDI INVESTMENT &amp; TRADING LTD</v>
          </cell>
          <cell r="B315">
            <v>504370</v>
          </cell>
          <cell r="C315" t="str">
            <v>Not Listed</v>
          </cell>
        </row>
        <row r="316">
          <cell r="A316" t="str">
            <v>AREX INDUSTRIES LTD</v>
          </cell>
          <cell r="B316">
            <v>526851</v>
          </cell>
          <cell r="C316" t="str">
            <v>Not Listed</v>
          </cell>
        </row>
        <row r="317">
          <cell r="A317" t="str">
            <v>ARFIN (INDIA) LTD</v>
          </cell>
          <cell r="B317">
            <v>539151</v>
          </cell>
          <cell r="C317" t="str">
            <v>Not Listed</v>
          </cell>
        </row>
        <row r="318">
          <cell r="A318" t="str">
            <v>ARFIN INDIA LTD</v>
          </cell>
          <cell r="B318">
            <v>539151</v>
          </cell>
          <cell r="C318" t="str">
            <v>Not Listed</v>
          </cell>
        </row>
        <row r="319">
          <cell r="A319" t="str">
            <v>ARIES AGRO LTD</v>
          </cell>
          <cell r="B319">
            <v>532935</v>
          </cell>
          <cell r="C319" t="str">
            <v>ARIES</v>
          </cell>
        </row>
        <row r="320">
          <cell r="A320" t="str">
            <v>ARIHANT CAPITAL MARKETS LTD</v>
          </cell>
          <cell r="B320">
            <v>511605</v>
          </cell>
          <cell r="C320" t="str">
            <v>Not Listed</v>
          </cell>
        </row>
        <row r="321">
          <cell r="A321" t="str">
            <v>ARIHANT FOUNDATIONS &amp; HOUSING LTD</v>
          </cell>
          <cell r="B321">
            <v>531381</v>
          </cell>
          <cell r="C321" t="str">
            <v>ARIHANT</v>
          </cell>
        </row>
        <row r="322">
          <cell r="A322" t="str">
            <v>ARIHANT INSTITUTE LTD</v>
          </cell>
          <cell r="B322">
            <v>541401</v>
          </cell>
          <cell r="C322" t="str">
            <v>Not Listed</v>
          </cell>
        </row>
        <row r="323">
          <cell r="A323" t="str">
            <v>ARIHANT SUPERSTRUCTURES LTD</v>
          </cell>
          <cell r="B323">
            <v>506194</v>
          </cell>
          <cell r="C323" t="str">
            <v>ARIHANTSUP</v>
          </cell>
        </row>
        <row r="324">
          <cell r="A324" t="str">
            <v>ARIHANT TOURNESOL LTD</v>
          </cell>
          <cell r="B324">
            <v>526125</v>
          </cell>
          <cell r="C324" t="str">
            <v>Not Listed</v>
          </cell>
        </row>
        <row r="325">
          <cell r="A325" t="str">
            <v>ARIHANT'S SECURITIES LTD</v>
          </cell>
          <cell r="B325">
            <v>531017</v>
          </cell>
          <cell r="C325" t="str">
            <v>Not Listed</v>
          </cell>
        </row>
        <row r="326">
          <cell r="A326" t="str">
            <v>ARIS INTERNATIONAL LTD</v>
          </cell>
          <cell r="B326">
            <v>531677</v>
          </cell>
          <cell r="C326" t="str">
            <v>Not Listed</v>
          </cell>
        </row>
        <row r="327">
          <cell r="A327" t="str">
            <v>ARMAN FINANCIAL SERVICES LTD</v>
          </cell>
          <cell r="B327">
            <v>531179</v>
          </cell>
          <cell r="C327" t="str">
            <v>ARMANFIN</v>
          </cell>
        </row>
        <row r="328">
          <cell r="A328" t="str">
            <v>Arman Holdings Ltd</v>
          </cell>
          <cell r="B328">
            <v>538556</v>
          </cell>
          <cell r="C328" t="str">
            <v>ARMAN</v>
          </cell>
        </row>
        <row r="329">
          <cell r="A329" t="str">
            <v>ARMS PAPER LTD</v>
          </cell>
          <cell r="B329">
            <v>532397</v>
          </cell>
          <cell r="C329" t="str">
            <v>Not Listed</v>
          </cell>
        </row>
        <row r="330">
          <cell r="A330" t="str">
            <v>ARNAV CORPORATION LTD</v>
          </cell>
          <cell r="B330">
            <v>531467</v>
          </cell>
          <cell r="C330" t="str">
            <v>Not Listed</v>
          </cell>
        </row>
        <row r="331">
          <cell r="A331" t="str">
            <v>ARNOLD HOLDINGS LTD</v>
          </cell>
          <cell r="B331">
            <v>537069</v>
          </cell>
          <cell r="C331" t="str">
            <v>Not Listed</v>
          </cell>
        </row>
        <row r="332">
          <cell r="A332" t="str">
            <v>ARO GRANITE INDUSTRIES LTD</v>
          </cell>
          <cell r="B332">
            <v>513729</v>
          </cell>
          <cell r="C332" t="str">
            <v>AROGRANITE</v>
          </cell>
        </row>
        <row r="333">
          <cell r="A333" t="str">
            <v>AROMA ENTERPRISES (INDIA) LTD</v>
          </cell>
          <cell r="B333">
            <v>531560</v>
          </cell>
          <cell r="C333" t="str">
            <v>Not Listed</v>
          </cell>
        </row>
        <row r="334">
          <cell r="A334" t="str">
            <v>AROMA ENTERPRISES INDIA LTD</v>
          </cell>
          <cell r="B334">
            <v>531560</v>
          </cell>
          <cell r="C334" t="str">
            <v>Not Listed</v>
          </cell>
        </row>
        <row r="335">
          <cell r="A335" t="str">
            <v>ARROW GREENTECH LTD</v>
          </cell>
          <cell r="B335">
            <v>516064</v>
          </cell>
          <cell r="C335" t="str">
            <v>ARROWGREEN</v>
          </cell>
        </row>
        <row r="336">
          <cell r="A336" t="str">
            <v>ARROW TEXTILES LTD</v>
          </cell>
          <cell r="B336">
            <v>533068</v>
          </cell>
          <cell r="C336" t="str">
            <v>ARROWTEX</v>
          </cell>
        </row>
        <row r="337">
          <cell r="A337" t="str">
            <v>ARSHIYA LTD</v>
          </cell>
          <cell r="B337">
            <v>506074</v>
          </cell>
          <cell r="C337" t="str">
            <v>ARSHIYA</v>
          </cell>
        </row>
        <row r="338">
          <cell r="A338" t="str">
            <v>ARSS INFRASTRUCTURE PROJECTS LTD</v>
          </cell>
          <cell r="B338">
            <v>533163</v>
          </cell>
          <cell r="C338" t="str">
            <v>ARSSINFRA</v>
          </cell>
        </row>
        <row r="339">
          <cell r="A339" t="str">
            <v>ART NIRMAN LTD</v>
          </cell>
          <cell r="B339" t="str">
            <v>Not Listed</v>
          </cell>
          <cell r="C339" t="str">
            <v>ARTNIRMAN</v>
          </cell>
        </row>
        <row r="340">
          <cell r="A340" t="str">
            <v>ARTECH POWER &amp; TRADING LTD</v>
          </cell>
          <cell r="B340">
            <v>517481</v>
          </cell>
          <cell r="C340" t="str">
            <v>Not Listed</v>
          </cell>
        </row>
        <row r="341">
          <cell r="A341" t="str">
            <v>ARTEFACT PROJECTS LTD</v>
          </cell>
          <cell r="B341">
            <v>531297</v>
          </cell>
          <cell r="C341" t="str">
            <v>Not Listed</v>
          </cell>
        </row>
        <row r="342">
          <cell r="A342" t="str">
            <v>Artemis Electricals Ltd</v>
          </cell>
          <cell r="B342">
            <v>542670</v>
          </cell>
          <cell r="C342" t="str">
            <v>ARTEMISELC</v>
          </cell>
        </row>
        <row r="343">
          <cell r="A343" t="str">
            <v>ARTEMIS GLOBAL LIFE SCIENCES LTD</v>
          </cell>
          <cell r="B343">
            <v>540616</v>
          </cell>
          <cell r="C343" t="str">
            <v>AGLSL</v>
          </cell>
        </row>
        <row r="344">
          <cell r="A344" t="str">
            <v>ARTSON ENGINEERING LTD</v>
          </cell>
          <cell r="B344">
            <v>522134</v>
          </cell>
          <cell r="C344" t="str">
            <v>Not Listed</v>
          </cell>
        </row>
        <row r="345">
          <cell r="A345" t="str">
            <v>ARUNA HOTELS LTD</v>
          </cell>
          <cell r="B345">
            <v>500016</v>
          </cell>
          <cell r="C345" t="str">
            <v>Not Listed</v>
          </cell>
        </row>
        <row r="346">
          <cell r="A346" t="str">
            <v>ARVEE LABORATORIES (INDIA) LTD</v>
          </cell>
          <cell r="B346" t="str">
            <v>Not Listed</v>
          </cell>
          <cell r="C346" t="str">
            <v>ARVEE</v>
          </cell>
        </row>
        <row r="347">
          <cell r="A347" t="str">
            <v>ARVEE LABORATORIES INDIA LTD</v>
          </cell>
          <cell r="B347" t="str">
            <v>Not Listed</v>
          </cell>
          <cell r="C347" t="str">
            <v>ARVEE</v>
          </cell>
        </row>
        <row r="348">
          <cell r="A348" t="str">
            <v>Arvind Fashions Ltd</v>
          </cell>
          <cell r="B348">
            <v>542484</v>
          </cell>
          <cell r="C348" t="str">
            <v>ARVINDFASN</v>
          </cell>
        </row>
        <row r="349">
          <cell r="A349" t="str">
            <v>ARVIND LTD</v>
          </cell>
          <cell r="B349">
            <v>500101</v>
          </cell>
          <cell r="C349" t="str">
            <v>ARVIND</v>
          </cell>
        </row>
        <row r="350">
          <cell r="A350" t="str">
            <v>ARVIND SMARTSPACES LTD</v>
          </cell>
          <cell r="B350">
            <v>539301</v>
          </cell>
          <cell r="C350" t="str">
            <v>ARVSMART</v>
          </cell>
        </row>
        <row r="351">
          <cell r="A351" t="str">
            <v>ARYAMAN CAPITAL MARKETS LTD</v>
          </cell>
          <cell r="B351">
            <v>538716</v>
          </cell>
          <cell r="C351" t="str">
            <v>Not Listed</v>
          </cell>
        </row>
        <row r="352">
          <cell r="A352" t="str">
            <v>ARYAMAN FINANCIAL SERVICES LTD</v>
          </cell>
          <cell r="B352">
            <v>530245</v>
          </cell>
          <cell r="C352" t="str">
            <v>Not Listed</v>
          </cell>
        </row>
        <row r="353">
          <cell r="A353" t="str">
            <v>Aryan Share and Stock Brokers Ltd</v>
          </cell>
          <cell r="B353">
            <v>542176</v>
          </cell>
          <cell r="C353" t="str">
            <v>ARYAN</v>
          </cell>
        </row>
        <row r="354">
          <cell r="A354" t="str">
            <v>ASAHI INDIA GLASS LTD</v>
          </cell>
          <cell r="B354">
            <v>515030</v>
          </cell>
          <cell r="C354" t="str">
            <v>ASAHIINDIA</v>
          </cell>
        </row>
        <row r="355">
          <cell r="A355" t="str">
            <v>ASAHI INDUSTRIES LTD</v>
          </cell>
          <cell r="B355">
            <v>514482</v>
          </cell>
          <cell r="C355" t="str">
            <v>Not Listed</v>
          </cell>
        </row>
        <row r="356">
          <cell r="A356" t="str">
            <v>ASAHI SONGWON COLORS LTD</v>
          </cell>
          <cell r="B356">
            <v>532853</v>
          </cell>
          <cell r="C356" t="str">
            <v>ASAHISONG</v>
          </cell>
        </row>
        <row r="357">
          <cell r="A357" t="str">
            <v>ASHAPURA INTIMATES FASHION LTD</v>
          </cell>
          <cell r="B357">
            <v>535467</v>
          </cell>
          <cell r="C357" t="str">
            <v>AIFL</v>
          </cell>
        </row>
        <row r="358">
          <cell r="A358" t="str">
            <v>ASHAPURA MINECHEM LTD</v>
          </cell>
          <cell r="B358">
            <v>527001</v>
          </cell>
          <cell r="C358" t="str">
            <v>ASHAPURMIN</v>
          </cell>
        </row>
        <row r="359">
          <cell r="A359" t="str">
            <v>Ashapuri Gold Ornament Ltd</v>
          </cell>
          <cell r="B359">
            <v>542579</v>
          </cell>
          <cell r="C359" t="str">
            <v>AGOL</v>
          </cell>
        </row>
        <row r="360">
          <cell r="A360" t="str">
            <v>ASHARI AGENCIES LTD</v>
          </cell>
          <cell r="B360">
            <v>540024</v>
          </cell>
          <cell r="C360" t="str">
            <v>Not Listed</v>
          </cell>
        </row>
        <row r="361">
          <cell r="A361" t="str">
            <v>ASHIANA AGRO INDUSTRIES LTD</v>
          </cell>
          <cell r="B361">
            <v>519174</v>
          </cell>
          <cell r="C361" t="str">
            <v>Not Listed</v>
          </cell>
        </row>
        <row r="362">
          <cell r="A362" t="str">
            <v>ASHIANA HOUSING LTD</v>
          </cell>
          <cell r="B362">
            <v>523716</v>
          </cell>
          <cell r="C362" t="str">
            <v>ASHIANA</v>
          </cell>
        </row>
        <row r="363">
          <cell r="A363" t="str">
            <v>ASHIANA ISPAT LTD</v>
          </cell>
          <cell r="B363">
            <v>513401</v>
          </cell>
          <cell r="C363" t="str">
            <v>Not Listed</v>
          </cell>
        </row>
        <row r="364">
          <cell r="A364" t="str">
            <v>ASHIKA CREDIT CAPITAL LTD.</v>
          </cell>
          <cell r="B364">
            <v>590122</v>
          </cell>
          <cell r="C364" t="str">
            <v>ASHIKACR</v>
          </cell>
        </row>
        <row r="365">
          <cell r="A365" t="str">
            <v>ASHIMA LTD</v>
          </cell>
          <cell r="B365">
            <v>514286</v>
          </cell>
          <cell r="C365" t="str">
            <v>ASHIMASYN</v>
          </cell>
        </row>
        <row r="366">
          <cell r="A366" t="str">
            <v>ASHIRWAD CAPITAL LTD</v>
          </cell>
          <cell r="B366">
            <v>512247</v>
          </cell>
          <cell r="C366" t="str">
            <v>Not Listed</v>
          </cell>
        </row>
        <row r="367">
          <cell r="A367" t="str">
            <v>ASHIRWAD STEELS &amp; INDUSTRIES LTD</v>
          </cell>
          <cell r="B367">
            <v>526847</v>
          </cell>
          <cell r="C367" t="str">
            <v>Not Listed</v>
          </cell>
        </row>
        <row r="368">
          <cell r="A368" t="str">
            <v>ASHISH POLYPLAST LTD</v>
          </cell>
          <cell r="B368">
            <v>530429</v>
          </cell>
          <cell r="C368" t="str">
            <v>Not Listed</v>
          </cell>
        </row>
        <row r="369">
          <cell r="A369" t="str">
            <v>ASHNISHA INDUSTRIES LTD</v>
          </cell>
          <cell r="B369">
            <v>541702</v>
          </cell>
          <cell r="C369" t="str">
            <v>Not Listed</v>
          </cell>
        </row>
        <row r="370">
          <cell r="A370" t="str">
            <v>ASHNOOR TEXTILE MILLS LTD</v>
          </cell>
          <cell r="B370">
            <v>507872</v>
          </cell>
          <cell r="C370" t="str">
            <v>Not Listed</v>
          </cell>
        </row>
        <row r="371">
          <cell r="A371" t="str">
            <v>ASHOK ALCO-CHEM LTD</v>
          </cell>
          <cell r="B371">
            <v>524594</v>
          </cell>
          <cell r="C371" t="str">
            <v>Not Listed</v>
          </cell>
        </row>
        <row r="372">
          <cell r="A372" t="str">
            <v>ASHOK LEYLAND LTD</v>
          </cell>
          <cell r="B372">
            <v>500477</v>
          </cell>
          <cell r="C372" t="str">
            <v>ASHOKLEY</v>
          </cell>
        </row>
        <row r="373">
          <cell r="A373" t="str">
            <v>ASHOKA BUILDCON LTD</v>
          </cell>
          <cell r="B373">
            <v>533271</v>
          </cell>
          <cell r="C373" t="str">
            <v>ASHOKA</v>
          </cell>
        </row>
        <row r="374">
          <cell r="A374" t="str">
            <v>ASHOKA METCAST LTD</v>
          </cell>
          <cell r="B374">
            <v>540923</v>
          </cell>
          <cell r="C374" t="str">
            <v>Not Listed</v>
          </cell>
        </row>
        <row r="375">
          <cell r="A375" t="str">
            <v>ASHOKA REFINERIES LTD</v>
          </cell>
          <cell r="B375">
            <v>526983</v>
          </cell>
          <cell r="C375" t="str">
            <v>Not Listed</v>
          </cell>
        </row>
        <row r="376">
          <cell r="A376" t="str">
            <v>ASHRAM ONLINE COM LTD</v>
          </cell>
          <cell r="B376">
            <v>526187</v>
          </cell>
          <cell r="C376" t="str">
            <v>Not Listed</v>
          </cell>
        </row>
        <row r="377">
          <cell r="A377" t="str">
            <v>ASHUTOSH PAPER MILLS LTD</v>
          </cell>
          <cell r="B377">
            <v>531568</v>
          </cell>
          <cell r="C377" t="str">
            <v>Not Listed</v>
          </cell>
        </row>
        <row r="378">
          <cell r="A378" t="str">
            <v>ASI INDUSTRIES LTD</v>
          </cell>
          <cell r="B378">
            <v>502015</v>
          </cell>
          <cell r="C378" t="str">
            <v>Not Listed</v>
          </cell>
        </row>
        <row r="379">
          <cell r="A379" t="str">
            <v>ASIA CAPITAL LTD</v>
          </cell>
          <cell r="B379">
            <v>538777</v>
          </cell>
          <cell r="C379" t="str">
            <v>Not Listed</v>
          </cell>
        </row>
        <row r="380">
          <cell r="A380" t="str">
            <v>ASIA PACK LTD</v>
          </cell>
          <cell r="B380">
            <v>530899</v>
          </cell>
          <cell r="C380" t="str">
            <v>Not Listed</v>
          </cell>
        </row>
        <row r="381">
          <cell r="A381" t="str">
            <v>ASIAN FLORA LTD</v>
          </cell>
          <cell r="B381">
            <v>531392</v>
          </cell>
          <cell r="C381" t="str">
            <v>Not Listed</v>
          </cell>
        </row>
        <row r="382">
          <cell r="A382" t="str">
            <v>ASIAN GRANITO (INDIA) LTD</v>
          </cell>
          <cell r="B382">
            <v>532888</v>
          </cell>
          <cell r="C382" t="str">
            <v>ASIANTILES</v>
          </cell>
        </row>
        <row r="383">
          <cell r="A383" t="str">
            <v>ASIAN GRANITO INDIA LTD</v>
          </cell>
          <cell r="B383">
            <v>532888</v>
          </cell>
          <cell r="C383" t="str">
            <v>ASIANTILES</v>
          </cell>
        </row>
        <row r="384">
          <cell r="A384" t="str">
            <v>ASIAN HOTELS EAST LTD</v>
          </cell>
          <cell r="B384">
            <v>533227</v>
          </cell>
          <cell r="C384" t="str">
            <v>AHLEAST</v>
          </cell>
        </row>
        <row r="385">
          <cell r="A385" t="str">
            <v>ASIAN HOTELS NORTH LTD</v>
          </cell>
          <cell r="B385">
            <v>500023</v>
          </cell>
          <cell r="C385" t="str">
            <v>ASIANHOTNR</v>
          </cell>
        </row>
        <row r="386">
          <cell r="A386" t="str">
            <v>ASIAN HOTELS WEST LTD</v>
          </cell>
          <cell r="B386">
            <v>533221</v>
          </cell>
          <cell r="C386" t="str">
            <v>AHLWEST</v>
          </cell>
        </row>
        <row r="387">
          <cell r="A387" t="str">
            <v>ASIAN OILFIELD SERVICES LTD</v>
          </cell>
          <cell r="B387">
            <v>530355</v>
          </cell>
          <cell r="C387" t="str">
            <v>Not Listed</v>
          </cell>
        </row>
        <row r="388">
          <cell r="A388" t="str">
            <v>ASIAN PAINTS LTD</v>
          </cell>
          <cell r="B388">
            <v>500820</v>
          </cell>
          <cell r="C388" t="str">
            <v>ASIANPAINT</v>
          </cell>
        </row>
        <row r="389">
          <cell r="A389" t="str">
            <v>ASIAN PETROPRODUCTS &amp; EXPORTS LTD</v>
          </cell>
          <cell r="B389">
            <v>524434</v>
          </cell>
          <cell r="C389" t="str">
            <v>Not Listed</v>
          </cell>
        </row>
        <row r="390">
          <cell r="A390" t="str">
            <v>ASIAN STAR CO LTD</v>
          </cell>
          <cell r="B390">
            <v>531847</v>
          </cell>
          <cell r="C390" t="str">
            <v>Not Listed</v>
          </cell>
        </row>
        <row r="391">
          <cell r="A391" t="str">
            <v>ASIAN TEA &amp; EXPORTS LTD</v>
          </cell>
          <cell r="B391">
            <v>519532</v>
          </cell>
          <cell r="C391" t="str">
            <v>Not Listed</v>
          </cell>
        </row>
        <row r="392">
          <cell r="A392" t="str">
            <v>ASIS LOGISTICS LTD</v>
          </cell>
          <cell r="B392">
            <v>506159</v>
          </cell>
          <cell r="C392" t="str">
            <v>ASISL</v>
          </cell>
        </row>
        <row r="393">
          <cell r="A393" t="str">
            <v>ASIT C MEHTA FINANCIAL SERVICES LTD</v>
          </cell>
          <cell r="B393">
            <v>530723</v>
          </cell>
          <cell r="C393" t="str">
            <v>Not Listed</v>
          </cell>
        </row>
        <row r="394">
          <cell r="A394" t="str">
            <v>ASL INDUSTRIES LTD</v>
          </cell>
          <cell r="B394" t="str">
            <v>Not Listed</v>
          </cell>
          <cell r="C394" t="str">
            <v>ASLIND</v>
          </cell>
        </row>
        <row r="395">
          <cell r="A395" t="str">
            <v>ASM TECHNOLOGIES LTD</v>
          </cell>
          <cell r="B395">
            <v>526433</v>
          </cell>
          <cell r="C395" t="str">
            <v>Not Listed</v>
          </cell>
        </row>
        <row r="396">
          <cell r="A396" t="str">
            <v>ASPINWALL AND COMPANY LTD</v>
          </cell>
          <cell r="B396" t="str">
            <v>Not Listed</v>
          </cell>
          <cell r="C396" t="str">
            <v>ASPINWALL</v>
          </cell>
        </row>
        <row r="397">
          <cell r="A397" t="str">
            <v>ASPIRA PATHLAB &amp; DIAGNOSTICS LTD</v>
          </cell>
          <cell r="B397">
            <v>540788</v>
          </cell>
          <cell r="C397" t="str">
            <v>Not Listed</v>
          </cell>
        </row>
        <row r="398">
          <cell r="A398" t="str">
            <v>ASSAM COMPANY (INDIA) LTD</v>
          </cell>
          <cell r="B398">
            <v>500024</v>
          </cell>
          <cell r="C398" t="str">
            <v>ASSAMCO</v>
          </cell>
        </row>
        <row r="399">
          <cell r="A399" t="str">
            <v>ASSAM COMPANY INDIA LTD</v>
          </cell>
          <cell r="B399">
            <v>500024</v>
          </cell>
          <cell r="C399" t="str">
            <v>ASSAMCO</v>
          </cell>
        </row>
        <row r="400">
          <cell r="A400" t="str">
            <v>ASSOCIATED ALCOHOLS &amp; BREWERIES LTD</v>
          </cell>
          <cell r="B400">
            <v>507526</v>
          </cell>
          <cell r="C400" t="str">
            <v>Not Listed</v>
          </cell>
        </row>
        <row r="401">
          <cell r="A401" t="str">
            <v>ASTEC LIFESCIENCES LTD</v>
          </cell>
          <cell r="B401">
            <v>533138</v>
          </cell>
          <cell r="C401" t="str">
            <v>ASTEC</v>
          </cell>
        </row>
        <row r="402">
          <cell r="A402" t="str">
            <v>ASTER DM HEALTHCARE LTD</v>
          </cell>
          <cell r="B402">
            <v>540975</v>
          </cell>
          <cell r="C402" t="str">
            <v>ASTERDM</v>
          </cell>
        </row>
        <row r="403">
          <cell r="A403" t="str">
            <v>ASTRA MICROWAVE PRODUCTS LTD</v>
          </cell>
          <cell r="B403">
            <v>532493</v>
          </cell>
          <cell r="C403" t="str">
            <v>ASTRAMICRO</v>
          </cell>
        </row>
        <row r="404">
          <cell r="A404" t="str">
            <v>ASTRAL POLY TECHNIK LTD</v>
          </cell>
          <cell r="B404">
            <v>532830</v>
          </cell>
          <cell r="C404" t="str">
            <v>ASTRAL</v>
          </cell>
        </row>
        <row r="405">
          <cell r="A405" t="str">
            <v>ASTRAZENECA PHARMA (INDIA) LTD</v>
          </cell>
          <cell r="B405">
            <v>506820</v>
          </cell>
          <cell r="C405" t="str">
            <v>ASTRAZEN</v>
          </cell>
        </row>
        <row r="406">
          <cell r="A406" t="str">
            <v>ASTRAZENECA PHARMA INDIA LTD</v>
          </cell>
          <cell r="B406">
            <v>506820</v>
          </cell>
          <cell r="C406" t="str">
            <v>ASTRAZEN</v>
          </cell>
        </row>
        <row r="407">
          <cell r="A407" t="str">
            <v>ASTRON PAPER &amp; BOARD MILL LTD</v>
          </cell>
          <cell r="B407">
            <v>540824</v>
          </cell>
          <cell r="C407" t="str">
            <v>ASTRON</v>
          </cell>
        </row>
        <row r="408">
          <cell r="A408" t="str">
            <v>ASUTOSH ENTERPRISES LTD</v>
          </cell>
          <cell r="B408">
            <v>512433</v>
          </cell>
          <cell r="C408" t="str">
            <v>Not Listed</v>
          </cell>
        </row>
        <row r="409">
          <cell r="A409" t="str">
            <v>ASYA INFOSOFT LTD</v>
          </cell>
          <cell r="B409">
            <v>511144</v>
          </cell>
          <cell r="C409" t="str">
            <v>Not Listed</v>
          </cell>
        </row>
        <row r="410">
          <cell r="A410" t="str">
            <v>ATHARV ENTERPRISES LTD</v>
          </cell>
          <cell r="B410">
            <v>530187</v>
          </cell>
          <cell r="C410" t="str">
            <v>Not Listed</v>
          </cell>
        </row>
        <row r="411">
          <cell r="A411" t="str">
            <v>ATHENA CONSTRUCTIONS LTD</v>
          </cell>
          <cell r="B411">
            <v>539099</v>
          </cell>
          <cell r="C411" t="str">
            <v>Not Listed</v>
          </cell>
        </row>
        <row r="412">
          <cell r="A412" t="str">
            <v>Athena Global Technologies Ltd-$</v>
          </cell>
          <cell r="B412">
            <v>517429</v>
          </cell>
          <cell r="C412" t="str">
            <v>ATHENAGLO</v>
          </cell>
        </row>
        <row r="413">
          <cell r="A413" t="str">
            <v>ATISHAY LTD</v>
          </cell>
          <cell r="B413">
            <v>538713</v>
          </cell>
          <cell r="C413" t="str">
            <v>Not Listed</v>
          </cell>
        </row>
        <row r="414">
          <cell r="A414" t="str">
            <v>ATLANTA DEVCON LTD</v>
          </cell>
          <cell r="B414">
            <v>526843</v>
          </cell>
          <cell r="C414" t="str">
            <v>Not Listed</v>
          </cell>
        </row>
        <row r="415">
          <cell r="A415" t="str">
            <v>ATLANTA LTD</v>
          </cell>
          <cell r="B415">
            <v>532759</v>
          </cell>
          <cell r="C415" t="str">
            <v>ATLANTA</v>
          </cell>
        </row>
        <row r="416">
          <cell r="A416" t="str">
            <v>ATLAS CYCLES HARYANA LTD</v>
          </cell>
          <cell r="B416">
            <v>505029</v>
          </cell>
          <cell r="C416" t="str">
            <v>ATLASCYCLE</v>
          </cell>
        </row>
        <row r="417">
          <cell r="A417" t="str">
            <v>ATLAS JEWELLERY (INDIA) LTD</v>
          </cell>
          <cell r="B417">
            <v>514394</v>
          </cell>
          <cell r="C417" t="str">
            <v>Not Listed</v>
          </cell>
        </row>
        <row r="418">
          <cell r="A418" t="str">
            <v>ATLAS JEWELLERY INDIA LTD</v>
          </cell>
          <cell r="B418">
            <v>514394</v>
          </cell>
          <cell r="C418" t="str">
            <v>Not Listed</v>
          </cell>
        </row>
        <row r="419">
          <cell r="A419" t="str">
            <v>ATUL AUTO LTD</v>
          </cell>
          <cell r="B419">
            <v>531795</v>
          </cell>
          <cell r="C419" t="str">
            <v>ATULAUTO</v>
          </cell>
        </row>
        <row r="420">
          <cell r="A420" t="str">
            <v>ATUL LTD</v>
          </cell>
          <cell r="B420">
            <v>500027</v>
          </cell>
          <cell r="C420" t="str">
            <v>ATUL</v>
          </cell>
        </row>
        <row r="421">
          <cell r="A421" t="str">
            <v>ATV PROJECTS (INDIA) LTD</v>
          </cell>
          <cell r="B421">
            <v>500028</v>
          </cell>
          <cell r="C421" t="str">
            <v>Not Listed</v>
          </cell>
        </row>
        <row r="422">
          <cell r="A422" t="str">
            <v>ATV PROJECTS INDIA LTD</v>
          </cell>
          <cell r="B422">
            <v>500028</v>
          </cell>
          <cell r="C422" t="str">
            <v>Not Listed</v>
          </cell>
        </row>
        <row r="423">
          <cell r="A423" t="str">
            <v>AU SMALL FINANCE BANK LTD</v>
          </cell>
          <cell r="B423">
            <v>540611</v>
          </cell>
          <cell r="C423" t="str">
            <v>AUBANK</v>
          </cell>
        </row>
        <row r="424">
          <cell r="A424" t="str">
            <v>AUNDE FAZE THREE AUTOFAB LTD</v>
          </cell>
          <cell r="B424">
            <v>532459</v>
          </cell>
          <cell r="C424" t="str">
            <v>Not Listed</v>
          </cell>
        </row>
        <row r="425">
          <cell r="A425" t="str">
            <v>AURANGABAD DISTILLERY LTD</v>
          </cell>
          <cell r="B425" t="str">
            <v>Not Listed</v>
          </cell>
          <cell r="C425" t="str">
            <v>AURDIS</v>
          </cell>
        </row>
        <row r="426">
          <cell r="A426" t="str">
            <v>AURIONPRO SOLUTIONS LTD</v>
          </cell>
          <cell r="B426">
            <v>532668</v>
          </cell>
          <cell r="C426" t="str">
            <v>AURIONPRO</v>
          </cell>
        </row>
        <row r="427">
          <cell r="A427" t="str">
            <v>AURO LABORATORIES LTD</v>
          </cell>
          <cell r="B427">
            <v>530233</v>
          </cell>
          <cell r="C427" t="str">
            <v>Not Listed</v>
          </cell>
        </row>
        <row r="428">
          <cell r="A428" t="str">
            <v>AUROBINDO PHARMA LTD</v>
          </cell>
          <cell r="B428">
            <v>524804</v>
          </cell>
          <cell r="C428" t="str">
            <v>AUROPHARMA</v>
          </cell>
        </row>
        <row r="429">
          <cell r="A429" t="str">
            <v>AUROMA COKE LTD</v>
          </cell>
          <cell r="B429">
            <v>531336</v>
          </cell>
          <cell r="C429" t="str">
            <v>Not Listed</v>
          </cell>
        </row>
        <row r="430">
          <cell r="A430" t="str">
            <v>AUSOM ENTERPRISE LTD</v>
          </cell>
          <cell r="B430">
            <v>509009</v>
          </cell>
          <cell r="C430" t="str">
            <v>AUSOMENT</v>
          </cell>
        </row>
        <row r="431">
          <cell r="A431" t="str">
            <v>AUSTIN ENGINEERING CO LTD</v>
          </cell>
          <cell r="B431">
            <v>522005</v>
          </cell>
          <cell r="C431" t="str">
            <v>Not Listed</v>
          </cell>
        </row>
        <row r="432">
          <cell r="A432" t="str">
            <v>AUTHUM INVESTMENT &amp; INFRASTRUCTURE LTD</v>
          </cell>
          <cell r="B432">
            <v>539177</v>
          </cell>
          <cell r="C432" t="str">
            <v>Not Listed</v>
          </cell>
        </row>
        <row r="433">
          <cell r="A433" t="str">
            <v>AUTO PINS (INDIA) LTD</v>
          </cell>
          <cell r="B433">
            <v>531994</v>
          </cell>
          <cell r="C433" t="str">
            <v>Not Listed</v>
          </cell>
        </row>
        <row r="434">
          <cell r="A434" t="str">
            <v>AUTO PINS INDIA LTD</v>
          </cell>
          <cell r="B434">
            <v>531994</v>
          </cell>
          <cell r="C434" t="str">
            <v>Not Listed</v>
          </cell>
        </row>
        <row r="435">
          <cell r="A435" t="str">
            <v>AUTOLINE INDUSTRIES LTD</v>
          </cell>
          <cell r="B435">
            <v>532797</v>
          </cell>
          <cell r="C435" t="str">
            <v>AUTOIND</v>
          </cell>
        </row>
        <row r="436">
          <cell r="A436" t="str">
            <v>AUTOLITE (INDIA) LTD</v>
          </cell>
          <cell r="B436">
            <v>500029</v>
          </cell>
          <cell r="C436" t="str">
            <v>AUTOLITIND</v>
          </cell>
        </row>
        <row r="437">
          <cell r="A437" t="str">
            <v>AUTOLITE INDIA LTD</v>
          </cell>
          <cell r="B437">
            <v>500029</v>
          </cell>
          <cell r="C437" t="str">
            <v>AUTOLITIND</v>
          </cell>
        </row>
        <row r="438">
          <cell r="A438" t="str">
            <v>AUTOMOBILE CORPORATION OF GOA LTD</v>
          </cell>
          <cell r="B438">
            <v>505036</v>
          </cell>
          <cell r="C438" t="str">
            <v>Not Listed</v>
          </cell>
        </row>
        <row r="439">
          <cell r="A439" t="str">
            <v>AUTOMOTIVE AXLES LTD</v>
          </cell>
          <cell r="B439">
            <v>505010</v>
          </cell>
          <cell r="C439" t="str">
            <v>AUTOAXLES</v>
          </cell>
        </row>
        <row r="440">
          <cell r="A440" t="str">
            <v>AUTOMOTIVE STAMPINGS AND ASSEMBLIES LTD</v>
          </cell>
          <cell r="B440">
            <v>520119</v>
          </cell>
          <cell r="C440" t="str">
            <v>ASAL</v>
          </cell>
        </row>
        <row r="441">
          <cell r="A441" t="str">
            <v>AUTORIDERS INTERNATIONAL LTD</v>
          </cell>
          <cell r="B441">
            <v>512277</v>
          </cell>
          <cell r="C441" t="str">
            <v>Not Listed</v>
          </cell>
        </row>
        <row r="442">
          <cell r="A442" t="str">
            <v>AUTUMN BUILDERS LTD</v>
          </cell>
          <cell r="B442">
            <v>780004</v>
          </cell>
          <cell r="C442" t="str">
            <v>Not Listed</v>
          </cell>
        </row>
        <row r="443">
          <cell r="A443" t="str">
            <v>AVADH SUGAR &amp; ENERGY LTD</v>
          </cell>
          <cell r="B443">
            <v>540649</v>
          </cell>
          <cell r="C443" t="str">
            <v>AVADHSUGAR</v>
          </cell>
        </row>
        <row r="444">
          <cell r="A444" t="str">
            <v>AVAILABLE FINANCE LTD</v>
          </cell>
          <cell r="B444">
            <v>531310</v>
          </cell>
          <cell r="C444" t="str">
            <v>Not Listed</v>
          </cell>
        </row>
        <row r="445">
          <cell r="A445" t="str">
            <v>AVANCE TECHNOLOGIES LTD</v>
          </cell>
          <cell r="B445">
            <v>512149</v>
          </cell>
          <cell r="C445" t="str">
            <v>Not Listed</v>
          </cell>
        </row>
        <row r="446">
          <cell r="A446" t="str">
            <v>AVANTEL LTD</v>
          </cell>
          <cell r="B446">
            <v>532406</v>
          </cell>
          <cell r="C446" t="str">
            <v>Not Listed</v>
          </cell>
        </row>
        <row r="447">
          <cell r="A447" t="str">
            <v>AVANTI FEEDS LTD</v>
          </cell>
          <cell r="B447">
            <v>512573</v>
          </cell>
          <cell r="C447" t="str">
            <v>AVANTIFEED</v>
          </cell>
        </row>
        <row r="448">
          <cell r="A448" t="str">
            <v>ITC LTD</v>
          </cell>
          <cell r="B448">
            <v>540376</v>
          </cell>
          <cell r="C448" t="str">
            <v>ITC</v>
          </cell>
        </row>
        <row r="449">
          <cell r="A449" t="str">
            <v>AVG LOGISTICS LTD</v>
          </cell>
          <cell r="B449" t="str">
            <v>Not Listed</v>
          </cell>
          <cell r="C449" t="str">
            <v>AVG</v>
          </cell>
        </row>
        <row r="450">
          <cell r="A450" t="str">
            <v>AVI POLYMERS LTD</v>
          </cell>
          <cell r="B450">
            <v>539288</v>
          </cell>
          <cell r="C450" t="str">
            <v>Not Listed</v>
          </cell>
        </row>
        <row r="451">
          <cell r="A451" t="str">
            <v>AVI PRODUCTS (INDIA) LTD</v>
          </cell>
          <cell r="B451">
            <v>523896</v>
          </cell>
          <cell r="C451" t="str">
            <v>Not Listed</v>
          </cell>
        </row>
        <row r="452">
          <cell r="A452" t="str">
            <v>AVI PRODUCTS INDIA LTD</v>
          </cell>
          <cell r="B452">
            <v>523896</v>
          </cell>
          <cell r="C452" t="str">
            <v>Not Listed</v>
          </cell>
        </row>
        <row r="453">
          <cell r="A453" t="str">
            <v>AVIVA INDUSTRIES LTD</v>
          </cell>
          <cell r="B453">
            <v>512109</v>
          </cell>
          <cell r="C453" t="str">
            <v>Not Listed</v>
          </cell>
        </row>
        <row r="454">
          <cell r="A454" t="str">
            <v>AVON LIFESCIENCES LTD</v>
          </cell>
          <cell r="B454">
            <v>531541</v>
          </cell>
          <cell r="C454" t="str">
            <v>Not Listed</v>
          </cell>
        </row>
        <row r="455">
          <cell r="A455" t="str">
            <v>AVON MOLDPLAST LTD</v>
          </cell>
          <cell r="B455" t="str">
            <v>Not Listed</v>
          </cell>
          <cell r="C455" t="str">
            <v>AVONMPL</v>
          </cell>
        </row>
        <row r="456">
          <cell r="A456" t="str">
            <v>AVONMORE CAPITAL &amp; MANAGEMENT SERVICES LTD</v>
          </cell>
          <cell r="B456">
            <v>511589</v>
          </cell>
          <cell r="C456" t="str">
            <v>Not Listed</v>
          </cell>
        </row>
        <row r="457">
          <cell r="A457" t="str">
            <v>AVSL INDUSTRIES LTD</v>
          </cell>
          <cell r="B457" t="str">
            <v>Not Listed</v>
          </cell>
          <cell r="C457" t="str">
            <v>AVSL</v>
          </cell>
        </row>
        <row r="458">
          <cell r="A458" t="str">
            <v>AVT NATURAL PRODUCTS LTD</v>
          </cell>
          <cell r="B458">
            <v>519105</v>
          </cell>
          <cell r="C458" t="str">
            <v>AVTNPL</v>
          </cell>
        </row>
        <row r="459">
          <cell r="A459" t="str">
            <v>AVTIL ENTERPRISE LTD</v>
          </cell>
          <cell r="B459">
            <v>504390</v>
          </cell>
          <cell r="C459" t="str">
            <v>Not Listed</v>
          </cell>
        </row>
        <row r="460">
          <cell r="A460" t="str">
            <v>AXEL POLYMERS LTD</v>
          </cell>
          <cell r="B460">
            <v>513642</v>
          </cell>
          <cell r="C460" t="str">
            <v>Not Listed</v>
          </cell>
        </row>
        <row r="461">
          <cell r="A461" t="str">
            <v>AXIS BANK LTD</v>
          </cell>
          <cell r="B461">
            <v>532215</v>
          </cell>
          <cell r="C461" t="str">
            <v>AXISBANK</v>
          </cell>
        </row>
        <row r="462">
          <cell r="A462" t="str">
            <v>AXISCADES ENGINEERING TECHNOLOGIES LTD</v>
          </cell>
          <cell r="B462">
            <v>532395</v>
          </cell>
          <cell r="C462" t="str">
            <v>AXISCADES</v>
          </cell>
        </row>
        <row r="463">
          <cell r="A463" t="str">
            <v>Axita Cotton Ltd</v>
          </cell>
          <cell r="B463">
            <v>542285</v>
          </cell>
          <cell r="C463" t="str">
            <v>AXITA</v>
          </cell>
        </row>
        <row r="464">
          <cell r="A464" t="str">
            <v>AXON VENTURES LTD</v>
          </cell>
          <cell r="B464">
            <v>505506</v>
          </cell>
          <cell r="C464" t="str">
            <v>Not Listed</v>
          </cell>
        </row>
        <row r="465">
          <cell r="A465" t="str">
            <v>AXTEL INDUSTRIES LTD</v>
          </cell>
          <cell r="B465">
            <v>523850</v>
          </cell>
          <cell r="C465" t="str">
            <v>Not Listed</v>
          </cell>
        </row>
        <row r="466">
          <cell r="A466" t="str">
            <v>AYEPEE LAMITUBES LTD</v>
          </cell>
          <cell r="B466">
            <v>523168</v>
          </cell>
          <cell r="C466" t="str">
            <v>Not Listed</v>
          </cell>
        </row>
        <row r="467">
          <cell r="A467" t="str">
            <v>AYM SYNTEX LTD</v>
          </cell>
          <cell r="B467">
            <v>508933</v>
          </cell>
          <cell r="C467" t="str">
            <v>AYMSYNTEX</v>
          </cell>
        </row>
        <row r="468">
          <cell r="A468" t="str">
            <v>AYOKI MERCANTILE LTD</v>
          </cell>
          <cell r="B468">
            <v>512063</v>
          </cell>
          <cell r="C468" t="str">
            <v>Not Listed</v>
          </cell>
        </row>
        <row r="469">
          <cell r="A469" t="str">
            <v>B  P  CAPITAL LTD</v>
          </cell>
          <cell r="B469">
            <v>536965</v>
          </cell>
          <cell r="C469" t="str">
            <v>Not Listed</v>
          </cell>
        </row>
        <row r="470">
          <cell r="A470" t="str">
            <v>B &amp; A LTD</v>
          </cell>
          <cell r="B470">
            <v>508136</v>
          </cell>
          <cell r="C470" t="str">
            <v>Not Listed</v>
          </cell>
        </row>
        <row r="471">
          <cell r="A471" t="str">
            <v>B A G FILMS AND MEDIA LTD</v>
          </cell>
          <cell r="B471">
            <v>532507</v>
          </cell>
          <cell r="C471" t="str">
            <v>BAGFILMS</v>
          </cell>
        </row>
        <row r="472">
          <cell r="A472" t="str">
            <v>B C  POWER CONTROLS LTD</v>
          </cell>
          <cell r="B472">
            <v>537766</v>
          </cell>
          <cell r="C472" t="str">
            <v>Not Listed</v>
          </cell>
        </row>
        <row r="473">
          <cell r="A473" t="str">
            <v>B L KASHYAP AND SONS LTD</v>
          </cell>
          <cell r="B473">
            <v>532719</v>
          </cell>
          <cell r="C473" t="str">
            <v>BLKASHYAP</v>
          </cell>
        </row>
        <row r="474">
          <cell r="A474" t="str">
            <v>B N RATHI SECURITIES LTD</v>
          </cell>
          <cell r="B474">
            <v>523019</v>
          </cell>
          <cell r="C474" t="str">
            <v>Not Listed</v>
          </cell>
        </row>
        <row r="475">
          <cell r="A475" t="str">
            <v>B&amp;A PACKAGING (INDIA) LTD</v>
          </cell>
          <cell r="B475">
            <v>523186</v>
          </cell>
          <cell r="C475" t="str">
            <v>Not Listed</v>
          </cell>
        </row>
        <row r="476">
          <cell r="A476" t="str">
            <v>B&amp;A PACKAGING INDIA LTD</v>
          </cell>
          <cell r="B476">
            <v>523186</v>
          </cell>
          <cell r="C476" t="str">
            <v>Not Listed</v>
          </cell>
        </row>
        <row r="477">
          <cell r="A477" t="str">
            <v>B&amp;B TRIPLEWALL CONTAINERS LTD</v>
          </cell>
          <cell r="B477" t="str">
            <v>Not Listed</v>
          </cell>
          <cell r="C477" t="str">
            <v>BBTCL</v>
          </cell>
        </row>
        <row r="478">
          <cell r="A478" t="str">
            <v>B.T. Syndicate Ltd</v>
          </cell>
          <cell r="B478">
            <v>542206</v>
          </cell>
          <cell r="C478" t="str">
            <v>BTSYN</v>
          </cell>
        </row>
        <row r="479">
          <cell r="A479" t="str">
            <v>B2B SOFTWARE TECHNOLOGIES LTD</v>
          </cell>
          <cell r="B479">
            <v>531268</v>
          </cell>
          <cell r="C479" t="str">
            <v>Not Listed</v>
          </cell>
        </row>
        <row r="480">
          <cell r="A480" t="str">
            <v>BABA ARTS LTD</v>
          </cell>
          <cell r="B480">
            <v>532380</v>
          </cell>
          <cell r="C480" t="str">
            <v>Not Listed</v>
          </cell>
        </row>
        <row r="481">
          <cell r="A481" t="str">
            <v>BACIL PHARMA LTD</v>
          </cell>
          <cell r="B481">
            <v>524516</v>
          </cell>
          <cell r="C481" t="str">
            <v>Not Listed</v>
          </cell>
        </row>
        <row r="482">
          <cell r="A482" t="str">
            <v>BAFNA PHARMACEUTICALS LTD</v>
          </cell>
          <cell r="B482">
            <v>532989</v>
          </cell>
          <cell r="C482" t="str">
            <v>BAFNAPHARM</v>
          </cell>
        </row>
        <row r="483">
          <cell r="A483" t="str">
            <v>BAGADIA COLOURCHEM LTD</v>
          </cell>
          <cell r="B483">
            <v>530197</v>
          </cell>
          <cell r="C483" t="str">
            <v>Not Listed</v>
          </cell>
        </row>
        <row r="484">
          <cell r="A484" t="str">
            <v>BAID LEASING AND FINANCE CO LTD</v>
          </cell>
          <cell r="B484">
            <v>511724</v>
          </cell>
          <cell r="C484" t="str">
            <v>Not Listed</v>
          </cell>
        </row>
        <row r="485">
          <cell r="A485" t="str">
            <v>BAJAJ AUTO LTD</v>
          </cell>
          <cell r="B485">
            <v>532977</v>
          </cell>
          <cell r="C485" t="str">
            <v>BAJAJ-AUTO</v>
          </cell>
        </row>
        <row r="486">
          <cell r="A486" t="str">
            <v>Bajaj Consumer Care LTD</v>
          </cell>
          <cell r="B486" t="str">
            <v>Not Listed</v>
          </cell>
          <cell r="C486" t="str">
            <v>BAJAJCON</v>
          </cell>
        </row>
        <row r="487">
          <cell r="A487" t="str">
            <v>BAJAJ CORP LTD</v>
          </cell>
          <cell r="B487">
            <v>533229</v>
          </cell>
          <cell r="C487" t="str">
            <v>BAJAJCORP</v>
          </cell>
        </row>
        <row r="488">
          <cell r="A488" t="str">
            <v>BAJAJ ELECTRICALS LTD</v>
          </cell>
          <cell r="B488">
            <v>500031</v>
          </cell>
          <cell r="C488" t="str">
            <v>BAJAJELEC</v>
          </cell>
        </row>
        <row r="489">
          <cell r="A489" t="str">
            <v>BAJAJ FINANCE LTD</v>
          </cell>
          <cell r="B489">
            <v>500034</v>
          </cell>
          <cell r="C489" t="str">
            <v>BAJFINANCE</v>
          </cell>
        </row>
        <row r="490">
          <cell r="A490" t="str">
            <v>BAJAJ FINSERV LTD</v>
          </cell>
          <cell r="B490">
            <v>532978</v>
          </cell>
          <cell r="C490" t="str">
            <v>BAJAJFINSV</v>
          </cell>
        </row>
        <row r="491">
          <cell r="A491" t="str">
            <v>BAJAJ GLOBAL LTD</v>
          </cell>
          <cell r="B491">
            <v>512261</v>
          </cell>
          <cell r="C491" t="str">
            <v>Not Listed</v>
          </cell>
        </row>
        <row r="492">
          <cell r="A492" t="str">
            <v>BAJAJ HEALTHCARE LTD</v>
          </cell>
          <cell r="B492">
            <v>539872</v>
          </cell>
          <cell r="C492" t="str">
            <v>Not Listed</v>
          </cell>
        </row>
        <row r="493">
          <cell r="A493" t="str">
            <v>BAJAJ HINDUSTHAN SUGAR LTD</v>
          </cell>
          <cell r="B493">
            <v>500032</v>
          </cell>
          <cell r="C493" t="str">
            <v>BAJAJHIND</v>
          </cell>
        </row>
        <row r="494">
          <cell r="A494" t="str">
            <v>BAJAJ HOLDINGS &amp; INVESTMENT LTD</v>
          </cell>
          <cell r="B494">
            <v>500490</v>
          </cell>
          <cell r="C494" t="str">
            <v>BAJAJHLDNG</v>
          </cell>
        </row>
        <row r="495">
          <cell r="A495" t="str">
            <v>BAJAJ STEEL INDUSTRIES LTD</v>
          </cell>
          <cell r="B495">
            <v>507944</v>
          </cell>
          <cell r="C495" t="str">
            <v>Not Listed</v>
          </cell>
        </row>
        <row r="496">
          <cell r="A496" t="str">
            <v>BAJRANG FINANCE LTD</v>
          </cell>
          <cell r="B496">
            <v>511139</v>
          </cell>
          <cell r="C496" t="str">
            <v>Not Listed</v>
          </cell>
        </row>
        <row r="497">
          <cell r="A497" t="str">
            <v>BAL PHARMA LTD</v>
          </cell>
          <cell r="B497">
            <v>524824</v>
          </cell>
          <cell r="C497" t="str">
            <v>BALPHARMA</v>
          </cell>
        </row>
        <row r="498">
          <cell r="A498" t="str">
            <v>BALAJI AMINES LTD</v>
          </cell>
          <cell r="B498">
            <v>530999</v>
          </cell>
          <cell r="C498" t="str">
            <v>BALAMINES</v>
          </cell>
        </row>
        <row r="499">
          <cell r="A499" t="str">
            <v>BALAJI TELEFILMS LTD</v>
          </cell>
          <cell r="B499">
            <v>532382</v>
          </cell>
          <cell r="C499" t="str">
            <v>BALAJITELE</v>
          </cell>
        </row>
        <row r="500">
          <cell r="A500" t="str">
            <v>BALASORE ALLOYS LTD</v>
          </cell>
          <cell r="B500">
            <v>513142</v>
          </cell>
          <cell r="C500" t="str">
            <v>Not Listed</v>
          </cell>
        </row>
        <row r="501">
          <cell r="A501" t="str">
            <v>Balaxi Ventures LTD</v>
          </cell>
          <cell r="B501" t="str">
            <v>Not Listed</v>
          </cell>
          <cell r="C501" t="str">
            <v>BALAXI</v>
          </cell>
        </row>
        <row r="502">
          <cell r="A502" t="str">
            <v>BALGOPAL COMMERCIAL LTD</v>
          </cell>
          <cell r="B502">
            <v>539834</v>
          </cell>
          <cell r="C502" t="str">
            <v>Not Listed</v>
          </cell>
        </row>
        <row r="503">
          <cell r="A503" t="str">
            <v>BALKRISHNA INDUSTRIES LTD</v>
          </cell>
          <cell r="B503">
            <v>502355</v>
          </cell>
          <cell r="C503" t="str">
            <v>BALKRISIND</v>
          </cell>
        </row>
        <row r="504">
          <cell r="A504" t="str">
            <v>BALKRISHNA PAPER MILLS LTD</v>
          </cell>
          <cell r="B504">
            <v>539251</v>
          </cell>
          <cell r="C504" t="str">
            <v>BALKRISHNA</v>
          </cell>
        </row>
        <row r="505">
          <cell r="A505" t="str">
            <v>BALLARPUR INDUSTRIES LTD</v>
          </cell>
          <cell r="B505">
            <v>500102</v>
          </cell>
          <cell r="C505" t="str">
            <v>BALLARPUR</v>
          </cell>
        </row>
        <row r="506">
          <cell r="A506" t="str">
            <v>BALMER LAWRIE &amp; COMPANY LTD</v>
          </cell>
          <cell r="B506">
            <v>523319</v>
          </cell>
          <cell r="C506" t="str">
            <v>BALMLAWRIE</v>
          </cell>
        </row>
        <row r="507">
          <cell r="A507" t="str">
            <v>BALMER LAWRIE INVESTMENTS LTD</v>
          </cell>
          <cell r="B507">
            <v>532485</v>
          </cell>
          <cell r="C507" t="str">
            <v>Not Listed</v>
          </cell>
        </row>
        <row r="508">
          <cell r="A508" t="str">
            <v>BALRAMPUR CHINI MILLS LTD</v>
          </cell>
          <cell r="B508">
            <v>500038</v>
          </cell>
          <cell r="C508" t="str">
            <v>BALRAMCHIN</v>
          </cell>
        </row>
        <row r="509">
          <cell r="A509" t="str">
            <v>BALURGHAT TECHNOLOGIES LTD</v>
          </cell>
          <cell r="B509">
            <v>520127</v>
          </cell>
          <cell r="C509" t="str">
            <v>Not Listed</v>
          </cell>
        </row>
        <row r="510">
          <cell r="A510" t="str">
            <v>BAMBINO AGRO INDUSTRIES LTD</v>
          </cell>
          <cell r="B510">
            <v>519295</v>
          </cell>
          <cell r="C510" t="str">
            <v>Not Listed</v>
          </cell>
        </row>
        <row r="511">
          <cell r="A511" t="str">
            <v>BAMPSL SECURITIES LTD</v>
          </cell>
          <cell r="B511">
            <v>531591</v>
          </cell>
          <cell r="C511" t="str">
            <v>Not Listed</v>
          </cell>
        </row>
        <row r="512">
          <cell r="A512" t="str">
            <v>BANARAS BEADS LTD</v>
          </cell>
          <cell r="B512">
            <v>526849</v>
          </cell>
          <cell r="C512" t="str">
            <v>BANARBEADS</v>
          </cell>
        </row>
        <row r="513">
          <cell r="A513" t="str">
            <v>BANAS FINANCE LTD</v>
          </cell>
          <cell r="B513">
            <v>509053</v>
          </cell>
          <cell r="C513" t="str">
            <v>Not Listed</v>
          </cell>
        </row>
        <row r="514">
          <cell r="A514" t="str">
            <v>BANCO PRODUCTS I LTD</v>
          </cell>
          <cell r="B514">
            <v>500039</v>
          </cell>
          <cell r="C514" t="str">
            <v>BANCOINDIA</v>
          </cell>
        </row>
        <row r="515">
          <cell r="A515" t="str">
            <v>BANDHAN BANK LTD</v>
          </cell>
          <cell r="B515">
            <v>541153</v>
          </cell>
          <cell r="C515" t="str">
            <v>BANDHANBNK</v>
          </cell>
        </row>
        <row r="516">
          <cell r="A516" t="str">
            <v>BANG OVERSEAS LTD</v>
          </cell>
          <cell r="B516">
            <v>532946</v>
          </cell>
          <cell r="C516" t="str">
            <v>BANG</v>
          </cell>
        </row>
        <row r="517">
          <cell r="A517" t="str">
            <v>BANGALORE FORT FARMS LTD</v>
          </cell>
          <cell r="B517">
            <v>539120</v>
          </cell>
          <cell r="C517" t="str">
            <v>Not Listed</v>
          </cell>
        </row>
        <row r="518">
          <cell r="A518" t="str">
            <v>BANK OF BARODA</v>
          </cell>
          <cell r="B518">
            <v>532134</v>
          </cell>
          <cell r="C518" t="str">
            <v>BANKBARODA</v>
          </cell>
        </row>
        <row r="519">
          <cell r="A519" t="str">
            <v>BANK OF INDIA</v>
          </cell>
          <cell r="B519">
            <v>532149</v>
          </cell>
          <cell r="C519" t="str">
            <v>BANKINDIA</v>
          </cell>
        </row>
        <row r="520">
          <cell r="A520" t="str">
            <v>BANK OF MAHARASHTRA</v>
          </cell>
          <cell r="B520">
            <v>532525</v>
          </cell>
          <cell r="C520" t="str">
            <v>MAHABANK</v>
          </cell>
        </row>
        <row r="521">
          <cell r="A521" t="str">
            <v>BANKA BIOLOO LTD</v>
          </cell>
          <cell r="B521" t="str">
            <v>Not Listed</v>
          </cell>
          <cell r="C521" t="str">
            <v>BANKA</v>
          </cell>
        </row>
        <row r="522">
          <cell r="A522" t="str">
            <v>BANNARI AMMAN SPINNING MILLS LTD</v>
          </cell>
          <cell r="B522">
            <v>532674</v>
          </cell>
          <cell r="C522" t="str">
            <v>BASML</v>
          </cell>
        </row>
        <row r="523">
          <cell r="A523" t="str">
            <v>BANNARI AMMAN SUGARS LTD</v>
          </cell>
          <cell r="B523">
            <v>500041</v>
          </cell>
          <cell r="C523" t="str">
            <v>BANARISUG</v>
          </cell>
        </row>
        <row r="524">
          <cell r="A524" t="str">
            <v>BANSAL MULTIFLEX LTD</v>
          </cell>
          <cell r="B524" t="str">
            <v>Not Listed</v>
          </cell>
          <cell r="C524" t="str">
            <v>BANSAL</v>
          </cell>
        </row>
        <row r="525">
          <cell r="A525" t="str">
            <v>BANSAL ROOFING PRODUCTS LTD</v>
          </cell>
          <cell r="B525">
            <v>538546</v>
          </cell>
          <cell r="C525" t="str">
            <v>Not Listed</v>
          </cell>
        </row>
        <row r="526">
          <cell r="A526" t="str">
            <v>BANSISONS TEA INDUSTRIES LTD</v>
          </cell>
          <cell r="B526">
            <v>519353</v>
          </cell>
          <cell r="C526" t="str">
            <v>Not Listed</v>
          </cell>
        </row>
        <row r="527">
          <cell r="A527" t="str">
            <v>BANSWARA SYNTEX LTD</v>
          </cell>
          <cell r="B527">
            <v>503722</v>
          </cell>
          <cell r="C527" t="str">
            <v>BANSWRAS</v>
          </cell>
        </row>
        <row r="528">
          <cell r="A528" t="str">
            <v>BARAK VALLEY CEMENTS LTD</v>
          </cell>
          <cell r="B528">
            <v>532916</v>
          </cell>
          <cell r="C528" t="str">
            <v>BVCL</v>
          </cell>
        </row>
        <row r="529">
          <cell r="A529" t="str">
            <v>BARODA EXTRUSION LTD</v>
          </cell>
          <cell r="B529">
            <v>513502</v>
          </cell>
          <cell r="C529" t="str">
            <v>Not Listed</v>
          </cell>
        </row>
        <row r="530">
          <cell r="A530" t="str">
            <v>BARON INFOTECH LTD</v>
          </cell>
          <cell r="B530">
            <v>532336</v>
          </cell>
          <cell r="C530" t="str">
            <v>Not Listed</v>
          </cell>
        </row>
        <row r="531">
          <cell r="A531" t="str">
            <v>BARTRONICS (INDIA) LTD</v>
          </cell>
          <cell r="B531">
            <v>532694</v>
          </cell>
          <cell r="C531" t="str">
            <v>BARTRONICS</v>
          </cell>
        </row>
        <row r="532">
          <cell r="A532" t="str">
            <v>BARTRONICS INDIA LTD</v>
          </cell>
          <cell r="B532">
            <v>532694</v>
          </cell>
          <cell r="C532" t="str">
            <v>BARTRONICS</v>
          </cell>
        </row>
        <row r="533">
          <cell r="A533" t="str">
            <v>BASANT AGRO TECH (INDIA) LTD</v>
          </cell>
          <cell r="B533">
            <v>524687</v>
          </cell>
          <cell r="C533" t="str">
            <v>Not Listed</v>
          </cell>
        </row>
        <row r="534">
          <cell r="A534" t="str">
            <v>BASANT AGRO TECH INDIA LTD</v>
          </cell>
          <cell r="B534">
            <v>524687</v>
          </cell>
          <cell r="C534" t="str">
            <v>Not Listed</v>
          </cell>
        </row>
        <row r="535">
          <cell r="A535" t="str">
            <v>BASF (INDIA) LTD</v>
          </cell>
          <cell r="B535">
            <v>500042</v>
          </cell>
          <cell r="C535" t="str">
            <v>BASF</v>
          </cell>
        </row>
        <row r="536">
          <cell r="A536" t="str">
            <v>BASF INDIA LTD</v>
          </cell>
          <cell r="B536">
            <v>500042</v>
          </cell>
          <cell r="C536" t="str">
            <v>BASF</v>
          </cell>
        </row>
        <row r="537">
          <cell r="A537" t="str">
            <v>BATA (INDIA) LTD</v>
          </cell>
          <cell r="B537">
            <v>500043</v>
          </cell>
          <cell r="C537" t="str">
            <v>BATA(INDIA)</v>
          </cell>
        </row>
        <row r="538">
          <cell r="A538" t="str">
            <v>BATA INDIA LTD</v>
          </cell>
          <cell r="B538">
            <v>500043</v>
          </cell>
          <cell r="C538" t="str">
            <v>BATAINDIA</v>
          </cell>
        </row>
        <row r="539">
          <cell r="A539" t="str">
            <v>BATLIBOI LTD</v>
          </cell>
          <cell r="B539">
            <v>522004</v>
          </cell>
          <cell r="C539" t="str">
            <v>Not Listed</v>
          </cell>
        </row>
        <row r="540">
          <cell r="A540" t="str">
            <v>BAYER CROPSCIENCE LTD</v>
          </cell>
          <cell r="B540">
            <v>506285</v>
          </cell>
          <cell r="C540" t="str">
            <v>BAYERCROP</v>
          </cell>
        </row>
        <row r="541">
          <cell r="A541" t="str">
            <v>BAZEL INTERNATIONAL LTD</v>
          </cell>
          <cell r="B541">
            <v>539946</v>
          </cell>
          <cell r="C541" t="str">
            <v>Not Listed</v>
          </cell>
        </row>
        <row r="542">
          <cell r="A542" t="str">
            <v>BCC FUBA (INDIA) LTD</v>
          </cell>
          <cell r="B542">
            <v>517246</v>
          </cell>
          <cell r="C542" t="str">
            <v>Not Listed</v>
          </cell>
        </row>
        <row r="543">
          <cell r="A543" t="str">
            <v>BCC FUBA INDIA LTD</v>
          </cell>
          <cell r="B543">
            <v>517246</v>
          </cell>
          <cell r="C543" t="str">
            <v>Not Listed</v>
          </cell>
        </row>
        <row r="544">
          <cell r="A544" t="str">
            <v>BCL ENTERPRISES LTD</v>
          </cell>
          <cell r="B544">
            <v>539621</v>
          </cell>
          <cell r="C544" t="str">
            <v>Not Listed</v>
          </cell>
        </row>
        <row r="545">
          <cell r="A545" t="str">
            <v>BCL INDUSTRIES LTD</v>
          </cell>
          <cell r="B545">
            <v>524332</v>
          </cell>
          <cell r="C545" t="str">
            <v>Not Listed</v>
          </cell>
        </row>
        <row r="546">
          <cell r="A546" t="str">
            <v>BCPL RAILWAY INFRASTRUCTURE LTD</v>
          </cell>
          <cell r="B546">
            <v>542057</v>
          </cell>
          <cell r="C546" t="str">
            <v>Not Listed</v>
          </cell>
        </row>
        <row r="547">
          <cell r="A547" t="str">
            <v>BDH INDUSTRIES LTD</v>
          </cell>
          <cell r="B547">
            <v>524828</v>
          </cell>
          <cell r="C547" t="str">
            <v>Not Listed</v>
          </cell>
        </row>
        <row r="548">
          <cell r="A548" t="str">
            <v>BEARDSELL LTD</v>
          </cell>
          <cell r="B548">
            <v>539447</v>
          </cell>
          <cell r="C548" t="str">
            <v>BEARDSELL</v>
          </cell>
        </row>
        <row r="549">
          <cell r="A549" t="str">
            <v>BEDMUTHA INDUSTRIES LTD</v>
          </cell>
          <cell r="B549">
            <v>533270</v>
          </cell>
          <cell r="C549" t="str">
            <v>BEDMUTHA</v>
          </cell>
        </row>
        <row r="550">
          <cell r="A550" t="str">
            <v>BEEKAY NIRYAT LTD</v>
          </cell>
          <cell r="B550">
            <v>539546</v>
          </cell>
          <cell r="C550" t="str">
            <v>Not Listed</v>
          </cell>
        </row>
        <row r="551">
          <cell r="A551" t="str">
            <v>BEEKAY STEEL INDUSTRIES LTD</v>
          </cell>
          <cell r="B551">
            <v>539018</v>
          </cell>
          <cell r="C551" t="str">
            <v>Not Listed</v>
          </cell>
        </row>
        <row r="552">
          <cell r="A552" t="str">
            <v>BEEYU OVERSEAS LTD</v>
          </cell>
          <cell r="B552">
            <v>532645</v>
          </cell>
          <cell r="C552" t="str">
            <v>Not Listed</v>
          </cell>
        </row>
        <row r="553">
          <cell r="A553" t="str">
            <v>BELLA CASA FASHION &amp; RETAIL LTD</v>
          </cell>
          <cell r="B553">
            <v>539399</v>
          </cell>
          <cell r="C553" t="str">
            <v>Not Listed</v>
          </cell>
        </row>
        <row r="554">
          <cell r="A554" t="str">
            <v>BEMCO HYDRAULICS LTD</v>
          </cell>
          <cell r="B554">
            <v>522650</v>
          </cell>
          <cell r="C554" t="str">
            <v>Not Listed</v>
          </cell>
        </row>
        <row r="555">
          <cell r="A555" t="str">
            <v>BEML LTD</v>
          </cell>
          <cell r="B555">
            <v>500048</v>
          </cell>
          <cell r="C555" t="str">
            <v>BEML</v>
          </cell>
        </row>
        <row r="556">
          <cell r="A556" t="str">
            <v>BENARA BEARINGS AND PISTONS LTD</v>
          </cell>
          <cell r="B556">
            <v>541178</v>
          </cell>
          <cell r="C556" t="str">
            <v>Not Listed</v>
          </cell>
        </row>
        <row r="557">
          <cell r="A557" t="str">
            <v>BENARES HOTELS LTD</v>
          </cell>
          <cell r="B557">
            <v>509438</v>
          </cell>
          <cell r="C557" t="str">
            <v>Not Listed</v>
          </cell>
        </row>
        <row r="558">
          <cell r="A558" t="str">
            <v>BENGAL &amp; ASSAM COMPANY LTD</v>
          </cell>
          <cell r="B558">
            <v>533095</v>
          </cell>
          <cell r="C558" t="str">
            <v>Not Listed</v>
          </cell>
        </row>
        <row r="559">
          <cell r="A559" t="str">
            <v>BENGAL STEEL INDUSTRIES LTD</v>
          </cell>
          <cell r="B559">
            <v>512404</v>
          </cell>
          <cell r="C559" t="str">
            <v>Not Listed</v>
          </cell>
        </row>
        <row r="560">
          <cell r="A560" t="str">
            <v>BENGAL TEA &amp; FABRICS LTD</v>
          </cell>
          <cell r="B560">
            <v>532230</v>
          </cell>
          <cell r="C560" t="str">
            <v>Not Listed</v>
          </cell>
        </row>
        <row r="561">
          <cell r="A561" t="str">
            <v>BENTLEY COMMERCIAL ENTERPRISES LTD</v>
          </cell>
          <cell r="B561">
            <v>512195</v>
          </cell>
          <cell r="C561" t="str">
            <v>Not Listed</v>
          </cell>
        </row>
        <row r="562">
          <cell r="A562" t="str">
            <v>BERGER PAINTS I LTD</v>
          </cell>
          <cell r="B562">
            <v>509480</v>
          </cell>
          <cell r="C562" t="str">
            <v>BERGEPAINT</v>
          </cell>
        </row>
        <row r="563">
          <cell r="A563" t="str">
            <v>BERVIN INVESTMENT &amp; LEASING LTD</v>
          </cell>
          <cell r="B563">
            <v>531340</v>
          </cell>
          <cell r="C563" t="str">
            <v>Not Listed</v>
          </cell>
        </row>
        <row r="564">
          <cell r="A564" t="str">
            <v>BERYL DRUGS LTD</v>
          </cell>
          <cell r="B564">
            <v>524606</v>
          </cell>
          <cell r="C564" t="str">
            <v>Not Listed</v>
          </cell>
        </row>
        <row r="565">
          <cell r="A565" t="str">
            <v>BERYL SECURITIES LTD</v>
          </cell>
          <cell r="B565">
            <v>531582</v>
          </cell>
          <cell r="C565" t="str">
            <v>Not Listed</v>
          </cell>
        </row>
        <row r="566">
          <cell r="A566" t="str">
            <v>BEST EASTERN HOTELS LTD</v>
          </cell>
          <cell r="B566">
            <v>508664</v>
          </cell>
          <cell r="C566" t="str">
            <v>Not Listed</v>
          </cell>
        </row>
        <row r="567">
          <cell r="A567" t="str">
            <v>BETA DRUGS LTD</v>
          </cell>
          <cell r="B567" t="str">
            <v>Not Listed</v>
          </cell>
          <cell r="C567" t="str">
            <v>BETA</v>
          </cell>
        </row>
        <row r="568">
          <cell r="A568" t="str">
            <v>BETEX (INDIA) LTD</v>
          </cell>
          <cell r="B568">
            <v>512477</v>
          </cell>
          <cell r="C568" t="str">
            <v>Not Listed</v>
          </cell>
        </row>
        <row r="569">
          <cell r="A569" t="str">
            <v>BETEX INDIA LTD</v>
          </cell>
          <cell r="B569">
            <v>512477</v>
          </cell>
          <cell r="C569" t="str">
            <v>Not Listed</v>
          </cell>
        </row>
        <row r="570">
          <cell r="A570" t="str">
            <v>BF INVESTMENT LTD</v>
          </cell>
          <cell r="B570">
            <v>533303</v>
          </cell>
          <cell r="C570" t="str">
            <v>BFINVEST</v>
          </cell>
        </row>
        <row r="571">
          <cell r="A571" t="str">
            <v>BF UTILITIES LTD</v>
          </cell>
          <cell r="B571">
            <v>532430</v>
          </cell>
          <cell r="C571" t="str">
            <v>BFUTILITIE</v>
          </cell>
        </row>
        <row r="572">
          <cell r="A572" t="str">
            <v>BFL ASSET FINVEST LTD</v>
          </cell>
          <cell r="B572">
            <v>539662</v>
          </cell>
          <cell r="C572" t="str">
            <v>Not Listed</v>
          </cell>
        </row>
        <row r="573">
          <cell r="A573" t="str">
            <v>BGIL FILMS &amp; TECHNOLOGIES LTD</v>
          </cell>
          <cell r="B573">
            <v>511664</v>
          </cell>
          <cell r="C573" t="str">
            <v>Not Listed</v>
          </cell>
        </row>
        <row r="574">
          <cell r="A574" t="str">
            <v>BGR ENERGY SYSTEMS LTD</v>
          </cell>
          <cell r="B574">
            <v>532930</v>
          </cell>
          <cell r="C574" t="str">
            <v>BGRENERGY</v>
          </cell>
        </row>
        <row r="575">
          <cell r="A575" t="str">
            <v>BHAGERIA INDUSTRIES LTD</v>
          </cell>
          <cell r="B575">
            <v>530803</v>
          </cell>
          <cell r="C575" t="str">
            <v>BHAGERIA</v>
          </cell>
        </row>
        <row r="576">
          <cell r="A576" t="str">
            <v>BHAGIRADHA CHEMICALS &amp; INDUSTRIES LTD</v>
          </cell>
          <cell r="B576">
            <v>531719</v>
          </cell>
          <cell r="C576" t="str">
            <v>Not Listed</v>
          </cell>
        </row>
        <row r="577">
          <cell r="A577" t="str">
            <v>BHAGWATI AUTOCAST LTD</v>
          </cell>
          <cell r="B577">
            <v>504646</v>
          </cell>
          <cell r="C577" t="str">
            <v>Not Listed</v>
          </cell>
        </row>
        <row r="578">
          <cell r="A578" t="str">
            <v>BHAGWATI OXYGEN LTD</v>
          </cell>
          <cell r="B578">
            <v>509449</v>
          </cell>
          <cell r="C578" t="str">
            <v>Not Listed</v>
          </cell>
        </row>
        <row r="579">
          <cell r="A579" t="str">
            <v>BHAGYANAGAR (INDIA) LTD</v>
          </cell>
          <cell r="B579">
            <v>512296</v>
          </cell>
          <cell r="C579" t="str">
            <v>BHAGYANGR</v>
          </cell>
        </row>
        <row r="580">
          <cell r="A580" t="str">
            <v>BHAGYANAGAR INDIA LTD</v>
          </cell>
          <cell r="B580">
            <v>512296</v>
          </cell>
          <cell r="C580" t="str">
            <v>BHAGYANGR</v>
          </cell>
        </row>
        <row r="581">
          <cell r="A581" t="str">
            <v>BHAGYANAGAR PROPERTIES LTD</v>
          </cell>
          <cell r="B581">
            <v>540621</v>
          </cell>
          <cell r="C581" t="str">
            <v>BHAGYAPROP</v>
          </cell>
        </row>
        <row r="582">
          <cell r="A582" t="str">
            <v>BHAKTI GEMS AND JEWELLERY LTD</v>
          </cell>
          <cell r="B582">
            <v>540545</v>
          </cell>
          <cell r="C582" t="str">
            <v>Not Listed</v>
          </cell>
        </row>
        <row r="583">
          <cell r="A583" t="str">
            <v>BHANDARI HOSIERY EXPORTS LTD</v>
          </cell>
          <cell r="B583">
            <v>512608</v>
          </cell>
          <cell r="C583" t="str">
            <v>BHANDARI</v>
          </cell>
        </row>
        <row r="584">
          <cell r="A584" t="str">
            <v>BHANDERI INFRACON LTD</v>
          </cell>
          <cell r="B584">
            <v>538576</v>
          </cell>
          <cell r="C584" t="str">
            <v>Not Listed</v>
          </cell>
        </row>
        <row r="585">
          <cell r="A585" t="str">
            <v>BHANSALI ENGINEERING POLYMERS LTD</v>
          </cell>
          <cell r="B585">
            <v>500052</v>
          </cell>
          <cell r="C585" t="str">
            <v>BEPL</v>
          </cell>
        </row>
        <row r="586">
          <cell r="A586" t="str">
            <v>BHARAT AGRI FERT &amp; REALTY LTD</v>
          </cell>
          <cell r="B586">
            <v>531862</v>
          </cell>
          <cell r="C586" t="str">
            <v>Not Listed</v>
          </cell>
        </row>
        <row r="587">
          <cell r="A587" t="str">
            <v>BHARAT BHUSHAN SHARE &amp; COMMODITY BROKERS LTD</v>
          </cell>
          <cell r="B587">
            <v>511501</v>
          </cell>
          <cell r="C587" t="str">
            <v>Not Listed</v>
          </cell>
        </row>
        <row r="588">
          <cell r="A588" t="str">
            <v>BHARAT BIJLEE LTD</v>
          </cell>
          <cell r="B588">
            <v>503960</v>
          </cell>
          <cell r="C588" t="str">
            <v>BBL</v>
          </cell>
        </row>
        <row r="589">
          <cell r="A589" t="str">
            <v>BHARAT DYNAMICS LTD</v>
          </cell>
          <cell r="B589">
            <v>541143</v>
          </cell>
          <cell r="C589" t="str">
            <v>BDL</v>
          </cell>
        </row>
        <row r="590">
          <cell r="A590" t="str">
            <v>BHARAT ELECTRONICS LTD</v>
          </cell>
          <cell r="B590">
            <v>500049</v>
          </cell>
          <cell r="C590" t="str">
            <v>BEL</v>
          </cell>
        </row>
        <row r="591">
          <cell r="A591" t="str">
            <v>BHARAT FINANCIAL INCLUSION LTD</v>
          </cell>
          <cell r="B591">
            <v>533228</v>
          </cell>
          <cell r="C591" t="str">
            <v>BHARATFIN</v>
          </cell>
        </row>
        <row r="592">
          <cell r="A592" t="str">
            <v>BHARAT FORGE LTD</v>
          </cell>
          <cell r="B592">
            <v>500493</v>
          </cell>
          <cell r="C592" t="str">
            <v>BHARATFORG</v>
          </cell>
        </row>
        <row r="593">
          <cell r="A593" t="str">
            <v>BHARAT GEARS LTD</v>
          </cell>
          <cell r="B593">
            <v>505688</v>
          </cell>
          <cell r="C593" t="str">
            <v>BHARATGEAR</v>
          </cell>
        </row>
        <row r="594">
          <cell r="A594" t="str">
            <v>BHARAT HEAVY ELECTRICALS LTD</v>
          </cell>
          <cell r="B594">
            <v>500103</v>
          </cell>
          <cell r="C594" t="str">
            <v>BHEL</v>
          </cell>
        </row>
        <row r="595">
          <cell r="A595" t="str">
            <v>BHARAT IMMUNOLOGICALS &amp; BIOLOGICALS CORPORATION LTD</v>
          </cell>
          <cell r="B595">
            <v>524663</v>
          </cell>
          <cell r="C595" t="str">
            <v>Not Listed</v>
          </cell>
        </row>
        <row r="596">
          <cell r="A596" t="str">
            <v>BHARAT PARENTERALS LTD</v>
          </cell>
          <cell r="B596">
            <v>541096</v>
          </cell>
          <cell r="C596" t="str">
            <v>Not Listed</v>
          </cell>
        </row>
        <row r="597">
          <cell r="A597" t="str">
            <v>BHARAT PETROLEUM CORPORATION LTD</v>
          </cell>
          <cell r="B597">
            <v>500547</v>
          </cell>
          <cell r="C597" t="str">
            <v>BPCL</v>
          </cell>
        </row>
        <row r="598">
          <cell r="A598" t="str">
            <v>BHARAT RASAYAN LTD</v>
          </cell>
          <cell r="B598">
            <v>590021</v>
          </cell>
          <cell r="C598" t="str">
            <v>BHARATRAS</v>
          </cell>
        </row>
        <row r="599">
          <cell r="A599" t="str">
            <v>BHARAT ROAD NETWORK LTD</v>
          </cell>
          <cell r="B599">
            <v>540700</v>
          </cell>
          <cell r="C599" t="str">
            <v>BRNL</v>
          </cell>
        </row>
        <row r="600">
          <cell r="A600" t="str">
            <v>BHARAT SEATS LTD</v>
          </cell>
          <cell r="B600">
            <v>523229</v>
          </cell>
          <cell r="C600" t="str">
            <v>Not Listed</v>
          </cell>
        </row>
        <row r="601">
          <cell r="A601" t="str">
            <v>BHARAT TEXTILES &amp; PROOFING INDUSTRIES LTD</v>
          </cell>
          <cell r="B601">
            <v>531029</v>
          </cell>
          <cell r="C601" t="str">
            <v>Not Listed</v>
          </cell>
        </row>
        <row r="602">
          <cell r="A602" t="str">
            <v>BHARAT WIRE ROPES LTD</v>
          </cell>
          <cell r="B602">
            <v>539799</v>
          </cell>
          <cell r="C602" t="str">
            <v>BHARATWIRE</v>
          </cell>
        </row>
        <row r="603">
          <cell r="A603" t="str">
            <v>BHARATI DEFENCE AND INFRASTRUCTURE LTD</v>
          </cell>
          <cell r="B603">
            <v>532609</v>
          </cell>
          <cell r="C603" t="str">
            <v>BHARATIDIL</v>
          </cell>
        </row>
        <row r="604">
          <cell r="A604" t="str">
            <v>BHARATIYA GLOBAL INFOMEDIA LTD</v>
          </cell>
          <cell r="B604">
            <v>533499</v>
          </cell>
          <cell r="C604" t="str">
            <v>BGLOBAL</v>
          </cell>
        </row>
        <row r="605">
          <cell r="A605" t="str">
            <v>BHARTI AIRTEL LTD</v>
          </cell>
          <cell r="B605">
            <v>532454</v>
          </cell>
          <cell r="C605" t="str">
            <v>BHARTIARTL</v>
          </cell>
        </row>
        <row r="606">
          <cell r="A606" t="str">
            <v>BHARTI INFRATEL LTD</v>
          </cell>
          <cell r="B606">
            <v>534816</v>
          </cell>
          <cell r="C606" t="str">
            <v>INFRATEL</v>
          </cell>
        </row>
        <row r="607">
          <cell r="A607" t="str">
            <v>BHARTIYA INTERNATIONAL LTD</v>
          </cell>
          <cell r="B607">
            <v>526666</v>
          </cell>
          <cell r="C607" t="str">
            <v>BIL</v>
          </cell>
        </row>
        <row r="608">
          <cell r="A608" t="str">
            <v>BHASKAR AGROCHEMICALS LTD</v>
          </cell>
          <cell r="B608">
            <v>524534</v>
          </cell>
          <cell r="C608" t="str">
            <v>Not Listed</v>
          </cell>
        </row>
        <row r="609">
          <cell r="A609" t="str">
            <v>BHATIA COMMUNICATIONS &amp; RETAIL (INDIA) LTD</v>
          </cell>
          <cell r="B609">
            <v>540956</v>
          </cell>
          <cell r="C609" t="str">
            <v>Not Listed</v>
          </cell>
        </row>
        <row r="610">
          <cell r="A610" t="str">
            <v>BHATIA COMMUNICATIONS &amp; RETAIL INDIA LTD</v>
          </cell>
          <cell r="B610">
            <v>540956</v>
          </cell>
          <cell r="C610" t="str">
            <v>Not Listed</v>
          </cell>
        </row>
        <row r="611">
          <cell r="A611" t="str">
            <v>BHILWARA SPINNERS LTD</v>
          </cell>
          <cell r="B611">
            <v>514272</v>
          </cell>
          <cell r="C611" t="str">
            <v>Not Listed</v>
          </cell>
        </row>
        <row r="612">
          <cell r="A612" t="str">
            <v>BHILWARA TECHNICAL TEXTILES LTD</v>
          </cell>
          <cell r="B612">
            <v>533108</v>
          </cell>
          <cell r="C612" t="str">
            <v>Not Listed</v>
          </cell>
        </row>
        <row r="613">
          <cell r="A613" t="str">
            <v>BHORUKA ALUMINIUM LTD</v>
          </cell>
          <cell r="B613">
            <v>506027</v>
          </cell>
          <cell r="C613" t="str">
            <v>Not Listed</v>
          </cell>
        </row>
        <row r="614">
          <cell r="A614" t="str">
            <v>BHUSHAN STEEL LTD</v>
          </cell>
          <cell r="B614">
            <v>500055</v>
          </cell>
          <cell r="C614" t="str">
            <v>BHUSANSTL</v>
          </cell>
        </row>
        <row r="615">
          <cell r="A615" t="str">
            <v>BIGBLOC CONSTRUCTION LTD</v>
          </cell>
          <cell r="B615">
            <v>540061</v>
          </cell>
          <cell r="C615" t="str">
            <v>BIGBLOC</v>
          </cell>
        </row>
        <row r="616">
          <cell r="A616" t="str">
            <v>BIHAR SPONGE IRON LTD</v>
          </cell>
          <cell r="B616">
            <v>500058</v>
          </cell>
          <cell r="C616" t="str">
            <v>Not Listed</v>
          </cell>
        </row>
        <row r="617">
          <cell r="A617" t="str">
            <v>BIJOY HANS LTD</v>
          </cell>
          <cell r="B617">
            <v>524723</v>
          </cell>
          <cell r="C617" t="str">
            <v>Not Listed</v>
          </cell>
        </row>
        <row r="618">
          <cell r="A618" t="str">
            <v>BIL ENERGY SYSTEMS LTD</v>
          </cell>
          <cell r="B618">
            <v>533321</v>
          </cell>
          <cell r="C618" t="str">
            <v>BILENERGY</v>
          </cell>
        </row>
        <row r="619">
          <cell r="A619" t="str">
            <v>BILCARE LTD</v>
          </cell>
          <cell r="B619">
            <v>526853</v>
          </cell>
          <cell r="C619" t="str">
            <v>Not Listed</v>
          </cell>
        </row>
        <row r="620">
          <cell r="A620" t="str">
            <v>BIMETAL BEARINGS LTD</v>
          </cell>
          <cell r="B620">
            <v>505681</v>
          </cell>
          <cell r="C620" t="str">
            <v>Not Listed</v>
          </cell>
        </row>
        <row r="621">
          <cell r="A621" t="str">
            <v>BINANI INDUSTRIES LTD</v>
          </cell>
          <cell r="B621">
            <v>500059</v>
          </cell>
          <cell r="C621" t="str">
            <v>BINANIIND</v>
          </cell>
        </row>
        <row r="622">
          <cell r="A622" t="str">
            <v>BINAYAK TEX PROCESSORS LTD</v>
          </cell>
          <cell r="B622">
            <v>523054</v>
          </cell>
          <cell r="C622" t="str">
            <v>Not Listed</v>
          </cell>
        </row>
        <row r="623">
          <cell r="A623" t="str">
            <v>BINDAL EXPORTS LTD</v>
          </cell>
          <cell r="B623">
            <v>540148</v>
          </cell>
          <cell r="C623" t="str">
            <v>Not Listed</v>
          </cell>
        </row>
        <row r="624">
          <cell r="A624" t="str">
            <v>BINNY LTD</v>
          </cell>
          <cell r="B624">
            <v>514215</v>
          </cell>
          <cell r="C624" t="str">
            <v>Not Listed</v>
          </cell>
        </row>
        <row r="625">
          <cell r="A625" t="str">
            <v>BINNY MILLS LTD</v>
          </cell>
          <cell r="B625">
            <v>535620</v>
          </cell>
          <cell r="C625" t="str">
            <v>Not Listed</v>
          </cell>
        </row>
        <row r="626">
          <cell r="A626" t="str">
            <v>BIO GREEN PAPERS LTD</v>
          </cell>
          <cell r="B626">
            <v>534535</v>
          </cell>
          <cell r="C626" t="str">
            <v>Not Listed</v>
          </cell>
        </row>
        <row r="627">
          <cell r="A627" t="str">
            <v>BIOCON LTD</v>
          </cell>
          <cell r="B627">
            <v>532523</v>
          </cell>
          <cell r="C627" t="str">
            <v>BIOCON</v>
          </cell>
        </row>
        <row r="628">
          <cell r="A628" t="str">
            <v>BIOFIL CHEMICALS &amp; PHARMACEUTICALS LTD</v>
          </cell>
          <cell r="B628">
            <v>524396</v>
          </cell>
          <cell r="C628" t="str">
            <v>BIOFILCHEM</v>
          </cell>
        </row>
        <row r="629">
          <cell r="A629" t="str">
            <v>BIOPAC INDIA CORPORATION LTD</v>
          </cell>
          <cell r="B629">
            <v>532330</v>
          </cell>
          <cell r="C629" t="str">
            <v>Not Listed</v>
          </cell>
        </row>
        <row r="630">
          <cell r="A630" t="str">
            <v>BIRDHI CHAND PANNALAL AGENCIES LTD</v>
          </cell>
          <cell r="B630">
            <v>538364</v>
          </cell>
          <cell r="C630" t="str">
            <v>Not Listed</v>
          </cell>
        </row>
        <row r="631">
          <cell r="A631" t="str">
            <v>BIRLA CABLE LTD</v>
          </cell>
          <cell r="B631">
            <v>500060</v>
          </cell>
          <cell r="C631" t="str">
            <v>BIRLACABLE</v>
          </cell>
        </row>
        <row r="632">
          <cell r="A632" t="str">
            <v>BIRLA CORPORATION LTD</v>
          </cell>
          <cell r="B632">
            <v>500335</v>
          </cell>
          <cell r="C632" t="str">
            <v>BIRLACORPN</v>
          </cell>
        </row>
        <row r="633">
          <cell r="A633" t="str">
            <v>BIRLA COTSYN (INDIA) LTD</v>
          </cell>
          <cell r="B633">
            <v>533006</v>
          </cell>
          <cell r="C633" t="str">
            <v>Not Listed</v>
          </cell>
        </row>
        <row r="634">
          <cell r="A634" t="str">
            <v>BIRLA COTSYN INDIA LTD</v>
          </cell>
          <cell r="B634">
            <v>533006</v>
          </cell>
          <cell r="C634" t="str">
            <v>Not Listed</v>
          </cell>
        </row>
        <row r="635">
          <cell r="A635" t="str">
            <v>BIRLA PRECISION TECHNOLOGIES LTD</v>
          </cell>
          <cell r="B635">
            <v>522105</v>
          </cell>
          <cell r="C635" t="str">
            <v>Not Listed</v>
          </cell>
        </row>
        <row r="636">
          <cell r="A636" t="str">
            <v>Birla Sun Life Mutual Fund - Birla Sun Life Gold ETF</v>
          </cell>
          <cell r="B636">
            <v>533408</v>
          </cell>
          <cell r="C636" t="str">
            <v>BSLGOLDETF</v>
          </cell>
        </row>
        <row r="637">
          <cell r="A637" t="str">
            <v>BIRLASOFT LTD</v>
          </cell>
          <cell r="B637" t="str">
            <v>Not Listed</v>
          </cell>
          <cell r="C637" t="str">
            <v>BSOFT</v>
          </cell>
        </row>
        <row r="638">
          <cell r="A638" t="str">
            <v>BKM INDUSTRIES LTD</v>
          </cell>
          <cell r="B638">
            <v>539043</v>
          </cell>
          <cell r="C638" t="str">
            <v>BKMINDST</v>
          </cell>
        </row>
        <row r="639">
          <cell r="A639" t="str">
            <v>BLACK ROSE INDUSTRIES LTD</v>
          </cell>
          <cell r="B639">
            <v>514183</v>
          </cell>
          <cell r="C639" t="str">
            <v>Not Listed</v>
          </cell>
        </row>
        <row r="640">
          <cell r="A640" t="str">
            <v>BLB LTD</v>
          </cell>
          <cell r="B640">
            <v>532290</v>
          </cell>
          <cell r="C640" t="str">
            <v>BLBLIMITED</v>
          </cell>
        </row>
        <row r="641">
          <cell r="A641" t="str">
            <v>BLISS GVS PHARMA LTD</v>
          </cell>
          <cell r="B641">
            <v>506197</v>
          </cell>
          <cell r="C641" t="str">
            <v>BLISSGVS</v>
          </cell>
        </row>
        <row r="642">
          <cell r="A642" t="str">
            <v>BLOOM DEKOR LTD</v>
          </cell>
          <cell r="B642">
            <v>526225</v>
          </cell>
          <cell r="C642" t="str">
            <v>Not Listed</v>
          </cell>
        </row>
        <row r="643">
          <cell r="A643" t="str">
            <v>BLOOM INDUSTRIES LTD</v>
          </cell>
          <cell r="B643">
            <v>513422</v>
          </cell>
          <cell r="C643" t="str">
            <v>Not Listed</v>
          </cell>
        </row>
        <row r="644">
          <cell r="A644" t="str">
            <v>BLS INFOTECH LTD</v>
          </cell>
          <cell r="B644">
            <v>531175</v>
          </cell>
          <cell r="C644" t="str">
            <v>Not Listed</v>
          </cell>
        </row>
        <row r="645">
          <cell r="A645" t="str">
            <v>BLS INTERNATIONAL SERVICES LTD</v>
          </cell>
          <cell r="B645">
            <v>540073</v>
          </cell>
          <cell r="C645" t="str">
            <v>BLS</v>
          </cell>
        </row>
        <row r="646">
          <cell r="A646" t="str">
            <v>BLUE BLENDS (INDIA) LTD</v>
          </cell>
          <cell r="B646">
            <v>502761</v>
          </cell>
          <cell r="C646" t="str">
            <v>Not Listed</v>
          </cell>
        </row>
        <row r="647">
          <cell r="A647" t="str">
            <v>BLUE BLENDS I LTD</v>
          </cell>
          <cell r="B647" t="str">
            <v>Not Listed</v>
          </cell>
          <cell r="C647" t="str">
            <v>BLUEBLENDS</v>
          </cell>
        </row>
        <row r="648">
          <cell r="A648" t="str">
            <v>BLUE BLENDS INDIA LTD</v>
          </cell>
          <cell r="B648">
            <v>502761</v>
          </cell>
          <cell r="C648" t="str">
            <v>Not Listed</v>
          </cell>
        </row>
        <row r="649">
          <cell r="A649" t="str">
            <v>BLUE CHIP TEX INDUSTRIES LTD</v>
          </cell>
          <cell r="B649">
            <v>506981</v>
          </cell>
          <cell r="C649" t="str">
            <v>Not Listed</v>
          </cell>
        </row>
        <row r="650">
          <cell r="A650" t="str">
            <v>BLUE CIRCLE SERVICES LTD</v>
          </cell>
          <cell r="B650">
            <v>508939</v>
          </cell>
          <cell r="C650" t="str">
            <v>Not Listed</v>
          </cell>
        </row>
        <row r="651">
          <cell r="A651" t="str">
            <v>BLUE CLOUD SOFTECH SOLUTIONS LTD</v>
          </cell>
          <cell r="B651">
            <v>539607</v>
          </cell>
          <cell r="C651" t="str">
            <v>Not Listed</v>
          </cell>
        </row>
        <row r="652">
          <cell r="A652" t="str">
            <v>BLUE COAST HOTELS LTD</v>
          </cell>
          <cell r="B652">
            <v>531495</v>
          </cell>
          <cell r="C652" t="str">
            <v>BLUECOAST</v>
          </cell>
        </row>
        <row r="653">
          <cell r="A653" t="str">
            <v>BLUE DART EXPRESS LTD</v>
          </cell>
          <cell r="B653">
            <v>526612</v>
          </cell>
          <cell r="C653" t="str">
            <v>BLUEDART</v>
          </cell>
        </row>
        <row r="654">
          <cell r="A654" t="str">
            <v>BLUE PEARL TEXSPIN LTD</v>
          </cell>
          <cell r="B654">
            <v>514440</v>
          </cell>
          <cell r="C654" t="str">
            <v>Not Listed</v>
          </cell>
        </row>
        <row r="655">
          <cell r="A655" t="str">
            <v>BLUE STAR LTD</v>
          </cell>
          <cell r="B655">
            <v>500067</v>
          </cell>
          <cell r="C655" t="str">
            <v>BLUESTARCO</v>
          </cell>
        </row>
        <row r="656">
          <cell r="A656" t="str">
            <v>BLUEBLOOD VENTURES LTD</v>
          </cell>
          <cell r="B656">
            <v>539637</v>
          </cell>
          <cell r="C656" t="str">
            <v>Not Listed</v>
          </cell>
        </row>
        <row r="657">
          <cell r="A657" t="str">
            <v>BLUECHIP STOCKSPIN LTD</v>
          </cell>
          <cell r="B657">
            <v>531713</v>
          </cell>
          <cell r="C657" t="str">
            <v>Not Listed</v>
          </cell>
        </row>
        <row r="658">
          <cell r="A658" t="str">
            <v>BMB MUSIC &amp; MAGNETICS LTD</v>
          </cell>
          <cell r="B658">
            <v>531420</v>
          </cell>
          <cell r="C658" t="str">
            <v>Not Listed</v>
          </cell>
        </row>
        <row r="659">
          <cell r="A659" t="str">
            <v>BMW Industries Ltd</v>
          </cell>
          <cell r="B659">
            <v>542669</v>
          </cell>
          <cell r="C659" t="str">
            <v>BMW</v>
          </cell>
        </row>
        <row r="660">
          <cell r="A660" t="str">
            <v>BNK CAPITAL MARKETS LTD</v>
          </cell>
          <cell r="B660">
            <v>500069</v>
          </cell>
          <cell r="C660" t="str">
            <v>Not Listed</v>
          </cell>
        </row>
        <row r="661">
          <cell r="A661" t="str">
            <v>BNR UDYOG LTD</v>
          </cell>
          <cell r="B661">
            <v>530809</v>
          </cell>
          <cell r="C661" t="str">
            <v>Not Listed</v>
          </cell>
        </row>
        <row r="662">
          <cell r="A662" t="str">
            <v>BODAL CHEMICALS LTD</v>
          </cell>
          <cell r="B662">
            <v>524370</v>
          </cell>
          <cell r="C662" t="str">
            <v>BODALCHEM</v>
          </cell>
        </row>
        <row r="663">
          <cell r="A663" t="str">
            <v>BODHTREE CONSULTING LTD</v>
          </cell>
          <cell r="B663">
            <v>539122</v>
          </cell>
          <cell r="C663" t="str">
            <v>Not Listed</v>
          </cell>
        </row>
        <row r="664">
          <cell r="A664" t="str">
            <v>BOHRA INDUSTRIES LTD</v>
          </cell>
          <cell r="B664" t="str">
            <v>Not Listed</v>
          </cell>
          <cell r="C664" t="str">
            <v>BOHRA</v>
          </cell>
        </row>
        <row r="665">
          <cell r="A665" t="str">
            <v>BOMBAY BURMAH TRADING CORPORATION LTD</v>
          </cell>
          <cell r="B665">
            <v>501425</v>
          </cell>
          <cell r="C665" t="str">
            <v>BBTC</v>
          </cell>
        </row>
        <row r="666">
          <cell r="A666" t="str">
            <v>BOMBAY CYCLE &amp; MOTOR AGENCY LTD</v>
          </cell>
          <cell r="B666">
            <v>501430</v>
          </cell>
          <cell r="C666" t="str">
            <v>Not Listed</v>
          </cell>
        </row>
        <row r="667">
          <cell r="A667" t="str">
            <v>BOMBAY DYEING &amp; MFG COMPANY LTD</v>
          </cell>
          <cell r="B667">
            <v>500020</v>
          </cell>
          <cell r="C667" t="str">
            <v>BOMDYEING</v>
          </cell>
        </row>
        <row r="668">
          <cell r="A668" t="str">
            <v>BOMBAY OXYGEN INVESTMENTS LTD</v>
          </cell>
          <cell r="B668">
            <v>509470</v>
          </cell>
          <cell r="C668" t="str">
            <v>Not Listed</v>
          </cell>
        </row>
        <row r="669">
          <cell r="A669" t="str">
            <v>BOMBAY POTTERIES &amp; TILES LTD</v>
          </cell>
          <cell r="B669">
            <v>502216</v>
          </cell>
          <cell r="C669" t="str">
            <v>Not Listed</v>
          </cell>
        </row>
        <row r="670">
          <cell r="A670" t="str">
            <v>BOMBAY RAYON FASHIONS LTD</v>
          </cell>
          <cell r="B670">
            <v>532678</v>
          </cell>
          <cell r="C670" t="str">
            <v>BRFL</v>
          </cell>
        </row>
        <row r="671">
          <cell r="A671" t="str">
            <v>BOMBAY SUPER HYBRID SEEDS LTD</v>
          </cell>
          <cell r="B671" t="str">
            <v>Not Listed</v>
          </cell>
          <cell r="C671" t="str">
            <v>BSHSL</v>
          </cell>
        </row>
        <row r="672">
          <cell r="A672" t="str">
            <v>BOMBAY WIRE ROPES LTD</v>
          </cell>
          <cell r="B672">
            <v>504648</v>
          </cell>
          <cell r="C672" t="str">
            <v>Not Listed</v>
          </cell>
        </row>
        <row r="673">
          <cell r="A673" t="str">
            <v>BONANZA INDUSTRIES LTD</v>
          </cell>
          <cell r="B673">
            <v>523133</v>
          </cell>
          <cell r="C673" t="str">
            <v>Not Listed</v>
          </cell>
        </row>
        <row r="674">
          <cell r="A674" t="str">
            <v>BOROSIL GLASS WORKS LTD</v>
          </cell>
          <cell r="B674">
            <v>502219</v>
          </cell>
          <cell r="C674" t="str">
            <v>BOROSIL</v>
          </cell>
        </row>
        <row r="675">
          <cell r="A675" t="str">
            <v>BOSCH LTD</v>
          </cell>
          <cell r="B675">
            <v>500530</v>
          </cell>
          <cell r="C675" t="str">
            <v>BOSCHLTD</v>
          </cell>
        </row>
        <row r="676">
          <cell r="A676" t="str">
            <v>BOSTON TEKNOWSYS (INDIA) LTD</v>
          </cell>
          <cell r="B676">
            <v>536820</v>
          </cell>
          <cell r="C676" t="str">
            <v>Not Listed</v>
          </cell>
        </row>
        <row r="677">
          <cell r="A677" t="str">
            <v>BOSTON TEKNOWSYS INDIA LTD</v>
          </cell>
          <cell r="B677">
            <v>536820</v>
          </cell>
          <cell r="C677" t="str">
            <v>Not Listed</v>
          </cell>
        </row>
        <row r="678">
          <cell r="A678" t="str">
            <v>BOTHRA METALS &amp; ALLOYS LTD</v>
          </cell>
          <cell r="B678">
            <v>535279</v>
          </cell>
          <cell r="C678" t="str">
            <v>Not Listed</v>
          </cell>
        </row>
        <row r="679">
          <cell r="A679" t="str">
            <v>BPL LTD</v>
          </cell>
          <cell r="B679">
            <v>500074</v>
          </cell>
          <cell r="C679" t="str">
            <v>BPL</v>
          </cell>
        </row>
        <row r="680">
          <cell r="A680" t="str">
            <v>BRADY &amp; MORRIS ENGINEERING CO LTD</v>
          </cell>
          <cell r="B680">
            <v>505690</v>
          </cell>
          <cell r="C680" t="str">
            <v>Not Listed</v>
          </cell>
        </row>
        <row r="681">
          <cell r="A681" t="str">
            <v>BRAHMAPUTRA INFRASTRUCTURE LTD</v>
          </cell>
          <cell r="B681">
            <v>535693</v>
          </cell>
          <cell r="C681" t="str">
            <v>Not Listed</v>
          </cell>
        </row>
        <row r="682">
          <cell r="A682" t="str">
            <v>BRAND CONCEPTS LTD</v>
          </cell>
          <cell r="B682" t="str">
            <v>Not Listed</v>
          </cell>
          <cell r="C682" t="str">
            <v>BCONCEPTS</v>
          </cell>
        </row>
        <row r="683">
          <cell r="A683" t="str">
            <v>BRAND REALTY SERVICES LTD</v>
          </cell>
          <cell r="B683">
            <v>531203</v>
          </cell>
          <cell r="C683" t="str">
            <v>Not Listed</v>
          </cell>
        </row>
        <row r="684">
          <cell r="A684" t="str">
            <v>BRAWN BIOTECH LTD</v>
          </cell>
          <cell r="B684">
            <v>530207</v>
          </cell>
          <cell r="C684" t="str">
            <v>Not Listed</v>
          </cell>
        </row>
        <row r="685">
          <cell r="A685" t="str">
            <v>BRIDGE SECURITIES LTD</v>
          </cell>
          <cell r="B685">
            <v>530249</v>
          </cell>
          <cell r="C685" t="str">
            <v>Not Listed</v>
          </cell>
        </row>
        <row r="686">
          <cell r="A686" t="str">
            <v>BRIGADE ENTERPRISES LTD</v>
          </cell>
          <cell r="B686">
            <v>532929</v>
          </cell>
          <cell r="C686" t="str">
            <v>BRIGADE</v>
          </cell>
        </row>
        <row r="687">
          <cell r="A687" t="str">
            <v>BRIGHT BROTHERS LTD</v>
          </cell>
          <cell r="B687">
            <v>526731</v>
          </cell>
          <cell r="C687" t="str">
            <v>Not Listed</v>
          </cell>
        </row>
        <row r="688">
          <cell r="A688" t="str">
            <v>BRIGHT SOLAR LTD</v>
          </cell>
          <cell r="B688" t="str">
            <v>Not Listed</v>
          </cell>
          <cell r="C688" t="str">
            <v>BRIGHT</v>
          </cell>
        </row>
        <row r="689">
          <cell r="A689" t="str">
            <v>BRIGHTCOM GROUP LTD</v>
          </cell>
          <cell r="B689">
            <v>532368</v>
          </cell>
          <cell r="C689" t="str">
            <v>BCG</v>
          </cell>
        </row>
        <row r="690">
          <cell r="A690" t="str">
            <v>BRIJLAXMI LEASING &amp;amp; FINANCE LTD.</v>
          </cell>
          <cell r="B690">
            <v>532113</v>
          </cell>
          <cell r="C690" t="str">
            <v>BRIJLEAS</v>
          </cell>
        </row>
        <row r="691">
          <cell r="A691" t="str">
            <v>BRILLIANT PORTFOLIOS LTD</v>
          </cell>
          <cell r="B691">
            <v>539434</v>
          </cell>
          <cell r="C691" t="str">
            <v>Not Listed</v>
          </cell>
        </row>
        <row r="692">
          <cell r="A692" t="str">
            <v>BRITANNIA INDUSTRIES LTD</v>
          </cell>
          <cell r="B692">
            <v>500825</v>
          </cell>
          <cell r="C692" t="str">
            <v>BRITANNIA</v>
          </cell>
        </row>
        <row r="693">
          <cell r="A693" t="str">
            <v>BRONZE INFRA-TECH LTD</v>
          </cell>
          <cell r="B693">
            <v>534731</v>
          </cell>
          <cell r="C693" t="str">
            <v>Not Listed</v>
          </cell>
        </row>
        <row r="694">
          <cell r="A694" t="str">
            <v>BROOKS LABORATORIES LTD</v>
          </cell>
          <cell r="B694">
            <v>533543</v>
          </cell>
          <cell r="C694" t="str">
            <v>BROOKS</v>
          </cell>
        </row>
        <row r="695">
          <cell r="A695" t="str">
            <v>BSE LTD</v>
          </cell>
          <cell r="B695" t="str">
            <v>Not Listed</v>
          </cell>
          <cell r="C695" t="str">
            <v>BSE</v>
          </cell>
        </row>
        <row r="696">
          <cell r="A696" t="str">
            <v>BSEL INFRASTRUCTURE REALTY LTD</v>
          </cell>
          <cell r="B696">
            <v>532123</v>
          </cell>
          <cell r="C696" t="str">
            <v>BSELINFRA</v>
          </cell>
        </row>
        <row r="697">
          <cell r="A697" t="str">
            <v>BSL LTD</v>
          </cell>
          <cell r="B697">
            <v>514045</v>
          </cell>
          <cell r="C697" t="str">
            <v>BSL</v>
          </cell>
        </row>
        <row r="698">
          <cell r="A698" t="str">
            <v>BUDGE BUDGE COMPANY LTD</v>
          </cell>
          <cell r="B698">
            <v>538789</v>
          </cell>
          <cell r="C698" t="str">
            <v>Not Listed</v>
          </cell>
        </row>
        <row r="699">
          <cell r="A699" t="str">
            <v>BULLISH BONDS &amp; HOLDINGS LTD</v>
          </cell>
          <cell r="B699">
            <v>540006</v>
          </cell>
          <cell r="C699" t="str">
            <v>Not Listed</v>
          </cell>
        </row>
        <row r="700">
          <cell r="A700" t="str">
            <v>BURNPUR CEMENT LTD</v>
          </cell>
          <cell r="B700">
            <v>532931</v>
          </cell>
          <cell r="C700" t="str">
            <v>BURNPUR</v>
          </cell>
        </row>
        <row r="701">
          <cell r="A701" t="str">
            <v>BUTTERFLY GANDHIMATHI APPLIANCES LTD</v>
          </cell>
          <cell r="B701">
            <v>517421</v>
          </cell>
          <cell r="C701" t="str">
            <v>BUTTERFLY</v>
          </cell>
        </row>
        <row r="702">
          <cell r="A702" t="str">
            <v>BWL LTD</v>
          </cell>
          <cell r="B702">
            <v>504643</v>
          </cell>
          <cell r="C702" t="str">
            <v>Not Listed</v>
          </cell>
        </row>
        <row r="703">
          <cell r="A703" t="str">
            <v>C &amp; C CONSTRUCTIONS LTD</v>
          </cell>
          <cell r="B703">
            <v>532813</v>
          </cell>
          <cell r="C703" t="str">
            <v>CANDC</v>
          </cell>
        </row>
        <row r="704">
          <cell r="A704" t="str">
            <v>C J GELATINE PRODUCTS LTD</v>
          </cell>
          <cell r="B704">
            <v>507515</v>
          </cell>
          <cell r="C704" t="str">
            <v>Not Listed</v>
          </cell>
        </row>
        <row r="705">
          <cell r="A705" t="str">
            <v>CADILA HEALTHCARE LTD</v>
          </cell>
          <cell r="B705">
            <v>532321</v>
          </cell>
          <cell r="C705" t="str">
            <v>CADILAHC</v>
          </cell>
        </row>
        <row r="706">
          <cell r="A706" t="str">
            <v>CADSYS (INDIA) LTD</v>
          </cell>
          <cell r="B706" t="str">
            <v>Not Listed</v>
          </cell>
          <cell r="C706" t="str">
            <v>CADSYS</v>
          </cell>
        </row>
        <row r="707">
          <cell r="A707" t="str">
            <v>CADSYS INDIA LTD</v>
          </cell>
          <cell r="B707" t="str">
            <v>Not Listed</v>
          </cell>
          <cell r="C707" t="str">
            <v>CADSYS</v>
          </cell>
        </row>
        <row r="708">
          <cell r="A708" t="str">
            <v>CALCOM VISION LTD</v>
          </cell>
          <cell r="B708">
            <v>517236</v>
          </cell>
          <cell r="C708" t="str">
            <v>Not Listed</v>
          </cell>
        </row>
        <row r="709">
          <cell r="A709" t="str">
            <v>CALIFORNIA SOFTWARE COMPANY LTD</v>
          </cell>
          <cell r="B709">
            <v>532386</v>
          </cell>
          <cell r="C709" t="str">
            <v>CALSOFT</v>
          </cell>
        </row>
        <row r="710">
          <cell r="A710" t="str">
            <v>CAMBRIDGE TECHNOLOGY ENTERPRISES LTD</v>
          </cell>
          <cell r="B710">
            <v>532801</v>
          </cell>
          <cell r="C710" t="str">
            <v>CTE</v>
          </cell>
        </row>
        <row r="711">
          <cell r="A711" t="str">
            <v>CAMEX LTD</v>
          </cell>
          <cell r="B711">
            <v>524440</v>
          </cell>
          <cell r="C711" t="str">
            <v>Not Listed</v>
          </cell>
        </row>
        <row r="712">
          <cell r="A712" t="str">
            <v>CAMLIN FINE SCIENCES LTD</v>
          </cell>
          <cell r="B712">
            <v>532834</v>
          </cell>
          <cell r="C712" t="str">
            <v>CAMLINFINE</v>
          </cell>
        </row>
        <row r="713">
          <cell r="A713" t="str">
            <v>CAMSON BIO TECHNOLOGIES LTD</v>
          </cell>
          <cell r="B713">
            <v>538858</v>
          </cell>
          <cell r="C713" t="str">
            <v>Not Listed</v>
          </cell>
        </row>
        <row r="714">
          <cell r="A714" t="str">
            <v>CAMSON SEEDS LTD</v>
          </cell>
          <cell r="B714">
            <v>540071</v>
          </cell>
          <cell r="C714" t="str">
            <v>Not Listed</v>
          </cell>
        </row>
        <row r="715">
          <cell r="A715" t="str">
            <v>CAN FIN HOMES LTD</v>
          </cell>
          <cell r="B715">
            <v>511196</v>
          </cell>
          <cell r="C715" t="str">
            <v>CANFINHOME</v>
          </cell>
        </row>
        <row r="716">
          <cell r="A716" t="str">
            <v>CANARA BANK</v>
          </cell>
          <cell r="B716">
            <v>532483</v>
          </cell>
          <cell r="C716" t="str">
            <v>CANBK</v>
          </cell>
        </row>
        <row r="717">
          <cell r="A717" t="str">
            <v>CANOPY FINANCE LTD</v>
          </cell>
          <cell r="B717">
            <v>539304</v>
          </cell>
          <cell r="C717" t="str">
            <v>Not Listed</v>
          </cell>
        </row>
        <row r="718">
          <cell r="A718" t="str">
            <v>CANTABIL RETAIL (INDIA) LTD</v>
          </cell>
          <cell r="B718">
            <v>533267</v>
          </cell>
          <cell r="C718" t="str">
            <v>CANTABIL</v>
          </cell>
        </row>
        <row r="719">
          <cell r="A719" t="str">
            <v>CANTABIL RETAIL INDIA LTD</v>
          </cell>
          <cell r="B719">
            <v>533267</v>
          </cell>
          <cell r="C719" t="str">
            <v>CANTABIL</v>
          </cell>
        </row>
        <row r="720">
          <cell r="A720" t="str">
            <v>CAPACIT'E INFRAPROJECTS LTD</v>
          </cell>
          <cell r="B720">
            <v>540710</v>
          </cell>
          <cell r="C720" t="str">
            <v>CAPACITE</v>
          </cell>
        </row>
        <row r="721">
          <cell r="A721" t="str">
            <v>CAPFIN (INDIA) LTD</v>
          </cell>
          <cell r="B721">
            <v>539198</v>
          </cell>
          <cell r="C721" t="str">
            <v>Not Listed</v>
          </cell>
        </row>
        <row r="722">
          <cell r="A722" t="str">
            <v>CAPFIN INDIA LTD</v>
          </cell>
          <cell r="B722">
            <v>539198</v>
          </cell>
          <cell r="C722" t="str">
            <v>Not Listed</v>
          </cell>
        </row>
        <row r="723">
          <cell r="A723" t="str">
            <v>CAPITAL FIRST LTD</v>
          </cell>
          <cell r="B723">
            <v>532938</v>
          </cell>
          <cell r="C723" t="str">
            <v>CAPF</v>
          </cell>
        </row>
        <row r="724">
          <cell r="A724" t="str">
            <v>CAPITAL INDIA FINANCE LTD</v>
          </cell>
          <cell r="B724">
            <v>530879</v>
          </cell>
          <cell r="C724" t="str">
            <v>Not Listed</v>
          </cell>
        </row>
        <row r="725">
          <cell r="A725" t="str">
            <v>CAPITAL TRADE LINKS LTD</v>
          </cell>
          <cell r="B725">
            <v>538476</v>
          </cell>
          <cell r="C725" t="str">
            <v>Not Listed</v>
          </cell>
        </row>
        <row r="726">
          <cell r="A726" t="str">
            <v>CAPITAL TRUST LTD</v>
          </cell>
          <cell r="B726">
            <v>511505</v>
          </cell>
          <cell r="C726" t="str">
            <v>CAPTRUST</v>
          </cell>
        </row>
        <row r="727">
          <cell r="A727" t="str">
            <v>CAPLIN POINT LABORATORIES LTD</v>
          </cell>
          <cell r="B727">
            <v>524742</v>
          </cell>
          <cell r="C727" t="str">
            <v>CAPLIPOINT</v>
          </cell>
        </row>
        <row r="728">
          <cell r="A728" t="str">
            <v>CAPRI GLOBAL CAPITAL LTD</v>
          </cell>
          <cell r="B728">
            <v>531595</v>
          </cell>
          <cell r="C728" t="str">
            <v>CGCL</v>
          </cell>
        </row>
        <row r="729">
          <cell r="A729" t="str">
            <v>CAPRICORN SYSTEMS GLOBAL SOLUTIONS LTD</v>
          </cell>
          <cell r="B729">
            <v>512169</v>
          </cell>
          <cell r="C729" t="str">
            <v>Not Listed</v>
          </cell>
        </row>
        <row r="730">
          <cell r="A730" t="str">
            <v>CAPRIHANS (INDIA) LTD</v>
          </cell>
          <cell r="B730">
            <v>509486</v>
          </cell>
          <cell r="C730" t="str">
            <v>Not Listed</v>
          </cell>
        </row>
        <row r="731">
          <cell r="A731" t="str">
            <v>CAPRIHANS INDIA LTD</v>
          </cell>
          <cell r="B731">
            <v>509486</v>
          </cell>
          <cell r="C731" t="str">
            <v>Not Listed</v>
          </cell>
        </row>
        <row r="732">
          <cell r="A732" t="str">
            <v>CAPROLACTAM CHEMICALS LTD</v>
          </cell>
          <cell r="B732">
            <v>507486</v>
          </cell>
          <cell r="C732" t="str">
            <v>Not Listed</v>
          </cell>
        </row>
        <row r="733">
          <cell r="A733" t="str">
            <v>CAPTAIN PIPES LTD</v>
          </cell>
          <cell r="B733">
            <v>538817</v>
          </cell>
          <cell r="C733" t="str">
            <v>Not Listed</v>
          </cell>
        </row>
        <row r="734">
          <cell r="A734" t="str">
            <v>CAPTAIN POLYPLAST LTD</v>
          </cell>
          <cell r="B734">
            <v>536974</v>
          </cell>
          <cell r="C734" t="str">
            <v>Not Listed</v>
          </cell>
        </row>
        <row r="735">
          <cell r="A735" t="str">
            <v>CAPTAIN TECHNOCAST LTD</v>
          </cell>
          <cell r="B735">
            <v>540652</v>
          </cell>
          <cell r="C735" t="str">
            <v>Not Listed</v>
          </cell>
        </row>
        <row r="736">
          <cell r="A736" t="str">
            <v>CARBORUNDUM UNIVERSAL LTD</v>
          </cell>
          <cell r="B736">
            <v>513375</v>
          </cell>
          <cell r="C736" t="str">
            <v>CARBORUNIV</v>
          </cell>
        </row>
        <row r="737">
          <cell r="A737" t="str">
            <v>CARE RATINGS LTD</v>
          </cell>
          <cell r="B737">
            <v>534804</v>
          </cell>
          <cell r="C737" t="str">
            <v>CARERATING</v>
          </cell>
        </row>
        <row r="738">
          <cell r="A738" t="str">
            <v>CAREER POINT LTD</v>
          </cell>
          <cell r="B738">
            <v>533260</v>
          </cell>
          <cell r="C738" t="str">
            <v>CAREERP</v>
          </cell>
        </row>
        <row r="739">
          <cell r="A739" t="str">
            <v>CARNATION INDUSTRIES LTD</v>
          </cell>
          <cell r="B739">
            <v>530609</v>
          </cell>
          <cell r="C739" t="str">
            <v>Not Listed</v>
          </cell>
        </row>
        <row r="740">
          <cell r="A740" t="str">
            <v>CASTEX TECHNOLOGIES LTD</v>
          </cell>
          <cell r="B740">
            <v>532282</v>
          </cell>
          <cell r="C740" t="str">
            <v>CASTEXTECH</v>
          </cell>
        </row>
        <row r="741">
          <cell r="A741" t="str">
            <v>CASTROL (INDIA) LTD</v>
          </cell>
          <cell r="B741">
            <v>500870</v>
          </cell>
          <cell r="C741" t="str">
            <v>CASTROLIND</v>
          </cell>
        </row>
        <row r="742">
          <cell r="A742" t="str">
            <v>CASTROL INDIA LTD</v>
          </cell>
          <cell r="B742">
            <v>500870</v>
          </cell>
          <cell r="C742" t="str">
            <v>CASTROLIND</v>
          </cell>
        </row>
        <row r="743">
          <cell r="A743" t="str">
            <v>CAT TECHNOLOGIES LTD</v>
          </cell>
          <cell r="B743">
            <v>531682</v>
          </cell>
          <cell r="C743" t="str">
            <v>Not Listed</v>
          </cell>
        </row>
        <row r="744">
          <cell r="A744" t="str">
            <v>CATVISION LTD</v>
          </cell>
          <cell r="B744">
            <v>531158</v>
          </cell>
          <cell r="C744" t="str">
            <v>Not Listed</v>
          </cell>
        </row>
        <row r="745">
          <cell r="A745" t="str">
            <v>CCL INTERNATIONAL LTD</v>
          </cell>
          <cell r="B745">
            <v>531900</v>
          </cell>
          <cell r="C745" t="str">
            <v>Not Listed</v>
          </cell>
        </row>
        <row r="746">
          <cell r="A746" t="str">
            <v>CCL PRODUCTS (INDIA) LTD</v>
          </cell>
          <cell r="B746">
            <v>519600</v>
          </cell>
          <cell r="C746" t="str">
            <v>CCL</v>
          </cell>
        </row>
        <row r="747">
          <cell r="A747" t="str">
            <v>CCL PRODUCTS INDIA LTD</v>
          </cell>
          <cell r="B747">
            <v>519600</v>
          </cell>
          <cell r="C747" t="str">
            <v>CCL</v>
          </cell>
        </row>
        <row r="748">
          <cell r="A748" t="str">
            <v>CEAT LTD</v>
          </cell>
          <cell r="B748">
            <v>500878</v>
          </cell>
          <cell r="C748" t="str">
            <v>CEATLTD</v>
          </cell>
        </row>
        <row r="749">
          <cell r="A749" t="str">
            <v>CEEJAY FINANCE LTD</v>
          </cell>
          <cell r="B749">
            <v>530789</v>
          </cell>
          <cell r="C749" t="str">
            <v>Not Listed</v>
          </cell>
        </row>
        <row r="750">
          <cell r="A750" t="str">
            <v>CEENIK EXPORTS (INDIA) LTD</v>
          </cell>
          <cell r="B750">
            <v>531119</v>
          </cell>
          <cell r="C750" t="str">
            <v>Not Listed</v>
          </cell>
        </row>
        <row r="751">
          <cell r="A751" t="str">
            <v>CEENIK EXPORTS INDIA LTD</v>
          </cell>
          <cell r="B751">
            <v>531119</v>
          </cell>
          <cell r="C751" t="str">
            <v>Not Listed</v>
          </cell>
        </row>
        <row r="752">
          <cell r="A752" t="str">
            <v>CEETA INDUSTRIES LTD</v>
          </cell>
          <cell r="B752">
            <v>514171</v>
          </cell>
          <cell r="C752" t="str">
            <v>Not Listed</v>
          </cell>
        </row>
        <row r="753">
          <cell r="A753" t="str">
            <v>CEINSYS TECH LTD</v>
          </cell>
          <cell r="B753">
            <v>538734</v>
          </cell>
          <cell r="C753" t="str">
            <v>Not Listed</v>
          </cell>
        </row>
        <row r="754">
          <cell r="A754" t="str">
            <v>CELEBRITY FASHIONS LTD</v>
          </cell>
          <cell r="B754">
            <v>532695</v>
          </cell>
          <cell r="C754" t="str">
            <v>CELEBRITY</v>
          </cell>
        </row>
        <row r="755">
          <cell r="A755" t="str">
            <v>CELESTIAL BIOLABS LTD</v>
          </cell>
          <cell r="B755">
            <v>532871</v>
          </cell>
          <cell r="C755" t="str">
            <v>CELESTIAL</v>
          </cell>
        </row>
        <row r="756">
          <cell r="A756" t="str">
            <v>CELLA SPACE LTD</v>
          </cell>
          <cell r="B756">
            <v>532701</v>
          </cell>
          <cell r="C756" t="str">
            <v>Not Listed</v>
          </cell>
        </row>
        <row r="757">
          <cell r="A757" t="str">
            <v>CENLUB INDUSTRIES LTD</v>
          </cell>
          <cell r="B757">
            <v>522251</v>
          </cell>
          <cell r="C757" t="str">
            <v>Not Listed</v>
          </cell>
        </row>
        <row r="758">
          <cell r="A758" t="str">
            <v>CENTENIAL SURGICAL SUTURE LTD</v>
          </cell>
          <cell r="B758">
            <v>531380</v>
          </cell>
          <cell r="C758" t="str">
            <v>Not Listed</v>
          </cell>
        </row>
        <row r="759">
          <cell r="A759" t="str">
            <v>CENTRAL BANK OF INDIA</v>
          </cell>
          <cell r="B759">
            <v>532885</v>
          </cell>
          <cell r="C759" t="str">
            <v>CENTRALBK</v>
          </cell>
        </row>
        <row r="760">
          <cell r="A760" t="str">
            <v>CENTRAL DEPOSITORY SERVICES (INDIA) LTD</v>
          </cell>
          <cell r="B760" t="str">
            <v>Not Listed</v>
          </cell>
          <cell r="C760" t="str">
            <v>CDSL</v>
          </cell>
        </row>
        <row r="761">
          <cell r="A761" t="str">
            <v>CENTRAL DEPOSITORY SERVICES INDIA LTD</v>
          </cell>
          <cell r="B761" t="str">
            <v>Not Listed</v>
          </cell>
          <cell r="C761" t="str">
            <v>CDSL</v>
          </cell>
        </row>
        <row r="762">
          <cell r="A762" t="str">
            <v>CENTRAL PROVINCES RAILWAYS CO LTD</v>
          </cell>
          <cell r="B762">
            <v>501827</v>
          </cell>
          <cell r="C762" t="str">
            <v>Not Listed</v>
          </cell>
        </row>
        <row r="763">
          <cell r="A763" t="str">
            <v>CENTRUM CAPITAL LTD</v>
          </cell>
          <cell r="B763">
            <v>501150</v>
          </cell>
          <cell r="C763" t="str">
            <v>CENTRUM</v>
          </cell>
        </row>
        <row r="764">
          <cell r="A764" t="str">
            <v>CENTUM ELECTRONICS LTD</v>
          </cell>
          <cell r="B764">
            <v>517544</v>
          </cell>
          <cell r="C764" t="str">
            <v>CENTUM</v>
          </cell>
        </row>
        <row r="765">
          <cell r="A765" t="str">
            <v>CENTURY ENKA LTD</v>
          </cell>
          <cell r="B765">
            <v>500280</v>
          </cell>
          <cell r="C765" t="str">
            <v>CENTENKA</v>
          </cell>
        </row>
        <row r="766">
          <cell r="A766" t="str">
            <v>CENTURY EXTRUSIONS LTD</v>
          </cell>
          <cell r="B766">
            <v>500083</v>
          </cell>
          <cell r="C766" t="str">
            <v>CENTEXT</v>
          </cell>
        </row>
        <row r="767">
          <cell r="A767" t="str">
            <v>CENTURY PLYBOARDS (INDIA) LTD</v>
          </cell>
          <cell r="B767">
            <v>532548</v>
          </cell>
          <cell r="C767" t="str">
            <v>CENTURYPLY</v>
          </cell>
        </row>
        <row r="768">
          <cell r="A768" t="str">
            <v>CENTURY PLYBOARDS INDIA LTD</v>
          </cell>
          <cell r="B768">
            <v>532548</v>
          </cell>
          <cell r="C768" t="str">
            <v>CENTURYPLY</v>
          </cell>
        </row>
        <row r="769">
          <cell r="A769" t="str">
            <v>CENTURY TEXTILES &amp; INDUSTRIES LTD</v>
          </cell>
          <cell r="B769">
            <v>500040</v>
          </cell>
          <cell r="C769" t="str">
            <v>CENTURYTEX</v>
          </cell>
        </row>
        <row r="770">
          <cell r="A770" t="str">
            <v>CENTURY TWENTYFIRST PORTFOLIO LTD</v>
          </cell>
          <cell r="B770">
            <v>530881</v>
          </cell>
          <cell r="C770" t="str">
            <v>Not Listed</v>
          </cell>
        </row>
        <row r="771">
          <cell r="A771" t="str">
            <v>CERA SANITARYWARE LTD</v>
          </cell>
          <cell r="B771">
            <v>532443</v>
          </cell>
          <cell r="C771" t="str">
            <v>CERA</v>
          </cell>
        </row>
        <row r="772">
          <cell r="A772" t="str">
            <v>CEREBRA INTEGRATED TECHNOLOGIES LTD</v>
          </cell>
          <cell r="B772">
            <v>532413</v>
          </cell>
          <cell r="C772" t="str">
            <v>CEREBRAINT</v>
          </cell>
        </row>
        <row r="773">
          <cell r="A773" t="str">
            <v>CES LTD</v>
          </cell>
          <cell r="B773">
            <v>512341</v>
          </cell>
          <cell r="C773" t="str">
            <v>Not Listed</v>
          </cell>
        </row>
        <row r="774">
          <cell r="A774" t="str">
            <v>CESC LTD</v>
          </cell>
          <cell r="B774">
            <v>500084</v>
          </cell>
          <cell r="C774" t="str">
            <v>CESC</v>
          </cell>
        </row>
        <row r="775">
          <cell r="A775" t="str">
            <v>CESC Ventures LTD</v>
          </cell>
          <cell r="B775" t="str">
            <v>Not Listed</v>
          </cell>
          <cell r="C775" t="str">
            <v>CESCVENT</v>
          </cell>
        </row>
        <row r="776">
          <cell r="A776" t="str">
            <v>CESC Ventures Ltd</v>
          </cell>
          <cell r="B776">
            <v>542333</v>
          </cell>
          <cell r="C776" t="str">
            <v>CESCVENTURE</v>
          </cell>
        </row>
        <row r="777">
          <cell r="A777" t="str">
            <v>CG POWER AND INDUSTRIAL SOLUTIONS LTD</v>
          </cell>
          <cell r="B777">
            <v>500093</v>
          </cell>
          <cell r="C777" t="str">
            <v>CGPOWER</v>
          </cell>
        </row>
        <row r="778">
          <cell r="A778" t="str">
            <v>CG-VAK SOFTWARE &amp; EXPORTS LTD</v>
          </cell>
          <cell r="B778">
            <v>531489</v>
          </cell>
          <cell r="C778" t="str">
            <v>Not Listed</v>
          </cell>
        </row>
        <row r="779">
          <cell r="A779" t="str">
            <v>CHADHA PAPERS LTD</v>
          </cell>
          <cell r="B779">
            <v>531946</v>
          </cell>
          <cell r="C779" t="str">
            <v>Not Listed</v>
          </cell>
        </row>
        <row r="780">
          <cell r="A780" t="str">
            <v>Chalet Hotels Ltd</v>
          </cell>
          <cell r="B780">
            <v>542399</v>
          </cell>
          <cell r="C780" t="str">
            <v>CHALET</v>
          </cell>
        </row>
        <row r="781">
          <cell r="A781" t="str">
            <v>CHAMAK HOLDINGS LTD</v>
          </cell>
          <cell r="B781">
            <v>539600</v>
          </cell>
          <cell r="C781" t="str">
            <v>Not Listed</v>
          </cell>
        </row>
        <row r="782">
          <cell r="A782" t="str">
            <v>CHAMAN LAL SETIA EXPORTS LTD</v>
          </cell>
          <cell r="B782">
            <v>530307</v>
          </cell>
          <cell r="C782" t="str">
            <v>Not Listed</v>
          </cell>
        </row>
        <row r="783">
          <cell r="A783" t="str">
            <v>CHAMBAL BREWERIES &amp; DISTILLERIES LTD</v>
          </cell>
          <cell r="B783">
            <v>512301</v>
          </cell>
          <cell r="C783" t="str">
            <v>Not Listed</v>
          </cell>
        </row>
        <row r="784">
          <cell r="A784" t="str">
            <v>CHAMBAL FERTILIZERS &amp; CHEMICALS LTD</v>
          </cell>
          <cell r="B784">
            <v>500085</v>
          </cell>
          <cell r="C784" t="str">
            <v>CHAMBLFERT</v>
          </cell>
        </row>
        <row r="785">
          <cell r="A785" t="str">
            <v>Chandni Machines Ltd</v>
          </cell>
          <cell r="B785">
            <v>542627</v>
          </cell>
          <cell r="C785" t="str">
            <v>CHANDNIMACH</v>
          </cell>
        </row>
        <row r="786">
          <cell r="A786" t="str">
            <v>CHANDNI TEXTILES ENGINEERING IND  LTD</v>
          </cell>
          <cell r="B786">
            <v>522292</v>
          </cell>
          <cell r="C786" t="str">
            <v>Not Listed</v>
          </cell>
        </row>
        <row r="787">
          <cell r="A787" t="str">
            <v>CHANDRA PRABHU INTERNATIONAL LTD</v>
          </cell>
          <cell r="B787">
            <v>530309</v>
          </cell>
          <cell r="C787" t="str">
            <v>Not Listed</v>
          </cell>
        </row>
        <row r="788">
          <cell r="A788" t="str">
            <v>CHANDRIMA MERCANTILES LTD</v>
          </cell>
          <cell r="B788">
            <v>540829</v>
          </cell>
          <cell r="C788" t="str">
            <v>Not Listed</v>
          </cell>
        </row>
        <row r="789">
          <cell r="A789" t="str">
            <v>CHANNEL NINE ENTERTAINMENT LTD</v>
          </cell>
          <cell r="B789">
            <v>535142</v>
          </cell>
          <cell r="C789" t="str">
            <v>Not Listed</v>
          </cell>
        </row>
        <row r="790">
          <cell r="A790" t="str">
            <v>CHARMS INDUSTRIES LTD</v>
          </cell>
          <cell r="B790">
            <v>531327</v>
          </cell>
          <cell r="C790" t="str">
            <v>Not Listed</v>
          </cell>
        </row>
        <row r="791">
          <cell r="A791" t="str">
            <v>CHARTERED CAPITAL &amp; INVESTMENT LTD</v>
          </cell>
          <cell r="B791">
            <v>511696</v>
          </cell>
          <cell r="C791" t="str">
            <v>Not Listed</v>
          </cell>
        </row>
        <row r="792">
          <cell r="A792" t="str">
            <v>CHARTERED LOGISTICS LTD</v>
          </cell>
          <cell r="B792">
            <v>531977</v>
          </cell>
          <cell r="C792" t="str">
            <v>Not Listed</v>
          </cell>
        </row>
        <row r="793">
          <cell r="A793" t="str">
            <v>CHASE BRIGHT STEEL LTD</v>
          </cell>
          <cell r="B793">
            <v>504671</v>
          </cell>
          <cell r="C793" t="str">
            <v>Not Listed</v>
          </cell>
        </row>
        <row r="794">
          <cell r="A794" t="str">
            <v>CHD CHEMICALS LTD</v>
          </cell>
          <cell r="B794">
            <v>539800</v>
          </cell>
          <cell r="C794" t="str">
            <v>Not Listed</v>
          </cell>
        </row>
        <row r="795">
          <cell r="A795" t="str">
            <v>CHD DEVELOPERS LTD</v>
          </cell>
          <cell r="B795">
            <v>526917</v>
          </cell>
          <cell r="C795" t="str">
            <v>Not Listed</v>
          </cell>
        </row>
        <row r="796">
          <cell r="A796" t="str">
            <v>CHEMBOND CHEMICALS LTD</v>
          </cell>
          <cell r="B796">
            <v>530871</v>
          </cell>
          <cell r="C796" t="str">
            <v>Not Listed</v>
          </cell>
        </row>
        <row r="797">
          <cell r="A797" t="str">
            <v>CHEMCRUX ENTERPRISES LTD</v>
          </cell>
          <cell r="B797">
            <v>540395</v>
          </cell>
          <cell r="C797" t="str">
            <v>Not Listed</v>
          </cell>
        </row>
        <row r="798">
          <cell r="A798" t="str">
            <v>CHEMFAB ALKALIS LTD</v>
          </cell>
          <cell r="B798">
            <v>541269</v>
          </cell>
          <cell r="C798" t="str">
            <v>CHEMFAB</v>
          </cell>
        </row>
        <row r="799">
          <cell r="A799" t="str">
            <v>CHEMIESYNTH VAPI LTD</v>
          </cell>
          <cell r="B799">
            <v>539230</v>
          </cell>
          <cell r="C799" t="str">
            <v>Not Listed</v>
          </cell>
        </row>
        <row r="800">
          <cell r="A800" t="str">
            <v>CHEMO PHARMA LABORATORIES LTD</v>
          </cell>
          <cell r="B800">
            <v>506365</v>
          </cell>
          <cell r="C800" t="str">
            <v>Not Listed</v>
          </cell>
        </row>
        <row r="801">
          <cell r="A801" t="str">
            <v>CHEMTECH INDUSTRIAL VALVES LTD</v>
          </cell>
          <cell r="B801">
            <v>537326</v>
          </cell>
          <cell r="C801" t="str">
            <v>Not Listed</v>
          </cell>
        </row>
        <row r="802">
          <cell r="A802" t="str">
            <v>CHENNAI FERROUS INDUSTRIES LTD</v>
          </cell>
          <cell r="B802">
            <v>539011</v>
          </cell>
          <cell r="C802" t="str">
            <v>Not Listed</v>
          </cell>
        </row>
        <row r="803">
          <cell r="A803" t="str">
            <v>CHENNAI MEENAKSHI MULTISPECIALITY HOSPITAL LTD</v>
          </cell>
          <cell r="B803">
            <v>523489</v>
          </cell>
          <cell r="C803" t="str">
            <v>Not Listed</v>
          </cell>
        </row>
        <row r="804">
          <cell r="A804" t="str">
            <v>CHENNAI PETROLEUM CORPORATION LTD</v>
          </cell>
          <cell r="B804">
            <v>500110</v>
          </cell>
          <cell r="C804" t="str">
            <v>CHENNPETRO</v>
          </cell>
        </row>
        <row r="805">
          <cell r="A805" t="str">
            <v>CHEVIOT CO LTD</v>
          </cell>
          <cell r="B805">
            <v>526817</v>
          </cell>
          <cell r="C805" t="str">
            <v>Not Listed</v>
          </cell>
        </row>
        <row r="806">
          <cell r="A806" t="str">
            <v>CHITRADURGA SPINTEX LTD</v>
          </cell>
          <cell r="B806">
            <v>521244</v>
          </cell>
          <cell r="C806" t="str">
            <v>Not Listed</v>
          </cell>
        </row>
        <row r="807">
          <cell r="A807" t="str">
            <v>CHL LTD</v>
          </cell>
          <cell r="B807">
            <v>532992</v>
          </cell>
          <cell r="C807" t="str">
            <v>Not Listed</v>
          </cell>
        </row>
        <row r="808">
          <cell r="A808" t="str">
            <v>CHOICE INTERNATIONAL LTD</v>
          </cell>
          <cell r="B808">
            <v>531358</v>
          </cell>
          <cell r="C808" t="str">
            <v>Not Listed</v>
          </cell>
        </row>
        <row r="809">
          <cell r="A809" t="str">
            <v>CHOKSI IMAGING LTD</v>
          </cell>
          <cell r="B809">
            <v>530427</v>
          </cell>
          <cell r="C809" t="str">
            <v>Not Listed</v>
          </cell>
        </row>
        <row r="810">
          <cell r="A810" t="str">
            <v>CHOKSI LABORATORIES LTD</v>
          </cell>
          <cell r="B810">
            <v>526546</v>
          </cell>
          <cell r="C810" t="str">
            <v>Not Listed</v>
          </cell>
        </row>
        <row r="811">
          <cell r="A811" t="str">
            <v>Cholamandalam Financial Holdings LTD</v>
          </cell>
          <cell r="B811">
            <v>511243</v>
          </cell>
          <cell r="C811" t="str">
            <v>CHOLAHLDNG</v>
          </cell>
        </row>
        <row r="812">
          <cell r="A812" t="str">
            <v>CHOLAMANDALAM INVESTMENT AND FINANCE COMPANY LTD</v>
          </cell>
          <cell r="B812">
            <v>511243</v>
          </cell>
          <cell r="C812" t="str">
            <v>CHOLAFIN</v>
          </cell>
        </row>
        <row r="813">
          <cell r="A813" t="str">
            <v>CHORDIA FOOD PRODUCTS LTD</v>
          </cell>
          <cell r="B813">
            <v>519475</v>
          </cell>
          <cell r="C813" t="str">
            <v>Not Listed</v>
          </cell>
        </row>
        <row r="814">
          <cell r="A814" t="str">
            <v>CHOTHANI FOODS LTD</v>
          </cell>
          <cell r="B814">
            <v>540681</v>
          </cell>
          <cell r="C814" t="str">
            <v>Not Listed</v>
          </cell>
        </row>
        <row r="815">
          <cell r="A815" t="str">
            <v>CHOWGULE STEAMSHIPS LTD</v>
          </cell>
          <cell r="B815">
            <v>501833</v>
          </cell>
          <cell r="C815" t="str">
            <v>Not Listed</v>
          </cell>
        </row>
        <row r="816">
          <cell r="A816" t="str">
            <v>CHPL INDUSTRIES LTD</v>
          </cell>
          <cell r="B816">
            <v>539335</v>
          </cell>
          <cell r="C816" t="str">
            <v>Not Listed</v>
          </cell>
        </row>
        <row r="817">
          <cell r="A817" t="str">
            <v>CHROMATIC (INDIA) LTD</v>
          </cell>
          <cell r="B817">
            <v>530191</v>
          </cell>
          <cell r="C817" t="str">
            <v>CHROMATIC</v>
          </cell>
        </row>
        <row r="818">
          <cell r="A818" t="str">
            <v>CHROMATIC INDIA LTD</v>
          </cell>
          <cell r="B818">
            <v>530191</v>
          </cell>
          <cell r="C818" t="str">
            <v>CHROMATIC</v>
          </cell>
        </row>
        <row r="819">
          <cell r="A819" t="str">
            <v>CIAN AGRO INDUSTRIES &amp; INFRASTRUCTURE LTD</v>
          </cell>
          <cell r="B819">
            <v>519477</v>
          </cell>
          <cell r="C819" t="str">
            <v>Not Listed</v>
          </cell>
        </row>
        <row r="820">
          <cell r="A820" t="str">
            <v>Cian Healthcare Ltd</v>
          </cell>
          <cell r="B820">
            <v>542678</v>
          </cell>
          <cell r="C820" t="str">
            <v>CHCL</v>
          </cell>
        </row>
        <row r="821">
          <cell r="A821" t="str">
            <v>CIGNITI TECHNOLOGIES LTD</v>
          </cell>
          <cell r="B821">
            <v>534758</v>
          </cell>
          <cell r="C821" t="str">
            <v>CIGNITITEC</v>
          </cell>
        </row>
        <row r="822">
          <cell r="A822" t="str">
            <v>CIL NOVA PETROCHEMICALS LTD</v>
          </cell>
          <cell r="B822">
            <v>533407</v>
          </cell>
          <cell r="C822" t="str">
            <v>CNOVAPETRO</v>
          </cell>
        </row>
        <row r="823">
          <cell r="A823" t="str">
            <v>CIL SECURITIES LTD</v>
          </cell>
          <cell r="B823">
            <v>530829</v>
          </cell>
          <cell r="C823" t="str">
            <v>Not Listed</v>
          </cell>
        </row>
        <row r="824">
          <cell r="A824" t="str">
            <v>CIMMCO LTD</v>
          </cell>
          <cell r="B824">
            <v>505230</v>
          </cell>
          <cell r="C824" t="str">
            <v>CIMMCO</v>
          </cell>
        </row>
        <row r="825">
          <cell r="A825" t="str">
            <v>CINDRELLA FINANCIAL SERVICES LTD</v>
          </cell>
          <cell r="B825">
            <v>531283</v>
          </cell>
          <cell r="C825" t="str">
            <v>Not Listed</v>
          </cell>
        </row>
        <row r="826">
          <cell r="A826" t="str">
            <v>CINDRELLA HOTELS LTD</v>
          </cell>
          <cell r="B826">
            <v>526373</v>
          </cell>
          <cell r="C826" t="str">
            <v>Not Listed</v>
          </cell>
        </row>
        <row r="827">
          <cell r="A827" t="str">
            <v>CINELINE (INDIA) LTD</v>
          </cell>
          <cell r="B827">
            <v>532807</v>
          </cell>
          <cell r="C827" t="str">
            <v>CINELINE</v>
          </cell>
        </row>
        <row r="828">
          <cell r="A828" t="str">
            <v>CINELINE INDIA LTD</v>
          </cell>
          <cell r="B828">
            <v>532807</v>
          </cell>
          <cell r="C828" t="str">
            <v>CINELINE</v>
          </cell>
        </row>
        <row r="829">
          <cell r="A829" t="str">
            <v>CINERAD COMMUNICATIONS LTD</v>
          </cell>
          <cell r="B829">
            <v>530457</v>
          </cell>
          <cell r="C829" t="str">
            <v>Not Listed</v>
          </cell>
        </row>
        <row r="830">
          <cell r="A830" t="str">
            <v>CINEVISTA LTD</v>
          </cell>
          <cell r="B830">
            <v>532324</v>
          </cell>
          <cell r="C830" t="str">
            <v>CINEVISTA</v>
          </cell>
        </row>
        <row r="831">
          <cell r="A831" t="str">
            <v>CIPLA LTD</v>
          </cell>
          <cell r="B831">
            <v>500087</v>
          </cell>
          <cell r="C831" t="str">
            <v>CIPLA</v>
          </cell>
        </row>
        <row r="832">
          <cell r="A832" t="str">
            <v>CISTRO TELELINK LTD</v>
          </cell>
          <cell r="B832">
            <v>531775</v>
          </cell>
          <cell r="C832" t="str">
            <v>Not Listed</v>
          </cell>
        </row>
        <row r="833">
          <cell r="A833" t="str">
            <v>CITADEL REALTY AND DEVELOPERS LTD</v>
          </cell>
          <cell r="B833">
            <v>502445</v>
          </cell>
          <cell r="C833" t="str">
            <v>Not Listed</v>
          </cell>
        </row>
        <row r="834">
          <cell r="A834" t="str">
            <v>CITIPORT FINANCIAL SERVICES LTD</v>
          </cell>
          <cell r="B834">
            <v>531235</v>
          </cell>
          <cell r="C834" t="str">
            <v>Not Listed</v>
          </cell>
        </row>
        <row r="835">
          <cell r="A835" t="str">
            <v>CITIZEN INFOLINE LTD</v>
          </cell>
          <cell r="B835">
            <v>538786</v>
          </cell>
          <cell r="C835" t="str">
            <v>Not Listed</v>
          </cell>
        </row>
        <row r="836">
          <cell r="A836" t="str">
            <v>CITY ONLINE SERVICES LTD</v>
          </cell>
          <cell r="B836">
            <v>538674</v>
          </cell>
          <cell r="C836" t="str">
            <v>Not Listed</v>
          </cell>
        </row>
        <row r="837">
          <cell r="A837" t="str">
            <v>CITY UNION BANK LTD</v>
          </cell>
          <cell r="B837">
            <v>532210</v>
          </cell>
          <cell r="C837" t="str">
            <v>CUB</v>
          </cell>
        </row>
        <row r="838">
          <cell r="A838" t="str">
            <v>CITYMAN LTD</v>
          </cell>
          <cell r="B838">
            <v>521210</v>
          </cell>
          <cell r="C838" t="str">
            <v>Not Listed</v>
          </cell>
        </row>
        <row r="839">
          <cell r="A839" t="str">
            <v>CITYON SYSTEMS (INDIA) LTD</v>
          </cell>
          <cell r="B839">
            <v>780013</v>
          </cell>
          <cell r="C839" t="str">
            <v>Not Listed</v>
          </cell>
        </row>
        <row r="840">
          <cell r="A840" t="str">
            <v>CITYON SYSTEMS INDIA LTD</v>
          </cell>
          <cell r="B840">
            <v>780013</v>
          </cell>
          <cell r="C840" t="str">
            <v>Not Listed</v>
          </cell>
        </row>
        <row r="841">
          <cell r="A841" t="str">
            <v>CKP LEISURE LTD</v>
          </cell>
          <cell r="B841" t="str">
            <v>Not Listed</v>
          </cell>
          <cell r="C841" t="str">
            <v>CKPLEISURE</v>
          </cell>
        </row>
        <row r="842">
          <cell r="A842" t="str">
            <v>CKP PRODUCTS LTD</v>
          </cell>
          <cell r="B842" t="str">
            <v>Not Listed</v>
          </cell>
          <cell r="C842" t="str">
            <v>CKPPRODUCT</v>
          </cell>
        </row>
        <row r="843">
          <cell r="A843" t="str">
            <v>CL EDUCATE LTD</v>
          </cell>
          <cell r="B843">
            <v>540403</v>
          </cell>
          <cell r="C843" t="str">
            <v>CLEDUCATE</v>
          </cell>
        </row>
        <row r="844">
          <cell r="A844" t="str">
            <v>CLARIANT CHEMICALS (INDIA) LTD</v>
          </cell>
          <cell r="B844">
            <v>506390</v>
          </cell>
          <cell r="C844" t="str">
            <v>CLN(INDIA)</v>
          </cell>
        </row>
        <row r="845">
          <cell r="A845" t="str">
            <v>CLARIANT CHEMICALS INDIA LTD</v>
          </cell>
          <cell r="B845">
            <v>506390</v>
          </cell>
          <cell r="C845" t="str">
            <v>CLNINDIA</v>
          </cell>
        </row>
        <row r="846">
          <cell r="A846" t="str">
            <v>CLASSIC ELECTRICALS LTD</v>
          </cell>
          <cell r="B846">
            <v>512213</v>
          </cell>
          <cell r="C846" t="str">
            <v>Not Listed</v>
          </cell>
        </row>
        <row r="847">
          <cell r="A847" t="str">
            <v>CLASSIC FILAMENTS LTD</v>
          </cell>
          <cell r="B847">
            <v>540310</v>
          </cell>
          <cell r="C847" t="str">
            <v>Not Listed</v>
          </cell>
        </row>
        <row r="848">
          <cell r="A848" t="str">
            <v>CLASSIC GLOBAL FINANCE &amp; CAPITAL LTD</v>
          </cell>
          <cell r="B848">
            <v>538433</v>
          </cell>
          <cell r="C848" t="str">
            <v>Not Listed</v>
          </cell>
        </row>
        <row r="849">
          <cell r="A849" t="str">
            <v>CLASSIC LEASING &amp; FINANCE LTD</v>
          </cell>
          <cell r="B849">
            <v>540481</v>
          </cell>
          <cell r="C849" t="str">
            <v>Not Listed</v>
          </cell>
        </row>
        <row r="850">
          <cell r="A850" t="str">
            <v>CLIO INFOTECH LTD</v>
          </cell>
          <cell r="B850">
            <v>530839</v>
          </cell>
          <cell r="C850" t="str">
            <v>Not Listed</v>
          </cell>
        </row>
        <row r="851">
          <cell r="A851" t="str">
            <v>CMI FPE LTD</v>
          </cell>
          <cell r="B851">
            <v>500147</v>
          </cell>
          <cell r="C851" t="str">
            <v>Not Listed</v>
          </cell>
        </row>
        <row r="852">
          <cell r="A852" t="str">
            <v>CMI LTD</v>
          </cell>
          <cell r="B852">
            <v>517330</v>
          </cell>
          <cell r="C852" t="str">
            <v>CMICABLES</v>
          </cell>
        </row>
        <row r="853">
          <cell r="A853" t="str">
            <v>CMM INFRAPROJECTS LTD</v>
          </cell>
          <cell r="B853" t="str">
            <v>Not Listed</v>
          </cell>
          <cell r="C853" t="str">
            <v>CMMIPL</v>
          </cell>
        </row>
        <row r="854">
          <cell r="A854" t="str">
            <v>CNI RESEARCH LTD</v>
          </cell>
          <cell r="B854">
            <v>512018</v>
          </cell>
          <cell r="C854" t="str">
            <v>Not Listed</v>
          </cell>
        </row>
        <row r="855">
          <cell r="A855" t="str">
            <v>COAL (INDIA) LTD</v>
          </cell>
          <cell r="B855">
            <v>533278</v>
          </cell>
          <cell r="C855" t="str">
            <v>COAL(INDIA)</v>
          </cell>
        </row>
        <row r="856">
          <cell r="A856" t="str">
            <v>COAL INDIA LTD</v>
          </cell>
          <cell r="B856">
            <v>533278</v>
          </cell>
          <cell r="C856" t="str">
            <v>COALINDIA</v>
          </cell>
        </row>
        <row r="857">
          <cell r="A857" t="str">
            <v>COASTAL CORPORATION LTD</v>
          </cell>
          <cell r="B857">
            <v>501831</v>
          </cell>
          <cell r="C857" t="str">
            <v>Not Listed</v>
          </cell>
        </row>
        <row r="858">
          <cell r="A858" t="str">
            <v>COASTAL ROADWAYS LTD</v>
          </cell>
          <cell r="B858">
            <v>520131</v>
          </cell>
          <cell r="C858" t="str">
            <v>Not Listed</v>
          </cell>
        </row>
        <row r="859">
          <cell r="A859" t="str">
            <v>COCHIN MALABAR ESTATES &amp; INDUSTRIES LTD</v>
          </cell>
          <cell r="B859">
            <v>508571</v>
          </cell>
          <cell r="C859" t="str">
            <v>Not Listed</v>
          </cell>
        </row>
        <row r="860">
          <cell r="A860" t="str">
            <v>COCHIN MINERALS &amp; RUTILE LTD</v>
          </cell>
          <cell r="B860">
            <v>513353</v>
          </cell>
          <cell r="C860" t="str">
            <v>Not Listed</v>
          </cell>
        </row>
        <row r="861">
          <cell r="A861" t="str">
            <v>COCHIN SHIPYARD LTD</v>
          </cell>
          <cell r="B861">
            <v>540678</v>
          </cell>
          <cell r="C861" t="str">
            <v>COCHINSHIP</v>
          </cell>
        </row>
        <row r="862">
          <cell r="A862" t="str">
            <v>COFFEE DAY ENTERPRISES LTD</v>
          </cell>
          <cell r="B862">
            <v>539436</v>
          </cell>
          <cell r="C862" t="str">
            <v>COFFEEDAY</v>
          </cell>
        </row>
        <row r="863">
          <cell r="A863" t="str">
            <v>COLGATE PALMOLIVE (INDIA) LTD</v>
          </cell>
          <cell r="B863">
            <v>500830</v>
          </cell>
          <cell r="C863" t="str">
            <v>COLPAL</v>
          </cell>
        </row>
        <row r="864">
          <cell r="A864" t="str">
            <v>COLGATE PALMOLIVE INDIA LTD</v>
          </cell>
          <cell r="B864">
            <v>500830</v>
          </cell>
          <cell r="C864" t="str">
            <v>COLPAL</v>
          </cell>
        </row>
        <row r="865">
          <cell r="A865" t="str">
            <v>COLINZ LABORATORIES LTD</v>
          </cell>
          <cell r="B865">
            <v>531210</v>
          </cell>
          <cell r="C865" t="str">
            <v>Not Listed</v>
          </cell>
        </row>
        <row r="866">
          <cell r="A866" t="str">
            <v>COLORCHIPS NEW MEDIA LTD</v>
          </cell>
          <cell r="B866">
            <v>540023</v>
          </cell>
          <cell r="C866" t="str">
            <v>Not Listed</v>
          </cell>
        </row>
        <row r="867">
          <cell r="A867" t="str">
            <v>COMBAT DRUGS LTD</v>
          </cell>
          <cell r="B867">
            <v>524752</v>
          </cell>
          <cell r="C867" t="str">
            <v>Not Listed</v>
          </cell>
        </row>
        <row r="868">
          <cell r="A868" t="str">
            <v>COMFORT COMMOTRADE LTD</v>
          </cell>
          <cell r="B868">
            <v>534691</v>
          </cell>
          <cell r="C868" t="str">
            <v>Not Listed</v>
          </cell>
        </row>
        <row r="869">
          <cell r="A869" t="str">
            <v>COMFORT FINCAP LTD</v>
          </cell>
          <cell r="B869">
            <v>535267</v>
          </cell>
          <cell r="C869" t="str">
            <v>Not Listed</v>
          </cell>
        </row>
        <row r="870">
          <cell r="A870" t="str">
            <v>COMFORT INTECH LTD</v>
          </cell>
          <cell r="B870">
            <v>531216</v>
          </cell>
          <cell r="C870" t="str">
            <v>Not Listed</v>
          </cell>
        </row>
        <row r="871">
          <cell r="A871" t="str">
            <v>COMMERCIAL ENGINEERS &amp; BODY BUILDERS CO LTD</v>
          </cell>
          <cell r="B871">
            <v>533272</v>
          </cell>
          <cell r="C871" t="str">
            <v>CEBBCO</v>
          </cell>
        </row>
        <row r="872">
          <cell r="A872" t="str">
            <v>COMMERCIAL SYN BAGS LTD</v>
          </cell>
          <cell r="B872">
            <v>539986</v>
          </cell>
          <cell r="C872" t="str">
            <v>Not Listed</v>
          </cell>
        </row>
        <row r="873">
          <cell r="A873" t="str">
            <v>COMMEX TECHNOLOGY LTD</v>
          </cell>
          <cell r="B873">
            <v>532342</v>
          </cell>
          <cell r="C873" t="str">
            <v>Not Listed</v>
          </cell>
        </row>
        <row r="874">
          <cell r="A874" t="str">
            <v>COMPETENT AUTOMOBILES CO LTD</v>
          </cell>
          <cell r="B874">
            <v>531041</v>
          </cell>
          <cell r="C874" t="str">
            <v>Not Listed</v>
          </cell>
        </row>
        <row r="875">
          <cell r="A875" t="str">
            <v>COMPUAGE INFOCOM LTD</v>
          </cell>
          <cell r="B875">
            <v>532456</v>
          </cell>
          <cell r="C875" t="str">
            <v>COMPINFO</v>
          </cell>
        </row>
        <row r="876">
          <cell r="A876" t="str">
            <v>COMPUCOM SOFTWARE LTD</v>
          </cell>
          <cell r="B876">
            <v>532339</v>
          </cell>
          <cell r="C876" t="str">
            <v>COMPUSOFT</v>
          </cell>
        </row>
        <row r="877">
          <cell r="A877" t="str">
            <v>COMPUTER POINT LTD</v>
          </cell>
          <cell r="B877">
            <v>507833</v>
          </cell>
          <cell r="C877" t="str">
            <v>Not Listed</v>
          </cell>
        </row>
        <row r="878">
          <cell r="A878" t="str">
            <v>CONART ENGINEERS LTD</v>
          </cell>
          <cell r="B878">
            <v>522231</v>
          </cell>
          <cell r="C878" t="str">
            <v>Not Listed</v>
          </cell>
        </row>
        <row r="879">
          <cell r="A879" t="str">
            <v>CONCORD DRUGS LTD</v>
          </cell>
          <cell r="B879">
            <v>538965</v>
          </cell>
          <cell r="C879" t="str">
            <v>Not Listed</v>
          </cell>
        </row>
        <row r="880">
          <cell r="A880" t="str">
            <v>CONCRETE CREDIT LTD</v>
          </cell>
          <cell r="B880">
            <v>539266</v>
          </cell>
          <cell r="C880" t="str">
            <v>Not Listed</v>
          </cell>
        </row>
        <row r="881">
          <cell r="A881" t="str">
            <v>CONFIDENCE FINANCE AND TRADING LTD</v>
          </cell>
          <cell r="B881">
            <v>504340</v>
          </cell>
          <cell r="C881" t="str">
            <v>Not Listed</v>
          </cell>
        </row>
        <row r="882">
          <cell r="A882" t="str">
            <v>Confidence Futuristic Energetech Ltd</v>
          </cell>
          <cell r="B882">
            <v>539991</v>
          </cell>
          <cell r="C882" t="str">
            <v>CFEL</v>
          </cell>
        </row>
        <row r="883">
          <cell r="A883" t="str">
            <v>CONFIDENCE PETROLEUM (INDIA) LTD</v>
          </cell>
          <cell r="B883">
            <v>526829</v>
          </cell>
          <cell r="C883" t="str">
            <v>Not Listed</v>
          </cell>
        </row>
        <row r="884">
          <cell r="A884" t="str">
            <v>Confidence Petroleum India LTD</v>
          </cell>
          <cell r="B884">
            <v>526829</v>
          </cell>
          <cell r="C884" t="str">
            <v>CONFIPET</v>
          </cell>
        </row>
        <row r="885">
          <cell r="A885" t="str">
            <v>CONFIDENCE PETROLEUM INDIA LTD</v>
          </cell>
          <cell r="B885">
            <v>526829</v>
          </cell>
          <cell r="C885" t="str">
            <v>Not Listed</v>
          </cell>
        </row>
        <row r="886">
          <cell r="A886" t="str">
            <v>CONSECUTIVE INVESTMENT &amp; TRADING COMPANY LTD</v>
          </cell>
          <cell r="B886">
            <v>539091</v>
          </cell>
          <cell r="C886" t="str">
            <v>Not Listed</v>
          </cell>
        </row>
        <row r="887">
          <cell r="A887" t="str">
            <v>CONSOLIDATED CONSTRUCTION CONSORTIUM LTD</v>
          </cell>
          <cell r="B887">
            <v>532902</v>
          </cell>
          <cell r="C887" t="str">
            <v>CCCL</v>
          </cell>
        </row>
        <row r="888">
          <cell r="A888" t="str">
            <v>CONSOLIDATED FINVEST &amp; HOLDINGS LTD</v>
          </cell>
          <cell r="B888" t="str">
            <v>Not Listed</v>
          </cell>
          <cell r="C888" t="str">
            <v>CONSOFINVT</v>
          </cell>
        </row>
        <row r="889">
          <cell r="A889" t="str">
            <v>CONTAINER CORPORATION OF (INDIA) LTD</v>
          </cell>
          <cell r="B889">
            <v>531344</v>
          </cell>
          <cell r="C889" t="str">
            <v>CONCOR</v>
          </cell>
        </row>
        <row r="890">
          <cell r="A890" t="str">
            <v>CONTAINER CORPORATION OF INDIA LTD</v>
          </cell>
          <cell r="B890">
            <v>531344</v>
          </cell>
          <cell r="C890" t="str">
            <v>CONCOR</v>
          </cell>
        </row>
        <row r="891">
          <cell r="A891" t="str">
            <v>CONTAINERWAY INTERNATIONAL LTD</v>
          </cell>
          <cell r="B891">
            <v>540597</v>
          </cell>
          <cell r="C891" t="str">
            <v>Not Listed</v>
          </cell>
        </row>
        <row r="892">
          <cell r="A892" t="str">
            <v>CONTIL (INDIA) LTD</v>
          </cell>
          <cell r="B892">
            <v>531067</v>
          </cell>
          <cell r="C892" t="str">
            <v>Not Listed</v>
          </cell>
        </row>
        <row r="893">
          <cell r="A893" t="str">
            <v>CONTIL INDIA LTD</v>
          </cell>
          <cell r="B893">
            <v>531067</v>
          </cell>
          <cell r="C893" t="str">
            <v>Not Listed</v>
          </cell>
        </row>
        <row r="894">
          <cell r="A894" t="str">
            <v>CONTINENTAL CHEMICALS LTD</v>
          </cell>
          <cell r="B894">
            <v>506935</v>
          </cell>
          <cell r="C894" t="str">
            <v>Not Listed</v>
          </cell>
        </row>
        <row r="895">
          <cell r="A895" t="str">
            <v>CONTINENTAL CONTROLS LTD</v>
          </cell>
          <cell r="B895">
            <v>531460</v>
          </cell>
          <cell r="C895" t="str">
            <v>Not Listed</v>
          </cell>
        </row>
        <row r="896">
          <cell r="A896" t="str">
            <v>CONTINENTAL PETROLEUMS LTD</v>
          </cell>
          <cell r="B896">
            <v>523232</v>
          </cell>
          <cell r="C896" t="str">
            <v>Not Listed</v>
          </cell>
        </row>
        <row r="897">
          <cell r="A897" t="str">
            <v>CONTINENTAL SECURITIES LTD</v>
          </cell>
          <cell r="B897">
            <v>538868</v>
          </cell>
          <cell r="C897" t="str">
            <v>Not Listed</v>
          </cell>
        </row>
        <row r="898">
          <cell r="A898" t="str">
            <v>CONTINENTAL SEEDS AND CHEMICALS LTD</v>
          </cell>
          <cell r="B898" t="str">
            <v>Not Listed</v>
          </cell>
          <cell r="C898" t="str">
            <v>CONTI</v>
          </cell>
        </row>
        <row r="899">
          <cell r="A899" t="str">
            <v>CONTROL PRINT LTD</v>
          </cell>
          <cell r="B899">
            <v>522295</v>
          </cell>
          <cell r="C899" t="str">
            <v>CONTROLPR</v>
          </cell>
        </row>
        <row r="900">
          <cell r="A900" t="str">
            <v>CORAL INDIA FINANCE &amp; HOUSING LTD</v>
          </cell>
          <cell r="B900">
            <v>531556</v>
          </cell>
          <cell r="C900" t="str">
            <v>CORALFINAC</v>
          </cell>
        </row>
        <row r="901">
          <cell r="A901" t="str">
            <v>CORAL LABORATORIES LTD</v>
          </cell>
          <cell r="B901">
            <v>524506</v>
          </cell>
          <cell r="C901" t="str">
            <v>Not Listed</v>
          </cell>
        </row>
        <row r="902">
          <cell r="A902" t="str">
            <v>CORAL NEWSPRINTS LTD.</v>
          </cell>
          <cell r="B902">
            <v>530755</v>
          </cell>
          <cell r="C902" t="str">
            <v>CORNE</v>
          </cell>
        </row>
        <row r="903">
          <cell r="A903" t="str">
            <v>CORDS CABLE INDUSTRIES LTD</v>
          </cell>
          <cell r="B903">
            <v>532941</v>
          </cell>
          <cell r="C903" t="str">
            <v>CORDSCABLE</v>
          </cell>
        </row>
        <row r="904">
          <cell r="A904" t="str">
            <v>COROMANDEL AGRO PRODUCTS &amp; OILS LTD</v>
          </cell>
          <cell r="B904">
            <v>507543</v>
          </cell>
          <cell r="C904" t="str">
            <v>Not Listed</v>
          </cell>
        </row>
        <row r="905">
          <cell r="A905" t="str">
            <v>COROMANDEL ENGINEERING COMPANY LTD</v>
          </cell>
          <cell r="B905">
            <v>533167</v>
          </cell>
          <cell r="C905" t="str">
            <v>Not Listed</v>
          </cell>
        </row>
        <row r="906">
          <cell r="A906" t="str">
            <v>COROMANDEL INTERNATIONAL LTD</v>
          </cell>
          <cell r="B906">
            <v>506395</v>
          </cell>
          <cell r="C906" t="str">
            <v>COROMANDEL</v>
          </cell>
        </row>
        <row r="907">
          <cell r="A907" t="str">
            <v>CORPORATE COURIER AND CARGO LTD</v>
          </cell>
          <cell r="B907">
            <v>526737</v>
          </cell>
          <cell r="C907" t="str">
            <v>Not Listed</v>
          </cell>
        </row>
        <row r="908">
          <cell r="A908" t="str">
            <v>CORPORATE MERCHANT BANKERS LTD</v>
          </cell>
          <cell r="B908">
            <v>540199</v>
          </cell>
          <cell r="C908" t="str">
            <v>Not Listed</v>
          </cell>
        </row>
        <row r="909">
          <cell r="A909" t="str">
            <v>CORPORATION BANK</v>
          </cell>
          <cell r="B909">
            <v>532179</v>
          </cell>
          <cell r="C909" t="str">
            <v>CORPBANK</v>
          </cell>
        </row>
        <row r="910">
          <cell r="A910" t="str">
            <v>COSBOARD INDUSTRIES LTD</v>
          </cell>
          <cell r="B910">
            <v>530859</v>
          </cell>
          <cell r="C910" t="str">
            <v>Not Listed</v>
          </cell>
        </row>
        <row r="911">
          <cell r="A911" t="str">
            <v>COSCO (INDIA) LTD</v>
          </cell>
          <cell r="B911">
            <v>530545</v>
          </cell>
          <cell r="C911" t="str">
            <v>Not Listed</v>
          </cell>
        </row>
        <row r="912">
          <cell r="A912" t="str">
            <v>COSCO INDIA LTD</v>
          </cell>
          <cell r="B912">
            <v>530545</v>
          </cell>
          <cell r="C912" t="str">
            <v>Not Listed</v>
          </cell>
        </row>
        <row r="913">
          <cell r="A913" t="str">
            <v>COSMO FERRITES LTD</v>
          </cell>
          <cell r="B913">
            <v>523100</v>
          </cell>
          <cell r="C913" t="str">
            <v>Not Listed</v>
          </cell>
        </row>
        <row r="914">
          <cell r="A914" t="str">
            <v>COSMO FILMS LTD</v>
          </cell>
          <cell r="B914">
            <v>508814</v>
          </cell>
          <cell r="C914" t="str">
            <v>COSMOFILMS</v>
          </cell>
        </row>
        <row r="915">
          <cell r="A915" t="str">
            <v>COSYN LTD</v>
          </cell>
          <cell r="B915">
            <v>538922</v>
          </cell>
          <cell r="C915" t="str">
            <v>Not Listed</v>
          </cell>
        </row>
        <row r="916">
          <cell r="A916" t="str">
            <v>COUNTRY CLUB HOSPITALITY &amp; HOLIDAYS LTD</v>
          </cell>
          <cell r="B916">
            <v>526550</v>
          </cell>
          <cell r="C916" t="str">
            <v>CCHHL</v>
          </cell>
        </row>
        <row r="917">
          <cell r="A917" t="str">
            <v>COUNTRY CONDO'S LTD</v>
          </cell>
          <cell r="B917">
            <v>531624</v>
          </cell>
          <cell r="C917" t="str">
            <v>COUNCODOS</v>
          </cell>
        </row>
        <row r="918">
          <cell r="A918" t="str">
            <v>COVENTRY COIL-O-MATIC HARYANA LTD</v>
          </cell>
          <cell r="B918">
            <v>523415</v>
          </cell>
          <cell r="C918" t="str">
            <v>Not Listed</v>
          </cell>
        </row>
        <row r="919">
          <cell r="A919" t="str">
            <v>COVIDH TECHNOLOGIES LTD</v>
          </cell>
          <cell r="B919">
            <v>534920</v>
          </cell>
          <cell r="C919" t="str">
            <v>Not Listed</v>
          </cell>
        </row>
        <row r="920">
          <cell r="A920" t="str">
            <v>COX &amp; KINGS LTD</v>
          </cell>
          <cell r="B920">
            <v>533144</v>
          </cell>
          <cell r="C920" t="str">
            <v>COX&amp;KINGS</v>
          </cell>
        </row>
        <row r="921">
          <cell r="A921" t="str">
            <v>Cox &amp;amp; Kings Financial Service Ltd</v>
          </cell>
          <cell r="B921">
            <v>542641</v>
          </cell>
          <cell r="C921" t="str">
            <v>CKFSL</v>
          </cell>
        </row>
        <row r="922">
          <cell r="A922" t="str">
            <v>CRANE INFRASTRUCTURE LTD</v>
          </cell>
          <cell r="B922">
            <v>538770</v>
          </cell>
          <cell r="C922" t="str">
            <v>Not Listed</v>
          </cell>
        </row>
        <row r="923">
          <cell r="A923" t="str">
            <v>CRANES SOFTWARE INTERNATIONAL LTD</v>
          </cell>
          <cell r="B923">
            <v>512093</v>
          </cell>
          <cell r="C923" t="str">
            <v>Not Listed</v>
          </cell>
        </row>
        <row r="924">
          <cell r="A924" t="str">
            <v>CRANEX LTD</v>
          </cell>
          <cell r="B924">
            <v>522001</v>
          </cell>
          <cell r="C924" t="str">
            <v>Not Listed</v>
          </cell>
        </row>
        <row r="925">
          <cell r="A925" t="str">
            <v>CRAVATEX LTD</v>
          </cell>
          <cell r="B925">
            <v>509472</v>
          </cell>
          <cell r="C925" t="str">
            <v>Not Listed</v>
          </cell>
        </row>
        <row r="926">
          <cell r="A926" t="str">
            <v>CRAZY INFOTECH LTD</v>
          </cell>
          <cell r="B926">
            <v>524388</v>
          </cell>
          <cell r="C926" t="str">
            <v>Not Listed</v>
          </cell>
        </row>
        <row r="927">
          <cell r="A927" t="str">
            <v>CREATIVE CASTINGS LTD</v>
          </cell>
          <cell r="B927">
            <v>539527</v>
          </cell>
          <cell r="C927" t="str">
            <v>Not Listed</v>
          </cell>
        </row>
        <row r="928">
          <cell r="A928" t="str">
            <v>CREATIVE EYE LTD</v>
          </cell>
          <cell r="B928">
            <v>532392</v>
          </cell>
          <cell r="C928" t="str">
            <v>CREATIVEYE</v>
          </cell>
        </row>
        <row r="929">
          <cell r="A929" t="str">
            <v>CREATIVE PERIPHERALS AND DISTRIBUTION LTD</v>
          </cell>
          <cell r="B929" t="str">
            <v>Not Listed</v>
          </cell>
          <cell r="C929" t="str">
            <v>CREATIVE</v>
          </cell>
        </row>
        <row r="930">
          <cell r="A930" t="str">
            <v>CREDITACCESS GRAMEEN LTD</v>
          </cell>
          <cell r="B930">
            <v>541770</v>
          </cell>
          <cell r="C930" t="str">
            <v>CREDITACC</v>
          </cell>
        </row>
        <row r="931">
          <cell r="A931" t="str">
            <v>CRESCENT LEASING LTD</v>
          </cell>
          <cell r="B931">
            <v>539131</v>
          </cell>
          <cell r="C931" t="str">
            <v>Not Listed</v>
          </cell>
        </row>
        <row r="932">
          <cell r="A932" t="str">
            <v>CRESSANDA SOLUTIONS LTD</v>
          </cell>
          <cell r="B932">
            <v>512379</v>
          </cell>
          <cell r="C932" t="str">
            <v>Not Listed</v>
          </cell>
        </row>
        <row r="933">
          <cell r="A933" t="str">
            <v>CREST VENTURES LTD</v>
          </cell>
          <cell r="B933">
            <v>511413</v>
          </cell>
          <cell r="C933" t="str">
            <v>CREST</v>
          </cell>
        </row>
        <row r="934">
          <cell r="A934" t="str">
            <v>CRESTCHEM LTD</v>
          </cell>
          <cell r="B934">
            <v>526269</v>
          </cell>
          <cell r="C934" t="str">
            <v>Not Listed</v>
          </cell>
        </row>
        <row r="935">
          <cell r="A935" t="str">
            <v>CRIMSON METAL ENGINEERING COMPANY LTD</v>
          </cell>
          <cell r="B935">
            <v>526977</v>
          </cell>
          <cell r="C935" t="str">
            <v>Not Listed</v>
          </cell>
        </row>
        <row r="936">
          <cell r="A936" t="str">
            <v>CRISIL LTD</v>
          </cell>
          <cell r="B936">
            <v>500092</v>
          </cell>
          <cell r="C936" t="str">
            <v>CRISIL</v>
          </cell>
        </row>
        <row r="937">
          <cell r="A937" t="str">
            <v>CROMPTON GREAVES CONSUMER ELECTRICALS LTD</v>
          </cell>
          <cell r="B937">
            <v>539876</v>
          </cell>
          <cell r="C937" t="str">
            <v>CROMPTON</v>
          </cell>
        </row>
        <row r="938">
          <cell r="A938" t="str">
            <v>CROWN LIFTERS LTD</v>
          </cell>
          <cell r="B938" t="str">
            <v>Not Listed</v>
          </cell>
          <cell r="C938" t="str">
            <v>CROWN</v>
          </cell>
        </row>
        <row r="939">
          <cell r="A939" t="str">
            <v>CROWN TOURS LTD</v>
          </cell>
          <cell r="B939">
            <v>538521</v>
          </cell>
          <cell r="C939" t="str">
            <v>Not Listed</v>
          </cell>
        </row>
        <row r="940">
          <cell r="A940" t="str">
            <v>CRP RISK MANAGEMENT LTD</v>
          </cell>
          <cell r="B940">
            <v>540903</v>
          </cell>
          <cell r="C940" t="str">
            <v>Not Listed</v>
          </cell>
        </row>
        <row r="941">
          <cell r="A941" t="str">
            <v>CSL FINANCE LTD</v>
          </cell>
          <cell r="B941">
            <v>530067</v>
          </cell>
          <cell r="C941" t="str">
            <v>Not Listed</v>
          </cell>
        </row>
        <row r="942">
          <cell r="A942" t="str">
            <v>CUBEX TUBINGS LTD</v>
          </cell>
          <cell r="B942">
            <v>526027</v>
          </cell>
          <cell r="C942" t="str">
            <v>CUBEXTUB</v>
          </cell>
        </row>
        <row r="943">
          <cell r="A943" t="str">
            <v>CUBICAL FINANCIAL SERVICES LTD</v>
          </cell>
          <cell r="B943">
            <v>511710</v>
          </cell>
          <cell r="C943" t="str">
            <v>Not Listed</v>
          </cell>
        </row>
        <row r="944">
          <cell r="A944" t="str">
            <v>CUMMINS (INDIA) LTD</v>
          </cell>
          <cell r="B944">
            <v>500480</v>
          </cell>
          <cell r="C944" t="str">
            <v>CUMMINSIND</v>
          </cell>
        </row>
        <row r="945">
          <cell r="A945" t="str">
            <v>CUMMINS INDIA LTD</v>
          </cell>
          <cell r="B945">
            <v>500480</v>
          </cell>
          <cell r="C945" t="str">
            <v>CUMMINSIND</v>
          </cell>
        </row>
        <row r="946">
          <cell r="A946" t="str">
            <v>CUPID LTD</v>
          </cell>
          <cell r="B946">
            <v>530843</v>
          </cell>
          <cell r="C946" t="str">
            <v>CUPID</v>
          </cell>
        </row>
        <row r="947">
          <cell r="A947" t="str">
            <v>CURA TECHNOLOGIES LTD</v>
          </cell>
          <cell r="B947">
            <v>532332</v>
          </cell>
          <cell r="C947" t="str">
            <v>CURATECH</v>
          </cell>
        </row>
        <row r="948">
          <cell r="A948" t="str">
            <v>CYBELE INDUSTRIES LTD</v>
          </cell>
          <cell r="B948">
            <v>531472</v>
          </cell>
          <cell r="C948" t="str">
            <v>Not Listed</v>
          </cell>
        </row>
        <row r="949">
          <cell r="A949" t="str">
            <v>CYBER MEDIA (INDIA) LTD</v>
          </cell>
          <cell r="B949">
            <v>532640</v>
          </cell>
          <cell r="C949" t="str">
            <v>CYBERMEDIA</v>
          </cell>
        </row>
        <row r="950">
          <cell r="A950" t="str">
            <v>CYBER MEDIA INDIA LTD</v>
          </cell>
          <cell r="B950">
            <v>532640</v>
          </cell>
          <cell r="C950" t="str">
            <v>CYBERMEDIA</v>
          </cell>
        </row>
        <row r="951">
          <cell r="A951" t="str">
            <v>CYBERMATE INFOTEK LTD</v>
          </cell>
          <cell r="B951">
            <v>532271</v>
          </cell>
          <cell r="C951" t="str">
            <v>Not Listed</v>
          </cell>
        </row>
        <row r="952">
          <cell r="A952" t="str">
            <v>CYBERTECH SYSTEMS AND SOFTWARE LTD</v>
          </cell>
          <cell r="B952">
            <v>532173</v>
          </cell>
          <cell r="C952" t="str">
            <v>CYBERTECH</v>
          </cell>
        </row>
        <row r="953">
          <cell r="A953" t="str">
            <v>CYIENT LTD</v>
          </cell>
          <cell r="B953">
            <v>532175</v>
          </cell>
          <cell r="C953" t="str">
            <v>CYIENT</v>
          </cell>
        </row>
        <row r="954">
          <cell r="A954" t="str">
            <v>D B CORP LTD</v>
          </cell>
          <cell r="B954">
            <v>533151</v>
          </cell>
          <cell r="C954" t="str">
            <v>DBCORP</v>
          </cell>
        </row>
        <row r="955">
          <cell r="A955" t="str">
            <v>D B REALTY LTD</v>
          </cell>
          <cell r="B955">
            <v>533160</v>
          </cell>
          <cell r="C955" t="str">
            <v>DBREALTY</v>
          </cell>
        </row>
        <row r="956">
          <cell r="A956" t="str">
            <v>D P ABHUSHAN LTD</v>
          </cell>
          <cell r="B956" t="str">
            <v>Not Listed</v>
          </cell>
          <cell r="C956" t="str">
            <v>DPABHUSHAN</v>
          </cell>
        </row>
        <row r="957">
          <cell r="A957" t="str">
            <v>D P WIRES LTD</v>
          </cell>
          <cell r="B957" t="str">
            <v>Not Listed</v>
          </cell>
          <cell r="C957" t="str">
            <v>DPWIRES</v>
          </cell>
        </row>
        <row r="958">
          <cell r="A958" t="str">
            <v>D&amp;H (INDIA) LTD</v>
          </cell>
          <cell r="B958">
            <v>517514</v>
          </cell>
          <cell r="C958" t="str">
            <v>Not Listed</v>
          </cell>
        </row>
        <row r="959">
          <cell r="A959" t="str">
            <v>D&amp;H INDIA LTD</v>
          </cell>
          <cell r="B959">
            <v>517514</v>
          </cell>
          <cell r="C959" t="str">
            <v>Not Listed</v>
          </cell>
        </row>
        <row r="960">
          <cell r="A960" t="str">
            <v>DABUR (INDIA) LTD</v>
          </cell>
          <cell r="B960">
            <v>500096</v>
          </cell>
          <cell r="C960" t="str">
            <v>DABUR</v>
          </cell>
        </row>
        <row r="961">
          <cell r="A961" t="str">
            <v>DABUR INDIA LTD</v>
          </cell>
          <cell r="B961">
            <v>500096</v>
          </cell>
          <cell r="C961" t="str">
            <v>DABUR</v>
          </cell>
        </row>
        <row r="962">
          <cell r="A962" t="str">
            <v>DAI-ICHI KARKARIA LTD</v>
          </cell>
          <cell r="B962">
            <v>526821</v>
          </cell>
          <cell r="C962" t="str">
            <v>Not Listed</v>
          </cell>
        </row>
        <row r="963">
          <cell r="A963" t="str">
            <v>DAIKAFFIL CHEMICALS (INDIA) LTD</v>
          </cell>
          <cell r="B963">
            <v>530825</v>
          </cell>
          <cell r="C963" t="str">
            <v>Not Listed</v>
          </cell>
        </row>
        <row r="964">
          <cell r="A964" t="str">
            <v>DAIKAFFIL CHEMICALS INDIA LTD</v>
          </cell>
          <cell r="B964">
            <v>530825</v>
          </cell>
          <cell r="C964" t="str">
            <v>Not Listed</v>
          </cell>
        </row>
        <row r="965">
          <cell r="A965" t="str">
            <v>DALAL STREET INVESTMENTS LTD</v>
          </cell>
          <cell r="B965">
            <v>501148</v>
          </cell>
          <cell r="C965" t="str">
            <v>Not Listed</v>
          </cell>
        </row>
        <row r="966">
          <cell r="A966" t="str">
            <v>Dalmia Bharat Ltd</v>
          </cell>
          <cell r="B966">
            <v>542216</v>
          </cell>
          <cell r="C966" t="str">
            <v>DALBHARAT</v>
          </cell>
        </row>
        <row r="967">
          <cell r="A967" t="str">
            <v>DALMIA BHARAT SUGAR AND INDUSTRIES LTD</v>
          </cell>
          <cell r="B967">
            <v>500097</v>
          </cell>
          <cell r="C967" t="str">
            <v>DALMIASUG</v>
          </cell>
        </row>
        <row r="968">
          <cell r="A968" t="str">
            <v>DALMIA INDUSTRIAL DEVELOPMENT LTD</v>
          </cell>
          <cell r="B968">
            <v>539900</v>
          </cell>
          <cell r="C968" t="str">
            <v>Not Listed</v>
          </cell>
        </row>
        <row r="969">
          <cell r="A969" t="str">
            <v>DAMODAR INDUSTRIES LTD</v>
          </cell>
          <cell r="B969">
            <v>521220</v>
          </cell>
          <cell r="C969" t="str">
            <v>DAMODARIND</v>
          </cell>
        </row>
        <row r="970">
          <cell r="A970" t="str">
            <v>DANGEE DUMS LTD</v>
          </cell>
          <cell r="B970" t="str">
            <v>Not Listed</v>
          </cell>
          <cell r="C970" t="str">
            <v>DANGEE</v>
          </cell>
        </row>
        <row r="971">
          <cell r="A971" t="str">
            <v>DANLAW TECHNOLOGIES (INDIA) LTD</v>
          </cell>
          <cell r="B971">
            <v>532329</v>
          </cell>
          <cell r="C971" t="str">
            <v>Not Listed</v>
          </cell>
        </row>
        <row r="972">
          <cell r="A972" t="str">
            <v>DANLAW TECHNOLOGIES INDIA LTD</v>
          </cell>
          <cell r="B972">
            <v>532329</v>
          </cell>
          <cell r="C972" t="str">
            <v>Not Listed</v>
          </cell>
        </row>
        <row r="973">
          <cell r="A973" t="str">
            <v>DANUBE INDUSTRIES LTD</v>
          </cell>
          <cell r="B973">
            <v>540361</v>
          </cell>
          <cell r="C973" t="str">
            <v>Not Listed</v>
          </cell>
        </row>
        <row r="974">
          <cell r="A974" t="str">
            <v>DARJEELING ROPEWAY COMPANY LTD</v>
          </cell>
          <cell r="B974">
            <v>539770</v>
          </cell>
          <cell r="C974" t="str">
            <v>Not Listed</v>
          </cell>
        </row>
        <row r="975">
          <cell r="A975" t="str">
            <v>DARSHAN ORNA LTD</v>
          </cell>
          <cell r="B975">
            <v>539884</v>
          </cell>
          <cell r="C975" t="str">
            <v>Not Listed</v>
          </cell>
        </row>
        <row r="976">
          <cell r="A976" t="str">
            <v>DATAMATICS GLOBAL SERVICES LTD</v>
          </cell>
          <cell r="B976">
            <v>532528</v>
          </cell>
          <cell r="C976" t="str">
            <v>DATAMATICS</v>
          </cell>
        </row>
        <row r="977">
          <cell r="A977" t="str">
            <v>DAULAT SECURITIES LTD</v>
          </cell>
          <cell r="B977">
            <v>530171</v>
          </cell>
          <cell r="C977" t="str">
            <v>Not Listed</v>
          </cell>
        </row>
        <row r="978">
          <cell r="A978" t="str">
            <v>DB INTERNATIONAL STOCK BROKERS LTD</v>
          </cell>
          <cell r="B978">
            <v>530393</v>
          </cell>
          <cell r="C978" t="str">
            <v>DBSTOCKBRO</v>
          </cell>
        </row>
        <row r="979">
          <cell r="A979" t="str">
            <v>DCB BANK LTD</v>
          </cell>
          <cell r="B979">
            <v>532772</v>
          </cell>
          <cell r="C979" t="str">
            <v>DCBBANK</v>
          </cell>
        </row>
        <row r="980">
          <cell r="A980" t="str">
            <v>DCM FINANCIAL SERVICES LTD</v>
          </cell>
          <cell r="B980">
            <v>511611</v>
          </cell>
          <cell r="C980" t="str">
            <v>DCMFINSERV</v>
          </cell>
        </row>
        <row r="981">
          <cell r="A981" t="str">
            <v>DCM LTD</v>
          </cell>
          <cell r="B981">
            <v>502820</v>
          </cell>
          <cell r="C981" t="str">
            <v>DCM</v>
          </cell>
        </row>
        <row r="982">
          <cell r="A982" t="str">
            <v>DCM SHRIRAM INDUSTRIES LTD</v>
          </cell>
          <cell r="B982">
            <v>523369</v>
          </cell>
          <cell r="C982" t="str">
            <v>Not Listed</v>
          </cell>
        </row>
        <row r="983">
          <cell r="A983" t="str">
            <v>DCM SHRIRAM LTD</v>
          </cell>
          <cell r="B983">
            <v>523367</v>
          </cell>
          <cell r="C983" t="str">
            <v>DCMSHRIRAM</v>
          </cell>
        </row>
        <row r="984">
          <cell r="A984" t="str">
            <v>DCW LTD</v>
          </cell>
          <cell r="B984">
            <v>500117</v>
          </cell>
          <cell r="C984" t="str">
            <v>DCW</v>
          </cell>
        </row>
        <row r="985">
          <cell r="A985" t="str">
            <v>DE NORA (INDIA) LTD</v>
          </cell>
          <cell r="B985">
            <v>590031</v>
          </cell>
          <cell r="C985" t="str">
            <v>DENORA</v>
          </cell>
        </row>
        <row r="986">
          <cell r="A986" t="str">
            <v>DE NORA INDIA LTD</v>
          </cell>
          <cell r="B986">
            <v>590031</v>
          </cell>
          <cell r="C986" t="str">
            <v>DENORA</v>
          </cell>
        </row>
        <row r="987">
          <cell r="A987" t="str">
            <v>DEBOCK SALES AND MARKETING LTD</v>
          </cell>
          <cell r="B987" t="str">
            <v>Not Listed</v>
          </cell>
          <cell r="C987" t="str">
            <v>DSML</v>
          </cell>
        </row>
        <row r="988">
          <cell r="A988" t="str">
            <v>DECCAN BEARINGS LTD</v>
          </cell>
          <cell r="B988">
            <v>505703</v>
          </cell>
          <cell r="C988" t="str">
            <v>Not Listed</v>
          </cell>
        </row>
        <row r="989">
          <cell r="A989" t="str">
            <v>DECCAN CEMENTS LTD</v>
          </cell>
          <cell r="B989">
            <v>502137</v>
          </cell>
          <cell r="C989" t="str">
            <v>DECCANCE</v>
          </cell>
        </row>
        <row r="990">
          <cell r="A990" t="str">
            <v>DECCAN GOLD MINES LTD</v>
          </cell>
          <cell r="B990">
            <v>512068</v>
          </cell>
          <cell r="C990" t="str">
            <v>Not Listed</v>
          </cell>
        </row>
        <row r="991">
          <cell r="A991" t="str">
            <v>Deccan Health Care Ltd</v>
          </cell>
          <cell r="B991">
            <v>542248</v>
          </cell>
          <cell r="C991" t="str">
            <v>DECCAN</v>
          </cell>
        </row>
        <row r="992">
          <cell r="A992" t="str">
            <v>DECCAN POLYPACKS LTD</v>
          </cell>
          <cell r="B992">
            <v>531989</v>
          </cell>
          <cell r="C992" t="str">
            <v>Not Listed</v>
          </cell>
        </row>
        <row r="993">
          <cell r="A993" t="str">
            <v>DECILLION FINANCE LTD</v>
          </cell>
          <cell r="B993">
            <v>539190</v>
          </cell>
          <cell r="C993" t="str">
            <v>Not Listed</v>
          </cell>
        </row>
        <row r="994">
          <cell r="A994" t="str">
            <v>DECO-MICA LTD</v>
          </cell>
          <cell r="B994">
            <v>531227</v>
          </cell>
          <cell r="C994" t="str">
            <v>Not Listed</v>
          </cell>
        </row>
        <row r="995">
          <cell r="A995" t="str">
            <v>DECOROUS INVESTMENT &amp; TRADING CO LTD</v>
          </cell>
          <cell r="B995">
            <v>539405</v>
          </cell>
          <cell r="C995" t="str">
            <v>Not Listed</v>
          </cell>
        </row>
        <row r="996">
          <cell r="A996" t="str">
            <v>DEEP DIAMOND (INDIA) LTD</v>
          </cell>
          <cell r="B996">
            <v>539559</v>
          </cell>
          <cell r="C996" t="str">
            <v>Not Listed</v>
          </cell>
        </row>
        <row r="997">
          <cell r="A997" t="str">
            <v>DEEP DIAMOND INDIA LTD</v>
          </cell>
          <cell r="B997">
            <v>539559</v>
          </cell>
          <cell r="C997" t="str">
            <v>Not Listed</v>
          </cell>
        </row>
        <row r="998">
          <cell r="A998" t="str">
            <v>DEEP INDUSTRIES LTD</v>
          </cell>
          <cell r="B998">
            <v>532760</v>
          </cell>
          <cell r="C998" t="str">
            <v>DEEPIND</v>
          </cell>
        </row>
        <row r="999">
          <cell r="A999" t="str">
            <v>DEEP POLYMERS LTD</v>
          </cell>
          <cell r="B999">
            <v>541778</v>
          </cell>
          <cell r="C999" t="str">
            <v>Not Listed</v>
          </cell>
        </row>
        <row r="1000">
          <cell r="A1000" t="str">
            <v>DEEPAK FERTILIZERS AND PETROCHEMICALS CORPORATION LTD</v>
          </cell>
          <cell r="B1000">
            <v>500645</v>
          </cell>
          <cell r="C1000" t="str">
            <v>DEEPAKFERT</v>
          </cell>
        </row>
        <row r="1001">
          <cell r="A1001" t="str">
            <v>DEEPAK NITRITE LTD</v>
          </cell>
          <cell r="B1001">
            <v>506401</v>
          </cell>
          <cell r="C1001" t="str">
            <v>DEEPAKNTR</v>
          </cell>
        </row>
        <row r="1002">
          <cell r="A1002" t="str">
            <v>DEEPAK SPINNERS LTD</v>
          </cell>
          <cell r="B1002">
            <v>514030</v>
          </cell>
          <cell r="C1002" t="str">
            <v>Not Listed</v>
          </cell>
        </row>
        <row r="1003">
          <cell r="A1003" t="str">
            <v>DEEPTI ALLOY STEEL LTD</v>
          </cell>
          <cell r="B1003">
            <v>539455</v>
          </cell>
          <cell r="C1003" t="str">
            <v>Not Listed</v>
          </cell>
        </row>
        <row r="1004">
          <cell r="A1004" t="str">
            <v>DEKSON CASTINGS LTD</v>
          </cell>
          <cell r="B1004">
            <v>780006</v>
          </cell>
          <cell r="C1004" t="str">
            <v>Not Listed</v>
          </cell>
        </row>
        <row r="1005">
          <cell r="A1005" t="str">
            <v>DELTA CORP LTD</v>
          </cell>
          <cell r="B1005">
            <v>532848</v>
          </cell>
          <cell r="C1005" t="str">
            <v>DELTACORP</v>
          </cell>
        </row>
        <row r="1006">
          <cell r="A1006" t="str">
            <v>DELTA INDUSTRIAL RESOURCES LTD</v>
          </cell>
          <cell r="B1006">
            <v>539596</v>
          </cell>
          <cell r="C1006" t="str">
            <v>Not Listed</v>
          </cell>
        </row>
        <row r="1007">
          <cell r="A1007" t="str">
            <v>DELTA MAGNETS LTD</v>
          </cell>
          <cell r="B1007">
            <v>504286</v>
          </cell>
          <cell r="C1007" t="str">
            <v>DELTAMAGNT</v>
          </cell>
        </row>
        <row r="1008">
          <cell r="A1008" t="str">
            <v>DELTON CABLES LTD</v>
          </cell>
          <cell r="B1008">
            <v>504240</v>
          </cell>
          <cell r="C1008" t="str">
            <v>Not Listed</v>
          </cell>
        </row>
        <row r="1009">
          <cell r="A1009" t="str">
            <v>DELTRON LTD</v>
          </cell>
          <cell r="B1009">
            <v>504256</v>
          </cell>
          <cell r="C1009" t="str">
            <v>Not Listed</v>
          </cell>
        </row>
        <row r="1010">
          <cell r="A1010" t="str">
            <v>DEN NETWORKS LTD</v>
          </cell>
          <cell r="B1010">
            <v>533137</v>
          </cell>
          <cell r="C1010" t="str">
            <v>DEN</v>
          </cell>
        </row>
        <row r="1011">
          <cell r="A1011" t="str">
            <v>DENA BANK</v>
          </cell>
          <cell r="B1011">
            <v>532121</v>
          </cell>
          <cell r="C1011" t="str">
            <v>DENABANK</v>
          </cell>
        </row>
        <row r="1012">
          <cell r="A1012" t="str">
            <v>DENIS CHEM LAB LTD</v>
          </cell>
          <cell r="B1012">
            <v>537536</v>
          </cell>
          <cell r="C1012" t="str">
            <v>Not Listed</v>
          </cell>
        </row>
        <row r="1013">
          <cell r="A1013" t="str">
            <v>DESH RAKSHAK AUSHDHALAYA LTD</v>
          </cell>
          <cell r="B1013">
            <v>531521</v>
          </cell>
          <cell r="C1013" t="str">
            <v>Not Listed</v>
          </cell>
        </row>
        <row r="1014">
          <cell r="A1014" t="str">
            <v>DEV INFORMATION TECHNOLOGY LTD</v>
          </cell>
          <cell r="B1014" t="str">
            <v>Not Listed</v>
          </cell>
          <cell r="C1014" t="str">
            <v>DEVIT</v>
          </cell>
        </row>
        <row r="1015">
          <cell r="A1015" t="str">
            <v>DEVHARI EXPORTS (INDIA) LTD</v>
          </cell>
          <cell r="B1015">
            <v>539197</v>
          </cell>
          <cell r="C1015" t="str">
            <v>Not Listed</v>
          </cell>
        </row>
        <row r="1016">
          <cell r="A1016" t="str">
            <v>DEVHARI EXPORTS INDIA LTD</v>
          </cell>
          <cell r="B1016">
            <v>539197</v>
          </cell>
          <cell r="C1016" t="str">
            <v>Not Listed</v>
          </cell>
        </row>
        <row r="1017">
          <cell r="A1017" t="str">
            <v>DEVINE IMPEX LTD</v>
          </cell>
          <cell r="B1017">
            <v>531585</v>
          </cell>
          <cell r="C1017" t="str">
            <v>Not Listed</v>
          </cell>
        </row>
        <row r="1018">
          <cell r="A1018" t="str">
            <v>DEVINSU TRADING LTD</v>
          </cell>
          <cell r="B1018">
            <v>512445</v>
          </cell>
          <cell r="C1018" t="str">
            <v>Not Listed</v>
          </cell>
        </row>
        <row r="1019">
          <cell r="A1019" t="str">
            <v>DEVKI LEASING &amp; FINANCE LTD</v>
          </cell>
          <cell r="B1019">
            <v>530765</v>
          </cell>
          <cell r="C1019" t="str">
            <v>Not Listed</v>
          </cell>
        </row>
        <row r="1020">
          <cell r="A1020" t="str">
            <v>DEVOTED CONSTRUCTION LTD</v>
          </cell>
          <cell r="B1020">
            <v>542002</v>
          </cell>
          <cell r="C1020" t="str">
            <v>Not Listed</v>
          </cell>
        </row>
        <row r="1021">
          <cell r="A1021" t="str">
            <v>DEWAN HOUSING FINANCE CORPORATION LTD</v>
          </cell>
          <cell r="B1021">
            <v>511072</v>
          </cell>
          <cell r="C1021" t="str">
            <v>DHFL</v>
          </cell>
        </row>
        <row r="1022">
          <cell r="A1022" t="str">
            <v>DFM FOODS LTD</v>
          </cell>
          <cell r="B1022">
            <v>519588</v>
          </cell>
          <cell r="C1022" t="str">
            <v>DFMFOODS</v>
          </cell>
        </row>
        <row r="1023">
          <cell r="A1023" t="str">
            <v>DHABRIYA POLYWOOD LTD</v>
          </cell>
          <cell r="B1023">
            <v>538715</v>
          </cell>
          <cell r="C1023" t="str">
            <v>Not Listed</v>
          </cell>
        </row>
        <row r="1024">
          <cell r="A1024" t="str">
            <v>DHAMPUR SUGAR MILLS LTD</v>
          </cell>
          <cell r="B1024">
            <v>500119</v>
          </cell>
          <cell r="C1024" t="str">
            <v>DHAMPURSUG</v>
          </cell>
        </row>
        <row r="1025">
          <cell r="A1025" t="str">
            <v>DHAMPURE SPECIALITY SUGARS LTD</v>
          </cell>
          <cell r="B1025">
            <v>531923</v>
          </cell>
          <cell r="C1025" t="str">
            <v>Not Listed</v>
          </cell>
        </row>
        <row r="1026">
          <cell r="A1026" t="str">
            <v>DHANADA CORPORATION LTD</v>
          </cell>
          <cell r="B1026">
            <v>531198</v>
          </cell>
          <cell r="C1026" t="str">
            <v>Not Listed</v>
          </cell>
        </row>
        <row r="1027">
          <cell r="A1027" t="str">
            <v>DHANALAXMI ROTO SPINNERS LTD</v>
          </cell>
          <cell r="B1027">
            <v>521216</v>
          </cell>
          <cell r="C1027" t="str">
            <v>Not Listed</v>
          </cell>
        </row>
        <row r="1028">
          <cell r="A1028" t="str">
            <v>Dhanashree Electronics Ltd</v>
          </cell>
          <cell r="B1028">
            <v>542679</v>
          </cell>
          <cell r="C1028" t="str">
            <v>DEL</v>
          </cell>
        </row>
        <row r="1029">
          <cell r="A1029" t="str">
            <v>DHANLAXMI BANK LTD</v>
          </cell>
          <cell r="B1029">
            <v>532180</v>
          </cell>
          <cell r="C1029" t="str">
            <v>DHANBANK</v>
          </cell>
        </row>
        <row r="1030">
          <cell r="A1030" t="str">
            <v>DHANLAXMI COTEX LTD</v>
          </cell>
          <cell r="B1030">
            <v>512485</v>
          </cell>
          <cell r="C1030" t="str">
            <v>Not Listed</v>
          </cell>
        </row>
        <row r="1031">
          <cell r="A1031" t="str">
            <v>DHANLAXMI FABRICS LTD</v>
          </cell>
          <cell r="B1031">
            <v>521151</v>
          </cell>
          <cell r="C1031" t="str">
            <v>Not Listed</v>
          </cell>
        </row>
        <row r="1032">
          <cell r="A1032" t="str">
            <v>DHANLEELA INVESTMENTS &amp; TRADING COMPANY LTD</v>
          </cell>
          <cell r="B1032">
            <v>503637</v>
          </cell>
          <cell r="C1032" t="str">
            <v>Not Listed</v>
          </cell>
        </row>
        <row r="1033">
          <cell r="A1033" t="str">
            <v>DHANUKA AGRITECH LTD</v>
          </cell>
          <cell r="B1033">
            <v>507717</v>
          </cell>
          <cell r="C1033" t="str">
            <v>DHANUKA</v>
          </cell>
        </row>
        <row r="1034">
          <cell r="A1034" t="str">
            <v>DHANUKA COMMERCIAL LTD</v>
          </cell>
          <cell r="B1034">
            <v>538446</v>
          </cell>
          <cell r="C1034" t="str">
            <v>Not Listed</v>
          </cell>
        </row>
        <row r="1035">
          <cell r="A1035" t="str">
            <v>DHANUKA REALTY LTD</v>
          </cell>
          <cell r="B1035" t="str">
            <v>Not Listed</v>
          </cell>
          <cell r="C1035" t="str">
            <v>DRL</v>
          </cell>
        </row>
        <row r="1036">
          <cell r="A1036" t="str">
            <v>DHANVANTRI JEEVAN REKHA LTD</v>
          </cell>
          <cell r="B1036">
            <v>531043</v>
          </cell>
          <cell r="C1036" t="str">
            <v>Not Listed</v>
          </cell>
        </row>
        <row r="1037">
          <cell r="A1037" t="str">
            <v>DHANVARSHA FINVEST LTD</v>
          </cell>
          <cell r="B1037">
            <v>540268</v>
          </cell>
          <cell r="C1037" t="str">
            <v>Not Listed</v>
          </cell>
        </row>
        <row r="1038">
          <cell r="A1038" t="str">
            <v>DHARAMSI MORARJI CHEMICAL CO LTD</v>
          </cell>
          <cell r="B1038">
            <v>506405</v>
          </cell>
          <cell r="C1038" t="str">
            <v>Not Listed</v>
          </cell>
        </row>
        <row r="1039">
          <cell r="A1039" t="str">
            <v>DHARANI FINANCE LTD</v>
          </cell>
          <cell r="B1039">
            <v>511451</v>
          </cell>
          <cell r="C1039" t="str">
            <v>Not Listed</v>
          </cell>
        </row>
        <row r="1040">
          <cell r="A1040" t="str">
            <v>DHARANI SUGARS &amp; CHEMICALS LTD</v>
          </cell>
          <cell r="B1040">
            <v>507442</v>
          </cell>
          <cell r="C1040" t="str">
            <v>DHARSUGAR</v>
          </cell>
        </row>
        <row r="1041">
          <cell r="A1041" t="str">
            <v>DHENU BUILDCON INFRA LTD</v>
          </cell>
          <cell r="B1041">
            <v>501945</v>
          </cell>
          <cell r="C1041" t="str">
            <v>Not Listed</v>
          </cell>
        </row>
        <row r="1042">
          <cell r="A1042" t="str">
            <v>DHOOT INDUSTRIAL FINANCE LTD</v>
          </cell>
          <cell r="B1042">
            <v>526971</v>
          </cell>
          <cell r="C1042" t="str">
            <v>Not Listed</v>
          </cell>
        </row>
        <row r="1043">
          <cell r="A1043" t="str">
            <v>DHP (INDIA) LTD</v>
          </cell>
          <cell r="B1043">
            <v>531306</v>
          </cell>
          <cell r="C1043" t="str">
            <v>Not Listed</v>
          </cell>
        </row>
        <row r="1044">
          <cell r="A1044" t="str">
            <v>DHP INDIA LTD</v>
          </cell>
          <cell r="B1044">
            <v>531306</v>
          </cell>
          <cell r="C1044" t="str">
            <v>Not Listed</v>
          </cell>
        </row>
        <row r="1045">
          <cell r="A1045" t="str">
            <v>DHRUV CONSULTANCY SERVICES LTD</v>
          </cell>
          <cell r="B1045">
            <v>541302</v>
          </cell>
          <cell r="C1045" t="str">
            <v>Not Listed</v>
          </cell>
        </row>
        <row r="1046">
          <cell r="A1046" t="str">
            <v>DHRUV ESTATES LTD</v>
          </cell>
          <cell r="B1046">
            <v>507886</v>
          </cell>
          <cell r="C1046" t="str">
            <v>Not Listed</v>
          </cell>
        </row>
        <row r="1047">
          <cell r="A1047" t="str">
            <v>DHRUV WELLNESS LTD</v>
          </cell>
          <cell r="B1047">
            <v>540695</v>
          </cell>
          <cell r="C1047" t="str">
            <v>Not Listed</v>
          </cell>
        </row>
        <row r="1048">
          <cell r="A1048" t="str">
            <v>DHRUVA CAPITAL SERVICES LTD</v>
          </cell>
          <cell r="B1048">
            <v>531237</v>
          </cell>
          <cell r="C1048" t="str">
            <v>Not Listed</v>
          </cell>
        </row>
        <row r="1049">
          <cell r="A1049" t="str">
            <v>DHUNSERI INVESTMENTS LTD</v>
          </cell>
          <cell r="B1049">
            <v>533336</v>
          </cell>
          <cell r="C1049" t="str">
            <v>DHUNINV</v>
          </cell>
        </row>
        <row r="1050">
          <cell r="A1050" t="str">
            <v>DHUNSERI PETROCHEM LTD</v>
          </cell>
          <cell r="B1050">
            <v>523736</v>
          </cell>
          <cell r="C1050" t="str">
            <v>DPL</v>
          </cell>
        </row>
        <row r="1051">
          <cell r="A1051" t="str">
            <v>DHUNSERI TEA &amp; INDUSTRIES LTD</v>
          </cell>
          <cell r="B1051">
            <v>538902</v>
          </cell>
          <cell r="C1051" t="str">
            <v>DTIL</v>
          </cell>
        </row>
        <row r="1052">
          <cell r="A1052" t="str">
            <v>Dhunseri Ventures LTD</v>
          </cell>
          <cell r="B1052" t="str">
            <v>Not Listed</v>
          </cell>
          <cell r="C1052" t="str">
            <v>DVL</v>
          </cell>
        </row>
        <row r="1053">
          <cell r="A1053" t="str">
            <v>DIAMANT INFRASTRUCTURE LTD</v>
          </cell>
          <cell r="B1053">
            <v>508860</v>
          </cell>
          <cell r="C1053" t="str">
            <v>Not Listed</v>
          </cell>
        </row>
        <row r="1054">
          <cell r="A1054" t="str">
            <v>DIAMINES &amp; CHEMICALS LTD</v>
          </cell>
          <cell r="B1054">
            <v>500120</v>
          </cell>
          <cell r="C1054" t="str">
            <v>Not Listed</v>
          </cell>
        </row>
        <row r="1055">
          <cell r="A1055" t="str">
            <v>DIAMOND POWER INFRA LTD</v>
          </cell>
          <cell r="B1055">
            <v>522163</v>
          </cell>
          <cell r="C1055" t="str">
            <v>DIAPOWER</v>
          </cell>
        </row>
        <row r="1056">
          <cell r="A1056" t="str">
            <v>DIANA TEA CO LTD</v>
          </cell>
          <cell r="B1056">
            <v>530959</v>
          </cell>
          <cell r="C1056" t="str">
            <v>Not Listed</v>
          </cell>
        </row>
        <row r="1057">
          <cell r="A1057" t="str">
            <v>DIC (INDIA) LTD</v>
          </cell>
          <cell r="B1057">
            <v>500089</v>
          </cell>
          <cell r="C1057" t="str">
            <v>DICIND</v>
          </cell>
        </row>
        <row r="1058">
          <cell r="A1058" t="str">
            <v>DIC INDIA LTD</v>
          </cell>
          <cell r="B1058">
            <v>500089</v>
          </cell>
          <cell r="C1058" t="str">
            <v>DICIND</v>
          </cell>
        </row>
        <row r="1059">
          <cell r="A1059" t="str">
            <v>DIGGI MULTITRADE LTD</v>
          </cell>
          <cell r="B1059">
            <v>540811</v>
          </cell>
          <cell r="C1059" t="str">
            <v>Not Listed</v>
          </cell>
        </row>
        <row r="1060">
          <cell r="A1060" t="str">
            <v>Digicontent Ltd</v>
          </cell>
          <cell r="B1060">
            <v>542685</v>
          </cell>
          <cell r="C1060" t="str">
            <v>DGCONTENT</v>
          </cell>
        </row>
        <row r="1061">
          <cell r="A1061" t="str">
            <v>DIGJAM LTD</v>
          </cell>
          <cell r="B1061">
            <v>539979</v>
          </cell>
          <cell r="C1061" t="str">
            <v>DIGJAMLTD</v>
          </cell>
        </row>
        <row r="1062">
          <cell r="A1062" t="str">
            <v>DIKSAT TRANSWORLD LTD</v>
          </cell>
          <cell r="B1062">
            <v>540151</v>
          </cell>
          <cell r="C1062" t="str">
            <v>Not Listed</v>
          </cell>
        </row>
        <row r="1063">
          <cell r="A1063" t="str">
            <v>Diksha Greens Ltd</v>
          </cell>
          <cell r="B1063">
            <v>542155</v>
          </cell>
          <cell r="C1063" t="str">
            <v>DGL</v>
          </cell>
        </row>
        <row r="1064">
          <cell r="A1064" t="str">
            <v>DIL LTD</v>
          </cell>
          <cell r="B1064">
            <v>506414</v>
          </cell>
          <cell r="C1064" t="str">
            <v>Not Listed</v>
          </cell>
        </row>
        <row r="1065">
          <cell r="A1065" t="str">
            <v>DILIGENT INDUSTRIES LTD</v>
          </cell>
          <cell r="B1065">
            <v>531153</v>
          </cell>
          <cell r="C1065" t="str">
            <v>Not Listed</v>
          </cell>
        </row>
        <row r="1066">
          <cell r="A1066" t="str">
            <v>DILIGENT MEDIA CORPORATION LTD</v>
          </cell>
          <cell r="B1066">
            <v>540789</v>
          </cell>
          <cell r="C1066" t="str">
            <v>DNAMEDIA</v>
          </cell>
        </row>
        <row r="1067">
          <cell r="A1067" t="str">
            <v>DILIP BUILDCON LTD</v>
          </cell>
          <cell r="B1067">
            <v>540047</v>
          </cell>
          <cell r="C1067" t="str">
            <v>DBL</v>
          </cell>
        </row>
        <row r="1068">
          <cell r="A1068" t="str">
            <v>DION GLOBAL SOLUTIONS LTD</v>
          </cell>
          <cell r="B1068">
            <v>526927</v>
          </cell>
          <cell r="C1068" t="str">
            <v>Not Listed</v>
          </cell>
        </row>
        <row r="1069">
          <cell r="A1069" t="str">
            <v>DISA (INDIA) LTD</v>
          </cell>
          <cell r="B1069">
            <v>500068</v>
          </cell>
          <cell r="C1069" t="str">
            <v>Not Listed</v>
          </cell>
        </row>
        <row r="1070">
          <cell r="A1070" t="str">
            <v>DISA INDIA LTD</v>
          </cell>
          <cell r="B1070">
            <v>500068</v>
          </cell>
          <cell r="C1070" t="str">
            <v>Not Listed</v>
          </cell>
        </row>
        <row r="1071">
          <cell r="A1071" t="str">
            <v>DISH TV (INDIA) LTD</v>
          </cell>
          <cell r="B1071">
            <v>532839</v>
          </cell>
          <cell r="C1071" t="str">
            <v>DISHTV</v>
          </cell>
        </row>
        <row r="1072">
          <cell r="A1072" t="str">
            <v>DISH TV INDIA LTD</v>
          </cell>
          <cell r="B1072">
            <v>532839</v>
          </cell>
          <cell r="C1072" t="str">
            <v>DISHTV</v>
          </cell>
        </row>
        <row r="1073">
          <cell r="A1073" t="str">
            <v>DISHA RESOURCES LTD</v>
          </cell>
          <cell r="B1073">
            <v>531553</v>
          </cell>
          <cell r="C1073" t="str">
            <v>Not Listed</v>
          </cell>
        </row>
        <row r="1074">
          <cell r="A1074" t="str">
            <v>DISHMAN CARBOGEN AMCIS LTD</v>
          </cell>
          <cell r="B1074">
            <v>540701</v>
          </cell>
          <cell r="C1074" t="str">
            <v>DCAL</v>
          </cell>
        </row>
        <row r="1075">
          <cell r="A1075" t="str">
            <v>DIVINUS FABRICS LTD</v>
          </cell>
          <cell r="B1075">
            <v>538432</v>
          </cell>
          <cell r="C1075" t="str">
            <v>Not Listed</v>
          </cell>
        </row>
        <row r="1076">
          <cell r="A1076" t="str">
            <v>DIVI'S LABORATORIES LTD</v>
          </cell>
          <cell r="B1076">
            <v>532488</v>
          </cell>
          <cell r="C1076" t="str">
            <v>DIVISLAB</v>
          </cell>
        </row>
        <row r="1077">
          <cell r="A1077" t="str">
            <v>DIVYA JYOTI INDUSTRIES LTD</v>
          </cell>
          <cell r="B1077">
            <v>526285</v>
          </cell>
          <cell r="C1077" t="str">
            <v>Not Listed</v>
          </cell>
        </row>
        <row r="1078">
          <cell r="A1078" t="str">
            <v>DIVYASHAKTI GRANITES LTD</v>
          </cell>
          <cell r="B1078">
            <v>526315</v>
          </cell>
          <cell r="C1078" t="str">
            <v>Not Listed</v>
          </cell>
        </row>
        <row r="1079">
          <cell r="A1079" t="str">
            <v>DIXON TECHNOLOGIES (INDIA) LTD</v>
          </cell>
          <cell r="B1079">
            <v>540699</v>
          </cell>
          <cell r="C1079" t="str">
            <v>DIXON</v>
          </cell>
        </row>
        <row r="1080">
          <cell r="A1080" t="str">
            <v>DIXON TECHNOLOGIES INDIA LTD</v>
          </cell>
          <cell r="B1080">
            <v>540699</v>
          </cell>
          <cell r="C1080" t="str">
            <v>DIXON</v>
          </cell>
        </row>
        <row r="1081">
          <cell r="A1081" t="str">
            <v>DLF LTD</v>
          </cell>
          <cell r="B1081">
            <v>532868</v>
          </cell>
          <cell r="C1081" t="str">
            <v>DLF</v>
          </cell>
        </row>
        <row r="1082">
          <cell r="A1082" t="str">
            <v>D-LINK (INDIA) LTD</v>
          </cell>
          <cell r="B1082">
            <v>533146</v>
          </cell>
          <cell r="C1082" t="str">
            <v>DLINK(INDIA)</v>
          </cell>
        </row>
        <row r="1083">
          <cell r="A1083" t="str">
            <v>D-LINK INDIA LTD</v>
          </cell>
          <cell r="B1083">
            <v>533146</v>
          </cell>
          <cell r="C1083" t="str">
            <v>DLINKINDIA</v>
          </cell>
        </row>
        <row r="1084">
          <cell r="A1084" t="str">
            <v>DOLAT INVESTMENTS LTD</v>
          </cell>
          <cell r="B1084">
            <v>505526</v>
          </cell>
          <cell r="C1084" t="str">
            <v>Not Listed</v>
          </cell>
        </row>
        <row r="1085">
          <cell r="A1085" t="str">
            <v>DOLFIN RUBBERS LTD</v>
          </cell>
          <cell r="B1085">
            <v>542013</v>
          </cell>
          <cell r="C1085" t="str">
            <v>Not Listed</v>
          </cell>
        </row>
        <row r="1086">
          <cell r="A1086" t="str">
            <v>DOLLAR INDUSTRIES LTD</v>
          </cell>
          <cell r="B1086">
            <v>541403</v>
          </cell>
          <cell r="C1086" t="str">
            <v>DOLLAR</v>
          </cell>
        </row>
        <row r="1087">
          <cell r="A1087" t="str">
            <v>DOLPHIN MEDICAL SERVICES LTD</v>
          </cell>
          <cell r="B1087">
            <v>526504</v>
          </cell>
          <cell r="C1087" t="str">
            <v>Not Listed</v>
          </cell>
        </row>
        <row r="1088">
          <cell r="A1088" t="str">
            <v>DOLPHIN OFFSHORE ENTERPRISES (INDIA) LTD</v>
          </cell>
          <cell r="B1088">
            <v>522261</v>
          </cell>
          <cell r="C1088" t="str">
            <v>DOLPHINOFF</v>
          </cell>
        </row>
        <row r="1089">
          <cell r="A1089" t="str">
            <v>DOLPHIN OFFSHORE ENTERPRISES INDIA LTD</v>
          </cell>
          <cell r="B1089">
            <v>522261</v>
          </cell>
          <cell r="C1089" t="str">
            <v>DOLPHINOFF</v>
          </cell>
        </row>
        <row r="1090">
          <cell r="A1090" t="str">
            <v>DONEAR INDUSTRIES LTD</v>
          </cell>
          <cell r="B1090">
            <v>512519</v>
          </cell>
          <cell r="C1090" t="str">
            <v>DONEAR</v>
          </cell>
        </row>
        <row r="1091">
          <cell r="A1091" t="str">
            <v>DPSC LTD</v>
          </cell>
          <cell r="B1091" t="str">
            <v>Not Listed</v>
          </cell>
          <cell r="C1091" t="str">
            <v>DPSCLTD</v>
          </cell>
        </row>
        <row r="1092">
          <cell r="A1092" t="str">
            <v>DQ ENTERTAINMENT INTERNATIONAL LTD</v>
          </cell>
          <cell r="B1092">
            <v>533176</v>
          </cell>
          <cell r="C1092" t="str">
            <v>DQE</v>
          </cell>
        </row>
        <row r="1093">
          <cell r="A1093" t="str">
            <v>DR AGARWALS EYE HOSPITAL LTD</v>
          </cell>
          <cell r="B1093">
            <v>526783</v>
          </cell>
          <cell r="C1093" t="str">
            <v>Not Listed</v>
          </cell>
        </row>
        <row r="1094">
          <cell r="A1094" t="str">
            <v>DR HABEEBULLAH LIFE SCIENCES LTD</v>
          </cell>
          <cell r="B1094">
            <v>539267</v>
          </cell>
          <cell r="C1094" t="str">
            <v>Not Listed</v>
          </cell>
        </row>
        <row r="1095">
          <cell r="A1095" t="str">
            <v>DR LAL PATH LABS LTD</v>
          </cell>
          <cell r="B1095">
            <v>539524</v>
          </cell>
          <cell r="C1095" t="str">
            <v>LALPATHLAB</v>
          </cell>
        </row>
        <row r="1096">
          <cell r="A1096" t="str">
            <v>DR LALCHANDANI LABS LTD</v>
          </cell>
          <cell r="B1096">
            <v>541299</v>
          </cell>
          <cell r="C1096" t="str">
            <v>Not Listed</v>
          </cell>
        </row>
        <row r="1097">
          <cell r="A1097" t="str">
            <v>DR REDDY'S LABORATORIES LTD</v>
          </cell>
          <cell r="B1097">
            <v>500124</v>
          </cell>
          <cell r="C1097" t="str">
            <v>DRREDDY</v>
          </cell>
        </row>
        <row r="1098">
          <cell r="A1098" t="str">
            <v>DRA CONSULTANTS LTD</v>
          </cell>
          <cell r="B1098">
            <v>540144</v>
          </cell>
          <cell r="C1098" t="str">
            <v>Not Listed</v>
          </cell>
        </row>
        <row r="1099">
          <cell r="A1099" t="str">
            <v>DREDGING CORPORATION OF (INDIA) LTD</v>
          </cell>
          <cell r="B1099">
            <v>523618</v>
          </cell>
          <cell r="C1099" t="str">
            <v>DREDGECORP</v>
          </cell>
        </row>
        <row r="1100">
          <cell r="A1100" t="str">
            <v>DREDGING CORPORATION OF INDIA LTD</v>
          </cell>
          <cell r="B1100">
            <v>523618</v>
          </cell>
          <cell r="C1100" t="str">
            <v>DREDGECORP</v>
          </cell>
        </row>
        <row r="1101">
          <cell r="A1101" t="str">
            <v>DUCON INFRATECHNOLOGIES LTD</v>
          </cell>
          <cell r="B1101">
            <v>534674</v>
          </cell>
          <cell r="C1101" t="str">
            <v>DUCON</v>
          </cell>
        </row>
        <row r="1102">
          <cell r="A1102" t="str">
            <v>DUGAR HOUSING DEVELOPMENTS LTD</v>
          </cell>
          <cell r="B1102">
            <v>511634</v>
          </cell>
          <cell r="C1102" t="str">
            <v>Not Listed</v>
          </cell>
        </row>
        <row r="1103">
          <cell r="A1103" t="str">
            <v>DUKE OFFSHORE LTD</v>
          </cell>
          <cell r="B1103">
            <v>531471</v>
          </cell>
          <cell r="C1103" t="str">
            <v>Not Listed</v>
          </cell>
        </row>
        <row r="1104">
          <cell r="A1104" t="str">
            <v>DUNCAN ENGINEERING LTD</v>
          </cell>
          <cell r="B1104">
            <v>504908</v>
          </cell>
          <cell r="C1104" t="str">
            <v>Not Listed</v>
          </cell>
        </row>
        <row r="1105">
          <cell r="A1105" t="str">
            <v>DUROPACK LTD</v>
          </cell>
          <cell r="B1105">
            <v>526355</v>
          </cell>
          <cell r="C1105" t="str">
            <v>Not Listed</v>
          </cell>
        </row>
        <row r="1106">
          <cell r="A1106" t="str">
            <v>DUTRON POLYMERS LTD</v>
          </cell>
          <cell r="B1106">
            <v>517437</v>
          </cell>
          <cell r="C1106" t="str">
            <v>Not Listed</v>
          </cell>
        </row>
        <row r="1107">
          <cell r="A1107" t="str">
            <v>DWARIKESH SUGAR INDUSTRIES LTD</v>
          </cell>
          <cell r="B1107">
            <v>532610</v>
          </cell>
          <cell r="C1107" t="str">
            <v>DWARKESH</v>
          </cell>
        </row>
        <row r="1108">
          <cell r="A1108" t="str">
            <v>Dwitiya Trading Ltd</v>
          </cell>
          <cell r="B1108">
            <v>538608</v>
          </cell>
          <cell r="C1108" t="str">
            <v>DWITIYA</v>
          </cell>
        </row>
        <row r="1109">
          <cell r="A1109" t="str">
            <v>DYNACONS SYSTEMS &amp; SOLUTIONS LTD</v>
          </cell>
          <cell r="B1109">
            <v>532365</v>
          </cell>
          <cell r="C1109" t="str">
            <v>DSSL</v>
          </cell>
        </row>
        <row r="1110">
          <cell r="A1110" t="str">
            <v>DYNAMATIC TECHNOLOGIES LTD</v>
          </cell>
          <cell r="B1110">
            <v>505242</v>
          </cell>
          <cell r="C1110" t="str">
            <v>DYNAMATECH</v>
          </cell>
        </row>
        <row r="1111">
          <cell r="A1111" t="str">
            <v>DYNAMIC ARCHISTRUCTURES LTD</v>
          </cell>
          <cell r="B1111">
            <v>539681</v>
          </cell>
          <cell r="C1111" t="str">
            <v>Not Listed</v>
          </cell>
        </row>
        <row r="1112">
          <cell r="A1112" t="str">
            <v>DYNAMIC CABLES LTD</v>
          </cell>
          <cell r="B1112">
            <v>540795</v>
          </cell>
          <cell r="C1112" t="str">
            <v>Not Listed</v>
          </cell>
        </row>
        <row r="1113">
          <cell r="A1113" t="str">
            <v>DYNAMIC INDUSTRIES LTD</v>
          </cell>
          <cell r="B1113">
            <v>524818</v>
          </cell>
          <cell r="C1113" t="str">
            <v>Not Listed</v>
          </cell>
        </row>
        <row r="1114">
          <cell r="A1114" t="str">
            <v>DYNAMIC PORTFOLIO MANAGEMENT &amp; SERVICES LTD</v>
          </cell>
          <cell r="B1114">
            <v>530779</v>
          </cell>
          <cell r="C1114" t="str">
            <v>Not Listed</v>
          </cell>
        </row>
        <row r="1115">
          <cell r="A1115" t="str">
            <v>DYNAVISION LTD</v>
          </cell>
          <cell r="B1115">
            <v>517238</v>
          </cell>
          <cell r="C1115" t="str">
            <v>Not Listed</v>
          </cell>
        </row>
        <row r="1116">
          <cell r="A1116" t="str">
            <v>DYNEMIC PRODUCTS LTD</v>
          </cell>
          <cell r="B1116">
            <v>532707</v>
          </cell>
          <cell r="C1116" t="str">
            <v>DYNPRO</v>
          </cell>
        </row>
        <row r="1117">
          <cell r="A1117" t="str">
            <v>E COM INFOTECH I LTD</v>
          </cell>
          <cell r="B1117">
            <v>531533</v>
          </cell>
          <cell r="C1117" t="str">
            <v>Not Listed</v>
          </cell>
        </row>
        <row r="1118">
          <cell r="A1118" t="str">
            <v>E2E NETWORKS LTD</v>
          </cell>
          <cell r="B1118" t="str">
            <v>Not Listed</v>
          </cell>
          <cell r="C1118" t="str">
            <v>E2E</v>
          </cell>
        </row>
        <row r="1119">
          <cell r="A1119" t="str">
            <v>EAST BUILDTECH LTD</v>
          </cell>
          <cell r="B1119">
            <v>507917</v>
          </cell>
          <cell r="C1119" t="str">
            <v>Not Listed</v>
          </cell>
        </row>
        <row r="1120">
          <cell r="A1120" t="str">
            <v>EAST COAST STEEL LTD</v>
          </cell>
          <cell r="B1120">
            <v>520081</v>
          </cell>
          <cell r="C1120" t="str">
            <v>Not Listed</v>
          </cell>
        </row>
        <row r="1121">
          <cell r="A1121" t="str">
            <v>EAST INDIA SECURITIES LTD</v>
          </cell>
          <cell r="B1121">
            <v>541053</v>
          </cell>
          <cell r="C1121" t="str">
            <v>Not Listed</v>
          </cell>
        </row>
        <row r="1122">
          <cell r="A1122" t="str">
            <v>EASTERN SILK INDUSTRIES LTD</v>
          </cell>
          <cell r="B1122">
            <v>590022</v>
          </cell>
          <cell r="C1122" t="str">
            <v>EASTSILK</v>
          </cell>
        </row>
        <row r="1123">
          <cell r="A1123" t="str">
            <v>EASTERN TREADS LTD</v>
          </cell>
          <cell r="B1123">
            <v>531346</v>
          </cell>
          <cell r="C1123" t="str">
            <v>Not Listed</v>
          </cell>
        </row>
        <row r="1124">
          <cell r="A1124" t="str">
            <v>EASUN REYROLLE LTD</v>
          </cell>
          <cell r="B1124">
            <v>532751</v>
          </cell>
          <cell r="C1124" t="str">
            <v>EASUNREYRL</v>
          </cell>
        </row>
        <row r="1125">
          <cell r="A1125" t="str">
            <v>ECE INDUSTRIES LTD</v>
          </cell>
          <cell r="B1125" t="str">
            <v>Not Listed</v>
          </cell>
          <cell r="C1125" t="str">
            <v>ECEIND</v>
          </cell>
        </row>
        <row r="1126">
          <cell r="A1126" t="str">
            <v>ECLERX SERVICES LTD</v>
          </cell>
          <cell r="B1126">
            <v>532927</v>
          </cell>
          <cell r="C1126" t="str">
            <v>ECLERX</v>
          </cell>
        </row>
        <row r="1127">
          <cell r="A1127" t="str">
            <v>ECO FRIENDLY FOOD PROCESSING PARK LTD</v>
          </cell>
          <cell r="B1127">
            <v>534839</v>
          </cell>
          <cell r="C1127" t="str">
            <v>Not Listed</v>
          </cell>
        </row>
        <row r="1128">
          <cell r="A1128" t="str">
            <v>ECO RECYCLING LTD</v>
          </cell>
          <cell r="B1128">
            <v>530643</v>
          </cell>
          <cell r="C1128" t="str">
            <v>Not Listed</v>
          </cell>
        </row>
        <row r="1129">
          <cell r="A1129" t="str">
            <v>ECOBOARD INDUSTRIES LTD</v>
          </cell>
          <cell r="B1129">
            <v>523732</v>
          </cell>
          <cell r="C1129" t="str">
            <v>Not Listed</v>
          </cell>
        </row>
        <row r="1130">
          <cell r="A1130" t="str">
            <v>ECONO TRADE (INDIA) LTD</v>
          </cell>
          <cell r="B1130">
            <v>538708</v>
          </cell>
          <cell r="C1130" t="str">
            <v>Not Listed</v>
          </cell>
        </row>
        <row r="1131">
          <cell r="A1131" t="str">
            <v>ECONO TRADE INDIA LTD</v>
          </cell>
          <cell r="B1131">
            <v>538708</v>
          </cell>
          <cell r="C1131" t="str">
            <v>Not Listed</v>
          </cell>
        </row>
        <row r="1132">
          <cell r="A1132" t="str">
            <v>ECOPLAST LTD</v>
          </cell>
          <cell r="B1132">
            <v>526703</v>
          </cell>
          <cell r="C1132" t="str">
            <v>Not Listed</v>
          </cell>
        </row>
        <row r="1133">
          <cell r="A1133" t="str">
            <v>ECS BIZTECH LTD</v>
          </cell>
          <cell r="B1133">
            <v>540063</v>
          </cell>
          <cell r="C1133" t="str">
            <v>Not Listed</v>
          </cell>
        </row>
        <row r="1134">
          <cell r="A1134" t="str">
            <v>EDELWEISS FINANCIAL SERVICES LTD</v>
          </cell>
          <cell r="B1134">
            <v>532922</v>
          </cell>
          <cell r="C1134" t="str">
            <v>EDELWEISS</v>
          </cell>
        </row>
        <row r="1135">
          <cell r="A1135" t="str">
            <v>EDUCOMP SOLUTIONS LTD</v>
          </cell>
          <cell r="B1135">
            <v>532696</v>
          </cell>
          <cell r="C1135" t="str">
            <v>EDUCOMP</v>
          </cell>
        </row>
        <row r="1136">
          <cell r="A1136" t="str">
            <v>EDUEXEL INFOTAINMENT LTD</v>
          </cell>
          <cell r="B1136">
            <v>526483</v>
          </cell>
          <cell r="C1136" t="str">
            <v>Not Listed</v>
          </cell>
        </row>
        <row r="1137">
          <cell r="A1137" t="str">
            <v>EDYNAMICS SOLUTIONS LTD</v>
          </cell>
          <cell r="B1137">
            <v>535694</v>
          </cell>
          <cell r="C1137" t="str">
            <v>Not Listed</v>
          </cell>
        </row>
        <row r="1138">
          <cell r="A1138" t="str">
            <v>EICHER MOTORS LTD</v>
          </cell>
          <cell r="B1138">
            <v>505200</v>
          </cell>
          <cell r="C1138" t="str">
            <v>EICHERMOT</v>
          </cell>
        </row>
        <row r="1139">
          <cell r="A1139" t="str">
            <v>EID PARRY (INDIA) LTD</v>
          </cell>
          <cell r="B1139">
            <v>500125</v>
          </cell>
          <cell r="C1139" t="str">
            <v>EIDPARRY</v>
          </cell>
        </row>
        <row r="1140">
          <cell r="A1140" t="str">
            <v>EID PARRY INDIA LTD</v>
          </cell>
          <cell r="B1140">
            <v>500125</v>
          </cell>
          <cell r="C1140" t="str">
            <v>EIDPARRY</v>
          </cell>
        </row>
        <row r="1141">
          <cell r="A1141" t="str">
            <v>EIH ASSOCIATED HOTELS LTD</v>
          </cell>
          <cell r="B1141">
            <v>523127</v>
          </cell>
          <cell r="C1141" t="str">
            <v>EIHAHOTELS</v>
          </cell>
        </row>
        <row r="1142">
          <cell r="A1142" t="str">
            <v>EIH LTD</v>
          </cell>
          <cell r="B1142">
            <v>500840</v>
          </cell>
          <cell r="C1142" t="str">
            <v>EIHOTEL</v>
          </cell>
        </row>
        <row r="1143">
          <cell r="A1143" t="str">
            <v>EIMCO ELECON (INDIA) LTD</v>
          </cell>
          <cell r="B1143">
            <v>523708</v>
          </cell>
          <cell r="C1143" t="str">
            <v>EIMCOELECO</v>
          </cell>
        </row>
        <row r="1144">
          <cell r="A1144" t="str">
            <v>EIMCO ELECON INDIA LTD</v>
          </cell>
          <cell r="B1144">
            <v>523708</v>
          </cell>
          <cell r="C1144" t="str">
            <v>EIMCOELECO</v>
          </cell>
        </row>
        <row r="1145">
          <cell r="A1145" t="str">
            <v>Ejecta Marketing Ltd</v>
          </cell>
          <cell r="B1145">
            <v>538653</v>
          </cell>
          <cell r="C1145" t="str">
            <v>EML</v>
          </cell>
        </row>
        <row r="1146">
          <cell r="A1146" t="str">
            <v>EKAM LEASING &amp; FINANCE CO LTD</v>
          </cell>
          <cell r="B1146">
            <v>530581</v>
          </cell>
          <cell r="C1146" t="str">
            <v>Not Listed</v>
          </cell>
        </row>
        <row r="1147">
          <cell r="A1147" t="str">
            <v>E-LAND APPAREL LTD</v>
          </cell>
          <cell r="B1147">
            <v>532820</v>
          </cell>
          <cell r="C1147" t="str">
            <v>ELAND</v>
          </cell>
        </row>
        <row r="1148">
          <cell r="A1148" t="str">
            <v>ELANGO INDUSTRIES LTD</v>
          </cell>
          <cell r="B1148">
            <v>513452</v>
          </cell>
          <cell r="C1148" t="str">
            <v>Not Listed</v>
          </cell>
        </row>
        <row r="1149">
          <cell r="A1149" t="str">
            <v>ELANTAS BECK (INDIA) LTD</v>
          </cell>
          <cell r="B1149">
            <v>500123</v>
          </cell>
          <cell r="C1149" t="str">
            <v>Not Listed</v>
          </cell>
        </row>
        <row r="1150">
          <cell r="A1150" t="str">
            <v>ELANTAS BECK INDIA LTD</v>
          </cell>
          <cell r="B1150">
            <v>500123</v>
          </cell>
          <cell r="C1150" t="str">
            <v>Not Listed</v>
          </cell>
        </row>
        <row r="1151">
          <cell r="A1151" t="str">
            <v>ELCID INVESTMENTS LTD</v>
          </cell>
          <cell r="B1151">
            <v>503681</v>
          </cell>
          <cell r="C1151" t="str">
            <v>Not Listed</v>
          </cell>
        </row>
        <row r="1152">
          <cell r="A1152" t="str">
            <v>ELDECO HOUSING &amp; INDUSTRIES LTD</v>
          </cell>
          <cell r="B1152">
            <v>523329</v>
          </cell>
          <cell r="C1152" t="str">
            <v>Not Listed</v>
          </cell>
        </row>
        <row r="1153">
          <cell r="A1153" t="str">
            <v>ELECON ENGINEERING COMPANY LTD</v>
          </cell>
          <cell r="B1153">
            <v>505700</v>
          </cell>
          <cell r="C1153" t="str">
            <v>ELECON</v>
          </cell>
        </row>
        <row r="1154">
          <cell r="A1154" t="str">
            <v>ELECTROSTEEL CASTINGS LTD</v>
          </cell>
          <cell r="B1154">
            <v>500128</v>
          </cell>
          <cell r="C1154" t="str">
            <v>ELECTCAST</v>
          </cell>
        </row>
        <row r="1155">
          <cell r="A1155" t="str">
            <v>ELECTROSTEEL STEELS LTD</v>
          </cell>
          <cell r="B1155">
            <v>533264</v>
          </cell>
          <cell r="C1155" t="str">
            <v>ELECTROSL</v>
          </cell>
        </row>
        <row r="1156">
          <cell r="A1156" t="str">
            <v>ELECTROTHERM (INDIA) LTD</v>
          </cell>
          <cell r="B1156">
            <v>526608</v>
          </cell>
          <cell r="C1156" t="str">
            <v>ELECTHERM</v>
          </cell>
        </row>
        <row r="1157">
          <cell r="A1157" t="str">
            <v>ELECTROTHERM INDIA LTD</v>
          </cell>
          <cell r="B1157">
            <v>526608</v>
          </cell>
          <cell r="C1157" t="str">
            <v>ELECTHERM</v>
          </cell>
        </row>
        <row r="1158">
          <cell r="A1158" t="str">
            <v>ELEGANT FLORICULTURE &amp; AGROTECH (INDIA) LTD</v>
          </cell>
          <cell r="B1158">
            <v>526473</v>
          </cell>
          <cell r="C1158" t="str">
            <v>Not Listed</v>
          </cell>
        </row>
        <row r="1159">
          <cell r="A1159" t="str">
            <v>ELEGANT FLORICULTURE &amp; AGROTECH INDIA LTD</v>
          </cell>
          <cell r="B1159">
            <v>526473</v>
          </cell>
          <cell r="C1159" t="str">
            <v>Not Listed</v>
          </cell>
        </row>
        <row r="1160">
          <cell r="A1160" t="str">
            <v>ELEGANT MARBLES &amp; GRANI INDUSTRIES LTD</v>
          </cell>
          <cell r="B1160">
            <v>526705</v>
          </cell>
          <cell r="C1160" t="str">
            <v>Not Listed</v>
          </cell>
        </row>
        <row r="1161">
          <cell r="A1161" t="str">
            <v>ELGI EQUIPMENTS LTD</v>
          </cell>
          <cell r="B1161">
            <v>522074</v>
          </cell>
          <cell r="C1161" t="str">
            <v>ELGIEQUIP</v>
          </cell>
        </row>
        <row r="1162">
          <cell r="A1162" t="str">
            <v>ELGI RUBBER COMPANY LTD</v>
          </cell>
          <cell r="B1162" t="str">
            <v>Not Listed</v>
          </cell>
          <cell r="C1162" t="str">
            <v>ELGIRUBCO</v>
          </cell>
        </row>
        <row r="1163">
          <cell r="A1163" t="str">
            <v>ELIXIR CAPITAL LTD</v>
          </cell>
          <cell r="B1163">
            <v>531278</v>
          </cell>
          <cell r="C1163" t="str">
            <v>Not Listed</v>
          </cell>
        </row>
        <row r="1164">
          <cell r="A1164" t="str">
            <v>ELNET TECHNOLOGIES LTD</v>
          </cell>
          <cell r="B1164">
            <v>517477</v>
          </cell>
          <cell r="C1164" t="str">
            <v>Not Listed</v>
          </cell>
        </row>
        <row r="1165">
          <cell r="A1165" t="str">
            <v>ELPRO INTERNATIONAL LTD</v>
          </cell>
          <cell r="B1165">
            <v>504000</v>
          </cell>
          <cell r="C1165" t="str">
            <v>Not Listed</v>
          </cell>
        </row>
        <row r="1166">
          <cell r="A1166" t="str">
            <v>EMA (INDIA) LTD</v>
          </cell>
          <cell r="B1166">
            <v>522027</v>
          </cell>
          <cell r="C1166" t="str">
            <v>Not Listed</v>
          </cell>
        </row>
        <row r="1167">
          <cell r="A1167" t="str">
            <v>EMA INDIA LTD</v>
          </cell>
          <cell r="B1167">
            <v>522027</v>
          </cell>
          <cell r="C1167" t="str">
            <v>Not Listed</v>
          </cell>
        </row>
        <row r="1168">
          <cell r="A1168" t="str">
            <v>EMAMI LTD</v>
          </cell>
          <cell r="B1168">
            <v>531162</v>
          </cell>
          <cell r="C1168" t="str">
            <v>EMAMILTD</v>
          </cell>
        </row>
        <row r="1169">
          <cell r="A1169" t="str">
            <v>Emami Paper Mills LTD</v>
          </cell>
          <cell r="B1169" t="str">
            <v>Not Listed</v>
          </cell>
          <cell r="C1169" t="str">
            <v>EMAMIPAP</v>
          </cell>
        </row>
        <row r="1170">
          <cell r="A1170" t="str">
            <v>EMAMI PAPER MILLS LTD</v>
          </cell>
          <cell r="B1170">
            <v>533208</v>
          </cell>
          <cell r="C1170" t="str">
            <v>Not Listed</v>
          </cell>
        </row>
        <row r="1171">
          <cell r="A1171" t="str">
            <v>EMAMI REALTY LTD</v>
          </cell>
          <cell r="B1171">
            <v>533218</v>
          </cell>
          <cell r="C1171" t="str">
            <v>EMAMIREAL</v>
          </cell>
        </row>
        <row r="1172">
          <cell r="A1172" t="str">
            <v>Embassy Office Parks REIT</v>
          </cell>
          <cell r="B1172">
            <v>542602</v>
          </cell>
          <cell r="C1172" t="str">
            <v>EMBASSY</v>
          </cell>
        </row>
        <row r="1173">
          <cell r="A1173" t="str">
            <v>EMCO LTD</v>
          </cell>
          <cell r="B1173">
            <v>504008</v>
          </cell>
          <cell r="C1173" t="str">
            <v>EMCO</v>
          </cell>
        </row>
        <row r="1174">
          <cell r="A1174" t="str">
            <v>EMERALD LEASING FINANCE &amp; INVESTMENT COMPANY LTD</v>
          </cell>
          <cell r="B1174">
            <v>538882</v>
          </cell>
          <cell r="C1174" t="str">
            <v>Not Listed</v>
          </cell>
        </row>
        <row r="1175">
          <cell r="A1175" t="str">
            <v>EMERALD LEISURES LTD</v>
          </cell>
          <cell r="B1175">
            <v>507265</v>
          </cell>
          <cell r="C1175" t="str">
            <v>Not Listed</v>
          </cell>
        </row>
        <row r="1176">
          <cell r="A1176" t="str">
            <v>EMGEE CABLES &amp; COMMUNICATIONS LTD</v>
          </cell>
          <cell r="B1176">
            <v>530333</v>
          </cell>
          <cell r="C1176" t="str">
            <v>Not Listed</v>
          </cell>
        </row>
        <row r="1177">
          <cell r="A1177" t="str">
            <v>EMKAY GLOBAL FINANCIAL SERVICES LTD</v>
          </cell>
          <cell r="B1177">
            <v>532737</v>
          </cell>
          <cell r="C1177" t="str">
            <v>EMKAY</v>
          </cell>
        </row>
        <row r="1178">
          <cell r="A1178" t="str">
            <v>EMKAY TAPS AND CUTTING TOOLS LTD</v>
          </cell>
          <cell r="B1178" t="str">
            <v>Not Listed</v>
          </cell>
          <cell r="C1178" t="str">
            <v>EMKAYTOOLS</v>
          </cell>
        </row>
        <row r="1179">
          <cell r="A1179" t="str">
            <v>EMMBI INDUSTRIES LTD</v>
          </cell>
          <cell r="B1179">
            <v>533161</v>
          </cell>
          <cell r="C1179" t="str">
            <v>EMMBI</v>
          </cell>
        </row>
        <row r="1180">
          <cell r="A1180" t="str">
            <v>EMMESSAR BIOTECH &amp; NUTRITION LTD</v>
          </cell>
          <cell r="B1180">
            <v>524768</v>
          </cell>
          <cell r="C1180" t="str">
            <v>Not Listed</v>
          </cell>
        </row>
        <row r="1181">
          <cell r="A1181" t="str">
            <v>EMMSONS INTERNATIONAL LTD</v>
          </cell>
          <cell r="B1181">
            <v>532038</v>
          </cell>
          <cell r="C1181" t="str">
            <v>Not Listed</v>
          </cell>
        </row>
        <row r="1182">
          <cell r="A1182" t="str">
            <v>EMPEE DISTILLERIES LTD</v>
          </cell>
          <cell r="B1182">
            <v>532920</v>
          </cell>
          <cell r="C1182" t="str">
            <v>EDL</v>
          </cell>
        </row>
        <row r="1183">
          <cell r="A1183" t="str">
            <v>EMPEE SUGARS &amp; CHEMICALS LTD</v>
          </cell>
          <cell r="B1183">
            <v>500132</v>
          </cell>
          <cell r="C1183" t="str">
            <v>Not Listed</v>
          </cell>
        </row>
        <row r="1184">
          <cell r="A1184" t="str">
            <v>EMPIRE INDUSTRIES LTD</v>
          </cell>
          <cell r="B1184">
            <v>509525</v>
          </cell>
          <cell r="C1184" t="str">
            <v>Not Listed</v>
          </cell>
        </row>
        <row r="1185">
          <cell r="A1185" t="str">
            <v>EMPOWER (INDIA) LTD</v>
          </cell>
          <cell r="B1185">
            <v>504351</v>
          </cell>
          <cell r="C1185" t="str">
            <v>Not Listed</v>
          </cell>
        </row>
        <row r="1186">
          <cell r="A1186" t="str">
            <v>EMPOWER INDIA LTD</v>
          </cell>
          <cell r="B1186">
            <v>504351</v>
          </cell>
          <cell r="C1186" t="str">
            <v>Not Listed</v>
          </cell>
        </row>
        <row r="1187">
          <cell r="A1187" t="str">
            <v>ENBEE TRADE &amp; FINANCE LTD</v>
          </cell>
          <cell r="B1187">
            <v>512441</v>
          </cell>
          <cell r="C1187" t="str">
            <v>Not Listed</v>
          </cell>
        </row>
        <row r="1188">
          <cell r="A1188" t="str">
            <v>ENCASH ENTERTAINMENT LTD</v>
          </cell>
          <cell r="B1188">
            <v>538684</v>
          </cell>
          <cell r="C1188" t="str">
            <v>Not Listed</v>
          </cell>
        </row>
        <row r="1189">
          <cell r="A1189" t="str">
            <v>ENDURANCE TECHNOLOGIES LTD</v>
          </cell>
          <cell r="B1189">
            <v>540153</v>
          </cell>
          <cell r="C1189" t="str">
            <v>ENDURANCE</v>
          </cell>
        </row>
        <row r="1190">
          <cell r="A1190" t="str">
            <v>ENERGY DEVELOPMENT COMPANY LTD</v>
          </cell>
          <cell r="B1190">
            <v>532219</v>
          </cell>
          <cell r="C1190" t="str">
            <v>ENERGYDEV</v>
          </cell>
        </row>
        <row r="1191">
          <cell r="A1191" t="str">
            <v>ENGINEERS (INDIA) LTD</v>
          </cell>
          <cell r="B1191">
            <v>532178</v>
          </cell>
          <cell r="C1191" t="str">
            <v>ENGINERSIN</v>
          </cell>
        </row>
        <row r="1192">
          <cell r="A1192" t="str">
            <v>ENGINEERS INDIA LTD</v>
          </cell>
          <cell r="B1192">
            <v>532178</v>
          </cell>
          <cell r="C1192" t="str">
            <v>ENGINERSIN</v>
          </cell>
        </row>
        <row r="1193">
          <cell r="A1193" t="str">
            <v>ENKEI WHEELS (INDIA) LTD</v>
          </cell>
          <cell r="B1193">
            <v>533477</v>
          </cell>
          <cell r="C1193" t="str">
            <v>Not Listed</v>
          </cell>
        </row>
        <row r="1194">
          <cell r="A1194" t="str">
            <v>ENKEI WHEELS INDIA LTD</v>
          </cell>
          <cell r="B1194">
            <v>533477</v>
          </cell>
          <cell r="C1194" t="str">
            <v>Not Listed</v>
          </cell>
        </row>
        <row r="1195">
          <cell r="A1195" t="str">
            <v>ENTERPRISE INTERNATIONAL LTD</v>
          </cell>
          <cell r="B1195">
            <v>526574</v>
          </cell>
          <cell r="C1195" t="str">
            <v>Not Listed</v>
          </cell>
        </row>
        <row r="1196">
          <cell r="A1196" t="str">
            <v>ENTERTAINMENT NETWORK (INDIA) LTD</v>
          </cell>
          <cell r="B1196">
            <v>532700</v>
          </cell>
          <cell r="C1196" t="str">
            <v>ENIL</v>
          </cell>
        </row>
        <row r="1197">
          <cell r="A1197" t="str">
            <v>ENTERTAINMENT NETWORK INDIA LTD</v>
          </cell>
          <cell r="B1197">
            <v>532700</v>
          </cell>
          <cell r="C1197" t="str">
            <v>ENIL</v>
          </cell>
        </row>
        <row r="1198">
          <cell r="A1198" t="str">
            <v>ENVAIR ELECTRODYNE LTD</v>
          </cell>
          <cell r="B1198">
            <v>500246</v>
          </cell>
          <cell r="C1198" t="str">
            <v>Not Listed</v>
          </cell>
        </row>
        <row r="1199">
          <cell r="A1199" t="str">
            <v>EON ELECTRIC LTD</v>
          </cell>
          <cell r="B1199">
            <v>532658</v>
          </cell>
          <cell r="C1199" t="str">
            <v>EON</v>
          </cell>
        </row>
        <row r="1200">
          <cell r="A1200" t="str">
            <v>EPC INDUSTRIE LTD</v>
          </cell>
          <cell r="B1200">
            <v>523754</v>
          </cell>
          <cell r="C1200" t="str">
            <v>Not Listed</v>
          </cell>
        </row>
        <row r="1201">
          <cell r="A1201" t="str">
            <v>EPIC ENERGY LTD</v>
          </cell>
          <cell r="B1201">
            <v>530407</v>
          </cell>
          <cell r="C1201" t="str">
            <v>Not Listed</v>
          </cell>
        </row>
        <row r="1202">
          <cell r="A1202" t="str">
            <v>EPSOM PROPERTIES LTD</v>
          </cell>
          <cell r="B1202">
            <v>531155</v>
          </cell>
          <cell r="C1202" t="str">
            <v>Not Listed</v>
          </cell>
        </row>
        <row r="1203">
          <cell r="A1203" t="str">
            <v>EQUITAS HOLDINGS LTD</v>
          </cell>
          <cell r="B1203">
            <v>539844</v>
          </cell>
          <cell r="C1203" t="str">
            <v>EQUITAS</v>
          </cell>
        </row>
        <row r="1204">
          <cell r="A1204" t="str">
            <v>ERIS LIFESCIENCES LTD</v>
          </cell>
          <cell r="B1204">
            <v>540596</v>
          </cell>
          <cell r="C1204" t="str">
            <v>ERIS</v>
          </cell>
        </row>
        <row r="1205">
          <cell r="A1205" t="str">
            <v>EROS INTERNATIONAL MEDIA LTD</v>
          </cell>
          <cell r="B1205">
            <v>533261</v>
          </cell>
          <cell r="C1205" t="str">
            <v>EROSMEDIA</v>
          </cell>
        </row>
        <row r="1206">
          <cell r="A1206" t="str">
            <v>ERP SOFT SYSTEMS LTD</v>
          </cell>
          <cell r="B1206">
            <v>530909</v>
          </cell>
          <cell r="C1206" t="str">
            <v>Not Listed</v>
          </cell>
        </row>
        <row r="1207">
          <cell r="A1207" t="str">
            <v>ESAAR (INDIA) LTD</v>
          </cell>
          <cell r="B1207">
            <v>531502</v>
          </cell>
          <cell r="C1207" t="str">
            <v>Not Listed</v>
          </cell>
        </row>
        <row r="1208">
          <cell r="A1208" t="str">
            <v>ESAAR INDIA LTD</v>
          </cell>
          <cell r="B1208">
            <v>531502</v>
          </cell>
          <cell r="C1208" t="str">
            <v>Not Listed</v>
          </cell>
        </row>
        <row r="1209">
          <cell r="A1209" t="str">
            <v>ESAB (INDIA) LTD</v>
          </cell>
          <cell r="B1209">
            <v>500133</v>
          </cell>
          <cell r="C1209" t="str">
            <v>ESAB(INDIA)</v>
          </cell>
        </row>
        <row r="1210">
          <cell r="A1210" t="str">
            <v>ESAB INDIA LTD</v>
          </cell>
          <cell r="B1210">
            <v>500133</v>
          </cell>
          <cell r="C1210" t="str">
            <v>ESABINDIA</v>
          </cell>
        </row>
        <row r="1211">
          <cell r="A1211" t="str">
            <v>ESCORP ASSET MANAGEMENT LTD</v>
          </cell>
          <cell r="B1211">
            <v>540455</v>
          </cell>
          <cell r="C1211" t="str">
            <v>Not Listed</v>
          </cell>
        </row>
        <row r="1212">
          <cell r="A1212" t="str">
            <v>ESCORTS FINANCE LTD</v>
          </cell>
          <cell r="B1212">
            <v>511716</v>
          </cell>
          <cell r="C1212" t="str">
            <v>Not Listed</v>
          </cell>
        </row>
        <row r="1213">
          <cell r="A1213" t="str">
            <v>ESCORTS LTD</v>
          </cell>
          <cell r="B1213">
            <v>500495</v>
          </cell>
          <cell r="C1213" t="str">
            <v>ESCORTS</v>
          </cell>
        </row>
        <row r="1214">
          <cell r="A1214" t="str">
            <v>ESHA MEDIA RESEARCH LTD</v>
          </cell>
          <cell r="B1214">
            <v>531259</v>
          </cell>
          <cell r="C1214" t="str">
            <v>Not Listed</v>
          </cell>
        </row>
        <row r="1215">
          <cell r="A1215" t="str">
            <v>ESKAY K'N'IT (INDIA) LTD</v>
          </cell>
          <cell r="B1215">
            <v>514118</v>
          </cell>
          <cell r="C1215" t="str">
            <v>Not Listed</v>
          </cell>
        </row>
        <row r="1216">
          <cell r="A1216" t="str">
            <v>ESKAY K'N'IT INDIA LTD</v>
          </cell>
          <cell r="B1216">
            <v>514118</v>
          </cell>
          <cell r="C1216" t="str">
            <v>Not Listed</v>
          </cell>
        </row>
        <row r="1217">
          <cell r="A1217" t="str">
            <v>ESS DEE ALUMINIUM LTD</v>
          </cell>
          <cell r="B1217">
            <v>532787</v>
          </cell>
          <cell r="C1217" t="str">
            <v>ESSDEE</v>
          </cell>
        </row>
        <row r="1218">
          <cell r="A1218" t="str">
            <v>ESSAR SECURITIES LTD</v>
          </cell>
          <cell r="B1218">
            <v>533149</v>
          </cell>
          <cell r="C1218" t="str">
            <v>Not Listed</v>
          </cell>
        </row>
        <row r="1219">
          <cell r="A1219" t="str">
            <v>ESSAR SHIPPING LTD</v>
          </cell>
          <cell r="B1219">
            <v>533704</v>
          </cell>
          <cell r="C1219" t="str">
            <v>ESSARSHPNG</v>
          </cell>
        </row>
        <row r="1220">
          <cell r="A1220" t="str">
            <v>ESSEL PROPACK LTD</v>
          </cell>
          <cell r="B1220">
            <v>500135</v>
          </cell>
          <cell r="C1220" t="str">
            <v>ESSELPACK</v>
          </cell>
        </row>
        <row r="1221">
          <cell r="A1221" t="str">
            <v>ESTEEM BIO ORGANIC FOOD PROCESSING  LTD</v>
          </cell>
          <cell r="B1221">
            <v>534927</v>
          </cell>
          <cell r="C1221" t="str">
            <v>Not Listed</v>
          </cell>
        </row>
        <row r="1222">
          <cell r="A1222" t="str">
            <v>ESTER INDUSTRIES LTD</v>
          </cell>
          <cell r="B1222">
            <v>500136</v>
          </cell>
          <cell r="C1222" t="str">
            <v>ESTER</v>
          </cell>
        </row>
        <row r="1223">
          <cell r="A1223" t="str">
            <v>ETT LTD</v>
          </cell>
          <cell r="B1223">
            <v>537707</v>
          </cell>
          <cell r="C1223" t="str">
            <v>Not Listed</v>
          </cell>
        </row>
        <row r="1224">
          <cell r="A1224" t="str">
            <v>EUREKA INDUSTRIES LTD</v>
          </cell>
          <cell r="B1224">
            <v>521137</v>
          </cell>
          <cell r="C1224" t="str">
            <v>Not Listed</v>
          </cell>
        </row>
        <row r="1225">
          <cell r="A1225" t="str">
            <v>EURO ASIA EXPORTS LTD</v>
          </cell>
          <cell r="B1225">
            <v>530929</v>
          </cell>
          <cell r="C1225" t="str">
            <v>Not Listed</v>
          </cell>
        </row>
        <row r="1226">
          <cell r="A1226" t="str">
            <v>EURO CERAMICS LTD</v>
          </cell>
          <cell r="B1226">
            <v>532823</v>
          </cell>
          <cell r="C1226" t="str">
            <v>EUROCERA</v>
          </cell>
        </row>
        <row r="1227">
          <cell r="A1227" t="str">
            <v>EURO INDIA FRESH FOODS LTD</v>
          </cell>
          <cell r="B1227" t="str">
            <v>Not Listed</v>
          </cell>
          <cell r="C1227" t="str">
            <v>EIFFL</v>
          </cell>
        </row>
        <row r="1228">
          <cell r="A1228" t="str">
            <v>EURO MULTIVISION LTD</v>
          </cell>
          <cell r="B1228">
            <v>533109</v>
          </cell>
          <cell r="C1228" t="str">
            <v>EUROMULTI</v>
          </cell>
        </row>
        <row r="1229">
          <cell r="A1229" t="str">
            <v>EUROTEX INDUSTRIES &amp; EXPORTS LTD</v>
          </cell>
          <cell r="B1229">
            <v>521014</v>
          </cell>
          <cell r="C1229" t="str">
            <v>Not Listed</v>
          </cell>
        </row>
        <row r="1230">
          <cell r="A1230" t="str">
            <v>Eurotex Industries and Exports LTD</v>
          </cell>
          <cell r="B1230" t="str">
            <v>Not Listed</v>
          </cell>
          <cell r="C1230" t="str">
            <v>EUROTEXIND</v>
          </cell>
        </row>
        <row r="1231">
          <cell r="A1231" t="str">
            <v>Evans Electric Ltd</v>
          </cell>
          <cell r="B1231">
            <v>542668</v>
          </cell>
          <cell r="C1231" t="str">
            <v>EVANS</v>
          </cell>
        </row>
        <row r="1232">
          <cell r="A1232" t="str">
            <v>EVEREADY INDUSTRIES (INDIA) LTD</v>
          </cell>
          <cell r="B1232">
            <v>531508</v>
          </cell>
          <cell r="C1232" t="str">
            <v>EVEREADY</v>
          </cell>
        </row>
        <row r="1233">
          <cell r="A1233" t="str">
            <v>EVEREADY INDUSTRIES INDIA LTD</v>
          </cell>
          <cell r="B1233">
            <v>531508</v>
          </cell>
          <cell r="C1233" t="str">
            <v>EVEREADY</v>
          </cell>
        </row>
        <row r="1234">
          <cell r="A1234" t="str">
            <v>EVEREST INDUSTRIES LTD</v>
          </cell>
          <cell r="B1234">
            <v>508906</v>
          </cell>
          <cell r="C1234" t="str">
            <v>EVERESTIND</v>
          </cell>
        </row>
        <row r="1235">
          <cell r="A1235" t="str">
            <v>EVEREST KANTO CYLINDER LTD</v>
          </cell>
          <cell r="B1235">
            <v>532684</v>
          </cell>
          <cell r="C1235" t="str">
            <v>EKC</v>
          </cell>
        </row>
        <row r="1236">
          <cell r="A1236" t="str">
            <v>EVEREST ORGANICS LTD</v>
          </cell>
          <cell r="B1236">
            <v>524790</v>
          </cell>
          <cell r="C1236" t="str">
            <v>Not Listed</v>
          </cell>
        </row>
        <row r="1237">
          <cell r="A1237" t="str">
            <v>EVERGREEN TEXTILES LTD</v>
          </cell>
          <cell r="B1237">
            <v>514060</v>
          </cell>
          <cell r="C1237" t="str">
            <v>Not Listed</v>
          </cell>
        </row>
        <row r="1238">
          <cell r="A1238" t="str">
            <v>EVERLON SYNTHETICS LTD</v>
          </cell>
          <cell r="B1238">
            <v>514358</v>
          </cell>
          <cell r="C1238" t="str">
            <v>Not Listed</v>
          </cell>
        </row>
        <row r="1239">
          <cell r="A1239" t="str">
            <v>EXCEL CROP CARE LTD</v>
          </cell>
          <cell r="B1239">
            <v>532511</v>
          </cell>
          <cell r="C1239" t="str">
            <v>EXCELCROP</v>
          </cell>
        </row>
        <row r="1240">
          <cell r="A1240" t="str">
            <v>EXCEL INDUSTRIES LTD</v>
          </cell>
          <cell r="B1240">
            <v>500650</v>
          </cell>
          <cell r="C1240" t="str">
            <v>EXCELINDUS</v>
          </cell>
        </row>
        <row r="1241">
          <cell r="A1241" t="str">
            <v>EXCEL REALTY N INFRA LTD</v>
          </cell>
          <cell r="B1241">
            <v>533090</v>
          </cell>
          <cell r="C1241" t="str">
            <v>EXCEL</v>
          </cell>
        </row>
        <row r="1242">
          <cell r="A1242" t="str">
            <v>EXIDE INDUSTRIES LTD</v>
          </cell>
          <cell r="B1242">
            <v>500086</v>
          </cell>
          <cell r="C1242" t="str">
            <v>EXIDEIND</v>
          </cell>
        </row>
        <row r="1243">
          <cell r="A1243" t="str">
            <v>Expleo Solutions LTD</v>
          </cell>
          <cell r="B1243" t="str">
            <v>Not Listed</v>
          </cell>
          <cell r="C1243" t="str">
            <v>EXPLEOSOL</v>
          </cell>
        </row>
        <row r="1244">
          <cell r="A1244" t="str">
            <v>EXPLICIT FINANCE LTD</v>
          </cell>
          <cell r="B1244">
            <v>530571</v>
          </cell>
          <cell r="C1244" t="str">
            <v>Not Listed</v>
          </cell>
        </row>
        <row r="1245">
          <cell r="A1245" t="str">
            <v>EXPO GAS CONTAINERS LTD</v>
          </cell>
          <cell r="B1245">
            <v>526614</v>
          </cell>
          <cell r="C1245" t="str">
            <v>Not Listed</v>
          </cell>
        </row>
        <row r="1246">
          <cell r="A1246" t="str">
            <v>F MEC INTERNATIONAL FINANCIAL SERVICES LTD</v>
          </cell>
          <cell r="B1246">
            <v>539552</v>
          </cell>
          <cell r="C1246" t="str">
            <v>Not Listed</v>
          </cell>
        </row>
        <row r="1247">
          <cell r="A1247" t="str">
            <v>FACOR ALLOYS LTD</v>
          </cell>
          <cell r="B1247">
            <v>532656</v>
          </cell>
          <cell r="C1247" t="str">
            <v>Not Listed</v>
          </cell>
        </row>
        <row r="1248">
          <cell r="A1248" t="str">
            <v>FAIR DEAL FILAMENTS LTD</v>
          </cell>
          <cell r="B1248">
            <v>514474</v>
          </cell>
          <cell r="C1248" t="str">
            <v>Not Listed</v>
          </cell>
        </row>
        <row r="1249">
          <cell r="A1249" t="str">
            <v>FAIRCHEM SPECIALITY LTD</v>
          </cell>
          <cell r="B1249">
            <v>530117</v>
          </cell>
          <cell r="C1249" t="str">
            <v>FAIRCHEM</v>
          </cell>
        </row>
        <row r="1250">
          <cell r="A1250" t="str">
            <v>FAZE THREE LTD</v>
          </cell>
          <cell r="B1250">
            <v>530079</v>
          </cell>
          <cell r="C1250" t="str">
            <v>Not Listed</v>
          </cell>
        </row>
        <row r="1251">
          <cell r="A1251" t="str">
            <v>FCS SOFTWARE SOLUTIONS LTD</v>
          </cell>
          <cell r="B1251">
            <v>532666</v>
          </cell>
          <cell r="C1251" t="str">
            <v>FCSSOFT</v>
          </cell>
        </row>
        <row r="1252">
          <cell r="A1252" t="str">
            <v>FDC LTD</v>
          </cell>
          <cell r="B1252">
            <v>531599</v>
          </cell>
          <cell r="C1252" t="str">
            <v>FDC</v>
          </cell>
        </row>
        <row r="1253">
          <cell r="A1253" t="str">
            <v>FEDERAL-MOGUL GOETZE (INDIA) LTD</v>
          </cell>
          <cell r="B1253">
            <v>505744</v>
          </cell>
          <cell r="C1253" t="str">
            <v>FMGOETZE</v>
          </cell>
        </row>
        <row r="1254">
          <cell r="A1254" t="str">
            <v>FEDERAL-MOGUL GOETZE INDIA LTD</v>
          </cell>
          <cell r="B1254">
            <v>505744</v>
          </cell>
          <cell r="C1254" t="str">
            <v>FMGOETZE</v>
          </cell>
        </row>
        <row r="1255">
          <cell r="A1255" t="str">
            <v>FELIX INDUSTRIES LTD</v>
          </cell>
          <cell r="B1255" t="str">
            <v>Not Listed</v>
          </cell>
          <cell r="C1255" t="str">
            <v>FELIX</v>
          </cell>
        </row>
        <row r="1256">
          <cell r="A1256" t="str">
            <v>FENOPLAST LTD</v>
          </cell>
          <cell r="B1256">
            <v>526689</v>
          </cell>
          <cell r="C1256" t="str">
            <v>Not Listed</v>
          </cell>
        </row>
        <row r="1257">
          <cell r="A1257" t="str">
            <v>FERRO ALLOYS CORPORATION LTD</v>
          </cell>
          <cell r="B1257">
            <v>500141</v>
          </cell>
          <cell r="C1257" t="str">
            <v>Not Listed</v>
          </cell>
        </row>
        <row r="1258">
          <cell r="A1258" t="str">
            <v>FERTILIZERS AND CHEMICALS TRAVANCORE LTD</v>
          </cell>
          <cell r="B1258">
            <v>590024</v>
          </cell>
          <cell r="C1258" t="str">
            <v>FACT</v>
          </cell>
        </row>
        <row r="1259">
          <cell r="A1259" t="str">
            <v>FERVENT SYNERGIES LTD</v>
          </cell>
          <cell r="B1259">
            <v>533896</v>
          </cell>
          <cell r="C1259" t="str">
            <v>Not Listed</v>
          </cell>
        </row>
        <row r="1260">
          <cell r="A1260" t="str">
            <v>FGP LTD</v>
          </cell>
          <cell r="B1260">
            <v>500142</v>
          </cell>
          <cell r="C1260" t="str">
            <v>Not Listed</v>
          </cell>
        </row>
        <row r="1261">
          <cell r="A1261" t="str">
            <v>FIBERWEB (INDIA) LTD</v>
          </cell>
          <cell r="B1261">
            <v>507910</v>
          </cell>
          <cell r="C1261" t="str">
            <v>Not Listed</v>
          </cell>
        </row>
        <row r="1262">
          <cell r="A1262" t="str">
            <v>FIBERWEB INDIA LTD</v>
          </cell>
          <cell r="B1262">
            <v>507910</v>
          </cell>
          <cell r="C1262" t="str">
            <v>Not Listed</v>
          </cell>
        </row>
        <row r="1263">
          <cell r="A1263" t="str">
            <v>FIEM INDUSTRIES LTD</v>
          </cell>
          <cell r="B1263">
            <v>532768</v>
          </cell>
          <cell r="C1263" t="str">
            <v>FIEMIND</v>
          </cell>
        </row>
        <row r="1264">
          <cell r="A1264" t="str">
            <v>FILATEX (INDIA) LTD</v>
          </cell>
          <cell r="B1264">
            <v>526227</v>
          </cell>
          <cell r="C1264" t="str">
            <v>FILATEX</v>
          </cell>
        </row>
        <row r="1265">
          <cell r="A1265" t="str">
            <v>FILATEX FASHIONS LTD</v>
          </cell>
          <cell r="B1265">
            <v>532022</v>
          </cell>
          <cell r="C1265" t="str">
            <v>Not Listed</v>
          </cell>
        </row>
        <row r="1266">
          <cell r="A1266" t="str">
            <v>FILATEX INDIA LTD</v>
          </cell>
          <cell r="B1266">
            <v>526227</v>
          </cell>
          <cell r="C1266" t="str">
            <v>FILATEX</v>
          </cell>
        </row>
        <row r="1267">
          <cell r="A1267" t="str">
            <v>FILTRA CONSULTANTS AND ENGINEERS LTD</v>
          </cell>
          <cell r="B1267">
            <v>539098</v>
          </cell>
          <cell r="C1267" t="str">
            <v>Not Listed</v>
          </cell>
        </row>
        <row r="1268">
          <cell r="A1268" t="str">
            <v>FINE ORGANIC INDUSTRIES LTD</v>
          </cell>
          <cell r="B1268">
            <v>541557</v>
          </cell>
          <cell r="C1268" t="str">
            <v>FINEORG</v>
          </cell>
        </row>
        <row r="1269">
          <cell r="A1269" t="str">
            <v>FINE-LINE CIRCUITS LTD.</v>
          </cell>
          <cell r="B1269">
            <v>517264</v>
          </cell>
          <cell r="C1269" t="str">
            <v>FINELINE</v>
          </cell>
        </row>
        <row r="1270">
          <cell r="A1270" t="str">
            <v>FINEOTEX CHEMICAL LTD</v>
          </cell>
          <cell r="B1270">
            <v>533333</v>
          </cell>
          <cell r="C1270" t="str">
            <v>FCL</v>
          </cell>
        </row>
        <row r="1271">
          <cell r="A1271" t="str">
            <v>FINKURVE FINANCIAL SERVICES LTD</v>
          </cell>
          <cell r="B1271">
            <v>508954</v>
          </cell>
          <cell r="C1271" t="str">
            <v>Not Listed</v>
          </cell>
        </row>
        <row r="1272">
          <cell r="A1272" t="str">
            <v>FINOLEX CABLES LTD</v>
          </cell>
          <cell r="B1272">
            <v>500144</v>
          </cell>
          <cell r="C1272" t="str">
            <v>FINCABLES</v>
          </cell>
        </row>
        <row r="1273">
          <cell r="A1273" t="str">
            <v>FINOLEX INDUSTRIES LTD</v>
          </cell>
          <cell r="B1273">
            <v>500940</v>
          </cell>
          <cell r="C1273" t="str">
            <v>FINPIPE</v>
          </cell>
        </row>
        <row r="1274">
          <cell r="A1274" t="str">
            <v>FIRST CUSTODIAN FUND (INDIA) LTD</v>
          </cell>
          <cell r="B1274">
            <v>511122</v>
          </cell>
          <cell r="C1274" t="str">
            <v>Not Listed</v>
          </cell>
        </row>
        <row r="1275">
          <cell r="A1275" t="str">
            <v>FIRST CUSTODIAN FUND INDIA LTD</v>
          </cell>
          <cell r="B1275">
            <v>511122</v>
          </cell>
          <cell r="C1275" t="str">
            <v>Not Listed</v>
          </cell>
        </row>
        <row r="1276">
          <cell r="A1276" t="str">
            <v>FIRSTOBJECT TECHNOLOGIES LTD</v>
          </cell>
          <cell r="B1276">
            <v>532379</v>
          </cell>
          <cell r="C1276" t="str">
            <v>Not Listed</v>
          </cell>
        </row>
        <row r="1277">
          <cell r="A1277" t="str">
            <v>FIRSTSOURCE SOLUTIONS LTD</v>
          </cell>
          <cell r="B1277">
            <v>532809</v>
          </cell>
          <cell r="C1277" t="str">
            <v>FSL</v>
          </cell>
        </row>
        <row r="1278">
          <cell r="A1278" t="str">
            <v>FISCHER CHEMIC LTD</v>
          </cell>
          <cell r="B1278">
            <v>524743</v>
          </cell>
          <cell r="C1278" t="str">
            <v>Not Listed</v>
          </cell>
        </row>
        <row r="1279">
          <cell r="A1279" t="str">
            <v>FIVE CORE ELECTRONICS LTD</v>
          </cell>
          <cell r="B1279" t="str">
            <v>Not Listed</v>
          </cell>
          <cell r="C1279" t="str">
            <v>FIVECORE</v>
          </cell>
        </row>
        <row r="1280">
          <cell r="A1280" t="str">
            <v>FIVE CORE EXIM LTD</v>
          </cell>
          <cell r="B1280">
            <v>530885</v>
          </cell>
          <cell r="C1280" t="str">
            <v>Not Listed</v>
          </cell>
        </row>
        <row r="1281">
          <cell r="A1281" t="str">
            <v>FIVE X TRADECOM LTD</v>
          </cell>
          <cell r="B1281">
            <v>536751</v>
          </cell>
          <cell r="C1281" t="str">
            <v>Not Listed</v>
          </cell>
        </row>
        <row r="1282">
          <cell r="A1282" t="str">
            <v>FLEX FOODS LTD</v>
          </cell>
          <cell r="B1282">
            <v>523672</v>
          </cell>
          <cell r="C1282" t="str">
            <v>Not Listed</v>
          </cell>
        </row>
        <row r="1283">
          <cell r="A1283" t="str">
            <v>FLEXITUFF VENTURES INTERNATIONAL LTD</v>
          </cell>
          <cell r="B1283">
            <v>533638</v>
          </cell>
          <cell r="C1283" t="str">
            <v>FLEXITUFF</v>
          </cell>
        </row>
        <row r="1284">
          <cell r="A1284" t="str">
            <v>FLORA CORPORATION LTD</v>
          </cell>
          <cell r="B1284">
            <v>540267</v>
          </cell>
          <cell r="C1284" t="str">
            <v>Not Listed</v>
          </cell>
        </row>
        <row r="1285">
          <cell r="A1285" t="str">
            <v>FLORA TEXTILES LTD</v>
          </cell>
          <cell r="B1285">
            <v>530705</v>
          </cell>
          <cell r="C1285" t="str">
            <v>Not Listed</v>
          </cell>
        </row>
        <row r="1286">
          <cell r="A1286" t="str">
            <v>FLORENCE INVESTECH LTD</v>
          </cell>
          <cell r="B1286">
            <v>532518</v>
          </cell>
          <cell r="C1286" t="str">
            <v>Not Listed</v>
          </cell>
        </row>
        <row r="1287">
          <cell r="A1287" t="str">
            <v>FLUIDOMAT LTD</v>
          </cell>
          <cell r="B1287">
            <v>522017</v>
          </cell>
          <cell r="C1287" t="str">
            <v>Not Listed</v>
          </cell>
        </row>
        <row r="1288">
          <cell r="A1288" t="str">
            <v>FOCUS INDUSTRIAL RESOURCES LTD</v>
          </cell>
          <cell r="B1288">
            <v>534757</v>
          </cell>
          <cell r="C1288" t="str">
            <v>Not Listed</v>
          </cell>
        </row>
        <row r="1289">
          <cell r="A1289" t="str">
            <v>FOCUS LIGHTING AND FIXTURES LTD</v>
          </cell>
          <cell r="B1289" t="str">
            <v>Not Listed</v>
          </cell>
          <cell r="C1289" t="str">
            <v>FOCUS</v>
          </cell>
        </row>
        <row r="1290">
          <cell r="A1290" t="str">
            <v>FOCUS SUITES SOLUTIONS &amp; SERVICES LTD</v>
          </cell>
          <cell r="B1290">
            <v>540945</v>
          </cell>
          <cell r="C1290" t="str">
            <v>Not Listed</v>
          </cell>
        </row>
        <row r="1291">
          <cell r="A1291" t="str">
            <v>FOMENTO RESORTS &amp; HOTELS LTD</v>
          </cell>
          <cell r="B1291">
            <v>503831</v>
          </cell>
          <cell r="C1291" t="str">
            <v>Not Listed</v>
          </cell>
        </row>
        <row r="1292">
          <cell r="A1292" t="str">
            <v>FOODS &amp; INNS LTD</v>
          </cell>
          <cell r="B1292">
            <v>507552</v>
          </cell>
          <cell r="C1292" t="str">
            <v>Not Listed</v>
          </cell>
        </row>
        <row r="1293">
          <cell r="A1293" t="str">
            <v>FORBES &amp; COMPANY LTD</v>
          </cell>
          <cell r="B1293">
            <v>502865</v>
          </cell>
          <cell r="C1293" t="str">
            <v>Not Listed</v>
          </cell>
        </row>
        <row r="1294">
          <cell r="A1294" t="str">
            <v>FORCE MOTORS LTD</v>
          </cell>
          <cell r="B1294">
            <v>500033</v>
          </cell>
          <cell r="C1294" t="str">
            <v>Not Listed</v>
          </cell>
        </row>
        <row r="1295">
          <cell r="A1295" t="str">
            <v>FORTIS HEALTHCARE LTD</v>
          </cell>
          <cell r="B1295">
            <v>532843</v>
          </cell>
          <cell r="C1295" t="str">
            <v>FORTIS</v>
          </cell>
        </row>
        <row r="1296">
          <cell r="A1296" t="str">
            <v>FORTIS MALAR HOSPITALS LTD</v>
          </cell>
          <cell r="B1296">
            <v>523696</v>
          </cell>
          <cell r="C1296" t="str">
            <v>Not Listed</v>
          </cell>
        </row>
        <row r="1297">
          <cell r="A1297" t="str">
            <v>FORTUNE INTERNATIONAL LTD</v>
          </cell>
          <cell r="B1297">
            <v>530213</v>
          </cell>
          <cell r="C1297" t="str">
            <v>Not Listed</v>
          </cell>
        </row>
        <row r="1298">
          <cell r="A1298" t="str">
            <v>FOSECO (INDIA) LTD</v>
          </cell>
          <cell r="B1298">
            <v>500150</v>
          </cell>
          <cell r="C1298" t="str">
            <v>FOSECOIND</v>
          </cell>
        </row>
        <row r="1299">
          <cell r="A1299" t="str">
            <v>FOSECO INDIA LTD</v>
          </cell>
          <cell r="B1299">
            <v>500150</v>
          </cell>
          <cell r="C1299" t="str">
            <v>FOSECOIND</v>
          </cell>
        </row>
        <row r="1300">
          <cell r="A1300" t="str">
            <v>FOUNDRY FUEL PRODUCTS LTD</v>
          </cell>
          <cell r="B1300">
            <v>513579</v>
          </cell>
          <cell r="C1300" t="str">
            <v>Not Listed</v>
          </cell>
        </row>
        <row r="1301">
          <cell r="A1301" t="str">
            <v>FOURTH DIMENSION SOLUTIONS LTD</v>
          </cell>
          <cell r="B1301" t="str">
            <v>Not Listed</v>
          </cell>
          <cell r="C1301" t="str">
            <v>FOURTHDIM</v>
          </cell>
        </row>
        <row r="1302">
          <cell r="A1302" t="str">
            <v>FOURTH GENERATION INFORMATION SYSTEMS LTD</v>
          </cell>
          <cell r="B1302">
            <v>532403</v>
          </cell>
          <cell r="C1302" t="str">
            <v>Not Listed</v>
          </cell>
        </row>
        <row r="1303">
          <cell r="A1303" t="str">
            <v>FRANKLIN INDUSTRIES LTD</v>
          </cell>
          <cell r="B1303">
            <v>540190</v>
          </cell>
          <cell r="C1303" t="str">
            <v>Not Listed</v>
          </cell>
        </row>
        <row r="1304">
          <cell r="A1304" t="str">
            <v>FRANKLIN LEASING AND FINANCE LTD</v>
          </cell>
          <cell r="B1304">
            <v>539839</v>
          </cell>
          <cell r="C1304" t="str">
            <v>Not Listed</v>
          </cell>
        </row>
        <row r="1305">
          <cell r="A1305" t="str">
            <v>Fraser and Company Ltd</v>
          </cell>
          <cell r="B1305">
            <v>539032</v>
          </cell>
          <cell r="C1305" t="str">
            <v>FRASER</v>
          </cell>
        </row>
        <row r="1306">
          <cell r="A1306" t="str">
            <v>FREDUN PHARMACEUTICALS LTD</v>
          </cell>
          <cell r="B1306">
            <v>539730</v>
          </cell>
          <cell r="C1306" t="str">
            <v>Not Listed</v>
          </cell>
        </row>
        <row r="1307">
          <cell r="A1307" t="str">
            <v>FRESHTROP FRUITS LTD</v>
          </cell>
          <cell r="B1307">
            <v>530077</v>
          </cell>
          <cell r="C1307" t="str">
            <v>Not Listed</v>
          </cell>
        </row>
        <row r="1308">
          <cell r="A1308" t="str">
            <v>FRONTIER CAPITAL LTD</v>
          </cell>
          <cell r="B1308">
            <v>508980</v>
          </cell>
          <cell r="C1308" t="str">
            <v>Not Listed</v>
          </cell>
        </row>
        <row r="1309">
          <cell r="A1309" t="str">
            <v>FRONTIER SPRINGS LTD</v>
          </cell>
          <cell r="B1309">
            <v>522195</v>
          </cell>
          <cell r="C1309" t="str">
            <v>Not Listed</v>
          </cell>
        </row>
        <row r="1310">
          <cell r="A1310" t="str">
            <v>FRONTLINE BUSINESS SOLUTIONS LTD.</v>
          </cell>
          <cell r="B1310">
            <v>521167</v>
          </cell>
          <cell r="C1310" t="str">
            <v>FRONTBUSS</v>
          </cell>
        </row>
        <row r="1311">
          <cell r="A1311" t="str">
            <v>FRONTLINE CORPORATION LTD</v>
          </cell>
          <cell r="B1311">
            <v>532042</v>
          </cell>
          <cell r="C1311" t="str">
            <v>Not Listed</v>
          </cell>
        </row>
        <row r="1312">
          <cell r="A1312" t="str">
            <v>FRONTLINE SECURITIES LTD</v>
          </cell>
          <cell r="B1312">
            <v>533213</v>
          </cell>
          <cell r="C1312" t="str">
            <v>Not Listed</v>
          </cell>
        </row>
        <row r="1313">
          <cell r="A1313" t="str">
            <v>FRUITION VENTURE LTD</v>
          </cell>
          <cell r="B1313">
            <v>538568</v>
          </cell>
          <cell r="C1313" t="str">
            <v>Not Listed</v>
          </cell>
        </row>
        <row r="1314">
          <cell r="A1314" t="str">
            <v>FUNNY SOFTWARE LTD</v>
          </cell>
          <cell r="B1314">
            <v>539169</v>
          </cell>
          <cell r="C1314" t="str">
            <v>Not Listed</v>
          </cell>
        </row>
        <row r="1315">
          <cell r="A1315" t="str">
            <v>FUTURE CONSUMER LTD</v>
          </cell>
          <cell r="B1315">
            <v>533400</v>
          </cell>
          <cell r="C1315" t="str">
            <v>FCONSUMER</v>
          </cell>
        </row>
        <row r="1316">
          <cell r="A1316" t="str">
            <v>FUTURE ENTERPRISES LTD</v>
          </cell>
          <cell r="B1316">
            <v>523574</v>
          </cell>
          <cell r="C1316" t="str">
            <v>FEL</v>
          </cell>
        </row>
        <row r="1317">
          <cell r="A1317" t="str">
            <v>FUTURE ENTERPRISES LTD</v>
          </cell>
          <cell r="B1317">
            <v>570002</v>
          </cell>
          <cell r="C1317" t="str">
            <v>FELDVR</v>
          </cell>
        </row>
        <row r="1318">
          <cell r="A1318" t="str">
            <v>FUTURE LIFESTYLE FASHIONS LTD</v>
          </cell>
          <cell r="B1318">
            <v>536507</v>
          </cell>
          <cell r="C1318" t="str">
            <v>FLFL</v>
          </cell>
        </row>
        <row r="1319">
          <cell r="A1319" t="str">
            <v>FUTURE MARKET NETWORKS LTD</v>
          </cell>
          <cell r="B1319">
            <v>533296</v>
          </cell>
          <cell r="C1319" t="str">
            <v>FMNL</v>
          </cell>
        </row>
        <row r="1320">
          <cell r="A1320" t="str">
            <v>FUTURE RETAIL LTD</v>
          </cell>
          <cell r="B1320">
            <v>540064</v>
          </cell>
          <cell r="C1320" t="str">
            <v>FRETAIL</v>
          </cell>
        </row>
        <row r="1321">
          <cell r="A1321" t="str">
            <v>FUTURE SUPPLY CHAIN SOLUTIONS LTD</v>
          </cell>
          <cell r="B1321">
            <v>540798</v>
          </cell>
          <cell r="C1321" t="str">
            <v>FSC</v>
          </cell>
        </row>
        <row r="1322">
          <cell r="A1322" t="str">
            <v>FUTURISTIC SECURITIES LTD</v>
          </cell>
          <cell r="B1322">
            <v>523113</v>
          </cell>
          <cell r="C1322" t="str">
            <v>Not Listed</v>
          </cell>
        </row>
        <row r="1323">
          <cell r="A1323" t="str">
            <v>FUTURISTIC SOLUTIONS LTD</v>
          </cell>
          <cell r="B1323">
            <v>534063</v>
          </cell>
          <cell r="C1323" t="str">
            <v>Not Listed</v>
          </cell>
        </row>
        <row r="1324">
          <cell r="A1324" t="str">
            <v>G D TRADING &amp; AGENCIES LTD</v>
          </cell>
          <cell r="B1324">
            <v>504346</v>
          </cell>
          <cell r="C1324" t="str">
            <v>Not Listed</v>
          </cell>
        </row>
        <row r="1325">
          <cell r="A1325" t="str">
            <v>G G DANDEKAR MACHINE WORKS LTD</v>
          </cell>
          <cell r="B1325">
            <v>505250</v>
          </cell>
          <cell r="C1325" t="str">
            <v>Not Listed</v>
          </cell>
        </row>
        <row r="1326">
          <cell r="A1326" t="str">
            <v>G G ENGINEERING LTD</v>
          </cell>
          <cell r="B1326">
            <v>540614</v>
          </cell>
          <cell r="C1326" t="str">
            <v>Not Listed</v>
          </cell>
        </row>
        <row r="1327">
          <cell r="A1327" t="str">
            <v>G K CONSULTANTS LTD</v>
          </cell>
          <cell r="B1327">
            <v>531758</v>
          </cell>
          <cell r="C1327" t="str">
            <v>Not Listed</v>
          </cell>
        </row>
        <row r="1328">
          <cell r="A1328" t="str">
            <v>G S AUTO INTERNATIONAL LTD</v>
          </cell>
          <cell r="B1328">
            <v>513059</v>
          </cell>
          <cell r="C1328" t="str">
            <v>Not Listed</v>
          </cell>
        </row>
        <row r="1329">
          <cell r="A1329" t="str">
            <v>G. K. P. Printing &amp;amp; Packaging Ltd</v>
          </cell>
          <cell r="B1329">
            <v>542666</v>
          </cell>
          <cell r="C1329" t="str">
            <v>GKP</v>
          </cell>
        </row>
        <row r="1330">
          <cell r="A1330" t="str">
            <v>GABRIEL (INDIA) LTD</v>
          </cell>
          <cell r="B1330">
            <v>505714</v>
          </cell>
          <cell r="C1330" t="str">
            <v>GABRIEL</v>
          </cell>
        </row>
        <row r="1331">
          <cell r="A1331" t="str">
            <v>GABRIEL INDIA LTD</v>
          </cell>
          <cell r="B1331">
            <v>505714</v>
          </cell>
          <cell r="C1331" t="str">
            <v>GABRIEL</v>
          </cell>
        </row>
        <row r="1332">
          <cell r="A1332" t="str">
            <v>GAGAN GASES LTD.</v>
          </cell>
          <cell r="B1332">
            <v>524624</v>
          </cell>
          <cell r="C1332" t="str">
            <v>GAGAN</v>
          </cell>
        </row>
        <row r="1333">
          <cell r="A1333" t="str">
            <v>GAGAN POLYCOT (INDIA) LTD</v>
          </cell>
          <cell r="B1333">
            <v>531196</v>
          </cell>
          <cell r="C1333" t="str">
            <v>Not Listed</v>
          </cell>
        </row>
        <row r="1334">
          <cell r="A1334" t="str">
            <v>GAGAN POLYCOT INDIA LTD</v>
          </cell>
          <cell r="B1334">
            <v>531196</v>
          </cell>
          <cell r="C1334" t="str">
            <v>Not Listed</v>
          </cell>
        </row>
        <row r="1335">
          <cell r="A1335" t="str">
            <v>GAIL (INDIA) LTD</v>
          </cell>
          <cell r="B1335">
            <v>532155</v>
          </cell>
          <cell r="C1335" t="str">
            <v>GAIL</v>
          </cell>
        </row>
        <row r="1336">
          <cell r="A1336" t="str">
            <v>GAIL INDIA LTD</v>
          </cell>
          <cell r="B1336">
            <v>532155</v>
          </cell>
          <cell r="C1336" t="str">
            <v>GAIL</v>
          </cell>
        </row>
        <row r="1337">
          <cell r="A1337" t="str">
            <v>GAJANAN SECURITIES SERVICES LTD</v>
          </cell>
          <cell r="B1337">
            <v>538609</v>
          </cell>
          <cell r="C1337" t="str">
            <v>Not Listed</v>
          </cell>
        </row>
        <row r="1338">
          <cell r="A1338" t="str">
            <v>GAJRA BEVEL GEARS LTD</v>
          </cell>
          <cell r="B1338">
            <v>505711</v>
          </cell>
          <cell r="C1338" t="str">
            <v>Not Listed</v>
          </cell>
        </row>
        <row r="1339">
          <cell r="A1339" t="str">
            <v>GALA GLOBAL PRODUCTS LTD</v>
          </cell>
          <cell r="B1339">
            <v>539228</v>
          </cell>
          <cell r="C1339" t="str">
            <v>Not Listed</v>
          </cell>
        </row>
        <row r="1340">
          <cell r="A1340" t="str">
            <v>GALADA FINANCE LTD</v>
          </cell>
          <cell r="B1340">
            <v>538881</v>
          </cell>
          <cell r="C1340" t="str">
            <v>Not Listed</v>
          </cell>
        </row>
        <row r="1341">
          <cell r="A1341" t="str">
            <v>GALADA POWER &amp; TELECOMMUNICATION LTD</v>
          </cell>
          <cell r="B1341">
            <v>504697</v>
          </cell>
          <cell r="C1341" t="str">
            <v>Not Listed</v>
          </cell>
        </row>
        <row r="1342">
          <cell r="A1342" t="str">
            <v>GALAXY AGRICO EXPORTS LTD</v>
          </cell>
          <cell r="B1342">
            <v>531911</v>
          </cell>
          <cell r="C1342" t="str">
            <v>Not Listed</v>
          </cell>
        </row>
        <row r="1343">
          <cell r="A1343" t="str">
            <v>GALAXY BEARINGS LTD</v>
          </cell>
          <cell r="B1343">
            <v>526073</v>
          </cell>
          <cell r="C1343" t="str">
            <v>Not Listed</v>
          </cell>
        </row>
        <row r="1344">
          <cell r="A1344" t="str">
            <v>GALAXY ENTERTAINMENT CORPORATION LTD</v>
          </cell>
          <cell r="B1344">
            <v>506186</v>
          </cell>
          <cell r="C1344" t="str">
            <v>Not Listed</v>
          </cell>
        </row>
        <row r="1345">
          <cell r="A1345" t="str">
            <v>GALAXY SURFACTANTS LTD</v>
          </cell>
          <cell r="B1345">
            <v>540935</v>
          </cell>
          <cell r="C1345" t="str">
            <v>GALAXYSURF</v>
          </cell>
        </row>
        <row r="1346">
          <cell r="A1346" t="str">
            <v>GALLANTT ISPAT LTD</v>
          </cell>
          <cell r="B1346">
            <v>533265</v>
          </cell>
          <cell r="C1346" t="str">
            <v>GALLISPAT</v>
          </cell>
        </row>
        <row r="1347">
          <cell r="A1347" t="str">
            <v>GALLANTT METAL LTD</v>
          </cell>
          <cell r="B1347">
            <v>532726</v>
          </cell>
          <cell r="C1347" t="str">
            <v>GALLANTT</v>
          </cell>
        </row>
        <row r="1348">
          <cell r="A1348" t="str">
            <v>GALLOPS ENTERPRISE LTD.</v>
          </cell>
          <cell r="B1348">
            <v>531902</v>
          </cell>
          <cell r="C1348" t="str">
            <v>GALLOPENT</v>
          </cell>
        </row>
        <row r="1349">
          <cell r="A1349" t="str">
            <v>GAMMON INFRASTRUCTURE PROJECTS LTD</v>
          </cell>
          <cell r="B1349">
            <v>532959</v>
          </cell>
          <cell r="C1349" t="str">
            <v>GAMMNINFRA</v>
          </cell>
        </row>
        <row r="1350">
          <cell r="A1350" t="str">
            <v>GANDHI SPECIAL TUBES LTD</v>
          </cell>
          <cell r="B1350">
            <v>513108</v>
          </cell>
          <cell r="C1350" t="str">
            <v>GANDHITUBE</v>
          </cell>
        </row>
        <row r="1351">
          <cell r="A1351" t="str">
            <v>GANESH BENZOPLAST LTD</v>
          </cell>
          <cell r="B1351">
            <v>500153</v>
          </cell>
          <cell r="C1351" t="str">
            <v>Not Listed</v>
          </cell>
        </row>
        <row r="1352">
          <cell r="A1352" t="str">
            <v>GANESH FILMS (INDIA) LTD</v>
          </cell>
          <cell r="B1352">
            <v>541703</v>
          </cell>
          <cell r="C1352" t="str">
            <v>Not Listed</v>
          </cell>
        </row>
        <row r="1353">
          <cell r="A1353" t="str">
            <v>GANESH FILMS INDIA LTD</v>
          </cell>
          <cell r="B1353">
            <v>541703</v>
          </cell>
          <cell r="C1353" t="str">
            <v>Not Listed</v>
          </cell>
        </row>
        <row r="1354">
          <cell r="A1354" t="str">
            <v>GANESH HOLDINGS LTD</v>
          </cell>
          <cell r="B1354">
            <v>504397</v>
          </cell>
          <cell r="C1354" t="str">
            <v>Not Listed</v>
          </cell>
        </row>
        <row r="1355">
          <cell r="A1355" t="str">
            <v>GANESH HOUSING CORPORATION LTD</v>
          </cell>
          <cell r="B1355">
            <v>526367</v>
          </cell>
          <cell r="C1355" t="str">
            <v>GANESHHOUC</v>
          </cell>
        </row>
        <row r="1356">
          <cell r="A1356" t="str">
            <v>GANESHA ECOSPHERE LTD</v>
          </cell>
          <cell r="B1356">
            <v>514167</v>
          </cell>
          <cell r="C1356" t="str">
            <v>GANECOS</v>
          </cell>
        </row>
        <row r="1357">
          <cell r="A1357" t="str">
            <v>GANGA FORGING LTD</v>
          </cell>
          <cell r="B1357" t="str">
            <v>Not Listed</v>
          </cell>
          <cell r="C1357" t="str">
            <v>GANGAFORGE</v>
          </cell>
        </row>
        <row r="1358">
          <cell r="A1358" t="str">
            <v>GANGA PAPERS (INDIA) LTD</v>
          </cell>
          <cell r="B1358">
            <v>531813</v>
          </cell>
          <cell r="C1358" t="str">
            <v>Not Listed</v>
          </cell>
        </row>
        <row r="1359">
          <cell r="A1359" t="str">
            <v>GANGA PAPERS INDIA LTD</v>
          </cell>
          <cell r="B1359">
            <v>531813</v>
          </cell>
          <cell r="C1359" t="str">
            <v>Not Listed</v>
          </cell>
        </row>
        <row r="1360">
          <cell r="A1360" t="str">
            <v>GANGA PHARMACEUTICALS LTD</v>
          </cell>
          <cell r="B1360">
            <v>539680</v>
          </cell>
          <cell r="C1360" t="str">
            <v>Not Listed</v>
          </cell>
        </row>
        <row r="1361">
          <cell r="A1361" t="str">
            <v>GANGES SECURITIES LTD</v>
          </cell>
          <cell r="B1361">
            <v>540647</v>
          </cell>
          <cell r="C1361" t="str">
            <v>GANGESSECU</v>
          </cell>
        </row>
        <row r="1362">
          <cell r="A1362" t="str">
            <v>GANGOTRI TEXTILES LTD</v>
          </cell>
          <cell r="B1362">
            <v>521176</v>
          </cell>
          <cell r="C1362" t="str">
            <v>GANGOTRI</v>
          </cell>
        </row>
        <row r="1363">
          <cell r="A1363" t="str">
            <v>GANON PRODUCTS LTD</v>
          </cell>
          <cell r="B1363">
            <v>512443</v>
          </cell>
          <cell r="C1363" t="str">
            <v>Not Listed</v>
          </cell>
        </row>
        <row r="1364">
          <cell r="A1364" t="str">
            <v>GARBI FINVEST LTD</v>
          </cell>
          <cell r="B1364">
            <v>539492</v>
          </cell>
          <cell r="C1364" t="str">
            <v>Not Listed</v>
          </cell>
        </row>
        <row r="1365">
          <cell r="A1365" t="str">
            <v>GARDEN REACH SHIPBUILDERS &amp; ENGINEERS LTD</v>
          </cell>
          <cell r="B1365">
            <v>542011</v>
          </cell>
          <cell r="C1365" t="str">
            <v>GRSE</v>
          </cell>
        </row>
        <row r="1366">
          <cell r="A1366" t="str">
            <v>GARDEN SILK MILLS LTD</v>
          </cell>
          <cell r="B1366">
            <v>500155</v>
          </cell>
          <cell r="C1366" t="str">
            <v>GARDENSILK</v>
          </cell>
        </row>
        <row r="1367">
          <cell r="A1367" t="str">
            <v>GARG FURNACE LTD</v>
          </cell>
          <cell r="B1367">
            <v>530615</v>
          </cell>
          <cell r="C1367" t="str">
            <v>Not Listed</v>
          </cell>
        </row>
        <row r="1368">
          <cell r="A1368" t="str">
            <v>GARNET CONSTRUCTION LTD</v>
          </cell>
          <cell r="B1368">
            <v>526727</v>
          </cell>
          <cell r="C1368" t="str">
            <v>Not Listed</v>
          </cell>
        </row>
        <row r="1369">
          <cell r="A1369" t="str">
            <v>GARNET INTERNATIONAL LTD</v>
          </cell>
          <cell r="B1369">
            <v>512493</v>
          </cell>
          <cell r="C1369" t="str">
            <v>Not Listed</v>
          </cell>
        </row>
        <row r="1370">
          <cell r="A1370" t="str">
            <v>GARODIA CHEMICALS LTD</v>
          </cell>
          <cell r="B1370">
            <v>530161</v>
          </cell>
          <cell r="C1370" t="str">
            <v>Not Listed</v>
          </cell>
        </row>
        <row r="1371">
          <cell r="A1371" t="str">
            <v>GARV INDUSTRIES LTD</v>
          </cell>
          <cell r="B1371">
            <v>541276</v>
          </cell>
          <cell r="C1371" t="str">
            <v>Not Listed</v>
          </cell>
        </row>
        <row r="1372">
          <cell r="A1372" t="str">
            <v>GARWARE MARINE INDUSTRIES LTD</v>
          </cell>
          <cell r="B1372">
            <v>509563</v>
          </cell>
          <cell r="C1372" t="str">
            <v>Not Listed</v>
          </cell>
        </row>
        <row r="1373">
          <cell r="A1373" t="str">
            <v>GARWARE POLYESTER LTD</v>
          </cell>
          <cell r="B1373">
            <v>500655</v>
          </cell>
          <cell r="C1373" t="str">
            <v>Not Listed</v>
          </cell>
        </row>
        <row r="1374">
          <cell r="A1374" t="str">
            <v>GARWARE SYNTHETICS LTD</v>
          </cell>
          <cell r="B1374">
            <v>514400</v>
          </cell>
          <cell r="C1374" t="str">
            <v>Not Listed</v>
          </cell>
        </row>
        <row r="1375">
          <cell r="A1375" t="str">
            <v>GARWARE TECHNICAL FIBRES LTD</v>
          </cell>
          <cell r="B1375">
            <v>509557</v>
          </cell>
          <cell r="C1375" t="str">
            <v>GARFIBRES</v>
          </cell>
        </row>
        <row r="1376">
          <cell r="A1376" t="str">
            <v>GATEWAY DISTRIPARKS LTD</v>
          </cell>
          <cell r="B1376">
            <v>532622</v>
          </cell>
          <cell r="C1376" t="str">
            <v>GDL</v>
          </cell>
        </row>
        <row r="1377">
          <cell r="A1377" t="str">
            <v>GATI LTD</v>
          </cell>
          <cell r="B1377">
            <v>532345</v>
          </cell>
          <cell r="C1377" t="str">
            <v>GATI</v>
          </cell>
        </row>
        <row r="1378">
          <cell r="A1378" t="str">
            <v>GAURAV MERCANTILES LTD</v>
          </cell>
          <cell r="B1378">
            <v>539515</v>
          </cell>
          <cell r="C1378" t="str">
            <v>Not Listed</v>
          </cell>
        </row>
        <row r="1379">
          <cell r="A1379" t="str">
            <v>GAUTAM EXIM LTD</v>
          </cell>
          <cell r="B1379">
            <v>540613</v>
          </cell>
          <cell r="C1379" t="str">
            <v>Not Listed</v>
          </cell>
        </row>
        <row r="1380">
          <cell r="A1380" t="str">
            <v>GAUTAM GEMS LTD</v>
          </cell>
          <cell r="B1380">
            <v>540936</v>
          </cell>
          <cell r="C1380" t="str">
            <v>Not Listed</v>
          </cell>
        </row>
        <row r="1381">
          <cell r="A1381" t="str">
            <v>GAYATRI BIOORGANICS LTD</v>
          </cell>
          <cell r="B1381">
            <v>524564</v>
          </cell>
          <cell r="C1381" t="str">
            <v>Not Listed</v>
          </cell>
        </row>
        <row r="1382">
          <cell r="A1382" t="str">
            <v>GAYATRI HIGHWAYS LTD</v>
          </cell>
          <cell r="B1382">
            <v>541546</v>
          </cell>
          <cell r="C1382" t="str">
            <v>GAYAHWS</v>
          </cell>
        </row>
        <row r="1383">
          <cell r="A1383" t="str">
            <v>GAYATRI PROJECTS LTD</v>
          </cell>
          <cell r="B1383">
            <v>532767</v>
          </cell>
          <cell r="C1383" t="str">
            <v>GAYAPROJ</v>
          </cell>
        </row>
        <row r="1384">
          <cell r="A1384" t="str">
            <v>GAYATRI SUGARS LTD</v>
          </cell>
          <cell r="B1384">
            <v>532183</v>
          </cell>
          <cell r="C1384" t="str">
            <v>Not Listed</v>
          </cell>
        </row>
        <row r="1385">
          <cell r="A1385" t="str">
            <v>GBL INDUSTRIES LTD</v>
          </cell>
          <cell r="B1385">
            <v>539009</v>
          </cell>
          <cell r="C1385" t="str">
            <v>Not Listed</v>
          </cell>
        </row>
        <row r="1386">
          <cell r="A1386" t="str">
            <v>GCM CAPITAL ADVISORS LTD</v>
          </cell>
          <cell r="B1386">
            <v>538319</v>
          </cell>
          <cell r="C1386" t="str">
            <v>Not Listed</v>
          </cell>
        </row>
        <row r="1387">
          <cell r="A1387" t="str">
            <v>GCM COMMODITY &amp; DERIVATIVES LTD</v>
          </cell>
          <cell r="B1387">
            <v>535917</v>
          </cell>
          <cell r="C1387" t="str">
            <v>Not Listed</v>
          </cell>
        </row>
        <row r="1388">
          <cell r="A1388" t="str">
            <v>GCM SECURITIES LTD</v>
          </cell>
          <cell r="B1388">
            <v>535431</v>
          </cell>
          <cell r="C1388" t="str">
            <v>Not Listed</v>
          </cell>
        </row>
        <row r="1389">
          <cell r="A1389" t="str">
            <v>GDL LEASING &amp; FINANCE LTD</v>
          </cell>
          <cell r="B1389">
            <v>530855</v>
          </cell>
          <cell r="C1389" t="str">
            <v>Not Listed</v>
          </cell>
        </row>
        <row r="1390">
          <cell r="A1390" t="str">
            <v>GE POWER (INDIA) LTD</v>
          </cell>
          <cell r="B1390">
            <v>532309</v>
          </cell>
          <cell r="C1390" t="str">
            <v>GEPIL</v>
          </cell>
        </row>
        <row r="1391">
          <cell r="A1391" t="str">
            <v>GE POWER INDIA LTD</v>
          </cell>
          <cell r="B1391">
            <v>532309</v>
          </cell>
          <cell r="C1391" t="str">
            <v>GEPIL</v>
          </cell>
        </row>
        <row r="1392">
          <cell r="A1392" t="str">
            <v>GE T&amp;D (INDIA) LTD</v>
          </cell>
          <cell r="B1392">
            <v>522275</v>
          </cell>
          <cell r="C1392" t="str">
            <v>GET&amp;D</v>
          </cell>
        </row>
        <row r="1393">
          <cell r="A1393" t="str">
            <v>GE T&amp;D INDIA LTD</v>
          </cell>
          <cell r="B1393">
            <v>522275</v>
          </cell>
          <cell r="C1393" t="str">
            <v>GET&amp;D</v>
          </cell>
        </row>
        <row r="1394">
          <cell r="A1394" t="str">
            <v>GEE LTD</v>
          </cell>
          <cell r="B1394">
            <v>504028</v>
          </cell>
          <cell r="C1394" t="str">
            <v>Not Listed</v>
          </cell>
        </row>
        <row r="1395">
          <cell r="A1395" t="str">
            <v>GEECEE VENTURES LTD</v>
          </cell>
          <cell r="B1395">
            <v>532764</v>
          </cell>
          <cell r="C1395" t="str">
            <v>GEECEE</v>
          </cell>
        </row>
        <row r="1396">
          <cell r="A1396" t="str">
            <v>GEEFCEE FINANCE LTD</v>
          </cell>
          <cell r="B1396">
            <v>530389</v>
          </cell>
          <cell r="C1396" t="str">
            <v>Not Listed</v>
          </cell>
        </row>
        <row r="1397">
          <cell r="A1397" t="str">
            <v>GEEKAY WIRES LTD</v>
          </cell>
          <cell r="B1397" t="str">
            <v>Not Listed</v>
          </cell>
          <cell r="C1397" t="str">
            <v>GEEKAYWIRE</v>
          </cell>
        </row>
        <row r="1398">
          <cell r="A1398" t="str">
            <v>GEETANJALI CREDIT AND CAPITAL LTD</v>
          </cell>
          <cell r="B1398">
            <v>539486</v>
          </cell>
          <cell r="C1398" t="str">
            <v>Not Listed</v>
          </cell>
        </row>
        <row r="1399">
          <cell r="A1399" t="str">
            <v>GEM SPINNERS (INDIA) LTD</v>
          </cell>
          <cell r="B1399">
            <v>521133</v>
          </cell>
          <cell r="C1399" t="str">
            <v>Not Listed</v>
          </cell>
        </row>
        <row r="1400">
          <cell r="A1400" t="str">
            <v>GEM SPINNERS INDIA LTD</v>
          </cell>
          <cell r="B1400">
            <v>521133</v>
          </cell>
          <cell r="C1400" t="str">
            <v>Not Listed</v>
          </cell>
        </row>
        <row r="1401">
          <cell r="A1401" t="str">
            <v>GEMINI COMMUNICATION LTD</v>
          </cell>
          <cell r="B1401">
            <v>532318</v>
          </cell>
          <cell r="C1401" t="str">
            <v>GEMINI</v>
          </cell>
        </row>
        <row r="1402">
          <cell r="A1402" t="str">
            <v>GEMSTONE INVESTMENTS LTD</v>
          </cell>
          <cell r="B1402">
            <v>531137</v>
          </cell>
          <cell r="C1402" t="str">
            <v>Not Listed</v>
          </cell>
        </row>
        <row r="1403">
          <cell r="A1403" t="str">
            <v>GENERA AGRI CORP LTD</v>
          </cell>
          <cell r="B1403">
            <v>541999</v>
          </cell>
          <cell r="C1403" t="str">
            <v>Not Listed</v>
          </cell>
        </row>
        <row r="1404">
          <cell r="A1404" t="str">
            <v>GENERAL INSURANCE CORPORATION OF INDIA</v>
          </cell>
          <cell r="B1404">
            <v>540755</v>
          </cell>
          <cell r="C1404" t="str">
            <v>GICRE</v>
          </cell>
        </row>
        <row r="1405">
          <cell r="A1405" t="str">
            <v>GENERIC ENGINEERING CONSTRUCTION AND PROJECTS LTD</v>
          </cell>
          <cell r="B1405">
            <v>539407</v>
          </cell>
          <cell r="C1405" t="str">
            <v>Not Listed</v>
          </cell>
        </row>
        <row r="1406">
          <cell r="A1406" t="str">
            <v>GENESIS IBRC (INDIA) LTD</v>
          </cell>
          <cell r="B1406">
            <v>514336</v>
          </cell>
          <cell r="C1406" t="str">
            <v>Not Listed</v>
          </cell>
        </row>
        <row r="1407">
          <cell r="A1407" t="str">
            <v>GENESIS IBRC INDIA LTD</v>
          </cell>
          <cell r="B1407">
            <v>514336</v>
          </cell>
          <cell r="C1407" t="str">
            <v>Not Listed</v>
          </cell>
        </row>
        <row r="1408">
          <cell r="A1408" t="str">
            <v>GENESYS INTERNATIONAL CORPORATION LTD</v>
          </cell>
          <cell r="B1408">
            <v>506109</v>
          </cell>
          <cell r="C1408" t="str">
            <v>GENESYS</v>
          </cell>
        </row>
        <row r="1409">
          <cell r="A1409" t="str">
            <v>GENNEX LABORATORIES LTD</v>
          </cell>
          <cell r="B1409">
            <v>531739</v>
          </cell>
          <cell r="C1409" t="str">
            <v>Not Listed</v>
          </cell>
        </row>
        <row r="1410">
          <cell r="A1410" t="str">
            <v>GENOMIC VALLEY BIOTECH LTD</v>
          </cell>
          <cell r="B1410">
            <v>539206</v>
          </cell>
          <cell r="C1410" t="str">
            <v>Not Listed</v>
          </cell>
        </row>
        <row r="1411">
          <cell r="A1411" t="str">
            <v>GENUS PAPER &amp; BOARDS LTD</v>
          </cell>
          <cell r="B1411">
            <v>538961</v>
          </cell>
          <cell r="C1411" t="str">
            <v>GENUSPAPER</v>
          </cell>
        </row>
        <row r="1412">
          <cell r="A1412" t="str">
            <v>GENUS POWER INFRASTRUCTURES LTD</v>
          </cell>
          <cell r="B1412">
            <v>530343</v>
          </cell>
          <cell r="C1412" t="str">
            <v>GENUSPOWER</v>
          </cell>
        </row>
        <row r="1413">
          <cell r="A1413" t="str">
            <v>GEOJIT FINANCIAL SERVICES LTD</v>
          </cell>
          <cell r="B1413">
            <v>532285</v>
          </cell>
          <cell r="C1413" t="str">
            <v>GEOJITFSL</v>
          </cell>
        </row>
        <row r="1414">
          <cell r="A1414" t="str">
            <v>GHCL LTD</v>
          </cell>
          <cell r="B1414">
            <v>500171</v>
          </cell>
          <cell r="C1414" t="str">
            <v>GHCL</v>
          </cell>
        </row>
        <row r="1415">
          <cell r="A1415" t="str">
            <v>GI ENGINEERING SOLUTIONS LTD</v>
          </cell>
          <cell r="B1415">
            <v>533048</v>
          </cell>
          <cell r="C1415" t="str">
            <v>GISOLUTION</v>
          </cell>
        </row>
        <row r="1416">
          <cell r="A1416" t="str">
            <v>GIC HOUSING FINANCE LTD</v>
          </cell>
          <cell r="B1416">
            <v>511676</v>
          </cell>
          <cell r="C1416" t="str">
            <v>GICHSGFIN</v>
          </cell>
        </row>
        <row r="1417">
          <cell r="A1417" t="str">
            <v>GILADA FINANCE &amp; INVESTMENTS LTD</v>
          </cell>
          <cell r="B1417">
            <v>538788</v>
          </cell>
          <cell r="C1417" t="str">
            <v>Not Listed</v>
          </cell>
        </row>
        <row r="1418">
          <cell r="A1418" t="str">
            <v>GILLANDERS ARBUTHNOT &amp; COMPANY LTD</v>
          </cell>
          <cell r="B1418">
            <v>532716</v>
          </cell>
          <cell r="C1418" t="str">
            <v>GILLANDERS</v>
          </cell>
        </row>
        <row r="1419">
          <cell r="A1419" t="str">
            <v>GILLETTE (INDIA) LTD</v>
          </cell>
          <cell r="B1419">
            <v>507815</v>
          </cell>
          <cell r="C1419" t="str">
            <v>GILLETTE</v>
          </cell>
        </row>
        <row r="1420">
          <cell r="A1420" t="str">
            <v>GILLETTE INDIA LTD</v>
          </cell>
          <cell r="B1420">
            <v>507815</v>
          </cell>
          <cell r="C1420" t="str">
            <v>GILLETTE</v>
          </cell>
        </row>
        <row r="1421">
          <cell r="A1421" t="str">
            <v>GINI SILK MILLS LTD</v>
          </cell>
          <cell r="B1421">
            <v>531744</v>
          </cell>
          <cell r="C1421" t="str">
            <v>Not Listed</v>
          </cell>
        </row>
        <row r="1422">
          <cell r="A1422" t="str">
            <v>GINNI FILAMENTS LTD</v>
          </cell>
          <cell r="B1422">
            <v>590025</v>
          </cell>
          <cell r="C1422" t="str">
            <v>GINNIFILA</v>
          </cell>
        </row>
        <row r="1423">
          <cell r="A1423" t="str">
            <v>GIRDHARILAL SUGAR &amp; ALLIED INDUSTRIES LTD</v>
          </cell>
          <cell r="B1423">
            <v>507506</v>
          </cell>
          <cell r="C1423" t="str">
            <v>Not Listed</v>
          </cell>
        </row>
        <row r="1424">
          <cell r="A1424" t="str">
            <v>GIRIRAJ CIVIL DEVELOPERS LTD</v>
          </cell>
          <cell r="B1424" t="str">
            <v>Not Listed</v>
          </cell>
          <cell r="C1424" t="str">
            <v>GIRIRAJ</v>
          </cell>
        </row>
        <row r="1425">
          <cell r="A1425" t="str">
            <v>GITA RENEWABLE ENERGY LTD</v>
          </cell>
          <cell r="B1425">
            <v>539013</v>
          </cell>
          <cell r="C1425" t="str">
            <v>Not Listed</v>
          </cell>
        </row>
        <row r="1426">
          <cell r="A1426" t="str">
            <v>GKB OPHTHALMICS LTD</v>
          </cell>
          <cell r="B1426">
            <v>533212</v>
          </cell>
          <cell r="C1426" t="str">
            <v>Not Listed</v>
          </cell>
        </row>
        <row r="1427">
          <cell r="A1427" t="str">
            <v>GKW LTD</v>
          </cell>
          <cell r="B1427" t="str">
            <v>Not Listed</v>
          </cell>
          <cell r="C1427" t="str">
            <v>GKWLIMITED</v>
          </cell>
        </row>
        <row r="1428">
          <cell r="A1428" t="str">
            <v>GLANCE FINANCE LTD</v>
          </cell>
          <cell r="B1428">
            <v>531199</v>
          </cell>
          <cell r="C1428" t="str">
            <v>Not Listed</v>
          </cell>
        </row>
        <row r="1429">
          <cell r="A1429" t="str">
            <v>GLAXOSMITHKLINE CONSUMER HEALTHCARE LTD</v>
          </cell>
          <cell r="B1429">
            <v>500676</v>
          </cell>
          <cell r="C1429" t="str">
            <v>GSKCONS</v>
          </cell>
        </row>
        <row r="1430">
          <cell r="A1430" t="str">
            <v>GLAXOSMITHKLINE PHARMACEUTICALS LTD</v>
          </cell>
          <cell r="B1430">
            <v>500660</v>
          </cell>
          <cell r="C1430" t="str">
            <v>GLAXO</v>
          </cell>
        </row>
        <row r="1431">
          <cell r="A1431" t="str">
            <v>Gleam Fabmat Ltd</v>
          </cell>
          <cell r="B1431">
            <v>542477</v>
          </cell>
          <cell r="C1431" t="str">
            <v>GLEAM</v>
          </cell>
        </row>
        <row r="1432">
          <cell r="A1432" t="str">
            <v>GLENMARK PHARMACEUTICALS LTD</v>
          </cell>
          <cell r="B1432">
            <v>532296</v>
          </cell>
          <cell r="C1432" t="str">
            <v>GLENMARK</v>
          </cell>
        </row>
        <row r="1433">
          <cell r="A1433" t="str">
            <v>GLITTEK GRANITES LTD</v>
          </cell>
          <cell r="B1433">
            <v>513528</v>
          </cell>
          <cell r="C1433" t="str">
            <v>Not Listed</v>
          </cell>
        </row>
        <row r="1434">
          <cell r="A1434" t="str">
            <v>GLOBAL CAPITAL MARKETS LTD</v>
          </cell>
          <cell r="B1434">
            <v>530263</v>
          </cell>
          <cell r="C1434" t="str">
            <v>Not Listed</v>
          </cell>
        </row>
        <row r="1435">
          <cell r="A1435" t="str">
            <v>GLOBAL EDUCATION LTD</v>
          </cell>
          <cell r="B1435" t="str">
            <v>Not Listed</v>
          </cell>
          <cell r="C1435" t="str">
            <v>GLOBAL</v>
          </cell>
        </row>
        <row r="1436">
          <cell r="A1436" t="str">
            <v>GLOBAL INFRATECH &amp; FINANCE LTD</v>
          </cell>
          <cell r="B1436">
            <v>531463</v>
          </cell>
          <cell r="C1436" t="str">
            <v>Not Listed</v>
          </cell>
        </row>
        <row r="1437">
          <cell r="A1437" t="str">
            <v>GLOBAL LAND MASTERS CORPORATION LTD</v>
          </cell>
          <cell r="B1437">
            <v>531479</v>
          </cell>
          <cell r="C1437" t="str">
            <v>Not Listed</v>
          </cell>
        </row>
        <row r="1438">
          <cell r="A1438" t="str">
            <v>GLOBAL OFFSHORE SERVICES LTD</v>
          </cell>
          <cell r="B1438">
            <v>501848</v>
          </cell>
          <cell r="C1438" t="str">
            <v>GLOBOFFS</v>
          </cell>
        </row>
        <row r="1439">
          <cell r="A1439" t="str">
            <v>GLOBAL VECTRA HELICORP LTD</v>
          </cell>
          <cell r="B1439">
            <v>532773</v>
          </cell>
          <cell r="C1439" t="str">
            <v>GLOBALVECT</v>
          </cell>
        </row>
        <row r="1440">
          <cell r="A1440" t="str">
            <v>GLOBALSPACE TECHNOLOGIES LTD</v>
          </cell>
          <cell r="B1440">
            <v>540654</v>
          </cell>
          <cell r="C1440" t="str">
            <v>Not Listed</v>
          </cell>
        </row>
        <row r="1441">
          <cell r="A1441" t="str">
            <v>GLOBE COMMERCIALS LTD</v>
          </cell>
          <cell r="B1441">
            <v>540266</v>
          </cell>
          <cell r="C1441" t="str">
            <v>Not Listed</v>
          </cell>
        </row>
        <row r="1442">
          <cell r="A1442" t="str">
            <v>GLOBE INTERNATIONAL CARRIERS LTD</v>
          </cell>
          <cell r="B1442" t="str">
            <v>Not Listed</v>
          </cell>
          <cell r="C1442" t="str">
            <v>GICL</v>
          </cell>
        </row>
        <row r="1443">
          <cell r="A1443" t="str">
            <v>GLOBE TEXTILES (INDIA) LTD</v>
          </cell>
          <cell r="B1443" t="str">
            <v>Not Listed</v>
          </cell>
          <cell r="C1443" t="str">
            <v>GLOBE</v>
          </cell>
        </row>
        <row r="1444">
          <cell r="A1444" t="str">
            <v>GLOBE TEXTILES INDIA LTD</v>
          </cell>
          <cell r="B1444" t="str">
            <v>Not Listed</v>
          </cell>
          <cell r="C1444" t="str">
            <v>GLOBE</v>
          </cell>
        </row>
        <row r="1445">
          <cell r="A1445" t="str">
            <v>GLOBUS CONSTRUCTORS &amp; DEVELOPERS LTD</v>
          </cell>
          <cell r="B1445">
            <v>526025</v>
          </cell>
          <cell r="C1445" t="str">
            <v>Not Listed</v>
          </cell>
        </row>
        <row r="1446">
          <cell r="A1446" t="str">
            <v>GLOBUS CORPORATION LTD.-$</v>
          </cell>
          <cell r="B1446">
            <v>531904</v>
          </cell>
          <cell r="C1446" t="str">
            <v>GLOBUSCOR</v>
          </cell>
        </row>
        <row r="1447">
          <cell r="A1447" t="str">
            <v>GLOBUS SPIRITS LTD</v>
          </cell>
          <cell r="B1447">
            <v>533104</v>
          </cell>
          <cell r="C1447" t="str">
            <v>GLOBUSSPR</v>
          </cell>
        </row>
        <row r="1448">
          <cell r="A1448" t="str">
            <v>Gloster Ltd</v>
          </cell>
          <cell r="B1448">
            <v>542351</v>
          </cell>
          <cell r="C1448" t="str">
            <v>GLOSTERLTD</v>
          </cell>
        </row>
        <row r="1449">
          <cell r="A1449" t="str">
            <v>GM BREWERIES LTD</v>
          </cell>
          <cell r="B1449">
            <v>507488</v>
          </cell>
          <cell r="C1449" t="str">
            <v>GMBREW</v>
          </cell>
        </row>
        <row r="1450">
          <cell r="A1450" t="str">
            <v>GMM PFAUDLER LTD</v>
          </cell>
          <cell r="B1450">
            <v>505255</v>
          </cell>
          <cell r="C1450" t="str">
            <v>GMMPFAUDLR</v>
          </cell>
        </row>
        <row r="1451">
          <cell r="A1451" t="str">
            <v>GMR INFRASTRUCTURE LTD</v>
          </cell>
          <cell r="B1451">
            <v>532754</v>
          </cell>
          <cell r="C1451" t="str">
            <v>GMRINFRA</v>
          </cell>
        </row>
        <row r="1452">
          <cell r="A1452" t="str">
            <v>GNA AXLES LTD</v>
          </cell>
          <cell r="B1452">
            <v>540124</v>
          </cell>
          <cell r="C1452" t="str">
            <v>GNA</v>
          </cell>
        </row>
        <row r="1453">
          <cell r="A1453" t="str">
            <v>GOA CARBON LTD</v>
          </cell>
          <cell r="B1453">
            <v>509567</v>
          </cell>
          <cell r="C1453" t="str">
            <v>GOACARBON</v>
          </cell>
        </row>
        <row r="1454">
          <cell r="A1454" t="str">
            <v>GOCL CORPORATION LTD</v>
          </cell>
          <cell r="B1454">
            <v>506480</v>
          </cell>
          <cell r="C1454" t="str">
            <v>GOCLCORP</v>
          </cell>
        </row>
        <row r="1455">
          <cell r="A1455" t="str">
            <v>GODAVARI DRUGS LTD</v>
          </cell>
          <cell r="B1455">
            <v>530317</v>
          </cell>
          <cell r="C1455" t="str">
            <v>Not Listed</v>
          </cell>
        </row>
        <row r="1456">
          <cell r="A1456" t="str">
            <v>GODAWARI POWER AND ISPAT LTD</v>
          </cell>
          <cell r="B1456">
            <v>532734</v>
          </cell>
          <cell r="C1456" t="str">
            <v>GPIL</v>
          </cell>
        </row>
        <row r="1457">
          <cell r="A1457" t="str">
            <v>GODFREY PHILLIPS (INDIA) LTD</v>
          </cell>
          <cell r="B1457">
            <v>500163</v>
          </cell>
          <cell r="C1457" t="str">
            <v>GODFRYPHLP</v>
          </cell>
        </row>
        <row r="1458">
          <cell r="A1458" t="str">
            <v>GODFREY PHILLIPS INDIA LTD</v>
          </cell>
          <cell r="B1458">
            <v>500163</v>
          </cell>
          <cell r="C1458" t="str">
            <v>GODFRYPHLP</v>
          </cell>
        </row>
        <row r="1459">
          <cell r="A1459" t="str">
            <v>GODHA CABCON &amp; INSULATION LTD</v>
          </cell>
          <cell r="B1459" t="str">
            <v>Not Listed</v>
          </cell>
          <cell r="C1459" t="str">
            <v>GODHA</v>
          </cell>
        </row>
        <row r="1460">
          <cell r="A1460" t="str">
            <v>GODREJ AGROVET LTD</v>
          </cell>
          <cell r="B1460">
            <v>540743</v>
          </cell>
          <cell r="C1460" t="str">
            <v>GODREJAGRO</v>
          </cell>
        </row>
        <row r="1461">
          <cell r="A1461" t="str">
            <v>GODREJ CONSUMER PRODUCTS LTD</v>
          </cell>
          <cell r="B1461">
            <v>532424</v>
          </cell>
          <cell r="C1461" t="str">
            <v>GODREJCP</v>
          </cell>
        </row>
        <row r="1462">
          <cell r="A1462" t="str">
            <v>GODREJ INDUSTRIES LTD</v>
          </cell>
          <cell r="B1462">
            <v>500164</v>
          </cell>
          <cell r="C1462" t="str">
            <v>GODREJIND</v>
          </cell>
        </row>
        <row r="1463">
          <cell r="A1463" t="str">
            <v>GODREJ PROPERTIES LTD</v>
          </cell>
          <cell r="B1463">
            <v>533150</v>
          </cell>
          <cell r="C1463" t="str">
            <v>GODREJPROP</v>
          </cell>
        </row>
        <row r="1464">
          <cell r="A1464" t="str">
            <v>GOENKA BUSINESS &amp; FINANCE LTD</v>
          </cell>
          <cell r="B1464">
            <v>538787</v>
          </cell>
          <cell r="C1464" t="str">
            <v>Not Listed</v>
          </cell>
        </row>
        <row r="1465">
          <cell r="A1465" t="str">
            <v>GOENKA DIAMOND AND JEWELS LTD</v>
          </cell>
          <cell r="B1465">
            <v>533189</v>
          </cell>
          <cell r="C1465" t="str">
            <v>GOENKA</v>
          </cell>
        </row>
        <row r="1466">
          <cell r="A1466" t="str">
            <v>GOGIA CAPITAL SERVICES LTD</v>
          </cell>
          <cell r="B1466">
            <v>531600</v>
          </cell>
          <cell r="C1466" t="str">
            <v>Not Listed</v>
          </cell>
        </row>
        <row r="1467">
          <cell r="A1467" t="str">
            <v>GOKAK TEXTILES LTD</v>
          </cell>
          <cell r="B1467">
            <v>532957</v>
          </cell>
          <cell r="C1467" t="str">
            <v>Not Listed</v>
          </cell>
        </row>
        <row r="1468">
          <cell r="A1468" t="str">
            <v>GOKALDAS EXPORTS LTD</v>
          </cell>
          <cell r="B1468">
            <v>532630</v>
          </cell>
          <cell r="C1468" t="str">
            <v>GOKEX</v>
          </cell>
        </row>
        <row r="1469">
          <cell r="A1469" t="str">
            <v>GOKUL AGRO RESOURCES LTD</v>
          </cell>
          <cell r="B1469">
            <v>539725</v>
          </cell>
          <cell r="C1469" t="str">
            <v>GOKULAGRO</v>
          </cell>
        </row>
        <row r="1470">
          <cell r="A1470" t="str">
            <v>GOKUL REFOILS AND SOLVENT LTD</v>
          </cell>
          <cell r="B1470">
            <v>532980</v>
          </cell>
          <cell r="C1470" t="str">
            <v>GOKUL</v>
          </cell>
        </row>
        <row r="1471">
          <cell r="A1471" t="str">
            <v>GOKUL SOLUTIONS LTD</v>
          </cell>
          <cell r="B1471">
            <v>780012</v>
          </cell>
          <cell r="C1471" t="str">
            <v>Not Listed</v>
          </cell>
        </row>
        <row r="1472">
          <cell r="A1472" t="str">
            <v>GOLD COIN HEALTH FOODS LTD</v>
          </cell>
          <cell r="B1472">
            <v>538542</v>
          </cell>
          <cell r="C1472" t="str">
            <v>Not Listed</v>
          </cell>
        </row>
        <row r="1473">
          <cell r="A1473" t="str">
            <v>Gold Line International Finvest Ltd</v>
          </cell>
          <cell r="B1473">
            <v>538180</v>
          </cell>
          <cell r="C1473" t="str">
            <v>GOLDLINE</v>
          </cell>
        </row>
        <row r="1474">
          <cell r="A1474" t="str">
            <v>GOLDCREST CORPORATION LTD</v>
          </cell>
          <cell r="B1474">
            <v>505576</v>
          </cell>
          <cell r="C1474" t="str">
            <v>Not Listed</v>
          </cell>
        </row>
        <row r="1475">
          <cell r="A1475" t="str">
            <v>GOLDEN CARPETS LTD</v>
          </cell>
          <cell r="B1475">
            <v>531928</v>
          </cell>
          <cell r="C1475" t="str">
            <v>Not Listed</v>
          </cell>
        </row>
        <row r="1476">
          <cell r="A1476" t="str">
            <v>GOLDEN CREST EDUCATION &amp; SERVICES LTD</v>
          </cell>
          <cell r="B1476">
            <v>540062</v>
          </cell>
          <cell r="C1476" t="str">
            <v>Not Listed</v>
          </cell>
        </row>
        <row r="1477">
          <cell r="A1477" t="str">
            <v>GOLDEN GOENKA FINCORP LTD</v>
          </cell>
          <cell r="B1477">
            <v>530579</v>
          </cell>
          <cell r="C1477" t="str">
            <v>Not Listed</v>
          </cell>
        </row>
        <row r="1478">
          <cell r="A1478" t="str">
            <v>GOLDEN TOBACCO LTD</v>
          </cell>
          <cell r="B1478">
            <v>500151</v>
          </cell>
          <cell r="C1478" t="str">
            <v>GOLDENTOBC</v>
          </cell>
        </row>
        <row r="1479">
          <cell r="A1479" t="str">
            <v>GOLDIAM INTERNATIONAL LTD</v>
          </cell>
          <cell r="B1479">
            <v>526729</v>
          </cell>
          <cell r="C1479" t="str">
            <v>GOLDIAM</v>
          </cell>
        </row>
        <row r="1480">
          <cell r="A1480" t="str">
            <v>GOLDSTAR POWER LTD</v>
          </cell>
          <cell r="B1480" t="str">
            <v>Not Listed</v>
          </cell>
          <cell r="C1480" t="str">
            <v>GOLDSTAR</v>
          </cell>
        </row>
        <row r="1481">
          <cell r="A1481" t="str">
            <v>GOLDSTONE TECHNOLOGIES LTD</v>
          </cell>
          <cell r="B1481">
            <v>531439</v>
          </cell>
          <cell r="C1481" t="str">
            <v>GOLDTECH</v>
          </cell>
        </row>
        <row r="1482">
          <cell r="A1482" t="str">
            <v>GOLECHHA GLOBAL FINANCE LTD</v>
          </cell>
          <cell r="B1482">
            <v>531360</v>
          </cell>
          <cell r="C1482" t="str">
            <v>Not Listed</v>
          </cell>
        </row>
        <row r="1483">
          <cell r="A1483" t="str">
            <v>GOLKONDA ALUMINIUM EXTRUSIONS LTD</v>
          </cell>
          <cell r="B1483">
            <v>513309</v>
          </cell>
          <cell r="C1483" t="str">
            <v>Not Listed</v>
          </cell>
        </row>
        <row r="1484">
          <cell r="A1484" t="str">
            <v>GOLKUNDA DIAMONDS &amp; JEWELLERY LTD</v>
          </cell>
          <cell r="B1484">
            <v>523676</v>
          </cell>
          <cell r="C1484" t="str">
            <v>Not Listed</v>
          </cell>
        </row>
        <row r="1485">
          <cell r="A1485" t="str">
            <v>GOODLUCK (INDIA) LTD</v>
          </cell>
          <cell r="B1485">
            <v>530655</v>
          </cell>
          <cell r="C1485" t="str">
            <v>GOODLUCK</v>
          </cell>
        </row>
        <row r="1486">
          <cell r="A1486" t="str">
            <v>GOODLUCK INDIA LTD</v>
          </cell>
          <cell r="B1486">
            <v>530655</v>
          </cell>
          <cell r="C1486" t="str">
            <v>GOODLUCK</v>
          </cell>
        </row>
        <row r="1487">
          <cell r="A1487" t="str">
            <v>GOODRICKE GROUP LTD</v>
          </cell>
          <cell r="B1487">
            <v>500166</v>
          </cell>
          <cell r="C1487" t="str">
            <v>Not Listed</v>
          </cell>
        </row>
        <row r="1488">
          <cell r="A1488" t="str">
            <v>GOODYEAR (INDIA) LTD</v>
          </cell>
          <cell r="B1488">
            <v>500168</v>
          </cell>
          <cell r="C1488" t="str">
            <v>Not Listed</v>
          </cell>
        </row>
        <row r="1489">
          <cell r="A1489" t="str">
            <v>GOODYEAR INDIA LTD</v>
          </cell>
          <cell r="B1489">
            <v>500168</v>
          </cell>
          <cell r="C1489" t="str">
            <v>Not Listed</v>
          </cell>
        </row>
        <row r="1490">
          <cell r="A1490" t="str">
            <v>GOPAL IRON &amp; STEELS CO GUJARAT LTD</v>
          </cell>
          <cell r="B1490">
            <v>531913</v>
          </cell>
          <cell r="C1490" t="str">
            <v>Not Listed</v>
          </cell>
        </row>
        <row r="1491">
          <cell r="A1491" t="str">
            <v>GOPALA POLYPLAST LTD</v>
          </cell>
          <cell r="B1491">
            <v>526717</v>
          </cell>
          <cell r="C1491" t="str">
            <v>Not Listed</v>
          </cell>
        </row>
        <row r="1492">
          <cell r="A1492" t="str">
            <v>GORANI INDUSTRIES LTD</v>
          </cell>
          <cell r="B1492">
            <v>531608</v>
          </cell>
          <cell r="C1492" t="str">
            <v>Not Listed</v>
          </cell>
        </row>
        <row r="1493">
          <cell r="A1493" t="str">
            <v>GOTHI PLASCON (INDIA) LTD</v>
          </cell>
          <cell r="B1493">
            <v>531111</v>
          </cell>
          <cell r="C1493" t="str">
            <v>Not Listed</v>
          </cell>
        </row>
        <row r="1494">
          <cell r="A1494" t="str">
            <v>GOTHI PLASCON INDIA LTD</v>
          </cell>
          <cell r="B1494">
            <v>531111</v>
          </cell>
          <cell r="C1494" t="str">
            <v>Not Listed</v>
          </cell>
        </row>
        <row r="1495">
          <cell r="A1495" t="str">
            <v>GOVIND RUBBER LTD</v>
          </cell>
          <cell r="B1495">
            <v>509148</v>
          </cell>
          <cell r="C1495" t="str">
            <v>Not Listed</v>
          </cell>
        </row>
        <row r="1496">
          <cell r="A1496" t="str">
            <v>GOWRA LEASING &amp; FINANCE LTD</v>
          </cell>
          <cell r="B1496">
            <v>530709</v>
          </cell>
          <cell r="C1496" t="str">
            <v>Not Listed</v>
          </cell>
        </row>
        <row r="1497">
          <cell r="A1497" t="str">
            <v>GOYAL ASSOCIATES LTD</v>
          </cell>
          <cell r="B1497">
            <v>530663</v>
          </cell>
          <cell r="C1497" t="str">
            <v>Not Listed</v>
          </cell>
        </row>
        <row r="1498">
          <cell r="A1498" t="str">
            <v>GP PETROLEUMS LTD</v>
          </cell>
          <cell r="B1498">
            <v>532543</v>
          </cell>
          <cell r="C1498" t="str">
            <v>GULFPETRO</v>
          </cell>
        </row>
        <row r="1499">
          <cell r="A1499" t="str">
            <v>GPT INFRAPROJECTS LTD</v>
          </cell>
          <cell r="B1499">
            <v>533761</v>
          </cell>
          <cell r="C1499" t="str">
            <v>GPTINFRA</v>
          </cell>
        </row>
        <row r="1500">
          <cell r="A1500" t="str">
            <v>GRACIOUS SOFTWARE LTD</v>
          </cell>
          <cell r="B1500">
            <v>780002</v>
          </cell>
          <cell r="C1500" t="str">
            <v>Not Listed</v>
          </cell>
        </row>
        <row r="1501">
          <cell r="A1501" t="str">
            <v>GRADIENTE INFOTAINMENT LTD</v>
          </cell>
          <cell r="B1501">
            <v>590126</v>
          </cell>
          <cell r="C1501" t="str">
            <v>Not Listed</v>
          </cell>
        </row>
        <row r="1502">
          <cell r="A1502" t="str">
            <v>GRANDEUR PRODUCTS LTD</v>
          </cell>
          <cell r="B1502">
            <v>539235</v>
          </cell>
          <cell r="C1502" t="str">
            <v>Not Listed</v>
          </cell>
        </row>
        <row r="1503">
          <cell r="A1503" t="str">
            <v>GRANULES (INDIA) LTD</v>
          </cell>
          <cell r="B1503">
            <v>532482</v>
          </cell>
          <cell r="C1503" t="str">
            <v>GRANULES</v>
          </cell>
        </row>
        <row r="1504">
          <cell r="A1504" t="str">
            <v>GRANULES INDIA LTD</v>
          </cell>
          <cell r="B1504">
            <v>532482</v>
          </cell>
          <cell r="C1504" t="str">
            <v>GRANULES</v>
          </cell>
        </row>
        <row r="1505">
          <cell r="A1505" t="str">
            <v>GRAPHITE (INDIA) LTD</v>
          </cell>
          <cell r="B1505">
            <v>509488</v>
          </cell>
          <cell r="C1505" t="str">
            <v>GRAPHITE</v>
          </cell>
        </row>
        <row r="1506">
          <cell r="A1506" t="str">
            <v>GRAPHITE INDIA LTD</v>
          </cell>
          <cell r="B1506">
            <v>509488</v>
          </cell>
          <cell r="C1506" t="str">
            <v>GRAPHITE</v>
          </cell>
        </row>
        <row r="1507">
          <cell r="A1507" t="str">
            <v>GRASIM INDUSTRIES LTD</v>
          </cell>
          <cell r="B1507">
            <v>500300</v>
          </cell>
          <cell r="C1507" t="str">
            <v>GRASIM</v>
          </cell>
        </row>
        <row r="1508">
          <cell r="A1508" t="str">
            <v>GRATEX INDUSTRIES LTD</v>
          </cell>
          <cell r="B1508">
            <v>526751</v>
          </cell>
          <cell r="C1508" t="str">
            <v>Not Listed</v>
          </cell>
        </row>
        <row r="1509">
          <cell r="A1509" t="str">
            <v>GRAUER &amp; WEIL (INDIA) LTD</v>
          </cell>
          <cell r="B1509">
            <v>505710</v>
          </cell>
          <cell r="C1509" t="str">
            <v>Not Listed</v>
          </cell>
        </row>
        <row r="1510">
          <cell r="A1510" t="str">
            <v>GRAUER &amp; WEIL INDIA LTD</v>
          </cell>
          <cell r="B1510">
            <v>505710</v>
          </cell>
          <cell r="C1510" t="str">
            <v>Not Listed</v>
          </cell>
        </row>
        <row r="1511">
          <cell r="A1511" t="str">
            <v>GRAVISS HOSPITALITY LTD</v>
          </cell>
          <cell r="B1511">
            <v>509546</v>
          </cell>
          <cell r="C1511" t="str">
            <v>Not Listed</v>
          </cell>
        </row>
        <row r="1512">
          <cell r="A1512" t="str">
            <v>GRAVITA (INDIA) LTD</v>
          </cell>
          <cell r="B1512">
            <v>533282</v>
          </cell>
          <cell r="C1512" t="str">
            <v>GRAVITA</v>
          </cell>
        </row>
        <row r="1513">
          <cell r="A1513" t="str">
            <v>GRAVITA INDIA LTD</v>
          </cell>
          <cell r="B1513">
            <v>533282</v>
          </cell>
          <cell r="C1513" t="str">
            <v>GRAVITA</v>
          </cell>
        </row>
        <row r="1514">
          <cell r="A1514" t="str">
            <v>GRAVITY (INDIA) LTD</v>
          </cell>
          <cell r="B1514">
            <v>532015</v>
          </cell>
          <cell r="C1514" t="str">
            <v>Not Listed</v>
          </cell>
        </row>
        <row r="1515">
          <cell r="A1515" t="str">
            <v>GRAVITY INDIA LTD</v>
          </cell>
          <cell r="B1515">
            <v>532015</v>
          </cell>
          <cell r="C1515" t="str">
            <v>Not Listed</v>
          </cell>
        </row>
        <row r="1516">
          <cell r="A1516" t="str">
            <v>GREAVES COTTON LTD</v>
          </cell>
          <cell r="B1516">
            <v>501455</v>
          </cell>
          <cell r="C1516" t="str">
            <v>GREAVESCOT</v>
          </cell>
        </row>
        <row r="1517">
          <cell r="A1517" t="str">
            <v>GREENCREST FINANCIAL SERVICES LTD</v>
          </cell>
          <cell r="B1517">
            <v>531737</v>
          </cell>
          <cell r="C1517" t="str">
            <v>Not Listed</v>
          </cell>
        </row>
        <row r="1518">
          <cell r="A1518" t="str">
            <v>GREENLAM INDUSTRIES LTD</v>
          </cell>
          <cell r="B1518">
            <v>538979</v>
          </cell>
          <cell r="C1518" t="str">
            <v>GREENLAM</v>
          </cell>
        </row>
        <row r="1519">
          <cell r="A1519" t="str">
            <v>GREENPLY INDUSTRIES LTD</v>
          </cell>
          <cell r="B1519">
            <v>526797</v>
          </cell>
          <cell r="C1519" t="str">
            <v>GREENPLY</v>
          </cell>
        </row>
        <row r="1520">
          <cell r="A1520" t="str">
            <v>GRETEX INDUSTRIES LTD</v>
          </cell>
          <cell r="B1520" t="str">
            <v>Not Listed</v>
          </cell>
          <cell r="C1520" t="str">
            <v>GRETEX</v>
          </cell>
        </row>
        <row r="1521">
          <cell r="A1521" t="str">
            <v>GREYCELLS EDUCATION LTD</v>
          </cell>
          <cell r="B1521">
            <v>508918</v>
          </cell>
          <cell r="C1521" t="str">
            <v>Not Listed</v>
          </cell>
        </row>
        <row r="1522">
          <cell r="A1522" t="str">
            <v>GRINDWELL NORTON LTD</v>
          </cell>
          <cell r="B1522">
            <v>506076</v>
          </cell>
          <cell r="C1522" t="str">
            <v>GRINDWELL</v>
          </cell>
        </row>
        <row r="1523">
          <cell r="A1523" t="str">
            <v>GRM OVERSEAS LTD</v>
          </cell>
          <cell r="B1523">
            <v>531449</v>
          </cell>
          <cell r="C1523" t="str">
            <v>Not Listed</v>
          </cell>
        </row>
        <row r="1524">
          <cell r="A1524" t="str">
            <v>GROMO TRADE &amp; CONSULTANCY LTD</v>
          </cell>
          <cell r="B1524">
            <v>501314</v>
          </cell>
          <cell r="C1524" t="str">
            <v>Not Listed</v>
          </cell>
        </row>
        <row r="1525">
          <cell r="A1525" t="str">
            <v>GROVY (INDIA) LTD</v>
          </cell>
          <cell r="B1525">
            <v>539522</v>
          </cell>
          <cell r="C1525" t="str">
            <v>Not Listed</v>
          </cell>
        </row>
        <row r="1526">
          <cell r="A1526" t="str">
            <v>GROVY INDIA LTD</v>
          </cell>
          <cell r="B1526">
            <v>539522</v>
          </cell>
          <cell r="C1526" t="str">
            <v>Not Listed</v>
          </cell>
        </row>
        <row r="1527">
          <cell r="A1527" t="str">
            <v>GRP LTD</v>
          </cell>
          <cell r="B1527">
            <v>509152</v>
          </cell>
          <cell r="C1527" t="str">
            <v>GRPLTD</v>
          </cell>
        </row>
        <row r="1528">
          <cell r="A1528" t="str">
            <v>GRUH FINANCE LTD</v>
          </cell>
          <cell r="B1528">
            <v>511288</v>
          </cell>
          <cell r="C1528" t="str">
            <v>GRUH</v>
          </cell>
        </row>
        <row r="1529">
          <cell r="A1529" t="str">
            <v>GSB FINANCE LTD</v>
          </cell>
          <cell r="B1529">
            <v>511543</v>
          </cell>
          <cell r="C1529" t="str">
            <v>Not Listed</v>
          </cell>
        </row>
        <row r="1530">
          <cell r="A1530" t="str">
            <v>GSL NOVA PETROCHEMICALS LTD</v>
          </cell>
          <cell r="B1530">
            <v>530605</v>
          </cell>
          <cell r="C1530" t="str">
            <v>Not Listed</v>
          </cell>
        </row>
        <row r="1531">
          <cell r="A1531" t="str">
            <v>GSL SECURITIES LTD</v>
          </cell>
          <cell r="B1531">
            <v>530469</v>
          </cell>
          <cell r="C1531" t="str">
            <v>Not Listed</v>
          </cell>
        </row>
        <row r="1532">
          <cell r="A1532" t="str">
            <v>GSS INFOTECH LTD</v>
          </cell>
          <cell r="B1532">
            <v>532951</v>
          </cell>
          <cell r="C1532" t="str">
            <v>GSS</v>
          </cell>
        </row>
        <row r="1533">
          <cell r="A1533" t="str">
            <v>G-TECH INFO-TRAINING LTD</v>
          </cell>
          <cell r="B1533">
            <v>532139</v>
          </cell>
          <cell r="C1533" t="str">
            <v>Not Listed</v>
          </cell>
        </row>
        <row r="1534">
          <cell r="A1534" t="str">
            <v>GTL INFRASTRUCTURE LTD</v>
          </cell>
          <cell r="B1534">
            <v>532775</v>
          </cell>
          <cell r="C1534" t="str">
            <v>GTLINFRA</v>
          </cell>
        </row>
        <row r="1535">
          <cell r="A1535" t="str">
            <v>GTL LTD</v>
          </cell>
          <cell r="B1535">
            <v>500160</v>
          </cell>
          <cell r="C1535" t="str">
            <v>GTL</v>
          </cell>
        </row>
        <row r="1536">
          <cell r="A1536" t="str">
            <v>GTN INDUSTRIES LTD</v>
          </cell>
          <cell r="B1536">
            <v>500170</v>
          </cell>
          <cell r="C1536" t="str">
            <v>GTNIND</v>
          </cell>
        </row>
        <row r="1537">
          <cell r="A1537" t="str">
            <v>GTN TEXTILES LTD</v>
          </cell>
          <cell r="B1537">
            <v>532744</v>
          </cell>
          <cell r="C1537" t="str">
            <v>GTNTEX</v>
          </cell>
        </row>
        <row r="1538">
          <cell r="A1538" t="str">
            <v>GTPL HATHWAY LTD</v>
          </cell>
          <cell r="B1538">
            <v>540602</v>
          </cell>
          <cell r="C1538" t="str">
            <v>GTPL</v>
          </cell>
        </row>
        <row r="1539">
          <cell r="A1539" t="str">
            <v>GTV ENGINEERING LTD</v>
          </cell>
          <cell r="B1539">
            <v>539479</v>
          </cell>
          <cell r="C1539" t="str">
            <v>Not Listed</v>
          </cell>
        </row>
        <row r="1540">
          <cell r="A1540" t="str">
            <v>GUFIC BIOSCIENCES LTD</v>
          </cell>
          <cell r="B1540">
            <v>509079</v>
          </cell>
          <cell r="C1540" t="str">
            <v>GUFICBIO</v>
          </cell>
        </row>
        <row r="1541">
          <cell r="A1541" t="str">
            <v>GUJARAT ALKALIES AND CHEMICALS LTD</v>
          </cell>
          <cell r="B1541">
            <v>530001</v>
          </cell>
          <cell r="C1541" t="str">
            <v>GUJALKALI</v>
          </cell>
        </row>
        <row r="1542">
          <cell r="A1542" t="str">
            <v>GUJARAT AMBUJA EXPORTS LTD</v>
          </cell>
          <cell r="B1542">
            <v>524226</v>
          </cell>
          <cell r="C1542" t="str">
            <v>GAEL</v>
          </cell>
        </row>
        <row r="1543">
          <cell r="A1543" t="str">
            <v>GUJARAT APOLLO INDUSTRIES LTD</v>
          </cell>
          <cell r="B1543">
            <v>522217</v>
          </cell>
          <cell r="C1543" t="str">
            <v>GUJAPOLLO</v>
          </cell>
        </row>
        <row r="1544">
          <cell r="A1544" t="str">
            <v>GUJARAT BOROSIL LTD</v>
          </cell>
          <cell r="B1544">
            <v>523768</v>
          </cell>
          <cell r="C1544" t="str">
            <v>Not Listed</v>
          </cell>
        </row>
        <row r="1545">
          <cell r="A1545" t="str">
            <v>GUJARAT CONTAINERS LTD</v>
          </cell>
          <cell r="B1545">
            <v>513507</v>
          </cell>
          <cell r="C1545" t="str">
            <v>Not Listed</v>
          </cell>
        </row>
        <row r="1546">
          <cell r="A1546" t="str">
            <v>GUJARAT COTEX LTD</v>
          </cell>
          <cell r="B1546">
            <v>514386</v>
          </cell>
          <cell r="C1546" t="str">
            <v>Not Listed</v>
          </cell>
        </row>
        <row r="1547">
          <cell r="A1547" t="str">
            <v>GUJARAT CRAFT INDUSTRIES LTD</v>
          </cell>
          <cell r="B1547">
            <v>526965</v>
          </cell>
          <cell r="C1547" t="str">
            <v>Not Listed</v>
          </cell>
        </row>
        <row r="1548">
          <cell r="A1548" t="str">
            <v>GUJARAT CREDIT CORPORATION LTD</v>
          </cell>
          <cell r="B1548">
            <v>511441</v>
          </cell>
          <cell r="C1548" t="str">
            <v>Not Listed</v>
          </cell>
        </row>
        <row r="1549">
          <cell r="A1549" t="str">
            <v>GUJARAT FLUOROCHEMICALS LTD</v>
          </cell>
          <cell r="B1549">
            <v>500173</v>
          </cell>
          <cell r="C1549" t="str">
            <v>GUJFLUORO</v>
          </cell>
        </row>
        <row r="1550">
          <cell r="A1550" t="str">
            <v>GUJARAT FOILS LTD</v>
          </cell>
          <cell r="B1550">
            <v>531410</v>
          </cell>
          <cell r="C1550" t="str">
            <v>Not Listed</v>
          </cell>
        </row>
        <row r="1551">
          <cell r="A1551" t="str">
            <v>GUJARAT GAS LTD</v>
          </cell>
          <cell r="B1551">
            <v>539336</v>
          </cell>
          <cell r="C1551" t="str">
            <v>GUJGASLTD</v>
          </cell>
        </row>
        <row r="1552">
          <cell r="A1552" t="str">
            <v>GUJARAT HOTELS LTD</v>
          </cell>
          <cell r="B1552">
            <v>507960</v>
          </cell>
          <cell r="C1552" t="str">
            <v>Not Listed</v>
          </cell>
        </row>
        <row r="1553">
          <cell r="A1553" t="str">
            <v>GUJARAT HY-SPIN LTD</v>
          </cell>
          <cell r="B1553">
            <v>540938</v>
          </cell>
          <cell r="C1553" t="str">
            <v>Not Listed</v>
          </cell>
        </row>
        <row r="1554">
          <cell r="A1554" t="str">
            <v>GUJARAT INDUSTRIES POWER COMPANY LTD</v>
          </cell>
          <cell r="B1554">
            <v>517300</v>
          </cell>
          <cell r="C1554" t="str">
            <v>GIPCL</v>
          </cell>
        </row>
        <row r="1555">
          <cell r="A1555" t="str">
            <v>GUJARAT INTRUX LTD</v>
          </cell>
          <cell r="B1555">
            <v>517372</v>
          </cell>
          <cell r="C1555" t="str">
            <v>Not Listed</v>
          </cell>
        </row>
        <row r="1556">
          <cell r="A1556" t="str">
            <v>GUJARAT INVESTA LTD</v>
          </cell>
          <cell r="B1556">
            <v>531341</v>
          </cell>
          <cell r="C1556" t="str">
            <v>Not Listed</v>
          </cell>
        </row>
        <row r="1557">
          <cell r="A1557" t="str">
            <v>GUJARAT LEASE FINANCING LTD</v>
          </cell>
          <cell r="B1557">
            <v>500174</v>
          </cell>
          <cell r="C1557" t="str">
            <v>GLFL</v>
          </cell>
        </row>
        <row r="1558">
          <cell r="A1558" t="str">
            <v>GUJARAT MEDITECH LTD</v>
          </cell>
          <cell r="B1558">
            <v>524754</v>
          </cell>
          <cell r="C1558" t="str">
            <v>Not Listed</v>
          </cell>
        </row>
        <row r="1559">
          <cell r="A1559" t="str">
            <v>GUJARAT METALLIC COAL &amp; COKE LTD</v>
          </cell>
          <cell r="B1559">
            <v>531881</v>
          </cell>
          <cell r="C1559" t="str">
            <v>Not Listed</v>
          </cell>
        </row>
        <row r="1560">
          <cell r="A1560" t="str">
            <v>GUJARAT MINERAL DEVELOPMENT CORPORATION LTD</v>
          </cell>
          <cell r="B1560">
            <v>532181</v>
          </cell>
          <cell r="C1560" t="str">
            <v>GMDCLTD</v>
          </cell>
        </row>
        <row r="1561">
          <cell r="A1561" t="str">
            <v>GUJARAT NARMADA VALLEY FERTILIZERS AND CHEMICALS LTD</v>
          </cell>
          <cell r="B1561">
            <v>500670</v>
          </cell>
          <cell r="C1561" t="str">
            <v>GNFC</v>
          </cell>
        </row>
        <row r="1562">
          <cell r="A1562" t="str">
            <v>GUJARAT NATURAL RESOURCES LTD</v>
          </cell>
          <cell r="B1562">
            <v>513536</v>
          </cell>
          <cell r="C1562" t="str">
            <v>Not Listed</v>
          </cell>
        </row>
        <row r="1563">
          <cell r="A1563" t="str">
            <v>GUJARAT PETROSYNTHESE LTD</v>
          </cell>
          <cell r="B1563">
            <v>506858</v>
          </cell>
          <cell r="C1563" t="str">
            <v>Not Listed</v>
          </cell>
        </row>
        <row r="1564">
          <cell r="A1564" t="str">
            <v>GUJARAT PIPAVAV PORT LTD</v>
          </cell>
          <cell r="B1564">
            <v>533248</v>
          </cell>
          <cell r="C1564" t="str">
            <v>GPPL</v>
          </cell>
        </row>
        <row r="1565">
          <cell r="A1565" t="str">
            <v>GUJARAT POLY ELECTRONICS LTD</v>
          </cell>
          <cell r="B1565">
            <v>517288</v>
          </cell>
          <cell r="C1565" t="str">
            <v>Not Listed</v>
          </cell>
        </row>
        <row r="1566">
          <cell r="A1566" t="str">
            <v>GUJARAT RAFFIA INDUSTRIES LTD</v>
          </cell>
          <cell r="B1566">
            <v>523836</v>
          </cell>
          <cell r="C1566" t="str">
            <v>GUJRAFFIA</v>
          </cell>
        </row>
        <row r="1567">
          <cell r="A1567" t="str">
            <v>GUJARAT SIDHEE CEMENT LTD</v>
          </cell>
          <cell r="B1567">
            <v>518029</v>
          </cell>
          <cell r="C1567" t="str">
            <v>GSCLCEMENT</v>
          </cell>
        </row>
        <row r="1568">
          <cell r="A1568" t="str">
            <v>GUJARAT STATE FERTILIZERS &amp; CHEMICALS LTD</v>
          </cell>
          <cell r="B1568">
            <v>500690</v>
          </cell>
          <cell r="C1568" t="str">
            <v>GSFC</v>
          </cell>
        </row>
        <row r="1569">
          <cell r="A1569" t="str">
            <v>GUJARAT STATE FINANCIAL CORPORATION LTD</v>
          </cell>
          <cell r="B1569">
            <v>532160</v>
          </cell>
          <cell r="C1569" t="str">
            <v>Not Listed</v>
          </cell>
        </row>
        <row r="1570">
          <cell r="A1570" t="str">
            <v>GUJARAT STATE PETRONET LTD</v>
          </cell>
          <cell r="B1570">
            <v>532702</v>
          </cell>
          <cell r="C1570" t="str">
            <v>GSPL</v>
          </cell>
        </row>
        <row r="1571">
          <cell r="A1571" t="str">
            <v>GUJARAT TERCE LABORATORIES LTD</v>
          </cell>
          <cell r="B1571">
            <v>524314</v>
          </cell>
          <cell r="C1571" t="str">
            <v>Not Listed</v>
          </cell>
        </row>
        <row r="1572">
          <cell r="A1572" t="str">
            <v>GUJARAT THEMIS BIOSYN LTD</v>
          </cell>
          <cell r="B1572">
            <v>506879</v>
          </cell>
          <cell r="C1572" t="str">
            <v>Not Listed</v>
          </cell>
        </row>
        <row r="1573">
          <cell r="A1573" t="str">
            <v>GUJARAT TOOLROOM LTD</v>
          </cell>
          <cell r="B1573">
            <v>513337</v>
          </cell>
          <cell r="C1573" t="str">
            <v>Not Listed</v>
          </cell>
        </row>
        <row r="1574">
          <cell r="A1574" t="str">
            <v>GUJCHEM DISTILLERS (INDIA) LTD</v>
          </cell>
          <cell r="B1574">
            <v>506640</v>
          </cell>
          <cell r="C1574" t="str">
            <v>Not Listed</v>
          </cell>
        </row>
        <row r="1575">
          <cell r="A1575" t="str">
            <v>GUJCHEM DISTILLERS INDIA LTD</v>
          </cell>
          <cell r="B1575">
            <v>506640</v>
          </cell>
          <cell r="C1575" t="str">
            <v>Not Listed</v>
          </cell>
        </row>
        <row r="1576">
          <cell r="A1576" t="str">
            <v>GULF OIL LUBRICANTS (INDIA) LTD</v>
          </cell>
          <cell r="B1576">
            <v>538567</v>
          </cell>
          <cell r="C1576" t="str">
            <v>GULFOILLUB</v>
          </cell>
        </row>
        <row r="1577">
          <cell r="A1577" t="str">
            <v>GULF OIL LUBRICANTS INDIA LTD</v>
          </cell>
          <cell r="B1577">
            <v>538567</v>
          </cell>
          <cell r="C1577" t="str">
            <v>GULFOILLUB</v>
          </cell>
        </row>
        <row r="1578">
          <cell r="A1578" t="str">
            <v>GULSHAN CHEMFILL LTD</v>
          </cell>
          <cell r="B1578">
            <v>532425</v>
          </cell>
          <cell r="C1578" t="str">
            <v>Not Listed</v>
          </cell>
        </row>
        <row r="1579">
          <cell r="A1579" t="str">
            <v>GULSHAN POLYOLS LTD</v>
          </cell>
          <cell r="B1579">
            <v>532457</v>
          </cell>
          <cell r="C1579" t="str">
            <v>GULPOLY</v>
          </cell>
        </row>
        <row r="1580">
          <cell r="A1580" t="str">
            <v>GV FILMS LTD</v>
          </cell>
          <cell r="B1580">
            <v>523277</v>
          </cell>
          <cell r="C1580" t="str">
            <v>Not Listed</v>
          </cell>
        </row>
        <row r="1581">
          <cell r="A1581" t="str">
            <v>GVK POWER &amp; INFRASTRUCTURE LTD</v>
          </cell>
          <cell r="B1581">
            <v>532708</v>
          </cell>
          <cell r="C1581" t="str">
            <v>GVKPIL</v>
          </cell>
        </row>
        <row r="1582">
          <cell r="A1582" t="str">
            <v>GYAN DEVELOPERS &amp; BUILDERS LTD</v>
          </cell>
          <cell r="B1582">
            <v>530141</v>
          </cell>
          <cell r="C1582" t="str">
            <v>Not Listed</v>
          </cell>
        </row>
        <row r="1583">
          <cell r="A1583" t="str">
            <v>GYSCOAL ALLOYS LTD</v>
          </cell>
          <cell r="B1583">
            <v>533275</v>
          </cell>
          <cell r="C1583" t="str">
            <v>GAL</v>
          </cell>
        </row>
        <row r="1584">
          <cell r="A1584" t="str">
            <v>H G INFRA ENGINEERING LTD</v>
          </cell>
          <cell r="B1584">
            <v>541019</v>
          </cell>
          <cell r="C1584" t="str">
            <v>HGINFRA</v>
          </cell>
        </row>
        <row r="1585">
          <cell r="A1585" t="str">
            <v>H K  TRADE INTERNATIONAL LTD</v>
          </cell>
          <cell r="B1585">
            <v>539337</v>
          </cell>
          <cell r="C1585" t="str">
            <v>Not Listed</v>
          </cell>
        </row>
        <row r="1586">
          <cell r="A1586" t="str">
            <v>H P COTTON TEXTILE MILLS LTD</v>
          </cell>
          <cell r="B1586">
            <v>502873</v>
          </cell>
          <cell r="C1586" t="str">
            <v>Not Listed</v>
          </cell>
        </row>
        <row r="1587">
          <cell r="A1587" t="str">
            <v>H S (INDIA) LTD</v>
          </cell>
          <cell r="B1587">
            <v>532145</v>
          </cell>
          <cell r="C1587" t="str">
            <v>Not Listed</v>
          </cell>
        </row>
        <row r="1588">
          <cell r="A1588" t="str">
            <v>H S INDIA LTD</v>
          </cell>
          <cell r="B1588">
            <v>532145</v>
          </cell>
          <cell r="C1588" t="str">
            <v>Not Listed</v>
          </cell>
        </row>
        <row r="1589">
          <cell r="A1589" t="str">
            <v>HALDER VENTURE LTD</v>
          </cell>
          <cell r="B1589">
            <v>539854</v>
          </cell>
          <cell r="C1589" t="str">
            <v>Not Listed</v>
          </cell>
        </row>
        <row r="1590">
          <cell r="A1590" t="str">
            <v>HALDYN GLASS LTD</v>
          </cell>
          <cell r="B1590">
            <v>515147</v>
          </cell>
          <cell r="C1590" t="str">
            <v>Not Listed</v>
          </cell>
        </row>
        <row r="1591">
          <cell r="A1591" t="str">
            <v>HARDCASTLE &amp; WAUD MFG CO LTD</v>
          </cell>
          <cell r="B1591">
            <v>509597</v>
          </cell>
          <cell r="C1591" t="str">
            <v>Not Listed</v>
          </cell>
        </row>
        <row r="1592">
          <cell r="A1592" t="str">
            <v>HARI GOVIND INTERNATIONAL LTD</v>
          </cell>
          <cell r="B1592">
            <v>531971</v>
          </cell>
          <cell r="C1592" t="str">
            <v>Not Listed</v>
          </cell>
        </row>
        <row r="1593">
          <cell r="A1593" t="str">
            <v>HARIA APPARELS LTD</v>
          </cell>
          <cell r="B1593">
            <v>538081</v>
          </cell>
          <cell r="C1593" t="str">
            <v>Not Listed</v>
          </cell>
        </row>
        <row r="1594">
          <cell r="A1594" t="str">
            <v>HARIA EXPORTS LTD</v>
          </cell>
          <cell r="B1594">
            <v>512604</v>
          </cell>
          <cell r="C1594" t="str">
            <v>Not Listed</v>
          </cell>
        </row>
        <row r="1595">
          <cell r="A1595" t="str">
            <v>Harish Textile Engineers Ltd</v>
          </cell>
          <cell r="B1595">
            <v>542682</v>
          </cell>
          <cell r="C1595" t="str">
            <v>HARISH</v>
          </cell>
        </row>
        <row r="1596">
          <cell r="A1596" t="str">
            <v>HARITA SEATING SYSTEMS LTD</v>
          </cell>
          <cell r="B1596">
            <v>590043</v>
          </cell>
          <cell r="C1596" t="str">
            <v>HARITASEAT</v>
          </cell>
        </row>
        <row r="1597">
          <cell r="A1597" t="str">
            <v>HARIYANA METALS LTD</v>
          </cell>
          <cell r="B1597">
            <v>506024</v>
          </cell>
          <cell r="C1597" t="str">
            <v>Not Listed</v>
          </cell>
        </row>
        <row r="1598">
          <cell r="A1598" t="str">
            <v>HARIYANA SHIP BREAKERS LTD</v>
          </cell>
          <cell r="B1598">
            <v>526931</v>
          </cell>
          <cell r="C1598" t="str">
            <v>Not Listed</v>
          </cell>
        </row>
        <row r="1599">
          <cell r="A1599" t="str">
            <v>HARMONY CAPITAL SERVICES LTD</v>
          </cell>
          <cell r="B1599">
            <v>530055</v>
          </cell>
          <cell r="C1599" t="str">
            <v>Not Listed</v>
          </cell>
        </row>
        <row r="1600">
          <cell r="A1600" t="str">
            <v>HARRISONS MALAYALAM LTD</v>
          </cell>
          <cell r="B1600">
            <v>500467</v>
          </cell>
          <cell r="C1600" t="str">
            <v>HARRMALAYA</v>
          </cell>
        </row>
        <row r="1601">
          <cell r="A1601" t="str">
            <v>HARYANA CAPFIN LTD</v>
          </cell>
          <cell r="B1601">
            <v>532855</v>
          </cell>
          <cell r="C1601" t="str">
            <v>Not Listed</v>
          </cell>
        </row>
        <row r="1602">
          <cell r="A1602" t="str">
            <v>HARYANA FINANCIAL CORPORATION LTD</v>
          </cell>
          <cell r="B1602">
            <v>530927</v>
          </cell>
          <cell r="C1602" t="str">
            <v>Not Listed</v>
          </cell>
        </row>
        <row r="1603">
          <cell r="A1603" t="str">
            <v>HARYANA LEATHER CHEMICALS LTD</v>
          </cell>
          <cell r="B1603">
            <v>524080</v>
          </cell>
          <cell r="C1603" t="str">
            <v>Not Listed</v>
          </cell>
        </row>
        <row r="1604">
          <cell r="A1604" t="str">
            <v>HAS LIFESTYLE LTD</v>
          </cell>
          <cell r="B1604">
            <v>780014</v>
          </cell>
          <cell r="C1604" t="str">
            <v>Not Listed</v>
          </cell>
        </row>
        <row r="1605">
          <cell r="A1605" t="str">
            <v>HASTI FINANCE LTD</v>
          </cell>
          <cell r="B1605">
            <v>531387</v>
          </cell>
          <cell r="C1605" t="str">
            <v>Not Listed</v>
          </cell>
        </row>
        <row r="1606">
          <cell r="A1606" t="str">
            <v>HATHWAY BHAWANI CABLETEL &amp;amp; DATACOM LTD.</v>
          </cell>
          <cell r="B1606">
            <v>509073</v>
          </cell>
          <cell r="C1606" t="str">
            <v>HATHWAYB</v>
          </cell>
        </row>
        <row r="1607">
          <cell r="A1607" t="str">
            <v>HATHWAY CABLE &amp; DATACOM LTD</v>
          </cell>
          <cell r="B1607">
            <v>533162</v>
          </cell>
          <cell r="C1607" t="str">
            <v>HATHWAY</v>
          </cell>
        </row>
        <row r="1608">
          <cell r="A1608" t="str">
            <v>HATSUN AGRO PRODUCT LTD</v>
          </cell>
          <cell r="B1608">
            <v>531531</v>
          </cell>
          <cell r="C1608" t="str">
            <v>HATSUN</v>
          </cell>
        </row>
        <row r="1609">
          <cell r="A1609" t="str">
            <v>HAVELLS (INDIA) LTD</v>
          </cell>
          <cell r="B1609">
            <v>517354</v>
          </cell>
          <cell r="C1609" t="str">
            <v>HAVELLS</v>
          </cell>
        </row>
        <row r="1610">
          <cell r="A1610" t="str">
            <v>HAVELLS INDIA LTD</v>
          </cell>
          <cell r="B1610">
            <v>517354</v>
          </cell>
          <cell r="C1610" t="str">
            <v>HAVELLS</v>
          </cell>
        </row>
        <row r="1611">
          <cell r="A1611" t="str">
            <v>HAWA ENGINEERS LTD</v>
          </cell>
          <cell r="B1611">
            <v>539176</v>
          </cell>
          <cell r="C1611" t="str">
            <v>Not Listed</v>
          </cell>
        </row>
        <row r="1612">
          <cell r="A1612" t="str">
            <v>HAWKINS COOKERS LTD</v>
          </cell>
          <cell r="B1612">
            <v>508486</v>
          </cell>
          <cell r="C1612" t="str">
            <v>Not Listed</v>
          </cell>
        </row>
        <row r="1613">
          <cell r="A1613" t="str">
            <v>HAZOOR MULTI PROJECTS LTD</v>
          </cell>
          <cell r="B1613">
            <v>532467</v>
          </cell>
          <cell r="C1613" t="str">
            <v>Not Listed</v>
          </cell>
        </row>
        <row r="1614">
          <cell r="A1614" t="str">
            <v>HB ESTATE DEVELOPERS LTD</v>
          </cell>
          <cell r="B1614">
            <v>532334</v>
          </cell>
          <cell r="C1614" t="str">
            <v>Not Listed</v>
          </cell>
        </row>
        <row r="1615">
          <cell r="A1615" t="str">
            <v>HB LEASING &amp; FINANCE CO LTD</v>
          </cell>
          <cell r="B1615">
            <v>508956</v>
          </cell>
          <cell r="C1615" t="str">
            <v>Not Listed</v>
          </cell>
        </row>
        <row r="1616">
          <cell r="A1616" t="str">
            <v>HB PORTFOLIO LTD</v>
          </cell>
          <cell r="B1616">
            <v>532333</v>
          </cell>
          <cell r="C1616" t="str">
            <v>Not Listed</v>
          </cell>
        </row>
        <row r="1617">
          <cell r="A1617" t="str">
            <v>HB STOCKHOLDINGS LTD</v>
          </cell>
          <cell r="B1617">
            <v>532216</v>
          </cell>
          <cell r="C1617" t="str">
            <v>HBSL</v>
          </cell>
        </row>
        <row r="1618">
          <cell r="A1618" t="str">
            <v>HBL POWER SYSTEMS LTD</v>
          </cell>
          <cell r="B1618">
            <v>517271</v>
          </cell>
          <cell r="C1618" t="str">
            <v>HBLPOWER</v>
          </cell>
        </row>
        <row r="1619">
          <cell r="A1619" t="str">
            <v>HCKK VENTURES LTD</v>
          </cell>
          <cell r="B1619">
            <v>539224</v>
          </cell>
          <cell r="C1619" t="str">
            <v>Not Listed</v>
          </cell>
        </row>
        <row r="1620">
          <cell r="A1620" t="str">
            <v>HCL INFOSYSTEMS LTD</v>
          </cell>
          <cell r="B1620">
            <v>500179</v>
          </cell>
          <cell r="C1620" t="str">
            <v>HCL-INSYS</v>
          </cell>
        </row>
        <row r="1621">
          <cell r="A1621" t="str">
            <v>HCL TECHNOLOGIES LTD</v>
          </cell>
          <cell r="B1621">
            <v>532281</v>
          </cell>
          <cell r="C1621" t="str">
            <v>HCLTECH</v>
          </cell>
        </row>
        <row r="1622">
          <cell r="A1622" t="str">
            <v>HDFC ASSET MANAGEMENT COMPANY LTD</v>
          </cell>
          <cell r="B1622">
            <v>541729</v>
          </cell>
          <cell r="C1622" t="str">
            <v>HDFCAMC</v>
          </cell>
        </row>
        <row r="1623">
          <cell r="A1623" t="str">
            <v>HDFC BANK LTD</v>
          </cell>
          <cell r="B1623">
            <v>500180</v>
          </cell>
          <cell r="C1623" t="str">
            <v>HDFCBANK</v>
          </cell>
        </row>
        <row r="1624">
          <cell r="A1624" t="str">
            <v>HDFC Mutual Fund - HDFC Gold Exchange Traded Fund</v>
          </cell>
          <cell r="B1624">
            <v>533230</v>
          </cell>
          <cell r="C1624" t="str">
            <v>HDFCMFGETF</v>
          </cell>
        </row>
        <row r="1625">
          <cell r="A1625" t="str">
            <v>HDFC STANDARD LIFE INSURANCE COMPANY LTD</v>
          </cell>
          <cell r="B1625">
            <v>540777</v>
          </cell>
          <cell r="C1625" t="str">
            <v>HDFCLIFE</v>
          </cell>
        </row>
        <row r="1626">
          <cell r="A1626" t="str">
            <v>HEALTHCARE GLOBAL ENTERPRISES LTD</v>
          </cell>
          <cell r="B1626">
            <v>539787</v>
          </cell>
          <cell r="C1626" t="str">
            <v>HCG</v>
          </cell>
        </row>
        <row r="1627">
          <cell r="A1627" t="str">
            <v>HEALTHY INVESTMENTS LTD</v>
          </cell>
          <cell r="B1627">
            <v>503689</v>
          </cell>
          <cell r="C1627" t="str">
            <v>Not Listed</v>
          </cell>
        </row>
        <row r="1628">
          <cell r="A1628" t="str">
            <v>HEC INFRA PROJECTS LTD</v>
          </cell>
          <cell r="B1628" t="str">
            <v>Not Listed</v>
          </cell>
          <cell r="C1628" t="str">
            <v>HECPROJECT</v>
          </cell>
        </row>
        <row r="1629">
          <cell r="A1629" t="str">
            <v>HEERA ISPAT LTD</v>
          </cell>
          <cell r="B1629">
            <v>526967</v>
          </cell>
          <cell r="C1629" t="str">
            <v>Not Listed</v>
          </cell>
        </row>
        <row r="1630">
          <cell r="A1630" t="str">
            <v>HEG LTD</v>
          </cell>
          <cell r="B1630">
            <v>509631</v>
          </cell>
          <cell r="C1630" t="str">
            <v>HEG</v>
          </cell>
        </row>
        <row r="1631">
          <cell r="A1631" t="str">
            <v>HEIDELBERGCEMENT (INDIA) LTD</v>
          </cell>
          <cell r="B1631">
            <v>500292</v>
          </cell>
          <cell r="C1631" t="str">
            <v>HEIDELBERG</v>
          </cell>
        </row>
        <row r="1632">
          <cell r="A1632" t="str">
            <v>HEIDELBERGCEMENT INDIA LTD</v>
          </cell>
          <cell r="B1632">
            <v>500292</v>
          </cell>
          <cell r="C1632" t="str">
            <v>HEIDELBERG</v>
          </cell>
        </row>
        <row r="1633">
          <cell r="A1633" t="str">
            <v>Helpage Finlease Ltd</v>
          </cell>
          <cell r="B1633">
            <v>539174</v>
          </cell>
          <cell r="C1633" t="str">
            <v>HELPAGE</v>
          </cell>
        </row>
        <row r="1634">
          <cell r="A1634" t="str">
            <v>HEM HOLDINGS &amp; TRADING LTD</v>
          </cell>
          <cell r="B1634">
            <v>505520</v>
          </cell>
          <cell r="C1634" t="str">
            <v>Not Listed</v>
          </cell>
        </row>
        <row r="1635">
          <cell r="A1635" t="str">
            <v>HEMANG RESOURCES LTD</v>
          </cell>
          <cell r="B1635">
            <v>531178</v>
          </cell>
          <cell r="C1635" t="str">
            <v>Not Listed</v>
          </cell>
        </row>
        <row r="1636">
          <cell r="A1636" t="str">
            <v>HEMO ORGANIC LTD</v>
          </cell>
          <cell r="B1636">
            <v>524590</v>
          </cell>
          <cell r="C1636" t="str">
            <v>Not Listed</v>
          </cell>
        </row>
        <row r="1637">
          <cell r="A1637" t="str">
            <v>HERCULES HOISTS LTD</v>
          </cell>
          <cell r="B1637">
            <v>505720</v>
          </cell>
          <cell r="C1637" t="str">
            <v>HERCULES</v>
          </cell>
        </row>
        <row r="1638">
          <cell r="A1638" t="str">
            <v>HERITAGE FOODS LTD</v>
          </cell>
          <cell r="B1638">
            <v>519552</v>
          </cell>
          <cell r="C1638" t="str">
            <v>HERITGFOOD</v>
          </cell>
        </row>
        <row r="1639">
          <cell r="A1639" t="str">
            <v>HERO MOTOCORP LTD</v>
          </cell>
          <cell r="B1639">
            <v>500182</v>
          </cell>
          <cell r="C1639" t="str">
            <v>HEROMOTOCO</v>
          </cell>
        </row>
        <row r="1640">
          <cell r="A1640" t="str">
            <v>HESTER BIOSCIENCES LTD</v>
          </cell>
          <cell r="B1640">
            <v>524669</v>
          </cell>
          <cell r="C1640" t="str">
            <v>HESTERBIO</v>
          </cell>
        </row>
        <row r="1641">
          <cell r="A1641" t="str">
            <v>HEXA TRADEX LTD</v>
          </cell>
          <cell r="B1641">
            <v>534328</v>
          </cell>
          <cell r="C1641" t="str">
            <v>HEXATRADEX</v>
          </cell>
        </row>
        <row r="1642">
          <cell r="A1642" t="str">
            <v>HEXAWARE TECHNOLOGIES LTD</v>
          </cell>
          <cell r="B1642">
            <v>532129</v>
          </cell>
          <cell r="C1642" t="str">
            <v>HEXAWARE</v>
          </cell>
        </row>
        <row r="1643">
          <cell r="A1643" t="str">
            <v>HIGH ENERGY BATTERIES (INDIA) LTD</v>
          </cell>
          <cell r="B1643">
            <v>504176</v>
          </cell>
          <cell r="C1643" t="str">
            <v>Not Listed</v>
          </cell>
        </row>
        <row r="1644">
          <cell r="A1644" t="str">
            <v>HIGH ENERGY BATTERIES INDIA LTD</v>
          </cell>
          <cell r="B1644">
            <v>504176</v>
          </cell>
          <cell r="C1644" t="str">
            <v>Not Listed</v>
          </cell>
        </row>
        <row r="1645">
          <cell r="A1645" t="str">
            <v>HIGH GROUND ENTERPRISE LTD</v>
          </cell>
          <cell r="B1645">
            <v>517080</v>
          </cell>
          <cell r="C1645" t="str">
            <v>HIGHGROUND</v>
          </cell>
        </row>
        <row r="1646">
          <cell r="A1646" t="str">
            <v>HIGH STREET FILATEX LTD</v>
          </cell>
          <cell r="B1646">
            <v>531301</v>
          </cell>
          <cell r="C1646" t="str">
            <v>Not Listed</v>
          </cell>
        </row>
        <row r="1647">
          <cell r="A1647" t="str">
            <v>HIKAL LTD</v>
          </cell>
          <cell r="B1647">
            <v>524735</v>
          </cell>
          <cell r="C1647" t="str">
            <v>HIKAL</v>
          </cell>
        </row>
        <row r="1648">
          <cell r="A1648" t="str">
            <v>Hi-Klass Trading and Investment Ltd</v>
          </cell>
          <cell r="B1648">
            <v>542332</v>
          </cell>
          <cell r="C1648" t="str">
            <v>HIKLASS</v>
          </cell>
        </row>
        <row r="1649">
          <cell r="A1649" t="str">
            <v>HIL LTD</v>
          </cell>
          <cell r="B1649">
            <v>509675</v>
          </cell>
          <cell r="C1649" t="str">
            <v>HIL</v>
          </cell>
        </row>
        <row r="1650">
          <cell r="A1650" t="str">
            <v>HILTON METAL FORGING LTD</v>
          </cell>
          <cell r="B1650">
            <v>532847</v>
          </cell>
          <cell r="C1650" t="str">
            <v>HILTON</v>
          </cell>
        </row>
        <row r="1651">
          <cell r="A1651" t="str">
            <v>HIM TEKNOFORGE LTD</v>
          </cell>
          <cell r="B1651">
            <v>505712</v>
          </cell>
          <cell r="C1651" t="str">
            <v>Not Listed</v>
          </cell>
        </row>
        <row r="1652">
          <cell r="A1652" t="str">
            <v>HIMACHAL FIBRES LTD</v>
          </cell>
          <cell r="B1652">
            <v>514010</v>
          </cell>
          <cell r="C1652" t="str">
            <v>Not Listed</v>
          </cell>
        </row>
        <row r="1653">
          <cell r="A1653" t="str">
            <v>HIMACHAL FUTURISTIC COMMUNICATIONS LTD</v>
          </cell>
          <cell r="B1653">
            <v>500183</v>
          </cell>
          <cell r="C1653" t="str">
            <v>HFCL</v>
          </cell>
        </row>
        <row r="1654">
          <cell r="A1654" t="str">
            <v>HIMADRI SPECIALITY CHEMICAL LTD</v>
          </cell>
          <cell r="B1654">
            <v>500184</v>
          </cell>
          <cell r="C1654" t="str">
            <v>HSCL</v>
          </cell>
        </row>
        <row r="1655">
          <cell r="A1655" t="str">
            <v>HIMALAYA FOOD INTERNATIONAL LTD</v>
          </cell>
          <cell r="B1655">
            <v>526899</v>
          </cell>
          <cell r="C1655" t="str">
            <v>Not Listed</v>
          </cell>
        </row>
        <row r="1656">
          <cell r="A1656" t="str">
            <v>HIMALAYA GRANITES LTD</v>
          </cell>
          <cell r="B1656">
            <v>513723</v>
          </cell>
          <cell r="C1656" t="str">
            <v>Not Listed</v>
          </cell>
        </row>
        <row r="1657">
          <cell r="A1657" t="str">
            <v>HIMALCHULI FOOD PRODUCTS LTD</v>
          </cell>
          <cell r="B1657">
            <v>511169</v>
          </cell>
          <cell r="C1657" t="str">
            <v>Not Listed</v>
          </cell>
        </row>
        <row r="1658">
          <cell r="A1658" t="str">
            <v>HIMATSINGKA SEIDE LTD</v>
          </cell>
          <cell r="B1658">
            <v>514043</v>
          </cell>
          <cell r="C1658" t="str">
            <v>HIMATSEIDE</v>
          </cell>
        </row>
        <row r="1659">
          <cell r="A1659" t="str">
            <v>HIND ALUMINIUM INDUSTRIES LTD</v>
          </cell>
          <cell r="B1659">
            <v>531979</v>
          </cell>
          <cell r="C1659" t="str">
            <v>Not Listed</v>
          </cell>
        </row>
        <row r="1660">
          <cell r="A1660" t="str">
            <v>HIND COMMERCE LTD</v>
          </cell>
          <cell r="B1660">
            <v>538652</v>
          </cell>
          <cell r="C1660" t="str">
            <v>Not Listed</v>
          </cell>
        </row>
        <row r="1661">
          <cell r="A1661" t="str">
            <v>HIND RECTIFIERS LTD</v>
          </cell>
          <cell r="B1661">
            <v>504036</v>
          </cell>
          <cell r="C1661" t="str">
            <v>HIRECT</v>
          </cell>
        </row>
        <row r="1662">
          <cell r="A1662" t="str">
            <v>HIND SECURITIES &amp; CREDITS LTD</v>
          </cell>
          <cell r="B1662">
            <v>539114</v>
          </cell>
          <cell r="C1662" t="str">
            <v>Not Listed</v>
          </cell>
        </row>
        <row r="1663">
          <cell r="A1663" t="str">
            <v>HIND SYNTEX LTD</v>
          </cell>
          <cell r="B1663">
            <v>503881</v>
          </cell>
          <cell r="C1663" t="str">
            <v>HINDSYNTEX</v>
          </cell>
        </row>
        <row r="1664">
          <cell r="A1664" t="str">
            <v>HINDALCO INDUSTRIES LTD</v>
          </cell>
          <cell r="B1664">
            <v>500440</v>
          </cell>
          <cell r="C1664" t="str">
            <v>HINDALCO</v>
          </cell>
        </row>
        <row r="1665">
          <cell r="A1665" t="str">
            <v>HINDCON CHEMICALS LTD</v>
          </cell>
          <cell r="B1665" t="str">
            <v>Not Listed</v>
          </cell>
          <cell r="C1665" t="str">
            <v>HINDCON</v>
          </cell>
        </row>
        <row r="1666">
          <cell r="A1666" t="str">
            <v>HINDOOSTAN MILLS LTD</v>
          </cell>
          <cell r="B1666">
            <v>509895</v>
          </cell>
          <cell r="C1666" t="str">
            <v>Not Listed</v>
          </cell>
        </row>
        <row r="1667">
          <cell r="A1667" t="str">
            <v>HINDUJA GLOBAL SOLUTIONS LTD</v>
          </cell>
          <cell r="B1667">
            <v>532859</v>
          </cell>
          <cell r="C1667" t="str">
            <v>HGS</v>
          </cell>
        </row>
        <row r="1668">
          <cell r="A1668" t="str">
            <v>HINDUJA VENTURES LTD</v>
          </cell>
          <cell r="B1668">
            <v>500189</v>
          </cell>
          <cell r="C1668" t="str">
            <v>HINDUJAVEN</v>
          </cell>
        </row>
        <row r="1669">
          <cell r="A1669" t="str">
            <v>HINDUSTAN ADHESIVES LTD</v>
          </cell>
          <cell r="B1669">
            <v>514428</v>
          </cell>
          <cell r="C1669" t="str">
            <v>Not Listed</v>
          </cell>
        </row>
        <row r="1670">
          <cell r="A1670" t="str">
            <v>HINDUSTAN AERONAUTICS LTD</v>
          </cell>
          <cell r="B1670">
            <v>541154</v>
          </cell>
          <cell r="C1670" t="str">
            <v>HAL</v>
          </cell>
        </row>
        <row r="1671">
          <cell r="A1671" t="str">
            <v>HINDUSTAN APPLIANCES LTD</v>
          </cell>
          <cell r="B1671">
            <v>531918</v>
          </cell>
          <cell r="C1671" t="str">
            <v>Not Listed</v>
          </cell>
        </row>
        <row r="1672">
          <cell r="A1672" t="str">
            <v>HINDUSTAN BIO SCIENCES LTD.</v>
          </cell>
          <cell r="B1672">
            <v>532041</v>
          </cell>
          <cell r="C1672" t="str">
            <v>HINDBIO</v>
          </cell>
        </row>
        <row r="1673">
          <cell r="A1673" t="str">
            <v>HINDUSTAN COMPOSITES LTD</v>
          </cell>
          <cell r="B1673">
            <v>509635</v>
          </cell>
          <cell r="C1673" t="str">
            <v>HINDCOMPOS</v>
          </cell>
        </row>
        <row r="1674">
          <cell r="A1674" t="str">
            <v>HINDUSTAN CONSTRUCTION COMPANY LTD</v>
          </cell>
          <cell r="B1674">
            <v>500185</v>
          </cell>
          <cell r="C1674" t="str">
            <v>HCC</v>
          </cell>
        </row>
        <row r="1675">
          <cell r="A1675" t="str">
            <v>HINDUSTAN COPPER LTD</v>
          </cell>
          <cell r="B1675">
            <v>513599</v>
          </cell>
          <cell r="C1675" t="str">
            <v>HINDCOPPER</v>
          </cell>
        </row>
        <row r="1676">
          <cell r="A1676" t="str">
            <v>HINDUSTAN EVEREST TOOLS LTD.</v>
          </cell>
          <cell r="B1676">
            <v>505725</v>
          </cell>
          <cell r="C1676" t="str">
            <v>HINDEVER</v>
          </cell>
        </row>
        <row r="1677">
          <cell r="A1677" t="str">
            <v>HINDUSTAN FLUOROCARBONS LTD</v>
          </cell>
          <cell r="B1677">
            <v>524013</v>
          </cell>
          <cell r="C1677" t="str">
            <v>Not Listed</v>
          </cell>
        </row>
        <row r="1678">
          <cell r="A1678" t="str">
            <v>HINDUSTAN FOODS LTD</v>
          </cell>
          <cell r="B1678">
            <v>519126</v>
          </cell>
          <cell r="C1678" t="str">
            <v>Not Listed</v>
          </cell>
        </row>
        <row r="1679">
          <cell r="A1679" t="str">
            <v>HINDUSTAN HARDY SPICER LTD</v>
          </cell>
          <cell r="B1679">
            <v>505893</v>
          </cell>
          <cell r="C1679" t="str">
            <v>Not Listed</v>
          </cell>
        </row>
        <row r="1680">
          <cell r="A1680" t="str">
            <v>HINDUSTAN HOUSING CO LTD</v>
          </cell>
          <cell r="B1680">
            <v>509650</v>
          </cell>
          <cell r="C1680" t="str">
            <v>Not Listed</v>
          </cell>
        </row>
        <row r="1681">
          <cell r="A1681" t="str">
            <v>HINDUSTAN MEDIA VENTURES LTD</v>
          </cell>
          <cell r="B1681">
            <v>533217</v>
          </cell>
          <cell r="C1681" t="str">
            <v>HMVL</v>
          </cell>
        </row>
        <row r="1682">
          <cell r="A1682" t="str">
            <v>HINDUSTAN MOTORS LTD</v>
          </cell>
          <cell r="B1682">
            <v>500500</v>
          </cell>
          <cell r="C1682" t="str">
            <v>HINDMOTORS</v>
          </cell>
        </row>
        <row r="1683">
          <cell r="A1683" t="str">
            <v>HINDUSTAN OIL EXPLORATION COMPANY LTD</v>
          </cell>
          <cell r="B1683">
            <v>500186</v>
          </cell>
          <cell r="C1683" t="str">
            <v>HINDOILEXP</v>
          </cell>
        </row>
        <row r="1684">
          <cell r="A1684" t="str">
            <v>HINDUSTAN ORGANIC CHEMICALS LTD</v>
          </cell>
          <cell r="B1684">
            <v>500449</v>
          </cell>
          <cell r="C1684" t="str">
            <v>Not Listed</v>
          </cell>
        </row>
        <row r="1685">
          <cell r="A1685" t="str">
            <v>HINDUSTAN PETROLEUM CORPORATION LTD</v>
          </cell>
          <cell r="B1685">
            <v>500104</v>
          </cell>
          <cell r="C1685" t="str">
            <v>HINDPETRO</v>
          </cell>
        </row>
        <row r="1686">
          <cell r="A1686" t="str">
            <v>HINDUSTAN TIN WORKS LTD</v>
          </cell>
          <cell r="B1686">
            <v>530315</v>
          </cell>
          <cell r="C1686" t="str">
            <v>Not Listed</v>
          </cell>
        </row>
        <row r="1687">
          <cell r="A1687" t="str">
            <v>HINDUSTAN UNILEVER LTD</v>
          </cell>
          <cell r="B1687">
            <v>500696</v>
          </cell>
          <cell r="C1687" t="str">
            <v>HINDUNILVR</v>
          </cell>
        </row>
        <row r="1688">
          <cell r="A1688" t="str">
            <v>HINDUSTAN WIRES LTD</v>
          </cell>
          <cell r="B1688">
            <v>504713</v>
          </cell>
          <cell r="C1688" t="str">
            <v>Not Listed</v>
          </cell>
        </row>
        <row r="1689">
          <cell r="A1689" t="str">
            <v>HINDUSTAN ZINC LTD</v>
          </cell>
          <cell r="B1689">
            <v>500188</v>
          </cell>
          <cell r="C1689" t="str">
            <v>HINDZINC</v>
          </cell>
        </row>
        <row r="1690">
          <cell r="A1690" t="str">
            <v>HINDUSTHAN NATIONAL GLASS &amp; INDUSTRIES LTD</v>
          </cell>
          <cell r="B1690">
            <v>515145</v>
          </cell>
          <cell r="C1690" t="str">
            <v>HINDNATGLS</v>
          </cell>
        </row>
        <row r="1691">
          <cell r="A1691" t="str">
            <v>HINDUSTHAN UDYOG LTD</v>
          </cell>
          <cell r="B1691">
            <v>513039</v>
          </cell>
          <cell r="C1691" t="str">
            <v>Not Listed</v>
          </cell>
        </row>
        <row r="1692">
          <cell r="A1692" t="str">
            <v>HINDUSTHAN URBAN INFRASTRUCTURE LTD</v>
          </cell>
          <cell r="B1692">
            <v>539984</v>
          </cell>
          <cell r="C1692" t="str">
            <v>Not Listed</v>
          </cell>
        </row>
        <row r="1693">
          <cell r="A1693" t="str">
            <v>HIPOLIN LTD</v>
          </cell>
          <cell r="B1693">
            <v>530853</v>
          </cell>
          <cell r="C1693" t="str">
            <v>Not Listed</v>
          </cell>
        </row>
        <row r="1694">
          <cell r="A1694" t="str">
            <v>HIRA AUTOMOBILES LTD</v>
          </cell>
          <cell r="B1694">
            <v>531743</v>
          </cell>
          <cell r="C1694" t="str">
            <v>Not Listed</v>
          </cell>
        </row>
        <row r="1695">
          <cell r="A1695" t="str">
            <v>HISAR METAL INDUSTRIES LTD</v>
          </cell>
          <cell r="B1695">
            <v>590018</v>
          </cell>
          <cell r="C1695" t="str">
            <v>HISARMETAL</v>
          </cell>
        </row>
        <row r="1696">
          <cell r="A1696" t="str">
            <v>HISAR SPINNING MILLS LTD</v>
          </cell>
          <cell r="B1696">
            <v>521068</v>
          </cell>
          <cell r="C1696" t="str">
            <v>Not Listed</v>
          </cell>
        </row>
        <row r="1697">
          <cell r="A1697" t="str">
            <v>HIT KIT GLOBAL SOLUTIONS LTD</v>
          </cell>
          <cell r="B1697">
            <v>532359</v>
          </cell>
          <cell r="C1697" t="str">
            <v>Not Listed</v>
          </cell>
        </row>
        <row r="1698">
          <cell r="A1698" t="str">
            <v>HITECH CORPORATION LTD</v>
          </cell>
          <cell r="B1698">
            <v>526217</v>
          </cell>
          <cell r="C1698" t="str">
            <v>HITECHCORP</v>
          </cell>
        </row>
        <row r="1699">
          <cell r="A1699" t="str">
            <v>HI-TECH PIPES LTD</v>
          </cell>
          <cell r="B1699" t="str">
            <v>Not Listed</v>
          </cell>
          <cell r="C1699" t="str">
            <v>HITECH</v>
          </cell>
        </row>
        <row r="1700">
          <cell r="A1700" t="str">
            <v>Hi-Tech Winding Systems Ltd</v>
          </cell>
          <cell r="B1700">
            <v>541627</v>
          </cell>
          <cell r="C1700" t="str">
            <v>HITECHWIND</v>
          </cell>
        </row>
        <row r="1701">
          <cell r="A1701" t="str">
            <v>HITTCO TOOLS LTD</v>
          </cell>
          <cell r="B1701">
            <v>531661</v>
          </cell>
          <cell r="C1701" t="str">
            <v>Not Listed</v>
          </cell>
        </row>
        <row r="1702">
          <cell r="A1702" t="str">
            <v>HMT LTD</v>
          </cell>
          <cell r="B1702">
            <v>500191</v>
          </cell>
          <cell r="C1702" t="str">
            <v>HMT</v>
          </cell>
        </row>
        <row r="1703">
          <cell r="A1703" t="str">
            <v>HONDA SIEL POWER PRODUCTS LTD</v>
          </cell>
          <cell r="B1703">
            <v>522064</v>
          </cell>
          <cell r="C1703" t="str">
            <v>HONDAPOWER</v>
          </cell>
        </row>
        <row r="1704">
          <cell r="A1704" t="str">
            <v>HONEYWELL AUTOMATION (INDIA) LTD</v>
          </cell>
          <cell r="B1704">
            <v>517174</v>
          </cell>
          <cell r="C1704" t="str">
            <v>HONAUT</v>
          </cell>
        </row>
        <row r="1705">
          <cell r="A1705" t="str">
            <v>HONEYWELL AUTOMATION INDIA LTD</v>
          </cell>
          <cell r="B1705">
            <v>517174</v>
          </cell>
          <cell r="C1705" t="str">
            <v>HONAUT</v>
          </cell>
        </row>
        <row r="1706">
          <cell r="A1706" t="str">
            <v>HOTEL LEELA VENTURE LTD</v>
          </cell>
          <cell r="B1706">
            <v>500193</v>
          </cell>
          <cell r="C1706" t="str">
            <v>HOTELEELA</v>
          </cell>
        </row>
        <row r="1707">
          <cell r="A1707" t="str">
            <v>HOTEL RUGBY LTD</v>
          </cell>
          <cell r="B1707">
            <v>526683</v>
          </cell>
          <cell r="C1707" t="str">
            <v>HOTELRUGBY</v>
          </cell>
        </row>
        <row r="1708">
          <cell r="A1708" t="str">
            <v>HOUSING &amp; URBAN DEVELOPMENT CORPORATION LTD</v>
          </cell>
          <cell r="B1708">
            <v>540530</v>
          </cell>
          <cell r="C1708" t="str">
            <v>HUDCO</v>
          </cell>
        </row>
        <row r="1709">
          <cell r="A1709" t="str">
            <v>HOUSING DEVELOPMENT AND INFRASTRUCTURE LTD</v>
          </cell>
          <cell r="B1709">
            <v>532873</v>
          </cell>
          <cell r="C1709" t="str">
            <v>HDIL</v>
          </cell>
        </row>
        <row r="1710">
          <cell r="A1710" t="str">
            <v>HOUSING DEVELOPMENT FINANCE CORPORATION LTD</v>
          </cell>
          <cell r="B1710">
            <v>500010</v>
          </cell>
          <cell r="C1710" t="str">
            <v>HDFC</v>
          </cell>
        </row>
        <row r="1711">
          <cell r="A1711" t="str">
            <v>HOV SERVICES LTD</v>
          </cell>
          <cell r="B1711">
            <v>532761</v>
          </cell>
          <cell r="C1711" t="str">
            <v>HOVS</v>
          </cell>
        </row>
        <row r="1712">
          <cell r="A1712" t="str">
            <v>HOWARD HOTELS LTD</v>
          </cell>
          <cell r="B1712">
            <v>526761</v>
          </cell>
          <cell r="C1712" t="str">
            <v>Not Listed</v>
          </cell>
        </row>
        <row r="1713">
          <cell r="A1713" t="str">
            <v>HPC BIOSCIENCES LTD</v>
          </cell>
          <cell r="B1713">
            <v>535217</v>
          </cell>
          <cell r="C1713" t="str">
            <v>Not Listed</v>
          </cell>
        </row>
        <row r="1714">
          <cell r="A1714" t="str">
            <v>HPL ELECTRIC &amp; POWER LTD</v>
          </cell>
          <cell r="B1714">
            <v>540136</v>
          </cell>
          <cell r="C1714" t="str">
            <v>HPL</v>
          </cell>
        </row>
        <row r="1715">
          <cell r="A1715" t="str">
            <v>HRB FLORICULTURE LTD</v>
          </cell>
          <cell r="B1715">
            <v>531724</v>
          </cell>
          <cell r="C1715" t="str">
            <v>Not Listed</v>
          </cell>
        </row>
        <row r="1716">
          <cell r="A1716" t="str">
            <v>HSIL LTD</v>
          </cell>
          <cell r="B1716">
            <v>500187</v>
          </cell>
          <cell r="C1716" t="str">
            <v>HSIL</v>
          </cell>
        </row>
        <row r="1717">
          <cell r="A1717" t="str">
            <v>HT MEDIA LTD</v>
          </cell>
          <cell r="B1717">
            <v>532662</v>
          </cell>
          <cell r="C1717" t="str">
            <v>HTMEDIA</v>
          </cell>
        </row>
        <row r="1718">
          <cell r="A1718" t="str">
            <v>HUBTOWN LTD</v>
          </cell>
          <cell r="B1718">
            <v>532799</v>
          </cell>
          <cell r="C1718" t="str">
            <v>HUBTOWN</v>
          </cell>
        </row>
        <row r="1719">
          <cell r="A1719" t="str">
            <v>HUHTAMAKI PPL LTD</v>
          </cell>
          <cell r="B1719">
            <v>509820</v>
          </cell>
          <cell r="C1719" t="str">
            <v>PAPERPROD</v>
          </cell>
        </row>
        <row r="1720">
          <cell r="A1720" t="str">
            <v>Humming Bird Education Ltd</v>
          </cell>
          <cell r="B1720">
            <v>542592</v>
          </cell>
          <cell r="C1720" t="str">
            <v>HBEL</v>
          </cell>
        </row>
        <row r="1721">
          <cell r="A1721" t="str">
            <v>HUSYS CONSULTING LTD</v>
          </cell>
          <cell r="B1721" t="str">
            <v>Not Listed</v>
          </cell>
          <cell r="C1721" t="str">
            <v>HUSYSLTD</v>
          </cell>
        </row>
        <row r="1722">
          <cell r="A1722" t="str">
            <v>HYPERSOFT TECHNOLOGIES LTD</v>
          </cell>
          <cell r="B1722">
            <v>539724</v>
          </cell>
          <cell r="C1722" t="str">
            <v>Not Listed</v>
          </cell>
        </row>
        <row r="1723">
          <cell r="A1723" t="str">
            <v>IB INFOTECH ENTERPRISES LTD</v>
          </cell>
          <cell r="B1723">
            <v>519463</v>
          </cell>
          <cell r="C1723" t="str">
            <v>Not Listed</v>
          </cell>
        </row>
        <row r="1724">
          <cell r="A1724" t="str">
            <v>ICE MAKE REFRIGERATION LTD</v>
          </cell>
          <cell r="B1724" t="str">
            <v>Not Listed</v>
          </cell>
          <cell r="C1724" t="str">
            <v>ICEMAKE</v>
          </cell>
        </row>
        <row r="1725">
          <cell r="A1725" t="str">
            <v>ICICI BANK LTD</v>
          </cell>
          <cell r="B1725">
            <v>532174</v>
          </cell>
          <cell r="C1725" t="str">
            <v>ICICIBANK</v>
          </cell>
        </row>
        <row r="1726">
          <cell r="A1726" t="str">
            <v>ICICI LOMBARD GENERAL INSURANCE COMPANY LTD</v>
          </cell>
          <cell r="B1726">
            <v>540716</v>
          </cell>
          <cell r="C1726" t="str">
            <v>ICICIGI</v>
          </cell>
        </row>
        <row r="1727">
          <cell r="A1727" t="str">
            <v>ICICI Prudential Gold ETF</v>
          </cell>
          <cell r="B1727">
            <v>533244</v>
          </cell>
          <cell r="C1727" t="str">
            <v>ICICIGOLD</v>
          </cell>
        </row>
        <row r="1728">
          <cell r="A1728" t="str">
            <v>ICICI PRUDENTIAL LIFE INSURANCE COMPANY LTD</v>
          </cell>
          <cell r="B1728">
            <v>540133</v>
          </cell>
          <cell r="C1728" t="str">
            <v>ICICIPRULI</v>
          </cell>
        </row>
        <row r="1729">
          <cell r="A1729" t="str">
            <v>ICICI Prudential Sensex ETF</v>
          </cell>
          <cell r="B1729">
            <v>555555</v>
          </cell>
          <cell r="C1729" t="str">
            <v>ICICISENSX</v>
          </cell>
        </row>
        <row r="1730">
          <cell r="A1730" t="str">
            <v>ICICI SECURITIES LTD</v>
          </cell>
          <cell r="B1730">
            <v>541179</v>
          </cell>
          <cell r="C1730" t="str">
            <v>ISEC</v>
          </cell>
        </row>
        <row r="1731">
          <cell r="A1731" t="str">
            <v>ICRA LTD</v>
          </cell>
          <cell r="B1731">
            <v>532835</v>
          </cell>
          <cell r="C1731" t="str">
            <v>ICRA</v>
          </cell>
        </row>
        <row r="1732">
          <cell r="A1732" t="str">
            <v>ICSA (INDIA) LTD</v>
          </cell>
          <cell r="B1732">
            <v>531524</v>
          </cell>
          <cell r="C1732" t="str">
            <v>ICSA</v>
          </cell>
        </row>
        <row r="1733">
          <cell r="A1733" t="str">
            <v>ICSA INDIA LTD</v>
          </cell>
          <cell r="B1733">
            <v>531524</v>
          </cell>
          <cell r="C1733" t="str">
            <v>ICSA</v>
          </cell>
        </row>
        <row r="1734">
          <cell r="A1734" t="str">
            <v>IDBI BANK LTD</v>
          </cell>
          <cell r="B1734">
            <v>500116</v>
          </cell>
          <cell r="C1734" t="str">
            <v>IDBI</v>
          </cell>
        </row>
        <row r="1735">
          <cell r="A1735" t="str">
            <v>IDFC BANK LTD</v>
          </cell>
          <cell r="B1735">
            <v>539437</v>
          </cell>
          <cell r="C1735" t="str">
            <v>IDFCBANK</v>
          </cell>
        </row>
        <row r="1736">
          <cell r="A1736" t="str">
            <v>IDFC First Bank LTD</v>
          </cell>
          <cell r="B1736" t="str">
            <v>Not Listed</v>
          </cell>
          <cell r="C1736" t="str">
            <v>IDFCFIRSTB</v>
          </cell>
        </row>
        <row r="1737">
          <cell r="A1737" t="str">
            <v>IDFC LTD</v>
          </cell>
          <cell r="B1737">
            <v>532659</v>
          </cell>
          <cell r="C1737" t="str">
            <v>IDFC</v>
          </cell>
        </row>
        <row r="1738">
          <cell r="A1738" t="str">
            <v>IFB AGRO INDUSTRIES LTD</v>
          </cell>
          <cell r="B1738">
            <v>507438</v>
          </cell>
          <cell r="C1738" t="str">
            <v>IFBAGRO</v>
          </cell>
        </row>
        <row r="1739">
          <cell r="A1739" t="str">
            <v>IFB INDUSTRIES LTD</v>
          </cell>
          <cell r="B1739">
            <v>505726</v>
          </cell>
          <cell r="C1739" t="str">
            <v>IFBIND</v>
          </cell>
        </row>
        <row r="1740">
          <cell r="A1740" t="str">
            <v>IFCI LTD</v>
          </cell>
          <cell r="B1740">
            <v>500106</v>
          </cell>
          <cell r="C1740" t="str">
            <v>IFCI</v>
          </cell>
        </row>
        <row r="1741">
          <cell r="A1741" t="str">
            <v>IFGL REFRACTORIES LTD</v>
          </cell>
          <cell r="B1741">
            <v>540774</v>
          </cell>
          <cell r="C1741" t="str">
            <v>IFGLEXPOR</v>
          </cell>
        </row>
        <row r="1742">
          <cell r="A1742" t="str">
            <v>IFL ENTERPRISES LTD</v>
          </cell>
          <cell r="B1742">
            <v>540377</v>
          </cell>
          <cell r="C1742" t="str">
            <v>Not Listed</v>
          </cell>
        </row>
        <row r="1743">
          <cell r="A1743" t="str">
            <v>IFM IMPEX GLOBAL LTD</v>
          </cell>
          <cell r="B1743">
            <v>522289</v>
          </cell>
          <cell r="C1743" t="str">
            <v>Not Listed</v>
          </cell>
        </row>
        <row r="1744">
          <cell r="A1744" t="str">
            <v>IG PETROCHEMICALS LTD</v>
          </cell>
          <cell r="B1744">
            <v>500199</v>
          </cell>
          <cell r="C1744" t="str">
            <v>IGPL</v>
          </cell>
        </row>
        <row r="1745">
          <cell r="A1745" t="str">
            <v>IGARASHI MOTORS (INDIA) LTD</v>
          </cell>
          <cell r="B1745">
            <v>517380</v>
          </cell>
          <cell r="C1745" t="str">
            <v>IGARASHI</v>
          </cell>
        </row>
        <row r="1746">
          <cell r="A1746" t="str">
            <v>IGARASHI MOTORS INDIA LTD</v>
          </cell>
          <cell r="B1746">
            <v>517380</v>
          </cell>
          <cell r="C1746" t="str">
            <v>IGARASHI</v>
          </cell>
        </row>
        <row r="1747">
          <cell r="A1747" t="str">
            <v>IGC INDUSTRIES LTD</v>
          </cell>
          <cell r="B1747">
            <v>539449</v>
          </cell>
          <cell r="C1747" t="str">
            <v>Not Listed</v>
          </cell>
        </row>
        <row r="1748">
          <cell r="A1748" t="str">
            <v>IIFL HOLDINGS LTD</v>
          </cell>
          <cell r="B1748">
            <v>532636</v>
          </cell>
          <cell r="C1748" t="str">
            <v>IIFL</v>
          </cell>
        </row>
        <row r="1749">
          <cell r="A1749" t="str">
            <v>IITL PROJECTS LTD</v>
          </cell>
          <cell r="B1749">
            <v>531968</v>
          </cell>
          <cell r="C1749" t="str">
            <v>IITLPROJ</v>
          </cell>
        </row>
        <row r="1750">
          <cell r="A1750" t="str">
            <v>IKAB SECURITIES &amp; INVESTMENT LTD</v>
          </cell>
          <cell r="B1750">
            <v>514238</v>
          </cell>
          <cell r="C1750" t="str">
            <v>Not Listed</v>
          </cell>
        </row>
        <row r="1751">
          <cell r="A1751" t="str">
            <v>IKF TECHNOLOGIES LTD</v>
          </cell>
          <cell r="B1751">
            <v>532414</v>
          </cell>
          <cell r="C1751" t="str">
            <v>Not Listed</v>
          </cell>
        </row>
        <row r="1752">
          <cell r="A1752" t="str">
            <v>IL&amp;FS ENGINEERING AND CONSTRUCTION COMPANY LTD</v>
          </cell>
          <cell r="B1752">
            <v>532907</v>
          </cell>
          <cell r="C1752" t="str">
            <v>IL&amp;FSENGG</v>
          </cell>
        </row>
        <row r="1753">
          <cell r="A1753" t="str">
            <v>IL&amp;FS INVESTMENT MANAGERS LTD</v>
          </cell>
          <cell r="B1753">
            <v>511208</v>
          </cell>
          <cell r="C1753" t="str">
            <v>IVC</v>
          </cell>
        </row>
        <row r="1754">
          <cell r="A1754" t="str">
            <v>IL&amp;FS TRANSPORTATION NETWORKS LTD</v>
          </cell>
          <cell r="B1754">
            <v>533177</v>
          </cell>
          <cell r="C1754" t="str">
            <v>IL&amp;FSTRANS</v>
          </cell>
        </row>
        <row r="1755">
          <cell r="A1755" t="str">
            <v>IM+ CAPITALS LTD</v>
          </cell>
          <cell r="B1755">
            <v>511628</v>
          </cell>
          <cell r="C1755" t="str">
            <v>Not Listed</v>
          </cell>
        </row>
        <row r="1756">
          <cell r="A1756" t="str">
            <v>IMC FINANCE LTD</v>
          </cell>
          <cell r="B1756">
            <v>505539</v>
          </cell>
          <cell r="C1756" t="str">
            <v>Not Listed</v>
          </cell>
        </row>
        <row r="1757">
          <cell r="A1757" t="str">
            <v>IMEC SERVICES LTD</v>
          </cell>
          <cell r="B1757">
            <v>513295</v>
          </cell>
          <cell r="C1757" t="str">
            <v>Not Listed</v>
          </cell>
        </row>
        <row r="1758">
          <cell r="A1758" t="str">
            <v>IMP POWERS LTD</v>
          </cell>
          <cell r="B1758">
            <v>517571</v>
          </cell>
          <cell r="C1758" t="str">
            <v>INDLMETER</v>
          </cell>
        </row>
        <row r="1759">
          <cell r="A1759" t="str">
            <v>IMPEX FERRO TECH LTD</v>
          </cell>
          <cell r="B1759">
            <v>532614</v>
          </cell>
          <cell r="C1759" t="str">
            <v>IMPEXFERRO</v>
          </cell>
        </row>
        <row r="1760">
          <cell r="A1760" t="str">
            <v>INANI MARBLES &amp; INDUSTRIES LTD</v>
          </cell>
          <cell r="B1760">
            <v>531129</v>
          </cell>
          <cell r="C1760" t="str">
            <v>Not Listed</v>
          </cell>
        </row>
        <row r="1761">
          <cell r="A1761" t="str">
            <v>INANI SECURITIES LTD</v>
          </cell>
          <cell r="B1761">
            <v>531672</v>
          </cell>
          <cell r="C1761" t="str">
            <v>Not Listed</v>
          </cell>
        </row>
        <row r="1762">
          <cell r="A1762" t="str">
            <v>INCAP LTD</v>
          </cell>
          <cell r="B1762">
            <v>517370</v>
          </cell>
          <cell r="C1762" t="str">
            <v>Not Listed</v>
          </cell>
        </row>
        <row r="1763">
          <cell r="A1763" t="str">
            <v>INCEPTUM ENTERPRISES LTD</v>
          </cell>
          <cell r="B1763">
            <v>538541</v>
          </cell>
          <cell r="C1763" t="str">
            <v>Not Listed</v>
          </cell>
        </row>
        <row r="1764">
          <cell r="A1764" t="str">
            <v>INCON ENGINEERS LTD</v>
          </cell>
          <cell r="B1764">
            <v>531594</v>
          </cell>
          <cell r="C1764" t="str">
            <v>Not Listed</v>
          </cell>
        </row>
        <row r="1765">
          <cell r="A1765" t="str">
            <v>IND BANK HOUSING LTD</v>
          </cell>
          <cell r="B1765">
            <v>523465</v>
          </cell>
          <cell r="C1765" t="str">
            <v>Not Listed</v>
          </cell>
        </row>
        <row r="1766">
          <cell r="A1766" t="str">
            <v>IND RENEWABLE ENERGY LTD</v>
          </cell>
          <cell r="B1766">
            <v>536709</v>
          </cell>
          <cell r="C1766" t="str">
            <v>Not Listed</v>
          </cell>
        </row>
        <row r="1767">
          <cell r="A1767" t="str">
            <v>INDAG RUBBER LTD</v>
          </cell>
          <cell r="B1767">
            <v>509162</v>
          </cell>
          <cell r="C1767" t="str">
            <v>Not Listed</v>
          </cell>
        </row>
        <row r="1768">
          <cell r="A1768" t="str">
            <v>IND-AGIV COMMERCE LTD</v>
          </cell>
          <cell r="B1768">
            <v>517077</v>
          </cell>
          <cell r="C1768" t="str">
            <v>Not Listed</v>
          </cell>
        </row>
        <row r="1769">
          <cell r="A1769" t="str">
            <v>INDBANK MERCHANT BANKING SERVICES LTD</v>
          </cell>
          <cell r="B1769">
            <v>511473</v>
          </cell>
          <cell r="C1769" t="str">
            <v>INDBANK</v>
          </cell>
        </row>
        <row r="1770">
          <cell r="A1770" t="str">
            <v>INDERGIRI FINANCE LTD</v>
          </cell>
          <cell r="B1770">
            <v>531505</v>
          </cell>
          <cell r="C1770" t="str">
            <v>Not Listed</v>
          </cell>
        </row>
        <row r="1771">
          <cell r="A1771" t="str">
            <v>INDIA CEMENTS CAPITAL LTD</v>
          </cell>
          <cell r="B1771">
            <v>511355</v>
          </cell>
          <cell r="C1771" t="str">
            <v>Not Listed</v>
          </cell>
        </row>
        <row r="1772">
          <cell r="A1772" t="str">
            <v>INDIA FINSEC LTD</v>
          </cell>
          <cell r="B1772">
            <v>535667</v>
          </cell>
          <cell r="C1772" t="str">
            <v>Not Listed</v>
          </cell>
        </row>
        <row r="1773">
          <cell r="A1773" t="str">
            <v>INDIA GELATINE &amp; CHEMICALS LTD</v>
          </cell>
          <cell r="B1773">
            <v>531253</v>
          </cell>
          <cell r="C1773" t="str">
            <v>Not Listed</v>
          </cell>
        </row>
        <row r="1774">
          <cell r="A1774" t="str">
            <v>INDIA GLYCOLS LTD</v>
          </cell>
          <cell r="B1774">
            <v>500201</v>
          </cell>
          <cell r="C1774" t="str">
            <v>INDIAGLYCO</v>
          </cell>
        </row>
        <row r="1775">
          <cell r="A1775" t="str">
            <v>INDIA GREEN REALITY LTD</v>
          </cell>
          <cell r="B1775">
            <v>540152</v>
          </cell>
          <cell r="C1775" t="str">
            <v>Not Listed</v>
          </cell>
        </row>
        <row r="1776">
          <cell r="A1776" t="str">
            <v>India Grid Trust</v>
          </cell>
          <cell r="B1776">
            <v>540565</v>
          </cell>
          <cell r="C1776" t="str">
            <v>INDIGRID</v>
          </cell>
        </row>
        <row r="1777">
          <cell r="A1777" t="str">
            <v>INDIA HOME LOAN LTD</v>
          </cell>
          <cell r="B1777">
            <v>530979</v>
          </cell>
          <cell r="C1777" t="str">
            <v>Not Listed</v>
          </cell>
        </row>
        <row r="1778">
          <cell r="A1778" t="str">
            <v>INDIA INFRASPACE LTD</v>
          </cell>
          <cell r="B1778">
            <v>531343</v>
          </cell>
          <cell r="C1778" t="str">
            <v>Not Listed</v>
          </cell>
        </row>
        <row r="1779">
          <cell r="A1779" t="str">
            <v>INDIA MOTOR PARTS AND ACCESSORIES LTD</v>
          </cell>
          <cell r="B1779">
            <v>590065</v>
          </cell>
          <cell r="C1779" t="str">
            <v>IMPAL</v>
          </cell>
        </row>
        <row r="1780">
          <cell r="A1780" t="str">
            <v>INDIA NIPPON ELECTRICALS LTD</v>
          </cell>
          <cell r="B1780">
            <v>532240</v>
          </cell>
          <cell r="C1780" t="str">
            <v>INDNIPPON</v>
          </cell>
        </row>
        <row r="1781">
          <cell r="A1781" t="str">
            <v>INDIA STEEL WORKS LTD</v>
          </cell>
          <cell r="B1781">
            <v>513361</v>
          </cell>
          <cell r="C1781" t="str">
            <v>Not Listed</v>
          </cell>
        </row>
        <row r="1782">
          <cell r="A1782" t="str">
            <v>INDIA TOURISM DEVELOPMENT CORPORATION LTD</v>
          </cell>
          <cell r="B1782">
            <v>532189</v>
          </cell>
          <cell r="C1782" t="str">
            <v>ITDC</v>
          </cell>
        </row>
        <row r="1783">
          <cell r="A1783" t="str">
            <v>INDIABULLS HOUSING FINANCE LTD</v>
          </cell>
          <cell r="B1783">
            <v>535789</v>
          </cell>
          <cell r="C1783" t="str">
            <v>IBULHSGFIN</v>
          </cell>
        </row>
        <row r="1784">
          <cell r="A1784" t="str">
            <v>INDIABULLS INTEGRATED SERVICES LTD</v>
          </cell>
          <cell r="B1784">
            <v>533520</v>
          </cell>
          <cell r="C1784" t="str">
            <v>IBULISL</v>
          </cell>
        </row>
        <row r="1785">
          <cell r="A1785" t="str">
            <v>INDIABULLS REAL ESTATE LTD</v>
          </cell>
          <cell r="B1785">
            <v>532832</v>
          </cell>
          <cell r="C1785" t="str">
            <v>IBREALEST</v>
          </cell>
        </row>
        <row r="1786">
          <cell r="A1786" t="str">
            <v>INDIABULLS VENTURES LTD</v>
          </cell>
          <cell r="B1786">
            <v>532960</v>
          </cell>
          <cell r="C1786" t="str">
            <v>IBVENTURES</v>
          </cell>
        </row>
        <row r="1787">
          <cell r="A1787" t="str">
            <v>INDIAN ACRYLICS LTD</v>
          </cell>
          <cell r="B1787">
            <v>514165</v>
          </cell>
          <cell r="C1787" t="str">
            <v>Not Listed</v>
          </cell>
        </row>
        <row r="1788">
          <cell r="A1788" t="str">
            <v>INDIAN BANK</v>
          </cell>
          <cell r="B1788">
            <v>532814</v>
          </cell>
          <cell r="C1788" t="str">
            <v>INDIANB</v>
          </cell>
        </row>
        <row r="1789">
          <cell r="A1789" t="str">
            <v>INDIAN BRIGHT STEEL CO LTD</v>
          </cell>
          <cell r="B1789">
            <v>504731</v>
          </cell>
          <cell r="C1789" t="str">
            <v>Not Listed</v>
          </cell>
        </row>
        <row r="1790">
          <cell r="A1790" t="str">
            <v>INDIAN CARD CLOTHING COMPANY LTD</v>
          </cell>
          <cell r="B1790">
            <v>509692</v>
          </cell>
          <cell r="C1790" t="str">
            <v>INDIANCARD</v>
          </cell>
        </row>
        <row r="1791">
          <cell r="A1791" t="str">
            <v>INDIAN ENERGY EXCHANGE LTD</v>
          </cell>
          <cell r="B1791">
            <v>540750</v>
          </cell>
          <cell r="C1791" t="str">
            <v>IEX</v>
          </cell>
        </row>
        <row r="1792">
          <cell r="A1792" t="str">
            <v>INDIAN EXTRACTIONS LTD</v>
          </cell>
          <cell r="B1792">
            <v>524614</v>
          </cell>
          <cell r="C1792" t="str">
            <v>Not Listed</v>
          </cell>
        </row>
        <row r="1793">
          <cell r="A1793" t="str">
            <v>INDIAN HUME PIPE COMPANY LTD</v>
          </cell>
          <cell r="B1793">
            <v>504741</v>
          </cell>
          <cell r="C1793" t="str">
            <v>INDIANHUME</v>
          </cell>
        </row>
        <row r="1794">
          <cell r="A1794" t="str">
            <v>INDIAN INFOTECH &amp; SOFTWARE LTD</v>
          </cell>
          <cell r="B1794">
            <v>509051</v>
          </cell>
          <cell r="C1794" t="str">
            <v>Not Listed</v>
          </cell>
        </row>
        <row r="1795">
          <cell r="A1795" t="str">
            <v>INDIAN LINK CHAIN MANUFACTURES LTD</v>
          </cell>
          <cell r="B1795">
            <v>504746</v>
          </cell>
          <cell r="C1795" t="str">
            <v>Not Listed</v>
          </cell>
        </row>
        <row r="1796">
          <cell r="A1796" t="str">
            <v>INDIAN METALS &amp; FERRO ALLOYS LTD</v>
          </cell>
          <cell r="B1796">
            <v>533047</v>
          </cell>
          <cell r="C1796" t="str">
            <v>IMFA</v>
          </cell>
        </row>
        <row r="1797">
          <cell r="A1797" t="str">
            <v>INDIAN OIL CORPORATION LTD</v>
          </cell>
          <cell r="B1797">
            <v>530965</v>
          </cell>
          <cell r="C1797" t="str">
            <v>IOC</v>
          </cell>
        </row>
        <row r="1798">
          <cell r="A1798" t="str">
            <v>INDIAN OVERSEAS BANK</v>
          </cell>
          <cell r="B1798">
            <v>532388</v>
          </cell>
          <cell r="C1798" t="str">
            <v>IOB</v>
          </cell>
        </row>
        <row r="1799">
          <cell r="A1799" t="str">
            <v>INDIAN SUCROSE LTD</v>
          </cell>
          <cell r="B1799">
            <v>500319</v>
          </cell>
          <cell r="C1799" t="str">
            <v>Not Listed</v>
          </cell>
        </row>
        <row r="1800">
          <cell r="A1800" t="str">
            <v>INDIAN TERRAIN FASHIONS LTD</v>
          </cell>
          <cell r="B1800">
            <v>533329</v>
          </cell>
          <cell r="C1800" t="str">
            <v>INDTERRAIN</v>
          </cell>
        </row>
        <row r="1801">
          <cell r="A1801" t="str">
            <v>INDIAN TONERS &amp; DEVELOPERS LTD</v>
          </cell>
          <cell r="B1801">
            <v>523586</v>
          </cell>
          <cell r="C1801" t="str">
            <v>Not Listed</v>
          </cell>
        </row>
        <row r="1802">
          <cell r="A1802" t="str">
            <v>INDIANIVESH LTD</v>
          </cell>
          <cell r="B1802">
            <v>501700</v>
          </cell>
          <cell r="C1802" t="str">
            <v>Not Listed</v>
          </cell>
        </row>
        <row r="1803">
          <cell r="A1803" t="str">
            <v>INDITRADE CAPITAL LTD</v>
          </cell>
          <cell r="B1803">
            <v>532745</v>
          </cell>
          <cell r="C1803" t="str">
            <v>Not Listed</v>
          </cell>
        </row>
        <row r="1804">
          <cell r="A1804" t="str">
            <v>INDO AMINES LTD</v>
          </cell>
          <cell r="B1804">
            <v>524648</v>
          </cell>
          <cell r="C1804" t="str">
            <v>Not Listed</v>
          </cell>
        </row>
        <row r="1805">
          <cell r="A1805" t="str">
            <v>INDO ASIAN FINANCE LTD</v>
          </cell>
          <cell r="B1805">
            <v>530747</v>
          </cell>
          <cell r="C1805" t="str">
            <v>Not Listed</v>
          </cell>
        </row>
        <row r="1806">
          <cell r="A1806" t="str">
            <v>INDO BORAX &amp; CHEMICALS LTD</v>
          </cell>
          <cell r="B1806">
            <v>524342</v>
          </cell>
          <cell r="C1806" t="str">
            <v>Not Listed</v>
          </cell>
        </row>
        <row r="1807">
          <cell r="A1807" t="str">
            <v>INDO COTSPIN LTD</v>
          </cell>
          <cell r="B1807">
            <v>538838</v>
          </cell>
          <cell r="C1807" t="str">
            <v>Not Listed</v>
          </cell>
        </row>
        <row r="1808">
          <cell r="A1808" t="str">
            <v>INDO COUNT INDUSTRIES LTD</v>
          </cell>
          <cell r="B1808">
            <v>521016</v>
          </cell>
          <cell r="C1808" t="str">
            <v>ICIL</v>
          </cell>
        </row>
        <row r="1809">
          <cell r="A1809" t="str">
            <v>INDO CREDIT CAPITAL LTD</v>
          </cell>
          <cell r="B1809">
            <v>526887</v>
          </cell>
          <cell r="C1809" t="str">
            <v>Not Listed</v>
          </cell>
        </row>
        <row r="1810">
          <cell r="A1810" t="str">
            <v>INDO EURO INDCHEM LTD</v>
          </cell>
          <cell r="B1810">
            <v>524458</v>
          </cell>
          <cell r="C1810" t="str">
            <v>Not Listed</v>
          </cell>
        </row>
        <row r="1811">
          <cell r="A1811" t="str">
            <v>INDO GULF INDUSTRIES LTD</v>
          </cell>
          <cell r="B1811">
            <v>506945</v>
          </cell>
          <cell r="C1811" t="str">
            <v>Not Listed</v>
          </cell>
        </row>
        <row r="1812">
          <cell r="A1812" t="str">
            <v>INDO PACIFIC PROJECTS LTD</v>
          </cell>
          <cell r="B1812">
            <v>531565</v>
          </cell>
          <cell r="C1812" t="str">
            <v>Not Listed</v>
          </cell>
        </row>
        <row r="1813">
          <cell r="A1813" t="str">
            <v>INDO RAMA SYNTHETICS (INDIA) LTD</v>
          </cell>
          <cell r="B1813">
            <v>500207</v>
          </cell>
          <cell r="C1813" t="str">
            <v>INDORAMA</v>
          </cell>
        </row>
        <row r="1814">
          <cell r="A1814" t="str">
            <v>INDO RAMA SYNTHETICS INDIA LTD</v>
          </cell>
          <cell r="B1814">
            <v>500207</v>
          </cell>
          <cell r="C1814" t="str">
            <v>INDORAMA</v>
          </cell>
        </row>
        <row r="1815">
          <cell r="A1815" t="str">
            <v>INDO TECH TRANSFORMERS LTD</v>
          </cell>
          <cell r="B1815">
            <v>532717</v>
          </cell>
          <cell r="C1815" t="str">
            <v>INDOTECH</v>
          </cell>
        </row>
        <row r="1816">
          <cell r="A1816" t="str">
            <v>INDO THAI SECURITIES LTD</v>
          </cell>
          <cell r="B1816">
            <v>533676</v>
          </cell>
          <cell r="C1816" t="str">
            <v>INDOTHAI</v>
          </cell>
        </row>
        <row r="1817">
          <cell r="A1817" t="str">
            <v>INDO US BIO-TECH LTD</v>
          </cell>
          <cell r="B1817">
            <v>541304</v>
          </cell>
          <cell r="C1817" t="str">
            <v>Not Listed</v>
          </cell>
        </row>
        <row r="1818">
          <cell r="A1818" t="str">
            <v>INDO-CITY INFOTECH LTD</v>
          </cell>
          <cell r="B1818">
            <v>532100</v>
          </cell>
          <cell r="C1818" t="str">
            <v>Not Listed</v>
          </cell>
        </row>
        <row r="1819">
          <cell r="A1819" t="str">
            <v>INDOCO REMEDIES LTD</v>
          </cell>
          <cell r="B1819">
            <v>532612</v>
          </cell>
          <cell r="C1819" t="str">
            <v>INDOCO</v>
          </cell>
        </row>
        <row r="1820">
          <cell r="A1820" t="str">
            <v>INDO-GLOBAL ENTERPRISES LTD</v>
          </cell>
          <cell r="B1820">
            <v>539433</v>
          </cell>
          <cell r="C1820" t="str">
            <v>Not Listed</v>
          </cell>
        </row>
        <row r="1821">
          <cell r="A1821" t="str">
            <v>INDOKEM LTD</v>
          </cell>
          <cell r="B1821">
            <v>504092</v>
          </cell>
          <cell r="C1821" t="str">
            <v>Not Listed</v>
          </cell>
        </row>
        <row r="1822">
          <cell r="A1822" t="str">
            <v>INDO-NATIONAL LTD</v>
          </cell>
          <cell r="B1822">
            <v>504058</v>
          </cell>
          <cell r="C1822" t="str">
            <v>NIPPOBATRY</v>
          </cell>
        </row>
        <row r="1823">
          <cell r="A1823" t="str">
            <v>INDOSOLAR LTD</v>
          </cell>
          <cell r="B1823">
            <v>533257</v>
          </cell>
          <cell r="C1823" t="str">
            <v>INDOSOLAR</v>
          </cell>
        </row>
        <row r="1824">
          <cell r="A1824" t="str">
            <v>INDOSTAR CAPITAL FINANCE LTD</v>
          </cell>
          <cell r="B1824">
            <v>541336</v>
          </cell>
          <cell r="C1824" t="str">
            <v>INDOSTAR</v>
          </cell>
        </row>
        <row r="1825">
          <cell r="A1825" t="str">
            <v>INDOVATION TECHNOLOGIES LTD</v>
          </cell>
          <cell r="B1825">
            <v>521005</v>
          </cell>
          <cell r="C1825" t="str">
            <v>Not Listed</v>
          </cell>
        </row>
        <row r="1826">
          <cell r="A1826" t="str">
            <v>INDOWIND ENERGY LTD</v>
          </cell>
          <cell r="B1826">
            <v>532894</v>
          </cell>
          <cell r="C1826" t="str">
            <v>INDOWIND</v>
          </cell>
        </row>
        <row r="1827">
          <cell r="A1827" t="str">
            <v>INDRA INDUSTRIES LTD</v>
          </cell>
          <cell r="B1827">
            <v>539175</v>
          </cell>
          <cell r="C1827" t="str">
            <v>Not Listed</v>
          </cell>
        </row>
        <row r="1828">
          <cell r="A1828" t="str">
            <v>INDRAPRASTHA GAS LTD</v>
          </cell>
          <cell r="B1828">
            <v>532514</v>
          </cell>
          <cell r="C1828" t="str">
            <v>IGL</v>
          </cell>
        </row>
        <row r="1829">
          <cell r="A1829" t="str">
            <v>INDRAPRASTHA MEDICAL CORPORATION LTD</v>
          </cell>
          <cell r="B1829">
            <v>532150</v>
          </cell>
          <cell r="C1829" t="str">
            <v>INDRAMEDCO</v>
          </cell>
        </row>
        <row r="1830">
          <cell r="A1830" t="str">
            <v>INDRAYANI BIOTECH LTD.</v>
          </cell>
          <cell r="B1830">
            <v>526445</v>
          </cell>
          <cell r="C1830" t="str">
            <v>INDRANIB</v>
          </cell>
        </row>
        <row r="1831">
          <cell r="A1831" t="str">
            <v>INDSIL HYDRO POWER AND MANGANESE LTD</v>
          </cell>
          <cell r="B1831">
            <v>522165</v>
          </cell>
          <cell r="C1831" t="str">
            <v>Not Listed</v>
          </cell>
        </row>
        <row r="1832">
          <cell r="A1832" t="str">
            <v>INDSOYA LTD</v>
          </cell>
          <cell r="B1832">
            <v>503639</v>
          </cell>
          <cell r="C1832" t="str">
            <v>Not Listed</v>
          </cell>
        </row>
        <row r="1833">
          <cell r="A1833" t="str">
            <v>IND-SWIFT LABORATORIES LTD</v>
          </cell>
          <cell r="B1833">
            <v>532305</v>
          </cell>
          <cell r="C1833" t="str">
            <v>INDSWFTLAB</v>
          </cell>
        </row>
        <row r="1834">
          <cell r="A1834" t="str">
            <v>IND-SWIFT LTD</v>
          </cell>
          <cell r="B1834">
            <v>524652</v>
          </cell>
          <cell r="C1834" t="str">
            <v>INDSWFTLTD</v>
          </cell>
        </row>
        <row r="1835">
          <cell r="A1835" t="str">
            <v>INDUCTO STEEL LTD</v>
          </cell>
          <cell r="B1835">
            <v>532001</v>
          </cell>
          <cell r="C1835" t="str">
            <v>Not Listed</v>
          </cell>
        </row>
        <row r="1836">
          <cell r="A1836" t="str">
            <v>INDUS FINANCE LTD</v>
          </cell>
          <cell r="B1836">
            <v>531841</v>
          </cell>
          <cell r="C1836" t="str">
            <v>Not Listed</v>
          </cell>
        </row>
        <row r="1837">
          <cell r="A1837" t="str">
            <v>INDUSIND BANK LTD</v>
          </cell>
          <cell r="B1837">
            <v>532187</v>
          </cell>
          <cell r="C1837" t="str">
            <v>INDUSINDBK</v>
          </cell>
        </row>
        <row r="1838">
          <cell r="A1838" t="str">
            <v>INDUSTRIAL &amp; PRUDENTIAL INVESTMENTS CO LTD</v>
          </cell>
          <cell r="B1838">
            <v>501298</v>
          </cell>
          <cell r="C1838" t="str">
            <v>Not Listed</v>
          </cell>
        </row>
        <row r="1839">
          <cell r="A1839" t="str">
            <v>INDUSTRIAL INVESTMENT TRUST LTD</v>
          </cell>
          <cell r="B1839">
            <v>501295</v>
          </cell>
          <cell r="C1839" t="str">
            <v>IITL</v>
          </cell>
        </row>
        <row r="1840">
          <cell r="A1840" t="str">
            <v>INEOS STYROLUTION (INDIA) LTD</v>
          </cell>
          <cell r="B1840">
            <v>506222</v>
          </cell>
          <cell r="C1840" t="str">
            <v>INEOSSTYRO</v>
          </cell>
        </row>
        <row r="1841">
          <cell r="A1841" t="str">
            <v>INEOS STYROLUTION INDIA LTD</v>
          </cell>
          <cell r="B1841">
            <v>506222</v>
          </cell>
          <cell r="C1841" t="str">
            <v>INEOSSTYRO</v>
          </cell>
        </row>
        <row r="1842">
          <cell r="A1842" t="str">
            <v>INERTIA STEEL LTD</v>
          </cell>
          <cell r="B1842">
            <v>512025</v>
          </cell>
          <cell r="C1842" t="str">
            <v>Not Listed</v>
          </cell>
        </row>
        <row r="1843">
          <cell r="A1843" t="str">
            <v>INFIBEAM AVENUES LTD</v>
          </cell>
          <cell r="B1843">
            <v>539807</v>
          </cell>
          <cell r="C1843" t="str">
            <v>INFIBEAM</v>
          </cell>
        </row>
        <row r="1844">
          <cell r="A1844" t="str">
            <v>INFINITE COMPUTER SOLUTIONS (INDIA) LTD</v>
          </cell>
          <cell r="B1844">
            <v>533154</v>
          </cell>
          <cell r="C1844" t="str">
            <v>INFINITE</v>
          </cell>
        </row>
        <row r="1845">
          <cell r="A1845" t="str">
            <v>INFINITE COMPUTER SOLUTIONS INDIA LTD</v>
          </cell>
          <cell r="B1845">
            <v>533154</v>
          </cell>
          <cell r="C1845" t="str">
            <v>INFINITE</v>
          </cell>
        </row>
        <row r="1846">
          <cell r="A1846" t="str">
            <v>INFLAME APPLIANCES LTD</v>
          </cell>
          <cell r="B1846">
            <v>541083</v>
          </cell>
          <cell r="C1846" t="str">
            <v>Not Listed</v>
          </cell>
        </row>
        <row r="1847">
          <cell r="A1847" t="str">
            <v>INFO EDGE (INDIA) LTD</v>
          </cell>
          <cell r="B1847">
            <v>532777</v>
          </cell>
          <cell r="C1847" t="str">
            <v>NAUKRI</v>
          </cell>
        </row>
        <row r="1848">
          <cell r="A1848" t="str">
            <v>INFO EDGE INDIA LTD</v>
          </cell>
          <cell r="B1848">
            <v>532777</v>
          </cell>
          <cell r="C1848" t="str">
            <v>NAUKRI</v>
          </cell>
        </row>
        <row r="1849">
          <cell r="A1849" t="str">
            <v>INFOBEANS TECHNOLOGIES LTD</v>
          </cell>
          <cell r="B1849" t="str">
            <v>Not Listed</v>
          </cell>
          <cell r="C1849" t="str">
            <v>INFOBEAN</v>
          </cell>
        </row>
        <row r="1850">
          <cell r="A1850" t="str">
            <v>INFORMED TECHNOLOGIES (INDIA) LTD</v>
          </cell>
          <cell r="B1850">
            <v>504810</v>
          </cell>
          <cell r="C1850" t="str">
            <v>Not Listed</v>
          </cell>
        </row>
        <row r="1851">
          <cell r="A1851" t="str">
            <v>INFORMED TECHNOLOGIES INDIA LTD</v>
          </cell>
          <cell r="B1851">
            <v>504810</v>
          </cell>
          <cell r="C1851" t="str">
            <v>Not Listed</v>
          </cell>
        </row>
        <row r="1852">
          <cell r="A1852" t="str">
            <v>INFOSYS LTD</v>
          </cell>
          <cell r="B1852">
            <v>500209</v>
          </cell>
          <cell r="C1852" t="str">
            <v>INFY</v>
          </cell>
        </row>
        <row r="1853">
          <cell r="A1853" t="str">
            <v>INFRA INDUSTRIES LTD</v>
          </cell>
          <cell r="B1853">
            <v>530777</v>
          </cell>
          <cell r="C1853" t="str">
            <v>Not Listed</v>
          </cell>
        </row>
        <row r="1854">
          <cell r="A1854" t="str">
            <v>INFRONICS SYSTEMS LTD</v>
          </cell>
          <cell r="B1854">
            <v>537985</v>
          </cell>
          <cell r="C1854" t="str">
            <v>Not Listed</v>
          </cell>
        </row>
        <row r="1855">
          <cell r="A1855" t="str">
            <v>INGERSOLL RAND (INDIA) LTD</v>
          </cell>
          <cell r="B1855">
            <v>500210</v>
          </cell>
          <cell r="C1855" t="str">
            <v>INGERRAND</v>
          </cell>
        </row>
        <row r="1856">
          <cell r="A1856" t="str">
            <v>INGERSOLL RAND INDIA LTD</v>
          </cell>
          <cell r="B1856">
            <v>500210</v>
          </cell>
          <cell r="C1856" t="str">
            <v>INGERRAND</v>
          </cell>
        </row>
        <row r="1857">
          <cell r="A1857" t="str">
            <v>INLAND PRINTERS LTD</v>
          </cell>
          <cell r="B1857">
            <v>530787</v>
          </cell>
          <cell r="C1857" t="str">
            <v>Not Listed</v>
          </cell>
        </row>
        <row r="1858">
          <cell r="A1858" t="str">
            <v>INNOCORP LTD.</v>
          </cell>
          <cell r="B1858">
            <v>531929</v>
          </cell>
          <cell r="C1858" t="str">
            <v>INNOCORP</v>
          </cell>
        </row>
        <row r="1859">
          <cell r="A1859" t="str">
            <v>INNOVANA THINKLABS LTD</v>
          </cell>
          <cell r="B1859" t="str">
            <v>Not Listed</v>
          </cell>
          <cell r="C1859" t="str">
            <v>INNOVANA</v>
          </cell>
        </row>
        <row r="1860">
          <cell r="A1860" t="str">
            <v>INNOVASSYNTH INVESTMENTS LTD</v>
          </cell>
          <cell r="B1860">
            <v>533315</v>
          </cell>
          <cell r="C1860" t="str">
            <v>Not Listed</v>
          </cell>
        </row>
        <row r="1861">
          <cell r="A1861" t="str">
            <v>INNOVATION SOFTWARE EXPORTS LTD</v>
          </cell>
          <cell r="B1861">
            <v>517433</v>
          </cell>
          <cell r="C1861" t="str">
            <v>Not Listed</v>
          </cell>
        </row>
        <row r="1862">
          <cell r="A1862" t="str">
            <v>INNOVATIVE IDEALS AND SERVICES (INDIA) LTD</v>
          </cell>
          <cell r="B1862">
            <v>541983</v>
          </cell>
          <cell r="C1862" t="str">
            <v>Not Listed</v>
          </cell>
        </row>
        <row r="1863">
          <cell r="A1863" t="str">
            <v>INNOVATIVE IDEALS AND SERVICES INDIA LTD</v>
          </cell>
          <cell r="B1863">
            <v>541983</v>
          </cell>
          <cell r="C1863" t="str">
            <v>Not Listed</v>
          </cell>
        </row>
        <row r="1864">
          <cell r="A1864" t="str">
            <v>INNOVATIVE TECH PACK LTD</v>
          </cell>
          <cell r="B1864">
            <v>523840</v>
          </cell>
          <cell r="C1864" t="str">
            <v>Not Listed</v>
          </cell>
        </row>
        <row r="1865">
          <cell r="A1865" t="str">
            <v>INNOVATIVE TYRES AND TUBES LTD</v>
          </cell>
          <cell r="B1865" t="str">
            <v>Not Listed</v>
          </cell>
          <cell r="C1865" t="str">
            <v>INNOVATIVE</v>
          </cell>
        </row>
        <row r="1866">
          <cell r="A1866" t="str">
            <v>INNOVATORS FACADE SYSTEMS LTD</v>
          </cell>
          <cell r="B1866">
            <v>541353</v>
          </cell>
          <cell r="C1866" t="str">
            <v>Not Listed</v>
          </cell>
        </row>
        <row r="1867">
          <cell r="A1867" t="str">
            <v>INOX LEISURE LTD</v>
          </cell>
          <cell r="B1867">
            <v>532706</v>
          </cell>
          <cell r="C1867" t="str">
            <v>INOXLEISUR</v>
          </cell>
        </row>
        <row r="1868">
          <cell r="A1868" t="str">
            <v>INOX WIND LTD</v>
          </cell>
          <cell r="B1868">
            <v>539083</v>
          </cell>
          <cell r="C1868" t="str">
            <v>INOXWIND</v>
          </cell>
        </row>
        <row r="1869">
          <cell r="A1869" t="str">
            <v>INSECTICIDES (INDIA) LTD</v>
          </cell>
          <cell r="B1869">
            <v>532851</v>
          </cell>
          <cell r="C1869" t="str">
            <v>INSECTICID</v>
          </cell>
        </row>
        <row r="1870">
          <cell r="A1870" t="str">
            <v>INSECTICIDES INDIA LTD</v>
          </cell>
          <cell r="B1870">
            <v>532851</v>
          </cell>
          <cell r="C1870" t="str">
            <v>INSECTICID</v>
          </cell>
        </row>
        <row r="1871">
          <cell r="A1871" t="str">
            <v>INSILCO LTD</v>
          </cell>
          <cell r="B1871">
            <v>500211</v>
          </cell>
          <cell r="C1871" t="str">
            <v>Not Listed</v>
          </cell>
        </row>
        <row r="1872">
          <cell r="A1872" t="str">
            <v>INSPIRISYS SOLUTIONS LTD</v>
          </cell>
          <cell r="B1872">
            <v>532774</v>
          </cell>
          <cell r="C1872" t="str">
            <v>INSPIRISYS</v>
          </cell>
        </row>
        <row r="1873">
          <cell r="A1873" t="str">
            <v>INTEC CAPITAL LTD</v>
          </cell>
          <cell r="B1873">
            <v>526871</v>
          </cell>
          <cell r="C1873" t="str">
            <v>Not Listed</v>
          </cell>
        </row>
        <row r="1874">
          <cell r="A1874" t="str">
            <v>INTEGRA CAPITAL MANAGEMENT LTD.</v>
          </cell>
          <cell r="B1874">
            <v>531314</v>
          </cell>
          <cell r="C1874" t="str">
            <v>INTCAPM</v>
          </cell>
        </row>
        <row r="1875">
          <cell r="A1875" t="str">
            <v>INTEGRA ENGINEERING (INDIA) LTD</v>
          </cell>
          <cell r="B1875">
            <v>505358</v>
          </cell>
          <cell r="C1875" t="str">
            <v>Not Listed</v>
          </cell>
        </row>
        <row r="1876">
          <cell r="A1876" t="str">
            <v>INTEGRA ENGINEERING INDIA LTD</v>
          </cell>
          <cell r="B1876">
            <v>505358</v>
          </cell>
          <cell r="C1876" t="str">
            <v>Not Listed</v>
          </cell>
        </row>
        <row r="1877">
          <cell r="A1877" t="str">
            <v>INTEGRA GARMENTS AND TEXTILES LTD</v>
          </cell>
          <cell r="B1877">
            <v>535958</v>
          </cell>
          <cell r="C1877" t="str">
            <v>INTEGRA</v>
          </cell>
        </row>
        <row r="1878">
          <cell r="A1878" t="str">
            <v>INTEGRA SWITCHGEAR LTD</v>
          </cell>
          <cell r="B1878">
            <v>517423</v>
          </cell>
          <cell r="C1878" t="str">
            <v>Not Listed</v>
          </cell>
        </row>
        <row r="1879">
          <cell r="A1879" t="str">
            <v>INTEGRA TELECOMMUNICATION &amp; SOFTWARE LTD</v>
          </cell>
          <cell r="B1879">
            <v>536868</v>
          </cell>
          <cell r="C1879" t="str">
            <v>Not Listed</v>
          </cell>
        </row>
        <row r="1880">
          <cell r="A1880" t="str">
            <v>INTEGRATED CAPITAL SERVICES LTD</v>
          </cell>
          <cell r="B1880">
            <v>539149</v>
          </cell>
          <cell r="C1880" t="str">
            <v>Not Listed</v>
          </cell>
        </row>
        <row r="1881">
          <cell r="A1881" t="str">
            <v>INTEGRATED FINANCIAL SERVICES LTD</v>
          </cell>
          <cell r="B1881">
            <v>500212</v>
          </cell>
          <cell r="C1881" t="str">
            <v>Not Listed</v>
          </cell>
        </row>
        <row r="1882">
          <cell r="A1882" t="str">
            <v>INTEGRATED PROTEINS LTD</v>
          </cell>
          <cell r="B1882">
            <v>519606</v>
          </cell>
          <cell r="C1882" t="str">
            <v>Not Listed</v>
          </cell>
        </row>
        <row r="1883">
          <cell r="A1883" t="str">
            <v>INTEGRATED TECHNOLOGIES LTD</v>
          </cell>
          <cell r="B1883">
            <v>531889</v>
          </cell>
          <cell r="C1883" t="str">
            <v>Not Listed</v>
          </cell>
        </row>
        <row r="1884">
          <cell r="A1884" t="str">
            <v>INTEGRATED THERMOPLASTICS LTD</v>
          </cell>
          <cell r="B1884">
            <v>530921</v>
          </cell>
          <cell r="C1884" t="str">
            <v>Not Listed</v>
          </cell>
        </row>
        <row r="1885">
          <cell r="A1885" t="str">
            <v>INTELLECT DESIGN ARENA LTD</v>
          </cell>
          <cell r="B1885">
            <v>538835</v>
          </cell>
          <cell r="C1885" t="str">
            <v>INTELLECT</v>
          </cell>
        </row>
        <row r="1886">
          <cell r="A1886" t="str">
            <v>INTELLIVATE CAPITAL ADVISORS LTD</v>
          </cell>
          <cell r="B1886">
            <v>534732</v>
          </cell>
          <cell r="C1886" t="str">
            <v>Not Listed</v>
          </cell>
        </row>
        <row r="1887">
          <cell r="A1887" t="str">
            <v>INTELLIVATE CAPITAL VENTURES LTD</v>
          </cell>
          <cell r="B1887">
            <v>506134</v>
          </cell>
          <cell r="C1887" t="str">
            <v>Not Listed</v>
          </cell>
        </row>
        <row r="1888">
          <cell r="A1888" t="str">
            <v>INTENSE TECHNOLOGIES LTD</v>
          </cell>
          <cell r="B1888">
            <v>532326</v>
          </cell>
          <cell r="C1888" t="str">
            <v>INTENTECH</v>
          </cell>
        </row>
        <row r="1889">
          <cell r="A1889" t="str">
            <v>INTER GLOBE FINANCE LTD</v>
          </cell>
          <cell r="B1889">
            <v>511391</v>
          </cell>
          <cell r="C1889" t="str">
            <v>Not Listed</v>
          </cell>
        </row>
        <row r="1890">
          <cell r="A1890" t="str">
            <v>INTER STATE OIL CARRIER LTD</v>
          </cell>
          <cell r="B1890">
            <v>530259</v>
          </cell>
          <cell r="C1890" t="str">
            <v>Not Listed</v>
          </cell>
        </row>
        <row r="1891">
          <cell r="A1891" t="str">
            <v>INTERACTIVE FINANCIAL SERVICES LTD</v>
          </cell>
          <cell r="B1891">
            <v>539692</v>
          </cell>
          <cell r="C1891" t="str">
            <v>Not Listed</v>
          </cell>
        </row>
        <row r="1892">
          <cell r="A1892" t="str">
            <v>INTERGLOBE AVIATION LTD</v>
          </cell>
          <cell r="B1892">
            <v>539448</v>
          </cell>
          <cell r="C1892" t="str">
            <v>INDIGO</v>
          </cell>
        </row>
        <row r="1893">
          <cell r="A1893" t="str">
            <v>INTERLINK PETROLEUM LTD</v>
          </cell>
          <cell r="B1893">
            <v>526512</v>
          </cell>
          <cell r="C1893" t="str">
            <v>Not Listed</v>
          </cell>
        </row>
        <row r="1894">
          <cell r="A1894" t="str">
            <v>INTERNATIONAL COMBUSTION (INDIA) LTD</v>
          </cell>
          <cell r="B1894">
            <v>505737</v>
          </cell>
          <cell r="C1894" t="str">
            <v>Not Listed</v>
          </cell>
        </row>
        <row r="1895">
          <cell r="A1895" t="str">
            <v>INTERNATIONAL COMBUSTION INDIA LTD</v>
          </cell>
          <cell r="B1895">
            <v>505737</v>
          </cell>
          <cell r="C1895" t="str">
            <v>Not Listed</v>
          </cell>
        </row>
        <row r="1896">
          <cell r="A1896" t="str">
            <v>INTERNATIONAL CONSTRUCTIONS LTD</v>
          </cell>
          <cell r="B1896" t="str">
            <v>Not Listed</v>
          </cell>
          <cell r="C1896" t="str">
            <v>SUBCAPCITY</v>
          </cell>
        </row>
        <row r="1897">
          <cell r="A1897" t="str">
            <v>INTERNATIONAL CONVEYORS LTD</v>
          </cell>
          <cell r="B1897">
            <v>509709</v>
          </cell>
          <cell r="C1897" t="str">
            <v>Not Listed</v>
          </cell>
        </row>
        <row r="1898">
          <cell r="A1898" t="str">
            <v>INTERNATIONAL DATA MANAGEMENT LTD</v>
          </cell>
          <cell r="B1898">
            <v>517044</v>
          </cell>
          <cell r="C1898" t="str">
            <v>Not Listed</v>
          </cell>
        </row>
        <row r="1899">
          <cell r="A1899" t="str">
            <v>INTERNATIONAL HOUSING FINANCE CORPORATION LTD</v>
          </cell>
          <cell r="B1899">
            <v>530781</v>
          </cell>
          <cell r="C1899" t="str">
            <v>Not Listed</v>
          </cell>
        </row>
        <row r="1900">
          <cell r="A1900" t="str">
            <v>INTERNATIONAL PAPER APPM LTD</v>
          </cell>
          <cell r="B1900">
            <v>502330</v>
          </cell>
          <cell r="C1900" t="str">
            <v>IPAPPM</v>
          </cell>
        </row>
        <row r="1901">
          <cell r="A1901" t="str">
            <v>INTERNATIONAL TRAVEL HOUSE LTD</v>
          </cell>
          <cell r="B1901">
            <v>500213</v>
          </cell>
          <cell r="C1901" t="str">
            <v>Not Listed</v>
          </cell>
        </row>
        <row r="1902">
          <cell r="A1902" t="str">
            <v>INTERWORLD DIGITAL LTD</v>
          </cell>
          <cell r="B1902">
            <v>532072</v>
          </cell>
          <cell r="C1902" t="str">
            <v>Not Listed</v>
          </cell>
        </row>
        <row r="1903">
          <cell r="A1903" t="str">
            <v>INTRASOFT TECHNOLOGIES LTD</v>
          </cell>
          <cell r="B1903">
            <v>533181</v>
          </cell>
          <cell r="C1903" t="str">
            <v>ISFT</v>
          </cell>
        </row>
        <row r="1904">
          <cell r="A1904" t="str">
            <v>INVENTURE GROWTH &amp; SECURITIES LTD</v>
          </cell>
          <cell r="B1904">
            <v>533506</v>
          </cell>
          <cell r="C1904" t="str">
            <v>INVENTURE</v>
          </cell>
        </row>
        <row r="1905">
          <cell r="A1905" t="str">
            <v>Invesco India Gold Exchange Traded Fund</v>
          </cell>
          <cell r="B1905">
            <v>533172</v>
          </cell>
          <cell r="C1905" t="str">
            <v>IVZINGOLD</v>
          </cell>
        </row>
        <row r="1906">
          <cell r="A1906" t="str">
            <v>INVESTMENT &amp; PRECISION CASTINGS LTD</v>
          </cell>
          <cell r="B1906">
            <v>504786</v>
          </cell>
          <cell r="C1906" t="str">
            <v>Not Listed</v>
          </cell>
        </row>
        <row r="1907">
          <cell r="A1907" t="str">
            <v>INVICTA MEDITEK LTD</v>
          </cell>
          <cell r="B1907">
            <v>523844</v>
          </cell>
          <cell r="C1907" t="str">
            <v>Not Listed</v>
          </cell>
        </row>
        <row r="1908">
          <cell r="A1908" t="str">
            <v>IO SYSTEM LTD</v>
          </cell>
          <cell r="B1908">
            <v>523752</v>
          </cell>
          <cell r="C1908" t="str">
            <v>Not Listed</v>
          </cell>
        </row>
        <row r="1909">
          <cell r="A1909" t="str">
            <v>IOL CHEMICALS AND PHARMACEUTICALS LTD</v>
          </cell>
          <cell r="B1909">
            <v>524164</v>
          </cell>
          <cell r="C1909" t="str">
            <v>IOLCP</v>
          </cell>
        </row>
        <row r="1910">
          <cell r="A1910" t="str">
            <v>ION EXCHANGE (INDIA) LTD</v>
          </cell>
          <cell r="B1910">
            <v>500214</v>
          </cell>
          <cell r="C1910" t="str">
            <v>Not Listed</v>
          </cell>
        </row>
        <row r="1911">
          <cell r="A1911" t="str">
            <v>ION EXCHANGE INDIA LTD</v>
          </cell>
          <cell r="B1911">
            <v>500214</v>
          </cell>
          <cell r="C1911" t="str">
            <v>Not Listed</v>
          </cell>
        </row>
        <row r="1912">
          <cell r="A1912" t="str">
            <v>IP RINGS LTD</v>
          </cell>
          <cell r="B1912">
            <v>523638</v>
          </cell>
          <cell r="C1912" t="str">
            <v>Not Listed</v>
          </cell>
        </row>
        <row r="1913">
          <cell r="A1913" t="str">
            <v>IPCA LABORATORIES LTD</v>
          </cell>
          <cell r="B1913">
            <v>524494</v>
          </cell>
          <cell r="C1913" t="str">
            <v>IPCALAB</v>
          </cell>
        </row>
        <row r="1914">
          <cell r="A1914" t="str">
            <v>I-POWER SOLUTIONS (INDIA) LTD</v>
          </cell>
          <cell r="B1914">
            <v>512405</v>
          </cell>
          <cell r="C1914" t="str">
            <v>Not Listed</v>
          </cell>
        </row>
        <row r="1915">
          <cell r="A1915" t="str">
            <v>I-POWER SOLUTIONS INDIA LTD</v>
          </cell>
          <cell r="B1915">
            <v>512405</v>
          </cell>
          <cell r="C1915" t="str">
            <v>Not Listed</v>
          </cell>
        </row>
        <row r="1916">
          <cell r="A1916" t="str">
            <v>IRB INFRASTRUCTURE DEVELOPERS LTD</v>
          </cell>
          <cell r="B1916">
            <v>532947</v>
          </cell>
          <cell r="C1916" t="str">
            <v>IRB</v>
          </cell>
        </row>
        <row r="1917">
          <cell r="A1917" t="str">
            <v>IRB InvIT Fund</v>
          </cell>
          <cell r="B1917">
            <v>540526</v>
          </cell>
          <cell r="C1917" t="str">
            <v>IRBINVIT</v>
          </cell>
        </row>
        <row r="1918">
          <cell r="A1918" t="str">
            <v>IRCON INTERNATIONAL LTD</v>
          </cell>
          <cell r="B1918">
            <v>541956</v>
          </cell>
          <cell r="C1918" t="str">
            <v>IRCON</v>
          </cell>
        </row>
        <row r="1919">
          <cell r="A1919" t="str">
            <v>IRIS BUSINESS SERVICES LTD</v>
          </cell>
          <cell r="B1919">
            <v>540735</v>
          </cell>
          <cell r="C1919" t="str">
            <v>Not Listed</v>
          </cell>
        </row>
        <row r="1920">
          <cell r="A1920" t="str">
            <v>IRIS CLOTHINGS LTD</v>
          </cell>
          <cell r="B1920" t="str">
            <v>Not Listed</v>
          </cell>
          <cell r="C1920" t="str">
            <v>IRISDOREME</v>
          </cell>
        </row>
        <row r="1921">
          <cell r="A1921" t="str">
            <v>IRIS MEDIAWORKS LTD</v>
          </cell>
          <cell r="B1921">
            <v>531337</v>
          </cell>
          <cell r="C1921" t="str">
            <v>Not Listed</v>
          </cell>
        </row>
        <row r="1922">
          <cell r="A1922" t="str">
            <v>ISF LTD</v>
          </cell>
          <cell r="B1922">
            <v>526859</v>
          </cell>
          <cell r="C1922" t="str">
            <v>Not Listed</v>
          </cell>
        </row>
        <row r="1923">
          <cell r="A1923" t="str">
            <v>ISGEC HEAVY ENGINEERING LTD</v>
          </cell>
          <cell r="B1923">
            <v>533033</v>
          </cell>
          <cell r="C1923" t="str">
            <v>Not Listed</v>
          </cell>
        </row>
        <row r="1924">
          <cell r="A1924" t="str">
            <v>ISHAAN INFRASTRUCTURES AND SHELTERS LTD</v>
          </cell>
          <cell r="B1924">
            <v>540134</v>
          </cell>
          <cell r="C1924" t="str">
            <v>Not Listed</v>
          </cell>
        </row>
        <row r="1925">
          <cell r="A1925" t="str">
            <v>ISHAN DYES &amp; CHEMICALS LTD</v>
          </cell>
          <cell r="B1925">
            <v>531109</v>
          </cell>
          <cell r="C1925" t="str">
            <v>Not Listed</v>
          </cell>
        </row>
        <row r="1926">
          <cell r="A1926" t="str">
            <v>ISHITA DRUGS &amp; INDUSTRIES LTD</v>
          </cell>
          <cell r="B1926">
            <v>524400</v>
          </cell>
          <cell r="C1926" t="str">
            <v>Not Listed</v>
          </cell>
        </row>
        <row r="1927">
          <cell r="A1927" t="str">
            <v>ISHWARSHAKTI HOLDINGS &amp; TRADERS LTD</v>
          </cell>
          <cell r="B1927">
            <v>506161</v>
          </cell>
          <cell r="C1927" t="str">
            <v>Not Listed</v>
          </cell>
        </row>
        <row r="1928">
          <cell r="A1928" t="str">
            <v>ISL CONSULTING LTD</v>
          </cell>
          <cell r="B1928">
            <v>511609</v>
          </cell>
          <cell r="C1928" t="str">
            <v>Not Listed</v>
          </cell>
        </row>
        <row r="1929">
          <cell r="A1929" t="str">
            <v>ISMT LTD</v>
          </cell>
          <cell r="B1929">
            <v>532479</v>
          </cell>
          <cell r="C1929" t="str">
            <v>ISMTLTD</v>
          </cell>
        </row>
        <row r="1930">
          <cell r="A1930" t="str">
            <v>IST LTD</v>
          </cell>
          <cell r="B1930">
            <v>508807</v>
          </cell>
          <cell r="C1930" t="str">
            <v>Not Listed</v>
          </cell>
        </row>
        <row r="1931">
          <cell r="A1931" t="str">
            <v>ISTREET NETWORK LTD</v>
          </cell>
          <cell r="B1931">
            <v>524622</v>
          </cell>
          <cell r="C1931" t="str">
            <v>Not Listed</v>
          </cell>
        </row>
        <row r="1932">
          <cell r="A1932" t="str">
            <v>ITC LTD</v>
          </cell>
          <cell r="B1932">
            <v>500875</v>
          </cell>
          <cell r="C1932" t="str">
            <v>ITC</v>
          </cell>
        </row>
        <row r="1933">
          <cell r="A1933" t="str">
            <v>ITD CEMENTATION (INDIA) LTD</v>
          </cell>
          <cell r="B1933">
            <v>509496</v>
          </cell>
          <cell r="C1933" t="str">
            <v>ITDCEM</v>
          </cell>
        </row>
        <row r="1934">
          <cell r="A1934" t="str">
            <v>ITD CEMENTATION INDIA LTD</v>
          </cell>
          <cell r="B1934">
            <v>509496</v>
          </cell>
          <cell r="C1934" t="str">
            <v>ITDCEM</v>
          </cell>
        </row>
        <row r="1935">
          <cell r="A1935" t="str">
            <v>ITI LTD</v>
          </cell>
          <cell r="B1935">
            <v>523610</v>
          </cell>
          <cell r="C1935" t="str">
            <v>ITI</v>
          </cell>
        </row>
        <row r="1936">
          <cell r="A1936" t="str">
            <v>ITL INDUSTRIES LTD</v>
          </cell>
          <cell r="B1936">
            <v>522183</v>
          </cell>
          <cell r="C1936" t="str">
            <v>Not Listed</v>
          </cell>
        </row>
        <row r="1937">
          <cell r="A1937" t="str">
            <v>IVP LTD</v>
          </cell>
          <cell r="B1937">
            <v>507580</v>
          </cell>
          <cell r="C1937" t="str">
            <v>IVP</v>
          </cell>
        </row>
        <row r="1938">
          <cell r="A1938" t="str">
            <v>IVRCL LTD</v>
          </cell>
          <cell r="B1938">
            <v>530773</v>
          </cell>
          <cell r="C1938" t="str">
            <v>IVRCLINFRA</v>
          </cell>
        </row>
        <row r="1939">
          <cell r="A1939" t="str">
            <v>IYKOT HITECH TOOLROOM LTD</v>
          </cell>
          <cell r="B1939">
            <v>522245</v>
          </cell>
          <cell r="C1939" t="str">
            <v>Not Listed</v>
          </cell>
        </row>
        <row r="1940">
          <cell r="A1940" t="str">
            <v>IZMO LTD</v>
          </cell>
          <cell r="B1940">
            <v>532341</v>
          </cell>
          <cell r="C1940" t="str">
            <v>IZMO</v>
          </cell>
        </row>
        <row r="1941">
          <cell r="A1941" t="str">
            <v>J  TAPARIA PROJECTS LTD</v>
          </cell>
          <cell r="B1941">
            <v>538539</v>
          </cell>
          <cell r="C1941" t="str">
            <v>Not Listed</v>
          </cell>
        </row>
        <row r="1942">
          <cell r="A1942" t="str">
            <v>J J EXPORTERS LTD</v>
          </cell>
          <cell r="B1942">
            <v>530049</v>
          </cell>
          <cell r="C1942" t="str">
            <v>Not Listed</v>
          </cell>
        </row>
        <row r="1943">
          <cell r="A1943" t="str">
            <v>J J FINANCE CORPORATION LTD</v>
          </cell>
          <cell r="B1943">
            <v>523062</v>
          </cell>
          <cell r="C1943" t="str">
            <v>Not Listed</v>
          </cell>
        </row>
        <row r="1944">
          <cell r="A1944" t="str">
            <v>J KUMAR INFRAPROJECTS LTD</v>
          </cell>
          <cell r="B1944">
            <v>532940</v>
          </cell>
          <cell r="C1944" t="str">
            <v>JKIL</v>
          </cell>
        </row>
        <row r="1945">
          <cell r="A1945" t="str">
            <v>J L MORISON (INDIA) LTD</v>
          </cell>
          <cell r="B1945">
            <v>506522</v>
          </cell>
          <cell r="C1945" t="str">
            <v>Not Listed</v>
          </cell>
        </row>
        <row r="1946">
          <cell r="A1946" t="str">
            <v>J L MORISON INDIA LTD</v>
          </cell>
          <cell r="B1946">
            <v>506522</v>
          </cell>
          <cell r="C1946" t="str">
            <v>Not Listed</v>
          </cell>
        </row>
        <row r="1947">
          <cell r="A1947" t="str">
            <v>J R FOODS LTD</v>
          </cell>
          <cell r="B1947">
            <v>530915</v>
          </cell>
          <cell r="C1947" t="str">
            <v>Not Listed</v>
          </cell>
        </row>
        <row r="1948">
          <cell r="A1948" t="str">
            <v>JACKSON INVESTMENTS LTD</v>
          </cell>
          <cell r="B1948">
            <v>538422</v>
          </cell>
          <cell r="C1948" t="str">
            <v>Not Listed</v>
          </cell>
        </row>
        <row r="1949">
          <cell r="A1949" t="str">
            <v>JAGAN LAMPS LTD</v>
          </cell>
          <cell r="B1949">
            <v>530711</v>
          </cell>
          <cell r="C1949" t="str">
            <v>Not Listed</v>
          </cell>
        </row>
        <row r="1950">
          <cell r="A1950" t="str">
            <v>JAGATJIT INDUSTRIES LTD</v>
          </cell>
          <cell r="B1950">
            <v>507155</v>
          </cell>
          <cell r="C1950" t="str">
            <v>Not Listed</v>
          </cell>
        </row>
        <row r="1951">
          <cell r="A1951" t="str">
            <v>JAGJANANI TEXTILES LTD</v>
          </cell>
          <cell r="B1951">
            <v>532825</v>
          </cell>
          <cell r="C1951" t="str">
            <v>Not Listed</v>
          </cell>
        </row>
        <row r="1952">
          <cell r="A1952" t="str">
            <v>JAGRAN PRAKASHAN LTD</v>
          </cell>
          <cell r="B1952">
            <v>532705</v>
          </cell>
          <cell r="C1952" t="str">
            <v>JAGRAN</v>
          </cell>
        </row>
        <row r="1953">
          <cell r="A1953" t="str">
            <v>JAGSON AIRLINES LTD</v>
          </cell>
          <cell r="B1953">
            <v>520139</v>
          </cell>
          <cell r="C1953" t="str">
            <v>Not Listed</v>
          </cell>
        </row>
        <row r="1954">
          <cell r="A1954" t="str">
            <v>JAGSONPAL FINANCE &amp; LEASING LTD</v>
          </cell>
          <cell r="B1954">
            <v>530601</v>
          </cell>
          <cell r="C1954" t="str">
            <v>Not Listed</v>
          </cell>
        </row>
        <row r="1955">
          <cell r="A1955" t="str">
            <v>JAGSONPAL PHARMACEUTICALS LTD</v>
          </cell>
          <cell r="B1955">
            <v>507789</v>
          </cell>
          <cell r="C1955" t="str">
            <v>JAGSNPHARM</v>
          </cell>
        </row>
        <row r="1956">
          <cell r="A1956" t="str">
            <v>JAI BALAJI INDUSTRIES LTD</v>
          </cell>
          <cell r="B1956">
            <v>532976</v>
          </cell>
          <cell r="C1956" t="str">
            <v>JAIBALAJI</v>
          </cell>
        </row>
        <row r="1957">
          <cell r="A1957" t="str">
            <v>JAI CORP LTD</v>
          </cell>
          <cell r="B1957">
            <v>512237</v>
          </cell>
          <cell r="C1957" t="str">
            <v>JAICORPLTD</v>
          </cell>
        </row>
        <row r="1958">
          <cell r="A1958" t="str">
            <v>JAI MATA GLASS LTD</v>
          </cell>
          <cell r="B1958">
            <v>523467</v>
          </cell>
          <cell r="C1958" t="str">
            <v>Not Listed</v>
          </cell>
        </row>
        <row r="1959">
          <cell r="A1959" t="str">
            <v>JAIHIND PROJECTS LTD</v>
          </cell>
          <cell r="B1959">
            <v>531339</v>
          </cell>
          <cell r="C1959" t="str">
            <v>JAIHINDPRO</v>
          </cell>
        </row>
        <row r="1960">
          <cell r="A1960" t="str">
            <v>JAIHIND SYNTHETICS LTD</v>
          </cell>
          <cell r="B1960">
            <v>514312</v>
          </cell>
          <cell r="C1960" t="str">
            <v>Not Listed</v>
          </cell>
        </row>
        <row r="1961">
          <cell r="A1961" t="str">
            <v>JAIN IRRIGATION SYSTEMS LTD</v>
          </cell>
          <cell r="B1961">
            <v>500219</v>
          </cell>
          <cell r="C1961" t="str">
            <v>JISLJALEQS</v>
          </cell>
        </row>
        <row r="1962">
          <cell r="A1962" t="str">
            <v>JAIN IRRIGATION SYSTEMS LTD</v>
          </cell>
          <cell r="B1962">
            <v>570004</v>
          </cell>
          <cell r="C1962" t="str">
            <v>JISLDVREQS</v>
          </cell>
        </row>
        <row r="1963">
          <cell r="A1963" t="str">
            <v>JAIN MARMO INDUSTRIES LTD</v>
          </cell>
          <cell r="B1963">
            <v>539119</v>
          </cell>
          <cell r="C1963" t="str">
            <v>Not Listed</v>
          </cell>
        </row>
        <row r="1964">
          <cell r="A1964" t="str">
            <v>JAIN STUDIOS LTD</v>
          </cell>
          <cell r="B1964">
            <v>532033</v>
          </cell>
          <cell r="C1964" t="str">
            <v>JAINSTUDIO</v>
          </cell>
        </row>
        <row r="1965">
          <cell r="A1965" t="str">
            <v>JAINCO PROJECTS (INDIA) LTD</v>
          </cell>
          <cell r="B1965">
            <v>526865</v>
          </cell>
          <cell r="C1965" t="str">
            <v>Not Listed</v>
          </cell>
        </row>
        <row r="1966">
          <cell r="A1966" t="str">
            <v>JAINCO PROJECTS INDIA LTD</v>
          </cell>
          <cell r="B1966">
            <v>526865</v>
          </cell>
          <cell r="C1966" t="str">
            <v>Not Listed</v>
          </cell>
        </row>
        <row r="1967">
          <cell r="A1967" t="str">
            <v>JAINEX AAMCOL LTD</v>
          </cell>
          <cell r="B1967">
            <v>505212</v>
          </cell>
          <cell r="C1967" t="str">
            <v>Not Listed</v>
          </cell>
        </row>
        <row r="1968">
          <cell r="A1968" t="str">
            <v>JAIPAN INDUSTRIES LTD</v>
          </cell>
          <cell r="B1968">
            <v>505840</v>
          </cell>
          <cell r="C1968" t="str">
            <v>Not Listed</v>
          </cell>
        </row>
        <row r="1969">
          <cell r="A1969" t="str">
            <v>JAIPRAKASH ASSOCIATES LTD</v>
          </cell>
          <cell r="B1969">
            <v>532532</v>
          </cell>
          <cell r="C1969" t="str">
            <v>JPASSOCIAT</v>
          </cell>
        </row>
        <row r="1970">
          <cell r="A1970" t="str">
            <v>JAIPRAKASH POWER VENTURES LTD</v>
          </cell>
          <cell r="B1970">
            <v>532627</v>
          </cell>
          <cell r="C1970" t="str">
            <v>JPPOWER</v>
          </cell>
        </row>
        <row r="1971">
          <cell r="A1971" t="str">
            <v>JAISUKH DEALERS LTD</v>
          </cell>
          <cell r="B1971">
            <v>780001</v>
          </cell>
          <cell r="C1971" t="str">
            <v>Not Listed</v>
          </cell>
        </row>
        <row r="1972">
          <cell r="A1972" t="str">
            <v>JAKHARIA FABRIC LTD</v>
          </cell>
          <cell r="B1972" t="str">
            <v>Not Listed</v>
          </cell>
          <cell r="C1972" t="str">
            <v>JAKHARIA</v>
          </cell>
        </row>
        <row r="1973">
          <cell r="A1973" t="str">
            <v>JALAN TRANSOLUTIONS (INDIA) LTD</v>
          </cell>
          <cell r="B1973" t="str">
            <v>Not Listed</v>
          </cell>
          <cell r="C1973" t="str">
            <v>JALAN</v>
          </cell>
        </row>
        <row r="1974">
          <cell r="A1974" t="str">
            <v>JALAN TRANSOLUTIONS INDIA LTD</v>
          </cell>
          <cell r="B1974" t="str">
            <v>Not Listed</v>
          </cell>
          <cell r="C1974" t="str">
            <v>JALAN</v>
          </cell>
        </row>
        <row r="1975">
          <cell r="A1975" t="str">
            <v>JAMES WARREN TEA LTD</v>
          </cell>
          <cell r="B1975">
            <v>538564</v>
          </cell>
          <cell r="C1975" t="str">
            <v>Not Listed</v>
          </cell>
        </row>
        <row r="1976">
          <cell r="A1976" t="str">
            <v>JAMNA AUTO INDUSTRIES LTD</v>
          </cell>
          <cell r="B1976">
            <v>520051</v>
          </cell>
          <cell r="C1976" t="str">
            <v>JAMNAAUTO</v>
          </cell>
        </row>
        <row r="1977">
          <cell r="A1977" t="str">
            <v>JAMSHRI RANJITSINGHJI SPG  &amp; WVG  MILLS CO LTD</v>
          </cell>
          <cell r="B1977">
            <v>502901</v>
          </cell>
          <cell r="C1977" t="str">
            <v>Not Listed</v>
          </cell>
        </row>
        <row r="1978">
          <cell r="A1978" t="str">
            <v>JASCH INDUSTRIES LTD</v>
          </cell>
          <cell r="B1978">
            <v>500220</v>
          </cell>
          <cell r="C1978" t="str">
            <v>Not Listed</v>
          </cell>
        </row>
        <row r="1979">
          <cell r="A1979" t="str">
            <v>JASH DEALMARK LTD</v>
          </cell>
          <cell r="B1979">
            <v>540394</v>
          </cell>
          <cell r="C1979" t="str">
            <v>Not Listed</v>
          </cell>
        </row>
        <row r="1980">
          <cell r="A1980" t="str">
            <v>JASH ENGINEERING LTD</v>
          </cell>
          <cell r="B1980" t="str">
            <v>Not Listed</v>
          </cell>
          <cell r="C1980" t="str">
            <v>JASH</v>
          </cell>
        </row>
        <row r="1981">
          <cell r="A1981" t="str">
            <v>JATTASHANKAR INDUSTIES LTD</v>
          </cell>
          <cell r="B1981">
            <v>514318</v>
          </cell>
          <cell r="C1981" t="str">
            <v>Not Listed</v>
          </cell>
        </row>
        <row r="1982">
          <cell r="A1982" t="str">
            <v>JAUSS POLYMERS LTD</v>
          </cell>
          <cell r="B1982">
            <v>526001</v>
          </cell>
          <cell r="C1982" t="str">
            <v>Not Listed</v>
          </cell>
        </row>
        <row r="1983">
          <cell r="A1983" t="str">
            <v>JAY BHARAT MARUTI LTD</v>
          </cell>
          <cell r="B1983">
            <v>520066</v>
          </cell>
          <cell r="C1983" t="str">
            <v>JAYBARMARU</v>
          </cell>
        </row>
        <row r="1984">
          <cell r="A1984" t="str">
            <v>JAY SHREE TEA &amp; INDUSTRIES LTD</v>
          </cell>
          <cell r="B1984">
            <v>509715</v>
          </cell>
          <cell r="C1984" t="str">
            <v>Not Listed</v>
          </cell>
        </row>
        <row r="1985">
          <cell r="A1985" t="str">
            <v>JAY USHIN LTD</v>
          </cell>
          <cell r="B1985">
            <v>513252</v>
          </cell>
          <cell r="C1985" t="str">
            <v>Not Listed</v>
          </cell>
        </row>
        <row r="1986">
          <cell r="A1986" t="str">
            <v>JAYANT AGRO ORGANICS LTD</v>
          </cell>
          <cell r="B1986">
            <v>524330</v>
          </cell>
          <cell r="C1986" t="str">
            <v>JAYAGROGN</v>
          </cell>
        </row>
        <row r="1987">
          <cell r="A1987" t="str">
            <v>JAYASWAL NECO INDUSTRIES LTD</v>
          </cell>
          <cell r="B1987">
            <v>522285</v>
          </cell>
          <cell r="C1987" t="str">
            <v>JAYNECOIND</v>
          </cell>
        </row>
        <row r="1988">
          <cell r="A1988" t="str">
            <v>JAYATMA ENTERPRISES LTD</v>
          </cell>
          <cell r="B1988">
            <v>539005</v>
          </cell>
          <cell r="C1988" t="str">
            <v>Not Listed</v>
          </cell>
        </row>
        <row r="1989">
          <cell r="A1989" t="str">
            <v>JAYATMA INDUSTRIES LTD</v>
          </cell>
          <cell r="B1989">
            <v>531323</v>
          </cell>
          <cell r="C1989" t="str">
            <v>Not Listed</v>
          </cell>
        </row>
        <row r="1990">
          <cell r="A1990" t="str">
            <v>JAYBHARAT TEXTILES &amp; REAL ESTATE LTD</v>
          </cell>
          <cell r="B1990">
            <v>512233</v>
          </cell>
          <cell r="C1990" t="str">
            <v>Not Listed</v>
          </cell>
        </row>
        <row r="1991">
          <cell r="A1991" t="str">
            <v>JAYKAY ENTERPRISES LTD</v>
          </cell>
          <cell r="B1991">
            <v>500306</v>
          </cell>
          <cell r="C1991" t="str">
            <v>Not Listed</v>
          </cell>
        </row>
        <row r="1992">
          <cell r="A1992" t="str">
            <v>JAYPEE INFRATECH LTD</v>
          </cell>
          <cell r="B1992">
            <v>533207</v>
          </cell>
          <cell r="C1992" t="str">
            <v>JPINFRATEC</v>
          </cell>
        </row>
        <row r="1993">
          <cell r="A1993" t="str">
            <v>JAYSHREE CHEMICALS LTD</v>
          </cell>
          <cell r="B1993">
            <v>506520</v>
          </cell>
          <cell r="C1993" t="str">
            <v>Not Listed</v>
          </cell>
        </row>
        <row r="1994">
          <cell r="A1994" t="str">
            <v>JAYSHREE TEA &amp; INDUSTRIES LTD</v>
          </cell>
          <cell r="B1994" t="str">
            <v>Not Listed</v>
          </cell>
          <cell r="C1994" t="str">
            <v>JAYSREETEA</v>
          </cell>
        </row>
        <row r="1995">
          <cell r="A1995" t="str">
            <v>JAYSYNTH DYESTUFF (INDIA) LTD</v>
          </cell>
          <cell r="B1995">
            <v>506910</v>
          </cell>
          <cell r="C1995" t="str">
            <v>Not Listed</v>
          </cell>
        </row>
        <row r="1996">
          <cell r="A1996" t="str">
            <v>JAYSYNTH DYESTUFF INDIA LTD</v>
          </cell>
          <cell r="B1996">
            <v>506910</v>
          </cell>
          <cell r="C1996" t="str">
            <v>Not Listed</v>
          </cell>
        </row>
        <row r="1997">
          <cell r="A1997" t="str">
            <v>JB CHEMICALS &amp; PHARMACEUTICALS LTD</v>
          </cell>
          <cell r="B1997">
            <v>506943</v>
          </cell>
          <cell r="C1997" t="str">
            <v>JBCHEPHARM</v>
          </cell>
        </row>
        <row r="1998">
          <cell r="A1998" t="str">
            <v>JBF INDUSTRIES LTD</v>
          </cell>
          <cell r="B1998">
            <v>514034</v>
          </cell>
          <cell r="C1998" t="str">
            <v>JBFIND</v>
          </cell>
        </row>
        <row r="1999">
          <cell r="A1999" t="str">
            <v>JBM AUTO LTD</v>
          </cell>
          <cell r="B1999">
            <v>532605</v>
          </cell>
          <cell r="C1999" t="str">
            <v>JBMA</v>
          </cell>
        </row>
        <row r="2000">
          <cell r="A2000" t="str">
            <v>JCT LTD</v>
          </cell>
          <cell r="B2000">
            <v>500223</v>
          </cell>
          <cell r="C2000" t="str">
            <v>Not Listed</v>
          </cell>
        </row>
        <row r="2001">
          <cell r="A2001" t="str">
            <v>JD ORGOCHEM LTD</v>
          </cell>
          <cell r="B2001">
            <v>524592</v>
          </cell>
          <cell r="C2001" t="str">
            <v>Not Listed</v>
          </cell>
        </row>
        <row r="2002">
          <cell r="A2002" t="str">
            <v>JEEVAN SCIENTIFIC TECHNOLOGY LTD</v>
          </cell>
          <cell r="B2002">
            <v>538837</v>
          </cell>
          <cell r="C2002" t="str">
            <v>Not Listed</v>
          </cell>
        </row>
        <row r="2003">
          <cell r="A2003" t="str">
            <v>JENBURKT PHARMACEUTICALS LTD</v>
          </cell>
          <cell r="B2003">
            <v>524731</v>
          </cell>
          <cell r="C2003" t="str">
            <v>Not Listed</v>
          </cell>
        </row>
        <row r="2004">
          <cell r="A2004" t="str">
            <v>JET AIRWAYS (INDIA) LTD</v>
          </cell>
          <cell r="B2004">
            <v>532617</v>
          </cell>
          <cell r="C2004" t="str">
            <v>JETAIRWAYS</v>
          </cell>
        </row>
        <row r="2005">
          <cell r="A2005" t="str">
            <v>JET AIRWAYS INDIA LTD</v>
          </cell>
          <cell r="B2005">
            <v>532617</v>
          </cell>
          <cell r="C2005" t="str">
            <v>JETAIRWAYS</v>
          </cell>
        </row>
        <row r="2006">
          <cell r="A2006" t="str">
            <v>JET FREIGHT LOGISTICS LTD</v>
          </cell>
          <cell r="B2006" t="str">
            <v>Not Listed</v>
          </cell>
          <cell r="C2006" t="str">
            <v>JETFREIGHT</v>
          </cell>
        </row>
        <row r="2007">
          <cell r="A2007" t="str">
            <v>JET INFRAVENTURE LTD</v>
          </cell>
          <cell r="B2007">
            <v>538794</v>
          </cell>
          <cell r="C2007" t="str">
            <v>Not Listed</v>
          </cell>
        </row>
        <row r="2008">
          <cell r="A2008" t="str">
            <v>JET KNITWEARS LTD</v>
          </cell>
          <cell r="B2008" t="str">
            <v>Not Listed</v>
          </cell>
          <cell r="C2008" t="str">
            <v>JETKNIT</v>
          </cell>
        </row>
        <row r="2009">
          <cell r="A2009" t="str">
            <v>JETKING INFOTRAIN LTD</v>
          </cell>
          <cell r="B2009">
            <v>517063</v>
          </cell>
          <cell r="C2009" t="str">
            <v>Not Listed</v>
          </cell>
        </row>
        <row r="2010">
          <cell r="A2010" t="str">
            <v>JHANDEWALAS FOODS LTD</v>
          </cell>
          <cell r="B2010">
            <v>540850</v>
          </cell>
          <cell r="C2010" t="str">
            <v>Not Listed</v>
          </cell>
        </row>
        <row r="2011">
          <cell r="A2011" t="str">
            <v>JHAVERI CREDITS &amp; CAPITAL LTD</v>
          </cell>
          <cell r="B2011">
            <v>531550</v>
          </cell>
          <cell r="C2011" t="str">
            <v>Not Listed</v>
          </cell>
        </row>
        <row r="2012">
          <cell r="A2012" t="str">
            <v>JHS SVENDGAARD LABORATORIES LTD</v>
          </cell>
          <cell r="B2012">
            <v>532771</v>
          </cell>
          <cell r="C2012" t="str">
            <v>JHS</v>
          </cell>
        </row>
        <row r="2013">
          <cell r="A2013" t="str">
            <v>JIGAR CABLES LTD</v>
          </cell>
          <cell r="B2013">
            <v>540651</v>
          </cell>
          <cell r="C2013" t="str">
            <v>Not Listed</v>
          </cell>
        </row>
        <row r="2014">
          <cell r="A2014" t="str">
            <v>JIGYASA INFRASTRUCTURE LTD</v>
          </cell>
          <cell r="B2014">
            <v>780019</v>
          </cell>
          <cell r="C2014" t="str">
            <v>Not Listed</v>
          </cell>
        </row>
        <row r="2015">
          <cell r="A2015" t="str">
            <v>JIK INDUSTRIES LTD</v>
          </cell>
          <cell r="B2015">
            <v>511618</v>
          </cell>
          <cell r="C2015" t="str">
            <v>JIKIND</v>
          </cell>
        </row>
        <row r="2016">
          <cell r="A2016" t="str">
            <v>Jinaams Dress Ltd</v>
          </cell>
          <cell r="B2016">
            <v>542653</v>
          </cell>
          <cell r="C2016" t="str">
            <v>JINAAM</v>
          </cell>
        </row>
        <row r="2017">
          <cell r="A2017" t="str">
            <v>JINDAL CAPITAL LTD</v>
          </cell>
          <cell r="B2017">
            <v>530405</v>
          </cell>
          <cell r="C2017" t="str">
            <v>Not Listed</v>
          </cell>
        </row>
        <row r="2018">
          <cell r="A2018" t="str">
            <v>JINDAL COTEX LTD</v>
          </cell>
          <cell r="B2018">
            <v>533103</v>
          </cell>
          <cell r="C2018" t="str">
            <v>JINDCOT</v>
          </cell>
        </row>
        <row r="2019">
          <cell r="A2019" t="str">
            <v>JINDAL DRILLING AND INDUSTRIES LTD</v>
          </cell>
          <cell r="B2019">
            <v>511034</v>
          </cell>
          <cell r="C2019" t="str">
            <v>JINDRILL</v>
          </cell>
        </row>
        <row r="2020">
          <cell r="A2020" t="str">
            <v>JINDAL HOTELS LTD</v>
          </cell>
          <cell r="B2020">
            <v>507981</v>
          </cell>
          <cell r="C2020" t="str">
            <v>Not Listed</v>
          </cell>
        </row>
        <row r="2021">
          <cell r="A2021" t="str">
            <v>JINDAL LEASEFIN LTD</v>
          </cell>
          <cell r="B2021">
            <v>539947</v>
          </cell>
          <cell r="C2021" t="str">
            <v>Not Listed</v>
          </cell>
        </row>
        <row r="2022">
          <cell r="A2022" t="str">
            <v>JINDAL PHOTO LTD</v>
          </cell>
          <cell r="B2022">
            <v>532624</v>
          </cell>
          <cell r="C2022" t="str">
            <v>JINDALPHOT</v>
          </cell>
        </row>
        <row r="2023">
          <cell r="A2023" t="str">
            <v>JINDAL POLY FILMS LTD</v>
          </cell>
          <cell r="B2023">
            <v>500227</v>
          </cell>
          <cell r="C2023" t="str">
            <v>JINDALPOLY</v>
          </cell>
        </row>
        <row r="2024">
          <cell r="A2024" t="str">
            <v>JINDAL POLY INVESTMENT AND FINANCE COMPANY LTD</v>
          </cell>
          <cell r="B2024">
            <v>536773</v>
          </cell>
          <cell r="C2024" t="str">
            <v>JPOLYINVST</v>
          </cell>
        </row>
        <row r="2025">
          <cell r="A2025" t="str">
            <v>JINDAL SAW LTD</v>
          </cell>
          <cell r="B2025">
            <v>500378</v>
          </cell>
          <cell r="C2025" t="str">
            <v>JINDALSAW</v>
          </cell>
        </row>
        <row r="2026">
          <cell r="A2026" t="str">
            <v>JINDAL STAINLESS HISAR LTD</v>
          </cell>
          <cell r="B2026">
            <v>539597</v>
          </cell>
          <cell r="C2026" t="str">
            <v>JSLHISAR</v>
          </cell>
        </row>
        <row r="2027">
          <cell r="A2027" t="str">
            <v>JINDAL STAINLESS LTD</v>
          </cell>
          <cell r="B2027">
            <v>532508</v>
          </cell>
          <cell r="C2027" t="str">
            <v>JSL</v>
          </cell>
        </row>
        <row r="2028">
          <cell r="A2028" t="str">
            <v>JINDAL STEEL &amp; POWER LTD</v>
          </cell>
          <cell r="B2028">
            <v>532286</v>
          </cell>
          <cell r="C2028" t="str">
            <v>JINDALSTEL</v>
          </cell>
        </row>
        <row r="2029">
          <cell r="A2029" t="str">
            <v>JINDAL WORLDWIDE LTD</v>
          </cell>
          <cell r="B2029">
            <v>531543</v>
          </cell>
          <cell r="C2029" t="str">
            <v>JINDWORLD</v>
          </cell>
        </row>
        <row r="2030">
          <cell r="A2030" t="str">
            <v>JITF INFRALOGISTICS LTD</v>
          </cell>
          <cell r="B2030">
            <v>540311</v>
          </cell>
          <cell r="C2030" t="str">
            <v>JITFINFRA</v>
          </cell>
        </row>
        <row r="2031">
          <cell r="A2031" t="str">
            <v>JIYA ECO-PRODUCTS LTD</v>
          </cell>
          <cell r="B2031">
            <v>539225</v>
          </cell>
          <cell r="C2031" t="str">
            <v>Not Listed</v>
          </cell>
        </row>
        <row r="2032">
          <cell r="A2032" t="str">
            <v>JK AGRI GENETICS LTD</v>
          </cell>
          <cell r="B2032">
            <v>536493</v>
          </cell>
          <cell r="C2032" t="str">
            <v>Not Listed</v>
          </cell>
        </row>
        <row r="2033">
          <cell r="A2033" t="str">
            <v>JK CEMENT LTD</v>
          </cell>
          <cell r="B2033">
            <v>532644</v>
          </cell>
          <cell r="C2033" t="str">
            <v>JKCEMENT</v>
          </cell>
        </row>
        <row r="2034">
          <cell r="A2034" t="str">
            <v>JK LAKSHMI CEMENT LTD</v>
          </cell>
          <cell r="B2034">
            <v>500380</v>
          </cell>
          <cell r="C2034" t="str">
            <v>JKLAKSHMI</v>
          </cell>
        </row>
        <row r="2035">
          <cell r="A2035" t="str">
            <v>JK PAPER LTD</v>
          </cell>
          <cell r="B2035">
            <v>532162</v>
          </cell>
          <cell r="C2035" t="str">
            <v>JKPAPER</v>
          </cell>
        </row>
        <row r="2036">
          <cell r="A2036" t="str">
            <v>JK TYRE &amp; INDUSTRIES LTD</v>
          </cell>
          <cell r="B2036">
            <v>530007</v>
          </cell>
          <cell r="C2036" t="str">
            <v>JKTYRE</v>
          </cell>
        </row>
        <row r="2037">
          <cell r="A2037" t="str">
            <v>JLA INFRAVILLE SHOPPERS LTD</v>
          </cell>
          <cell r="B2037">
            <v>538765</v>
          </cell>
          <cell r="C2037" t="str">
            <v>Not Listed</v>
          </cell>
        </row>
        <row r="2038">
          <cell r="A2038" t="str">
            <v>JM FINANCIAL LTD</v>
          </cell>
          <cell r="B2038">
            <v>523405</v>
          </cell>
          <cell r="C2038" t="str">
            <v>JMFINANCIL</v>
          </cell>
        </row>
        <row r="2039">
          <cell r="A2039" t="str">
            <v>JMC PROJECTS (INDIA) LTD</v>
          </cell>
          <cell r="B2039">
            <v>522263</v>
          </cell>
          <cell r="C2039" t="str">
            <v>JMCPROJECT</v>
          </cell>
        </row>
        <row r="2040">
          <cell r="A2040" t="str">
            <v>JMC PROJECTS INDIA LTD</v>
          </cell>
          <cell r="B2040">
            <v>522263</v>
          </cell>
          <cell r="C2040" t="str">
            <v>JMCPROJECT</v>
          </cell>
        </row>
        <row r="2041">
          <cell r="A2041" t="str">
            <v>JMD VENTURES LTD</v>
          </cell>
          <cell r="B2041">
            <v>511092</v>
          </cell>
          <cell r="C2041" t="str">
            <v>Not Listed</v>
          </cell>
        </row>
        <row r="2042">
          <cell r="A2042" t="str">
            <v>JMG CORPORATION LTD</v>
          </cell>
          <cell r="B2042">
            <v>523712</v>
          </cell>
          <cell r="C2042" t="str">
            <v>Not Listed</v>
          </cell>
        </row>
        <row r="2043">
          <cell r="A2043" t="str">
            <v>JMT AUTO LTD</v>
          </cell>
          <cell r="B2043">
            <v>513691</v>
          </cell>
          <cell r="C2043" t="str">
            <v>JMTAUTOLTD</v>
          </cell>
        </row>
        <row r="2044">
          <cell r="A2044" t="str">
            <v>JOCIL LTD</v>
          </cell>
          <cell r="B2044" t="str">
            <v>Not Listed</v>
          </cell>
          <cell r="C2044" t="str">
            <v>JOCIL</v>
          </cell>
        </row>
        <row r="2045">
          <cell r="A2045" t="str">
            <v>JOHNSON CONTROLS – HITACHI AIR CONDITIONING (INDIA) LTD</v>
          </cell>
          <cell r="B2045">
            <v>523398</v>
          </cell>
          <cell r="C2045" t="str">
            <v>JCHAC</v>
          </cell>
        </row>
        <row r="2046">
          <cell r="A2046" t="str">
            <v>JOHNSON CONTROLS – HITACHI AIR CONDITIONING INDIA LTD</v>
          </cell>
          <cell r="B2046">
            <v>523398</v>
          </cell>
          <cell r="C2046" t="str">
            <v>JCHAC</v>
          </cell>
        </row>
        <row r="2047">
          <cell r="A2047" t="str">
            <v>JOINDRE CAPITAL SERVICES LTD</v>
          </cell>
          <cell r="B2047">
            <v>531861</v>
          </cell>
          <cell r="C2047" t="str">
            <v>Not Listed</v>
          </cell>
        </row>
        <row r="2048">
          <cell r="A2048" t="str">
            <v>JOINTECA EDUCATION SOLUTIONS LTD</v>
          </cell>
          <cell r="B2048">
            <v>534659</v>
          </cell>
          <cell r="C2048" t="str">
            <v>Not Listed</v>
          </cell>
        </row>
        <row r="2049">
          <cell r="A2049" t="str">
            <v>Jonjua Overseas Ltd</v>
          </cell>
          <cell r="B2049">
            <v>542446</v>
          </cell>
          <cell r="C2049" t="str">
            <v>JONJUA</v>
          </cell>
        </row>
        <row r="2050">
          <cell r="A2050" t="str">
            <v>JOONKTOLLEE TEA &amp; INDUSTRIES LTD</v>
          </cell>
          <cell r="B2050">
            <v>538092</v>
          </cell>
          <cell r="C2050" t="str">
            <v>Not Listed</v>
          </cell>
        </row>
        <row r="2051">
          <cell r="A2051" t="str">
            <v>JOST'S ENGINEERING CO LTD</v>
          </cell>
          <cell r="B2051">
            <v>505750</v>
          </cell>
          <cell r="C2051" t="str">
            <v>Not Listed</v>
          </cell>
        </row>
        <row r="2052">
          <cell r="A2052" t="str">
            <v>JOY REALTY LTD</v>
          </cell>
          <cell r="B2052">
            <v>508929</v>
          </cell>
          <cell r="C2052" t="str">
            <v>Not Listed</v>
          </cell>
        </row>
        <row r="2053">
          <cell r="A2053" t="str">
            <v>JPT SECURITIES LTD</v>
          </cell>
          <cell r="B2053">
            <v>530985</v>
          </cell>
          <cell r="C2053" t="str">
            <v>Not Listed</v>
          </cell>
        </row>
        <row r="2054">
          <cell r="A2054" t="str">
            <v>JRI INDUSTRIES &amp; INFRASTRUCTURE LTD</v>
          </cell>
          <cell r="B2054">
            <v>506016</v>
          </cell>
          <cell r="C2054" t="str">
            <v>Not Listed</v>
          </cell>
        </row>
        <row r="2055">
          <cell r="A2055" t="str">
            <v>JSL INDUSTRIES LTD</v>
          </cell>
          <cell r="B2055">
            <v>504080</v>
          </cell>
          <cell r="C2055" t="str">
            <v>Not Listed</v>
          </cell>
        </row>
        <row r="2056">
          <cell r="A2056" t="str">
            <v>JSW ENERGY LTD</v>
          </cell>
          <cell r="B2056">
            <v>533148</v>
          </cell>
          <cell r="C2056" t="str">
            <v>JSWENERGY</v>
          </cell>
        </row>
        <row r="2057">
          <cell r="A2057" t="str">
            <v>JSW HOLDINGS LTD</v>
          </cell>
          <cell r="B2057">
            <v>532642</v>
          </cell>
          <cell r="C2057" t="str">
            <v>JSWHL</v>
          </cell>
        </row>
        <row r="2058">
          <cell r="A2058" t="str">
            <v>JSW STEEL LTD</v>
          </cell>
          <cell r="B2058">
            <v>500228</v>
          </cell>
          <cell r="C2058" t="str">
            <v>JSWSTEEL</v>
          </cell>
        </row>
        <row r="2059">
          <cell r="A2059" t="str">
            <v>JTEKT (INDIA) LTD</v>
          </cell>
          <cell r="B2059">
            <v>520057</v>
          </cell>
          <cell r="C2059" t="str">
            <v>JTEKT(INDIA)</v>
          </cell>
        </row>
        <row r="2060">
          <cell r="A2060" t="str">
            <v>JTEKT INDIA LTD</v>
          </cell>
          <cell r="B2060">
            <v>520057</v>
          </cell>
          <cell r="C2060" t="str">
            <v>JTEKTINDIA</v>
          </cell>
        </row>
        <row r="2061">
          <cell r="A2061" t="str">
            <v>JTL INFRA LTD</v>
          </cell>
          <cell r="B2061">
            <v>534600</v>
          </cell>
          <cell r="C2061" t="str">
            <v>Not Listed</v>
          </cell>
        </row>
        <row r="2062">
          <cell r="A2062" t="str">
            <v>JUBILANT FOODWORKS LTD</v>
          </cell>
          <cell r="B2062">
            <v>533155</v>
          </cell>
          <cell r="C2062" t="str">
            <v>JUBLFOOD</v>
          </cell>
        </row>
        <row r="2063">
          <cell r="A2063" t="str">
            <v>JUBILANT INDUSTRIES LTD</v>
          </cell>
          <cell r="B2063">
            <v>533320</v>
          </cell>
          <cell r="C2063" t="str">
            <v>JUBLINDS</v>
          </cell>
        </row>
        <row r="2064">
          <cell r="A2064" t="str">
            <v>JUBILANT LIFE SCIENCES LTD</v>
          </cell>
          <cell r="B2064">
            <v>530019</v>
          </cell>
          <cell r="C2064" t="str">
            <v>JUBILANT</v>
          </cell>
        </row>
        <row r="2065">
          <cell r="A2065" t="str">
            <v>JULLUNDUR MOTOR AGENCY DELHI LTD</v>
          </cell>
          <cell r="B2065" t="str">
            <v>Not Listed</v>
          </cell>
          <cell r="C2065" t="str">
            <v>JMA</v>
          </cell>
        </row>
        <row r="2066">
          <cell r="A2066" t="str">
            <v>JUMBO BAG LTD</v>
          </cell>
          <cell r="B2066">
            <v>516078</v>
          </cell>
          <cell r="C2066" t="str">
            <v>Not Listed</v>
          </cell>
        </row>
        <row r="2067">
          <cell r="A2067" t="str">
            <v>JUMBO FINANCE LTD</v>
          </cell>
          <cell r="B2067">
            <v>511060</v>
          </cell>
          <cell r="C2067" t="str">
            <v>Not Listed</v>
          </cell>
        </row>
        <row r="2068">
          <cell r="A2068" t="str">
            <v>JUNCTION FABRICS AND APPARELS LTD</v>
          </cell>
          <cell r="B2068">
            <v>539216</v>
          </cell>
          <cell r="C2068" t="str">
            <v>Not Listed</v>
          </cell>
        </row>
        <row r="2069">
          <cell r="A2069" t="str">
            <v>JUPITER INDUSTRIES &amp; LEASING LTD</v>
          </cell>
          <cell r="B2069">
            <v>507987</v>
          </cell>
          <cell r="C2069" t="str">
            <v>Not Listed</v>
          </cell>
        </row>
        <row r="2070">
          <cell r="A2070" t="str">
            <v>JUPITER INFOMEDIA LTD</v>
          </cell>
          <cell r="B2070">
            <v>534623</v>
          </cell>
          <cell r="C2070" t="str">
            <v>Not Listed</v>
          </cell>
        </row>
        <row r="2071">
          <cell r="A2071" t="str">
            <v>JUST DIAL LTD</v>
          </cell>
          <cell r="B2071">
            <v>535648</v>
          </cell>
          <cell r="C2071" t="str">
            <v>JUSTDIAL</v>
          </cell>
        </row>
        <row r="2072">
          <cell r="A2072" t="str">
            <v>JUSTRIDE ENTERPRISES LTD</v>
          </cell>
          <cell r="B2072">
            <v>531035</v>
          </cell>
          <cell r="C2072" t="str">
            <v>Not Listed</v>
          </cell>
        </row>
        <row r="2073">
          <cell r="A2073" t="str">
            <v>JVL AGRO INDUSTRIES LTD</v>
          </cell>
          <cell r="B2073">
            <v>519248</v>
          </cell>
          <cell r="C2073" t="str">
            <v>JVLAGRO</v>
          </cell>
        </row>
        <row r="2074">
          <cell r="A2074" t="str">
            <v>Jyot International Marketing Ltd</v>
          </cell>
          <cell r="B2074">
            <v>542544</v>
          </cell>
          <cell r="C2074" t="str">
            <v>JYOTIN</v>
          </cell>
        </row>
        <row r="2075">
          <cell r="A2075" t="str">
            <v>JYOTHY LABORATORIES LTD</v>
          </cell>
          <cell r="B2075">
            <v>532926</v>
          </cell>
          <cell r="C2075" t="str">
            <v>JYOTHYLAB</v>
          </cell>
        </row>
        <row r="2076">
          <cell r="A2076" t="str">
            <v>JYOTI LTD</v>
          </cell>
          <cell r="B2076">
            <v>504076</v>
          </cell>
          <cell r="C2076" t="str">
            <v>Not Listed</v>
          </cell>
        </row>
        <row r="2077">
          <cell r="A2077" t="str">
            <v>JYOTI RESINS &amp; ADHESIVES LTD</v>
          </cell>
          <cell r="B2077">
            <v>514448</v>
          </cell>
          <cell r="C2077" t="str">
            <v>Not Listed</v>
          </cell>
        </row>
        <row r="2078">
          <cell r="A2078" t="str">
            <v>JYOTI STRUCTURES LTD</v>
          </cell>
          <cell r="B2078">
            <v>513250</v>
          </cell>
          <cell r="C2078" t="str">
            <v>JYOTISTRUC</v>
          </cell>
        </row>
        <row r="2079">
          <cell r="A2079" t="str">
            <v>JYOTIRGAMYA ENTERPRISES LTD</v>
          </cell>
          <cell r="B2079">
            <v>539246</v>
          </cell>
          <cell r="C2079" t="str">
            <v>Not Listed</v>
          </cell>
        </row>
        <row r="2080">
          <cell r="A2080" t="str">
            <v>K M SUGAR MILLS LTD</v>
          </cell>
          <cell r="B2080">
            <v>532673</v>
          </cell>
          <cell r="C2080" t="str">
            <v>KMSUGAR</v>
          </cell>
        </row>
        <row r="2081">
          <cell r="A2081" t="str">
            <v>K P  ENERGY LTD</v>
          </cell>
          <cell r="B2081">
            <v>539686</v>
          </cell>
          <cell r="C2081" t="str">
            <v>Not Listed</v>
          </cell>
        </row>
        <row r="2082">
          <cell r="A2082" t="str">
            <v>K P R MILL LTD</v>
          </cell>
          <cell r="B2082">
            <v>532889</v>
          </cell>
          <cell r="C2082" t="str">
            <v>KPRMILL</v>
          </cell>
        </row>
        <row r="2083">
          <cell r="A2083" t="str">
            <v>K Z LEASING &amp; FINANCE LTD</v>
          </cell>
          <cell r="B2083">
            <v>511728</v>
          </cell>
          <cell r="C2083" t="str">
            <v>Not Listed</v>
          </cell>
        </row>
        <row r="2084">
          <cell r="A2084" t="str">
            <v>K&amp;R RAIL ENGINEERING LTD</v>
          </cell>
          <cell r="B2084">
            <v>514360</v>
          </cell>
          <cell r="C2084" t="str">
            <v>Not Listed</v>
          </cell>
        </row>
        <row r="2085">
          <cell r="A2085" t="str">
            <v>K.P.I. Global Infrastructure Ltd</v>
          </cell>
          <cell r="B2085">
            <v>542323</v>
          </cell>
          <cell r="C2085" t="str">
            <v>KPIGLOBAL</v>
          </cell>
        </row>
        <row r="2086">
          <cell r="A2086" t="str">
            <v>KAARYA FACILITIES AND SERVICES LTD</v>
          </cell>
          <cell r="B2086">
            <v>540756</v>
          </cell>
          <cell r="C2086" t="str">
            <v>Not Listed</v>
          </cell>
        </row>
        <row r="2087">
          <cell r="A2087" t="str">
            <v>KABRA COMMERCIAL LTD</v>
          </cell>
          <cell r="B2087">
            <v>539393</v>
          </cell>
          <cell r="C2087" t="str">
            <v>Not Listed</v>
          </cell>
        </row>
        <row r="2088">
          <cell r="A2088" t="str">
            <v>KABRA DRUGS LTD</v>
          </cell>
          <cell r="B2088">
            <v>524322</v>
          </cell>
          <cell r="C2088" t="str">
            <v>Not Listed</v>
          </cell>
        </row>
        <row r="2089">
          <cell r="A2089" t="str">
            <v>KABRA EXTRUSION TECHNIK LTD</v>
          </cell>
          <cell r="B2089">
            <v>524109</v>
          </cell>
          <cell r="C2089" t="str">
            <v>KABRAEXTRU</v>
          </cell>
        </row>
        <row r="2090">
          <cell r="A2090" t="str">
            <v>KABSONS INDUSTRIES LTD</v>
          </cell>
          <cell r="B2090">
            <v>524675</v>
          </cell>
          <cell r="C2090" t="str">
            <v>Not Listed</v>
          </cell>
        </row>
        <row r="2091">
          <cell r="A2091" t="str">
            <v>KACHCHH MINERALS LTD</v>
          </cell>
          <cell r="B2091">
            <v>531778</v>
          </cell>
          <cell r="C2091" t="str">
            <v>Not Listed</v>
          </cell>
        </row>
        <row r="2092">
          <cell r="A2092" t="str">
            <v>KAIRA CAN CO LTD</v>
          </cell>
          <cell r="B2092">
            <v>504840</v>
          </cell>
          <cell r="C2092" t="str">
            <v>Not Listed</v>
          </cell>
        </row>
        <row r="2093">
          <cell r="A2093" t="str">
            <v>KAISER CORPORATION LTD</v>
          </cell>
          <cell r="B2093">
            <v>531780</v>
          </cell>
          <cell r="C2093" t="str">
            <v>Not Listed</v>
          </cell>
        </row>
        <row r="2094">
          <cell r="A2094" t="str">
            <v>KAJARIA CERAMICS LTD</v>
          </cell>
          <cell r="B2094">
            <v>500233</v>
          </cell>
          <cell r="C2094" t="str">
            <v>KAJARIACER</v>
          </cell>
        </row>
        <row r="2095">
          <cell r="A2095" t="str">
            <v>KAKATIYA CEMENT SUGAR &amp; INDUSTRIES LTD</v>
          </cell>
          <cell r="B2095">
            <v>500234</v>
          </cell>
          <cell r="C2095" t="str">
            <v>KAKATCEM</v>
          </cell>
        </row>
        <row r="2096">
          <cell r="A2096" t="str">
            <v>KAKATIYA TEXTILES LTD</v>
          </cell>
          <cell r="B2096">
            <v>521054</v>
          </cell>
          <cell r="C2096" t="str">
            <v>Not Listed</v>
          </cell>
        </row>
        <row r="2097">
          <cell r="A2097" t="str">
            <v>KALLAM TEXTILES LTD</v>
          </cell>
          <cell r="B2097">
            <v>530201</v>
          </cell>
          <cell r="C2097" t="str">
            <v>Not Listed</v>
          </cell>
        </row>
        <row r="2098">
          <cell r="A2098" t="str">
            <v>KALPA COMMERCIAL LTD</v>
          </cell>
          <cell r="B2098">
            <v>539014</v>
          </cell>
          <cell r="C2098" t="str">
            <v>Not Listed</v>
          </cell>
        </row>
        <row r="2099">
          <cell r="A2099" t="str">
            <v>KALPATARU POWER TRANSMISSION LTD</v>
          </cell>
          <cell r="B2099">
            <v>522287</v>
          </cell>
          <cell r="C2099" t="str">
            <v>KALPATPOWR</v>
          </cell>
        </row>
        <row r="2100">
          <cell r="A2100" t="str">
            <v>KALYANI COMMERCIALS LTD</v>
          </cell>
          <cell r="B2100" t="str">
            <v>Not Listed</v>
          </cell>
          <cell r="C2100" t="str">
            <v>KALYANI</v>
          </cell>
        </row>
        <row r="2101">
          <cell r="A2101" t="str">
            <v>KALYANI FORGE LTD</v>
          </cell>
          <cell r="B2101">
            <v>513509</v>
          </cell>
          <cell r="C2101" t="str">
            <v>KALYANIFRG</v>
          </cell>
        </row>
        <row r="2102">
          <cell r="A2102" t="str">
            <v>KALYANI INVESTMENT COMPANY LTD</v>
          </cell>
          <cell r="B2102">
            <v>533302</v>
          </cell>
          <cell r="C2102" t="str">
            <v>KICL</v>
          </cell>
        </row>
        <row r="2103">
          <cell r="A2103" t="str">
            <v>KALYANI STEELS LTD</v>
          </cell>
          <cell r="B2103">
            <v>500235</v>
          </cell>
          <cell r="C2103" t="str">
            <v>KSL</v>
          </cell>
        </row>
        <row r="2104">
          <cell r="A2104" t="str">
            <v>KAMA HOLDINGS LTD</v>
          </cell>
          <cell r="B2104">
            <v>532468</v>
          </cell>
          <cell r="C2104" t="str">
            <v>Not Listed</v>
          </cell>
        </row>
        <row r="2105">
          <cell r="A2105" t="str">
            <v>KAMADGIRI FASHION LTD</v>
          </cell>
          <cell r="B2105">
            <v>514322</v>
          </cell>
          <cell r="C2105" t="str">
            <v>Not Listed</v>
          </cell>
        </row>
        <row r="2106">
          <cell r="A2106" t="str">
            <v>KAMANWALA HOUSING CONSTRUCTION LTD</v>
          </cell>
          <cell r="B2106">
            <v>511131</v>
          </cell>
          <cell r="C2106" t="str">
            <v>Not Listed</v>
          </cell>
        </row>
        <row r="2107">
          <cell r="A2107" t="str">
            <v>KAMAT HOTELS I LTD</v>
          </cell>
          <cell r="B2107">
            <v>526668</v>
          </cell>
          <cell r="C2107" t="str">
            <v>KAMATHOTEL</v>
          </cell>
        </row>
        <row r="2108">
          <cell r="A2108" t="str">
            <v>KAMDHENU LTD</v>
          </cell>
          <cell r="B2108">
            <v>532741</v>
          </cell>
          <cell r="C2108" t="str">
            <v>KAMDHENU</v>
          </cell>
        </row>
        <row r="2109">
          <cell r="A2109" t="str">
            <v>KAMRON LABORATORIES LTD</v>
          </cell>
          <cell r="B2109">
            <v>524604</v>
          </cell>
          <cell r="C2109" t="str">
            <v>Not Listed</v>
          </cell>
        </row>
        <row r="2110">
          <cell r="A2110" t="str">
            <v>KANAK KRISHI IMPLEMENTS LTD</v>
          </cell>
          <cell r="B2110">
            <v>780003</v>
          </cell>
          <cell r="C2110" t="str">
            <v>Not Listed</v>
          </cell>
        </row>
        <row r="2111">
          <cell r="A2111" t="str">
            <v>KANANI INDUSTRIES LTD</v>
          </cell>
          <cell r="B2111">
            <v>506184</v>
          </cell>
          <cell r="C2111" t="str">
            <v>KANANIIND</v>
          </cell>
        </row>
        <row r="2112">
          <cell r="A2112" t="str">
            <v>KANCHI KARPOORAM LTD</v>
          </cell>
          <cell r="B2112">
            <v>538896</v>
          </cell>
          <cell r="C2112" t="str">
            <v>Not Listed</v>
          </cell>
        </row>
        <row r="2113">
          <cell r="A2113" t="str">
            <v>KANCO TEA &amp; INDUSTRIES LTD</v>
          </cell>
          <cell r="B2113">
            <v>541005</v>
          </cell>
          <cell r="C2113" t="str">
            <v>Not Listed</v>
          </cell>
        </row>
        <row r="2114">
          <cell r="A2114" t="str">
            <v>KANDAGIRI SPINNING MILLS LTD</v>
          </cell>
          <cell r="B2114">
            <v>521242</v>
          </cell>
          <cell r="C2114" t="str">
            <v>Not Listed</v>
          </cell>
        </row>
        <row r="2115">
          <cell r="A2115" t="str">
            <v>Kanel Industries LTD</v>
          </cell>
          <cell r="B2115">
            <v>500236</v>
          </cell>
          <cell r="C2115" t="str">
            <v>KANELIND</v>
          </cell>
        </row>
        <row r="2116">
          <cell r="A2116" t="str">
            <v>KANISHK STEEL INDUSTRIES LTD</v>
          </cell>
          <cell r="B2116">
            <v>513456</v>
          </cell>
          <cell r="C2116" t="str">
            <v>Not Listed</v>
          </cell>
        </row>
        <row r="2117">
          <cell r="A2117" t="str">
            <v>KANORIA CHEMICALS &amp; INDUSTRIES LTD</v>
          </cell>
          <cell r="B2117">
            <v>506525</v>
          </cell>
          <cell r="C2117" t="str">
            <v>KANORICHEM</v>
          </cell>
        </row>
        <row r="2118">
          <cell r="A2118" t="str">
            <v>KANPUR PLASTIPACK LTD</v>
          </cell>
          <cell r="B2118">
            <v>507779</v>
          </cell>
          <cell r="C2118" t="str">
            <v>Not Listed</v>
          </cell>
        </row>
        <row r="2119">
          <cell r="A2119" t="str">
            <v>KANSAI NEROLAC PAINTS LTD</v>
          </cell>
          <cell r="B2119">
            <v>500165</v>
          </cell>
          <cell r="C2119" t="str">
            <v>KANSAINER</v>
          </cell>
        </row>
        <row r="2120">
          <cell r="A2120" t="str">
            <v>KANUNGO FINANCIERS LTD</v>
          </cell>
          <cell r="B2120">
            <v>540515</v>
          </cell>
          <cell r="C2120" t="str">
            <v>Not Listed</v>
          </cell>
        </row>
        <row r="2121">
          <cell r="A2121" t="str">
            <v>KAPASHI COMMERCIALS LTD</v>
          </cell>
          <cell r="B2121">
            <v>512399</v>
          </cell>
          <cell r="C2121" t="str">
            <v>Not Listed</v>
          </cell>
        </row>
        <row r="2122">
          <cell r="A2122" t="str">
            <v>KAPIL COTEX LTD</v>
          </cell>
          <cell r="B2122">
            <v>512036</v>
          </cell>
          <cell r="C2122" t="str">
            <v>Not Listed</v>
          </cell>
        </row>
        <row r="2123">
          <cell r="A2123" t="str">
            <v>KAPIL RAJ FINANCE LTD</v>
          </cell>
          <cell r="B2123">
            <v>539679</v>
          </cell>
          <cell r="C2123" t="str">
            <v>Not Listed</v>
          </cell>
        </row>
        <row r="2124">
          <cell r="A2124" t="str">
            <v>KAPSTON FACILITIES MANAGEMENT LTD</v>
          </cell>
          <cell r="B2124" t="str">
            <v>Not Listed</v>
          </cell>
          <cell r="C2124" t="str">
            <v>KAPSTON</v>
          </cell>
        </row>
        <row r="2125">
          <cell r="A2125" t="str">
            <v>KARAN WOO-SIN LTD</v>
          </cell>
          <cell r="B2125">
            <v>526115</v>
          </cell>
          <cell r="C2125" t="str">
            <v>Not Listed</v>
          </cell>
        </row>
        <row r="2126">
          <cell r="A2126" t="str">
            <v>KARDA CONSTRUCTIONS LTD</v>
          </cell>
          <cell r="B2126">
            <v>541161</v>
          </cell>
          <cell r="C2126" t="str">
            <v>KARDA</v>
          </cell>
        </row>
        <row r="2127">
          <cell r="A2127" t="str">
            <v>KARMA ENERGY LTD</v>
          </cell>
          <cell r="B2127">
            <v>533451</v>
          </cell>
          <cell r="C2127" t="str">
            <v>KARMAENG</v>
          </cell>
        </row>
        <row r="2128">
          <cell r="A2128" t="str">
            <v>KARNAVATI FINANCE LTD</v>
          </cell>
          <cell r="B2128">
            <v>538928</v>
          </cell>
          <cell r="C2128" t="str">
            <v>Not Listed</v>
          </cell>
        </row>
        <row r="2129">
          <cell r="A2129" t="str">
            <v>KARNIMATA COLD STORAGE LTD</v>
          </cell>
          <cell r="B2129">
            <v>537784</v>
          </cell>
          <cell r="C2129" t="str">
            <v>Not Listed</v>
          </cell>
        </row>
        <row r="2130">
          <cell r="A2130" t="str">
            <v>KARUR VYSYA BANK LTD</v>
          </cell>
          <cell r="B2130">
            <v>590003</v>
          </cell>
          <cell r="C2130" t="str">
            <v>KARURVYSYA</v>
          </cell>
        </row>
        <row r="2131">
          <cell r="A2131" t="str">
            <v>KARUTURI GLOBAL LTD</v>
          </cell>
          <cell r="B2131">
            <v>531687</v>
          </cell>
          <cell r="C2131" t="str">
            <v>KGL</v>
          </cell>
        </row>
        <row r="2132">
          <cell r="A2132" t="str">
            <v>KASHIRAM JAIN AND COMPANY LTD</v>
          </cell>
          <cell r="B2132">
            <v>539533</v>
          </cell>
          <cell r="C2132" t="str">
            <v>Not Listed</v>
          </cell>
        </row>
        <row r="2133">
          <cell r="A2133" t="str">
            <v>KATARE SPINNING MILLS LTD</v>
          </cell>
          <cell r="B2133">
            <v>502933</v>
          </cell>
          <cell r="C2133" t="str">
            <v>Not Listed</v>
          </cell>
        </row>
        <row r="2134">
          <cell r="A2134" t="str">
            <v>KAUSHALYA INFRASTRUCTURE DEVELOPMENT CORPORATION LTD</v>
          </cell>
          <cell r="B2134">
            <v>532925</v>
          </cell>
          <cell r="C2134" t="str">
            <v>KAUSHALYA</v>
          </cell>
        </row>
        <row r="2135">
          <cell r="A2135" t="str">
            <v>KAVERI SEED COMPANY LTD</v>
          </cell>
          <cell r="B2135">
            <v>532899</v>
          </cell>
          <cell r="C2135" t="str">
            <v>KSCL</v>
          </cell>
        </row>
        <row r="2136">
          <cell r="A2136" t="str">
            <v>KAVIT INDUSTRIES LTD</v>
          </cell>
          <cell r="B2136">
            <v>524444</v>
          </cell>
          <cell r="C2136" t="str">
            <v>Not Listed</v>
          </cell>
        </row>
        <row r="2137">
          <cell r="A2137" t="str">
            <v>KAVITA FABRICS LTD</v>
          </cell>
          <cell r="B2137">
            <v>535136</v>
          </cell>
          <cell r="C2137" t="str">
            <v>Not Listed</v>
          </cell>
        </row>
        <row r="2138">
          <cell r="A2138" t="str">
            <v>KAVVERI TELECOM PRODUCTS LTD</v>
          </cell>
          <cell r="B2138">
            <v>590041</v>
          </cell>
          <cell r="C2138" t="str">
            <v>KAVVERITEL</v>
          </cell>
        </row>
        <row r="2139">
          <cell r="A2139" t="str">
            <v>KAY POWER AND PAPER LTD</v>
          </cell>
          <cell r="B2139">
            <v>530255</v>
          </cell>
          <cell r="C2139" t="str">
            <v>Not Listed</v>
          </cell>
        </row>
        <row r="2140">
          <cell r="A2140" t="str">
            <v>KAYA LTD</v>
          </cell>
          <cell r="B2140">
            <v>539276</v>
          </cell>
          <cell r="C2140" t="str">
            <v>KAYA</v>
          </cell>
        </row>
        <row r="2141">
          <cell r="A2141" t="str">
            <v>KAYCEE INDUSTRIES LTD</v>
          </cell>
          <cell r="B2141">
            <v>504084</v>
          </cell>
          <cell r="C2141" t="str">
            <v>Not Listed</v>
          </cell>
        </row>
        <row r="2142">
          <cell r="A2142" t="str">
            <v>KAYEL SECURITIES LTD</v>
          </cell>
          <cell r="B2142">
            <v>539562</v>
          </cell>
          <cell r="C2142" t="str">
            <v>Not Listed</v>
          </cell>
        </row>
        <row r="2143">
          <cell r="A2143" t="str">
            <v>KBS (INDIA) LTD</v>
          </cell>
          <cell r="B2143">
            <v>530357</v>
          </cell>
          <cell r="C2143" t="str">
            <v>Not Listed</v>
          </cell>
        </row>
        <row r="2144">
          <cell r="A2144" t="str">
            <v>KBS INDIA LTD</v>
          </cell>
          <cell r="B2144">
            <v>530357</v>
          </cell>
          <cell r="C2144" t="str">
            <v>Not Listed</v>
          </cell>
        </row>
        <row r="2145">
          <cell r="A2145" t="str">
            <v>KCCL PLASTIC LTD</v>
          </cell>
          <cell r="B2145">
            <v>526067</v>
          </cell>
          <cell r="C2145" t="str">
            <v>Not Listed</v>
          </cell>
        </row>
        <row r="2146">
          <cell r="A2146" t="str">
            <v>KCL INFRA PROJECTS LTD</v>
          </cell>
          <cell r="B2146">
            <v>531784</v>
          </cell>
          <cell r="C2146" t="str">
            <v>Not Listed</v>
          </cell>
        </row>
        <row r="2147">
          <cell r="A2147" t="str">
            <v>KCP LTD</v>
          </cell>
          <cell r="B2147">
            <v>590066</v>
          </cell>
          <cell r="C2147" t="str">
            <v>KCP</v>
          </cell>
        </row>
        <row r="2148">
          <cell r="A2148" t="str">
            <v>KCP SUGAR AND INDUSTRIES CORPORATION LTD</v>
          </cell>
          <cell r="B2148">
            <v>533192</v>
          </cell>
          <cell r="C2148" t="str">
            <v>KCPSUGIND</v>
          </cell>
        </row>
        <row r="2149">
          <cell r="A2149" t="str">
            <v>KD LEISURES LTD</v>
          </cell>
          <cell r="B2149">
            <v>540385</v>
          </cell>
          <cell r="C2149" t="str">
            <v>Not Listed</v>
          </cell>
        </row>
        <row r="2150">
          <cell r="A2150" t="str">
            <v>KDDL LTD</v>
          </cell>
          <cell r="B2150">
            <v>532054</v>
          </cell>
          <cell r="C2150" t="str">
            <v>KDDL</v>
          </cell>
        </row>
        <row r="2151">
          <cell r="A2151" t="str">
            <v>KEC INTERNATIONAL LTD</v>
          </cell>
          <cell r="B2151">
            <v>532714</v>
          </cell>
          <cell r="C2151" t="str">
            <v>KEC</v>
          </cell>
        </row>
        <row r="2152">
          <cell r="A2152" t="str">
            <v>KEDIA CONSTRUCTION CO LTD</v>
          </cell>
          <cell r="B2152">
            <v>508993</v>
          </cell>
          <cell r="C2152" t="str">
            <v>Not Listed</v>
          </cell>
        </row>
        <row r="2153">
          <cell r="A2153" t="str">
            <v>KEERTHI INDUSTRIES LTD</v>
          </cell>
          <cell r="B2153">
            <v>518011</v>
          </cell>
          <cell r="C2153" t="str">
            <v>Not Listed</v>
          </cell>
        </row>
        <row r="2154">
          <cell r="A2154" t="str">
            <v>KEERTI KNOWLEDGE AND SKILLS LTD</v>
          </cell>
          <cell r="B2154" t="str">
            <v>Not Listed</v>
          </cell>
          <cell r="C2154" t="str">
            <v>KEERTI</v>
          </cell>
        </row>
        <row r="2155">
          <cell r="A2155" t="str">
            <v>KEI INDUSTRIES LTD</v>
          </cell>
          <cell r="B2155">
            <v>517569</v>
          </cell>
          <cell r="C2155" t="str">
            <v>KEI</v>
          </cell>
        </row>
        <row r="2156">
          <cell r="A2156" t="str">
            <v>KELLTON TECH SOLUTIONS LTD</v>
          </cell>
          <cell r="B2156">
            <v>519602</v>
          </cell>
          <cell r="C2156" t="str">
            <v>KELLTONTEC</v>
          </cell>
        </row>
        <row r="2157">
          <cell r="A2157" t="str">
            <v>KELTECH ENERGIES LTD</v>
          </cell>
          <cell r="B2157">
            <v>506528</v>
          </cell>
          <cell r="C2157" t="str">
            <v>Not Listed</v>
          </cell>
        </row>
        <row r="2158">
          <cell r="A2158" t="str">
            <v>Kemistar Corporation LTD</v>
          </cell>
          <cell r="B2158">
            <v>531163</v>
          </cell>
          <cell r="C2158" t="str">
            <v>KEMISTAR</v>
          </cell>
        </row>
        <row r="2159">
          <cell r="A2159" t="str">
            <v>KEMP &amp; COMPANY LTD</v>
          </cell>
          <cell r="B2159">
            <v>506530</v>
          </cell>
          <cell r="C2159" t="str">
            <v>Not Listed</v>
          </cell>
        </row>
        <row r="2160">
          <cell r="A2160" t="str">
            <v>KENNAMETAL (INDIA) LTD</v>
          </cell>
          <cell r="B2160">
            <v>505890</v>
          </cell>
          <cell r="C2160" t="str">
            <v>Not Listed</v>
          </cell>
        </row>
        <row r="2161">
          <cell r="A2161" t="str">
            <v>KENNAMETAL INDIA LTD</v>
          </cell>
          <cell r="B2161">
            <v>505890</v>
          </cell>
          <cell r="C2161" t="str">
            <v>Not Listed</v>
          </cell>
        </row>
        <row r="2162">
          <cell r="A2162" t="str">
            <v>KENVI JEWELS LTD</v>
          </cell>
          <cell r="B2162">
            <v>540953</v>
          </cell>
          <cell r="C2162" t="str">
            <v>Not Listed</v>
          </cell>
        </row>
        <row r="2163">
          <cell r="A2163" t="str">
            <v>KERALA AYURVEDA LTD</v>
          </cell>
          <cell r="B2163">
            <v>530163</v>
          </cell>
          <cell r="C2163" t="str">
            <v>Not Listed</v>
          </cell>
        </row>
        <row r="2164">
          <cell r="A2164" t="str">
            <v>KERNEX MICROSYSTEMS (INDIA) LTD</v>
          </cell>
          <cell r="B2164">
            <v>532686</v>
          </cell>
          <cell r="C2164" t="str">
            <v>KERNEX</v>
          </cell>
        </row>
        <row r="2165">
          <cell r="A2165" t="str">
            <v>KERNEX MICROSYSTEMS INDIA LTD</v>
          </cell>
          <cell r="B2165">
            <v>532686</v>
          </cell>
          <cell r="C2165" t="str">
            <v>KERNEX</v>
          </cell>
        </row>
        <row r="2166">
          <cell r="A2166" t="str">
            <v>KESAR ENTERPRISES LTD</v>
          </cell>
          <cell r="B2166">
            <v>507180</v>
          </cell>
          <cell r="C2166" t="str">
            <v>KESARENT</v>
          </cell>
        </row>
        <row r="2167">
          <cell r="A2167" t="str">
            <v>KESAR PETROPRODUCTS LTD</v>
          </cell>
          <cell r="B2167">
            <v>524174</v>
          </cell>
          <cell r="C2167" t="str">
            <v>Not Listed</v>
          </cell>
        </row>
        <row r="2168">
          <cell r="A2168" t="str">
            <v>KESAR TERMINALS &amp; INFRASTRUCTURE LTD</v>
          </cell>
          <cell r="B2168">
            <v>533289</v>
          </cell>
          <cell r="C2168" t="str">
            <v>KTIL</v>
          </cell>
        </row>
        <row r="2169">
          <cell r="A2169" t="str">
            <v>KESORAM INDUSTRIES LTD</v>
          </cell>
          <cell r="B2169">
            <v>502937</v>
          </cell>
          <cell r="C2169" t="str">
            <v>KESORAMIND</v>
          </cell>
        </row>
        <row r="2170">
          <cell r="A2170" t="str">
            <v>KEWAL KIRAN CLOTHING LTD</v>
          </cell>
          <cell r="B2170">
            <v>532732</v>
          </cell>
          <cell r="C2170" t="str">
            <v>KKCL</v>
          </cell>
        </row>
        <row r="2171">
          <cell r="A2171" t="str">
            <v>KEY CORP LTD</v>
          </cell>
          <cell r="B2171">
            <v>507948</v>
          </cell>
          <cell r="C2171" t="str">
            <v>Not Listed</v>
          </cell>
        </row>
        <row r="2172">
          <cell r="A2172" t="str">
            <v>KEYNOTE CORPORATE SERVICES LTD</v>
          </cell>
          <cell r="B2172">
            <v>512597</v>
          </cell>
          <cell r="C2172" t="str">
            <v>KEYCORPSER</v>
          </cell>
        </row>
        <row r="2173">
          <cell r="A2173" t="str">
            <v>Keynote Financial Services LTD</v>
          </cell>
          <cell r="B2173" t="str">
            <v>Not Listed</v>
          </cell>
          <cell r="C2173" t="str">
            <v>KEYFINSERV</v>
          </cell>
        </row>
        <row r="2174">
          <cell r="A2174" t="str">
            <v>KG DENIM LTD</v>
          </cell>
          <cell r="B2174">
            <v>500239</v>
          </cell>
          <cell r="C2174" t="str">
            <v>Not Listed</v>
          </cell>
        </row>
        <row r="2175">
          <cell r="A2175" t="str">
            <v>KG PETROCHEM LTD</v>
          </cell>
          <cell r="B2175">
            <v>531609</v>
          </cell>
          <cell r="C2175" t="str">
            <v>Not Listed</v>
          </cell>
        </row>
        <row r="2176">
          <cell r="A2176" t="str">
            <v>KHADIM (INDIA) LTD</v>
          </cell>
          <cell r="B2176">
            <v>540775</v>
          </cell>
          <cell r="C2176" t="str">
            <v>KHADIM</v>
          </cell>
        </row>
        <row r="2177">
          <cell r="A2177" t="str">
            <v>KHADIM INDIA LTD</v>
          </cell>
          <cell r="B2177">
            <v>540775</v>
          </cell>
          <cell r="C2177" t="str">
            <v>KHADIM</v>
          </cell>
        </row>
        <row r="2178">
          <cell r="A2178" t="str">
            <v>KHAITAN (INDIA) LTD</v>
          </cell>
          <cell r="B2178">
            <v>590068</v>
          </cell>
          <cell r="C2178" t="str">
            <v>KHAITANLTD</v>
          </cell>
        </row>
        <row r="2179">
          <cell r="A2179" t="str">
            <v>KHAITAN CHEMICALS &amp; FERTILIZERS LTD</v>
          </cell>
          <cell r="B2179">
            <v>507794</v>
          </cell>
          <cell r="C2179" t="str">
            <v>Not Listed</v>
          </cell>
        </row>
        <row r="2180">
          <cell r="A2180" t="str">
            <v>KHAITAN ELECTRICALS LTD.</v>
          </cell>
          <cell r="B2180">
            <v>504269</v>
          </cell>
          <cell r="C2180" t="str">
            <v>KHAITANELE</v>
          </cell>
        </row>
        <row r="2181">
          <cell r="A2181" t="str">
            <v>KHAITAN INDIA LTD</v>
          </cell>
          <cell r="B2181">
            <v>590068</v>
          </cell>
          <cell r="C2181" t="str">
            <v>KHAITANLTD</v>
          </cell>
        </row>
        <row r="2182">
          <cell r="A2182" t="str">
            <v>KHANDELWAL EXTRACTION LTD</v>
          </cell>
          <cell r="B2182">
            <v>519064</v>
          </cell>
          <cell r="C2182" t="str">
            <v>Not Listed</v>
          </cell>
        </row>
        <row r="2183">
          <cell r="A2183" t="str">
            <v>KHANDWALA SECURITIES LTD</v>
          </cell>
          <cell r="B2183">
            <v>531892</v>
          </cell>
          <cell r="C2183" t="str">
            <v>KHANDSE</v>
          </cell>
        </row>
        <row r="2184">
          <cell r="A2184" t="str">
            <v>KHATAU EXIM LTD</v>
          </cell>
          <cell r="B2184">
            <v>506178</v>
          </cell>
          <cell r="C2184" t="str">
            <v>Not Listed</v>
          </cell>
        </row>
        <row r="2185">
          <cell r="A2185" t="str">
            <v>KHATOR FIBRE &amp; FABRICS LTD</v>
          </cell>
          <cell r="B2185">
            <v>521127</v>
          </cell>
          <cell r="C2185" t="str">
            <v>Not Listed</v>
          </cell>
        </row>
        <row r="2186">
          <cell r="A2186" t="str">
            <v>KHEMANI DISTRIBUTORS &amp; MARKETING LTD</v>
          </cell>
          <cell r="B2186">
            <v>539788</v>
          </cell>
          <cell r="C2186" t="str">
            <v>Not Listed</v>
          </cell>
        </row>
        <row r="2187">
          <cell r="A2187" t="str">
            <v>KHODAY (INDIA) LTD</v>
          </cell>
          <cell r="B2187">
            <v>507435</v>
          </cell>
          <cell r="C2187" t="str">
            <v>Not Listed</v>
          </cell>
        </row>
        <row r="2188">
          <cell r="A2188" t="str">
            <v>KHODAY INDIA LTD</v>
          </cell>
          <cell r="B2188">
            <v>507435</v>
          </cell>
          <cell r="C2188" t="str">
            <v>Not Listed</v>
          </cell>
        </row>
        <row r="2189">
          <cell r="A2189" t="str">
            <v>KHOOBSURAT LTD</v>
          </cell>
          <cell r="B2189">
            <v>535730</v>
          </cell>
          <cell r="C2189" t="str">
            <v>Not Listed</v>
          </cell>
        </row>
        <row r="2190">
          <cell r="A2190" t="str">
            <v>KHYATI MULTIMEDIA-ENTERTAINMENT LTD</v>
          </cell>
          <cell r="B2190">
            <v>531692</v>
          </cell>
          <cell r="C2190" t="str">
            <v>Not Listed</v>
          </cell>
        </row>
        <row r="2191">
          <cell r="A2191" t="str">
            <v>KIC METALIKS LTD</v>
          </cell>
          <cell r="B2191">
            <v>513693</v>
          </cell>
          <cell r="C2191" t="str">
            <v>Not Listed</v>
          </cell>
        </row>
        <row r="2192">
          <cell r="A2192" t="str">
            <v>KIDS MEDICAL SYSTEMS LTD</v>
          </cell>
          <cell r="B2192">
            <v>540812</v>
          </cell>
          <cell r="C2192" t="str">
            <v>Not Listed</v>
          </cell>
        </row>
        <row r="2193">
          <cell r="A2193" t="str">
            <v>KIDUJA (INDIA) LTD</v>
          </cell>
          <cell r="B2193">
            <v>507946</v>
          </cell>
          <cell r="C2193" t="str">
            <v>Not Listed</v>
          </cell>
        </row>
        <row r="2194">
          <cell r="A2194" t="str">
            <v>KIDUJA INDIA LTD</v>
          </cell>
          <cell r="B2194">
            <v>507946</v>
          </cell>
          <cell r="C2194" t="str">
            <v>Not Listed</v>
          </cell>
        </row>
        <row r="2195">
          <cell r="A2195" t="str">
            <v>KIFS FINANCIAL SERVICES LTD</v>
          </cell>
          <cell r="B2195">
            <v>535566</v>
          </cell>
          <cell r="C2195" t="str">
            <v>Not Listed</v>
          </cell>
        </row>
        <row r="2196">
          <cell r="A2196" t="str">
            <v>KILBURN CHEMICALS LTD</v>
          </cell>
          <cell r="B2196">
            <v>524699</v>
          </cell>
          <cell r="C2196" t="str">
            <v>Not Listed</v>
          </cell>
        </row>
        <row r="2197">
          <cell r="A2197" t="str">
            <v>KILBURN ENGINEERING LTD</v>
          </cell>
          <cell r="B2197">
            <v>522101</v>
          </cell>
          <cell r="C2197" t="str">
            <v>Not Listed</v>
          </cell>
        </row>
        <row r="2198">
          <cell r="A2198" t="str">
            <v>KILBURN OFFICE AUTOMATION LTD.</v>
          </cell>
          <cell r="B2198">
            <v>523218</v>
          </cell>
          <cell r="C2198" t="str">
            <v>KILBURN</v>
          </cell>
        </row>
        <row r="2199">
          <cell r="A2199" t="str">
            <v>KILITCH DRUGS (INDIA) LTD</v>
          </cell>
          <cell r="B2199">
            <v>524500</v>
          </cell>
          <cell r="C2199" t="str">
            <v>KILITCH</v>
          </cell>
        </row>
        <row r="2200">
          <cell r="A2200" t="str">
            <v>KILITCH DRUGS INDIA LTD</v>
          </cell>
          <cell r="B2200">
            <v>524500</v>
          </cell>
          <cell r="C2200" t="str">
            <v>KILITCH</v>
          </cell>
        </row>
        <row r="2201">
          <cell r="A2201" t="str">
            <v>KILPEST (INDIA) LTD</v>
          </cell>
          <cell r="B2201">
            <v>532067</v>
          </cell>
          <cell r="C2201" t="str">
            <v>Not Listed</v>
          </cell>
        </row>
        <row r="2202">
          <cell r="A2202" t="str">
            <v>KILPEST INDIA LTD</v>
          </cell>
          <cell r="B2202">
            <v>532067</v>
          </cell>
          <cell r="C2202" t="str">
            <v>Not Listed</v>
          </cell>
        </row>
        <row r="2203">
          <cell r="A2203" t="str">
            <v>Kimia Biosciences Ltd</v>
          </cell>
          <cell r="B2203">
            <v>530313</v>
          </cell>
          <cell r="C2203" t="str">
            <v>KIMIABL</v>
          </cell>
        </row>
        <row r="2204">
          <cell r="A2204" t="str">
            <v>KINETIC ENGINEERING LTD</v>
          </cell>
          <cell r="B2204">
            <v>500240</v>
          </cell>
          <cell r="C2204" t="str">
            <v>Not Listed</v>
          </cell>
        </row>
        <row r="2205">
          <cell r="A2205" t="str">
            <v>KINETIC TRUST LTD</v>
          </cell>
          <cell r="B2205">
            <v>531274</v>
          </cell>
          <cell r="C2205" t="str">
            <v>Not Listed</v>
          </cell>
        </row>
        <row r="2206">
          <cell r="A2206" t="str">
            <v>KINGFA SCIENCE &amp; TECHNOLOGY (INDIA) LTD</v>
          </cell>
          <cell r="B2206">
            <v>524019</v>
          </cell>
          <cell r="C2206" t="str">
            <v>KINGFA</v>
          </cell>
        </row>
        <row r="2207">
          <cell r="A2207" t="str">
            <v>KINGFA SCIENCE &amp; TECHNOLOGY INDIA LTD</v>
          </cell>
          <cell r="B2207">
            <v>524019</v>
          </cell>
          <cell r="C2207" t="str">
            <v>KINGFA</v>
          </cell>
        </row>
        <row r="2208">
          <cell r="A2208" t="str">
            <v>KINGS INFRA VENTURES LTD</v>
          </cell>
          <cell r="B2208">
            <v>530215</v>
          </cell>
          <cell r="C2208" t="str">
            <v>Not Listed</v>
          </cell>
        </row>
        <row r="2209">
          <cell r="A2209" t="str">
            <v>KINTECH RENEWABLES LTD</v>
          </cell>
          <cell r="B2209">
            <v>512329</v>
          </cell>
          <cell r="C2209" t="str">
            <v>Not Listed</v>
          </cell>
        </row>
        <row r="2210">
          <cell r="A2210" t="str">
            <v>KIOCL LTD</v>
          </cell>
          <cell r="B2210">
            <v>540680</v>
          </cell>
          <cell r="C2210" t="str">
            <v>KIOCL</v>
          </cell>
        </row>
        <row r="2211">
          <cell r="A2211" t="str">
            <v>KIRAN PRINT-PACK LTD</v>
          </cell>
          <cell r="B2211">
            <v>531413</v>
          </cell>
          <cell r="C2211" t="str">
            <v>Not Listed</v>
          </cell>
        </row>
        <row r="2212">
          <cell r="A2212" t="str">
            <v>KIRAN VYAPAR LTD</v>
          </cell>
          <cell r="B2212">
            <v>537750</v>
          </cell>
          <cell r="C2212" t="str">
            <v>Not Listed</v>
          </cell>
        </row>
        <row r="2213">
          <cell r="A2213" t="str">
            <v>KIRI INDUSTRIES LTD</v>
          </cell>
          <cell r="B2213">
            <v>532967</v>
          </cell>
          <cell r="C2213" t="str">
            <v>KIRIINDUS</v>
          </cell>
        </row>
        <row r="2214">
          <cell r="A2214" t="str">
            <v>KIRLOSKAR BROTHERS LTD</v>
          </cell>
          <cell r="B2214">
            <v>500241</v>
          </cell>
          <cell r="C2214" t="str">
            <v>KIRLOSBROS</v>
          </cell>
        </row>
        <row r="2215">
          <cell r="A2215" t="str">
            <v>KIRLOSKAR ELECTRIC COMPANY LTD</v>
          </cell>
          <cell r="B2215">
            <v>533193</v>
          </cell>
          <cell r="C2215" t="str">
            <v>KECL</v>
          </cell>
        </row>
        <row r="2216">
          <cell r="A2216" t="str">
            <v>KIRLOSKAR FERROUS INDUSTRIES LTD</v>
          </cell>
          <cell r="B2216">
            <v>500245</v>
          </cell>
          <cell r="C2216" t="str">
            <v>Not Listed</v>
          </cell>
        </row>
        <row r="2217">
          <cell r="A2217" t="str">
            <v>KIRLOSKAR INDUSTRIES LTD</v>
          </cell>
          <cell r="B2217">
            <v>500243</v>
          </cell>
          <cell r="C2217" t="str">
            <v>KIRLOSIND</v>
          </cell>
        </row>
        <row r="2218">
          <cell r="A2218" t="str">
            <v>KIRLOSKAR OIL ENGINES LTD</v>
          </cell>
          <cell r="B2218">
            <v>533293</v>
          </cell>
          <cell r="C2218" t="str">
            <v>KIRLOSENG</v>
          </cell>
        </row>
        <row r="2219">
          <cell r="A2219" t="str">
            <v>KIRLOSKAR PNEUMATIC CO LTD</v>
          </cell>
          <cell r="B2219">
            <v>505283</v>
          </cell>
          <cell r="C2219" t="str">
            <v>Not Listed</v>
          </cell>
        </row>
        <row r="2220">
          <cell r="A2220" t="str">
            <v>KISAN MOULDINGS LTD</v>
          </cell>
          <cell r="B2220">
            <v>530145</v>
          </cell>
          <cell r="C2220" t="str">
            <v>Not Listed</v>
          </cell>
        </row>
        <row r="2221">
          <cell r="A2221" t="str">
            <v>KITEX GARMENTS LTD</v>
          </cell>
          <cell r="B2221">
            <v>521248</v>
          </cell>
          <cell r="C2221" t="str">
            <v>KITEX</v>
          </cell>
        </row>
        <row r="2222">
          <cell r="A2222" t="str">
            <v>KJMC CORPORATE ADVISORS (INDIA) LTD</v>
          </cell>
          <cell r="B2222">
            <v>532304</v>
          </cell>
          <cell r="C2222" t="str">
            <v>Not Listed</v>
          </cell>
        </row>
        <row r="2223">
          <cell r="A2223" t="str">
            <v>KJMC CORPORATE ADVISORS INDIA LTD</v>
          </cell>
          <cell r="B2223">
            <v>532304</v>
          </cell>
          <cell r="C2223" t="str">
            <v>Not Listed</v>
          </cell>
        </row>
        <row r="2224">
          <cell r="A2224" t="str">
            <v>KJMC FINANCIAL SERVICES LTD</v>
          </cell>
          <cell r="B2224">
            <v>530235</v>
          </cell>
          <cell r="C2224" t="str">
            <v>Not Listed</v>
          </cell>
        </row>
        <row r="2225">
          <cell r="A2225" t="str">
            <v>KKALPANA INDUSTRIES (INDIA) LTD</v>
          </cell>
          <cell r="B2225">
            <v>526409</v>
          </cell>
          <cell r="C2225" t="str">
            <v>Not Listed</v>
          </cell>
        </row>
        <row r="2226">
          <cell r="A2226" t="str">
            <v>KKALPANA INDUSTRIES INDIA LTD</v>
          </cell>
          <cell r="B2226">
            <v>526409</v>
          </cell>
          <cell r="C2226" t="str">
            <v>Not Listed</v>
          </cell>
        </row>
        <row r="2227">
          <cell r="A2227" t="str">
            <v>KKALPANA PLASTICK LTD</v>
          </cell>
          <cell r="B2227">
            <v>523652</v>
          </cell>
          <cell r="C2227" t="str">
            <v>Not Listed</v>
          </cell>
        </row>
        <row r="2228">
          <cell r="A2228" t="str">
            <v>KKRRAFTON DEVELOPERS LTD</v>
          </cell>
          <cell r="B2228">
            <v>521238</v>
          </cell>
          <cell r="C2228" t="str">
            <v>Not Listed</v>
          </cell>
        </row>
        <row r="2229">
          <cell r="A2229" t="str">
            <v>KKV AGRO POWERS LTD</v>
          </cell>
          <cell r="B2229" t="str">
            <v>Not Listed</v>
          </cell>
          <cell r="C2229" t="str">
            <v>KKVAPOW</v>
          </cell>
        </row>
        <row r="2230">
          <cell r="A2230" t="str">
            <v>KLG CAPITAL SERVICES LTD</v>
          </cell>
          <cell r="B2230">
            <v>530771</v>
          </cell>
          <cell r="C2230" t="str">
            <v>Not Listed</v>
          </cell>
        </row>
        <row r="2231">
          <cell r="A2231" t="str">
            <v>K-LIFESTYLE &amp; INDUSTRIES LTD</v>
          </cell>
          <cell r="B2231">
            <v>514221</v>
          </cell>
          <cell r="C2231" t="str">
            <v>Not Listed</v>
          </cell>
        </row>
        <row r="2232">
          <cell r="A2232" t="str">
            <v>KLK Electrical Ltd</v>
          </cell>
          <cell r="B2232">
            <v>517170</v>
          </cell>
          <cell r="C2232" t="str">
            <v>KLKELEC</v>
          </cell>
        </row>
        <row r="2233">
          <cell r="A2233" t="str">
            <v>KMC SPECIALITY HOSPITALS (INDIA) LTD</v>
          </cell>
          <cell r="B2233">
            <v>524520</v>
          </cell>
          <cell r="C2233" t="str">
            <v>Not Listed</v>
          </cell>
        </row>
        <row r="2234">
          <cell r="A2234" t="str">
            <v>KMC SPECIALITY HOSPITALS INDIA LTD</v>
          </cell>
          <cell r="B2234">
            <v>524520</v>
          </cell>
          <cell r="C2234" t="str">
            <v>Not Listed</v>
          </cell>
        </row>
        <row r="2235">
          <cell r="A2235" t="str">
            <v>KMF BUILDERS &amp; DEVELOPERS LTD</v>
          </cell>
          <cell r="B2235">
            <v>531578</v>
          </cell>
          <cell r="C2235" t="str">
            <v>Not Listed</v>
          </cell>
        </row>
        <row r="2236">
          <cell r="A2236" t="str">
            <v>KMG MILK FOOD LTD</v>
          </cell>
          <cell r="B2236">
            <v>519415</v>
          </cell>
          <cell r="C2236" t="str">
            <v>Not Listed</v>
          </cell>
        </row>
        <row r="2237">
          <cell r="A2237" t="str">
            <v>KMS MEDISURGI LTD</v>
          </cell>
          <cell r="B2237">
            <v>540468</v>
          </cell>
          <cell r="C2237" t="str">
            <v>Not Listed</v>
          </cell>
        </row>
        <row r="2238">
          <cell r="A2238" t="str">
            <v>KNR CONSTRUCTIONS LTD</v>
          </cell>
          <cell r="B2238">
            <v>532942</v>
          </cell>
          <cell r="C2238" t="str">
            <v>KNRCON</v>
          </cell>
        </row>
        <row r="2239">
          <cell r="A2239" t="str">
            <v>KOHINOOR FOODS LTD</v>
          </cell>
          <cell r="B2239">
            <v>512559</v>
          </cell>
          <cell r="C2239" t="str">
            <v>KOHINOOR</v>
          </cell>
        </row>
        <row r="2240">
          <cell r="A2240" t="str">
            <v>KOKUYO CAMLIN LTD</v>
          </cell>
          <cell r="B2240">
            <v>523207</v>
          </cell>
          <cell r="C2240" t="str">
            <v>KOKUYOCMLN</v>
          </cell>
        </row>
        <row r="2241">
          <cell r="A2241" t="str">
            <v>KOLTE - PATIL DEVELOPERS LTD</v>
          </cell>
          <cell r="B2241">
            <v>532924</v>
          </cell>
          <cell r="C2241" t="str">
            <v>KOLTEPATIL</v>
          </cell>
        </row>
        <row r="2242">
          <cell r="A2242" t="str">
            <v>KOME-ON COMMUNICATION LTD</v>
          </cell>
          <cell r="B2242">
            <v>539910</v>
          </cell>
          <cell r="C2242" t="str">
            <v>Not Listed</v>
          </cell>
        </row>
        <row r="2243">
          <cell r="A2243" t="str">
            <v>KONARK SYNTHETIC LTD</v>
          </cell>
          <cell r="B2243">
            <v>514128</v>
          </cell>
          <cell r="C2243" t="str">
            <v>Not Listed</v>
          </cell>
        </row>
        <row r="2244">
          <cell r="A2244" t="str">
            <v>KOPRAN LTD</v>
          </cell>
          <cell r="B2244">
            <v>524280</v>
          </cell>
          <cell r="C2244" t="str">
            <v>KOPRAN</v>
          </cell>
        </row>
        <row r="2245">
          <cell r="A2245" t="str">
            <v>KOTAK MAHINDRA BANK LTD</v>
          </cell>
          <cell r="B2245">
            <v>500247</v>
          </cell>
          <cell r="C2245" t="str">
            <v>KOTAKBANK</v>
          </cell>
        </row>
        <row r="2246">
          <cell r="A2246" t="str">
            <v>KOTAK MAHINDRA MUTUAL FUND - KOTAK GOLD EXCHANGE TRADED FUND</v>
          </cell>
          <cell r="B2246">
            <v>590097</v>
          </cell>
          <cell r="C2246" t="str">
            <v>KOTAKGOLD</v>
          </cell>
        </row>
        <row r="2247">
          <cell r="A2247" t="str">
            <v>KOTAK MAHINDRA MUTUAL FUND - KOTAK PSU BANK ETF</v>
          </cell>
          <cell r="B2247">
            <v>590107</v>
          </cell>
          <cell r="C2247" t="str">
            <v>KOTAKPSUBK</v>
          </cell>
        </row>
        <row r="2248">
          <cell r="A2248" t="str">
            <v>KOTAK SENSEX ETF</v>
          </cell>
          <cell r="B2248">
            <v>532985</v>
          </cell>
          <cell r="C2248" t="str">
            <v>KTKSENSEX</v>
          </cell>
        </row>
        <row r="2249">
          <cell r="A2249" t="str">
            <v>KOTHARI FERMENTATION &amp; BIOCHEM LTD</v>
          </cell>
          <cell r="B2249">
            <v>507474</v>
          </cell>
          <cell r="C2249" t="str">
            <v>Not Listed</v>
          </cell>
        </row>
        <row r="2250">
          <cell r="A2250" t="str">
            <v>KOTHARI PETROCHEMICALS LTD</v>
          </cell>
          <cell r="B2250" t="str">
            <v>Not Listed</v>
          </cell>
          <cell r="C2250" t="str">
            <v>KOTHARIPET</v>
          </cell>
        </row>
        <row r="2251">
          <cell r="A2251" t="str">
            <v>KOTHARI PRODUCTS LTD</v>
          </cell>
          <cell r="B2251">
            <v>530299</v>
          </cell>
          <cell r="C2251" t="str">
            <v>KOTHARIPRO</v>
          </cell>
        </row>
        <row r="2252">
          <cell r="A2252" t="str">
            <v>KOTHARI SUGARS AND CHEMICALS LTD</v>
          </cell>
          <cell r="B2252" t="str">
            <v>Not Listed</v>
          </cell>
          <cell r="C2252" t="str">
            <v>KOTARISUG</v>
          </cell>
        </row>
        <row r="2253">
          <cell r="A2253" t="str">
            <v>KOTHARI WORLD FINANCE LTD</v>
          </cell>
          <cell r="B2253">
            <v>511138</v>
          </cell>
          <cell r="C2253" t="str">
            <v>Not Listed</v>
          </cell>
        </row>
        <row r="2254">
          <cell r="A2254" t="str">
            <v>KOTIA ENTERPRISES LTD</v>
          </cell>
          <cell r="B2254">
            <v>539599</v>
          </cell>
          <cell r="C2254" t="str">
            <v>Not Listed</v>
          </cell>
        </row>
        <row r="2255">
          <cell r="A2255" t="str">
            <v>KOVAI MEDICAL CENTER &amp; HOSPITAL LTD</v>
          </cell>
          <cell r="B2255">
            <v>523323</v>
          </cell>
          <cell r="C2255" t="str">
            <v>Not Listed</v>
          </cell>
        </row>
        <row r="2256">
          <cell r="A2256" t="str">
            <v>KOVALAM INVESTMENT &amp; TRADING CO LTD</v>
          </cell>
          <cell r="B2256">
            <v>505585</v>
          </cell>
          <cell r="C2256" t="str">
            <v>Not Listed</v>
          </cell>
        </row>
        <row r="2257">
          <cell r="A2257" t="str">
            <v>KOVILPATTI LAKSHMI ROLLER FLOUR MILLS LTD</v>
          </cell>
          <cell r="B2257">
            <v>507598</v>
          </cell>
          <cell r="C2257" t="str">
            <v>Not Listed</v>
          </cell>
        </row>
        <row r="2258">
          <cell r="A2258" t="str">
            <v>KPIT TECHNOLOGIES LTD</v>
          </cell>
          <cell r="B2258">
            <v>532400</v>
          </cell>
          <cell r="C2258" t="str">
            <v>KPIT</v>
          </cell>
        </row>
        <row r="2259">
          <cell r="A2259" t="str">
            <v>KPIT Technologies Ltd</v>
          </cell>
          <cell r="B2259">
            <v>542651</v>
          </cell>
          <cell r="C2259" t="str">
            <v>KPITTECH</v>
          </cell>
        </row>
        <row r="2260">
          <cell r="A2260" t="str">
            <v>Kranti Industries Ltd</v>
          </cell>
          <cell r="B2260">
            <v>542459</v>
          </cell>
          <cell r="C2260" t="str">
            <v>KRANTI</v>
          </cell>
        </row>
        <row r="2261">
          <cell r="A2261" t="str">
            <v>KRATOS ENERGY &amp; INFRASTRUCTURE LTD</v>
          </cell>
          <cell r="B2261">
            <v>501261</v>
          </cell>
          <cell r="C2261" t="str">
            <v>Not Listed</v>
          </cell>
        </row>
        <row r="2262">
          <cell r="A2262" t="str">
            <v>KRBL LTD</v>
          </cell>
          <cell r="B2262">
            <v>530813</v>
          </cell>
          <cell r="C2262" t="str">
            <v>KRBL</v>
          </cell>
        </row>
        <row r="2263">
          <cell r="A2263" t="str">
            <v>KREBS BIOCHEMICALS AND INDUSTRIES LTD</v>
          </cell>
          <cell r="B2263">
            <v>524518</v>
          </cell>
          <cell r="C2263" t="str">
            <v>KREBSBIO</v>
          </cell>
        </row>
        <row r="2264">
          <cell r="A2264" t="str">
            <v>KREON FINNANCIAL SERVICES LTD</v>
          </cell>
          <cell r="B2264">
            <v>530139</v>
          </cell>
          <cell r="C2264" t="str">
            <v>Not Listed</v>
          </cell>
        </row>
        <row r="2265">
          <cell r="A2265" t="str">
            <v>KRETTO SYSCON LTD</v>
          </cell>
          <cell r="B2265">
            <v>531328</v>
          </cell>
          <cell r="C2265" t="str">
            <v>Not Listed</v>
          </cell>
        </row>
        <row r="2266">
          <cell r="A2266" t="str">
            <v>KRIDHAN INFRA LTD</v>
          </cell>
          <cell r="B2266">
            <v>533482</v>
          </cell>
          <cell r="C2266" t="str">
            <v>KRIDHANINF</v>
          </cell>
        </row>
        <row r="2267">
          <cell r="A2267" t="str">
            <v>KRISHANA PHOSCHEM LTD</v>
          </cell>
          <cell r="B2267" t="str">
            <v>Not Listed</v>
          </cell>
          <cell r="C2267" t="str">
            <v>KRISHANA</v>
          </cell>
        </row>
        <row r="2268">
          <cell r="A2268" t="str">
            <v>KRISHNA CAPITAL AND SECURITIES LTD</v>
          </cell>
          <cell r="B2268">
            <v>539384</v>
          </cell>
          <cell r="C2268" t="str">
            <v>Not Listed</v>
          </cell>
        </row>
        <row r="2269">
          <cell r="A2269" t="str">
            <v>KRISHNA VENTURES LTD</v>
          </cell>
          <cell r="B2269">
            <v>504392</v>
          </cell>
          <cell r="C2269" t="str">
            <v>Not Listed</v>
          </cell>
        </row>
        <row r="2270">
          <cell r="A2270" t="str">
            <v>KRITI INDUSTRIES (INDIA) LTD</v>
          </cell>
          <cell r="B2270">
            <v>526423</v>
          </cell>
          <cell r="C2270" t="str">
            <v>Not Listed</v>
          </cell>
        </row>
        <row r="2271">
          <cell r="A2271" t="str">
            <v>KRITI INDUSTRIES INDIA LTD</v>
          </cell>
          <cell r="B2271">
            <v>526423</v>
          </cell>
          <cell r="C2271" t="str">
            <v>Not Listed</v>
          </cell>
        </row>
        <row r="2272">
          <cell r="A2272" t="str">
            <v>KRITI NUTRIENTS LTD</v>
          </cell>
          <cell r="B2272">
            <v>533210</v>
          </cell>
          <cell r="C2272" t="str">
            <v>Not Listed</v>
          </cell>
        </row>
        <row r="2273">
          <cell r="A2273" t="str">
            <v>KRITIKA WIRES LTD</v>
          </cell>
          <cell r="B2273" t="str">
            <v>Not Listed</v>
          </cell>
          <cell r="C2273" t="str">
            <v>KRITIKA</v>
          </cell>
        </row>
        <row r="2274">
          <cell r="A2274" t="str">
            <v>KRYPTON INDUSTRIES LTD</v>
          </cell>
          <cell r="B2274">
            <v>523550</v>
          </cell>
          <cell r="C2274" t="str">
            <v>Not Listed</v>
          </cell>
        </row>
        <row r="2275">
          <cell r="A2275" t="str">
            <v>KSB LTD</v>
          </cell>
          <cell r="B2275">
            <v>500249</v>
          </cell>
          <cell r="C2275" t="str">
            <v>KSB</v>
          </cell>
        </row>
        <row r="2276">
          <cell r="A2276" t="str">
            <v>KSE LTD</v>
          </cell>
          <cell r="B2276">
            <v>519421</v>
          </cell>
          <cell r="C2276" t="str">
            <v>Not Listed</v>
          </cell>
        </row>
        <row r="2277">
          <cell r="A2277" t="str">
            <v>KSHITIJ POLYLINE LTD</v>
          </cell>
          <cell r="B2277" t="str">
            <v>Not Listed</v>
          </cell>
          <cell r="C2277" t="str">
            <v>KSHITIJPOL</v>
          </cell>
        </row>
        <row r="2278">
          <cell r="A2278" t="str">
            <v>KSHITIZ INVESTMENT LTD</v>
          </cell>
          <cell r="B2278">
            <v>503626</v>
          </cell>
          <cell r="C2278" t="str">
            <v>Not Listed</v>
          </cell>
        </row>
        <row r="2279">
          <cell r="A2279" t="str">
            <v>KSK ENERGY VENTURES LTD</v>
          </cell>
          <cell r="B2279">
            <v>532997</v>
          </cell>
          <cell r="C2279" t="str">
            <v>KSK</v>
          </cell>
        </row>
        <row r="2280">
          <cell r="A2280" t="str">
            <v>KSL AND INDUSTRIES LTD</v>
          </cell>
          <cell r="B2280">
            <v>530149</v>
          </cell>
          <cell r="C2280" t="str">
            <v>Not Listed</v>
          </cell>
        </row>
        <row r="2281">
          <cell r="A2281" t="str">
            <v>KSS LTD</v>
          </cell>
          <cell r="B2281">
            <v>532081</v>
          </cell>
          <cell r="C2281" t="str">
            <v>KSERASERA</v>
          </cell>
        </row>
        <row r="2282">
          <cell r="A2282" t="str">
            <v>KUANTUM PAPERS LTD</v>
          </cell>
          <cell r="B2282">
            <v>532937</v>
          </cell>
          <cell r="C2282" t="str">
            <v>Not Listed</v>
          </cell>
        </row>
        <row r="2283">
          <cell r="A2283" t="str">
            <v>KUBER UDYOG LTD</v>
          </cell>
          <cell r="B2283">
            <v>539408</v>
          </cell>
          <cell r="C2283" t="str">
            <v>Not Listed</v>
          </cell>
        </row>
        <row r="2284">
          <cell r="A2284" t="str">
            <v>KULKARNI POWER &amp; TOOLS LTD</v>
          </cell>
          <cell r="B2284">
            <v>505299</v>
          </cell>
          <cell r="C2284" t="str">
            <v>Not Listed</v>
          </cell>
        </row>
        <row r="2285">
          <cell r="A2285" t="str">
            <v>KUMAR WIRE CLOTH MANUFACTURING COMPANY LTD</v>
          </cell>
          <cell r="B2285">
            <v>513703</v>
          </cell>
          <cell r="C2285" t="str">
            <v>Not Listed</v>
          </cell>
        </row>
        <row r="2286">
          <cell r="A2286" t="str">
            <v>KUNSTSTOFFE INDUSTRIES LTD</v>
          </cell>
          <cell r="B2286">
            <v>523594</v>
          </cell>
          <cell r="C2286" t="str">
            <v>Not Listed</v>
          </cell>
        </row>
        <row r="2287">
          <cell r="A2287" t="str">
            <v>KUSAM ELECTRICAL INDUSTRIES LTD</v>
          </cell>
          <cell r="B2287">
            <v>511048</v>
          </cell>
          <cell r="C2287" t="str">
            <v>Not Listed</v>
          </cell>
        </row>
        <row r="2288">
          <cell r="A2288" t="str">
            <v>KUSH INDUSTRIES LTD</v>
          </cell>
          <cell r="B2288">
            <v>514240</v>
          </cell>
          <cell r="C2288" t="str">
            <v>Not Listed</v>
          </cell>
        </row>
        <row r="2289">
          <cell r="A2289" t="str">
            <v>KUSHAL LTD</v>
          </cell>
          <cell r="B2289">
            <v>536170</v>
          </cell>
          <cell r="C2289" t="str">
            <v>Not Listed</v>
          </cell>
        </row>
        <row r="2290">
          <cell r="A2290" t="str">
            <v>KUWER INDUSTRIES LTD</v>
          </cell>
          <cell r="B2290">
            <v>530421</v>
          </cell>
          <cell r="C2290" t="str">
            <v>Not Listed</v>
          </cell>
        </row>
        <row r="2291">
          <cell r="A2291" t="str">
            <v>KWALITY CREDIT &amp; LEASING LTD</v>
          </cell>
          <cell r="B2291">
            <v>531206</v>
          </cell>
          <cell r="C2291" t="str">
            <v>Not Listed</v>
          </cell>
        </row>
        <row r="2292">
          <cell r="A2292" t="str">
            <v>KWALITY LTD</v>
          </cell>
          <cell r="B2292">
            <v>531882</v>
          </cell>
          <cell r="C2292" t="str">
            <v>KWALITY</v>
          </cell>
        </row>
        <row r="2293">
          <cell r="A2293" t="str">
            <v>KWALITY PHARMACEUTICALS LTD</v>
          </cell>
          <cell r="B2293">
            <v>539997</v>
          </cell>
          <cell r="C2293" t="str">
            <v>Not Listed</v>
          </cell>
        </row>
        <row r="2294">
          <cell r="A2294" t="str">
            <v>L  P  NAVAL AND ENGINEERING LTD</v>
          </cell>
          <cell r="B2294">
            <v>537669</v>
          </cell>
          <cell r="C2294" t="str">
            <v>Not Listed</v>
          </cell>
        </row>
        <row r="2295">
          <cell r="A2295" t="str">
            <v>L&amp;T FINANCE HOLDINGS LTD</v>
          </cell>
          <cell r="B2295">
            <v>533519</v>
          </cell>
          <cell r="C2295" t="str">
            <v>L&amp;TFH</v>
          </cell>
        </row>
        <row r="2296">
          <cell r="A2296" t="str">
            <v>L&amp;T TECHNOLOGY SERVICES LTD</v>
          </cell>
          <cell r="B2296">
            <v>540115</v>
          </cell>
          <cell r="C2296" t="str">
            <v>LTTS</v>
          </cell>
        </row>
        <row r="2297">
          <cell r="A2297" t="str">
            <v>LA OPALA RG LTD</v>
          </cell>
          <cell r="B2297">
            <v>526947</v>
          </cell>
          <cell r="C2297" t="str">
            <v>LAOPALA</v>
          </cell>
        </row>
        <row r="2298">
          <cell r="A2298" t="str">
            <v>La Tim Metal &amp;amp; Industries Ltd</v>
          </cell>
          <cell r="B2298">
            <v>505693</v>
          </cell>
          <cell r="C2298" t="str">
            <v>LATIMMETAL</v>
          </cell>
        </row>
        <row r="2299">
          <cell r="A2299" t="str">
            <v>LACTOSE (INDIA) LTD</v>
          </cell>
          <cell r="B2299">
            <v>524202</v>
          </cell>
          <cell r="C2299" t="str">
            <v>Not Listed</v>
          </cell>
        </row>
        <row r="2300">
          <cell r="A2300" t="str">
            <v>LACTOSE INDIA LTD</v>
          </cell>
          <cell r="B2300">
            <v>524202</v>
          </cell>
          <cell r="C2300" t="str">
            <v>Not Listed</v>
          </cell>
        </row>
        <row r="2301">
          <cell r="A2301" t="str">
            <v>LADAM AFFORDABLE HOUSING LTD</v>
          </cell>
          <cell r="B2301">
            <v>540026</v>
          </cell>
          <cell r="C2301" t="str">
            <v>Not Listed</v>
          </cell>
        </row>
        <row r="2302">
          <cell r="A2302" t="str">
            <v>LADDERUP FINANCE LTD</v>
          </cell>
          <cell r="B2302">
            <v>530577</v>
          </cell>
          <cell r="C2302" t="str">
            <v>Not Listed</v>
          </cell>
        </row>
        <row r="2303">
          <cell r="A2303" t="str">
            <v>LAFFANS PETROCHEMICALS LTD</v>
          </cell>
          <cell r="B2303">
            <v>524522</v>
          </cell>
          <cell r="C2303" t="str">
            <v>Not Listed</v>
          </cell>
        </row>
        <row r="2304">
          <cell r="A2304" t="str">
            <v>LAGNAM SPINTEX LTD</v>
          </cell>
          <cell r="B2304" t="str">
            <v>Not Listed</v>
          </cell>
          <cell r="C2304" t="str">
            <v>LAGNAM</v>
          </cell>
        </row>
        <row r="2305">
          <cell r="A2305" t="str">
            <v>LAHOTI OVERSEAS LTD</v>
          </cell>
          <cell r="B2305">
            <v>531842</v>
          </cell>
          <cell r="C2305" t="str">
            <v>Not Listed</v>
          </cell>
        </row>
        <row r="2306">
          <cell r="A2306" t="str">
            <v>LAKHOTIA POLYESTERS (INDIA) LTD</v>
          </cell>
          <cell r="B2306">
            <v>535387</v>
          </cell>
          <cell r="C2306" t="str">
            <v>Not Listed</v>
          </cell>
        </row>
        <row r="2307">
          <cell r="A2307" t="str">
            <v>LAKHOTIA POLYESTERS INDIA LTD</v>
          </cell>
          <cell r="B2307">
            <v>535387</v>
          </cell>
          <cell r="C2307" t="str">
            <v>Not Listed</v>
          </cell>
        </row>
        <row r="2308">
          <cell r="A2308" t="str">
            <v>LAKSHMI AUTOMATIC LOOM WORKS LTD</v>
          </cell>
          <cell r="B2308">
            <v>505302</v>
          </cell>
          <cell r="C2308" t="str">
            <v>Not Listed</v>
          </cell>
        </row>
        <row r="2309">
          <cell r="A2309" t="str">
            <v>LAKSHMI ELECTRICAL CONTROL SYSTEMS LTD</v>
          </cell>
          <cell r="B2309">
            <v>504258</v>
          </cell>
          <cell r="C2309" t="str">
            <v>Not Listed</v>
          </cell>
        </row>
        <row r="2310">
          <cell r="A2310" t="str">
            <v>LAKSHMI FINANCE &amp; INDUSTRIAL CORPORATION LTD</v>
          </cell>
          <cell r="B2310" t="str">
            <v>Not Listed</v>
          </cell>
          <cell r="C2310" t="str">
            <v>LFIC</v>
          </cell>
        </row>
        <row r="2311">
          <cell r="A2311" t="str">
            <v>LAKSHMI MACHINE WORKS LTD</v>
          </cell>
          <cell r="B2311">
            <v>500252</v>
          </cell>
          <cell r="C2311" t="str">
            <v>LAXMIMACH</v>
          </cell>
        </row>
        <row r="2312">
          <cell r="A2312" t="str">
            <v>LAKSHMI MILLS COMPANY LTD</v>
          </cell>
          <cell r="B2312">
            <v>502958</v>
          </cell>
          <cell r="C2312" t="str">
            <v>Not Listed</v>
          </cell>
        </row>
        <row r="2313">
          <cell r="A2313" t="str">
            <v>LAKSHMI PRECISION SCREWS LTD</v>
          </cell>
          <cell r="B2313">
            <v>506079</v>
          </cell>
          <cell r="C2313" t="str">
            <v>LAKPRE</v>
          </cell>
        </row>
        <row r="2314">
          <cell r="A2314" t="str">
            <v>LAKSHMI VILAS BANK LTD</v>
          </cell>
          <cell r="B2314">
            <v>534690</v>
          </cell>
          <cell r="C2314" t="str">
            <v>LAKSHVILAS</v>
          </cell>
        </row>
        <row r="2315">
          <cell r="A2315" t="str">
            <v>LAMBODHARA TEXTILES LTD</v>
          </cell>
          <cell r="B2315">
            <v>590075</v>
          </cell>
          <cell r="C2315" t="str">
            <v>LAMBODHARA</v>
          </cell>
        </row>
        <row r="2316">
          <cell r="A2316" t="str">
            <v>LANCER CONTAINER LINES LTD</v>
          </cell>
          <cell r="B2316">
            <v>539841</v>
          </cell>
          <cell r="C2316" t="str">
            <v>Not Listed</v>
          </cell>
        </row>
        <row r="2317">
          <cell r="A2317" t="str">
            <v>LANCOR HOLDINGS LTD</v>
          </cell>
          <cell r="B2317">
            <v>509048</v>
          </cell>
          <cell r="C2317" t="str">
            <v>Not Listed</v>
          </cell>
        </row>
        <row r="2318">
          <cell r="A2318" t="str">
            <v>LANDMARC LEISURE CORPORATION LTD</v>
          </cell>
          <cell r="B2318">
            <v>532275</v>
          </cell>
          <cell r="C2318" t="str">
            <v>Not Listed</v>
          </cell>
        </row>
        <row r="2319">
          <cell r="A2319" t="str">
            <v>LANDMARK PROPERTY DEVELOPMENT COMPANY LTD</v>
          </cell>
          <cell r="B2319">
            <v>533012</v>
          </cell>
          <cell r="C2319" t="str">
            <v>LPDC</v>
          </cell>
        </row>
        <row r="2320">
          <cell r="A2320" t="str">
            <v>LARSEN &amp; TOUBRO INFOTECH LTD</v>
          </cell>
          <cell r="B2320">
            <v>540005</v>
          </cell>
          <cell r="C2320" t="str">
            <v>LTI</v>
          </cell>
        </row>
        <row r="2321">
          <cell r="A2321" t="str">
            <v>LARSEN &amp; TOUBRO LTD</v>
          </cell>
          <cell r="B2321">
            <v>500510</v>
          </cell>
          <cell r="C2321" t="str">
            <v>LT</v>
          </cell>
        </row>
        <row r="2322">
          <cell r="A2322" t="str">
            <v>LASA SUPERGENERICS LTD</v>
          </cell>
          <cell r="B2322">
            <v>540702</v>
          </cell>
          <cell r="C2322" t="str">
            <v>LASA</v>
          </cell>
        </row>
        <row r="2323">
          <cell r="A2323" t="str">
            <v>LASER DIAMONDS LTD</v>
          </cell>
          <cell r="B2323">
            <v>531164</v>
          </cell>
          <cell r="C2323" t="str">
            <v>Not Listed</v>
          </cell>
        </row>
        <row r="2324">
          <cell r="A2324" t="str">
            <v>LATENT LIGHT FINANCE LTD</v>
          </cell>
          <cell r="B2324">
            <v>539909</v>
          </cell>
          <cell r="C2324" t="str">
            <v>Not Listed</v>
          </cell>
        </row>
        <row r="2325">
          <cell r="A2325" t="str">
            <v>LATTEYS INDUSTRIES LTD</v>
          </cell>
          <cell r="B2325" t="str">
            <v>Not Listed</v>
          </cell>
          <cell r="C2325" t="str">
            <v>LATTEYS</v>
          </cell>
        </row>
        <row r="2326">
          <cell r="A2326" t="str">
            <v>LAURUS LABS LTD</v>
          </cell>
          <cell r="B2326">
            <v>540222</v>
          </cell>
          <cell r="C2326" t="str">
            <v>LAURUSLABS</v>
          </cell>
        </row>
        <row r="2327">
          <cell r="A2327" t="str">
            <v>LAWRESHWAR POLYMERS LTD</v>
          </cell>
          <cell r="B2327">
            <v>532829</v>
          </cell>
          <cell r="C2327" t="str">
            <v>Not Listed</v>
          </cell>
        </row>
        <row r="2328">
          <cell r="A2328" t="str">
            <v>LAXMI COTSPIN LTD</v>
          </cell>
          <cell r="B2328" t="str">
            <v>Not Listed</v>
          </cell>
          <cell r="C2328" t="str">
            <v>LAXMICOT</v>
          </cell>
        </row>
        <row r="2329">
          <cell r="A2329" t="str">
            <v>LEAD FINANCIAL SERVICES LTD</v>
          </cell>
          <cell r="B2329">
            <v>531288</v>
          </cell>
          <cell r="C2329" t="str">
            <v>Not Listed</v>
          </cell>
        </row>
        <row r="2330">
          <cell r="A2330" t="str">
            <v>LEADING LEASING FINANCE AND INVESTMENT COMPANY LTD</v>
          </cell>
          <cell r="B2330">
            <v>540360</v>
          </cell>
          <cell r="C2330" t="str">
            <v>Not Listed</v>
          </cell>
        </row>
        <row r="2331">
          <cell r="A2331" t="str">
            <v>LEDO TEA CO LTD</v>
          </cell>
          <cell r="B2331">
            <v>508306</v>
          </cell>
          <cell r="C2331" t="str">
            <v>Not Listed</v>
          </cell>
        </row>
        <row r="2332">
          <cell r="A2332" t="str">
            <v>LEE &amp; NEE SOFTWARES EXPORTS LTD</v>
          </cell>
          <cell r="B2332">
            <v>517415</v>
          </cell>
          <cell r="C2332" t="str">
            <v>Not Listed</v>
          </cell>
        </row>
        <row r="2333">
          <cell r="A2333" t="str">
            <v>LEEL ELECTRICALS LTD</v>
          </cell>
          <cell r="B2333">
            <v>517518</v>
          </cell>
          <cell r="C2333" t="str">
            <v>LEEL</v>
          </cell>
        </row>
        <row r="2334">
          <cell r="A2334" t="str">
            <v>LEENA CONSULTANCY LTD</v>
          </cell>
          <cell r="B2334">
            <v>509046</v>
          </cell>
          <cell r="C2334" t="str">
            <v>Not Listed</v>
          </cell>
        </row>
        <row r="2335">
          <cell r="A2335" t="str">
            <v>LEGACY MERCANTILE LTD</v>
          </cell>
          <cell r="B2335">
            <v>780021</v>
          </cell>
          <cell r="C2335" t="str">
            <v>Not Listed</v>
          </cell>
        </row>
        <row r="2336">
          <cell r="A2336" t="str">
            <v>LEMON TREE HOTELS LTD</v>
          </cell>
          <cell r="B2336">
            <v>541233</v>
          </cell>
          <cell r="C2336" t="str">
            <v>LEMONTREE</v>
          </cell>
        </row>
        <row r="2337">
          <cell r="A2337" t="str">
            <v>LESHA INDUSTRIES LTD</v>
          </cell>
          <cell r="B2337">
            <v>533602</v>
          </cell>
          <cell r="C2337" t="str">
            <v>Not Listed</v>
          </cell>
        </row>
        <row r="2338">
          <cell r="A2338" t="str">
            <v>LEX NIMBLE SOLUTIONS LTD</v>
          </cell>
          <cell r="B2338">
            <v>541196</v>
          </cell>
          <cell r="C2338" t="str">
            <v>Not Listed</v>
          </cell>
        </row>
        <row r="2339">
          <cell r="A2339" t="str">
            <v>LEXUS GRANITO (INDIA) LTD</v>
          </cell>
          <cell r="B2339" t="str">
            <v>Not Listed</v>
          </cell>
          <cell r="C2339" t="str">
            <v>LEXUS</v>
          </cell>
        </row>
        <row r="2340">
          <cell r="A2340" t="str">
            <v>LEXUS GRANITO INDIA LTD</v>
          </cell>
          <cell r="B2340" t="str">
            <v>Not Listed</v>
          </cell>
          <cell r="C2340" t="str">
            <v>LEXUS</v>
          </cell>
        </row>
        <row r="2341">
          <cell r="A2341" t="str">
            <v>LG BALAKRISHNAN &amp; BROS LTD</v>
          </cell>
          <cell r="B2341">
            <v>500250</v>
          </cell>
          <cell r="C2341" t="str">
            <v>LGBBROSLTD</v>
          </cell>
        </row>
        <row r="2342">
          <cell r="A2342" t="str">
            <v>LGB FORGE LTD.</v>
          </cell>
          <cell r="B2342">
            <v>533007</v>
          </cell>
          <cell r="C2342" t="str">
            <v>LGBFORGE</v>
          </cell>
        </row>
        <row r="2343">
          <cell r="A2343" t="str">
            <v>LIBAS DESIGNS LTD</v>
          </cell>
          <cell r="B2343" t="str">
            <v>Not Listed</v>
          </cell>
          <cell r="C2343" t="str">
            <v>LIBAS</v>
          </cell>
        </row>
        <row r="2344">
          <cell r="A2344" t="str">
            <v>LIBERTY SHOES LTD</v>
          </cell>
          <cell r="B2344">
            <v>526596</v>
          </cell>
          <cell r="C2344" t="str">
            <v>LIBERTSHOE</v>
          </cell>
        </row>
        <row r="2345">
          <cell r="A2345" t="str">
            <v>LIBORD FINANCE LTD</v>
          </cell>
          <cell r="B2345">
            <v>511593</v>
          </cell>
          <cell r="C2345" t="str">
            <v>Not Listed</v>
          </cell>
        </row>
        <row r="2346">
          <cell r="A2346" t="str">
            <v>LIBORD SECURITIES LTD</v>
          </cell>
          <cell r="B2346">
            <v>531027</v>
          </cell>
          <cell r="C2346" t="str">
            <v>Not Listed</v>
          </cell>
        </row>
        <row r="2347">
          <cell r="A2347" t="str">
            <v>LIC HOUSING FINANCE LTD</v>
          </cell>
          <cell r="B2347">
            <v>500253</v>
          </cell>
          <cell r="C2347" t="str">
            <v>LICHSGFIN</v>
          </cell>
        </row>
        <row r="2348">
          <cell r="A2348" t="str">
            <v>LIKHAMI CONSULTING LTD</v>
          </cell>
          <cell r="B2348">
            <v>539927</v>
          </cell>
          <cell r="C2348" t="str">
            <v>Not Listed</v>
          </cell>
        </row>
        <row r="2349">
          <cell r="A2349" t="str">
            <v>LIME CHEMICALS LTD</v>
          </cell>
          <cell r="B2349">
            <v>507759</v>
          </cell>
          <cell r="C2349" t="str">
            <v>Not Listed</v>
          </cell>
        </row>
        <row r="2350">
          <cell r="A2350" t="str">
            <v>LINAKS MICROELECTRONICS LTD.</v>
          </cell>
          <cell r="B2350">
            <v>517463</v>
          </cell>
          <cell r="C2350" t="str">
            <v>LINAKS</v>
          </cell>
        </row>
        <row r="2351">
          <cell r="A2351" t="str">
            <v>LINC PEN &amp; PLASTICS LTD</v>
          </cell>
          <cell r="B2351">
            <v>531241</v>
          </cell>
          <cell r="C2351" t="str">
            <v>LINCPEN</v>
          </cell>
        </row>
        <row r="2352">
          <cell r="A2352" t="str">
            <v>LINCOLN PHARMACEUTICALS LTD</v>
          </cell>
          <cell r="B2352">
            <v>531633</v>
          </cell>
          <cell r="C2352" t="str">
            <v>LINCOLN</v>
          </cell>
        </row>
        <row r="2353">
          <cell r="A2353" t="str">
            <v>LINDE (INDIA) LTD</v>
          </cell>
          <cell r="B2353">
            <v>523457</v>
          </cell>
          <cell r="C2353" t="str">
            <v>LINDE(INDIA)</v>
          </cell>
        </row>
        <row r="2354">
          <cell r="A2354" t="str">
            <v>LINDE INDIA LTD</v>
          </cell>
          <cell r="B2354">
            <v>523457</v>
          </cell>
          <cell r="C2354" t="str">
            <v>LINDEINDIA</v>
          </cell>
        </row>
        <row r="2355">
          <cell r="A2355" t="str">
            <v>LINK PHARMA CHEM LTD</v>
          </cell>
          <cell r="B2355">
            <v>524748</v>
          </cell>
          <cell r="C2355" t="str">
            <v>Not Listed</v>
          </cell>
        </row>
        <row r="2356">
          <cell r="A2356" t="str">
            <v>LIPPI SYSTEMS LTD</v>
          </cell>
          <cell r="B2356">
            <v>526604</v>
          </cell>
          <cell r="C2356" t="str">
            <v>Not Listed</v>
          </cell>
        </row>
        <row r="2357">
          <cell r="A2357" t="str">
            <v>LKP FINANCE LTD</v>
          </cell>
          <cell r="B2357">
            <v>507912</v>
          </cell>
          <cell r="C2357" t="str">
            <v>Not Listed</v>
          </cell>
        </row>
        <row r="2358">
          <cell r="A2358" t="str">
            <v>LKP SECURITIES LTD</v>
          </cell>
          <cell r="B2358">
            <v>540192</v>
          </cell>
          <cell r="C2358" t="str">
            <v>Not Listed</v>
          </cell>
        </row>
        <row r="2359">
          <cell r="A2359" t="str">
            <v>LLOYDS METALS AND ENERGY LTD</v>
          </cell>
          <cell r="B2359">
            <v>512455</v>
          </cell>
          <cell r="C2359" t="str">
            <v>Not Listed</v>
          </cell>
        </row>
        <row r="2360">
          <cell r="A2360" t="str">
            <v>LLOYDS STEELS INDUSTRIES LTD</v>
          </cell>
          <cell r="B2360">
            <v>539992</v>
          </cell>
          <cell r="C2360" t="str">
            <v>LSIL</v>
          </cell>
        </row>
        <row r="2361">
          <cell r="A2361" t="str">
            <v>LOHIA SECURITIES LTD</v>
          </cell>
          <cell r="B2361">
            <v>590082</v>
          </cell>
          <cell r="C2361" t="str">
            <v>Not Listed</v>
          </cell>
        </row>
        <row r="2362">
          <cell r="A2362" t="str">
            <v>LOKESH MACHINES LTD</v>
          </cell>
          <cell r="B2362">
            <v>532740</v>
          </cell>
          <cell r="C2362" t="str">
            <v>LOKESHMACH</v>
          </cell>
        </row>
        <row r="2363">
          <cell r="A2363" t="str">
            <v>LONGVIEW TEA COMPANY LTD</v>
          </cell>
          <cell r="B2363">
            <v>526568</v>
          </cell>
          <cell r="C2363" t="str">
            <v>Not Listed</v>
          </cell>
        </row>
        <row r="2364">
          <cell r="A2364" t="str">
            <v>LOOKS HEALTH SERVICES LTD</v>
          </cell>
          <cell r="B2364">
            <v>534422</v>
          </cell>
          <cell r="C2364" t="str">
            <v>Not Listed</v>
          </cell>
        </row>
        <row r="2365">
          <cell r="A2365" t="str">
            <v>LORDS CHLORO ALKALI LTD</v>
          </cell>
          <cell r="B2365">
            <v>500284</v>
          </cell>
          <cell r="C2365" t="str">
            <v>Not Listed</v>
          </cell>
        </row>
        <row r="2366">
          <cell r="A2366" t="str">
            <v>LORDS ISHWAR HOTELS LTD</v>
          </cell>
          <cell r="B2366">
            <v>530065</v>
          </cell>
          <cell r="C2366" t="str">
            <v>Not Listed</v>
          </cell>
        </row>
        <row r="2367">
          <cell r="A2367" t="str">
            <v>LORENZINI APPARELS LTD</v>
          </cell>
          <cell r="B2367">
            <v>540952</v>
          </cell>
          <cell r="C2367" t="str">
            <v>Not Listed</v>
          </cell>
        </row>
        <row r="2368">
          <cell r="A2368" t="str">
            <v>LOTUS CHOCOLATE CO LTD</v>
          </cell>
          <cell r="B2368">
            <v>523475</v>
          </cell>
          <cell r="C2368" t="str">
            <v>Not Listed</v>
          </cell>
        </row>
        <row r="2369">
          <cell r="A2369" t="str">
            <v>LOTUS EYE HOSPITAL AND INSTITUTE LTD</v>
          </cell>
          <cell r="B2369">
            <v>532998</v>
          </cell>
          <cell r="C2369" t="str">
            <v>LOTUSEYE</v>
          </cell>
        </row>
        <row r="2370">
          <cell r="A2370" t="str">
            <v>LOVABLE LINGERIE LTD</v>
          </cell>
          <cell r="B2370">
            <v>533343</v>
          </cell>
          <cell r="C2370" t="str">
            <v>LOVABLE</v>
          </cell>
        </row>
        <row r="2371">
          <cell r="A2371" t="str">
            <v>LOYAL EQUIPMENTS LTD</v>
          </cell>
          <cell r="B2371">
            <v>539227</v>
          </cell>
          <cell r="C2371" t="str">
            <v>Not Listed</v>
          </cell>
        </row>
        <row r="2372">
          <cell r="A2372" t="str">
            <v>LOYAL TEXTILE MILLS LTD</v>
          </cell>
          <cell r="B2372">
            <v>514036</v>
          </cell>
          <cell r="C2372" t="str">
            <v>Not Listed</v>
          </cell>
        </row>
        <row r="2373">
          <cell r="A2373" t="str">
            <v>LT FOODS LTD</v>
          </cell>
          <cell r="B2373">
            <v>532783</v>
          </cell>
          <cell r="C2373" t="str">
            <v>DAAWAT</v>
          </cell>
        </row>
        <row r="2374">
          <cell r="A2374" t="str">
            <v>LUDLOW JUTE &amp; SPECIALITIES LTD</v>
          </cell>
          <cell r="B2374">
            <v>526179</v>
          </cell>
          <cell r="C2374" t="str">
            <v>Not Listed</v>
          </cell>
        </row>
        <row r="2375">
          <cell r="A2375" t="str">
            <v>LUHARUKA MEDIA &amp; INFRA LTD</v>
          </cell>
          <cell r="B2375">
            <v>512048</v>
          </cell>
          <cell r="C2375" t="str">
            <v>Not Listed</v>
          </cell>
        </row>
        <row r="2376">
          <cell r="A2376" t="str">
            <v>LUMAX AUTO TECHNOLOGIES LTD</v>
          </cell>
          <cell r="B2376">
            <v>532796</v>
          </cell>
          <cell r="C2376" t="str">
            <v>LUMAXTECH</v>
          </cell>
        </row>
        <row r="2377">
          <cell r="A2377" t="str">
            <v>LUMAX INDUSTRIES LTD</v>
          </cell>
          <cell r="B2377">
            <v>517206</v>
          </cell>
          <cell r="C2377" t="str">
            <v>LUMAXIND</v>
          </cell>
        </row>
        <row r="2378">
          <cell r="A2378" t="str">
            <v>LUPIN LTD</v>
          </cell>
          <cell r="B2378">
            <v>500257</v>
          </cell>
          <cell r="C2378" t="str">
            <v>LUPIN</v>
          </cell>
        </row>
        <row r="2379">
          <cell r="A2379" t="str">
            <v>LUX INDUSTRIES LTD</v>
          </cell>
          <cell r="B2379">
            <v>539542</v>
          </cell>
          <cell r="C2379" t="str">
            <v>LUXIND</v>
          </cell>
        </row>
        <row r="2380">
          <cell r="A2380" t="str">
            <v>LWS KNITWEAR LTD</v>
          </cell>
          <cell r="B2380">
            <v>531402</v>
          </cell>
          <cell r="C2380" t="str">
            <v>Not Listed</v>
          </cell>
        </row>
        <row r="2381">
          <cell r="A2381" t="str">
            <v>LYKA LABS LTD</v>
          </cell>
          <cell r="B2381">
            <v>500259</v>
          </cell>
          <cell r="C2381" t="str">
            <v>LYKALABS</v>
          </cell>
        </row>
        <row r="2382">
          <cell r="A2382" t="str">
            <v>LYKIS LTD</v>
          </cell>
          <cell r="B2382">
            <v>530689</v>
          </cell>
          <cell r="C2382" t="str">
            <v>Not Listed</v>
          </cell>
        </row>
        <row r="2383">
          <cell r="A2383" t="str">
            <v>LYNX MACHINERY &amp; COMMERCIALS LTD</v>
          </cell>
          <cell r="B2383">
            <v>505320</v>
          </cell>
          <cell r="C2383" t="str">
            <v>Not Listed</v>
          </cell>
        </row>
        <row r="2384">
          <cell r="A2384" t="str">
            <v>LYPSA GEMS &amp; JEWELLERY LTD</v>
          </cell>
          <cell r="B2384">
            <v>534532</v>
          </cell>
          <cell r="C2384" t="str">
            <v>LYPSAGEMS</v>
          </cell>
        </row>
        <row r="2385">
          <cell r="A2385" t="str">
            <v>M B PARIKH FINSTOCKS LTD</v>
          </cell>
          <cell r="B2385">
            <v>526935</v>
          </cell>
          <cell r="C2385" t="str">
            <v>Not Listed</v>
          </cell>
        </row>
        <row r="2386">
          <cell r="A2386" t="str">
            <v>M K  EXIM (INDIA) LTD</v>
          </cell>
          <cell r="B2386">
            <v>538890</v>
          </cell>
          <cell r="C2386" t="str">
            <v>Not Listed</v>
          </cell>
        </row>
        <row r="2387">
          <cell r="A2387" t="str">
            <v>M K  EXIM INDIA LTD</v>
          </cell>
          <cell r="B2387">
            <v>538890</v>
          </cell>
          <cell r="C2387" t="str">
            <v>Not Listed</v>
          </cell>
        </row>
        <row r="2388">
          <cell r="A2388" t="str">
            <v>M K PROTEINS LTD</v>
          </cell>
          <cell r="B2388" t="str">
            <v>Not Listed</v>
          </cell>
          <cell r="C2388" t="str">
            <v>MKPL</v>
          </cell>
        </row>
        <row r="2389">
          <cell r="A2389" t="str">
            <v>M P AGRO INDUSTRIES LTD</v>
          </cell>
          <cell r="B2389">
            <v>506543</v>
          </cell>
          <cell r="C2389" t="str">
            <v>Not Listed</v>
          </cell>
        </row>
        <row r="2390">
          <cell r="A2390" t="str">
            <v>MAAN ALUMINIUM LTD</v>
          </cell>
          <cell r="B2390">
            <v>532906</v>
          </cell>
          <cell r="C2390" t="str">
            <v>MAANALU</v>
          </cell>
        </row>
        <row r="2391">
          <cell r="A2391" t="str">
            <v>MAC CHARLES (INDIA) LTD</v>
          </cell>
          <cell r="B2391">
            <v>507836</v>
          </cell>
          <cell r="C2391" t="str">
            <v>Not Listed</v>
          </cell>
        </row>
        <row r="2392">
          <cell r="A2392" t="str">
            <v>MAC CHARLES INDIA LTD</v>
          </cell>
          <cell r="B2392">
            <v>507836</v>
          </cell>
          <cell r="C2392" t="str">
            <v>Not Listed</v>
          </cell>
        </row>
        <row r="2393">
          <cell r="A2393" t="str">
            <v>MAC HOTELS LTD</v>
          </cell>
          <cell r="B2393">
            <v>541973</v>
          </cell>
          <cell r="C2393" t="str">
            <v>Not Listed</v>
          </cell>
        </row>
        <row r="2394">
          <cell r="A2394" t="str">
            <v>MACHINO PLASTICS LTD</v>
          </cell>
          <cell r="B2394">
            <v>523248</v>
          </cell>
          <cell r="C2394" t="str">
            <v>Not Listed</v>
          </cell>
        </row>
        <row r="2395">
          <cell r="A2395" t="str">
            <v>MACK TRADING CO LTD</v>
          </cell>
          <cell r="B2395">
            <v>501471</v>
          </cell>
          <cell r="C2395" t="str">
            <v>Not Listed</v>
          </cell>
        </row>
        <row r="2396">
          <cell r="A2396" t="str">
            <v>MACPOWER CNC MACHINES LTD</v>
          </cell>
          <cell r="B2396" t="str">
            <v>Not Listed</v>
          </cell>
          <cell r="C2396" t="str">
            <v>MACPOWER</v>
          </cell>
        </row>
        <row r="2397">
          <cell r="A2397" t="str">
            <v>MACRO INTERNATIONAL EXPORTS LTD</v>
          </cell>
          <cell r="B2397">
            <v>512600</v>
          </cell>
          <cell r="C2397" t="str">
            <v>Not Listed</v>
          </cell>
        </row>
        <row r="2398">
          <cell r="A2398" t="str">
            <v>MADHAV COPPER LTD</v>
          </cell>
          <cell r="B2398" t="str">
            <v>Not Listed</v>
          </cell>
          <cell r="C2398" t="str">
            <v>MCL</v>
          </cell>
        </row>
        <row r="2399">
          <cell r="A2399" t="str">
            <v>MADHAV INFRA PROJECTS LTD</v>
          </cell>
          <cell r="B2399">
            <v>539894</v>
          </cell>
          <cell r="C2399" t="str">
            <v>Not Listed</v>
          </cell>
        </row>
        <row r="2400">
          <cell r="A2400" t="str">
            <v>MADHAV MARBLES AND GRANITES LTD</v>
          </cell>
          <cell r="B2400">
            <v>515093</v>
          </cell>
          <cell r="C2400" t="str">
            <v>MADHAV</v>
          </cell>
        </row>
        <row r="2401">
          <cell r="A2401" t="str">
            <v>MADHUBAN CONSTRUCTIONS LTD</v>
          </cell>
          <cell r="B2401">
            <v>780009</v>
          </cell>
          <cell r="C2401" t="str">
            <v>Not Listed</v>
          </cell>
        </row>
        <row r="2402">
          <cell r="A2402" t="str">
            <v>MADHUCON PROJECTS LTD</v>
          </cell>
          <cell r="B2402">
            <v>531497</v>
          </cell>
          <cell r="C2402" t="str">
            <v>MADHUCON</v>
          </cell>
        </row>
        <row r="2403">
          <cell r="A2403" t="str">
            <v>MADHUR INDUSTRIES LTD</v>
          </cell>
          <cell r="B2403">
            <v>519279</v>
          </cell>
          <cell r="C2403" t="str">
            <v>Not Listed</v>
          </cell>
        </row>
        <row r="2404">
          <cell r="A2404" t="str">
            <v>MADHUSUDAN INDUSTRIES LTD</v>
          </cell>
          <cell r="B2404">
            <v>515059</v>
          </cell>
          <cell r="C2404" t="str">
            <v>Not Listed</v>
          </cell>
        </row>
        <row r="2405">
          <cell r="A2405" t="str">
            <v>MADHUSUDAN SECURITIES LTD</v>
          </cell>
          <cell r="B2405">
            <v>511000</v>
          </cell>
          <cell r="C2405" t="str">
            <v>Not Listed</v>
          </cell>
        </row>
        <row r="2406">
          <cell r="A2406" t="str">
            <v>MADHUVEER COM 18 NETWORK LTD</v>
          </cell>
          <cell r="B2406">
            <v>531910</v>
          </cell>
          <cell r="C2406" t="str">
            <v>Not Listed</v>
          </cell>
        </row>
        <row r="2407">
          <cell r="A2407" t="str">
            <v>MADHYA BHARAT AGRO PRODUCTS LTD</v>
          </cell>
          <cell r="B2407" t="str">
            <v>Not Listed</v>
          </cell>
          <cell r="C2407" t="str">
            <v>MBAPL</v>
          </cell>
        </row>
        <row r="2408">
          <cell r="A2408" t="str">
            <v>MADHYA PRADESH TODAY MEDIA LTD</v>
          </cell>
          <cell r="B2408" t="str">
            <v>Not Listed</v>
          </cell>
          <cell r="C2408" t="str">
            <v>MPTODAY</v>
          </cell>
        </row>
        <row r="2409">
          <cell r="A2409" t="str">
            <v>MADRAS FERTILIZERS LTD</v>
          </cell>
          <cell r="B2409">
            <v>590134</v>
          </cell>
          <cell r="C2409" t="str">
            <v>MADRASFERT</v>
          </cell>
        </row>
        <row r="2410">
          <cell r="A2410" t="str">
            <v>MAESTROS ELECTRONICS &amp; TELECOMMUNICATIONS SYSTEMS LTD</v>
          </cell>
          <cell r="B2410">
            <v>538401</v>
          </cell>
          <cell r="C2410" t="str">
            <v>Not Listed</v>
          </cell>
        </row>
        <row r="2411">
          <cell r="A2411" t="str">
            <v>MAFATLAL INDUSTRIES LTD</v>
          </cell>
          <cell r="B2411">
            <v>500264</v>
          </cell>
          <cell r="C2411" t="str">
            <v>Not Listed</v>
          </cell>
        </row>
        <row r="2412">
          <cell r="A2412" t="str">
            <v>MAGADH SUGAR &amp; ENERGY LTD</v>
          </cell>
          <cell r="B2412">
            <v>540650</v>
          </cell>
          <cell r="C2412" t="str">
            <v>MAGADSUGAR</v>
          </cell>
        </row>
        <row r="2413">
          <cell r="A2413" t="str">
            <v>MAGMA FINCORP LTD</v>
          </cell>
          <cell r="B2413">
            <v>524000</v>
          </cell>
          <cell r="C2413" t="str">
            <v>MAGMA</v>
          </cell>
        </row>
        <row r="2414">
          <cell r="A2414" t="str">
            <v>MAGNA ELECTRO CASTINGS LTD</v>
          </cell>
          <cell r="B2414">
            <v>517449</v>
          </cell>
          <cell r="C2414" t="str">
            <v>Not Listed</v>
          </cell>
        </row>
        <row r="2415">
          <cell r="A2415" t="str">
            <v>MAGNANIMOUS TRADE &amp; FINANCE LTD</v>
          </cell>
          <cell r="B2415">
            <v>512377</v>
          </cell>
          <cell r="C2415" t="str">
            <v>Not Listed</v>
          </cell>
        </row>
        <row r="2416">
          <cell r="A2416" t="str">
            <v>MAGNUM VENTURES LTD</v>
          </cell>
          <cell r="B2416">
            <v>532896</v>
          </cell>
          <cell r="C2416" t="str">
            <v>MAGNUM</v>
          </cell>
        </row>
        <row r="2417">
          <cell r="A2417" t="str">
            <v>MAHA RASHTRA APEX CORPORATION LTD</v>
          </cell>
          <cell r="B2417">
            <v>523384</v>
          </cell>
          <cell r="C2417" t="str">
            <v>MAHAPEXLTD</v>
          </cell>
        </row>
        <row r="2418">
          <cell r="A2418" t="str">
            <v>MAHAAN FOODS LTD</v>
          </cell>
          <cell r="B2418">
            <v>519612</v>
          </cell>
          <cell r="C2418" t="str">
            <v>Not Listed</v>
          </cell>
        </row>
        <row r="2419">
          <cell r="A2419" t="str">
            <v>MAHALAXMI RUBTECH LTD</v>
          </cell>
          <cell r="B2419">
            <v>514450</v>
          </cell>
          <cell r="C2419" t="str">
            <v>Not Listed</v>
          </cell>
        </row>
        <row r="2420">
          <cell r="A2420" t="str">
            <v>MAHALAXMI SEAMLESS LTD</v>
          </cell>
          <cell r="B2420">
            <v>513460</v>
          </cell>
          <cell r="C2420" t="str">
            <v>Not Listed</v>
          </cell>
        </row>
        <row r="2421">
          <cell r="A2421" t="str">
            <v>MAHAMAYA STEEL INDUSTRIES LTD</v>
          </cell>
          <cell r="B2421">
            <v>513554</v>
          </cell>
          <cell r="C2421" t="str">
            <v>MAHASTEEL</v>
          </cell>
        </row>
        <row r="2422">
          <cell r="A2422" t="str">
            <v>MAHAN INDUSTRIES LTD</v>
          </cell>
          <cell r="B2422">
            <v>531515</v>
          </cell>
          <cell r="C2422" t="str">
            <v>Not Listed</v>
          </cell>
        </row>
        <row r="2423">
          <cell r="A2423" t="str">
            <v>MAHANAGAR GAS LTD</v>
          </cell>
          <cell r="B2423">
            <v>539957</v>
          </cell>
          <cell r="C2423" t="str">
            <v>MGL</v>
          </cell>
        </row>
        <row r="2424">
          <cell r="A2424" t="str">
            <v>MAHANAGAR TELEPHONE NIGAM LTD</v>
          </cell>
          <cell r="B2424">
            <v>500108</v>
          </cell>
          <cell r="C2424" t="str">
            <v>MTNL</v>
          </cell>
        </row>
        <row r="2425">
          <cell r="A2425" t="str">
            <v>MAHANIVESH (INDIA) LTD</v>
          </cell>
          <cell r="B2425">
            <v>530441</v>
          </cell>
          <cell r="C2425" t="str">
            <v>Not Listed</v>
          </cell>
        </row>
        <row r="2426">
          <cell r="A2426" t="str">
            <v>MAHANIVESH INDIA LTD</v>
          </cell>
          <cell r="B2426">
            <v>530441</v>
          </cell>
          <cell r="C2426" t="str">
            <v>Not Listed</v>
          </cell>
        </row>
        <row r="2427">
          <cell r="A2427" t="str">
            <v>MAHARASHTRA CORPORATION LTD</v>
          </cell>
          <cell r="B2427">
            <v>505523</v>
          </cell>
          <cell r="C2427" t="str">
            <v>Not Listed</v>
          </cell>
        </row>
        <row r="2428">
          <cell r="A2428" t="str">
            <v>MAHARASHTRA SCOOTERS LTD</v>
          </cell>
          <cell r="B2428">
            <v>500266</v>
          </cell>
          <cell r="C2428" t="str">
            <v>MAHSCOOTER</v>
          </cell>
        </row>
        <row r="2429">
          <cell r="A2429" t="str">
            <v>MAHARASHTRA SEAMLESS LTD</v>
          </cell>
          <cell r="B2429">
            <v>500265</v>
          </cell>
          <cell r="C2429" t="str">
            <v>MAHSEAMLES</v>
          </cell>
        </row>
        <row r="2430">
          <cell r="A2430" t="str">
            <v>MAHASAGAR TRAVELS LTD</v>
          </cell>
          <cell r="B2430">
            <v>526795</v>
          </cell>
          <cell r="C2430" t="str">
            <v>Not Listed</v>
          </cell>
        </row>
        <row r="2431">
          <cell r="A2431" t="str">
            <v>MAHASHREE TRADING LTD</v>
          </cell>
          <cell r="B2431">
            <v>512337</v>
          </cell>
          <cell r="C2431" t="str">
            <v>Not Listed</v>
          </cell>
        </row>
        <row r="2432">
          <cell r="A2432" t="str">
            <v>MAHAVEER INFOWAY LTD</v>
          </cell>
          <cell r="B2432">
            <v>539383</v>
          </cell>
          <cell r="C2432" t="str">
            <v>Not Listed</v>
          </cell>
        </row>
        <row r="2433">
          <cell r="A2433" t="str">
            <v>MAHAVIR INDUSTRIES LTD</v>
          </cell>
          <cell r="B2433">
            <v>531648</v>
          </cell>
          <cell r="C2433" t="str">
            <v>Not Listed</v>
          </cell>
        </row>
        <row r="2434">
          <cell r="A2434" t="str">
            <v>Mahesh Developers Ltd</v>
          </cell>
          <cell r="B2434">
            <v>542677</v>
          </cell>
          <cell r="C2434" t="str">
            <v>MAHESH</v>
          </cell>
        </row>
        <row r="2435">
          <cell r="A2435" t="str">
            <v>MAHESHWARI LOGISTICS LTD</v>
          </cell>
          <cell r="B2435" t="str">
            <v>Not Listed</v>
          </cell>
          <cell r="C2435" t="str">
            <v>MAHESHWARI</v>
          </cell>
        </row>
        <row r="2436">
          <cell r="A2436" t="str">
            <v>MAHICKRA CHEMICALS LTD</v>
          </cell>
          <cell r="B2436" t="str">
            <v>Not Listed</v>
          </cell>
          <cell r="C2436" t="str">
            <v>MAHICKRA</v>
          </cell>
        </row>
        <row r="2437">
          <cell r="A2437" t="str">
            <v>MAHINDRA &amp; MAHINDRA FINANCIAL SERVICES LTD</v>
          </cell>
          <cell r="B2437">
            <v>532720</v>
          </cell>
          <cell r="C2437" t="str">
            <v>M&amp;MFIN</v>
          </cell>
        </row>
        <row r="2438">
          <cell r="A2438" t="str">
            <v>MAHINDRA &amp; MAHINDRA LTD</v>
          </cell>
          <cell r="B2438">
            <v>500520</v>
          </cell>
          <cell r="C2438" t="str">
            <v>M&amp;M</v>
          </cell>
        </row>
        <row r="2439">
          <cell r="A2439" t="str">
            <v>MAHINDRA CIE AUTOMOTIVE LTD</v>
          </cell>
          <cell r="B2439">
            <v>532756</v>
          </cell>
          <cell r="C2439" t="str">
            <v>MAHINDCIE</v>
          </cell>
        </row>
        <row r="2440">
          <cell r="A2440" t="str">
            <v>MAHINDRA HOLIDAYS &amp; RESORTS (INDIA) LTD</v>
          </cell>
          <cell r="B2440">
            <v>533088</v>
          </cell>
          <cell r="C2440" t="str">
            <v>MHRIL</v>
          </cell>
        </row>
        <row r="2441">
          <cell r="A2441" t="str">
            <v>MAHINDRA HOLIDAYS &amp; RESORTS INDIA LTD</v>
          </cell>
          <cell r="B2441">
            <v>533088</v>
          </cell>
          <cell r="C2441" t="str">
            <v>MHRIL</v>
          </cell>
        </row>
        <row r="2442">
          <cell r="A2442" t="str">
            <v>MAHINDRA LIFESPACE DEVELOPERS LTD</v>
          </cell>
          <cell r="B2442">
            <v>532313</v>
          </cell>
          <cell r="C2442" t="str">
            <v>MAHLIFE</v>
          </cell>
        </row>
        <row r="2443">
          <cell r="A2443" t="str">
            <v>MAHINDRA LOGISTICS LTD</v>
          </cell>
          <cell r="B2443">
            <v>540768</v>
          </cell>
          <cell r="C2443" t="str">
            <v>MAHLOG</v>
          </cell>
        </row>
        <row r="2444">
          <cell r="A2444" t="str">
            <v>Mahip Industries Ltd</v>
          </cell>
          <cell r="B2444">
            <v>542503</v>
          </cell>
          <cell r="C2444" t="str">
            <v>MAHIP</v>
          </cell>
        </row>
        <row r="2445">
          <cell r="A2445" t="str">
            <v>MAITHAN ALLOYS LTD</v>
          </cell>
          <cell r="B2445">
            <v>590078</v>
          </cell>
          <cell r="C2445" t="str">
            <v>MAITHANALL</v>
          </cell>
        </row>
        <row r="2446">
          <cell r="A2446" t="str">
            <v>MAITRI ENTERPRISES LTD</v>
          </cell>
          <cell r="B2446">
            <v>513430</v>
          </cell>
          <cell r="C2446" t="str">
            <v>Not Listed</v>
          </cell>
        </row>
        <row r="2447">
          <cell r="A2447" t="str">
            <v>MAJESCO LTD</v>
          </cell>
          <cell r="B2447">
            <v>539289</v>
          </cell>
          <cell r="C2447" t="str">
            <v>MAJESCO</v>
          </cell>
        </row>
        <row r="2448">
          <cell r="A2448" t="str">
            <v>MAJESTIC AUTO LTD</v>
          </cell>
          <cell r="B2448">
            <v>500267</v>
          </cell>
          <cell r="C2448" t="str">
            <v>Not Listed</v>
          </cell>
        </row>
        <row r="2449">
          <cell r="A2449" t="str">
            <v>MAJESTIC RESEARCH SERVICES AND SOLUTIONS LTD</v>
          </cell>
          <cell r="B2449">
            <v>539229</v>
          </cell>
          <cell r="C2449" t="str">
            <v>Not Listed</v>
          </cell>
        </row>
        <row r="2450">
          <cell r="A2450" t="str">
            <v>MAKERS LABORATORIES LTD</v>
          </cell>
          <cell r="B2450">
            <v>506919</v>
          </cell>
          <cell r="C2450" t="str">
            <v>Not Listed</v>
          </cell>
        </row>
        <row r="2451">
          <cell r="A2451" t="str">
            <v>MALLCOM (INDIA) LTD</v>
          </cell>
          <cell r="B2451">
            <v>539400</v>
          </cell>
          <cell r="C2451" t="str">
            <v>Not Listed</v>
          </cell>
        </row>
        <row r="2452">
          <cell r="A2452" t="str">
            <v>MALLCOM INDIA LTD</v>
          </cell>
          <cell r="B2452">
            <v>539400</v>
          </cell>
          <cell r="C2452" t="str">
            <v>Not Listed</v>
          </cell>
        </row>
        <row r="2453">
          <cell r="A2453" t="str">
            <v>MALU PAPER MILLS LTD</v>
          </cell>
          <cell r="B2453">
            <v>532728</v>
          </cell>
          <cell r="C2453" t="str">
            <v>MALUPAPER</v>
          </cell>
        </row>
        <row r="2454">
          <cell r="A2454" t="str">
            <v>MAN INDUSTRIES (INDIA) LTD</v>
          </cell>
          <cell r="B2454">
            <v>513269</v>
          </cell>
          <cell r="C2454" t="str">
            <v>MANINDS</v>
          </cell>
        </row>
        <row r="2455">
          <cell r="A2455" t="str">
            <v>MAN INDUSTRIES INDIA LTD</v>
          </cell>
          <cell r="B2455">
            <v>513269</v>
          </cell>
          <cell r="C2455" t="str">
            <v>MANINDS</v>
          </cell>
        </row>
        <row r="2456">
          <cell r="A2456" t="str">
            <v>MAN INFRACONSTRUCTION LTD</v>
          </cell>
          <cell r="B2456">
            <v>533169</v>
          </cell>
          <cell r="C2456" t="str">
            <v>MANINFRA</v>
          </cell>
        </row>
        <row r="2457">
          <cell r="A2457" t="str">
            <v>MANAKSIA ALUMINIUM COMPANY LTD</v>
          </cell>
          <cell r="B2457">
            <v>539045</v>
          </cell>
          <cell r="C2457" t="str">
            <v>MANAKALUCO</v>
          </cell>
        </row>
        <row r="2458">
          <cell r="A2458" t="str">
            <v>MANAKSIA COATED METALS &amp; INDUSTRIES LTD</v>
          </cell>
          <cell r="B2458">
            <v>539046</v>
          </cell>
          <cell r="C2458" t="str">
            <v>MANAKCOAT</v>
          </cell>
        </row>
        <row r="2459">
          <cell r="A2459" t="str">
            <v>MANAKSIA LTD</v>
          </cell>
          <cell r="B2459">
            <v>532932</v>
          </cell>
          <cell r="C2459" t="str">
            <v>MANAKSIA</v>
          </cell>
        </row>
        <row r="2460">
          <cell r="A2460" t="str">
            <v>MANAKSIA STEELS LTD</v>
          </cell>
          <cell r="B2460">
            <v>539044</v>
          </cell>
          <cell r="C2460" t="str">
            <v>MANAKSTEEL</v>
          </cell>
        </row>
        <row r="2461">
          <cell r="A2461" t="str">
            <v>MANALI PETROCHEMICALS LTD</v>
          </cell>
          <cell r="B2461">
            <v>500268</v>
          </cell>
          <cell r="C2461" t="str">
            <v>MANALIPETC</v>
          </cell>
        </row>
        <row r="2462">
          <cell r="A2462" t="str">
            <v>MANAPPURAM FINANCE LTD</v>
          </cell>
          <cell r="B2462">
            <v>531213</v>
          </cell>
          <cell r="C2462" t="str">
            <v>MANAPPURAM</v>
          </cell>
        </row>
        <row r="2463">
          <cell r="A2463" t="str">
            <v>MANAS PROPERTIES LTD</v>
          </cell>
          <cell r="B2463">
            <v>540402</v>
          </cell>
          <cell r="C2463" t="str">
            <v>Not Listed</v>
          </cell>
        </row>
        <row r="2464">
          <cell r="A2464" t="str">
            <v>MANAV INFRA PROJECTS LTD</v>
          </cell>
          <cell r="B2464" t="str">
            <v>Not Listed</v>
          </cell>
          <cell r="C2464" t="str">
            <v>MANAV</v>
          </cell>
        </row>
        <row r="2465">
          <cell r="A2465" t="str">
            <v>MANDHANA INDUSTRIES LTD</v>
          </cell>
          <cell r="B2465">
            <v>533204</v>
          </cell>
          <cell r="C2465" t="str">
            <v>MANDHANA</v>
          </cell>
        </row>
        <row r="2466">
          <cell r="A2466" t="str">
            <v>MANGAL CREDIT AND FINCORP LTD.</v>
          </cell>
          <cell r="B2466">
            <v>505850</v>
          </cell>
          <cell r="C2466" t="str">
            <v>MANCREDIT</v>
          </cell>
        </row>
        <row r="2467">
          <cell r="A2467" t="str">
            <v>MANGALAM CEMENT LTD</v>
          </cell>
          <cell r="B2467">
            <v>502157</v>
          </cell>
          <cell r="C2467" t="str">
            <v>MANGLMCEM</v>
          </cell>
        </row>
        <row r="2468">
          <cell r="A2468" t="str">
            <v>MANGALAM DRUGS AND ORGANICS LTD</v>
          </cell>
          <cell r="B2468">
            <v>532637</v>
          </cell>
          <cell r="C2468" t="str">
            <v>MANGALAM</v>
          </cell>
        </row>
        <row r="2469">
          <cell r="A2469" t="str">
            <v>MANGALAM INDUSTRIAL FINANCE LTD</v>
          </cell>
          <cell r="B2469">
            <v>537800</v>
          </cell>
          <cell r="C2469" t="str">
            <v>Not Listed</v>
          </cell>
        </row>
        <row r="2470">
          <cell r="A2470" t="str">
            <v>MANGALAM ORGANICS LTD</v>
          </cell>
          <cell r="B2470">
            <v>514418</v>
          </cell>
          <cell r="C2470" t="str">
            <v>Not Listed</v>
          </cell>
        </row>
        <row r="2471">
          <cell r="A2471" t="str">
            <v>MANGALAM SEEDS LTD</v>
          </cell>
          <cell r="B2471">
            <v>539275</v>
          </cell>
          <cell r="C2471" t="str">
            <v>Not Listed</v>
          </cell>
        </row>
        <row r="2472">
          <cell r="A2472" t="str">
            <v>MANGALAM TIMBER PRODUCTS LTD</v>
          </cell>
          <cell r="B2472">
            <v>516007</v>
          </cell>
          <cell r="C2472" t="str">
            <v>MANGTIMBER</v>
          </cell>
        </row>
        <row r="2473">
          <cell r="A2473" t="str">
            <v>MANGALORE CHEMICALS &amp; FERTILIZERS LTD</v>
          </cell>
          <cell r="B2473">
            <v>530011</v>
          </cell>
          <cell r="C2473" t="str">
            <v>MANGCHEFER</v>
          </cell>
        </row>
        <row r="2474">
          <cell r="A2474" t="str">
            <v>MANGALORE REFINERY AND PETROCHEMICALS LTD</v>
          </cell>
          <cell r="B2474">
            <v>500109</v>
          </cell>
          <cell r="C2474" t="str">
            <v>MRPL</v>
          </cell>
        </row>
        <row r="2475">
          <cell r="A2475" t="str">
            <v>MANGALYA SOFT-TECH LTD</v>
          </cell>
          <cell r="B2475">
            <v>530243</v>
          </cell>
          <cell r="C2475" t="str">
            <v>Not Listed</v>
          </cell>
        </row>
        <row r="2476">
          <cell r="A2476" t="str">
            <v>MANIPAL FINANCE CORPORATION LTD</v>
          </cell>
          <cell r="B2476">
            <v>507938</v>
          </cell>
          <cell r="C2476" t="str">
            <v>Not Listed</v>
          </cell>
        </row>
        <row r="2477">
          <cell r="A2477" t="str">
            <v>MANJEERA CONSTRUCTIONS LTD</v>
          </cell>
          <cell r="B2477">
            <v>533078</v>
          </cell>
          <cell r="C2477" t="str">
            <v>Not Listed</v>
          </cell>
        </row>
        <row r="2478">
          <cell r="A2478" t="str">
            <v>MANOMAY TEX (INDIA) LTD</v>
          </cell>
          <cell r="B2478">
            <v>540396</v>
          </cell>
          <cell r="C2478" t="str">
            <v>Not Listed</v>
          </cell>
        </row>
        <row r="2479">
          <cell r="A2479" t="str">
            <v>MANOMAY TEX INDIA LTD</v>
          </cell>
          <cell r="B2479">
            <v>540396</v>
          </cell>
          <cell r="C2479" t="str">
            <v>Not Listed</v>
          </cell>
        </row>
        <row r="2480">
          <cell r="A2480" t="str">
            <v>MANORAMA INDUSTRIES LTD</v>
          </cell>
          <cell r="B2480">
            <v>541974</v>
          </cell>
          <cell r="C2480" t="str">
            <v>Not Listed</v>
          </cell>
        </row>
        <row r="2481">
          <cell r="A2481" t="str">
            <v>MANPASAND BEVERAGES LTD</v>
          </cell>
          <cell r="B2481">
            <v>539207</v>
          </cell>
          <cell r="C2481" t="str">
            <v>MANPASAND</v>
          </cell>
        </row>
        <row r="2482">
          <cell r="A2482" t="str">
            <v>MANRAJ HOUSING FINANCE LTD</v>
          </cell>
          <cell r="B2482">
            <v>530537</v>
          </cell>
          <cell r="C2482" t="str">
            <v>Not Listed</v>
          </cell>
        </row>
        <row r="2483">
          <cell r="A2483" t="str">
            <v>MANSI FINANCE CHENNAI LTD</v>
          </cell>
          <cell r="B2483">
            <v>511758</v>
          </cell>
          <cell r="C2483" t="str">
            <v>Not Listed</v>
          </cell>
        </row>
        <row r="2484">
          <cell r="A2484" t="str">
            <v>MANSOON TRADING CO LTD</v>
          </cell>
          <cell r="B2484">
            <v>512303</v>
          </cell>
          <cell r="C2484" t="str">
            <v>Not Listed</v>
          </cell>
        </row>
        <row r="2485">
          <cell r="A2485" t="str">
            <v>MANUGRAPH (INDIA) LTD</v>
          </cell>
          <cell r="B2485">
            <v>505324</v>
          </cell>
          <cell r="C2485" t="str">
            <v>MANUGRAPH</v>
          </cell>
        </row>
        <row r="2486">
          <cell r="A2486" t="str">
            <v>MANUGRAPH INDIA LTD</v>
          </cell>
          <cell r="B2486">
            <v>505324</v>
          </cell>
          <cell r="C2486" t="str">
            <v>MANUGRAPH</v>
          </cell>
        </row>
        <row r="2487">
          <cell r="A2487" t="str">
            <v>MANVIJAY DEVELOPMENT COMPANY LTD</v>
          </cell>
          <cell r="B2487">
            <v>538970</v>
          </cell>
          <cell r="C2487" t="str">
            <v>Not Listed</v>
          </cell>
        </row>
        <row r="2488">
          <cell r="A2488" t="str">
            <v>MARAL OVERSEAS LTD</v>
          </cell>
          <cell r="B2488">
            <v>521018</v>
          </cell>
          <cell r="C2488" t="str">
            <v>MARALOVER</v>
          </cell>
        </row>
        <row r="2489">
          <cell r="A2489" t="str">
            <v>MARATHON NEXTGEN REALTY LTD</v>
          </cell>
          <cell r="B2489">
            <v>503101</v>
          </cell>
          <cell r="C2489" t="str">
            <v>MARATHON</v>
          </cell>
        </row>
        <row r="2490">
          <cell r="A2490" t="str">
            <v>MARATHWADA REFRACTORIES LTD</v>
          </cell>
          <cell r="B2490">
            <v>502250</v>
          </cell>
          <cell r="C2490" t="str">
            <v>Not Listed</v>
          </cell>
        </row>
        <row r="2491">
          <cell r="A2491" t="str">
            <v>MARDIA SAMYOUNG CAPILLARY TUBES COMPANY LTD</v>
          </cell>
          <cell r="B2491">
            <v>513544</v>
          </cell>
          <cell r="C2491" t="str">
            <v>Not Listed</v>
          </cell>
        </row>
        <row r="2492">
          <cell r="A2492" t="str">
            <v>MARG LTD</v>
          </cell>
          <cell r="B2492">
            <v>530543</v>
          </cell>
          <cell r="C2492" t="str">
            <v>Not Listed</v>
          </cell>
        </row>
        <row r="2493">
          <cell r="A2493" t="str">
            <v>MARG TECHNO PROJECTS LTD</v>
          </cell>
          <cell r="B2493">
            <v>540254</v>
          </cell>
          <cell r="C2493" t="str">
            <v>Not Listed</v>
          </cell>
        </row>
        <row r="2494">
          <cell r="A2494" t="str">
            <v>MARGO FINANCE LTD</v>
          </cell>
          <cell r="B2494">
            <v>500206</v>
          </cell>
          <cell r="C2494" t="str">
            <v>Not Listed</v>
          </cell>
        </row>
        <row r="2495">
          <cell r="A2495" t="str">
            <v>MARICO LTD</v>
          </cell>
          <cell r="B2495">
            <v>531642</v>
          </cell>
          <cell r="C2495" t="str">
            <v>MARICO</v>
          </cell>
        </row>
        <row r="2496">
          <cell r="A2496" t="str">
            <v>MARINE ELECTRICALS (INDIA) LTD</v>
          </cell>
          <cell r="B2496" t="str">
            <v>Not Listed</v>
          </cell>
          <cell r="C2496" t="str">
            <v>MARINE</v>
          </cell>
        </row>
        <row r="2497">
          <cell r="A2497" t="str">
            <v>MARINE ELECTRICALS INDIA LTD</v>
          </cell>
          <cell r="B2497" t="str">
            <v>Not Listed</v>
          </cell>
          <cell r="C2497" t="str">
            <v>MARINE</v>
          </cell>
        </row>
        <row r="2498">
          <cell r="A2498" t="str">
            <v>MARIS SPINNERS LTD</v>
          </cell>
          <cell r="B2498">
            <v>531503</v>
          </cell>
          <cell r="C2498" t="str">
            <v>Not Listed</v>
          </cell>
        </row>
        <row r="2499">
          <cell r="A2499" t="str">
            <v>MARKET CREATORS LTD</v>
          </cell>
          <cell r="B2499">
            <v>526891</v>
          </cell>
          <cell r="C2499" t="str">
            <v>Not Listed</v>
          </cell>
        </row>
        <row r="2500">
          <cell r="A2500" t="str">
            <v>MARKSANS PHARMA LTD</v>
          </cell>
          <cell r="B2500">
            <v>524404</v>
          </cell>
          <cell r="C2500" t="str">
            <v>MARKSANS</v>
          </cell>
        </row>
        <row r="2501">
          <cell r="A2501" t="str">
            <v>MARSHALL MACHINES LTD</v>
          </cell>
          <cell r="B2501" t="str">
            <v>Not Listed</v>
          </cell>
          <cell r="C2501" t="str">
            <v>MARSHALL</v>
          </cell>
        </row>
        <row r="2502">
          <cell r="A2502" t="str">
            <v>MARSONS LTD</v>
          </cell>
          <cell r="B2502">
            <v>517467</v>
          </cell>
          <cell r="C2502" t="str">
            <v>Not Listed</v>
          </cell>
        </row>
        <row r="2503">
          <cell r="A2503" t="str">
            <v>MARTIN BURN LTD</v>
          </cell>
          <cell r="B2503">
            <v>523566</v>
          </cell>
          <cell r="C2503" t="str">
            <v>Not Listed</v>
          </cell>
        </row>
        <row r="2504">
          <cell r="A2504" t="str">
            <v>MARUTI INFRASTRUCTURE LTD</v>
          </cell>
          <cell r="B2504">
            <v>531540</v>
          </cell>
          <cell r="C2504" t="str">
            <v>Not Listed</v>
          </cell>
        </row>
        <row r="2505">
          <cell r="A2505" t="str">
            <v>MARUTI SECURITIES LTD</v>
          </cell>
          <cell r="B2505">
            <v>531319</v>
          </cell>
          <cell r="C2505" t="str">
            <v>Not Listed</v>
          </cell>
        </row>
        <row r="2506">
          <cell r="A2506" t="str">
            <v>MARUTI SUZUKI (INDIA) LTD</v>
          </cell>
          <cell r="B2506">
            <v>532500</v>
          </cell>
          <cell r="C2506" t="str">
            <v>MARUTI</v>
          </cell>
        </row>
        <row r="2507">
          <cell r="A2507" t="str">
            <v>MARUTI SUZUKI INDIA LTD</v>
          </cell>
          <cell r="B2507">
            <v>532500</v>
          </cell>
          <cell r="C2507" t="str">
            <v>MARUTI</v>
          </cell>
        </row>
        <row r="2508">
          <cell r="A2508" t="str">
            <v>MARVEL DECOR LTD</v>
          </cell>
          <cell r="B2508" t="str">
            <v>Not Listed</v>
          </cell>
          <cell r="C2508" t="str">
            <v>MDL</v>
          </cell>
        </row>
        <row r="2509">
          <cell r="A2509" t="str">
            <v>MAS FINANCIAL SERVICES LTD</v>
          </cell>
          <cell r="B2509">
            <v>540749</v>
          </cell>
          <cell r="C2509" t="str">
            <v>MASFIN</v>
          </cell>
        </row>
        <row r="2510">
          <cell r="A2510" t="str">
            <v>MASK INVESTMENTS LTD</v>
          </cell>
          <cell r="B2510" t="str">
            <v>Not Listed</v>
          </cell>
          <cell r="C2510" t="str">
            <v>MASKINVEST</v>
          </cell>
        </row>
        <row r="2511">
          <cell r="A2511" t="str">
            <v>MASTEK LTD</v>
          </cell>
          <cell r="B2511">
            <v>523704</v>
          </cell>
          <cell r="C2511" t="str">
            <v>MASTEK</v>
          </cell>
        </row>
        <row r="2512">
          <cell r="A2512" t="str">
            <v>MASTER CHEMICALS LTD</v>
          </cell>
          <cell r="B2512">
            <v>506867</v>
          </cell>
          <cell r="C2512" t="str">
            <v>Not Listed</v>
          </cell>
        </row>
        <row r="2513">
          <cell r="A2513" t="str">
            <v>MASTER TRUST LTD</v>
          </cell>
          <cell r="B2513">
            <v>511768</v>
          </cell>
          <cell r="C2513" t="str">
            <v>Not Listed</v>
          </cell>
        </row>
        <row r="2514">
          <cell r="A2514" t="str">
            <v>MATHEW EASOW RESEARCH SECURITIES LTD</v>
          </cell>
          <cell r="B2514">
            <v>511688</v>
          </cell>
          <cell r="C2514" t="str">
            <v>Not Listed</v>
          </cell>
        </row>
        <row r="2515">
          <cell r="A2515" t="str">
            <v>MATRIMONY COM LTD</v>
          </cell>
          <cell r="B2515">
            <v>540704</v>
          </cell>
          <cell r="C2515" t="str">
            <v>MATRIMONY</v>
          </cell>
        </row>
        <row r="2516">
          <cell r="A2516" t="str">
            <v>MAURIA UDYOG LTD</v>
          </cell>
          <cell r="B2516">
            <v>539219</v>
          </cell>
          <cell r="C2516" t="str">
            <v>Not Listed</v>
          </cell>
        </row>
        <row r="2517">
          <cell r="A2517" t="str">
            <v>MAVI INDUSTRIES LTD</v>
          </cell>
          <cell r="B2517">
            <v>500248</v>
          </cell>
          <cell r="C2517" t="str">
            <v>Not Listed</v>
          </cell>
        </row>
        <row r="2518">
          <cell r="A2518" t="str">
            <v>MAWANA SUGARS LTD</v>
          </cell>
          <cell r="B2518">
            <v>523371</v>
          </cell>
          <cell r="C2518" t="str">
            <v>MAWANASUG</v>
          </cell>
        </row>
        <row r="2519">
          <cell r="A2519" t="str">
            <v>MAX (INDIA) LTD</v>
          </cell>
          <cell r="B2519">
            <v>539981</v>
          </cell>
          <cell r="C2519" t="str">
            <v>MAX(INDIA)</v>
          </cell>
        </row>
        <row r="2520">
          <cell r="A2520" t="str">
            <v>MAX ALERT SYSTEMS LTD.</v>
          </cell>
          <cell r="B2520">
            <v>534563</v>
          </cell>
          <cell r="C2520" t="str">
            <v>MASL</v>
          </cell>
        </row>
        <row r="2521">
          <cell r="A2521" t="str">
            <v>MAX FINANCIAL SERVICES LTD</v>
          </cell>
          <cell r="B2521">
            <v>500271</v>
          </cell>
          <cell r="C2521" t="str">
            <v>MFSL</v>
          </cell>
        </row>
        <row r="2522">
          <cell r="A2522" t="str">
            <v>MAX INDIA LTD</v>
          </cell>
          <cell r="B2522">
            <v>539981</v>
          </cell>
          <cell r="C2522" t="str">
            <v>MAXINDIA</v>
          </cell>
        </row>
        <row r="2523">
          <cell r="A2523" t="str">
            <v>MAX VENTURES AND INDUSTRIES LTD</v>
          </cell>
          <cell r="B2523">
            <v>539940</v>
          </cell>
          <cell r="C2523" t="str">
            <v>MAXVIL</v>
          </cell>
        </row>
        <row r="2524">
          <cell r="A2524" t="str">
            <v>MAXHEIGHTS INFRASTRUCTURE LTD</v>
          </cell>
          <cell r="B2524">
            <v>534338</v>
          </cell>
          <cell r="C2524" t="str">
            <v>Not Listed</v>
          </cell>
        </row>
        <row r="2525">
          <cell r="A2525" t="str">
            <v>MAXIMAA SYSTEMS LTD</v>
          </cell>
          <cell r="B2525">
            <v>526538</v>
          </cell>
          <cell r="C2525" t="str">
            <v>Not Listed</v>
          </cell>
        </row>
        <row r="2526">
          <cell r="A2526" t="str">
            <v>MAXIMUS INTERNATIONAL LTD</v>
          </cell>
          <cell r="B2526">
            <v>540401</v>
          </cell>
          <cell r="C2526" t="str">
            <v>Not Listed</v>
          </cell>
        </row>
        <row r="2527">
          <cell r="A2527" t="str">
            <v>MAYUKH DEALTRADE LTD</v>
          </cell>
          <cell r="B2527">
            <v>539519</v>
          </cell>
          <cell r="C2527" t="str">
            <v>Not Listed</v>
          </cell>
        </row>
        <row r="2528">
          <cell r="A2528" t="str">
            <v>MAYUR FLOORINGS LTD</v>
          </cell>
          <cell r="B2528">
            <v>531221</v>
          </cell>
          <cell r="C2528" t="str">
            <v>Not Listed</v>
          </cell>
        </row>
        <row r="2529">
          <cell r="A2529" t="str">
            <v>MAYUR LEATHER PRODUCTS LTD</v>
          </cell>
          <cell r="B2529">
            <v>531680</v>
          </cell>
          <cell r="C2529" t="str">
            <v>Not Listed</v>
          </cell>
        </row>
        <row r="2530">
          <cell r="A2530" t="str">
            <v>MAYUR UNIQUOTERS LTD</v>
          </cell>
          <cell r="B2530">
            <v>522249</v>
          </cell>
          <cell r="C2530" t="str">
            <v>MAYURUNIQ</v>
          </cell>
        </row>
        <row r="2531">
          <cell r="A2531" t="str">
            <v>MAZDA LTD</v>
          </cell>
          <cell r="B2531">
            <v>523792</v>
          </cell>
          <cell r="C2531" t="str">
            <v>MAZDA</v>
          </cell>
        </row>
        <row r="2532">
          <cell r="A2532" t="str">
            <v>MBL INFRASTRUCTURES LTD</v>
          </cell>
          <cell r="B2532">
            <v>533152</v>
          </cell>
          <cell r="C2532" t="str">
            <v>MBLINFRA</v>
          </cell>
        </row>
        <row r="2533">
          <cell r="A2533" t="str">
            <v>MCDOWELL HOLDINGS LTD</v>
          </cell>
          <cell r="B2533">
            <v>532852</v>
          </cell>
          <cell r="C2533" t="str">
            <v>MCDHOLDING</v>
          </cell>
        </row>
        <row r="2534">
          <cell r="A2534" t="str">
            <v>MCLEOD RUSSEL (INDIA) LTD</v>
          </cell>
          <cell r="B2534">
            <v>532654</v>
          </cell>
          <cell r="C2534" t="str">
            <v>MCLEODRUSS</v>
          </cell>
        </row>
        <row r="2535">
          <cell r="A2535" t="str">
            <v>MCLEOD RUSSEL INDIA LTD</v>
          </cell>
          <cell r="B2535">
            <v>532654</v>
          </cell>
          <cell r="C2535" t="str">
            <v>MCLEODRUSS</v>
          </cell>
        </row>
        <row r="2536">
          <cell r="A2536" t="str">
            <v>MCNALLY BHARAT ENGINEERING COMPANY LTD</v>
          </cell>
          <cell r="B2536">
            <v>532629</v>
          </cell>
          <cell r="C2536" t="str">
            <v>MBECL</v>
          </cell>
        </row>
        <row r="2537">
          <cell r="A2537" t="str">
            <v>MEDIA MATRIX WORLDWIDE LTD</v>
          </cell>
          <cell r="B2537">
            <v>512267</v>
          </cell>
          <cell r="C2537" t="str">
            <v>Not Listed</v>
          </cell>
        </row>
        <row r="2538">
          <cell r="A2538" t="str">
            <v>MEDICAMEN BIOTECH LTD</v>
          </cell>
          <cell r="B2538">
            <v>531146</v>
          </cell>
          <cell r="C2538" t="str">
            <v>Not Listed</v>
          </cell>
        </row>
        <row r="2539">
          <cell r="A2539" t="str">
            <v>MEDI-CAPS LTD</v>
          </cell>
          <cell r="B2539">
            <v>523144</v>
          </cell>
          <cell r="C2539" t="str">
            <v>Not Listed</v>
          </cell>
        </row>
        <row r="2540">
          <cell r="A2540" t="str">
            <v>Medico Intercontinental Ltd</v>
          </cell>
          <cell r="B2540">
            <v>539938</v>
          </cell>
          <cell r="C2540" t="str">
            <v>MIL</v>
          </cell>
        </row>
        <row r="2541">
          <cell r="A2541" t="str">
            <v>MEDICO REMEDIES LTD</v>
          </cell>
          <cell r="B2541">
            <v>540937</v>
          </cell>
          <cell r="C2541" t="str">
            <v>Not Listed</v>
          </cell>
        </row>
        <row r="2542">
          <cell r="A2542" t="str">
            <v>MEDINOVA DIAGNOSTIC SERVICES LTD</v>
          </cell>
          <cell r="B2542">
            <v>526301</v>
          </cell>
          <cell r="C2542" t="str">
            <v>Not Listed</v>
          </cell>
        </row>
        <row r="2543">
          <cell r="A2543" t="str">
            <v>MEENAKSHI ENTERPRISES LTD</v>
          </cell>
          <cell r="B2543">
            <v>538834</v>
          </cell>
          <cell r="C2543" t="str">
            <v>Not Listed</v>
          </cell>
        </row>
        <row r="2544">
          <cell r="A2544" t="str">
            <v>MEENAKSHI STEEL INDUSTRIES LTD</v>
          </cell>
          <cell r="B2544">
            <v>512505</v>
          </cell>
          <cell r="C2544" t="str">
            <v>Not Listed</v>
          </cell>
        </row>
        <row r="2545">
          <cell r="A2545" t="str">
            <v>MEERA INDUSTRIES LTD</v>
          </cell>
          <cell r="B2545">
            <v>540519</v>
          </cell>
          <cell r="C2545" t="str">
            <v>Not Listed</v>
          </cell>
        </row>
        <row r="2546">
          <cell r="A2546" t="str">
            <v>MEFCOM AGRO INDUSTRIES LTD</v>
          </cell>
          <cell r="B2546">
            <v>511276</v>
          </cell>
          <cell r="C2546" t="str">
            <v>Not Listed</v>
          </cell>
        </row>
        <row r="2547">
          <cell r="A2547" t="str">
            <v>MEFCOM CAPITAL MARKETS LTD</v>
          </cell>
          <cell r="B2547">
            <v>531176</v>
          </cell>
          <cell r="C2547" t="str">
            <v>Not Listed</v>
          </cell>
        </row>
        <row r="2548">
          <cell r="A2548" t="str">
            <v>MEGA CORPORATION LTD</v>
          </cell>
          <cell r="B2548">
            <v>531417</v>
          </cell>
          <cell r="C2548" t="str">
            <v>Not Listed</v>
          </cell>
        </row>
        <row r="2549">
          <cell r="A2549" t="str">
            <v>MEGA FIN (INDIA) LTD</v>
          </cell>
          <cell r="B2549">
            <v>532105</v>
          </cell>
          <cell r="C2549" t="str">
            <v>Not Listed</v>
          </cell>
        </row>
        <row r="2550">
          <cell r="A2550" t="str">
            <v>MEGA FIN INDIA LTD</v>
          </cell>
          <cell r="B2550">
            <v>532105</v>
          </cell>
          <cell r="C2550" t="str">
            <v>Not Listed</v>
          </cell>
        </row>
        <row r="2551">
          <cell r="A2551" t="str">
            <v>MEGA NIRMAN AND INDUSTRIES LTD</v>
          </cell>
          <cell r="B2551">
            <v>539767</v>
          </cell>
          <cell r="C2551" t="str">
            <v>Not Listed</v>
          </cell>
        </row>
        <row r="2552">
          <cell r="A2552" t="str">
            <v>MEGASOFT LTD</v>
          </cell>
          <cell r="B2552">
            <v>532408</v>
          </cell>
          <cell r="C2552" t="str">
            <v>MEGASOFT</v>
          </cell>
        </row>
        <row r="2553">
          <cell r="A2553" t="str">
            <v>MEGASTAR FOODS LTD</v>
          </cell>
          <cell r="B2553">
            <v>541352</v>
          </cell>
          <cell r="C2553" t="str">
            <v>Not Listed</v>
          </cell>
        </row>
        <row r="2554">
          <cell r="A2554" t="str">
            <v>MEGHMANI ORGANICS LTD</v>
          </cell>
          <cell r="B2554">
            <v>532865</v>
          </cell>
          <cell r="C2554" t="str">
            <v>MEGH</v>
          </cell>
        </row>
        <row r="2555">
          <cell r="A2555" t="str">
            <v>MEGLON INFRA-REAL (INDIA) LTD</v>
          </cell>
          <cell r="B2555">
            <v>511367</v>
          </cell>
          <cell r="C2555" t="str">
            <v>Not Listed</v>
          </cell>
        </row>
        <row r="2556">
          <cell r="A2556" t="str">
            <v>MEGLON INFRA-REAL INDIA LTD</v>
          </cell>
          <cell r="B2556">
            <v>511367</v>
          </cell>
          <cell r="C2556" t="str">
            <v>Not Listed</v>
          </cell>
        </row>
        <row r="2557">
          <cell r="A2557" t="str">
            <v>MEGRI SOFT LTD</v>
          </cell>
          <cell r="B2557">
            <v>539012</v>
          </cell>
          <cell r="C2557" t="str">
            <v>Not Listed</v>
          </cell>
        </row>
        <row r="2558">
          <cell r="A2558" t="str">
            <v>MEHAI TECHNOLOGY LTD</v>
          </cell>
          <cell r="B2558">
            <v>540730</v>
          </cell>
          <cell r="C2558" t="str">
            <v>Not Listed</v>
          </cell>
        </row>
        <row r="2559">
          <cell r="A2559" t="str">
            <v>MEHTA HOUSING FINANCE LTD</v>
          </cell>
          <cell r="B2559">
            <v>511740</v>
          </cell>
          <cell r="C2559" t="str">
            <v>Not Listed</v>
          </cell>
        </row>
        <row r="2560">
          <cell r="A2560" t="str">
            <v>MEHTA INTEGRATED FINANCE LTD</v>
          </cell>
          <cell r="B2560">
            <v>511377</v>
          </cell>
          <cell r="C2560" t="str">
            <v>Not Listed</v>
          </cell>
        </row>
        <row r="2561">
          <cell r="A2561" t="str">
            <v>MEHTA SECURITIES LTD</v>
          </cell>
          <cell r="B2561">
            <v>511738</v>
          </cell>
          <cell r="C2561" t="str">
            <v>Not Listed</v>
          </cell>
        </row>
        <row r="2562">
          <cell r="A2562" t="str">
            <v>MELSTAR INFORMATION TECHNOLOGIES LTD</v>
          </cell>
          <cell r="B2562">
            <v>532307</v>
          </cell>
          <cell r="C2562" t="str">
            <v>MELSTAR</v>
          </cell>
        </row>
        <row r="2563">
          <cell r="A2563" t="str">
            <v>MENA MANI INDUSTRIES LTD</v>
          </cell>
          <cell r="B2563">
            <v>531127</v>
          </cell>
          <cell r="C2563" t="str">
            <v>Not Listed</v>
          </cell>
        </row>
        <row r="2564">
          <cell r="A2564" t="str">
            <v>MENON BEARINGS LTD</v>
          </cell>
          <cell r="B2564">
            <v>523828</v>
          </cell>
          <cell r="C2564" t="str">
            <v>MENONBE</v>
          </cell>
        </row>
        <row r="2565">
          <cell r="A2565" t="str">
            <v>MENON PISTONS LTD</v>
          </cell>
          <cell r="B2565">
            <v>531727</v>
          </cell>
          <cell r="C2565" t="str">
            <v>Not Listed</v>
          </cell>
        </row>
        <row r="2566">
          <cell r="A2566" t="str">
            <v>MEP INFRASTRUCTURE DEVELOPERS LTD</v>
          </cell>
          <cell r="B2566">
            <v>539126</v>
          </cell>
          <cell r="C2566" t="str">
            <v>MEP</v>
          </cell>
        </row>
        <row r="2567">
          <cell r="A2567" t="str">
            <v>MERCANTILE VENTURES LTD</v>
          </cell>
          <cell r="B2567">
            <v>538942</v>
          </cell>
          <cell r="C2567" t="str">
            <v>Not Listed</v>
          </cell>
        </row>
        <row r="2568">
          <cell r="A2568" t="str">
            <v>MERCATOR LTD</v>
          </cell>
          <cell r="B2568">
            <v>526235</v>
          </cell>
          <cell r="C2568" t="str">
            <v>MERCATOR</v>
          </cell>
        </row>
        <row r="2569">
          <cell r="A2569" t="str">
            <v>MERCK LTD</v>
          </cell>
          <cell r="B2569">
            <v>500126</v>
          </cell>
          <cell r="C2569" t="str">
            <v>MERCK</v>
          </cell>
        </row>
        <row r="2570">
          <cell r="A2570" t="str">
            <v>MERCURY LABORATORIES LTD</v>
          </cell>
          <cell r="B2570">
            <v>538964</v>
          </cell>
          <cell r="C2570" t="str">
            <v>Not Listed</v>
          </cell>
        </row>
        <row r="2571">
          <cell r="A2571" t="str">
            <v>MERCURY METALS LTD</v>
          </cell>
          <cell r="B2571">
            <v>531357</v>
          </cell>
          <cell r="C2571" t="str">
            <v>Not Listed</v>
          </cell>
        </row>
        <row r="2572">
          <cell r="A2572" t="str">
            <v>MERCURY TRADE LINKS LTD</v>
          </cell>
          <cell r="B2572">
            <v>512415</v>
          </cell>
          <cell r="C2572" t="str">
            <v>Not Listed</v>
          </cell>
        </row>
        <row r="2573">
          <cell r="A2573" t="str">
            <v>MESCO PHARMACEUTICALS LTD</v>
          </cell>
          <cell r="B2573">
            <v>500274</v>
          </cell>
          <cell r="C2573" t="str">
            <v>Not Listed</v>
          </cell>
        </row>
        <row r="2574">
          <cell r="A2574" t="str">
            <v>METAL COATINGS (INDIA) LTD</v>
          </cell>
          <cell r="B2574">
            <v>531810</v>
          </cell>
          <cell r="C2574" t="str">
            <v>Not Listed</v>
          </cell>
        </row>
        <row r="2575">
          <cell r="A2575" t="str">
            <v>METAL COATINGS INDIA LTD</v>
          </cell>
          <cell r="B2575">
            <v>531810</v>
          </cell>
          <cell r="C2575" t="str">
            <v>Not Listed</v>
          </cell>
        </row>
        <row r="2576">
          <cell r="A2576" t="str">
            <v>METALYST FORGINGS LTD</v>
          </cell>
          <cell r="B2576">
            <v>513335</v>
          </cell>
          <cell r="C2576" t="str">
            <v>METALFORGE</v>
          </cell>
        </row>
        <row r="2577">
          <cell r="A2577" t="str">
            <v>METKORE ALLOYS &amp; INDUSTRIES LTD</v>
          </cell>
          <cell r="B2577">
            <v>532990</v>
          </cell>
          <cell r="C2577" t="str">
            <v>METKORE</v>
          </cell>
        </row>
        <row r="2578">
          <cell r="A2578" t="str">
            <v>METROGLOBAL LTD</v>
          </cell>
          <cell r="B2578">
            <v>500159</v>
          </cell>
          <cell r="C2578" t="str">
            <v>Not Listed</v>
          </cell>
        </row>
        <row r="2579">
          <cell r="A2579" t="str">
            <v>Metropolis Healthcare Ltd</v>
          </cell>
          <cell r="B2579">
            <v>542650</v>
          </cell>
          <cell r="C2579" t="str">
            <v>METROPOLIS</v>
          </cell>
        </row>
        <row r="2580">
          <cell r="A2580" t="str">
            <v>MEWAR HI-TECH ENGINEERING LTD</v>
          </cell>
          <cell r="B2580">
            <v>540150</v>
          </cell>
          <cell r="C2580" t="str">
            <v>Not Listed</v>
          </cell>
        </row>
        <row r="2581">
          <cell r="A2581" t="str">
            <v>MEWAT ZINC LTD</v>
          </cell>
          <cell r="B2581">
            <v>513496</v>
          </cell>
          <cell r="C2581" t="str">
            <v>Not Listed</v>
          </cell>
        </row>
        <row r="2582">
          <cell r="A2582" t="str">
            <v>Meyer Apparel Ltd</v>
          </cell>
          <cell r="B2582">
            <v>531613</v>
          </cell>
          <cell r="C2582" t="str">
            <v>MAL</v>
          </cell>
        </row>
        <row r="2583">
          <cell r="A2583" t="str">
            <v>MFL (INDIA) LTD</v>
          </cell>
          <cell r="B2583">
            <v>526622</v>
          </cell>
          <cell r="C2583" t="str">
            <v>Not Listed</v>
          </cell>
        </row>
        <row r="2584">
          <cell r="A2584" t="str">
            <v>MFL INDIA LTD</v>
          </cell>
          <cell r="B2584">
            <v>526622</v>
          </cell>
          <cell r="C2584" t="str">
            <v>Not Listed</v>
          </cell>
        </row>
        <row r="2585">
          <cell r="A2585" t="str">
            <v>MFS INTERCORP LTD</v>
          </cell>
          <cell r="B2585">
            <v>513721</v>
          </cell>
          <cell r="C2585" t="str">
            <v>Not Listed</v>
          </cell>
        </row>
        <row r="2586">
          <cell r="A2586" t="str">
            <v>MIC ELECTRONICS LTD</v>
          </cell>
          <cell r="B2586">
            <v>532850</v>
          </cell>
          <cell r="C2586" t="str">
            <v>MIC</v>
          </cell>
        </row>
        <row r="2587">
          <cell r="A2587" t="str">
            <v>MICROSE (INDIA) LTD</v>
          </cell>
          <cell r="B2587">
            <v>523343</v>
          </cell>
          <cell r="C2587" t="str">
            <v>Not Listed</v>
          </cell>
        </row>
        <row r="2588">
          <cell r="A2588" t="str">
            <v>MICROSE INDIA LTD</v>
          </cell>
          <cell r="B2588">
            <v>523343</v>
          </cell>
          <cell r="C2588" t="str">
            <v>Not Listed</v>
          </cell>
        </row>
        <row r="2589">
          <cell r="A2589" t="str">
            <v>MID EAST PORTFOLIO MANAGEMENT LTD</v>
          </cell>
          <cell r="B2589">
            <v>526251</v>
          </cell>
          <cell r="C2589" t="str">
            <v>Not Listed</v>
          </cell>
        </row>
        <row r="2590">
          <cell r="A2590" t="str">
            <v>MID INDIA INDUSTRIES LTD</v>
          </cell>
          <cell r="B2590">
            <v>500277</v>
          </cell>
          <cell r="C2590" t="str">
            <v>Not Listed</v>
          </cell>
        </row>
        <row r="2591">
          <cell r="A2591" t="str">
            <v>MIDAS INFRA TRADE LTD</v>
          </cell>
          <cell r="B2591">
            <v>531192</v>
          </cell>
          <cell r="C2591" t="str">
            <v>Not Listed</v>
          </cell>
        </row>
        <row r="2592">
          <cell r="A2592" t="str">
            <v>MIDEAST INTEGRATED STEELS LTD</v>
          </cell>
          <cell r="B2592">
            <v>540744</v>
          </cell>
          <cell r="C2592" t="str">
            <v>Not Listed</v>
          </cell>
        </row>
        <row r="2593">
          <cell r="A2593" t="str">
            <v>MIDVALLEY ENTERTAINMENT LTD.</v>
          </cell>
          <cell r="B2593">
            <v>533310</v>
          </cell>
          <cell r="C2593" t="str">
            <v>MIDVAL</v>
          </cell>
        </row>
        <row r="2594">
          <cell r="A2594" t="str">
            <v>MIDWEST GOLD LTD</v>
          </cell>
          <cell r="B2594">
            <v>526570</v>
          </cell>
          <cell r="C2594" t="str">
            <v>Not Listed</v>
          </cell>
        </row>
        <row r="2595">
          <cell r="A2595" t="str">
            <v>MIHIKA INDUSTRIES LTD</v>
          </cell>
          <cell r="B2595">
            <v>538895</v>
          </cell>
          <cell r="C2595" t="str">
            <v>Not Listed</v>
          </cell>
        </row>
        <row r="2596">
          <cell r="A2596" t="str">
            <v>MILESTONE FURNITURE LTD</v>
          </cell>
          <cell r="B2596">
            <v>541337</v>
          </cell>
          <cell r="C2596" t="str">
            <v>Not Listed</v>
          </cell>
        </row>
        <row r="2597">
          <cell r="A2597" t="str">
            <v>MILESTONE GLOBAL LTD</v>
          </cell>
          <cell r="B2597">
            <v>531338</v>
          </cell>
          <cell r="C2597" t="str">
            <v>Not Listed</v>
          </cell>
        </row>
        <row r="2598">
          <cell r="A2598" t="str">
            <v>MILGREY FINANCE &amp; INVESTMENTS LTD</v>
          </cell>
          <cell r="B2598">
            <v>511018</v>
          </cell>
          <cell r="C2598" t="str">
            <v>Not Listed</v>
          </cell>
        </row>
        <row r="2599">
          <cell r="A2599" t="str">
            <v>MILKFOOD LTD</v>
          </cell>
          <cell r="B2599">
            <v>507621</v>
          </cell>
          <cell r="C2599" t="str">
            <v>Not Listed</v>
          </cell>
        </row>
        <row r="2600">
          <cell r="A2600" t="str">
            <v>MILLENNIUM ONLINE SOLUTIONS  INDIA  LTD</v>
          </cell>
          <cell r="B2600">
            <v>511187</v>
          </cell>
          <cell r="C2600" t="str">
            <v>Not Listed</v>
          </cell>
        </row>
        <row r="2601">
          <cell r="A2601" t="str">
            <v>MILTON INDUSTRIES LTD</v>
          </cell>
          <cell r="B2601" t="str">
            <v>Not Listed</v>
          </cell>
          <cell r="C2601" t="str">
            <v>MILTON</v>
          </cell>
        </row>
        <row r="2602">
          <cell r="A2602" t="str">
            <v>MINAXI TEXTILES LTD</v>
          </cell>
          <cell r="B2602">
            <v>531456</v>
          </cell>
          <cell r="C2602" t="str">
            <v>Not Listed</v>
          </cell>
        </row>
        <row r="2603">
          <cell r="A2603" t="str">
            <v>MINDA CORPORATION LTD</v>
          </cell>
          <cell r="B2603">
            <v>538962</v>
          </cell>
          <cell r="C2603" t="str">
            <v>MINDACORP</v>
          </cell>
        </row>
        <row r="2604">
          <cell r="A2604" t="str">
            <v>MINDA FINANCE LTD</v>
          </cell>
          <cell r="B2604">
            <v>539303</v>
          </cell>
          <cell r="C2604" t="str">
            <v>Not Listed</v>
          </cell>
        </row>
        <row r="2605">
          <cell r="A2605" t="str">
            <v>MINDA INDUSTRIES LTD</v>
          </cell>
          <cell r="B2605">
            <v>532539</v>
          </cell>
          <cell r="C2605" t="str">
            <v>MINDAIND</v>
          </cell>
        </row>
        <row r="2606">
          <cell r="A2606" t="str">
            <v>MINDTECK (INDIA) LTD</v>
          </cell>
          <cell r="B2606">
            <v>517344</v>
          </cell>
          <cell r="C2606" t="str">
            <v>MINDTECK</v>
          </cell>
        </row>
        <row r="2607">
          <cell r="A2607" t="str">
            <v>MINDTECK INDIA LTD</v>
          </cell>
          <cell r="B2607">
            <v>517344</v>
          </cell>
          <cell r="C2607" t="str">
            <v>MINDTECK</v>
          </cell>
        </row>
        <row r="2608">
          <cell r="A2608" t="str">
            <v>MINDTREE LTD</v>
          </cell>
          <cell r="B2608">
            <v>532819</v>
          </cell>
          <cell r="C2608" t="str">
            <v>MINDTREE</v>
          </cell>
        </row>
        <row r="2609">
          <cell r="A2609" t="str">
            <v>MINI DIAMONDS (INDIA) LTD</v>
          </cell>
          <cell r="B2609">
            <v>523373</v>
          </cell>
          <cell r="C2609" t="str">
            <v>Not Listed</v>
          </cell>
        </row>
        <row r="2610">
          <cell r="A2610" t="str">
            <v>MINI DIAMONDS INDIA LTD</v>
          </cell>
          <cell r="B2610">
            <v>523373</v>
          </cell>
          <cell r="C2610" t="str">
            <v>Not Listed</v>
          </cell>
        </row>
        <row r="2611">
          <cell r="A2611" t="str">
            <v>MINOLTA FINANCE LTD</v>
          </cell>
          <cell r="B2611">
            <v>532164</v>
          </cell>
          <cell r="C2611" t="str">
            <v>Not Listed</v>
          </cell>
        </row>
        <row r="2612">
          <cell r="A2612" t="str">
            <v>MIPCO SEAMLESS RINGS GUJARAT LTD</v>
          </cell>
          <cell r="B2612">
            <v>505797</v>
          </cell>
          <cell r="C2612" t="str">
            <v>Not Listed</v>
          </cell>
        </row>
        <row r="2613">
          <cell r="A2613" t="str">
            <v>MIRC ELECTRONICS LTD</v>
          </cell>
          <cell r="B2613">
            <v>500279</v>
          </cell>
          <cell r="C2613" t="str">
            <v>MIRCELECTR</v>
          </cell>
        </row>
        <row r="2614">
          <cell r="A2614" t="str">
            <v>MIRCH TECHNOLOGIES (INDIA) LTD</v>
          </cell>
          <cell r="B2614">
            <v>505336</v>
          </cell>
          <cell r="C2614" t="str">
            <v>Not Listed</v>
          </cell>
        </row>
        <row r="2615">
          <cell r="A2615" t="str">
            <v>MIRCH TECHNOLOGIES INDIA LTD</v>
          </cell>
          <cell r="B2615">
            <v>505336</v>
          </cell>
          <cell r="C2615" t="str">
            <v>Not Listed</v>
          </cell>
        </row>
        <row r="2616">
          <cell r="A2616" t="str">
            <v>MIRZA INTERNATIONAL LTD</v>
          </cell>
          <cell r="B2616">
            <v>526642</v>
          </cell>
          <cell r="C2616" t="str">
            <v>MIRZAINT</v>
          </cell>
        </row>
        <row r="2617">
          <cell r="A2617" t="str">
            <v>MISHKA EXIM LTD</v>
          </cell>
          <cell r="B2617">
            <v>539220</v>
          </cell>
          <cell r="C2617" t="str">
            <v>Not Listed</v>
          </cell>
        </row>
        <row r="2618">
          <cell r="A2618" t="str">
            <v>MISHRA DHATU NIGAM LTD</v>
          </cell>
          <cell r="B2618">
            <v>541195</v>
          </cell>
          <cell r="C2618" t="str">
            <v>MIDHANI</v>
          </cell>
        </row>
        <row r="2619">
          <cell r="A2619" t="str">
            <v>MISHTANN FOODS LTD</v>
          </cell>
          <cell r="B2619">
            <v>539594</v>
          </cell>
          <cell r="C2619" t="str">
            <v>Not Listed</v>
          </cell>
        </row>
        <row r="2620">
          <cell r="A2620" t="str">
            <v>MITCON CONSULTANCY &amp; ENGINEERING SERVICES LTD</v>
          </cell>
          <cell r="B2620" t="str">
            <v>Not Listed</v>
          </cell>
          <cell r="C2620" t="str">
            <v>MITCON</v>
          </cell>
        </row>
        <row r="2621">
          <cell r="A2621" t="str">
            <v>MITSHI (INDIA) LTD</v>
          </cell>
          <cell r="B2621">
            <v>523782</v>
          </cell>
          <cell r="C2621" t="str">
            <v>Not Listed</v>
          </cell>
        </row>
        <row r="2622">
          <cell r="A2622" t="str">
            <v>MITSHI INDIA LTD</v>
          </cell>
          <cell r="B2622">
            <v>523782</v>
          </cell>
          <cell r="C2622" t="str">
            <v>Not Listed</v>
          </cell>
        </row>
        <row r="2623">
          <cell r="A2623" t="str">
            <v>MITSU CHEM PLAST LTD</v>
          </cell>
          <cell r="B2623">
            <v>540078</v>
          </cell>
          <cell r="C2623" t="str">
            <v>Not Listed</v>
          </cell>
        </row>
        <row r="2624">
          <cell r="A2624" t="str">
            <v>MITTAL LIFE STYLE LTD</v>
          </cell>
          <cell r="B2624" t="str">
            <v>Not Listed</v>
          </cell>
          <cell r="C2624" t="str">
            <v>MITTAL</v>
          </cell>
        </row>
        <row r="2625">
          <cell r="A2625" t="str">
            <v>MIVEN MACHINE TOOLS LTD.</v>
          </cell>
          <cell r="B2625">
            <v>522036</v>
          </cell>
          <cell r="C2625" t="str">
            <v>MIVENMACH</v>
          </cell>
        </row>
        <row r="2626">
          <cell r="A2626" t="str">
            <v>MM FORGINGS LTD</v>
          </cell>
          <cell r="B2626">
            <v>522241</v>
          </cell>
          <cell r="C2626" t="str">
            <v>MMFL</v>
          </cell>
        </row>
        <row r="2627">
          <cell r="A2627" t="str">
            <v>MM RUBBER COMPANY LTD.</v>
          </cell>
          <cell r="B2627">
            <v>509196</v>
          </cell>
          <cell r="C2627" t="str">
            <v>MMRUBBR-B</v>
          </cell>
        </row>
        <row r="2628">
          <cell r="A2628" t="str">
            <v>MMP INDUSTRIES LTD</v>
          </cell>
          <cell r="B2628" t="str">
            <v>Not Listed</v>
          </cell>
          <cell r="C2628" t="str">
            <v>MMP</v>
          </cell>
        </row>
        <row r="2629">
          <cell r="A2629" t="str">
            <v>MMTC LTD</v>
          </cell>
          <cell r="B2629">
            <v>513377</v>
          </cell>
          <cell r="C2629" t="str">
            <v>MMTC</v>
          </cell>
        </row>
        <row r="2630">
          <cell r="A2630" t="str">
            <v>MODELLA WOOLLENS LTD</v>
          </cell>
          <cell r="B2630">
            <v>503772</v>
          </cell>
          <cell r="C2630" t="str">
            <v>Not Listed</v>
          </cell>
        </row>
        <row r="2631">
          <cell r="A2631" t="str">
            <v>MODERN (INDIA) LTD</v>
          </cell>
          <cell r="B2631">
            <v>503015</v>
          </cell>
          <cell r="C2631" t="str">
            <v>Not Listed</v>
          </cell>
        </row>
        <row r="2632">
          <cell r="A2632" t="str">
            <v>MODERN CONVERTERS LTD</v>
          </cell>
          <cell r="B2632">
            <v>539762</v>
          </cell>
          <cell r="C2632" t="str">
            <v>Not Listed</v>
          </cell>
        </row>
        <row r="2633">
          <cell r="A2633" t="str">
            <v>MODERN DAIRIES LTD</v>
          </cell>
          <cell r="B2633">
            <v>519287</v>
          </cell>
          <cell r="C2633" t="str">
            <v>Not Listed</v>
          </cell>
        </row>
        <row r="2634">
          <cell r="A2634" t="str">
            <v>MODERN INDIA LTD</v>
          </cell>
          <cell r="B2634">
            <v>503015</v>
          </cell>
          <cell r="C2634" t="str">
            <v>Not Listed</v>
          </cell>
        </row>
        <row r="2635">
          <cell r="A2635" t="str">
            <v>MODERN SHARES &amp; STOCKBROKERS LTD</v>
          </cell>
          <cell r="B2635">
            <v>509760</v>
          </cell>
          <cell r="C2635" t="str">
            <v>Not Listed</v>
          </cell>
        </row>
        <row r="2636">
          <cell r="A2636" t="str">
            <v>MODERN STEELS LTD.-$</v>
          </cell>
          <cell r="B2636">
            <v>513303</v>
          </cell>
          <cell r="C2636" t="str">
            <v>MDRNSTL</v>
          </cell>
        </row>
        <row r="2637">
          <cell r="A2637" t="str">
            <v>MODEX INTERNATIONAL SECURITIES LTD</v>
          </cell>
          <cell r="B2637">
            <v>537092</v>
          </cell>
          <cell r="C2637" t="str">
            <v>Not Listed</v>
          </cell>
        </row>
        <row r="2638">
          <cell r="A2638" t="str">
            <v>MODI NATURALS LTD</v>
          </cell>
          <cell r="B2638">
            <v>519003</v>
          </cell>
          <cell r="C2638" t="str">
            <v>Not Listed</v>
          </cell>
        </row>
        <row r="2639">
          <cell r="A2639" t="str">
            <v>MODI RUBBER LTD</v>
          </cell>
          <cell r="B2639">
            <v>500890</v>
          </cell>
          <cell r="C2639" t="str">
            <v>MODIRUBBER</v>
          </cell>
        </row>
        <row r="2640">
          <cell r="A2640" t="str">
            <v>MODIPON LTD</v>
          </cell>
          <cell r="B2640">
            <v>503776</v>
          </cell>
          <cell r="C2640" t="str">
            <v>Not Listed</v>
          </cell>
        </row>
        <row r="2641">
          <cell r="A2641" t="str">
            <v>MODISON METALS LTD</v>
          </cell>
          <cell r="B2641">
            <v>506261</v>
          </cell>
          <cell r="C2641" t="str">
            <v>Not Listed</v>
          </cell>
        </row>
        <row r="2642">
          <cell r="A2642" t="str">
            <v>MOHINI HEALTH &amp; HYGIENE LTD</v>
          </cell>
          <cell r="B2642" t="str">
            <v>Not Listed</v>
          </cell>
          <cell r="C2642" t="str">
            <v>MHHL</v>
          </cell>
        </row>
        <row r="2643">
          <cell r="A2643" t="str">
            <v>MOHIT INDUSTRIES LTD</v>
          </cell>
          <cell r="B2643">
            <v>531453</v>
          </cell>
          <cell r="C2643" t="str">
            <v>MOHITIND</v>
          </cell>
        </row>
        <row r="2644">
          <cell r="A2644" t="str">
            <v>MOHIT PAPER MILLS LTD</v>
          </cell>
          <cell r="B2644">
            <v>530169</v>
          </cell>
          <cell r="C2644" t="str">
            <v>Not Listed</v>
          </cell>
        </row>
        <row r="2645">
          <cell r="A2645" t="str">
            <v>MOHITE INDUSTRIES LTD</v>
          </cell>
          <cell r="B2645">
            <v>532140</v>
          </cell>
          <cell r="C2645" t="str">
            <v>Not Listed</v>
          </cell>
        </row>
        <row r="2646">
          <cell r="A2646" t="str">
            <v>MOHOTA INDUSTRIES LTD</v>
          </cell>
          <cell r="B2646">
            <v>530047</v>
          </cell>
          <cell r="C2646" t="str">
            <v>MOHOTAIND</v>
          </cell>
        </row>
        <row r="2647">
          <cell r="A2647" t="str">
            <v>MOIL LTD</v>
          </cell>
          <cell r="B2647">
            <v>533286</v>
          </cell>
          <cell r="C2647" t="str">
            <v>MOIL</v>
          </cell>
        </row>
        <row r="2648">
          <cell r="A2648" t="str">
            <v>MOKSH ORNAMENTS LTD</v>
          </cell>
          <cell r="B2648" t="str">
            <v>Not Listed</v>
          </cell>
          <cell r="C2648" t="str">
            <v>MOKSH</v>
          </cell>
        </row>
        <row r="2649">
          <cell r="A2649" t="str">
            <v>MOLD-TEK PACKAGING LTD</v>
          </cell>
          <cell r="B2649">
            <v>533080</v>
          </cell>
          <cell r="C2649" t="str">
            <v>MOLDTKPAC</v>
          </cell>
        </row>
        <row r="2650">
          <cell r="A2650" t="str">
            <v>MOLD-TEK TECHNOLOGIES LTD</v>
          </cell>
          <cell r="B2650">
            <v>526263</v>
          </cell>
          <cell r="C2650" t="str">
            <v>MOLDTECH</v>
          </cell>
        </row>
        <row r="2651">
          <cell r="A2651" t="str">
            <v>MONARCH NETWORTH CAPITAL LTD</v>
          </cell>
          <cell r="B2651">
            <v>511551</v>
          </cell>
          <cell r="C2651" t="str">
            <v>Not Listed</v>
          </cell>
        </row>
        <row r="2652">
          <cell r="A2652" t="str">
            <v>MONEY MASTERS LEASING &amp; FINANCE LTD</v>
          </cell>
          <cell r="B2652">
            <v>535910</v>
          </cell>
          <cell r="C2652" t="str">
            <v>Not Listed</v>
          </cell>
        </row>
        <row r="2653">
          <cell r="A2653" t="str">
            <v>MONNET INDUSTRIES LTD</v>
          </cell>
          <cell r="B2653">
            <v>532078</v>
          </cell>
          <cell r="C2653" t="str">
            <v>Not Listed</v>
          </cell>
        </row>
        <row r="2654">
          <cell r="A2654" t="str">
            <v>MONNET ISPAT &amp; ENERGY LTD</v>
          </cell>
          <cell r="B2654">
            <v>513446</v>
          </cell>
          <cell r="C2654" t="str">
            <v>AIONJSW</v>
          </cell>
        </row>
        <row r="2655">
          <cell r="A2655" t="str">
            <v>MONNET PROJECT DEVELOPERS LTD</v>
          </cell>
          <cell r="B2655">
            <v>532723</v>
          </cell>
          <cell r="C2655" t="str">
            <v>Not Listed</v>
          </cell>
        </row>
        <row r="2656">
          <cell r="A2656" t="str">
            <v>MONOTYPE (INDIA) LTD</v>
          </cell>
          <cell r="B2656">
            <v>505343</v>
          </cell>
          <cell r="C2656" t="str">
            <v>Not Listed</v>
          </cell>
        </row>
        <row r="2657">
          <cell r="A2657" t="str">
            <v>MONOTYPE INDIA LTD</v>
          </cell>
          <cell r="B2657">
            <v>505343</v>
          </cell>
          <cell r="C2657" t="str">
            <v>Not Listed</v>
          </cell>
        </row>
        <row r="2658">
          <cell r="A2658" t="str">
            <v>MONSANTO (INDIA) LTD</v>
          </cell>
          <cell r="B2658">
            <v>524084</v>
          </cell>
          <cell r="C2658" t="str">
            <v>MONSANTO</v>
          </cell>
        </row>
        <row r="2659">
          <cell r="A2659" t="str">
            <v>MONSANTO INDIA LTD</v>
          </cell>
          <cell r="B2659">
            <v>524084</v>
          </cell>
          <cell r="C2659" t="str">
            <v>MONSANTO</v>
          </cell>
        </row>
        <row r="2660">
          <cell r="A2660" t="str">
            <v>MONTE CARLO FASHIONS LTD</v>
          </cell>
          <cell r="B2660">
            <v>538836</v>
          </cell>
          <cell r="C2660" t="str">
            <v>MONTECARLO</v>
          </cell>
        </row>
        <row r="2661">
          <cell r="A2661" t="str">
            <v>MOONGIPA CAPITAL FINANCE LTD</v>
          </cell>
          <cell r="B2661">
            <v>530167</v>
          </cell>
          <cell r="C2661" t="str">
            <v>Not Listed</v>
          </cell>
        </row>
        <row r="2662">
          <cell r="A2662" t="str">
            <v>MOONGIPA SECURITIES LTD</v>
          </cell>
          <cell r="B2662">
            <v>539199</v>
          </cell>
          <cell r="C2662" t="str">
            <v>Not Listed</v>
          </cell>
        </row>
        <row r="2663">
          <cell r="A2663" t="str">
            <v>MORARJEE TEXTILES LTD</v>
          </cell>
          <cell r="B2663">
            <v>532621</v>
          </cell>
          <cell r="C2663" t="str">
            <v>MORARJEE</v>
          </cell>
        </row>
        <row r="2664">
          <cell r="A2664" t="str">
            <v>MORARKA FINANCE LTD</v>
          </cell>
          <cell r="B2664">
            <v>511549</v>
          </cell>
          <cell r="C2664" t="str">
            <v>Not Listed</v>
          </cell>
        </row>
        <row r="2665">
          <cell r="A2665" t="str">
            <v>MOREPEN LABORATORIES LTD</v>
          </cell>
          <cell r="B2665">
            <v>500288</v>
          </cell>
          <cell r="C2665" t="str">
            <v>MOREPENLAB</v>
          </cell>
        </row>
        <row r="2666">
          <cell r="A2666" t="str">
            <v>MORGAN VENTURES LTD</v>
          </cell>
          <cell r="B2666">
            <v>526237</v>
          </cell>
          <cell r="C2666" t="str">
            <v>Not Listed</v>
          </cell>
        </row>
        <row r="2667">
          <cell r="A2667" t="str">
            <v>MORGANITE CRUCIBLE (INDIA) LTD</v>
          </cell>
          <cell r="B2667">
            <v>523160</v>
          </cell>
          <cell r="C2667" t="str">
            <v>Not Listed</v>
          </cell>
        </row>
        <row r="2668">
          <cell r="A2668" t="str">
            <v>MORGANITE CRUCIBLE INDIA LTD</v>
          </cell>
          <cell r="B2668">
            <v>523160</v>
          </cell>
          <cell r="C2668" t="str">
            <v>Not Listed</v>
          </cell>
        </row>
        <row r="2669">
          <cell r="A2669" t="str">
            <v>MORYO INDUSTRIES LTD.</v>
          </cell>
          <cell r="B2669">
            <v>513305</v>
          </cell>
          <cell r="C2669" t="str">
            <v>MORYOIND</v>
          </cell>
        </row>
        <row r="2670">
          <cell r="A2670" t="str">
            <v>MOSCHIP SEMICONDUCTOR TECHNOLOGY LTD</v>
          </cell>
          <cell r="B2670">
            <v>532407</v>
          </cell>
          <cell r="C2670" t="str">
            <v>Not Listed</v>
          </cell>
        </row>
        <row r="2671">
          <cell r="A2671" t="str">
            <v>MOSER-BAER I LTD</v>
          </cell>
          <cell r="B2671" t="str">
            <v>Not Listed</v>
          </cell>
          <cell r="C2671" t="str">
            <v>MOSERBAER</v>
          </cell>
        </row>
        <row r="2672">
          <cell r="A2672" t="str">
            <v>MOTHERSON SUMI SYSTEMS LTD</v>
          </cell>
          <cell r="B2672">
            <v>517334</v>
          </cell>
          <cell r="C2672" t="str">
            <v>MOTHERSUMI</v>
          </cell>
        </row>
        <row r="2673">
          <cell r="A2673" t="str">
            <v>MOTILAL OSWAL FINANCIAL SERVICES LTD</v>
          </cell>
          <cell r="B2673">
            <v>532892</v>
          </cell>
          <cell r="C2673" t="str">
            <v>MOTILALOFS</v>
          </cell>
        </row>
        <row r="2674">
          <cell r="A2674" t="str">
            <v>Motilal Oswal MOSt Shares M50 ETF</v>
          </cell>
          <cell r="B2674">
            <v>590115</v>
          </cell>
          <cell r="C2674" t="str">
            <v>M50</v>
          </cell>
        </row>
        <row r="2675">
          <cell r="A2675" t="str">
            <v>Motilal Oswal MOSt Shares NASDAQ-100 ETF</v>
          </cell>
          <cell r="B2675">
            <v>533385</v>
          </cell>
          <cell r="C2675" t="str">
            <v>N100</v>
          </cell>
        </row>
        <row r="2676">
          <cell r="A2676" t="str">
            <v>MOUNT SHIVALIK INDUSTRIES LTD</v>
          </cell>
          <cell r="B2676">
            <v>507522</v>
          </cell>
          <cell r="C2676" t="str">
            <v>Not Listed</v>
          </cell>
        </row>
        <row r="2677">
          <cell r="A2677" t="str">
            <v>MPHASIS LTD</v>
          </cell>
          <cell r="B2677">
            <v>526299</v>
          </cell>
          <cell r="C2677" t="str">
            <v>MPHASIS</v>
          </cell>
        </row>
        <row r="2678">
          <cell r="A2678" t="str">
            <v>MPIL CORPORATION LTD</v>
          </cell>
          <cell r="B2678">
            <v>500450</v>
          </cell>
          <cell r="C2678" t="str">
            <v>Not Listed</v>
          </cell>
        </row>
        <row r="2679">
          <cell r="A2679" t="str">
            <v>MPL PLASTICS LTD</v>
          </cell>
          <cell r="B2679">
            <v>526143</v>
          </cell>
          <cell r="C2679" t="str">
            <v>Not Listed</v>
          </cell>
        </row>
        <row r="2680">
          <cell r="A2680" t="str">
            <v>MPS LTD</v>
          </cell>
          <cell r="B2680">
            <v>532440</v>
          </cell>
          <cell r="C2680" t="str">
            <v>MPSLTD</v>
          </cell>
        </row>
        <row r="2681">
          <cell r="A2681" t="str">
            <v>MRC EXIM LTD</v>
          </cell>
          <cell r="B2681">
            <v>540809</v>
          </cell>
          <cell r="C2681" t="str">
            <v>Not Listed</v>
          </cell>
        </row>
        <row r="2682">
          <cell r="A2682" t="str">
            <v>MRF LTD</v>
          </cell>
          <cell r="B2682">
            <v>500290</v>
          </cell>
          <cell r="C2682" t="str">
            <v>MRF</v>
          </cell>
        </row>
        <row r="2683">
          <cell r="A2683" t="str">
            <v>MRO-TEK REALTY LTD</v>
          </cell>
          <cell r="B2683">
            <v>532376</v>
          </cell>
          <cell r="C2683" t="str">
            <v>MRO-TEK</v>
          </cell>
        </row>
        <row r="2684">
          <cell r="A2684" t="str">
            <v>MRUGESH TRADING LTD</v>
          </cell>
          <cell r="B2684">
            <v>512065</v>
          </cell>
          <cell r="C2684" t="str">
            <v>Not Listed</v>
          </cell>
        </row>
        <row r="2685">
          <cell r="A2685" t="str">
            <v>MSP STEEL &amp; POWER LTD</v>
          </cell>
          <cell r="B2685">
            <v>532650</v>
          </cell>
          <cell r="C2685" t="str">
            <v>MSPL</v>
          </cell>
        </row>
        <row r="2686">
          <cell r="A2686" t="str">
            <v>MSR (INDIA) LTD</v>
          </cell>
          <cell r="B2686">
            <v>508922</v>
          </cell>
          <cell r="C2686" t="str">
            <v>Not Listed</v>
          </cell>
        </row>
        <row r="2687">
          <cell r="A2687" t="str">
            <v>MSR INDIA LTD</v>
          </cell>
          <cell r="B2687">
            <v>508922</v>
          </cell>
          <cell r="C2687" t="str">
            <v>Not Listed</v>
          </cell>
        </row>
        <row r="2688">
          <cell r="A2688" t="str">
            <v>Mstc LTD</v>
          </cell>
          <cell r="B2688" t="str">
            <v>Not Listed</v>
          </cell>
          <cell r="C2688" t="str">
            <v>MSTCLTD</v>
          </cell>
        </row>
        <row r="2689">
          <cell r="A2689" t="str">
            <v>MSTC Ltd</v>
          </cell>
          <cell r="B2689">
            <v>542597</v>
          </cell>
          <cell r="C2689" t="str">
            <v>MSTC</v>
          </cell>
        </row>
        <row r="2690">
          <cell r="A2690" t="str">
            <v>MT EDUCARE LTD</v>
          </cell>
          <cell r="B2690">
            <v>534312</v>
          </cell>
          <cell r="C2690" t="str">
            <v>MTEDUCARE</v>
          </cell>
        </row>
        <row r="2691">
          <cell r="A2691" t="str">
            <v>MUDIT FINLEASE LTD</v>
          </cell>
          <cell r="B2691">
            <v>531919</v>
          </cell>
          <cell r="C2691" t="str">
            <v>Not Listed</v>
          </cell>
        </row>
        <row r="2692">
          <cell r="A2692" t="str">
            <v>MUDRA FINANCIAL SERVICES LTD</v>
          </cell>
          <cell r="B2692">
            <v>539819</v>
          </cell>
          <cell r="C2692" t="str">
            <v>Not Listed</v>
          </cell>
        </row>
        <row r="2693">
          <cell r="A2693" t="str">
            <v>MUDUNURU LTD</v>
          </cell>
          <cell r="B2693">
            <v>538743</v>
          </cell>
          <cell r="C2693" t="str">
            <v>Not Listed</v>
          </cell>
        </row>
        <row r="2694">
          <cell r="A2694" t="str">
            <v>MUKAND ENGINEERS LTD</v>
          </cell>
          <cell r="B2694">
            <v>532097</v>
          </cell>
          <cell r="C2694" t="str">
            <v>MUKANDENGG</v>
          </cell>
        </row>
        <row r="2695">
          <cell r="A2695" t="str">
            <v>MUKAND LTD</v>
          </cell>
          <cell r="B2695">
            <v>500460</v>
          </cell>
          <cell r="C2695" t="str">
            <v>MUKANDLTD</v>
          </cell>
        </row>
        <row r="2696">
          <cell r="A2696" t="str">
            <v>MUKAT PIPES LTD.-$</v>
          </cell>
          <cell r="B2696">
            <v>523832</v>
          </cell>
          <cell r="C2696" t="str">
            <v>MUKATPIP</v>
          </cell>
        </row>
        <row r="2697">
          <cell r="A2697" t="str">
            <v>MUKESH BABU FINANCIAL SERVICES LTD</v>
          </cell>
          <cell r="B2697">
            <v>530341</v>
          </cell>
          <cell r="C2697" t="str">
            <v>Not Listed</v>
          </cell>
        </row>
        <row r="2698">
          <cell r="A2698" t="str">
            <v>MUKTA AGRICULTURE LTD</v>
          </cell>
          <cell r="B2698">
            <v>535204</v>
          </cell>
          <cell r="C2698" t="str">
            <v>Not Listed</v>
          </cell>
        </row>
        <row r="2699">
          <cell r="A2699" t="str">
            <v>MUKTA ARTS LTD</v>
          </cell>
          <cell r="B2699">
            <v>532357</v>
          </cell>
          <cell r="C2699" t="str">
            <v>MUKTAARTS</v>
          </cell>
        </row>
        <row r="2700">
          <cell r="A2700" t="str">
            <v>MULLER &amp; PHIPPS (INDIA) LTD</v>
          </cell>
          <cell r="B2700">
            <v>501477</v>
          </cell>
          <cell r="C2700" t="str">
            <v>Not Listed</v>
          </cell>
        </row>
        <row r="2701">
          <cell r="A2701" t="str">
            <v>MULLER &amp; PHIPPS INDIA LTD</v>
          </cell>
          <cell r="B2701">
            <v>501477</v>
          </cell>
          <cell r="C2701" t="str">
            <v>Not Listed</v>
          </cell>
        </row>
        <row r="2702">
          <cell r="A2702" t="str">
            <v>MULTI COMMODITY EXCHANGE OF (INDIA) LTD</v>
          </cell>
          <cell r="B2702">
            <v>534091</v>
          </cell>
          <cell r="C2702" t="str">
            <v>MCX</v>
          </cell>
        </row>
        <row r="2703">
          <cell r="A2703" t="str">
            <v>MULTI COMMODITY EXCHANGE OF INDIA LTD</v>
          </cell>
          <cell r="B2703">
            <v>534091</v>
          </cell>
          <cell r="C2703" t="str">
            <v>MCX</v>
          </cell>
        </row>
        <row r="2704">
          <cell r="A2704" t="str">
            <v>MULTIBASE (INDIA) LTD</v>
          </cell>
          <cell r="B2704">
            <v>526169</v>
          </cell>
          <cell r="C2704" t="str">
            <v>Not Listed</v>
          </cell>
        </row>
        <row r="2705">
          <cell r="A2705" t="str">
            <v>MULTIBASE INDIA LTD</v>
          </cell>
          <cell r="B2705">
            <v>526169</v>
          </cell>
          <cell r="C2705" t="str">
            <v>Not Listed</v>
          </cell>
        </row>
        <row r="2706">
          <cell r="A2706" t="str">
            <v>MULTIPLUS HOLDINGS LTD</v>
          </cell>
          <cell r="B2706">
            <v>505594</v>
          </cell>
          <cell r="C2706" t="str">
            <v>Not Listed</v>
          </cell>
        </row>
        <row r="2707">
          <cell r="A2707" t="str">
            <v>MULTIPURPOSE TRADING &amp; AGENCIES LTD</v>
          </cell>
          <cell r="B2707">
            <v>504356</v>
          </cell>
          <cell r="C2707" t="str">
            <v>Not Listed</v>
          </cell>
        </row>
        <row r="2708">
          <cell r="A2708" t="str">
            <v>MUNJAL AUTO INDUSTRIES LTD</v>
          </cell>
          <cell r="B2708">
            <v>520059</v>
          </cell>
          <cell r="C2708" t="str">
            <v>MUNJALAU</v>
          </cell>
        </row>
        <row r="2709">
          <cell r="A2709" t="str">
            <v>MUNJAL SHOWA LTD</v>
          </cell>
          <cell r="B2709">
            <v>520043</v>
          </cell>
          <cell r="C2709" t="str">
            <v>MUNJALSHOW</v>
          </cell>
        </row>
        <row r="2710">
          <cell r="A2710" t="str">
            <v>MUNOTH CAPITAL MARKET LTD</v>
          </cell>
          <cell r="B2710">
            <v>511200</v>
          </cell>
          <cell r="C2710" t="str">
            <v>Not Listed</v>
          </cell>
        </row>
        <row r="2711">
          <cell r="A2711" t="str">
            <v>Munoth Communication Ltd</v>
          </cell>
          <cell r="B2711">
            <v>511401</v>
          </cell>
          <cell r="C2711" t="str">
            <v>MCLTD</v>
          </cell>
        </row>
        <row r="2712">
          <cell r="A2712" t="str">
            <v>MUNOTH FINANCIAL SERVICES LTD</v>
          </cell>
          <cell r="B2712">
            <v>531821</v>
          </cell>
          <cell r="C2712" t="str">
            <v>Not Listed</v>
          </cell>
        </row>
        <row r="2713">
          <cell r="A2713" t="str">
            <v>MURUDESHWAR CERAMICS LTD</v>
          </cell>
          <cell r="B2713">
            <v>515037</v>
          </cell>
          <cell r="C2713" t="str">
            <v>MURUDCERA</v>
          </cell>
        </row>
        <row r="2714">
          <cell r="A2714" t="str">
            <v>MUSIC BROADCAST LTD</v>
          </cell>
          <cell r="B2714">
            <v>540366</v>
          </cell>
          <cell r="C2714" t="str">
            <v>RADIOCITY</v>
          </cell>
        </row>
        <row r="2715">
          <cell r="A2715" t="str">
            <v>MUTHOOT CAPITAL SERVICES LTD</v>
          </cell>
          <cell r="B2715">
            <v>511766</v>
          </cell>
          <cell r="C2715" t="str">
            <v>MUTHOOTCAP</v>
          </cell>
        </row>
        <row r="2716">
          <cell r="A2716" t="str">
            <v>MUTHOOT FINANCE LTD</v>
          </cell>
          <cell r="B2716">
            <v>533398</v>
          </cell>
          <cell r="C2716" t="str">
            <v>MUTHOOTFIN</v>
          </cell>
        </row>
        <row r="2717">
          <cell r="A2717" t="str">
            <v>MVL LTD</v>
          </cell>
          <cell r="B2717">
            <v>532991</v>
          </cell>
          <cell r="C2717" t="str">
            <v>MVL</v>
          </cell>
        </row>
        <row r="2718">
          <cell r="A2718" t="str">
            <v>MY MONEY SECURITIES LTD</v>
          </cell>
          <cell r="B2718">
            <v>538862</v>
          </cell>
          <cell r="C2718" t="str">
            <v>Not Listed</v>
          </cell>
        </row>
        <row r="2719">
          <cell r="A2719" t="str">
            <v>MYSORE PETRO CHEMICALS LTD</v>
          </cell>
          <cell r="B2719">
            <v>506734</v>
          </cell>
          <cell r="C2719" t="str">
            <v>Not Listed</v>
          </cell>
        </row>
        <row r="2720">
          <cell r="A2720" t="str">
            <v>MYSTIC ELECTRONICS LTD</v>
          </cell>
          <cell r="B2720">
            <v>535205</v>
          </cell>
          <cell r="C2720" t="str">
            <v>Not Listed</v>
          </cell>
        </row>
        <row r="2721">
          <cell r="A2721" t="str">
            <v>N B I INDUSTRIAL FINANCE COMPANY LTD</v>
          </cell>
          <cell r="B2721" t="str">
            <v>Not Listed</v>
          </cell>
          <cell r="C2721" t="str">
            <v>NBIFIN</v>
          </cell>
        </row>
        <row r="2722">
          <cell r="A2722" t="str">
            <v>N D METAL INDUSTRIES LTD</v>
          </cell>
          <cell r="B2722">
            <v>512024</v>
          </cell>
          <cell r="C2722" t="str">
            <v>Not Listed</v>
          </cell>
        </row>
        <row r="2723">
          <cell r="A2723" t="str">
            <v>N G INDUSTRIES LTD</v>
          </cell>
          <cell r="B2723">
            <v>530897</v>
          </cell>
          <cell r="C2723" t="str">
            <v>Not Listed</v>
          </cell>
        </row>
        <row r="2724">
          <cell r="A2724" t="str">
            <v>N R AGARWAL INDUSTRIES LTD</v>
          </cell>
          <cell r="B2724">
            <v>516082</v>
          </cell>
          <cell r="C2724" t="str">
            <v>NRAIL</v>
          </cell>
        </row>
        <row r="2725">
          <cell r="A2725" t="str">
            <v>N R INTERNATIONAL LTD</v>
          </cell>
          <cell r="B2725">
            <v>532623</v>
          </cell>
          <cell r="C2725" t="str">
            <v>Not Listed</v>
          </cell>
        </row>
        <row r="2726">
          <cell r="A2726" t="str">
            <v>N2N TECHNOLOGIES LTD</v>
          </cell>
          <cell r="B2726">
            <v>512279</v>
          </cell>
          <cell r="C2726" t="str">
            <v>Not Listed</v>
          </cell>
        </row>
        <row r="2727">
          <cell r="A2727" t="str">
            <v>NACL INDUSTRIES LTD</v>
          </cell>
          <cell r="B2727">
            <v>524709</v>
          </cell>
          <cell r="C2727" t="str">
            <v>NACLIND</v>
          </cell>
        </row>
        <row r="2728">
          <cell r="A2728" t="str">
            <v>NAGA DHUNSERI GROUP LTD</v>
          </cell>
          <cell r="B2728" t="str">
            <v>Not Listed</v>
          </cell>
          <cell r="C2728" t="str">
            <v>NDGL</v>
          </cell>
        </row>
        <row r="2729">
          <cell r="A2729" t="str">
            <v>NAGARJUNA AGRI TECH LTD</v>
          </cell>
          <cell r="B2729">
            <v>531832</v>
          </cell>
          <cell r="C2729" t="str">
            <v>Not Listed</v>
          </cell>
        </row>
        <row r="2730">
          <cell r="A2730" t="str">
            <v>NAGARJUNA FERTILIZERS AND CHEMICALS LTD</v>
          </cell>
          <cell r="B2730">
            <v>539917</v>
          </cell>
          <cell r="C2730" t="str">
            <v>NAGAFERT</v>
          </cell>
        </row>
        <row r="2731">
          <cell r="A2731" t="str">
            <v>NAGARJUNA OIL REFINERY LTD</v>
          </cell>
          <cell r="B2731">
            <v>534184</v>
          </cell>
          <cell r="C2731" t="str">
            <v>NAGAROIL</v>
          </cell>
        </row>
        <row r="2732">
          <cell r="A2732" t="str">
            <v>NAGPUR POWER &amp; INDUSTRIES LTD</v>
          </cell>
          <cell r="B2732">
            <v>532362</v>
          </cell>
          <cell r="C2732" t="str">
            <v>Not Listed</v>
          </cell>
        </row>
        <row r="2733">
          <cell r="A2733" t="str">
            <v>NAGREEKA CAPITAL &amp; INFRASTRUCTURE LTD</v>
          </cell>
          <cell r="B2733">
            <v>532895</v>
          </cell>
          <cell r="C2733" t="str">
            <v>NAGREEKCAP</v>
          </cell>
        </row>
        <row r="2734">
          <cell r="A2734" t="str">
            <v>NAGREEKA EXPORTS LTD</v>
          </cell>
          <cell r="B2734">
            <v>521109</v>
          </cell>
          <cell r="C2734" t="str">
            <v>NAGREEKEXP</v>
          </cell>
        </row>
        <row r="2735">
          <cell r="A2735" t="str">
            <v>NAHAR CAPITAL AND FINANCIAL SERVICES LTD</v>
          </cell>
          <cell r="B2735">
            <v>532952</v>
          </cell>
          <cell r="C2735" t="str">
            <v>NAHARCAP</v>
          </cell>
        </row>
        <row r="2736">
          <cell r="A2736" t="str">
            <v>NAHAR INDUSTRIAL ENTERPRISES LTD</v>
          </cell>
          <cell r="B2736">
            <v>519136</v>
          </cell>
          <cell r="C2736" t="str">
            <v>NAHARINDUS</v>
          </cell>
        </row>
        <row r="2737">
          <cell r="A2737" t="str">
            <v>NAHAR POLY FILMS LTD</v>
          </cell>
          <cell r="B2737">
            <v>523391</v>
          </cell>
          <cell r="C2737" t="str">
            <v>NAHARPOLY</v>
          </cell>
        </row>
        <row r="2738">
          <cell r="A2738" t="str">
            <v>NAHAR SPINNING MILLS LTD</v>
          </cell>
          <cell r="B2738">
            <v>500296</v>
          </cell>
          <cell r="C2738" t="str">
            <v>NAHARSPING</v>
          </cell>
        </row>
        <row r="2739">
          <cell r="A2739" t="str">
            <v>NAKODA GROUP OF INDUSTRIES LTD</v>
          </cell>
          <cell r="B2739">
            <v>541418</v>
          </cell>
          <cell r="C2739" t="str">
            <v>Not Listed</v>
          </cell>
        </row>
        <row r="2740">
          <cell r="A2740" t="str">
            <v>NALIN LEASE FINANCE LTD</v>
          </cell>
          <cell r="B2740">
            <v>531212</v>
          </cell>
          <cell r="C2740" t="str">
            <v>Not Listed</v>
          </cell>
        </row>
        <row r="2741">
          <cell r="A2741" t="str">
            <v>NALWA SONS INVESTMENTS LTD</v>
          </cell>
          <cell r="B2741">
            <v>532256</v>
          </cell>
          <cell r="C2741" t="str">
            <v>NSIL</v>
          </cell>
        </row>
        <row r="2742">
          <cell r="A2742" t="str">
            <v>NAM SECURITIES LTD</v>
          </cell>
          <cell r="B2742">
            <v>538395</v>
          </cell>
          <cell r="C2742" t="str">
            <v>Not Listed</v>
          </cell>
        </row>
        <row r="2743">
          <cell r="A2743" t="str">
            <v>NANDAN DENIM LTD</v>
          </cell>
          <cell r="B2743">
            <v>532641</v>
          </cell>
          <cell r="C2743" t="str">
            <v>NDL</v>
          </cell>
        </row>
        <row r="2744">
          <cell r="A2744" t="str">
            <v>NANDANI CREATION LTD</v>
          </cell>
          <cell r="B2744" t="str">
            <v>Not Listed</v>
          </cell>
          <cell r="C2744" t="str">
            <v>NANDANI</v>
          </cell>
        </row>
        <row r="2745">
          <cell r="A2745" t="str">
            <v>NARAYANA HRUDAYALAYA LTD</v>
          </cell>
          <cell r="B2745">
            <v>539551</v>
          </cell>
          <cell r="C2745" t="str">
            <v>NH</v>
          </cell>
        </row>
        <row r="2746">
          <cell r="A2746" t="str">
            <v>NARAYANI STEELS LTD</v>
          </cell>
          <cell r="B2746">
            <v>540080</v>
          </cell>
          <cell r="C2746" t="str">
            <v>Not Listed</v>
          </cell>
        </row>
        <row r="2747">
          <cell r="A2747" t="str">
            <v>NARBADA GEMS AND JEWELLERY LTD</v>
          </cell>
          <cell r="B2747">
            <v>519455</v>
          </cell>
          <cell r="C2747" t="str">
            <v>Not Listed</v>
          </cell>
        </row>
        <row r="2748">
          <cell r="A2748" t="str">
            <v>Narendra Investments (Delhi) Ltd</v>
          </cell>
          <cell r="B2748">
            <v>540204</v>
          </cell>
          <cell r="C2748" t="str">
            <v>NIDL</v>
          </cell>
        </row>
        <row r="2749">
          <cell r="A2749" t="str">
            <v>NARENDRA PROPERTIES LTD</v>
          </cell>
          <cell r="B2749">
            <v>531416</v>
          </cell>
          <cell r="C2749" t="str">
            <v>Not Listed</v>
          </cell>
        </row>
        <row r="2750">
          <cell r="A2750" t="str">
            <v>NARMADA AGROBASE LTD</v>
          </cell>
          <cell r="B2750" t="str">
            <v>Not Listed</v>
          </cell>
          <cell r="C2750" t="str">
            <v>NARMADA</v>
          </cell>
        </row>
        <row r="2751">
          <cell r="A2751" t="str">
            <v>NARMADA GELATINES LTD</v>
          </cell>
          <cell r="B2751">
            <v>526739</v>
          </cell>
          <cell r="C2751" t="str">
            <v>Not Listed</v>
          </cell>
        </row>
        <row r="2752">
          <cell r="A2752" t="str">
            <v>NARMADA MACPLAST DRIP IRRIGATION SYSTEMS LTD.</v>
          </cell>
          <cell r="B2752">
            <v>517431</v>
          </cell>
          <cell r="C2752" t="str">
            <v>NARMP</v>
          </cell>
        </row>
        <row r="2753">
          <cell r="A2753" t="str">
            <v>NATCO ECONOMICALS LTD</v>
          </cell>
          <cell r="B2753">
            <v>539595</v>
          </cell>
          <cell r="C2753" t="str">
            <v>Not Listed</v>
          </cell>
        </row>
        <row r="2754">
          <cell r="A2754" t="str">
            <v>NATCO PHARMA LTD</v>
          </cell>
          <cell r="B2754">
            <v>524816</v>
          </cell>
          <cell r="C2754" t="str">
            <v>NATCOPHARM</v>
          </cell>
        </row>
        <row r="2755">
          <cell r="A2755" t="str">
            <v>NATH BIO-GENES (INDIA) LTD</v>
          </cell>
          <cell r="B2755">
            <v>537291</v>
          </cell>
          <cell r="C2755" t="str">
            <v>NATHBIOGEN</v>
          </cell>
        </row>
        <row r="2756">
          <cell r="A2756" t="str">
            <v>NATH BIO-GENES INDIA LTD</v>
          </cell>
          <cell r="B2756">
            <v>537291</v>
          </cell>
          <cell r="C2756" t="str">
            <v>NATHBIOGEN</v>
          </cell>
        </row>
        <row r="2757">
          <cell r="A2757" t="str">
            <v>NATH PULP &amp; PAPER MILLS LTD</v>
          </cell>
          <cell r="B2757">
            <v>502407</v>
          </cell>
          <cell r="C2757" t="str">
            <v>Not Listed</v>
          </cell>
        </row>
        <row r="2758">
          <cell r="A2758" t="str">
            <v>NATIONAL ALUMINIUM COMPANY LTD</v>
          </cell>
          <cell r="B2758">
            <v>532234</v>
          </cell>
          <cell r="C2758" t="str">
            <v>NATIONALUM</v>
          </cell>
        </row>
        <row r="2759">
          <cell r="A2759" t="str">
            <v>NATIONAL FERTILIZERS LTD</v>
          </cell>
          <cell r="B2759">
            <v>523630</v>
          </cell>
          <cell r="C2759" t="str">
            <v>NFL</v>
          </cell>
        </row>
        <row r="2760">
          <cell r="A2760" t="str">
            <v>NATIONAL FITTINGS LTD</v>
          </cell>
          <cell r="B2760">
            <v>531289</v>
          </cell>
          <cell r="C2760" t="str">
            <v>Not Listed</v>
          </cell>
        </row>
        <row r="2761">
          <cell r="A2761" t="str">
            <v>NATIONAL GENERAL INDUSTRIES LTD</v>
          </cell>
          <cell r="B2761">
            <v>531651</v>
          </cell>
          <cell r="C2761" t="str">
            <v>Not Listed</v>
          </cell>
        </row>
        <row r="2762">
          <cell r="A2762" t="str">
            <v>NATIONAL OXYGEN LTD</v>
          </cell>
          <cell r="B2762">
            <v>507813</v>
          </cell>
          <cell r="C2762" t="str">
            <v>Not Listed</v>
          </cell>
        </row>
        <row r="2763">
          <cell r="A2763" t="str">
            <v>NATIONAL PEROXIDE LTD</v>
          </cell>
          <cell r="B2763">
            <v>500298</v>
          </cell>
          <cell r="C2763" t="str">
            <v>Not Listed</v>
          </cell>
        </row>
        <row r="2764">
          <cell r="A2764" t="str">
            <v>NATIONAL PLASTIC INDUSTRIES LTD</v>
          </cell>
          <cell r="B2764">
            <v>526616</v>
          </cell>
          <cell r="C2764" t="str">
            <v>Not Listed</v>
          </cell>
        </row>
        <row r="2765">
          <cell r="A2765" t="str">
            <v>NATIONAL PLASTIC TECHNOLOGIES LTD</v>
          </cell>
          <cell r="B2765">
            <v>531287</v>
          </cell>
          <cell r="C2765" t="str">
            <v>Not Listed</v>
          </cell>
        </row>
        <row r="2766">
          <cell r="A2766" t="str">
            <v>NATIONAL PLYWOOD INDUSTRIES LTD</v>
          </cell>
          <cell r="B2766">
            <v>516062</v>
          </cell>
          <cell r="C2766" t="str">
            <v>Not Listed</v>
          </cell>
        </row>
        <row r="2767">
          <cell r="A2767" t="str">
            <v>NATIONAL STANDARD (INDIA) LTD</v>
          </cell>
          <cell r="B2767">
            <v>504882</v>
          </cell>
          <cell r="C2767" t="str">
            <v>Not Listed</v>
          </cell>
        </row>
        <row r="2768">
          <cell r="A2768" t="str">
            <v>NATIONAL STANDARD INDIA LTD</v>
          </cell>
          <cell r="B2768">
            <v>504882</v>
          </cell>
          <cell r="C2768" t="str">
            <v>Not Listed</v>
          </cell>
        </row>
        <row r="2769">
          <cell r="A2769" t="str">
            <v>NATIONAL STEEL AND AGRO INDUSTRIES LTD</v>
          </cell>
          <cell r="B2769">
            <v>513179</v>
          </cell>
          <cell r="C2769" t="str">
            <v>NATNLSTEEL</v>
          </cell>
        </row>
        <row r="2770">
          <cell r="A2770" t="str">
            <v>NATRAJ PROTEINS LTD</v>
          </cell>
          <cell r="B2770">
            <v>530119</v>
          </cell>
          <cell r="C2770" t="str">
            <v>Not Listed</v>
          </cell>
        </row>
        <row r="2771">
          <cell r="A2771" t="str">
            <v>NATURA HUE CHEM LTD</v>
          </cell>
          <cell r="B2771">
            <v>531834</v>
          </cell>
          <cell r="C2771" t="str">
            <v>Not Listed</v>
          </cell>
        </row>
        <row r="2772">
          <cell r="A2772" t="str">
            <v>NATURAL CAPSULES LTD</v>
          </cell>
          <cell r="B2772">
            <v>524654</v>
          </cell>
          <cell r="C2772" t="str">
            <v>Not Listed</v>
          </cell>
        </row>
        <row r="2773">
          <cell r="A2773" t="str">
            <v>NATURITE AGRO PRODUCTS LTD</v>
          </cell>
          <cell r="B2773">
            <v>538926</v>
          </cell>
          <cell r="C2773" t="str">
            <v>Not Listed</v>
          </cell>
        </row>
        <row r="2774">
          <cell r="A2774" t="str">
            <v>NAVA BHARAT VENTURES LTD</v>
          </cell>
          <cell r="B2774">
            <v>513023</v>
          </cell>
          <cell r="C2774" t="str">
            <v>NBVENTURES</v>
          </cell>
        </row>
        <row r="2775">
          <cell r="A2775" t="str">
            <v>NAVIGANT CORPORATE ADVISORS LTD</v>
          </cell>
          <cell r="B2775">
            <v>539521</v>
          </cell>
          <cell r="C2775" t="str">
            <v>Not Listed</v>
          </cell>
        </row>
        <row r="2776">
          <cell r="A2776" t="str">
            <v>NAVIN FLUORINE INTERNATIONAL LTD</v>
          </cell>
          <cell r="B2776">
            <v>532504</v>
          </cell>
          <cell r="C2776" t="str">
            <v>NAVINFLUOR</v>
          </cell>
        </row>
        <row r="2777">
          <cell r="A2777" t="str">
            <v>NAVKAR BUILDERS LTD</v>
          </cell>
          <cell r="B2777">
            <v>531494</v>
          </cell>
          <cell r="C2777" t="str">
            <v>Not Listed</v>
          </cell>
        </row>
        <row r="2778">
          <cell r="A2778" t="str">
            <v>NAVKAR CORPORATION LTD</v>
          </cell>
          <cell r="B2778">
            <v>539332</v>
          </cell>
          <cell r="C2778" t="str">
            <v>NAVKARCORP</v>
          </cell>
        </row>
        <row r="2779">
          <cell r="A2779" t="str">
            <v>NAVKETAN MERCHANTS LTD</v>
          </cell>
          <cell r="B2779">
            <v>539525</v>
          </cell>
          <cell r="C2779" t="str">
            <v>Not Listed</v>
          </cell>
        </row>
        <row r="2780">
          <cell r="A2780" t="str">
            <v>NAVNEET EDUCATION LTD</v>
          </cell>
          <cell r="B2780">
            <v>508989</v>
          </cell>
          <cell r="C2780" t="str">
            <v>NAVNETEDUL</v>
          </cell>
        </row>
        <row r="2781">
          <cell r="A2781" t="str">
            <v>NAYSAA SECURITIES LTD</v>
          </cell>
          <cell r="B2781">
            <v>538668</v>
          </cell>
          <cell r="C2781" t="str">
            <v>Not Listed</v>
          </cell>
        </row>
        <row r="2782">
          <cell r="A2782" t="str">
            <v>NB FOOTWEAR LTD</v>
          </cell>
          <cell r="B2782">
            <v>523242</v>
          </cell>
          <cell r="C2782" t="str">
            <v>Not Listed</v>
          </cell>
        </row>
        <row r="2783">
          <cell r="A2783" t="str">
            <v>NBCC (INDIA) LTD</v>
          </cell>
          <cell r="B2783">
            <v>534309</v>
          </cell>
          <cell r="C2783" t="str">
            <v>NBCC</v>
          </cell>
        </row>
        <row r="2784">
          <cell r="A2784" t="str">
            <v>NBCC INDIA LTD</v>
          </cell>
          <cell r="B2784">
            <v>534309</v>
          </cell>
          <cell r="C2784" t="str">
            <v>NBCC</v>
          </cell>
        </row>
        <row r="2785">
          <cell r="A2785" t="str">
            <v>NCC BLUE WATER PRODUCTS LTD</v>
          </cell>
          <cell r="B2785">
            <v>519506</v>
          </cell>
          <cell r="C2785" t="str">
            <v>Not Listed</v>
          </cell>
        </row>
        <row r="2786">
          <cell r="A2786" t="str">
            <v>NCC FINANCE LTD</v>
          </cell>
          <cell r="B2786">
            <v>531452</v>
          </cell>
          <cell r="C2786" t="str">
            <v>Not Listed</v>
          </cell>
        </row>
        <row r="2787">
          <cell r="A2787" t="str">
            <v>NCC LTD</v>
          </cell>
          <cell r="B2787">
            <v>500294</v>
          </cell>
          <cell r="C2787" t="str">
            <v>NCC</v>
          </cell>
        </row>
        <row r="2788">
          <cell r="A2788" t="str">
            <v>NCL INDUSTRIES LTD</v>
          </cell>
          <cell r="B2788">
            <v>502168</v>
          </cell>
          <cell r="C2788" t="str">
            <v>NCLIND</v>
          </cell>
        </row>
        <row r="2789">
          <cell r="A2789" t="str">
            <v>NCL RESEARCH &amp; FINANCIAL SERVICES LTD</v>
          </cell>
          <cell r="B2789">
            <v>530557</v>
          </cell>
          <cell r="C2789" t="str">
            <v>Not Listed</v>
          </cell>
        </row>
        <row r="2790">
          <cell r="A2790" t="str">
            <v>NDA SECURITIES LTD</v>
          </cell>
          <cell r="B2790">
            <v>511535</v>
          </cell>
          <cell r="C2790" t="str">
            <v>Not Listed</v>
          </cell>
        </row>
        <row r="2791">
          <cell r="A2791" t="str">
            <v>NECTAR LIFESCIENCES LTD</v>
          </cell>
          <cell r="B2791">
            <v>532649</v>
          </cell>
          <cell r="C2791" t="str">
            <v>NECLIFE</v>
          </cell>
        </row>
        <row r="2792">
          <cell r="A2792" t="str">
            <v>NEELAMALAI AGRO INDUSTRIES LTD</v>
          </cell>
          <cell r="B2792">
            <v>508670</v>
          </cell>
          <cell r="C2792" t="str">
            <v>Not Listed</v>
          </cell>
        </row>
        <row r="2793">
          <cell r="A2793" t="str">
            <v>NEELKANTH ROCKMINERALS LTD</v>
          </cell>
          <cell r="B2793">
            <v>531049</v>
          </cell>
          <cell r="C2793" t="str">
            <v>Not Listed</v>
          </cell>
        </row>
        <row r="2794">
          <cell r="A2794" t="str">
            <v>NEERAJ PAPER MARKETING LTD</v>
          </cell>
          <cell r="B2794">
            <v>539409</v>
          </cell>
          <cell r="C2794" t="str">
            <v>Not Listed</v>
          </cell>
        </row>
        <row r="2795">
          <cell r="A2795" t="str">
            <v>NEGOTIUM INTERNATIONAL TRADE LTD</v>
          </cell>
          <cell r="B2795">
            <v>537838</v>
          </cell>
          <cell r="C2795" t="str">
            <v>Not Listed</v>
          </cell>
        </row>
        <row r="2796">
          <cell r="A2796" t="str">
            <v>NEHA INTERNATIONAL LTD</v>
          </cell>
          <cell r="B2796">
            <v>519560</v>
          </cell>
          <cell r="C2796" t="str">
            <v>Not Listed</v>
          </cell>
        </row>
        <row r="2797">
          <cell r="A2797" t="str">
            <v>NEIL INDUSTRIES LTD</v>
          </cell>
          <cell r="B2797">
            <v>539016</v>
          </cell>
          <cell r="C2797" t="str">
            <v>Not Listed</v>
          </cell>
        </row>
        <row r="2798">
          <cell r="A2798" t="str">
            <v>NELCAST LTD</v>
          </cell>
          <cell r="B2798">
            <v>532864</v>
          </cell>
          <cell r="C2798" t="str">
            <v>NELCAST</v>
          </cell>
        </row>
        <row r="2799">
          <cell r="A2799" t="str">
            <v>NELCO LTD</v>
          </cell>
          <cell r="B2799">
            <v>504112</v>
          </cell>
          <cell r="C2799" t="str">
            <v>NELCO</v>
          </cell>
        </row>
        <row r="2800">
          <cell r="A2800" t="str">
            <v>NEO INFRACON LTD</v>
          </cell>
          <cell r="B2800">
            <v>514332</v>
          </cell>
          <cell r="C2800" t="str">
            <v>Not Listed</v>
          </cell>
        </row>
        <row r="2801">
          <cell r="A2801" t="str">
            <v>NEOGEM (INDIA) LTD</v>
          </cell>
          <cell r="B2801">
            <v>526195</v>
          </cell>
          <cell r="C2801" t="str">
            <v>Not Listed</v>
          </cell>
        </row>
        <row r="2802">
          <cell r="A2802" t="str">
            <v>NEOGEM INDIA LTD</v>
          </cell>
          <cell r="B2802">
            <v>526195</v>
          </cell>
          <cell r="C2802" t="str">
            <v>Not Listed</v>
          </cell>
        </row>
        <row r="2803">
          <cell r="A2803" t="str">
            <v>Neogen Chemicals Ltd</v>
          </cell>
          <cell r="B2803">
            <v>542665</v>
          </cell>
          <cell r="C2803" t="str">
            <v>NEOGEN</v>
          </cell>
        </row>
        <row r="2804">
          <cell r="A2804" t="str">
            <v>NEPTUNE EXPORTS LTD</v>
          </cell>
          <cell r="B2804">
            <v>512522</v>
          </cell>
          <cell r="C2804" t="str">
            <v>Not Listed</v>
          </cell>
        </row>
        <row r="2805">
          <cell r="A2805" t="str">
            <v>NESCO LTD</v>
          </cell>
          <cell r="B2805">
            <v>505355</v>
          </cell>
          <cell r="C2805" t="str">
            <v>NESCO</v>
          </cell>
        </row>
        <row r="2806">
          <cell r="A2806" t="str">
            <v>NESTLE (INDIA) LTD</v>
          </cell>
          <cell r="B2806">
            <v>500790</v>
          </cell>
          <cell r="C2806" t="str">
            <v>NESTLEIND</v>
          </cell>
        </row>
        <row r="2807">
          <cell r="A2807" t="str">
            <v>NESTLE INDIA LTD</v>
          </cell>
          <cell r="B2807">
            <v>500790</v>
          </cell>
          <cell r="C2807" t="str">
            <v>NESTLEIND</v>
          </cell>
        </row>
        <row r="2808">
          <cell r="A2808" t="str">
            <v>NETLINK SOLUTIONS (INDIA) LTD</v>
          </cell>
          <cell r="B2808">
            <v>509040</v>
          </cell>
          <cell r="C2808" t="str">
            <v>Not Listed</v>
          </cell>
        </row>
        <row r="2809">
          <cell r="A2809" t="str">
            <v>NETLINK SOLUTIONS INDIA LTD</v>
          </cell>
          <cell r="B2809">
            <v>509040</v>
          </cell>
          <cell r="C2809" t="str">
            <v>Not Listed</v>
          </cell>
        </row>
        <row r="2810">
          <cell r="A2810" t="str">
            <v>NETRIPPLES SOFTWARE LTD</v>
          </cell>
          <cell r="B2810">
            <v>542117</v>
          </cell>
          <cell r="C2810" t="str">
            <v>Not Listed</v>
          </cell>
        </row>
        <row r="2811">
          <cell r="A2811" t="str">
            <v>NETTLINX LTD</v>
          </cell>
          <cell r="B2811">
            <v>511658</v>
          </cell>
          <cell r="C2811" t="str">
            <v>Not Listed</v>
          </cell>
        </row>
        <row r="2812">
          <cell r="A2812" t="str">
            <v>NETWORK LTD</v>
          </cell>
          <cell r="B2812">
            <v>523558</v>
          </cell>
          <cell r="C2812" t="str">
            <v>Not Listed</v>
          </cell>
        </row>
        <row r="2813">
          <cell r="A2813" t="str">
            <v>NETWORK18 MEDIA &amp; INVESTMENTS LTD</v>
          </cell>
          <cell r="B2813">
            <v>532798</v>
          </cell>
          <cell r="C2813" t="str">
            <v>NETWORK18</v>
          </cell>
        </row>
        <row r="2814">
          <cell r="A2814" t="str">
            <v>NEUEON TOWERS LTD</v>
          </cell>
          <cell r="B2814">
            <v>532887</v>
          </cell>
          <cell r="C2814" t="str">
            <v>NTL</v>
          </cell>
        </row>
        <row r="2815">
          <cell r="A2815" t="str">
            <v>NEULAND LABORATORIES LTD</v>
          </cell>
          <cell r="B2815">
            <v>524558</v>
          </cell>
          <cell r="C2815" t="str">
            <v>NEULANDLAB</v>
          </cell>
        </row>
        <row r="2816">
          <cell r="A2816" t="str">
            <v>NEW DELHI TELEVISION LTD</v>
          </cell>
          <cell r="B2816">
            <v>532529</v>
          </cell>
          <cell r="C2816" t="str">
            <v>NDTV</v>
          </cell>
        </row>
        <row r="2817">
          <cell r="A2817" t="str">
            <v>NEW LIGHT APPARELS LTD</v>
          </cell>
          <cell r="B2817">
            <v>540243</v>
          </cell>
          <cell r="C2817" t="str">
            <v>Not Listed</v>
          </cell>
        </row>
        <row r="2818">
          <cell r="A2818" t="str">
            <v>NEW MARKETS ADVISORY LTD</v>
          </cell>
          <cell r="B2818">
            <v>508867</v>
          </cell>
          <cell r="C2818" t="str">
            <v>Not Listed</v>
          </cell>
        </row>
        <row r="2819">
          <cell r="A2819" t="str">
            <v>NEW SAGAR TRADING CO LTD</v>
          </cell>
          <cell r="B2819">
            <v>501479</v>
          </cell>
          <cell r="C2819" t="str">
            <v>Not Listed</v>
          </cell>
        </row>
        <row r="2820">
          <cell r="A2820" t="str">
            <v>NEWEVER TRADE WINGS LTD</v>
          </cell>
          <cell r="B2820">
            <v>536644</v>
          </cell>
          <cell r="C2820" t="str">
            <v>Not Listed</v>
          </cell>
        </row>
        <row r="2821">
          <cell r="A2821" t="str">
            <v>NEWGEN SOFTWARE TECHNOLOGIES LTD</v>
          </cell>
          <cell r="B2821">
            <v>540900</v>
          </cell>
          <cell r="C2821" t="str">
            <v>NEWGEN</v>
          </cell>
        </row>
        <row r="2822">
          <cell r="A2822" t="str">
            <v>NEXT MEDIAWORKS LTD</v>
          </cell>
          <cell r="B2822">
            <v>532416</v>
          </cell>
          <cell r="C2822" t="str">
            <v>NEXTMEDIA</v>
          </cell>
        </row>
        <row r="2823">
          <cell r="A2823" t="str">
            <v>NEXUS COMMODITIES AND TECHNOLOGIES LTD</v>
          </cell>
          <cell r="B2823">
            <v>538874</v>
          </cell>
          <cell r="C2823" t="str">
            <v>Not Listed</v>
          </cell>
        </row>
        <row r="2824">
          <cell r="A2824" t="str">
            <v>NGL FINE-CHEM LTD</v>
          </cell>
          <cell r="B2824">
            <v>524774</v>
          </cell>
          <cell r="C2824" t="str">
            <v>Not Listed</v>
          </cell>
        </row>
        <row r="2825">
          <cell r="A2825" t="str">
            <v>NHC FOODS LTD</v>
          </cell>
          <cell r="B2825">
            <v>517554</v>
          </cell>
          <cell r="C2825" t="str">
            <v>Not Listed</v>
          </cell>
        </row>
        <row r="2826">
          <cell r="A2826" t="str">
            <v>NHPC LTD</v>
          </cell>
          <cell r="B2826">
            <v>533098</v>
          </cell>
          <cell r="C2826" t="str">
            <v>NHPC</v>
          </cell>
        </row>
        <row r="2827">
          <cell r="A2827" t="str">
            <v>NICCO PARKS &amp; RESORTS LTD</v>
          </cell>
          <cell r="B2827">
            <v>526721</v>
          </cell>
          <cell r="C2827" t="str">
            <v>Not Listed</v>
          </cell>
        </row>
        <row r="2828">
          <cell r="A2828" t="str">
            <v>NICCO UCO ALLIANCE CREDIT LTD</v>
          </cell>
          <cell r="B2828">
            <v>523209</v>
          </cell>
          <cell r="C2828" t="str">
            <v>Not Listed</v>
          </cell>
        </row>
        <row r="2829">
          <cell r="A2829" t="str">
            <v>NIDHI GRANITES LTD</v>
          </cell>
          <cell r="B2829">
            <v>512103</v>
          </cell>
          <cell r="C2829" t="str">
            <v>Not Listed</v>
          </cell>
        </row>
        <row r="2830">
          <cell r="A2830" t="str">
            <v>NIHAR INFO GLOBAL LTD</v>
          </cell>
          <cell r="B2830">
            <v>531083</v>
          </cell>
          <cell r="C2830" t="str">
            <v>Not Listed</v>
          </cell>
        </row>
        <row r="2831">
          <cell r="A2831" t="str">
            <v>NIIT LTD</v>
          </cell>
          <cell r="B2831">
            <v>500304</v>
          </cell>
          <cell r="C2831" t="str">
            <v>NIITLTD</v>
          </cell>
        </row>
        <row r="2832">
          <cell r="A2832" t="str">
            <v>NIIT TECHNOLOGIES LTD</v>
          </cell>
          <cell r="B2832">
            <v>532541</v>
          </cell>
          <cell r="C2832" t="str">
            <v>NIITTECH</v>
          </cell>
        </row>
        <row r="2833">
          <cell r="A2833" t="str">
            <v>NIKHIL ADHESIVES LTD</v>
          </cell>
          <cell r="B2833">
            <v>526159</v>
          </cell>
          <cell r="C2833" t="str">
            <v>Not Listed</v>
          </cell>
        </row>
        <row r="2834">
          <cell r="A2834" t="str">
            <v>NIKKI GLOBAL FINANCE LTD</v>
          </cell>
          <cell r="B2834">
            <v>531272</v>
          </cell>
          <cell r="C2834" t="str">
            <v>Not Listed</v>
          </cell>
        </row>
        <row r="2835">
          <cell r="A2835" t="str">
            <v>NILA INFRASTRUCTURES LTD</v>
          </cell>
          <cell r="B2835">
            <v>530377</v>
          </cell>
          <cell r="C2835" t="str">
            <v>NILAINFRA</v>
          </cell>
        </row>
        <row r="2836">
          <cell r="A2836" t="str">
            <v>Nila Spaces Ltd</v>
          </cell>
          <cell r="B2836">
            <v>542231</v>
          </cell>
          <cell r="C2836" t="str">
            <v>NILASPACES</v>
          </cell>
        </row>
        <row r="2837">
          <cell r="A2837" t="str">
            <v>NILACHAL REFRACTORIES LTD</v>
          </cell>
          <cell r="B2837">
            <v>502294</v>
          </cell>
          <cell r="C2837" t="str">
            <v>Not Listed</v>
          </cell>
        </row>
        <row r="2838">
          <cell r="A2838" t="str">
            <v>NILE LTD</v>
          </cell>
          <cell r="B2838">
            <v>530129</v>
          </cell>
          <cell r="C2838" t="str">
            <v>Not Listed</v>
          </cell>
        </row>
        <row r="2839">
          <cell r="A2839" t="str">
            <v>NILKAMAL LTD</v>
          </cell>
          <cell r="B2839">
            <v>523385</v>
          </cell>
          <cell r="C2839" t="str">
            <v>NILKAMAL</v>
          </cell>
        </row>
        <row r="2840">
          <cell r="A2840" t="str">
            <v>NILKANTH ENGINEERING LTD</v>
          </cell>
          <cell r="B2840">
            <v>512004</v>
          </cell>
          <cell r="C2840" t="str">
            <v>Not Listed</v>
          </cell>
        </row>
        <row r="2841">
          <cell r="A2841" t="str">
            <v>NIMBUS FOODS INDUSTRIES LTD</v>
          </cell>
          <cell r="B2841">
            <v>531598</v>
          </cell>
          <cell r="C2841" t="str">
            <v>Not Listed</v>
          </cell>
        </row>
        <row r="2842">
          <cell r="A2842" t="str">
            <v>NIMBUS INDUSTRIES LTD</v>
          </cell>
          <cell r="B2842">
            <v>530971</v>
          </cell>
          <cell r="C2842" t="str">
            <v>Not Listed</v>
          </cell>
        </row>
        <row r="2843">
          <cell r="A2843" t="str">
            <v>NIMBUS PROJECTS LTD</v>
          </cell>
          <cell r="B2843">
            <v>511714</v>
          </cell>
          <cell r="C2843" t="str">
            <v>Not Listed</v>
          </cell>
        </row>
        <row r="2844">
          <cell r="A2844" t="str">
            <v>NINTEC SYSTEMS LTD</v>
          </cell>
          <cell r="B2844">
            <v>539843</v>
          </cell>
          <cell r="C2844" t="str">
            <v>Not Listed</v>
          </cell>
        </row>
        <row r="2845">
          <cell r="A2845" t="str">
            <v>NIRAJ CEMENT STRUCTURALS LTD</v>
          </cell>
          <cell r="B2845">
            <v>532986</v>
          </cell>
          <cell r="C2845" t="str">
            <v>Not Listed</v>
          </cell>
        </row>
        <row r="2846">
          <cell r="A2846" t="str">
            <v>NIRAJ ISPAT INDUSTRIES LTD</v>
          </cell>
          <cell r="B2846" t="str">
            <v>Not Listed</v>
          </cell>
          <cell r="C2846" t="str">
            <v>NIRAJISPAT</v>
          </cell>
        </row>
        <row r="2847">
          <cell r="A2847" t="str">
            <v>NIRAV COMMERCIALS LTD</v>
          </cell>
          <cell r="B2847">
            <v>512425</v>
          </cell>
          <cell r="C2847" t="str">
            <v>Not Listed</v>
          </cell>
        </row>
        <row r="2848">
          <cell r="A2848" t="str">
            <v>NIRLON LTD</v>
          </cell>
          <cell r="B2848">
            <v>500307</v>
          </cell>
          <cell r="C2848" t="str">
            <v>Not Listed</v>
          </cell>
        </row>
        <row r="2849">
          <cell r="A2849" t="str">
            <v>NISHTHA FINANCE AND INVESTMENT (INDIA) LTD</v>
          </cell>
          <cell r="B2849">
            <v>539311</v>
          </cell>
          <cell r="C2849" t="str">
            <v>Not Listed</v>
          </cell>
        </row>
        <row r="2850">
          <cell r="A2850" t="str">
            <v>NISHTHA FINANCE AND INVESTMENT INDIA LTD</v>
          </cell>
          <cell r="B2850">
            <v>539311</v>
          </cell>
          <cell r="C2850" t="str">
            <v>Not Listed</v>
          </cell>
        </row>
        <row r="2851">
          <cell r="A2851" t="str">
            <v>NITCO LTD</v>
          </cell>
          <cell r="B2851">
            <v>532722</v>
          </cell>
          <cell r="C2851" t="str">
            <v>NITCO</v>
          </cell>
        </row>
        <row r="2852">
          <cell r="A2852" t="str">
            <v>NITESH ESTATES LTD</v>
          </cell>
          <cell r="B2852">
            <v>533202</v>
          </cell>
          <cell r="C2852" t="str">
            <v>NITESHEST</v>
          </cell>
        </row>
        <row r="2853">
          <cell r="A2853" t="str">
            <v>NITIN CASTINGS LTD</v>
          </cell>
          <cell r="B2853">
            <v>508875</v>
          </cell>
          <cell r="C2853" t="str">
            <v>Not Listed</v>
          </cell>
        </row>
        <row r="2854">
          <cell r="A2854" t="str">
            <v>NITIN FIRE PROTECTION INDUSTRIES LTD</v>
          </cell>
          <cell r="B2854">
            <v>532854</v>
          </cell>
          <cell r="C2854" t="str">
            <v>NITINFIRE</v>
          </cell>
        </row>
        <row r="2855">
          <cell r="A2855" t="str">
            <v>NITIN SPINNERS LTD</v>
          </cell>
          <cell r="B2855">
            <v>532698</v>
          </cell>
          <cell r="C2855" t="str">
            <v>NITINSPIN</v>
          </cell>
        </row>
        <row r="2856">
          <cell r="A2856" t="str">
            <v>NITIRAJ ENGINEERS LTD</v>
          </cell>
          <cell r="B2856" t="str">
            <v>Not Listed</v>
          </cell>
          <cell r="C2856" t="str">
            <v>NITIRAJ</v>
          </cell>
        </row>
        <row r="2857">
          <cell r="A2857" t="str">
            <v>NITTA GELATIN (INDIA) LTD</v>
          </cell>
          <cell r="B2857">
            <v>506532</v>
          </cell>
          <cell r="C2857" t="str">
            <v>Not Listed</v>
          </cell>
        </row>
        <row r="2858">
          <cell r="A2858" t="str">
            <v>NITTA GELATIN INDIA LTD</v>
          </cell>
          <cell r="B2858">
            <v>506532</v>
          </cell>
          <cell r="C2858" t="str">
            <v>Not Listed</v>
          </cell>
        </row>
        <row r="2859">
          <cell r="A2859" t="str">
            <v>NIVEDITA MERCANTILE &amp; FINANCING LTD</v>
          </cell>
          <cell r="B2859">
            <v>512381</v>
          </cell>
          <cell r="C2859" t="str">
            <v>Not Listed</v>
          </cell>
        </row>
        <row r="2860">
          <cell r="A2860" t="str">
            <v>NIVI TRADING LTD</v>
          </cell>
          <cell r="B2860">
            <v>512245</v>
          </cell>
          <cell r="C2860" t="str">
            <v>Not Listed</v>
          </cell>
        </row>
        <row r="2861">
          <cell r="A2861" t="str">
            <v>NIYOGIN FINTECH LTD</v>
          </cell>
          <cell r="B2861">
            <v>538772</v>
          </cell>
          <cell r="C2861" t="str">
            <v>Not Listed</v>
          </cell>
        </row>
        <row r="2862">
          <cell r="A2862" t="str">
            <v>NK INDUSTRIES LTD</v>
          </cell>
          <cell r="B2862">
            <v>519494</v>
          </cell>
          <cell r="C2862" t="str">
            <v>NKIND</v>
          </cell>
        </row>
        <row r="2863">
          <cell r="A2863" t="str">
            <v>NLC (INDIA) LTD</v>
          </cell>
          <cell r="B2863">
            <v>513683</v>
          </cell>
          <cell r="C2863" t="str">
            <v>NLC(INDIA)</v>
          </cell>
        </row>
        <row r="2864">
          <cell r="A2864" t="str">
            <v>NLC INDIA LTD</v>
          </cell>
          <cell r="B2864">
            <v>513683</v>
          </cell>
          <cell r="C2864" t="str">
            <v>NLCINDIA</v>
          </cell>
        </row>
        <row r="2865">
          <cell r="A2865" t="str">
            <v>NMDC LTD</v>
          </cell>
          <cell r="B2865">
            <v>526371</v>
          </cell>
          <cell r="C2865" t="str">
            <v>NMDC</v>
          </cell>
        </row>
        <row r="2866">
          <cell r="A2866" t="str">
            <v>NOCIL LTD</v>
          </cell>
          <cell r="B2866">
            <v>500730</v>
          </cell>
          <cell r="C2866" t="str">
            <v>NOCIL</v>
          </cell>
        </row>
        <row r="2867">
          <cell r="A2867" t="str">
            <v>NOIDA TOLL BRIDGE COMPANY LTD</v>
          </cell>
          <cell r="B2867">
            <v>532481</v>
          </cell>
          <cell r="C2867" t="str">
            <v>NOIDATOLL</v>
          </cell>
        </row>
        <row r="2868">
          <cell r="A2868" t="str">
            <v>NORBEN TEA &amp; EXPORTS LTD</v>
          </cell>
          <cell r="B2868" t="str">
            <v>Not Listed</v>
          </cell>
          <cell r="C2868" t="str">
            <v>NORBTEAEXP</v>
          </cell>
        </row>
        <row r="2869">
          <cell r="A2869" t="str">
            <v>NORRIS MEDICINES LTD</v>
          </cell>
          <cell r="B2869">
            <v>524414</v>
          </cell>
          <cell r="C2869" t="str">
            <v>Not Listed</v>
          </cell>
        </row>
        <row r="2870">
          <cell r="A2870" t="str">
            <v>NORTH EASTERN CARRYING CORPORATION LTD</v>
          </cell>
          <cell r="B2870">
            <v>534615</v>
          </cell>
          <cell r="C2870" t="str">
            <v>NECCLTD</v>
          </cell>
        </row>
        <row r="2871">
          <cell r="A2871" t="str">
            <v>Northern Spirits Ltd</v>
          </cell>
          <cell r="B2871">
            <v>542628</v>
          </cell>
          <cell r="C2871" t="str">
            <v>NSL</v>
          </cell>
        </row>
        <row r="2872">
          <cell r="A2872" t="str">
            <v>NORTHLINK FISCAL AND CAPITAL SERVICES LTD</v>
          </cell>
          <cell r="B2872">
            <v>539110</v>
          </cell>
          <cell r="C2872" t="str">
            <v>Not Listed</v>
          </cell>
        </row>
        <row r="2873">
          <cell r="A2873" t="str">
            <v>NOURITRANS EXIM LTD</v>
          </cell>
          <cell r="B2873">
            <v>540698</v>
          </cell>
          <cell r="C2873" t="str">
            <v>Not Listed</v>
          </cell>
        </row>
        <row r="2874">
          <cell r="A2874" t="str">
            <v>NOUVEAU GLOBAL VENTURES LTD</v>
          </cell>
          <cell r="B2874">
            <v>531465</v>
          </cell>
          <cell r="C2874" t="str">
            <v>Not Listed</v>
          </cell>
        </row>
        <row r="2875">
          <cell r="A2875" t="str">
            <v>NOVA IRON &amp; STEEL LTD</v>
          </cell>
          <cell r="B2875">
            <v>513566</v>
          </cell>
          <cell r="C2875" t="str">
            <v>Not Listed</v>
          </cell>
        </row>
        <row r="2876">
          <cell r="A2876" t="str">
            <v>NOVA PUBLICATIONS (INDIA) LTD</v>
          </cell>
          <cell r="B2876">
            <v>530733</v>
          </cell>
          <cell r="C2876" t="str">
            <v>Not Listed</v>
          </cell>
        </row>
        <row r="2877">
          <cell r="A2877" t="str">
            <v>NOVA PUBLICATIONS INDIA LTD</v>
          </cell>
          <cell r="B2877">
            <v>530733</v>
          </cell>
          <cell r="C2877" t="str">
            <v>Not Listed</v>
          </cell>
        </row>
        <row r="2878">
          <cell r="A2878" t="str">
            <v>NOVARTIS (INDIA) LTD</v>
          </cell>
          <cell r="B2878">
            <v>500672</v>
          </cell>
          <cell r="C2878" t="str">
            <v>Not Listed</v>
          </cell>
        </row>
        <row r="2879">
          <cell r="A2879" t="str">
            <v>NOVARTIS INDIA LTD</v>
          </cell>
          <cell r="B2879">
            <v>500672</v>
          </cell>
          <cell r="C2879" t="str">
            <v>Not Listed</v>
          </cell>
        </row>
        <row r="2880">
          <cell r="A2880" t="str">
            <v>NPR FINANCE LTD</v>
          </cell>
          <cell r="B2880">
            <v>530127</v>
          </cell>
          <cell r="C2880" t="str">
            <v>Not Listed</v>
          </cell>
        </row>
        <row r="2881">
          <cell r="A2881" t="str">
            <v>NRB BEARING LTD</v>
          </cell>
          <cell r="B2881">
            <v>530367</v>
          </cell>
          <cell r="C2881" t="str">
            <v>NRBBEARING</v>
          </cell>
        </row>
        <row r="2882">
          <cell r="A2882" t="str">
            <v>NRB INDUSTRIAL BEARINGS LTD</v>
          </cell>
          <cell r="B2882">
            <v>535458</v>
          </cell>
          <cell r="C2882" t="str">
            <v>NIBL</v>
          </cell>
        </row>
        <row r="2883">
          <cell r="A2883" t="str">
            <v>NTC INDUSTRIES LTD</v>
          </cell>
          <cell r="B2883">
            <v>526723</v>
          </cell>
          <cell r="C2883" t="str">
            <v>Not Listed</v>
          </cell>
        </row>
        <row r="2884">
          <cell r="A2884" t="str">
            <v>NTPC LTD</v>
          </cell>
          <cell r="B2884">
            <v>532555</v>
          </cell>
          <cell r="C2884" t="str">
            <v>NTPC</v>
          </cell>
        </row>
        <row r="2885">
          <cell r="A2885" t="str">
            <v>NU TEK (INDIA) LTD</v>
          </cell>
          <cell r="B2885">
            <v>533015</v>
          </cell>
          <cell r="C2885" t="str">
            <v>NUTEK</v>
          </cell>
        </row>
        <row r="2886">
          <cell r="A2886" t="str">
            <v>NU TEK INDIA LTD</v>
          </cell>
          <cell r="B2886">
            <v>533015</v>
          </cell>
          <cell r="C2886" t="str">
            <v>NUTEK</v>
          </cell>
        </row>
        <row r="2887">
          <cell r="A2887" t="str">
            <v>NUCLEUS SOFTWARE EXPORTS LTD</v>
          </cell>
          <cell r="B2887">
            <v>531209</v>
          </cell>
          <cell r="C2887" t="str">
            <v>NUCLEUS</v>
          </cell>
        </row>
        <row r="2888">
          <cell r="A2888" t="str">
            <v>NUTECH GLOBAL LTD</v>
          </cell>
          <cell r="B2888">
            <v>531304</v>
          </cell>
          <cell r="C2888" t="str">
            <v>Not Listed</v>
          </cell>
        </row>
        <row r="2889">
          <cell r="A2889" t="str">
            <v>NUTRAPLUS (INDIA) LTD</v>
          </cell>
          <cell r="B2889">
            <v>524764</v>
          </cell>
          <cell r="C2889" t="str">
            <v>Not Listed</v>
          </cell>
        </row>
        <row r="2890">
          <cell r="A2890" t="str">
            <v>NUTRAPLUS INDIA LTD</v>
          </cell>
          <cell r="B2890">
            <v>524764</v>
          </cell>
          <cell r="C2890" t="str">
            <v>Not Listed</v>
          </cell>
        </row>
        <row r="2891">
          <cell r="A2891" t="str">
            <v>NUTRICIRCLE LTD</v>
          </cell>
          <cell r="B2891">
            <v>530219</v>
          </cell>
          <cell r="C2891" t="str">
            <v>Not Listed</v>
          </cell>
        </row>
        <row r="2892">
          <cell r="A2892" t="str">
            <v>NUWAY ORGANIC NATURALS (INDIA) LTD</v>
          </cell>
          <cell r="B2892">
            <v>531819</v>
          </cell>
          <cell r="C2892" t="str">
            <v>Not Listed</v>
          </cell>
        </row>
        <row r="2893">
          <cell r="A2893" t="str">
            <v>NUWAY ORGANIC NATURALS INDIA LTD</v>
          </cell>
          <cell r="B2893">
            <v>531819</v>
          </cell>
          <cell r="C2893" t="str">
            <v>Not Listed</v>
          </cell>
        </row>
        <row r="2894">
          <cell r="A2894" t="str">
            <v>NYSSA CORPORATION LTD</v>
          </cell>
          <cell r="B2894">
            <v>504378</v>
          </cell>
          <cell r="C2894" t="str">
            <v>Not Listed</v>
          </cell>
        </row>
        <row r="2895">
          <cell r="A2895" t="str">
            <v>O  P  CHAINS LTD</v>
          </cell>
          <cell r="B2895">
            <v>539116</v>
          </cell>
          <cell r="C2895" t="str">
            <v>Not Listed</v>
          </cell>
        </row>
        <row r="2896">
          <cell r="A2896" t="str">
            <v>OASIS SECURITIES LTD</v>
          </cell>
          <cell r="B2896">
            <v>512489</v>
          </cell>
          <cell r="C2896" t="str">
            <v>Not Listed</v>
          </cell>
        </row>
        <row r="2897">
          <cell r="A2897" t="str">
            <v>OASIS TRADELINK LTD</v>
          </cell>
          <cell r="B2897">
            <v>538547</v>
          </cell>
          <cell r="C2897" t="str">
            <v>Not Listed</v>
          </cell>
        </row>
        <row r="2898">
          <cell r="A2898" t="str">
            <v>OBEROI REALTY LTD</v>
          </cell>
          <cell r="B2898">
            <v>533273</v>
          </cell>
          <cell r="C2898" t="str">
            <v>OBEROIRLTY</v>
          </cell>
        </row>
        <row r="2899">
          <cell r="A2899" t="str">
            <v>OBJECTONE INFORMATION SYSTEMS LTD</v>
          </cell>
          <cell r="B2899">
            <v>535657</v>
          </cell>
          <cell r="C2899" t="str">
            <v>Not Listed</v>
          </cell>
        </row>
        <row r="2900">
          <cell r="A2900" t="str">
            <v>OCEAN AGRO (INDIA) LTD</v>
          </cell>
          <cell r="B2900">
            <v>519491</v>
          </cell>
          <cell r="C2900" t="str">
            <v>Not Listed</v>
          </cell>
        </row>
        <row r="2901">
          <cell r="A2901" t="str">
            <v>OCEAN AGRO INDIA LTD</v>
          </cell>
          <cell r="B2901">
            <v>519491</v>
          </cell>
          <cell r="C2901" t="str">
            <v>Not Listed</v>
          </cell>
        </row>
        <row r="2902">
          <cell r="A2902" t="str">
            <v>OCEANAA BIOTEK INDUSTRIES LTD</v>
          </cell>
          <cell r="B2902">
            <v>538019</v>
          </cell>
          <cell r="C2902" t="str">
            <v>Not Listed</v>
          </cell>
        </row>
        <row r="2903">
          <cell r="A2903" t="str">
            <v>OCEANIC FOODS LTD</v>
          </cell>
          <cell r="B2903">
            <v>540405</v>
          </cell>
          <cell r="C2903" t="str">
            <v>Not Listed</v>
          </cell>
        </row>
        <row r="2904">
          <cell r="A2904" t="str">
            <v>OCL IRON AND STEEL LTD</v>
          </cell>
          <cell r="B2904">
            <v>533008</v>
          </cell>
          <cell r="C2904" t="str">
            <v>OISL</v>
          </cell>
        </row>
        <row r="2905">
          <cell r="A2905" t="str">
            <v>OCTAL CREDIT CAPITAL LTD</v>
          </cell>
          <cell r="B2905">
            <v>538894</v>
          </cell>
          <cell r="C2905" t="str">
            <v>Not Listed</v>
          </cell>
        </row>
        <row r="2906">
          <cell r="A2906" t="str">
            <v>OCTAWARE TECHNOLOGIES LTD</v>
          </cell>
          <cell r="B2906">
            <v>540416</v>
          </cell>
          <cell r="C2906" t="str">
            <v>Not Listed</v>
          </cell>
        </row>
        <row r="2907">
          <cell r="A2907" t="str">
            <v>ODYSSEY CORPORATION LTD</v>
          </cell>
          <cell r="B2907">
            <v>531996</v>
          </cell>
          <cell r="C2907" t="str">
            <v>Not Listed</v>
          </cell>
        </row>
        <row r="2908">
          <cell r="A2908" t="str">
            <v>ODYSSEY TECHNOLOGIES LTD</v>
          </cell>
          <cell r="B2908">
            <v>530175</v>
          </cell>
          <cell r="C2908" t="str">
            <v>Not Listed</v>
          </cell>
        </row>
        <row r="2909">
          <cell r="A2909" t="str">
            <v>OFS TECHNOLOGIES LTD</v>
          </cell>
          <cell r="B2909">
            <v>539570</v>
          </cell>
          <cell r="C2909" t="str">
            <v>Not Listed</v>
          </cell>
        </row>
        <row r="2910">
          <cell r="A2910" t="str">
            <v>OIL &amp; NATURAL GAS CORPORATION LTD</v>
          </cell>
          <cell r="B2910">
            <v>500312</v>
          </cell>
          <cell r="C2910" t="str">
            <v>ONGC</v>
          </cell>
        </row>
        <row r="2911">
          <cell r="A2911" t="str">
            <v>OIL (INDIA) LTD</v>
          </cell>
          <cell r="B2911">
            <v>533106</v>
          </cell>
          <cell r="C2911" t="str">
            <v>OIL</v>
          </cell>
        </row>
        <row r="2912">
          <cell r="A2912" t="str">
            <v>OIL COUNTRY TUBULAR LTD</v>
          </cell>
          <cell r="B2912">
            <v>500313</v>
          </cell>
          <cell r="C2912" t="str">
            <v>OILCOUNTUB</v>
          </cell>
        </row>
        <row r="2913">
          <cell r="A2913" t="str">
            <v>OIL INDIA LTD</v>
          </cell>
          <cell r="B2913">
            <v>533106</v>
          </cell>
          <cell r="C2913" t="str">
            <v>OIL</v>
          </cell>
        </row>
        <row r="2914">
          <cell r="A2914" t="str">
            <v>OK PLAY (INDIA) LTD</v>
          </cell>
          <cell r="B2914">
            <v>526415</v>
          </cell>
          <cell r="C2914" t="str">
            <v>Not Listed</v>
          </cell>
        </row>
        <row r="2915">
          <cell r="A2915" t="str">
            <v>OK PLAY INDIA LTD</v>
          </cell>
          <cell r="B2915">
            <v>526415</v>
          </cell>
          <cell r="C2915" t="str">
            <v>Not Listed</v>
          </cell>
        </row>
        <row r="2916">
          <cell r="A2916" t="str">
            <v>OLECTRA GREENTECH LTD</v>
          </cell>
          <cell r="B2916">
            <v>532439</v>
          </cell>
          <cell r="C2916" t="str">
            <v>OLECTRA</v>
          </cell>
        </row>
        <row r="2917">
          <cell r="A2917" t="str">
            <v>OLYMPIA INDUSTRIES LTD</v>
          </cell>
          <cell r="B2917">
            <v>521105</v>
          </cell>
          <cell r="C2917" t="str">
            <v>Not Listed</v>
          </cell>
        </row>
        <row r="2918">
          <cell r="A2918" t="str">
            <v>OLYMPIC CARDS LTD</v>
          </cell>
          <cell r="B2918">
            <v>534190</v>
          </cell>
          <cell r="C2918" t="str">
            <v>Not Listed</v>
          </cell>
        </row>
        <row r="2919">
          <cell r="A2919" t="str">
            <v>OLYMPIC OIL INDUSTRIES LTD</v>
          </cell>
          <cell r="B2919">
            <v>507609</v>
          </cell>
          <cell r="C2919" t="str">
            <v>Not Listed</v>
          </cell>
        </row>
        <row r="2920">
          <cell r="A2920" t="str">
            <v>OM METALS INFRAPROJECTS LTD</v>
          </cell>
          <cell r="B2920">
            <v>531092</v>
          </cell>
          <cell r="C2920" t="str">
            <v>OMMETALS</v>
          </cell>
        </row>
        <row r="2921">
          <cell r="A2921" t="str">
            <v>OMANSH ENTERPRISES LTD</v>
          </cell>
          <cell r="B2921">
            <v>538537</v>
          </cell>
          <cell r="C2921" t="str">
            <v>Not Listed</v>
          </cell>
        </row>
        <row r="2922">
          <cell r="A2922" t="str">
            <v>OMAX AUTOS LTD</v>
          </cell>
          <cell r="B2922">
            <v>520021</v>
          </cell>
          <cell r="C2922" t="str">
            <v>OMAXAUTO</v>
          </cell>
        </row>
        <row r="2923">
          <cell r="A2923" t="str">
            <v>OMAXE LTD</v>
          </cell>
          <cell r="B2923">
            <v>532880</v>
          </cell>
          <cell r="C2923" t="str">
            <v>OMAXE</v>
          </cell>
        </row>
        <row r="2924">
          <cell r="A2924" t="str">
            <v>OMFURN (INDIA) LTD</v>
          </cell>
          <cell r="B2924" t="str">
            <v>Not Listed</v>
          </cell>
          <cell r="C2924" t="str">
            <v>OMFURN</v>
          </cell>
        </row>
        <row r="2925">
          <cell r="A2925" t="str">
            <v>OMFURN INDIA LTD</v>
          </cell>
          <cell r="B2925" t="str">
            <v>Not Listed</v>
          </cell>
          <cell r="C2925" t="str">
            <v>OMFURN</v>
          </cell>
        </row>
        <row r="2926">
          <cell r="A2926" t="str">
            <v>OMKAR OVERSEAS LTD</v>
          </cell>
          <cell r="B2926">
            <v>531496</v>
          </cell>
          <cell r="C2926" t="str">
            <v>Not Listed</v>
          </cell>
        </row>
        <row r="2927">
          <cell r="A2927" t="str">
            <v>OMKAR PHARMACHEM LTD</v>
          </cell>
          <cell r="B2927">
            <v>532167</v>
          </cell>
          <cell r="C2927" t="str">
            <v>Not Listed</v>
          </cell>
        </row>
        <row r="2928">
          <cell r="A2928" t="str">
            <v>OMKAR SPECIALITY CHEMICALS LTD</v>
          </cell>
          <cell r="B2928">
            <v>533317</v>
          </cell>
          <cell r="C2928" t="str">
            <v>OMKARCHEM</v>
          </cell>
        </row>
        <row r="2929">
          <cell r="A2929" t="str">
            <v>OMNI AXS SOFTWARE LTD</v>
          </cell>
          <cell r="B2929">
            <v>532340</v>
          </cell>
          <cell r="C2929" t="str">
            <v>Not Listed</v>
          </cell>
        </row>
        <row r="2930">
          <cell r="A2930" t="str">
            <v>OMNITEX INDUSTRIES (INDIA) LTD</v>
          </cell>
          <cell r="B2930">
            <v>514324</v>
          </cell>
          <cell r="C2930" t="str">
            <v>Not Listed</v>
          </cell>
        </row>
        <row r="2931">
          <cell r="A2931" t="str">
            <v>OMNITEX INDUSTRIES INDIA LTD</v>
          </cell>
          <cell r="B2931">
            <v>514324</v>
          </cell>
          <cell r="C2931" t="str">
            <v>Not Listed</v>
          </cell>
        </row>
        <row r="2932">
          <cell r="A2932" t="str">
            <v>ONE POINT ONE SOLUTIONS LTD</v>
          </cell>
          <cell r="B2932" t="str">
            <v>Not Listed</v>
          </cell>
          <cell r="C2932" t="str">
            <v>ONEPOINT</v>
          </cell>
        </row>
        <row r="2933">
          <cell r="A2933" t="str">
            <v>ONELIFE CAPITAL ADVISORS LTD</v>
          </cell>
          <cell r="B2933">
            <v>533632</v>
          </cell>
          <cell r="C2933" t="str">
            <v>ONELIFECAP</v>
          </cell>
        </row>
        <row r="2934">
          <cell r="A2934" t="str">
            <v>ONESOURCE IDEAS VENTURE LTD</v>
          </cell>
          <cell r="B2934">
            <v>530805</v>
          </cell>
          <cell r="C2934" t="str">
            <v>Not Listed</v>
          </cell>
        </row>
        <row r="2935">
          <cell r="A2935" t="str">
            <v>ONESOURCE TECHMEDIA LTD</v>
          </cell>
          <cell r="B2935">
            <v>535647</v>
          </cell>
          <cell r="C2935" t="str">
            <v>Not Listed</v>
          </cell>
        </row>
        <row r="2936">
          <cell r="A2936" t="str">
            <v>ONMOBILE GLOBAL LTD</v>
          </cell>
          <cell r="B2936">
            <v>532944</v>
          </cell>
          <cell r="C2936" t="str">
            <v>ONMOBILE</v>
          </cell>
        </row>
        <row r="2937">
          <cell r="A2937" t="str">
            <v>ONTIC FINSERVE LTD</v>
          </cell>
          <cell r="B2937">
            <v>540386</v>
          </cell>
          <cell r="C2937" t="str">
            <v>Not Listed</v>
          </cell>
        </row>
        <row r="2938">
          <cell r="A2938" t="str">
            <v>ONWARD TECHNOLOGIES LTD</v>
          </cell>
          <cell r="B2938">
            <v>517536</v>
          </cell>
          <cell r="C2938" t="str">
            <v>ONWARDTEC</v>
          </cell>
        </row>
        <row r="2939">
          <cell r="A2939" t="str">
            <v>OPAL LUXURY TIME PRODUCTS LTD</v>
          </cell>
          <cell r="B2939" t="str">
            <v>Not Listed</v>
          </cell>
          <cell r="C2939" t="str">
            <v>OPAL</v>
          </cell>
        </row>
        <row r="2940">
          <cell r="A2940" t="str">
            <v>OPTIEMUS INFRACOM LTD</v>
          </cell>
          <cell r="B2940">
            <v>530135</v>
          </cell>
          <cell r="C2940" t="str">
            <v>OPTIEMUS</v>
          </cell>
        </row>
        <row r="2941">
          <cell r="A2941" t="str">
            <v>OPTIMUS FINANCE LTD</v>
          </cell>
          <cell r="B2941">
            <v>531254</v>
          </cell>
          <cell r="C2941" t="str">
            <v>Not Listed</v>
          </cell>
        </row>
        <row r="2942">
          <cell r="A2942" t="str">
            <v>OPTO CIRCUITS (INDIA) LTD</v>
          </cell>
          <cell r="B2942">
            <v>532391</v>
          </cell>
          <cell r="C2942" t="str">
            <v>OPTOCIRCUI</v>
          </cell>
        </row>
        <row r="2943">
          <cell r="A2943" t="str">
            <v>OPTO CIRCUITS INDIA LTD</v>
          </cell>
          <cell r="B2943">
            <v>532391</v>
          </cell>
          <cell r="C2943" t="str">
            <v>OPTOCIRCUI</v>
          </cell>
        </row>
        <row r="2944">
          <cell r="A2944" t="str">
            <v>ORACLE CREDIT LTD</v>
          </cell>
          <cell r="B2944">
            <v>539598</v>
          </cell>
          <cell r="C2944" t="str">
            <v>Not Listed</v>
          </cell>
        </row>
        <row r="2945">
          <cell r="A2945" t="str">
            <v>ORACLE FINANCIAL SERVICES SOFTWARE LTD</v>
          </cell>
          <cell r="B2945">
            <v>532466</v>
          </cell>
          <cell r="C2945" t="str">
            <v>OFSS</v>
          </cell>
        </row>
        <row r="2946">
          <cell r="A2946" t="str">
            <v>ORBIT EXPORTS LTD</v>
          </cell>
          <cell r="B2946">
            <v>512626</v>
          </cell>
          <cell r="C2946" t="str">
            <v>ORBTEXP</v>
          </cell>
        </row>
        <row r="2947">
          <cell r="A2947" t="str">
            <v>ORCHID PHARMA LTD</v>
          </cell>
          <cell r="B2947">
            <v>524372</v>
          </cell>
          <cell r="C2947" t="str">
            <v>ORCHIDPHAR</v>
          </cell>
        </row>
        <row r="2948">
          <cell r="A2948" t="str">
            <v>ORGANIC COATINGS LTD</v>
          </cell>
          <cell r="B2948">
            <v>531157</v>
          </cell>
          <cell r="C2948" t="str">
            <v>Not Listed</v>
          </cell>
        </row>
        <row r="2949">
          <cell r="A2949" t="str">
            <v>ORICON ENTERPRISES LTD</v>
          </cell>
          <cell r="B2949">
            <v>513121</v>
          </cell>
          <cell r="C2949" t="str">
            <v>ORICONENT</v>
          </cell>
        </row>
        <row r="2950">
          <cell r="A2950" t="str">
            <v>ORIENT ABRASIVES LTD</v>
          </cell>
          <cell r="B2950">
            <v>504879</v>
          </cell>
          <cell r="C2950" t="str">
            <v>ORIENTABRA</v>
          </cell>
        </row>
        <row r="2951">
          <cell r="A2951" t="str">
            <v>ORIENT BELL LTD</v>
          </cell>
          <cell r="B2951">
            <v>530365</v>
          </cell>
          <cell r="C2951" t="str">
            <v>ORIENTBELL</v>
          </cell>
        </row>
        <row r="2952">
          <cell r="A2952" t="str">
            <v>ORIENT BEVERAGES LTD</v>
          </cell>
          <cell r="B2952">
            <v>507690</v>
          </cell>
          <cell r="C2952" t="str">
            <v>Not Listed</v>
          </cell>
        </row>
        <row r="2953">
          <cell r="A2953" t="str">
            <v>ORIENT CEMENT LTD</v>
          </cell>
          <cell r="B2953">
            <v>535754</v>
          </cell>
          <cell r="C2953" t="str">
            <v>ORIENTCEM</v>
          </cell>
        </row>
        <row r="2954">
          <cell r="A2954" t="str">
            <v>ORIENT ELECTRIC LTD</v>
          </cell>
          <cell r="B2954">
            <v>541301</v>
          </cell>
          <cell r="C2954" t="str">
            <v>ORIENTELEC</v>
          </cell>
        </row>
        <row r="2955">
          <cell r="A2955" t="str">
            <v>ORIENT GREEN POWER COMPANY LTD</v>
          </cell>
          <cell r="B2955">
            <v>533263</v>
          </cell>
          <cell r="C2955" t="str">
            <v>GREENPOWER</v>
          </cell>
        </row>
        <row r="2956">
          <cell r="A2956" t="str">
            <v>ORIENT PAPER &amp; INDUSTRIES LTD</v>
          </cell>
          <cell r="B2956">
            <v>502420</v>
          </cell>
          <cell r="C2956" t="str">
            <v>ORIENTPPR</v>
          </cell>
        </row>
        <row r="2957">
          <cell r="A2957" t="str">
            <v>ORIENT PRESS LTD</v>
          </cell>
          <cell r="B2957">
            <v>526325</v>
          </cell>
          <cell r="C2957" t="str">
            <v>ORIENTLTD</v>
          </cell>
        </row>
        <row r="2958">
          <cell r="A2958" t="str">
            <v>ORIENT REFRACTORIES LTD</v>
          </cell>
          <cell r="B2958">
            <v>534076</v>
          </cell>
          <cell r="C2958" t="str">
            <v>ORIENTREF</v>
          </cell>
        </row>
        <row r="2959">
          <cell r="A2959" t="str">
            <v>ORIENT TRADELINK LTD</v>
          </cell>
          <cell r="B2959">
            <v>531512</v>
          </cell>
          <cell r="C2959" t="str">
            <v>Not Listed</v>
          </cell>
        </row>
        <row r="2960">
          <cell r="A2960" t="str">
            <v>ORIENTAL AROMATICS LTD</v>
          </cell>
          <cell r="B2960">
            <v>500078</v>
          </cell>
          <cell r="C2960" t="str">
            <v>Not Listed</v>
          </cell>
        </row>
        <row r="2961">
          <cell r="A2961" t="str">
            <v>ORIENTAL BANK OF COMMERCE</v>
          </cell>
          <cell r="B2961">
            <v>500315</v>
          </cell>
          <cell r="C2961" t="str">
            <v>ORIENTBANK</v>
          </cell>
        </row>
        <row r="2962">
          <cell r="A2962" t="str">
            <v>ORIENTAL CARBON &amp; CHEMICALS LTD</v>
          </cell>
          <cell r="B2962">
            <v>506579</v>
          </cell>
          <cell r="C2962" t="str">
            <v>OCCL</v>
          </cell>
        </row>
        <row r="2963">
          <cell r="A2963" t="str">
            <v>ORIENTAL HOTELS LTD</v>
          </cell>
          <cell r="B2963">
            <v>500314</v>
          </cell>
          <cell r="C2963" t="str">
            <v>ORIENTHOT</v>
          </cell>
        </row>
        <row r="2964">
          <cell r="A2964" t="str">
            <v>ORIENTAL TRIMEX LTD</v>
          </cell>
          <cell r="B2964">
            <v>532817</v>
          </cell>
          <cell r="C2964" t="str">
            <v>ORIENTALTL</v>
          </cell>
        </row>
        <row r="2965">
          <cell r="A2965" t="str">
            <v>ORIENTAL VENEER PRODUCTS LTD</v>
          </cell>
          <cell r="B2965">
            <v>531859</v>
          </cell>
          <cell r="C2965" t="str">
            <v>Not Listed</v>
          </cell>
        </row>
        <row r="2966">
          <cell r="A2966" t="str">
            <v>ORISSA BENGAL CARRIER LTD</v>
          </cell>
          <cell r="B2966">
            <v>541206</v>
          </cell>
          <cell r="C2966" t="str">
            <v>Not Listed</v>
          </cell>
        </row>
        <row r="2967">
          <cell r="A2967" t="str">
            <v>OROSIL SMITHS (INDIA) LTD</v>
          </cell>
          <cell r="B2967">
            <v>531626</v>
          </cell>
          <cell r="C2967" t="str">
            <v>Not Listed</v>
          </cell>
        </row>
        <row r="2968">
          <cell r="A2968" t="str">
            <v>OROSIL SMITHS INDIA LTD</v>
          </cell>
          <cell r="B2968">
            <v>531626</v>
          </cell>
          <cell r="C2968" t="str">
            <v>Not Listed</v>
          </cell>
        </row>
        <row r="2969">
          <cell r="A2969" t="str">
            <v>ORTEL COMMUNICATIONS LTD</v>
          </cell>
          <cell r="B2969">
            <v>539015</v>
          </cell>
          <cell r="C2969" t="str">
            <v>ORTEL</v>
          </cell>
        </row>
        <row r="2970">
          <cell r="A2970" t="str">
            <v>ORTIN LABORATORIES LTD</v>
          </cell>
          <cell r="B2970">
            <v>539287</v>
          </cell>
          <cell r="C2970" t="str">
            <v>ORTINLABSS</v>
          </cell>
        </row>
        <row r="2971">
          <cell r="A2971" t="str">
            <v>OSCAR GLOBAL LTD</v>
          </cell>
          <cell r="B2971">
            <v>530173</v>
          </cell>
          <cell r="C2971" t="str">
            <v>Not Listed</v>
          </cell>
        </row>
        <row r="2972">
          <cell r="A2972" t="str">
            <v>OSCAR INVESTMENTS LTD</v>
          </cell>
          <cell r="B2972">
            <v>501179</v>
          </cell>
          <cell r="C2972" t="str">
            <v>Not Listed</v>
          </cell>
        </row>
        <row r="2973">
          <cell r="A2973" t="str">
            <v>OSEASPRE CONSULTANTS LTD</v>
          </cell>
          <cell r="B2973">
            <v>509782</v>
          </cell>
          <cell r="C2973" t="str">
            <v>Not Listed</v>
          </cell>
        </row>
        <row r="2974">
          <cell r="A2974" t="str">
            <v>OSIAJEE TEXFAB LTD</v>
          </cell>
          <cell r="B2974">
            <v>540198</v>
          </cell>
          <cell r="C2974" t="str">
            <v>Not Listed</v>
          </cell>
        </row>
        <row r="2975">
          <cell r="A2975" t="str">
            <v>OSWAL AGRO MILLS LTD</v>
          </cell>
          <cell r="B2975">
            <v>500317</v>
          </cell>
          <cell r="C2975" t="str">
            <v>OSWALAGRO</v>
          </cell>
        </row>
        <row r="2976">
          <cell r="A2976" t="str">
            <v>OSWAL CHEMICALS &amp; FERTILIZERS LTD</v>
          </cell>
          <cell r="B2976">
            <v>539290</v>
          </cell>
          <cell r="C2976" t="str">
            <v>BINDALAGRO</v>
          </cell>
        </row>
        <row r="2977">
          <cell r="A2977" t="str">
            <v>OSWAL LEASING LTD</v>
          </cell>
          <cell r="B2977">
            <v>509099</v>
          </cell>
          <cell r="C2977" t="str">
            <v>Not Listed</v>
          </cell>
        </row>
        <row r="2978">
          <cell r="A2978" t="str">
            <v>OSWAL OVERSEAS LTD</v>
          </cell>
          <cell r="B2978">
            <v>531065</v>
          </cell>
          <cell r="C2978" t="str">
            <v>Not Listed</v>
          </cell>
        </row>
        <row r="2979">
          <cell r="A2979" t="str">
            <v>OSWAL YARNS LTD</v>
          </cell>
          <cell r="B2979">
            <v>514460</v>
          </cell>
          <cell r="C2979" t="str">
            <v>Not Listed</v>
          </cell>
        </row>
        <row r="2980">
          <cell r="A2980" t="str">
            <v>OTCO INTERNATIONAL LTD</v>
          </cell>
          <cell r="B2980">
            <v>523151</v>
          </cell>
          <cell r="C2980" t="str">
            <v>Not Listed</v>
          </cell>
        </row>
        <row r="2981">
          <cell r="A2981" t="str">
            <v>OVERSEAS SYNTHETICS LTD</v>
          </cell>
          <cell r="B2981">
            <v>514330</v>
          </cell>
          <cell r="C2981" t="str">
            <v>Not Listed</v>
          </cell>
        </row>
        <row r="2982">
          <cell r="A2982" t="str">
            <v>OVOBEL FOODS LTD</v>
          </cell>
          <cell r="B2982">
            <v>530741</v>
          </cell>
          <cell r="C2982" t="str">
            <v>Not Listed</v>
          </cell>
        </row>
        <row r="2983">
          <cell r="A2983" t="str">
            <v>OZONE WORLD LTD</v>
          </cell>
          <cell r="B2983">
            <v>539291</v>
          </cell>
          <cell r="C2983" t="str">
            <v>Not Listed</v>
          </cell>
        </row>
        <row r="2984">
          <cell r="A2984" t="str">
            <v>P  B  FILMS LTD</v>
          </cell>
          <cell r="B2984">
            <v>539352</v>
          </cell>
          <cell r="C2984" t="str">
            <v>Not Listed</v>
          </cell>
        </row>
        <row r="2985">
          <cell r="A2985" t="str">
            <v>P M TELELINNKS LTD</v>
          </cell>
          <cell r="B2985">
            <v>513403</v>
          </cell>
          <cell r="C2985" t="str">
            <v>Not Listed</v>
          </cell>
        </row>
        <row r="2986">
          <cell r="A2986" t="str">
            <v>PACHELI INDUSTRIAL FINANCE LTD</v>
          </cell>
          <cell r="B2986">
            <v>523862</v>
          </cell>
          <cell r="C2986" t="str">
            <v>Not Listed</v>
          </cell>
        </row>
        <row r="2987">
          <cell r="A2987" t="str">
            <v>PACIFIC INDUSTRIES LTD</v>
          </cell>
          <cell r="B2987">
            <v>523483</v>
          </cell>
          <cell r="C2987" t="str">
            <v>Not Listed</v>
          </cell>
        </row>
        <row r="2988">
          <cell r="A2988" t="str">
            <v>PACT INDUSTRIES LTD</v>
          </cell>
          <cell r="B2988">
            <v>538963</v>
          </cell>
          <cell r="C2988" t="str">
            <v>Not Listed</v>
          </cell>
        </row>
        <row r="2989">
          <cell r="A2989" t="str">
            <v>PADAM COTTON YARNS LTD</v>
          </cell>
          <cell r="B2989">
            <v>531395</v>
          </cell>
          <cell r="C2989" t="str">
            <v>Not Listed</v>
          </cell>
        </row>
        <row r="2990">
          <cell r="A2990" t="str">
            <v>PADMALAYA TELEFILMS LTD</v>
          </cell>
          <cell r="B2990">
            <v>532350</v>
          </cell>
          <cell r="C2990" t="str">
            <v>Not Listed</v>
          </cell>
        </row>
        <row r="2991">
          <cell r="A2991" t="str">
            <v>PADMANABH INDUSTRIES LTD</v>
          </cell>
          <cell r="B2991">
            <v>526905</v>
          </cell>
          <cell r="C2991" t="str">
            <v>Not Listed</v>
          </cell>
        </row>
        <row r="2992">
          <cell r="A2992" t="str">
            <v>PAE LTD</v>
          </cell>
          <cell r="B2992">
            <v>517230</v>
          </cell>
          <cell r="C2992" t="str">
            <v>PAEL</v>
          </cell>
        </row>
        <row r="2993">
          <cell r="A2993" t="str">
            <v>PAGE INDUSTRIES LTD</v>
          </cell>
          <cell r="B2993">
            <v>532827</v>
          </cell>
          <cell r="C2993" t="str">
            <v>PAGEIND</v>
          </cell>
        </row>
        <row r="2994">
          <cell r="A2994" t="str">
            <v>PAISALO DIGITAL LTD</v>
          </cell>
          <cell r="B2994">
            <v>532900</v>
          </cell>
          <cell r="C2994" t="str">
            <v>PAISALO</v>
          </cell>
        </row>
        <row r="2995">
          <cell r="A2995" t="str">
            <v>PALASH SECURITIES LTD</v>
          </cell>
          <cell r="B2995">
            <v>540648</v>
          </cell>
          <cell r="C2995" t="str">
            <v>PALASHSECU</v>
          </cell>
        </row>
        <row r="2996">
          <cell r="A2996" t="str">
            <v>PALCO METALS LTD</v>
          </cell>
          <cell r="B2996">
            <v>539121</v>
          </cell>
          <cell r="C2996" t="str">
            <v>Not Listed</v>
          </cell>
        </row>
        <row r="2997">
          <cell r="A2997" t="str">
            <v>PALM JEWELS LTD</v>
          </cell>
          <cell r="B2997">
            <v>541444</v>
          </cell>
          <cell r="C2997" t="str">
            <v>Not Listed</v>
          </cell>
        </row>
        <row r="2998">
          <cell r="A2998" t="str">
            <v>PALRED TECHNOLOGIES LTD</v>
          </cell>
          <cell r="B2998">
            <v>532521</v>
          </cell>
          <cell r="C2998" t="str">
            <v>PALREDTEC</v>
          </cell>
        </row>
        <row r="2999">
          <cell r="A2999" t="str">
            <v>PALSOFT INFOSYSTEMS LTD</v>
          </cell>
          <cell r="B2999">
            <v>511597</v>
          </cell>
          <cell r="C2999" t="str">
            <v>Not Listed</v>
          </cell>
        </row>
        <row r="3000">
          <cell r="A3000" t="str">
            <v>PAN ELECTRONICS (INDIA) LTD</v>
          </cell>
          <cell r="B3000">
            <v>517397</v>
          </cell>
          <cell r="C3000" t="str">
            <v>Not Listed</v>
          </cell>
        </row>
        <row r="3001">
          <cell r="A3001" t="str">
            <v>PAN ELECTRONICS INDIA LTD</v>
          </cell>
          <cell r="B3001">
            <v>517397</v>
          </cell>
          <cell r="C3001" t="str">
            <v>Not Listed</v>
          </cell>
        </row>
        <row r="3002">
          <cell r="A3002" t="str">
            <v>PAN INDIA CORPORATION LTD</v>
          </cell>
          <cell r="B3002">
            <v>511525</v>
          </cell>
          <cell r="C3002" t="str">
            <v>Not Listed</v>
          </cell>
        </row>
        <row r="3003">
          <cell r="A3003" t="str">
            <v>PANACEA BIOTEC LTD</v>
          </cell>
          <cell r="B3003">
            <v>531349</v>
          </cell>
          <cell r="C3003" t="str">
            <v>PANACEABIO</v>
          </cell>
        </row>
        <row r="3004">
          <cell r="A3004" t="str">
            <v>PANACHE DIGILIFE LTD</v>
          </cell>
          <cell r="B3004" t="str">
            <v>Not Listed</v>
          </cell>
          <cell r="C3004" t="str">
            <v>PANACHE</v>
          </cell>
        </row>
        <row r="3005">
          <cell r="A3005" t="str">
            <v>PANACHE INNOVATIONS LTD</v>
          </cell>
          <cell r="B3005">
            <v>538742</v>
          </cell>
          <cell r="C3005" t="str">
            <v>Not Listed</v>
          </cell>
        </row>
        <row r="3006">
          <cell r="A3006" t="str">
            <v>PANAFIC INDUSTRIALS LTD</v>
          </cell>
          <cell r="B3006">
            <v>538860</v>
          </cell>
          <cell r="C3006" t="str">
            <v>Not Listed</v>
          </cell>
        </row>
        <row r="3007">
          <cell r="A3007" t="str">
            <v>PANAMA PETROCHEM LTD</v>
          </cell>
          <cell r="B3007">
            <v>524820</v>
          </cell>
          <cell r="C3007" t="str">
            <v>PANAMAPET</v>
          </cell>
        </row>
        <row r="3008">
          <cell r="A3008" t="str">
            <v>PANASONIC CARBON INDIA CO LTD</v>
          </cell>
          <cell r="B3008">
            <v>508941</v>
          </cell>
          <cell r="C3008" t="str">
            <v>Not Listed</v>
          </cell>
        </row>
        <row r="3009">
          <cell r="A3009" t="str">
            <v>PANASONIC ENERGY INDIA COMPANY LTD</v>
          </cell>
          <cell r="B3009">
            <v>504093</v>
          </cell>
          <cell r="C3009" t="str">
            <v>Not Listed</v>
          </cell>
        </row>
        <row r="3010">
          <cell r="A3010" t="str">
            <v>PANCHMAHAL STEEL LTD</v>
          </cell>
          <cell r="B3010">
            <v>513511</v>
          </cell>
          <cell r="C3010" t="str">
            <v>Not Listed</v>
          </cell>
        </row>
        <row r="3011">
          <cell r="A3011" t="str">
            <v>PANCHSHEEL ORGANICS LTD</v>
          </cell>
          <cell r="B3011">
            <v>531726</v>
          </cell>
          <cell r="C3011" t="str">
            <v>Not Listed</v>
          </cell>
        </row>
        <row r="3012">
          <cell r="A3012" t="str">
            <v>PANKAJ PIYUSH TRADE &amp; INVESTMENT LTD</v>
          </cell>
          <cell r="B3012">
            <v>506122</v>
          </cell>
          <cell r="C3012" t="str">
            <v>Not Listed</v>
          </cell>
        </row>
        <row r="3013">
          <cell r="A3013" t="str">
            <v>PANKAJ POLYMERS LTD</v>
          </cell>
          <cell r="B3013">
            <v>531280</v>
          </cell>
          <cell r="C3013" t="str">
            <v>Not Listed</v>
          </cell>
        </row>
        <row r="3014">
          <cell r="A3014" t="str">
            <v>PANKAJ POLYPACK LTD</v>
          </cell>
          <cell r="B3014">
            <v>534796</v>
          </cell>
          <cell r="C3014" t="str">
            <v>Not Listed</v>
          </cell>
        </row>
        <row r="3015">
          <cell r="A3015" t="str">
            <v>PANSARI DEVELOPERS LTD</v>
          </cell>
          <cell r="B3015" t="str">
            <v>Not Listed</v>
          </cell>
          <cell r="C3015" t="str">
            <v>PANSARI</v>
          </cell>
        </row>
        <row r="3016">
          <cell r="A3016" t="str">
            <v>PANTH INFINITY LTD</v>
          </cell>
          <cell r="B3016">
            <v>539143</v>
          </cell>
          <cell r="C3016" t="str">
            <v>Not Listed</v>
          </cell>
        </row>
        <row r="3017">
          <cell r="A3017" t="str">
            <v>PANYAM CEMENTS &amp; MINERAL INDUSTRIES LTD</v>
          </cell>
          <cell r="B3017">
            <v>500322</v>
          </cell>
          <cell r="C3017" t="str">
            <v>Not Listed</v>
          </cell>
        </row>
        <row r="3018">
          <cell r="A3018" t="str">
            <v>Parab Infra Ltd</v>
          </cell>
          <cell r="B3018">
            <v>513359</v>
          </cell>
          <cell r="C3018" t="str">
            <v>PARINFRA</v>
          </cell>
        </row>
        <row r="3019">
          <cell r="A3019" t="str">
            <v>PARABOLIC DRUGS LTD</v>
          </cell>
          <cell r="B3019">
            <v>533211</v>
          </cell>
          <cell r="C3019" t="str">
            <v>PARABDRUGS</v>
          </cell>
        </row>
        <row r="3020">
          <cell r="A3020" t="str">
            <v>PARAG MILK FOODS LTD</v>
          </cell>
          <cell r="B3020">
            <v>539889</v>
          </cell>
          <cell r="C3020" t="str">
            <v>PARAGMILK</v>
          </cell>
        </row>
        <row r="3021">
          <cell r="A3021" t="str">
            <v>PARAGON FINANCE LTD</v>
          </cell>
          <cell r="B3021">
            <v>531255</v>
          </cell>
          <cell r="C3021" t="str">
            <v>Not Listed</v>
          </cell>
        </row>
        <row r="3022">
          <cell r="A3022" t="str">
            <v>PARAMOUNT COMMUNICATIONS LTD</v>
          </cell>
          <cell r="B3022">
            <v>530555</v>
          </cell>
          <cell r="C3022" t="str">
            <v>PARACABLES</v>
          </cell>
        </row>
        <row r="3023">
          <cell r="A3023" t="str">
            <v>PARAMOUNT COSMETICS (INDIA) LTD</v>
          </cell>
          <cell r="B3023">
            <v>507970</v>
          </cell>
          <cell r="C3023" t="str">
            <v>Not Listed</v>
          </cell>
        </row>
        <row r="3024">
          <cell r="A3024" t="str">
            <v>PARAMOUNT COSMETICS INDIA LTD</v>
          </cell>
          <cell r="B3024">
            <v>507970</v>
          </cell>
          <cell r="C3024" t="str">
            <v>Not Listed</v>
          </cell>
        </row>
        <row r="3025">
          <cell r="A3025" t="str">
            <v>PARENTERAL DRUGS (INDIA) LTD</v>
          </cell>
          <cell r="B3025">
            <v>524689</v>
          </cell>
          <cell r="C3025" t="str">
            <v>PDPL</v>
          </cell>
        </row>
        <row r="3026">
          <cell r="A3026" t="str">
            <v>PARENTERAL DRUGS INDIA LTD</v>
          </cell>
          <cell r="B3026">
            <v>524689</v>
          </cell>
          <cell r="C3026" t="str">
            <v>PDPL</v>
          </cell>
        </row>
        <row r="3027">
          <cell r="A3027" t="str">
            <v>PARIKSHA FIN- INVEST- LEASE LTD</v>
          </cell>
          <cell r="B3027">
            <v>539481</v>
          </cell>
          <cell r="C3027" t="str">
            <v>Not Listed</v>
          </cell>
        </row>
        <row r="3028">
          <cell r="A3028" t="str">
            <v>PARIN FURNITURE LTD</v>
          </cell>
          <cell r="B3028" t="str">
            <v>Not Listed</v>
          </cell>
          <cell r="C3028" t="str">
            <v>PARIN</v>
          </cell>
        </row>
        <row r="3029">
          <cell r="A3029" t="str">
            <v>PARKER AGROCHEM EXPORTS LTD</v>
          </cell>
          <cell r="B3029">
            <v>524628</v>
          </cell>
          <cell r="C3029" t="str">
            <v>Not Listed</v>
          </cell>
        </row>
        <row r="3030">
          <cell r="A3030" t="str">
            <v>PARLE SOFTWARE LTD</v>
          </cell>
          <cell r="B3030">
            <v>532911</v>
          </cell>
          <cell r="C3030" t="str">
            <v>Not Listed</v>
          </cell>
        </row>
        <row r="3031">
          <cell r="A3031" t="str">
            <v>PARMAX PHARMA LTD</v>
          </cell>
          <cell r="B3031">
            <v>540359</v>
          </cell>
          <cell r="C3031" t="str">
            <v>Not Listed</v>
          </cell>
        </row>
        <row r="3032">
          <cell r="A3032" t="str">
            <v>PARMESHWARI SILK MILLS LTD</v>
          </cell>
          <cell r="B3032">
            <v>540467</v>
          </cell>
          <cell r="C3032" t="str">
            <v>Not Listed</v>
          </cell>
        </row>
        <row r="3033">
          <cell r="A3033" t="str">
            <v>PARNAV SPORTS ACADEMY LTD</v>
          </cell>
          <cell r="B3033">
            <v>780017</v>
          </cell>
          <cell r="C3033" t="str">
            <v>Not Listed</v>
          </cell>
        </row>
        <row r="3034">
          <cell r="A3034" t="str">
            <v>PARNAX LAB LTD</v>
          </cell>
          <cell r="B3034">
            <v>506128</v>
          </cell>
          <cell r="C3034" t="str">
            <v>Not Listed</v>
          </cell>
        </row>
        <row r="3035">
          <cell r="A3035" t="str">
            <v>PARSHARTI INVESTMENT LTD</v>
          </cell>
          <cell r="B3035">
            <v>511702</v>
          </cell>
          <cell r="C3035" t="str">
            <v>Not Listed</v>
          </cell>
        </row>
        <row r="3036">
          <cell r="A3036" t="str">
            <v>PARSHWANATH CORPORATION LTD</v>
          </cell>
          <cell r="B3036">
            <v>511176</v>
          </cell>
          <cell r="C3036" t="str">
            <v>Not Listed</v>
          </cell>
        </row>
        <row r="3037">
          <cell r="A3037" t="str">
            <v>PARSVNATH DEVELOPERS LTD</v>
          </cell>
          <cell r="B3037">
            <v>532780</v>
          </cell>
          <cell r="C3037" t="str">
            <v>PARSVNATH</v>
          </cell>
        </row>
        <row r="3038">
          <cell r="A3038" t="str">
            <v>PARTH INDUSTRIES LTD</v>
          </cell>
          <cell r="B3038">
            <v>526349</v>
          </cell>
          <cell r="C3038" t="str">
            <v>Not Listed</v>
          </cell>
        </row>
        <row r="3039">
          <cell r="A3039" t="str">
            <v>PARVATI SWEETNERS AND POWER LTD</v>
          </cell>
          <cell r="B3039">
            <v>541347</v>
          </cell>
          <cell r="C3039" t="str">
            <v>Not Listed</v>
          </cell>
        </row>
        <row r="3040">
          <cell r="A3040" t="str">
            <v>PASARI SPINNING MILLS LTD</v>
          </cell>
          <cell r="B3040">
            <v>521080</v>
          </cell>
          <cell r="C3040" t="str">
            <v>Not Listed</v>
          </cell>
        </row>
        <row r="3041">
          <cell r="A3041" t="str">
            <v>PASHUPATI COTSPIN LTD</v>
          </cell>
          <cell r="B3041" t="str">
            <v>Not Listed</v>
          </cell>
          <cell r="C3041" t="str">
            <v>PASHUPATI</v>
          </cell>
        </row>
        <row r="3042">
          <cell r="A3042" t="str">
            <v>PASUPATI ACRYLON LTD</v>
          </cell>
          <cell r="B3042">
            <v>500456</v>
          </cell>
          <cell r="C3042" t="str">
            <v>Not Listed</v>
          </cell>
        </row>
        <row r="3043">
          <cell r="A3043" t="str">
            <v>PASUPATI FINCAP LTD</v>
          </cell>
          <cell r="B3043">
            <v>511734</v>
          </cell>
          <cell r="C3043" t="str">
            <v>Not Listed</v>
          </cell>
        </row>
        <row r="3044">
          <cell r="A3044" t="str">
            <v>PASUPATI SPG &amp; WVG MILLS LTD</v>
          </cell>
          <cell r="B3044">
            <v>503092</v>
          </cell>
          <cell r="C3044" t="str">
            <v>Not Listed</v>
          </cell>
        </row>
        <row r="3045">
          <cell r="A3045" t="str">
            <v>PATDIAM JEWELLERY LTD</v>
          </cell>
          <cell r="B3045">
            <v>539401</v>
          </cell>
          <cell r="C3045" t="str">
            <v>Not Listed</v>
          </cell>
        </row>
        <row r="3046">
          <cell r="A3046" t="str">
            <v>PATEL ENGINEERING LTD</v>
          </cell>
          <cell r="B3046">
            <v>531120</v>
          </cell>
          <cell r="C3046" t="str">
            <v>PATELENG</v>
          </cell>
        </row>
        <row r="3047">
          <cell r="A3047" t="str">
            <v>PATEL INTEGRATED LOGISTICS LTD</v>
          </cell>
          <cell r="B3047">
            <v>526381</v>
          </cell>
          <cell r="C3047" t="str">
            <v>PATINTLOG</v>
          </cell>
        </row>
        <row r="3048">
          <cell r="A3048" t="str">
            <v>PATELS AIRTEMP (INDIA) LTD</v>
          </cell>
          <cell r="B3048">
            <v>517417</v>
          </cell>
          <cell r="C3048" t="str">
            <v>Not Listed</v>
          </cell>
        </row>
        <row r="3049">
          <cell r="A3049" t="str">
            <v>PATELS AIRTEMP INDIA LTD</v>
          </cell>
          <cell r="B3049">
            <v>517417</v>
          </cell>
          <cell r="C3049" t="str">
            <v>Not Listed</v>
          </cell>
        </row>
        <row r="3050">
          <cell r="A3050" t="str">
            <v>PATIDAR BUILDCON LTD</v>
          </cell>
          <cell r="B3050">
            <v>524031</v>
          </cell>
          <cell r="C3050" t="str">
            <v>Not Listed</v>
          </cell>
        </row>
        <row r="3051">
          <cell r="A3051" t="str">
            <v>PATSPIN (INDIA) LTD</v>
          </cell>
          <cell r="B3051">
            <v>514326</v>
          </cell>
          <cell r="C3051" t="str">
            <v>PATSPINLTD</v>
          </cell>
        </row>
        <row r="3052">
          <cell r="A3052" t="str">
            <v>PATSPIN INDIA LTD</v>
          </cell>
          <cell r="B3052">
            <v>514326</v>
          </cell>
          <cell r="C3052" t="str">
            <v>PATSPINLTD</v>
          </cell>
        </row>
        <row r="3053">
          <cell r="A3053" t="str">
            <v>PAUL MERCHANTS LTD</v>
          </cell>
          <cell r="B3053">
            <v>539113</v>
          </cell>
          <cell r="C3053" t="str">
            <v>Not Listed</v>
          </cell>
        </row>
        <row r="3054">
          <cell r="A3054" t="str">
            <v>PAUSHAK LTD</v>
          </cell>
          <cell r="B3054">
            <v>532742</v>
          </cell>
          <cell r="C3054" t="str">
            <v>Not Listed</v>
          </cell>
        </row>
        <row r="3055">
          <cell r="A3055" t="str">
            <v>PAWANSUT HOLDINGS LTD</v>
          </cell>
          <cell r="B3055">
            <v>535658</v>
          </cell>
          <cell r="C3055" t="str">
            <v>Not Listed</v>
          </cell>
        </row>
        <row r="3056">
          <cell r="A3056" t="str">
            <v>PBA INFRASTRUCTURE LTD</v>
          </cell>
          <cell r="B3056">
            <v>532676</v>
          </cell>
          <cell r="C3056" t="str">
            <v>PBAINFRA</v>
          </cell>
        </row>
        <row r="3057">
          <cell r="A3057" t="str">
            <v>PBM POLYTEX LTD</v>
          </cell>
          <cell r="B3057">
            <v>514087</v>
          </cell>
          <cell r="C3057" t="str">
            <v>Not Listed</v>
          </cell>
        </row>
        <row r="3058">
          <cell r="A3058" t="str">
            <v>PC JEWELLER LTD</v>
          </cell>
          <cell r="B3058">
            <v>534809</v>
          </cell>
          <cell r="C3058" t="str">
            <v>PCJEWELLER</v>
          </cell>
        </row>
        <row r="3059">
          <cell r="A3059" t="str">
            <v>PCS TECHNOLOGY LTD</v>
          </cell>
          <cell r="B3059">
            <v>517119</v>
          </cell>
          <cell r="C3059" t="str">
            <v>Not Listed</v>
          </cell>
        </row>
        <row r="3060">
          <cell r="A3060" t="str">
            <v>PDS MULTINATIONAL FASHIONS LTD</v>
          </cell>
          <cell r="B3060">
            <v>538730</v>
          </cell>
          <cell r="C3060" t="str">
            <v>PDSMFL</v>
          </cell>
        </row>
        <row r="3061">
          <cell r="A3061" t="str">
            <v>PEARL GLOBAL INDUSTRIES LTD</v>
          </cell>
          <cell r="B3061">
            <v>532808</v>
          </cell>
          <cell r="C3061" t="str">
            <v>PGIL</v>
          </cell>
        </row>
        <row r="3062">
          <cell r="A3062" t="str">
            <v>PEARL POLYMERS LTD</v>
          </cell>
          <cell r="B3062">
            <v>523260</v>
          </cell>
          <cell r="C3062" t="str">
            <v>PEARLPOLY</v>
          </cell>
        </row>
        <row r="3063">
          <cell r="A3063" t="str">
            <v>PECOS HOTELS AND PUBS LTD</v>
          </cell>
          <cell r="B3063">
            <v>539273</v>
          </cell>
          <cell r="C3063" t="str">
            <v>Not Listed</v>
          </cell>
        </row>
        <row r="3064">
          <cell r="A3064" t="str">
            <v>PEE CEE COSMA SOPE LTD</v>
          </cell>
          <cell r="B3064">
            <v>524136</v>
          </cell>
          <cell r="C3064" t="str">
            <v>Not Listed</v>
          </cell>
        </row>
        <row r="3065">
          <cell r="A3065" t="str">
            <v>PEETI SECURITIES LTD</v>
          </cell>
          <cell r="B3065">
            <v>531352</v>
          </cell>
          <cell r="C3065" t="str">
            <v>Not Listed</v>
          </cell>
        </row>
        <row r="3066">
          <cell r="A3066" t="str">
            <v>PENINSULA LAND LTD</v>
          </cell>
          <cell r="B3066">
            <v>503031</v>
          </cell>
          <cell r="C3066" t="str">
            <v>PENINLAND</v>
          </cell>
        </row>
        <row r="3067">
          <cell r="A3067" t="str">
            <v>PENNAR ENGINEERED BUILDING SYSTEMS LTD</v>
          </cell>
          <cell r="B3067">
            <v>539333</v>
          </cell>
          <cell r="C3067" t="str">
            <v>PENPEBS</v>
          </cell>
        </row>
        <row r="3068">
          <cell r="A3068" t="str">
            <v>PENNAR INDUSTRIES LTD</v>
          </cell>
          <cell r="B3068">
            <v>513228</v>
          </cell>
          <cell r="C3068" t="str">
            <v>PENIND</v>
          </cell>
        </row>
        <row r="3069">
          <cell r="A3069" t="str">
            <v>PENTA GOLD LTD</v>
          </cell>
          <cell r="B3069" t="str">
            <v>Not Listed</v>
          </cell>
          <cell r="C3069" t="str">
            <v>PENTAGOLD</v>
          </cell>
        </row>
        <row r="3070">
          <cell r="A3070" t="str">
            <v>PENTAMEDIA GRAPHICS LTD</v>
          </cell>
          <cell r="B3070">
            <v>500329</v>
          </cell>
          <cell r="C3070" t="str">
            <v>Not Listed</v>
          </cell>
        </row>
        <row r="3071">
          <cell r="A3071" t="str">
            <v>PENTOKEY ORGANY (INDIA) LTD</v>
          </cell>
          <cell r="B3071">
            <v>524210</v>
          </cell>
          <cell r="C3071" t="str">
            <v>Not Listed</v>
          </cell>
        </row>
        <row r="3072">
          <cell r="A3072" t="str">
            <v>PENTOKEY ORGANY INDIA LTD</v>
          </cell>
          <cell r="B3072">
            <v>524210</v>
          </cell>
          <cell r="C3072" t="str">
            <v>Not Listed</v>
          </cell>
        </row>
        <row r="3073">
          <cell r="A3073" t="str">
            <v>PEOPLES INVESTMENTS LTD</v>
          </cell>
          <cell r="B3073">
            <v>501144</v>
          </cell>
          <cell r="C3073" t="str">
            <v>Not Listed</v>
          </cell>
        </row>
        <row r="3074">
          <cell r="A3074" t="str">
            <v>PERFECT INFRAENGINEERS LTD</v>
          </cell>
          <cell r="B3074" t="str">
            <v>Not Listed</v>
          </cell>
          <cell r="C3074" t="str">
            <v>PERFECT</v>
          </cell>
        </row>
        <row r="3075">
          <cell r="A3075" t="str">
            <v>PERFECT-OCTAVE MEDIA PROJECTS LTD</v>
          </cell>
          <cell r="B3075">
            <v>521062</v>
          </cell>
          <cell r="C3075" t="str">
            <v>Not Listed</v>
          </cell>
        </row>
        <row r="3076">
          <cell r="A3076" t="str">
            <v>PERFECTPAC LTD</v>
          </cell>
          <cell r="B3076">
            <v>526435</v>
          </cell>
          <cell r="C3076" t="str">
            <v>Not Listed</v>
          </cell>
        </row>
        <row r="3077">
          <cell r="A3077" t="str">
            <v>PERMANENT MAGNETS LTD</v>
          </cell>
          <cell r="B3077">
            <v>504132</v>
          </cell>
          <cell r="C3077" t="str">
            <v>Not Listed</v>
          </cell>
        </row>
        <row r="3078">
          <cell r="A3078" t="str">
            <v>PERSISTENT SYSTEMS LTD</v>
          </cell>
          <cell r="B3078">
            <v>533179</v>
          </cell>
          <cell r="C3078" t="str">
            <v>PERSISTENT</v>
          </cell>
        </row>
        <row r="3079">
          <cell r="A3079" t="str">
            <v>PERVASIVE COMMODITIES LTD</v>
          </cell>
          <cell r="B3079">
            <v>517172</v>
          </cell>
          <cell r="C3079" t="str">
            <v>Not Listed</v>
          </cell>
        </row>
        <row r="3080">
          <cell r="A3080" t="str">
            <v>PETRON ENGINEERING CONSTRUCTION LTD</v>
          </cell>
          <cell r="B3080">
            <v>530381</v>
          </cell>
          <cell r="C3080" t="str">
            <v>PETRONENGG</v>
          </cell>
        </row>
        <row r="3081">
          <cell r="A3081" t="str">
            <v>PETRONET LNG LTD</v>
          </cell>
          <cell r="B3081">
            <v>532522</v>
          </cell>
          <cell r="C3081" t="str">
            <v>PETRONET</v>
          </cell>
        </row>
        <row r="3082">
          <cell r="A3082" t="str">
            <v>PFIZER LTD</v>
          </cell>
          <cell r="B3082">
            <v>500680</v>
          </cell>
          <cell r="C3082" t="str">
            <v>PFIZER</v>
          </cell>
        </row>
        <row r="3083">
          <cell r="A3083" t="str">
            <v>PFL INFOTECH LTD</v>
          </cell>
          <cell r="B3083">
            <v>531769</v>
          </cell>
          <cell r="C3083" t="str">
            <v>Not Listed</v>
          </cell>
        </row>
        <row r="3084">
          <cell r="A3084" t="str">
            <v>PG ELECTROPLAST LTD</v>
          </cell>
          <cell r="B3084">
            <v>533581</v>
          </cell>
          <cell r="C3084" t="str">
            <v>PGEL</v>
          </cell>
        </row>
        <row r="3085">
          <cell r="A3085" t="str">
            <v>PG FOILS LTD</v>
          </cell>
          <cell r="B3085">
            <v>526747</v>
          </cell>
          <cell r="C3085" t="str">
            <v>Not Listed</v>
          </cell>
        </row>
        <row r="3086">
          <cell r="A3086" t="str">
            <v>PG INDUSTRY LTD</v>
          </cell>
          <cell r="B3086">
            <v>531281</v>
          </cell>
          <cell r="C3086" t="str">
            <v>Not Listed</v>
          </cell>
        </row>
        <row r="3087">
          <cell r="A3087" t="str">
            <v>PH CAPITAL LTD</v>
          </cell>
          <cell r="B3087">
            <v>500143</v>
          </cell>
          <cell r="C3087" t="str">
            <v>Not Listed</v>
          </cell>
        </row>
        <row r="3088">
          <cell r="A3088" t="str">
            <v>PH TRADING LTD</v>
          </cell>
          <cell r="B3088">
            <v>512026</v>
          </cell>
          <cell r="C3088" t="str">
            <v>Not Listed</v>
          </cell>
        </row>
        <row r="3089">
          <cell r="A3089" t="str">
            <v>PHAARMASIA LTD</v>
          </cell>
          <cell r="B3089">
            <v>523620</v>
          </cell>
          <cell r="C3089" t="str">
            <v>Not Listed</v>
          </cell>
        </row>
        <row r="3090">
          <cell r="A3090" t="str">
            <v>PHILLIPS CARBON BLACK LTD</v>
          </cell>
          <cell r="B3090">
            <v>506590</v>
          </cell>
          <cell r="C3090" t="str">
            <v>PHILIPCARB</v>
          </cell>
        </row>
        <row r="3091">
          <cell r="A3091" t="str">
            <v>PHOENIX INTERNATIONAL LTD</v>
          </cell>
          <cell r="B3091">
            <v>526481</v>
          </cell>
          <cell r="C3091" t="str">
            <v>Not Listed</v>
          </cell>
        </row>
        <row r="3092">
          <cell r="A3092" t="str">
            <v>PHOENIX TOWNSHIP LTD</v>
          </cell>
          <cell r="B3092">
            <v>537839</v>
          </cell>
          <cell r="C3092" t="str">
            <v>Not Listed</v>
          </cell>
        </row>
        <row r="3093">
          <cell r="A3093" t="str">
            <v>PHOTON CAPITAL ADVISORS LTD</v>
          </cell>
          <cell r="B3093">
            <v>509084</v>
          </cell>
          <cell r="C3093" t="str">
            <v>Not Listed</v>
          </cell>
        </row>
        <row r="3094">
          <cell r="A3094" t="str">
            <v>PHOTOQUIP (INDIA) LTD</v>
          </cell>
          <cell r="B3094">
            <v>526588</v>
          </cell>
          <cell r="C3094" t="str">
            <v>Not Listed</v>
          </cell>
        </row>
        <row r="3095">
          <cell r="A3095" t="str">
            <v>PHOTOQUIP INDIA LTD</v>
          </cell>
          <cell r="B3095">
            <v>526588</v>
          </cell>
          <cell r="C3095" t="str">
            <v>Not Listed</v>
          </cell>
        </row>
        <row r="3096">
          <cell r="A3096" t="str">
            <v>PHYTO CHEM (INDIA) LTD</v>
          </cell>
          <cell r="B3096">
            <v>524808</v>
          </cell>
          <cell r="C3096" t="str">
            <v>Not Listed</v>
          </cell>
        </row>
        <row r="3097">
          <cell r="A3097" t="str">
            <v>PHYTO CHEM INDIA LTD</v>
          </cell>
          <cell r="B3097">
            <v>524808</v>
          </cell>
          <cell r="C3097" t="str">
            <v>Not Listed</v>
          </cell>
        </row>
        <row r="3098">
          <cell r="A3098" t="str">
            <v>PI INDUSTRIES LTD</v>
          </cell>
          <cell r="B3098">
            <v>523642</v>
          </cell>
          <cell r="C3098" t="str">
            <v>PIIND</v>
          </cell>
        </row>
        <row r="3099">
          <cell r="A3099" t="str">
            <v>PICCADILY AGRO INDUSTRIES LTD</v>
          </cell>
          <cell r="B3099">
            <v>530305</v>
          </cell>
          <cell r="C3099" t="str">
            <v>Not Listed</v>
          </cell>
        </row>
        <row r="3100">
          <cell r="A3100" t="str">
            <v>PICCADILY SUGAR &amp; ALLIED INDUSTRIES LTD</v>
          </cell>
          <cell r="B3100">
            <v>507498</v>
          </cell>
          <cell r="C3100" t="str">
            <v>Not Listed</v>
          </cell>
        </row>
        <row r="3101">
          <cell r="A3101" t="str">
            <v>PICTUREHOUSE MEDIA LTD</v>
          </cell>
          <cell r="B3101">
            <v>532355</v>
          </cell>
          <cell r="C3101" t="str">
            <v>Not Listed</v>
          </cell>
        </row>
        <row r="3102">
          <cell r="A3102" t="str">
            <v>PIDILITE INDUSTRIES LTD</v>
          </cell>
          <cell r="B3102">
            <v>500331</v>
          </cell>
          <cell r="C3102" t="str">
            <v>PIDILITIND</v>
          </cell>
        </row>
        <row r="3103">
          <cell r="A3103" t="str">
            <v>PIL ITALICA LIFESTYLE LTD</v>
          </cell>
          <cell r="B3103">
            <v>500327</v>
          </cell>
          <cell r="C3103" t="str">
            <v>PILITA</v>
          </cell>
        </row>
        <row r="3104">
          <cell r="A3104" t="str">
            <v>PILANI INVESTMENT AND INDUSTRIES CORPORATION LTD</v>
          </cell>
          <cell r="B3104">
            <v>539883</v>
          </cell>
          <cell r="C3104" t="str">
            <v>PILANIINVS</v>
          </cell>
        </row>
        <row r="3105">
          <cell r="A3105" t="str">
            <v>PIONEER AGRO EXTRACTS LTD</v>
          </cell>
          <cell r="B3105">
            <v>519439</v>
          </cell>
          <cell r="C3105" t="str">
            <v>Not Listed</v>
          </cell>
        </row>
        <row r="3106">
          <cell r="A3106" t="str">
            <v>PIONEER DISTILLERIES LTD</v>
          </cell>
          <cell r="B3106">
            <v>531879</v>
          </cell>
          <cell r="C3106" t="str">
            <v>PIONDIST</v>
          </cell>
        </row>
        <row r="3107">
          <cell r="A3107" t="str">
            <v>PIONEER EMBROIDERIES LTD</v>
          </cell>
          <cell r="B3107">
            <v>514300</v>
          </cell>
          <cell r="C3107" t="str">
            <v>PIONEEREMB</v>
          </cell>
        </row>
        <row r="3108">
          <cell r="A3108" t="str">
            <v>PIONEER INVESTCORP LTD</v>
          </cell>
          <cell r="B3108">
            <v>507864</v>
          </cell>
          <cell r="C3108" t="str">
            <v>Not Listed</v>
          </cell>
        </row>
        <row r="3109">
          <cell r="A3109" t="str">
            <v>PIRAMAL ENTERPRISES LTD</v>
          </cell>
          <cell r="B3109">
            <v>500302</v>
          </cell>
          <cell r="C3109" t="str">
            <v>PEL</v>
          </cell>
        </row>
        <row r="3110">
          <cell r="A3110" t="str">
            <v>PIRAMAL PHYTOCARE LTD</v>
          </cell>
          <cell r="B3110">
            <v>532979</v>
          </cell>
          <cell r="C3110" t="str">
            <v>PIRPHYTO</v>
          </cell>
        </row>
        <row r="3111">
          <cell r="A3111" t="str">
            <v>PITHAMPUR POLY PRODUCTS LTD</v>
          </cell>
          <cell r="B3111">
            <v>530683</v>
          </cell>
          <cell r="C3111" t="str">
            <v>Not Listed</v>
          </cell>
        </row>
        <row r="3112">
          <cell r="A3112" t="str">
            <v>PITTI ENGINEERING LTD</v>
          </cell>
          <cell r="B3112">
            <v>513519</v>
          </cell>
          <cell r="C3112" t="str">
            <v>PITTIENG</v>
          </cell>
        </row>
        <row r="3113">
          <cell r="A3113" t="str">
            <v>PIX TRANSMISSIONS LTD</v>
          </cell>
          <cell r="B3113">
            <v>500333</v>
          </cell>
          <cell r="C3113" t="str">
            <v>Not Listed</v>
          </cell>
        </row>
        <row r="3114">
          <cell r="A3114" t="str">
            <v>PLANTER POLYSACKS LTD</v>
          </cell>
          <cell r="B3114">
            <v>523105</v>
          </cell>
          <cell r="C3114" t="str">
            <v>Not Listed</v>
          </cell>
        </row>
        <row r="3115">
          <cell r="A3115" t="str">
            <v>PLASTIBLENDS (INDIA) LTD</v>
          </cell>
          <cell r="B3115">
            <v>523648</v>
          </cell>
          <cell r="C3115" t="str">
            <v>PLASTIBLEN</v>
          </cell>
        </row>
        <row r="3116">
          <cell r="A3116" t="str">
            <v>PLASTIBLENDS INDIA LTD</v>
          </cell>
          <cell r="B3116">
            <v>523648</v>
          </cell>
          <cell r="C3116" t="str">
            <v>PLASTIBLEN</v>
          </cell>
        </row>
        <row r="3117">
          <cell r="A3117" t="str">
            <v>PMC FINCORP LTD</v>
          </cell>
          <cell r="B3117">
            <v>534060</v>
          </cell>
          <cell r="C3117" t="str">
            <v>Not Listed</v>
          </cell>
        </row>
        <row r="3118">
          <cell r="A3118" t="str">
            <v>PNB GILTS LTD</v>
          </cell>
          <cell r="B3118">
            <v>532366</v>
          </cell>
          <cell r="C3118" t="str">
            <v>PNBGILTS</v>
          </cell>
        </row>
        <row r="3119">
          <cell r="A3119" t="str">
            <v>PNB HOUSING FINANCE LTD</v>
          </cell>
          <cell r="B3119">
            <v>540173</v>
          </cell>
          <cell r="C3119" t="str">
            <v>PNBHOUSING</v>
          </cell>
        </row>
        <row r="3120">
          <cell r="A3120" t="str">
            <v>PNC INFRATECH LTD</v>
          </cell>
          <cell r="B3120">
            <v>539150</v>
          </cell>
          <cell r="C3120" t="str">
            <v>PNCINFRA</v>
          </cell>
        </row>
        <row r="3121">
          <cell r="A3121" t="str">
            <v>POCHIRAJU INDUSTRIES LTD</v>
          </cell>
          <cell r="B3121">
            <v>532803</v>
          </cell>
          <cell r="C3121" t="str">
            <v>POCHIRAJU</v>
          </cell>
        </row>
        <row r="3122">
          <cell r="A3122" t="str">
            <v>POCL ENTERPRISES LTD</v>
          </cell>
          <cell r="B3122">
            <v>539195</v>
          </cell>
          <cell r="C3122" t="str">
            <v>Not Listed</v>
          </cell>
        </row>
        <row r="3123">
          <cell r="A3123" t="str">
            <v>PODDAR HOUSING AND DEVELOPMENT LTD</v>
          </cell>
          <cell r="B3123">
            <v>523628</v>
          </cell>
          <cell r="C3123" t="str">
            <v>PODDARHOUS</v>
          </cell>
        </row>
        <row r="3124">
          <cell r="A3124" t="str">
            <v>PODDAR PIGMENTS LTD</v>
          </cell>
          <cell r="B3124">
            <v>524570</v>
          </cell>
          <cell r="C3124" t="str">
            <v>PODDARMENT</v>
          </cell>
        </row>
        <row r="3125">
          <cell r="A3125" t="str">
            <v>POKARNA LTD</v>
          </cell>
          <cell r="B3125">
            <v>532486</v>
          </cell>
          <cell r="C3125" t="str">
            <v>POKARNA</v>
          </cell>
        </row>
        <row r="3126">
          <cell r="A3126" t="str">
            <v>POLO HOTELS LTD</v>
          </cell>
          <cell r="B3126">
            <v>526687</v>
          </cell>
          <cell r="C3126" t="str">
            <v>Not Listed</v>
          </cell>
        </row>
        <row r="3127">
          <cell r="A3127" t="str">
            <v>POLO QUEEN INDUSTRIAL AND FINTECH LTD</v>
          </cell>
          <cell r="B3127">
            <v>540717</v>
          </cell>
          <cell r="C3127" t="str">
            <v>Not Listed</v>
          </cell>
        </row>
        <row r="3128">
          <cell r="A3128" t="str">
            <v>POLSON LTD</v>
          </cell>
          <cell r="B3128">
            <v>507645</v>
          </cell>
          <cell r="C3128" t="str">
            <v>Not Listed</v>
          </cell>
        </row>
        <row r="3129">
          <cell r="A3129" t="str">
            <v>POLY MEDICURE LTD</v>
          </cell>
          <cell r="B3129">
            <v>531768</v>
          </cell>
          <cell r="C3129" t="str">
            <v>POLYMED</v>
          </cell>
        </row>
        <row r="3130">
          <cell r="A3130" t="str">
            <v>Polycab India Ltd</v>
          </cell>
          <cell r="B3130">
            <v>542652</v>
          </cell>
          <cell r="C3130" t="str">
            <v>POLYCAB</v>
          </cell>
        </row>
        <row r="3131">
          <cell r="A3131" t="str">
            <v>POLYCHEM LTD</v>
          </cell>
          <cell r="B3131">
            <v>506605</v>
          </cell>
          <cell r="C3131" t="str">
            <v>Not Listed</v>
          </cell>
        </row>
        <row r="3132">
          <cell r="A3132" t="str">
            <v>POLYCON INTERNATIONAL LTD</v>
          </cell>
          <cell r="B3132">
            <v>531397</v>
          </cell>
          <cell r="C3132" t="str">
            <v>Not Listed</v>
          </cell>
        </row>
        <row r="3133">
          <cell r="A3133" t="str">
            <v>POLYGENTA TECHNOLOGIES LTD</v>
          </cell>
          <cell r="B3133">
            <v>514486</v>
          </cell>
          <cell r="C3133" t="str">
            <v>Not Listed</v>
          </cell>
        </row>
        <row r="3134">
          <cell r="A3134" t="str">
            <v>POLYLINK POLYMERS (INDIA) LTD</v>
          </cell>
          <cell r="B3134">
            <v>531454</v>
          </cell>
          <cell r="C3134" t="str">
            <v>Not Listed</v>
          </cell>
        </row>
        <row r="3135">
          <cell r="A3135" t="str">
            <v>POLYLINK POLYMERS INDIA LTD</v>
          </cell>
          <cell r="B3135">
            <v>531454</v>
          </cell>
          <cell r="C3135" t="str">
            <v>Not Listed</v>
          </cell>
        </row>
        <row r="3136">
          <cell r="A3136" t="str">
            <v>POLYMAC THERMOFORMERS LTD</v>
          </cell>
          <cell r="B3136">
            <v>537573</v>
          </cell>
          <cell r="C3136" t="str">
            <v>Not Listed</v>
          </cell>
        </row>
        <row r="3137">
          <cell r="A3137" t="str">
            <v>POLYMECHPLAST MACHINES LTD</v>
          </cell>
          <cell r="B3137">
            <v>526043</v>
          </cell>
          <cell r="C3137" t="str">
            <v>Not Listed</v>
          </cell>
        </row>
        <row r="3138">
          <cell r="A3138" t="str">
            <v>POLYPLEX CORPORATION LTD</v>
          </cell>
          <cell r="B3138">
            <v>524051</v>
          </cell>
          <cell r="C3138" t="str">
            <v>POLYPLEX</v>
          </cell>
        </row>
        <row r="3139">
          <cell r="A3139" t="str">
            <v>POLYSPIN EXPORTS LTD</v>
          </cell>
          <cell r="B3139">
            <v>539354</v>
          </cell>
          <cell r="C3139" t="str">
            <v>Not Listed</v>
          </cell>
        </row>
        <row r="3140">
          <cell r="A3140" t="str">
            <v>POLYTEX (INDIA) LTD</v>
          </cell>
          <cell r="B3140">
            <v>512481</v>
          </cell>
          <cell r="C3140" t="str">
            <v>Not Listed</v>
          </cell>
        </row>
        <row r="3141">
          <cell r="A3141" t="str">
            <v>POLYTEX INDIA LTD</v>
          </cell>
          <cell r="B3141">
            <v>512481</v>
          </cell>
          <cell r="C3141" t="str">
            <v>Not Listed</v>
          </cell>
        </row>
        <row r="3142">
          <cell r="A3142" t="str">
            <v>PONDY OXIDES &amp; CHEMICALS LTD</v>
          </cell>
          <cell r="B3142">
            <v>532626</v>
          </cell>
          <cell r="C3142" t="str">
            <v>Not Listed</v>
          </cell>
        </row>
        <row r="3143">
          <cell r="A3143" t="str">
            <v>PONNI SUGARS ERODE LTD</v>
          </cell>
          <cell r="B3143">
            <v>532460</v>
          </cell>
          <cell r="C3143" t="str">
            <v>PONNIERODE</v>
          </cell>
        </row>
        <row r="3144">
          <cell r="A3144" t="str">
            <v>POOJA ENTERTAINMENT AND FILMS LTD</v>
          </cell>
          <cell r="B3144">
            <v>532011</v>
          </cell>
          <cell r="C3144" t="str">
            <v>Not Listed</v>
          </cell>
        </row>
        <row r="3145">
          <cell r="A3145" t="str">
            <v>POOJAWESTERN METALIKS LTD</v>
          </cell>
          <cell r="B3145">
            <v>540727</v>
          </cell>
          <cell r="C3145" t="str">
            <v>Not Listed</v>
          </cell>
        </row>
        <row r="3146">
          <cell r="A3146" t="str">
            <v>POONA DAL &amp; OIL INDUSTRIES LTD</v>
          </cell>
          <cell r="B3146">
            <v>519359</v>
          </cell>
          <cell r="C3146" t="str">
            <v>Not Listed</v>
          </cell>
        </row>
        <row r="3147">
          <cell r="A3147" t="str">
            <v>POPULAR ESTATE MANAGEMENT LTD</v>
          </cell>
          <cell r="B3147">
            <v>531870</v>
          </cell>
          <cell r="C3147" t="str">
            <v>Not Listed</v>
          </cell>
        </row>
        <row r="3148">
          <cell r="A3148" t="str">
            <v>PORWAL AUTO COMPONENTS LTD</v>
          </cell>
          <cell r="B3148">
            <v>532933</v>
          </cell>
          <cell r="C3148" t="str">
            <v>Not Listed</v>
          </cell>
        </row>
        <row r="3149">
          <cell r="A3149" t="str">
            <v>POWER &amp; INSTRUMENTATION GUJARAT LTD</v>
          </cell>
          <cell r="B3149" t="str">
            <v>Not Listed</v>
          </cell>
          <cell r="C3149" t="str">
            <v>PIGL</v>
          </cell>
        </row>
        <row r="3150">
          <cell r="A3150" t="str">
            <v>POWER FINANCE CORPORATION LTD</v>
          </cell>
          <cell r="B3150">
            <v>532810</v>
          </cell>
          <cell r="C3150" t="str">
            <v>PFC</v>
          </cell>
        </row>
        <row r="3151">
          <cell r="A3151" t="str">
            <v>POWER GRID CORPORATION OF (INDIA) LTD</v>
          </cell>
          <cell r="B3151">
            <v>532898</v>
          </cell>
          <cell r="C3151" t="str">
            <v>POWERGRID</v>
          </cell>
        </row>
        <row r="3152">
          <cell r="A3152" t="str">
            <v>POWER GRID CORPORATION OF INDIA LTD</v>
          </cell>
          <cell r="B3152">
            <v>532898</v>
          </cell>
          <cell r="C3152" t="str">
            <v>POWERGRID</v>
          </cell>
        </row>
        <row r="3153">
          <cell r="A3153" t="str">
            <v>POWER MECH PROJECTS LTD</v>
          </cell>
          <cell r="B3153">
            <v>539302</v>
          </cell>
          <cell r="C3153" t="str">
            <v>POWERMECH</v>
          </cell>
        </row>
        <row r="3154">
          <cell r="A3154" t="str">
            <v>POWERFUL TECHNOLOGIES LTD</v>
          </cell>
          <cell r="B3154" t="str">
            <v>Not Listed</v>
          </cell>
          <cell r="C3154" t="str">
            <v>POWERFUL</v>
          </cell>
        </row>
        <row r="3155">
          <cell r="A3155" t="str">
            <v>POWERHOUSE GYM &amp; WELLNESS LTD</v>
          </cell>
          <cell r="B3155">
            <v>538731</v>
          </cell>
          <cell r="C3155" t="str">
            <v>Not Listed</v>
          </cell>
        </row>
        <row r="3156">
          <cell r="A3156" t="str">
            <v>PPAP AUTOMOTIVE LTD</v>
          </cell>
          <cell r="B3156">
            <v>532934</v>
          </cell>
          <cell r="C3156" t="str">
            <v>PPAP</v>
          </cell>
        </row>
        <row r="3157">
          <cell r="A3157" t="str">
            <v>PRABHAT DAIRY LTD</v>
          </cell>
          <cell r="B3157">
            <v>539351</v>
          </cell>
          <cell r="C3157" t="str">
            <v>PRABHAT</v>
          </cell>
        </row>
        <row r="3158">
          <cell r="A3158" t="str">
            <v>PRABHAT TELECOMS (INDIA) LTD</v>
          </cell>
          <cell r="B3158">
            <v>540027</v>
          </cell>
          <cell r="C3158" t="str">
            <v>Not Listed</v>
          </cell>
        </row>
        <row r="3159">
          <cell r="A3159" t="str">
            <v>PRABHAT TELECOMS INDIA LTD</v>
          </cell>
          <cell r="B3159">
            <v>540027</v>
          </cell>
          <cell r="C3159" t="str">
            <v>Not Listed</v>
          </cell>
        </row>
        <row r="3160">
          <cell r="A3160" t="str">
            <v>PRABHAV INDUSTRIES LTD</v>
          </cell>
          <cell r="B3160">
            <v>531855</v>
          </cell>
          <cell r="C3160" t="str">
            <v>Not Listed</v>
          </cell>
        </row>
        <row r="3161">
          <cell r="A3161" t="str">
            <v>PRABHU STEEL INDUSTRIES LTD</v>
          </cell>
          <cell r="B3161">
            <v>506042</v>
          </cell>
          <cell r="C3161" t="str">
            <v>Not Listed</v>
          </cell>
        </row>
        <row r="3162">
          <cell r="A3162" t="str">
            <v>PRADEEP METALS LTD</v>
          </cell>
          <cell r="B3162">
            <v>513532</v>
          </cell>
          <cell r="C3162" t="str">
            <v>Not Listed</v>
          </cell>
        </row>
        <row r="3163">
          <cell r="A3163" t="str">
            <v>PRADHIN LTD</v>
          </cell>
          <cell r="B3163">
            <v>530095</v>
          </cell>
          <cell r="C3163" t="str">
            <v>Not Listed</v>
          </cell>
        </row>
        <row r="3164">
          <cell r="A3164" t="str">
            <v>PRADIP OVERSEAS LTD</v>
          </cell>
          <cell r="B3164">
            <v>533178</v>
          </cell>
          <cell r="C3164" t="str">
            <v>PRADIP</v>
          </cell>
        </row>
        <row r="3165">
          <cell r="A3165" t="str">
            <v>PRAG BOSIMI SYNTHETICS LTD</v>
          </cell>
          <cell r="B3165">
            <v>500192</v>
          </cell>
          <cell r="C3165" t="str">
            <v>Not Listed</v>
          </cell>
        </row>
        <row r="3166">
          <cell r="A3166" t="str">
            <v>PRAJ INDUSTRIES LTD</v>
          </cell>
          <cell r="B3166">
            <v>522205</v>
          </cell>
          <cell r="C3166" t="str">
            <v>PRAJIND</v>
          </cell>
        </row>
        <row r="3167">
          <cell r="A3167" t="str">
            <v>PRAJAY ENGINEERS SYNDICATE LTD</v>
          </cell>
          <cell r="B3167">
            <v>531746</v>
          </cell>
          <cell r="C3167" t="str">
            <v>PRAENG</v>
          </cell>
        </row>
        <row r="3168">
          <cell r="A3168" t="str">
            <v>PRAKASH CONSTROWELL LTD</v>
          </cell>
          <cell r="B3168">
            <v>533605</v>
          </cell>
          <cell r="C3168" t="str">
            <v>PRAKASHCON</v>
          </cell>
        </row>
        <row r="3169">
          <cell r="A3169" t="str">
            <v>PRAKASH INDUSTRIES LTD</v>
          </cell>
          <cell r="B3169">
            <v>506022</v>
          </cell>
          <cell r="C3169" t="str">
            <v>PRAKASH</v>
          </cell>
        </row>
        <row r="3170">
          <cell r="A3170" t="str">
            <v>Prakash Pipes Ltd</v>
          </cell>
          <cell r="B3170">
            <v>542684</v>
          </cell>
          <cell r="C3170" t="str">
            <v>PPL</v>
          </cell>
        </row>
        <row r="3171">
          <cell r="A3171" t="str">
            <v>PRAKASH STEELAGE LTD</v>
          </cell>
          <cell r="B3171">
            <v>533239</v>
          </cell>
          <cell r="C3171" t="str">
            <v>PRAKASHSTL</v>
          </cell>
        </row>
        <row r="3172">
          <cell r="A3172" t="str">
            <v>PRAKASH WOOLLEN &amp; SYNTHETIC MILLS LTD</v>
          </cell>
          <cell r="B3172">
            <v>531437</v>
          </cell>
          <cell r="C3172" t="str">
            <v>Not Listed</v>
          </cell>
        </row>
        <row r="3173">
          <cell r="A3173" t="str">
            <v>PRANAVADITYA SPINNING MILLS LTD</v>
          </cell>
          <cell r="B3173">
            <v>531172</v>
          </cell>
          <cell r="C3173" t="str">
            <v>Not Listed</v>
          </cell>
        </row>
        <row r="3174">
          <cell r="A3174" t="str">
            <v>PRASHANT (INDIA) LTD</v>
          </cell>
          <cell r="B3174">
            <v>519014</v>
          </cell>
          <cell r="C3174" t="str">
            <v>Not Listed</v>
          </cell>
        </row>
        <row r="3175">
          <cell r="A3175" t="str">
            <v>PRASHANT INDIA LTD</v>
          </cell>
          <cell r="B3175">
            <v>519014</v>
          </cell>
          <cell r="C3175" t="str">
            <v>Not Listed</v>
          </cell>
        </row>
        <row r="3176">
          <cell r="A3176" t="str">
            <v>PRATAAP SNACKS LTD</v>
          </cell>
          <cell r="B3176">
            <v>540724</v>
          </cell>
          <cell r="C3176" t="str">
            <v>DIAMONDYD</v>
          </cell>
        </row>
        <row r="3177">
          <cell r="A3177" t="str">
            <v>PRATIK PANELS LTD</v>
          </cell>
          <cell r="B3177">
            <v>526490</v>
          </cell>
          <cell r="C3177" t="str">
            <v>Not Listed</v>
          </cell>
        </row>
        <row r="3178">
          <cell r="A3178" t="str">
            <v>PRATIKSHA CHEMICALS LTD</v>
          </cell>
          <cell r="B3178">
            <v>531257</v>
          </cell>
          <cell r="C3178" t="str">
            <v>Not Listed</v>
          </cell>
        </row>
        <row r="3179">
          <cell r="A3179" t="str">
            <v>PRAXIS HOME RETAIL LTD</v>
          </cell>
          <cell r="B3179">
            <v>540901</v>
          </cell>
          <cell r="C3179" t="str">
            <v>PRAXIS</v>
          </cell>
        </row>
        <row r="3180">
          <cell r="A3180" t="str">
            <v>PRECIOUS TRADING &amp; INVESTMENTS LTD</v>
          </cell>
          <cell r="B3180">
            <v>506107</v>
          </cell>
          <cell r="C3180" t="str">
            <v>Not Listed</v>
          </cell>
        </row>
        <row r="3181">
          <cell r="A3181" t="str">
            <v>PRECISION CAMSHAFTS LTD</v>
          </cell>
          <cell r="B3181">
            <v>539636</v>
          </cell>
          <cell r="C3181" t="str">
            <v>PRECAM</v>
          </cell>
        </row>
        <row r="3182">
          <cell r="A3182" t="str">
            <v>PRECISION CONTAINEURS LTD</v>
          </cell>
          <cell r="B3182">
            <v>523874</v>
          </cell>
          <cell r="C3182" t="str">
            <v>Not Listed</v>
          </cell>
        </row>
        <row r="3183">
          <cell r="A3183" t="str">
            <v>PRECISION ELECTRONICS LTD</v>
          </cell>
          <cell r="B3183">
            <v>517258</v>
          </cell>
          <cell r="C3183" t="str">
            <v>Not Listed</v>
          </cell>
        </row>
        <row r="3184">
          <cell r="A3184" t="str">
            <v>PRECISION WIRES (INDIA) LTD</v>
          </cell>
          <cell r="B3184">
            <v>523539</v>
          </cell>
          <cell r="C3184" t="str">
            <v>PRECWIRE</v>
          </cell>
        </row>
        <row r="3185">
          <cell r="A3185" t="str">
            <v>PRECISION WIRES INDIA LTD</v>
          </cell>
          <cell r="B3185">
            <v>523539</v>
          </cell>
          <cell r="C3185" t="str">
            <v>PRECWIRE</v>
          </cell>
        </row>
        <row r="3186">
          <cell r="A3186" t="str">
            <v>PRECOT MERIDIAN LTD</v>
          </cell>
          <cell r="B3186" t="str">
            <v>Not Listed</v>
          </cell>
          <cell r="C3186" t="str">
            <v>PRECOT</v>
          </cell>
        </row>
        <row r="3187">
          <cell r="A3187" t="str">
            <v>PREM SOMANI FINANCIAL SERVICES LTD</v>
          </cell>
          <cell r="B3187">
            <v>530669</v>
          </cell>
          <cell r="C3187" t="str">
            <v>Not Listed</v>
          </cell>
        </row>
        <row r="3188">
          <cell r="A3188" t="str">
            <v>PREMCO GLOBAL LTD</v>
          </cell>
          <cell r="B3188">
            <v>530331</v>
          </cell>
          <cell r="C3188" t="str">
            <v>Not Listed</v>
          </cell>
        </row>
        <row r="3189">
          <cell r="A3189" t="str">
            <v>PREMIER CHENNAI PROPERTIES LTD</v>
          </cell>
          <cell r="B3189">
            <v>780007</v>
          </cell>
          <cell r="C3189" t="str">
            <v>Not Listed</v>
          </cell>
        </row>
        <row r="3190">
          <cell r="A3190" t="str">
            <v>PREMIER EXPLOSIVES LTD</v>
          </cell>
          <cell r="B3190">
            <v>526247</v>
          </cell>
          <cell r="C3190" t="str">
            <v>PREMEXPLN</v>
          </cell>
        </row>
        <row r="3191">
          <cell r="A3191" t="str">
            <v>PREMIER LTD</v>
          </cell>
          <cell r="B3191">
            <v>500540</v>
          </cell>
          <cell r="C3191" t="str">
            <v>PREMIER</v>
          </cell>
        </row>
        <row r="3192">
          <cell r="A3192" t="str">
            <v>PREMIER PIPES LTD</v>
          </cell>
          <cell r="B3192">
            <v>513291</v>
          </cell>
          <cell r="C3192" t="str">
            <v>Not Listed</v>
          </cell>
        </row>
        <row r="3193">
          <cell r="A3193" t="str">
            <v>PREMIER POLYFILM LTD</v>
          </cell>
          <cell r="B3193">
            <v>514354</v>
          </cell>
          <cell r="C3193" t="str">
            <v>PREMIERPOL</v>
          </cell>
        </row>
        <row r="3194">
          <cell r="A3194" t="str">
            <v>PREMIER SYNTHETICS LTD</v>
          </cell>
          <cell r="B3194">
            <v>509835</v>
          </cell>
          <cell r="C3194" t="str">
            <v>Not Listed</v>
          </cell>
        </row>
        <row r="3195">
          <cell r="A3195" t="str">
            <v>PRERNA INFRABUILD LTD</v>
          </cell>
          <cell r="B3195">
            <v>531802</v>
          </cell>
          <cell r="C3195" t="str">
            <v>Not Listed</v>
          </cell>
        </row>
        <row r="3196">
          <cell r="A3196" t="str">
            <v>PRESSMAN ADVERTISING LTD</v>
          </cell>
          <cell r="B3196">
            <v>509077</v>
          </cell>
          <cell r="C3196" t="str">
            <v>PRESSMN</v>
          </cell>
        </row>
        <row r="3197">
          <cell r="A3197" t="str">
            <v>PRESTIGE ESTATES PROJECTS LTD</v>
          </cell>
          <cell r="B3197">
            <v>533274</v>
          </cell>
          <cell r="C3197" t="str">
            <v>PRESTIGE</v>
          </cell>
        </row>
        <row r="3198">
          <cell r="A3198" t="str">
            <v>PRICOL LTD</v>
          </cell>
          <cell r="B3198">
            <v>540293</v>
          </cell>
          <cell r="C3198" t="str">
            <v>PRICOLLTD</v>
          </cell>
        </row>
        <row r="3199">
          <cell r="A3199" t="str">
            <v>PRIMA AGRO LTD</v>
          </cell>
          <cell r="B3199">
            <v>519262</v>
          </cell>
          <cell r="C3199" t="str">
            <v>Not Listed</v>
          </cell>
        </row>
        <row r="3200">
          <cell r="A3200" t="str">
            <v>PRIMA INDUSTRIES LTD</v>
          </cell>
          <cell r="B3200">
            <v>531246</v>
          </cell>
          <cell r="C3200" t="str">
            <v>Not Listed</v>
          </cell>
        </row>
        <row r="3201">
          <cell r="A3201" t="str">
            <v>PRIMA PLASTICS LTD</v>
          </cell>
          <cell r="B3201">
            <v>530589</v>
          </cell>
          <cell r="C3201" t="str">
            <v>Not Listed</v>
          </cell>
        </row>
        <row r="3202">
          <cell r="A3202" t="str">
            <v>PRIME CAPITAL MARKET LTD</v>
          </cell>
          <cell r="B3202">
            <v>535514</v>
          </cell>
          <cell r="C3202" t="str">
            <v>Not Listed</v>
          </cell>
        </row>
        <row r="3203">
          <cell r="A3203" t="str">
            <v>PRIME CUSTOMER SERVICES LTD</v>
          </cell>
          <cell r="B3203">
            <v>540404</v>
          </cell>
          <cell r="C3203" t="str">
            <v>Not Listed</v>
          </cell>
        </row>
        <row r="3204">
          <cell r="A3204" t="str">
            <v>PRIME FOCUS LTD</v>
          </cell>
          <cell r="B3204">
            <v>532748</v>
          </cell>
          <cell r="C3204" t="str">
            <v>PFOCUS</v>
          </cell>
        </row>
        <row r="3205">
          <cell r="A3205" t="str">
            <v>PRIME INDUSTRIES LTD</v>
          </cell>
          <cell r="B3205">
            <v>519299</v>
          </cell>
          <cell r="C3205" t="str">
            <v>Not Listed</v>
          </cell>
        </row>
        <row r="3206">
          <cell r="A3206" t="str">
            <v>PRIME PROPERTY DEVELOPMENT CORPORATION LTD</v>
          </cell>
          <cell r="B3206">
            <v>530695</v>
          </cell>
          <cell r="C3206" t="str">
            <v>Not Listed</v>
          </cell>
        </row>
        <row r="3207">
          <cell r="A3207" t="str">
            <v>PRIME SECURITIES LTD</v>
          </cell>
          <cell r="B3207">
            <v>500337</v>
          </cell>
          <cell r="C3207" t="str">
            <v>PRIMESECU</v>
          </cell>
        </row>
        <row r="3208">
          <cell r="A3208" t="str">
            <v>PRIME URBAN DEVELOPMENT (INDIA) LTD</v>
          </cell>
          <cell r="B3208">
            <v>521149</v>
          </cell>
          <cell r="C3208" t="str">
            <v>Not Listed</v>
          </cell>
        </row>
        <row r="3209">
          <cell r="A3209" t="str">
            <v>PRIME URBAN DEVELOPMENT INDIA LTD</v>
          </cell>
          <cell r="B3209">
            <v>521149</v>
          </cell>
          <cell r="C3209" t="str">
            <v>Not Listed</v>
          </cell>
        </row>
        <row r="3210">
          <cell r="A3210" t="str">
            <v>PRISM FINANCE LTD</v>
          </cell>
          <cell r="B3210">
            <v>531735</v>
          </cell>
          <cell r="C3210" t="str">
            <v>Not Listed</v>
          </cell>
        </row>
        <row r="3211">
          <cell r="A3211" t="str">
            <v>PRISM JOHNSON LTD</v>
          </cell>
          <cell r="B3211">
            <v>500338</v>
          </cell>
          <cell r="C3211" t="str">
            <v>PRSMJOHNSN</v>
          </cell>
        </row>
        <row r="3212">
          <cell r="A3212" t="str">
            <v>PRISM MEDICO AND PHARMACY LTD</v>
          </cell>
          <cell r="B3212">
            <v>512217</v>
          </cell>
          <cell r="C3212" t="str">
            <v>Not Listed</v>
          </cell>
        </row>
        <row r="3213">
          <cell r="A3213" t="str">
            <v>PRITHVI EXCHANGE (INDIA) LTD</v>
          </cell>
          <cell r="B3213">
            <v>531688</v>
          </cell>
          <cell r="C3213" t="str">
            <v>Not Listed</v>
          </cell>
        </row>
        <row r="3214">
          <cell r="A3214" t="str">
            <v>PRITHVI EXCHANGE INDIA LTD</v>
          </cell>
          <cell r="B3214">
            <v>531688</v>
          </cell>
          <cell r="C3214" t="str">
            <v>Not Listed</v>
          </cell>
        </row>
        <row r="3215">
          <cell r="A3215" t="str">
            <v>PRITI INTERNATIONAL LTD</v>
          </cell>
          <cell r="B3215" t="str">
            <v>Not Listed</v>
          </cell>
          <cell r="C3215" t="str">
            <v>PRITI</v>
          </cell>
        </row>
        <row r="3216">
          <cell r="A3216" t="str">
            <v>PRITIKA AUTO INDUSTRIES LTD</v>
          </cell>
          <cell r="B3216">
            <v>539359</v>
          </cell>
          <cell r="C3216" t="str">
            <v>Not Listed</v>
          </cell>
        </row>
        <row r="3217">
          <cell r="A3217" t="str">
            <v>PRITISH NANDY COMMUNICATIONS LTD</v>
          </cell>
          <cell r="B3217">
            <v>532387</v>
          </cell>
          <cell r="C3217" t="str">
            <v>PNC</v>
          </cell>
        </row>
        <row r="3218">
          <cell r="A3218" t="str">
            <v>PRIYA LTD</v>
          </cell>
          <cell r="B3218">
            <v>524580</v>
          </cell>
          <cell r="C3218" t="str">
            <v>Not Listed</v>
          </cell>
        </row>
        <row r="3219">
          <cell r="A3219" t="str">
            <v>PRO FIN CAPITAL SERVICES LTD</v>
          </cell>
          <cell r="B3219">
            <v>511557</v>
          </cell>
          <cell r="C3219" t="str">
            <v>Not Listed</v>
          </cell>
        </row>
        <row r="3220">
          <cell r="A3220" t="str">
            <v>PROAIM ENTERPRISES LTD</v>
          </cell>
          <cell r="B3220">
            <v>512105</v>
          </cell>
          <cell r="C3220" t="str">
            <v>Not Listed</v>
          </cell>
        </row>
        <row r="3221">
          <cell r="A3221" t="str">
            <v>PROCAL ELECTRONICS (INDIA) LTD</v>
          </cell>
          <cell r="B3221">
            <v>526009</v>
          </cell>
          <cell r="C3221" t="str">
            <v>Not Listed</v>
          </cell>
        </row>
        <row r="3222">
          <cell r="A3222" t="str">
            <v>PROCAL ELECTRONICS INDIA LTD</v>
          </cell>
          <cell r="B3222">
            <v>526009</v>
          </cell>
          <cell r="C3222" t="str">
            <v>Not Listed</v>
          </cell>
        </row>
        <row r="3223">
          <cell r="A3223" t="str">
            <v>Procter &amp; Gamble Health LTD</v>
          </cell>
          <cell r="B3223" t="str">
            <v>Not Listed</v>
          </cell>
          <cell r="C3223" t="str">
            <v>PGHL</v>
          </cell>
        </row>
        <row r="3224">
          <cell r="A3224" t="str">
            <v>PROCTER &amp; GAMBLE HYGIENE AND HEALTH CARE LTD</v>
          </cell>
          <cell r="B3224">
            <v>500459</v>
          </cell>
          <cell r="C3224" t="str">
            <v>PGHH</v>
          </cell>
        </row>
        <row r="3225">
          <cell r="A3225" t="str">
            <v>PROGRESSIVE EXTRACTIONS &amp; EXPORTS LTD</v>
          </cell>
          <cell r="B3225">
            <v>531265</v>
          </cell>
          <cell r="C3225" t="str">
            <v>Not Listed</v>
          </cell>
        </row>
        <row r="3226">
          <cell r="A3226" t="str">
            <v>PROLIFE INDUSTRIES LTD</v>
          </cell>
          <cell r="B3226" t="str">
            <v>Not Listed</v>
          </cell>
          <cell r="C3226" t="str">
            <v>PROLIFE</v>
          </cell>
        </row>
        <row r="3227">
          <cell r="A3227" t="str">
            <v>PROMACT IMPEX LTD</v>
          </cell>
          <cell r="B3227">
            <v>526494</v>
          </cell>
          <cell r="C3227" t="str">
            <v>Not Listed</v>
          </cell>
        </row>
        <row r="3228">
          <cell r="A3228" t="str">
            <v>PROSEED (INDIA) LTD</v>
          </cell>
          <cell r="B3228">
            <v>590057</v>
          </cell>
          <cell r="C3228" t="str">
            <v>PROSEED</v>
          </cell>
        </row>
        <row r="3229">
          <cell r="A3229" t="str">
            <v>PROSEED INDIA LTD</v>
          </cell>
          <cell r="B3229">
            <v>590057</v>
          </cell>
          <cell r="C3229" t="str">
            <v>PROSEED</v>
          </cell>
        </row>
        <row r="3230">
          <cell r="A3230" t="str">
            <v>PROVESTMENT SERVICES LTD</v>
          </cell>
          <cell r="B3230">
            <v>540703</v>
          </cell>
          <cell r="C3230" t="str">
            <v>Not Listed</v>
          </cell>
        </row>
        <row r="3231">
          <cell r="A3231" t="str">
            <v>PROVOGUE (INDIA) LTD</v>
          </cell>
          <cell r="B3231">
            <v>532647</v>
          </cell>
          <cell r="C3231" t="str">
            <v>PROVOGE</v>
          </cell>
        </row>
        <row r="3232">
          <cell r="A3232" t="str">
            <v>PROVOGUE INDIA LTD</v>
          </cell>
          <cell r="B3232">
            <v>532647</v>
          </cell>
          <cell r="C3232" t="str">
            <v>PROVOGE</v>
          </cell>
        </row>
        <row r="3233">
          <cell r="A3233" t="str">
            <v>PROZONE INTU PROPERTIES LTD</v>
          </cell>
          <cell r="B3233">
            <v>534675</v>
          </cell>
          <cell r="C3233" t="str">
            <v>PROZONINTU</v>
          </cell>
        </row>
        <row r="3234">
          <cell r="A3234" t="str">
            <v>PS IT INFRASTRUCTURE &amp; SERVICES LTD</v>
          </cell>
          <cell r="B3234">
            <v>505502</v>
          </cell>
          <cell r="C3234" t="str">
            <v>Not Listed</v>
          </cell>
        </row>
        <row r="3235">
          <cell r="A3235" t="str">
            <v>PSL LTD</v>
          </cell>
          <cell r="B3235">
            <v>526801</v>
          </cell>
          <cell r="C3235" t="str">
            <v>PSL</v>
          </cell>
        </row>
        <row r="3236">
          <cell r="A3236" t="str">
            <v>PSP PROJECTS LTD</v>
          </cell>
          <cell r="B3236">
            <v>540544</v>
          </cell>
          <cell r="C3236" t="str">
            <v>PSPPROJECT</v>
          </cell>
        </row>
        <row r="3237">
          <cell r="A3237" t="str">
            <v>PTC (INDIA) LTD</v>
          </cell>
          <cell r="B3237">
            <v>532524</v>
          </cell>
          <cell r="C3237" t="str">
            <v>PTC</v>
          </cell>
        </row>
        <row r="3238">
          <cell r="A3238" t="str">
            <v>PTC INDIA FINANCIAL SERVICES LTD</v>
          </cell>
          <cell r="B3238">
            <v>533344</v>
          </cell>
          <cell r="C3238" t="str">
            <v>PFS</v>
          </cell>
        </row>
        <row r="3239">
          <cell r="A3239" t="str">
            <v>PTC INDIA LTD</v>
          </cell>
          <cell r="B3239">
            <v>532524</v>
          </cell>
          <cell r="C3239" t="str">
            <v>PTC</v>
          </cell>
        </row>
        <row r="3240">
          <cell r="A3240" t="str">
            <v>PTC INDUSTRIES LTD</v>
          </cell>
          <cell r="B3240">
            <v>539006</v>
          </cell>
          <cell r="C3240" t="str">
            <v>Not Listed</v>
          </cell>
        </row>
        <row r="3241">
          <cell r="A3241" t="str">
            <v>PTL ENTERPRISES LTD</v>
          </cell>
          <cell r="B3241">
            <v>509220</v>
          </cell>
          <cell r="C3241" t="str">
            <v>PTL</v>
          </cell>
        </row>
        <row r="3242">
          <cell r="A3242" t="str">
            <v>PUDUMJEE PAPER PRODUCTS LTD</v>
          </cell>
          <cell r="B3242">
            <v>539785</v>
          </cell>
          <cell r="C3242" t="str">
            <v>PDMJEPAPER</v>
          </cell>
        </row>
        <row r="3243">
          <cell r="A3243" t="str">
            <v>PULSAR INTERNATIONAL LTD</v>
          </cell>
          <cell r="B3243">
            <v>512591</v>
          </cell>
          <cell r="C3243" t="str">
            <v>Not Listed</v>
          </cell>
        </row>
        <row r="3244">
          <cell r="A3244" t="str">
            <v>PULZ ELECTRONICS LTD</v>
          </cell>
          <cell r="B3244" t="str">
            <v>Not Listed</v>
          </cell>
          <cell r="C3244" t="str">
            <v>PULZ</v>
          </cell>
        </row>
        <row r="3245">
          <cell r="A3245" t="str">
            <v>PUNCTUAL TRADING LTD</v>
          </cell>
          <cell r="B3245">
            <v>512461</v>
          </cell>
          <cell r="C3245" t="str">
            <v>Not Listed</v>
          </cell>
        </row>
        <row r="3246">
          <cell r="A3246" t="str">
            <v>PUNIT COMMERCIALS LTD</v>
          </cell>
          <cell r="B3246">
            <v>512099</v>
          </cell>
          <cell r="C3246" t="str">
            <v>Not Listed</v>
          </cell>
        </row>
        <row r="3247">
          <cell r="A3247" t="str">
            <v>PUNJ LLOYD LTD</v>
          </cell>
          <cell r="B3247">
            <v>532693</v>
          </cell>
          <cell r="C3247" t="str">
            <v>PUNJLLOYD</v>
          </cell>
        </row>
        <row r="3248">
          <cell r="A3248" t="str">
            <v>PUNJAB &amp; SIND BANK</v>
          </cell>
          <cell r="B3248">
            <v>533295</v>
          </cell>
          <cell r="C3248" t="str">
            <v>PSB</v>
          </cell>
        </row>
        <row r="3249">
          <cell r="A3249" t="str">
            <v>PUNJAB ALKALIES &amp; CHEMICALS LTD</v>
          </cell>
          <cell r="B3249">
            <v>506852</v>
          </cell>
          <cell r="C3249" t="str">
            <v>Not Listed</v>
          </cell>
        </row>
        <row r="3250">
          <cell r="A3250" t="str">
            <v>PUNJAB CHEMICALS &amp; CROP PROTECTION LTD</v>
          </cell>
          <cell r="B3250">
            <v>506618</v>
          </cell>
          <cell r="C3250" t="str">
            <v>PUNJABCHEM</v>
          </cell>
        </row>
        <row r="3251">
          <cell r="A3251" t="str">
            <v>PUNJAB COMMUNICATIONS LTD</v>
          </cell>
          <cell r="B3251">
            <v>500346</v>
          </cell>
          <cell r="C3251" t="str">
            <v>Not Listed</v>
          </cell>
        </row>
        <row r="3252">
          <cell r="A3252" t="str">
            <v>PUNJAB NATIONAL BANK</v>
          </cell>
          <cell r="B3252">
            <v>532461</v>
          </cell>
          <cell r="C3252" t="str">
            <v>PNB</v>
          </cell>
        </row>
        <row r="3253">
          <cell r="A3253" t="str">
            <v>PURAVANKARA LTD</v>
          </cell>
          <cell r="B3253">
            <v>532891</v>
          </cell>
          <cell r="C3253" t="str">
            <v>PURVA</v>
          </cell>
        </row>
        <row r="3254">
          <cell r="A3254" t="str">
            <v>PURE GIFTCARAT LTD</v>
          </cell>
          <cell r="B3254">
            <v>540492</v>
          </cell>
          <cell r="C3254" t="str">
            <v>Not Listed</v>
          </cell>
        </row>
        <row r="3255">
          <cell r="A3255" t="str">
            <v>PURITY FLEX PACK LTD</v>
          </cell>
          <cell r="B3255">
            <v>523315</v>
          </cell>
          <cell r="C3255" t="str">
            <v>Not Listed</v>
          </cell>
        </row>
        <row r="3256">
          <cell r="A3256" t="str">
            <v>PUROHIT CONSTRUCTION LTD</v>
          </cell>
          <cell r="B3256">
            <v>538993</v>
          </cell>
          <cell r="C3256" t="str">
            <v>Not Listed</v>
          </cell>
        </row>
        <row r="3257">
          <cell r="A3257" t="str">
            <v>PURPLE ENTERTAINMENT LTD</v>
          </cell>
          <cell r="B3257">
            <v>540159</v>
          </cell>
          <cell r="C3257" t="str">
            <v>Not Listed</v>
          </cell>
        </row>
        <row r="3258">
          <cell r="A3258" t="str">
            <v>PURSHOTTAM INVESTOFIN LTD</v>
          </cell>
          <cell r="B3258">
            <v>538647</v>
          </cell>
          <cell r="C3258" t="str">
            <v>Not Listed</v>
          </cell>
        </row>
        <row r="3259">
          <cell r="A3259" t="str">
            <v>PUSHPANJALI REALMS AND INFRATECH LTD</v>
          </cell>
          <cell r="B3259" t="str">
            <v>Not Listed</v>
          </cell>
          <cell r="C3259" t="str">
            <v>PUSHPREALM</v>
          </cell>
        </row>
        <row r="3260">
          <cell r="A3260" t="str">
            <v>PUSHPSONS INDUSTRIES LTD</v>
          </cell>
          <cell r="B3260">
            <v>531562</v>
          </cell>
          <cell r="C3260" t="str">
            <v>Not Listed</v>
          </cell>
        </row>
        <row r="3261">
          <cell r="A3261" t="str">
            <v>PVP VENTURES LTD</v>
          </cell>
          <cell r="B3261">
            <v>517556</v>
          </cell>
          <cell r="C3261" t="str">
            <v>PVP</v>
          </cell>
        </row>
        <row r="3262">
          <cell r="A3262" t="str">
            <v>PVR LTD</v>
          </cell>
          <cell r="B3262">
            <v>532689</v>
          </cell>
          <cell r="C3262" t="str">
            <v>PVR</v>
          </cell>
        </row>
        <row r="3263">
          <cell r="A3263" t="str">
            <v>PVV INFRA LTD</v>
          </cell>
          <cell r="B3263">
            <v>536659</v>
          </cell>
          <cell r="C3263" t="str">
            <v>Not Listed</v>
          </cell>
        </row>
        <row r="3264">
          <cell r="A3264" t="str">
            <v>PYXIS FINVEST LTD</v>
          </cell>
          <cell r="B3264">
            <v>534109</v>
          </cell>
          <cell r="C3264" t="str">
            <v>Not Listed</v>
          </cell>
        </row>
        <row r="3265">
          <cell r="A3265" t="str">
            <v>QUADRANT TELEVENTURES LTD</v>
          </cell>
          <cell r="B3265">
            <v>511116</v>
          </cell>
          <cell r="C3265" t="str">
            <v>Not Listed</v>
          </cell>
        </row>
        <row r="3266">
          <cell r="A3266" t="str">
            <v>QUANTUM BUILD-TECH LTD</v>
          </cell>
          <cell r="B3266">
            <v>538596</v>
          </cell>
          <cell r="C3266" t="str">
            <v>Not Listed</v>
          </cell>
        </row>
        <row r="3267">
          <cell r="A3267" t="str">
            <v>QUANTUM DIGITAL VISION (INDIA) LTD</v>
          </cell>
          <cell r="B3267">
            <v>530281</v>
          </cell>
          <cell r="C3267" t="str">
            <v>Not Listed</v>
          </cell>
        </row>
        <row r="3268">
          <cell r="A3268" t="str">
            <v>QUANTUM DIGITAL VISION INDIA LTD</v>
          </cell>
          <cell r="B3268">
            <v>530281</v>
          </cell>
          <cell r="C3268" t="str">
            <v>Not Listed</v>
          </cell>
        </row>
        <row r="3269">
          <cell r="A3269" t="str">
            <v>QUANTUM GOLD FUND - EXCHANGE TRADED FUND (ETF)</v>
          </cell>
          <cell r="B3269">
            <v>590099</v>
          </cell>
          <cell r="C3269" t="str">
            <v>QGOLDHALF</v>
          </cell>
        </row>
        <row r="3270">
          <cell r="A3270" t="str">
            <v>QUANTUM MUTUAL FUND - QUANTUM INDEX FUND ETF</v>
          </cell>
          <cell r="B3270">
            <v>590110</v>
          </cell>
          <cell r="C3270" t="str">
            <v>QNIFTY</v>
          </cell>
        </row>
        <row r="3271">
          <cell r="A3271" t="str">
            <v>QUESS CORP LTD</v>
          </cell>
          <cell r="B3271">
            <v>539978</v>
          </cell>
          <cell r="C3271" t="str">
            <v>QUESS</v>
          </cell>
        </row>
        <row r="3272">
          <cell r="A3272" t="str">
            <v>QUEST FINANCIAL SERVICES LTD</v>
          </cell>
          <cell r="B3272">
            <v>539962</v>
          </cell>
          <cell r="C3272" t="str">
            <v>Not Listed</v>
          </cell>
        </row>
        <row r="3273">
          <cell r="A3273" t="str">
            <v>QUEST SOFTECH (INDIA) LTD</v>
          </cell>
          <cell r="B3273">
            <v>535719</v>
          </cell>
          <cell r="C3273" t="str">
            <v>Not Listed</v>
          </cell>
        </row>
        <row r="3274">
          <cell r="A3274" t="str">
            <v>QUEST SOFTECH INDIA LTD</v>
          </cell>
          <cell r="B3274">
            <v>535719</v>
          </cell>
          <cell r="C3274" t="str">
            <v>Not Listed</v>
          </cell>
        </row>
        <row r="3275">
          <cell r="A3275" t="str">
            <v>QUICK HEAL TECHNOLOGIES LTD</v>
          </cell>
          <cell r="B3275">
            <v>539678</v>
          </cell>
          <cell r="C3275" t="str">
            <v>QUICKHEAL</v>
          </cell>
        </row>
        <row r="3276">
          <cell r="A3276" t="str">
            <v>QUINTEGRA SOLUTIONS LTD</v>
          </cell>
          <cell r="B3276">
            <v>532866</v>
          </cell>
          <cell r="C3276" t="str">
            <v>QUINTEGRA</v>
          </cell>
        </row>
        <row r="3277">
          <cell r="A3277" t="str">
            <v>R B GUPTA FINANCIALS LTD</v>
          </cell>
          <cell r="B3277">
            <v>532024</v>
          </cell>
          <cell r="C3277" t="str">
            <v>Not Listed</v>
          </cell>
        </row>
        <row r="3278">
          <cell r="A3278" t="str">
            <v>R J BIO-TECH LTD</v>
          </cell>
          <cell r="B3278">
            <v>536456</v>
          </cell>
          <cell r="C3278" t="str">
            <v>Not Listed</v>
          </cell>
        </row>
        <row r="3279">
          <cell r="A3279" t="str">
            <v>R J SHAH &amp; CO LTD</v>
          </cell>
          <cell r="B3279">
            <v>509845</v>
          </cell>
          <cell r="C3279" t="str">
            <v>Not Listed</v>
          </cell>
        </row>
        <row r="3280">
          <cell r="A3280" t="str">
            <v>R M DRIP AND SPRINKLERS SYSTEMS LTD</v>
          </cell>
          <cell r="B3280" t="str">
            <v>Not Listed</v>
          </cell>
          <cell r="C3280" t="str">
            <v>RMDRIP</v>
          </cell>
        </row>
        <row r="3281">
          <cell r="A3281" t="str">
            <v>R P P INFRA PROJECTS LTD</v>
          </cell>
          <cell r="B3281">
            <v>533284</v>
          </cell>
          <cell r="C3281" t="str">
            <v>RPPINFRA</v>
          </cell>
        </row>
        <row r="3282">
          <cell r="A3282" t="str">
            <v>R R SECURITIES LTD</v>
          </cell>
          <cell r="B3282">
            <v>530917</v>
          </cell>
          <cell r="C3282" t="str">
            <v>Not Listed</v>
          </cell>
        </row>
        <row r="3283">
          <cell r="A3283" t="str">
            <v>R S SOFTWARE (INDIA) LTD</v>
          </cell>
          <cell r="B3283">
            <v>517447</v>
          </cell>
          <cell r="C3283" t="str">
            <v>RSSOFTWARE</v>
          </cell>
        </row>
        <row r="3284">
          <cell r="A3284" t="str">
            <v>R S SOFTWARE INDIA LTD</v>
          </cell>
          <cell r="B3284">
            <v>517447</v>
          </cell>
          <cell r="C3284" t="str">
            <v>RSSOFTWARE</v>
          </cell>
        </row>
        <row r="3285">
          <cell r="A3285" t="str">
            <v>R SYSTEMS INTERNATIONAL LTD</v>
          </cell>
          <cell r="B3285">
            <v>532735</v>
          </cell>
          <cell r="C3285" t="str">
            <v>RSYSTEMS</v>
          </cell>
        </row>
        <row r="3286">
          <cell r="A3286" t="str">
            <v>R T EXPORTS LTD</v>
          </cell>
          <cell r="B3286">
            <v>512565</v>
          </cell>
          <cell r="C3286" t="str">
            <v>Not Listed</v>
          </cell>
        </row>
        <row r="3287">
          <cell r="A3287" t="str">
            <v>R&amp;B DENIMS LTD</v>
          </cell>
          <cell r="B3287">
            <v>538119</v>
          </cell>
          <cell r="C3287" t="str">
            <v>Not Listed</v>
          </cell>
        </row>
        <row r="3288">
          <cell r="A3288" t="str">
            <v>RAAJ MEDISAFE (INDIA) LTD</v>
          </cell>
          <cell r="B3288">
            <v>524502</v>
          </cell>
          <cell r="C3288" t="str">
            <v>Not Listed</v>
          </cell>
        </row>
        <row r="3289">
          <cell r="A3289" t="str">
            <v>RAAJ MEDISAFE INDIA LTD</v>
          </cell>
          <cell r="B3289">
            <v>524502</v>
          </cell>
          <cell r="C3289" t="str">
            <v>Not Listed</v>
          </cell>
        </row>
        <row r="3290">
          <cell r="A3290" t="str">
            <v>RAASI REFRACTORIES LTD</v>
          </cell>
          <cell r="B3290">
            <v>502271</v>
          </cell>
          <cell r="C3290" t="str">
            <v>Not Listed</v>
          </cell>
        </row>
        <row r="3291">
          <cell r="A3291" t="str">
            <v>RACL GEARTECH LTD</v>
          </cell>
          <cell r="B3291">
            <v>520073</v>
          </cell>
          <cell r="C3291" t="str">
            <v>Not Listed</v>
          </cell>
        </row>
        <row r="3292">
          <cell r="A3292" t="str">
            <v>RADAAN MEDIAWORKS (INDIA) LTD</v>
          </cell>
          <cell r="B3292">
            <v>590070</v>
          </cell>
          <cell r="C3292" t="str">
            <v>RADAAN</v>
          </cell>
        </row>
        <row r="3293">
          <cell r="A3293" t="str">
            <v>RADAAN MEDIAWORKS INDIA LTD</v>
          </cell>
          <cell r="B3293">
            <v>590070</v>
          </cell>
          <cell r="C3293" t="str">
            <v>RADAAN</v>
          </cell>
        </row>
        <row r="3294">
          <cell r="A3294" t="str">
            <v>RADHA MADHAV CORPORATION LTD</v>
          </cell>
          <cell r="B3294">
            <v>532692</v>
          </cell>
          <cell r="C3294" t="str">
            <v>RMCL</v>
          </cell>
        </row>
        <row r="3295">
          <cell r="A3295" t="str">
            <v>RADHAGOBIND COMMERCIAL LTD</v>
          </cell>
          <cell r="B3295">
            <v>539673</v>
          </cell>
          <cell r="C3295" t="str">
            <v>Not Listed</v>
          </cell>
        </row>
        <row r="3296">
          <cell r="A3296" t="str">
            <v>RADHE DEVELOPERS (INDIA) LTD</v>
          </cell>
          <cell r="B3296">
            <v>531273</v>
          </cell>
          <cell r="C3296" t="str">
            <v>Not Listed</v>
          </cell>
        </row>
        <row r="3297">
          <cell r="A3297" t="str">
            <v>RADHE DEVELOPERS INDIA LTD</v>
          </cell>
          <cell r="B3297">
            <v>531273</v>
          </cell>
          <cell r="C3297" t="str">
            <v>Not Listed</v>
          </cell>
        </row>
        <row r="3298">
          <cell r="A3298" t="str">
            <v>RADHEY TRADE HOLDING LTD</v>
          </cell>
          <cell r="B3298">
            <v>539814</v>
          </cell>
          <cell r="C3298" t="str">
            <v>Not Listed</v>
          </cell>
        </row>
        <row r="3299">
          <cell r="A3299" t="str">
            <v>RADHIKA JEWELTECH LTD</v>
          </cell>
          <cell r="B3299">
            <v>540125</v>
          </cell>
          <cell r="C3299" t="str">
            <v>Not Listed</v>
          </cell>
        </row>
        <row r="3300">
          <cell r="A3300" t="str">
            <v>RADICO KHAITAN LTD</v>
          </cell>
          <cell r="B3300">
            <v>532497</v>
          </cell>
          <cell r="C3300" t="str">
            <v>RADICO</v>
          </cell>
        </row>
        <row r="3301">
          <cell r="A3301" t="str">
            <v>RADIX INDUSTRIES (INDIA) LTD</v>
          </cell>
          <cell r="B3301">
            <v>531412</v>
          </cell>
          <cell r="C3301" t="str">
            <v>Not Listed</v>
          </cell>
        </row>
        <row r="3302">
          <cell r="A3302" t="str">
            <v>RADIX INDUSTRIES INDIA LTD</v>
          </cell>
          <cell r="B3302">
            <v>531412</v>
          </cell>
          <cell r="C3302" t="str">
            <v>Not Listed</v>
          </cell>
        </row>
        <row r="3303">
          <cell r="A3303" t="str">
            <v>RAGHAV PRODUCTIVITY ENHANCERS LTD</v>
          </cell>
          <cell r="B3303">
            <v>539837</v>
          </cell>
          <cell r="C3303" t="str">
            <v>Not Listed</v>
          </cell>
        </row>
        <row r="3304">
          <cell r="A3304" t="str">
            <v>RAGHUNATH INTERNATIONAL LTD</v>
          </cell>
          <cell r="B3304">
            <v>526813</v>
          </cell>
          <cell r="C3304" t="str">
            <v>Not Listed</v>
          </cell>
        </row>
        <row r="3305">
          <cell r="A3305" t="str">
            <v>RAGHUNATH TOBACCO CO LTD</v>
          </cell>
          <cell r="B3305">
            <v>531552</v>
          </cell>
          <cell r="C3305" t="str">
            <v>Not Listed</v>
          </cell>
        </row>
        <row r="3306">
          <cell r="A3306" t="str">
            <v>RAGHUVANSH AGROFARMS LTD</v>
          </cell>
          <cell r="B3306">
            <v>538921</v>
          </cell>
          <cell r="C3306" t="str">
            <v>Not Listed</v>
          </cell>
        </row>
        <row r="3307">
          <cell r="A3307" t="str">
            <v>RAGHUVIR SYNTHETICS LTD</v>
          </cell>
          <cell r="B3307">
            <v>514316</v>
          </cell>
          <cell r="C3307" t="str">
            <v>Not Listed</v>
          </cell>
        </row>
        <row r="3308">
          <cell r="A3308" t="str">
            <v>RAHUL MERCHANDISING LTD</v>
          </cell>
          <cell r="B3308">
            <v>531887</v>
          </cell>
          <cell r="C3308" t="str">
            <v>Not Listed</v>
          </cell>
        </row>
        <row r="3309">
          <cell r="A3309" t="str">
            <v>RAIDEEP INDUSTRIES LTD</v>
          </cell>
          <cell r="B3309">
            <v>540270</v>
          </cell>
          <cell r="C3309" t="str">
            <v>Not Listed</v>
          </cell>
        </row>
        <row r="3310">
          <cell r="A3310" t="str">
            <v>Rail Vikas Nigam Ltd</v>
          </cell>
          <cell r="B3310">
            <v>542649</v>
          </cell>
          <cell r="C3310" t="str">
            <v>RVNL</v>
          </cell>
        </row>
        <row r="3311">
          <cell r="A3311" t="str">
            <v>RAIN INDUSTRIES LTD</v>
          </cell>
          <cell r="B3311">
            <v>500339</v>
          </cell>
          <cell r="C3311" t="str">
            <v>RAIN</v>
          </cell>
        </row>
        <row r="3312">
          <cell r="A3312" t="str">
            <v>RAINBOW DENIM LTD</v>
          </cell>
          <cell r="B3312">
            <v>532441</v>
          </cell>
          <cell r="C3312" t="str">
            <v>Not Listed</v>
          </cell>
        </row>
        <row r="3313">
          <cell r="A3313" t="str">
            <v>RAINBOW FOUNDATIONS LTD</v>
          </cell>
          <cell r="B3313">
            <v>531694</v>
          </cell>
          <cell r="C3313" t="str">
            <v>Not Listed</v>
          </cell>
        </row>
        <row r="3314">
          <cell r="A3314" t="str">
            <v>RAINBOW PAPERS LTD</v>
          </cell>
          <cell r="B3314">
            <v>523523</v>
          </cell>
          <cell r="C3314" t="str">
            <v>RAINBOWPAP</v>
          </cell>
        </row>
        <row r="3315">
          <cell r="A3315" t="str">
            <v>RAJ PACKAGING INDUSTRIES LTD</v>
          </cell>
          <cell r="B3315">
            <v>530111</v>
          </cell>
          <cell r="C3315" t="str">
            <v>Not Listed</v>
          </cell>
        </row>
        <row r="3316">
          <cell r="A3316" t="str">
            <v>RAJ RAYON INDUSTRIES LTD</v>
          </cell>
          <cell r="B3316">
            <v>530699</v>
          </cell>
          <cell r="C3316" t="str">
            <v>RAJRAYON</v>
          </cell>
        </row>
        <row r="3317">
          <cell r="A3317" t="str">
            <v>RAJ TELEVISION NETWORK LTD</v>
          </cell>
          <cell r="B3317">
            <v>532826</v>
          </cell>
          <cell r="C3317" t="str">
            <v>RAJTV</v>
          </cell>
        </row>
        <row r="3318">
          <cell r="A3318" t="str">
            <v>RAJA BAHADUR INTERNATIONAL LTD</v>
          </cell>
          <cell r="B3318">
            <v>503127</v>
          </cell>
          <cell r="C3318" t="str">
            <v>Not Listed</v>
          </cell>
        </row>
        <row r="3319">
          <cell r="A3319" t="str">
            <v>RAJAPALAYAM MILLS LTD</v>
          </cell>
          <cell r="B3319">
            <v>532503</v>
          </cell>
          <cell r="C3319" t="str">
            <v>Not Listed</v>
          </cell>
        </row>
        <row r="3320">
          <cell r="A3320" t="str">
            <v>RAJASTHAN CYLINDERS &amp; CONTAINERS LTD</v>
          </cell>
          <cell r="B3320">
            <v>538707</v>
          </cell>
          <cell r="C3320" t="str">
            <v>Not Listed</v>
          </cell>
        </row>
        <row r="3321">
          <cell r="A3321" t="str">
            <v>RAJASTHAN GASES LTD</v>
          </cell>
          <cell r="B3321">
            <v>526873</v>
          </cell>
          <cell r="C3321" t="str">
            <v>Not Listed</v>
          </cell>
        </row>
        <row r="3322">
          <cell r="A3322" t="str">
            <v>RAJASTHAN TUBE MANUFACTURING CO LTD</v>
          </cell>
          <cell r="B3322">
            <v>530253</v>
          </cell>
          <cell r="C3322" t="str">
            <v>Not Listed</v>
          </cell>
        </row>
        <row r="3323">
          <cell r="A3323" t="str">
            <v>RAJATH FINANCE LTD</v>
          </cell>
          <cell r="B3323">
            <v>507962</v>
          </cell>
          <cell r="C3323" t="str">
            <v>Not Listed</v>
          </cell>
        </row>
        <row r="3324">
          <cell r="A3324" t="str">
            <v>RAJDARSHAN INDUSTRIES LTD</v>
          </cell>
          <cell r="B3324">
            <v>526662</v>
          </cell>
          <cell r="C3324" t="str">
            <v>ARENTERP</v>
          </cell>
        </row>
        <row r="3325">
          <cell r="A3325" t="str">
            <v>RAJESH EXPORTS LTD</v>
          </cell>
          <cell r="B3325">
            <v>531500</v>
          </cell>
          <cell r="C3325" t="str">
            <v>RAJESHEXPO</v>
          </cell>
        </row>
        <row r="3326">
          <cell r="A3326" t="str">
            <v>RAJESWARI INFRASTRUCTURE LTD</v>
          </cell>
          <cell r="B3326">
            <v>526823</v>
          </cell>
          <cell r="C3326" t="str">
            <v>Not Listed</v>
          </cell>
        </row>
        <row r="3327">
          <cell r="A3327" t="str">
            <v>RAJKAMAL SYNTHETICS LTD</v>
          </cell>
          <cell r="B3327">
            <v>514028</v>
          </cell>
          <cell r="C3327" t="str">
            <v>Not Listed</v>
          </cell>
        </row>
        <row r="3328">
          <cell r="A3328" t="str">
            <v>RAJKOT INVESTMENT TRUST LTD</v>
          </cell>
          <cell r="B3328">
            <v>539495</v>
          </cell>
          <cell r="C3328" t="str">
            <v>Not Listed</v>
          </cell>
        </row>
        <row r="3329">
          <cell r="A3329" t="str">
            <v>RAJKUMAR FORGE LTD</v>
          </cell>
          <cell r="B3329">
            <v>513369</v>
          </cell>
          <cell r="C3329" t="str">
            <v>Not Listed</v>
          </cell>
        </row>
        <row r="3330">
          <cell r="A3330" t="str">
            <v>RAJNANDINI METAL LTD</v>
          </cell>
          <cell r="B3330" t="str">
            <v>Not Listed</v>
          </cell>
          <cell r="C3330" t="str">
            <v>RAJMET</v>
          </cell>
        </row>
        <row r="3331">
          <cell r="A3331" t="str">
            <v>RAJNISH WELLNESS LTD</v>
          </cell>
          <cell r="B3331">
            <v>541601</v>
          </cell>
          <cell r="C3331" t="str">
            <v>Not Listed</v>
          </cell>
        </row>
        <row r="3332">
          <cell r="A3332" t="str">
            <v>RAJOO ENGINEERS LTD</v>
          </cell>
          <cell r="B3332">
            <v>522257</v>
          </cell>
          <cell r="C3332" t="str">
            <v>Not Listed</v>
          </cell>
        </row>
        <row r="3333">
          <cell r="A3333" t="str">
            <v>RAJRATAN GLOBAL WIRE LTD</v>
          </cell>
          <cell r="B3333">
            <v>517522</v>
          </cell>
          <cell r="C3333" t="str">
            <v>Not Listed</v>
          </cell>
        </row>
        <row r="3334">
          <cell r="A3334" t="str">
            <v>RAJSANKET REALTY LTD</v>
          </cell>
          <cell r="B3334">
            <v>512409</v>
          </cell>
          <cell r="C3334" t="str">
            <v>Not Listed</v>
          </cell>
        </row>
        <row r="3335">
          <cell r="A3335" t="str">
            <v>RAJSHREE POLYPACK LTD</v>
          </cell>
          <cell r="B3335" t="str">
            <v>Not Listed</v>
          </cell>
          <cell r="C3335" t="str">
            <v>RPPL</v>
          </cell>
        </row>
        <row r="3336">
          <cell r="A3336" t="str">
            <v>RAJSHREE SUGARS &amp; CHEMICALS LTD</v>
          </cell>
          <cell r="B3336">
            <v>500354</v>
          </cell>
          <cell r="C3336" t="str">
            <v>RAJSREESUG</v>
          </cell>
        </row>
        <row r="3337">
          <cell r="A3337" t="str">
            <v>RAJVIR INDUSTRIES LTD</v>
          </cell>
          <cell r="B3337">
            <v>532665</v>
          </cell>
          <cell r="C3337" t="str">
            <v>RAJVIR</v>
          </cell>
        </row>
        <row r="3338">
          <cell r="A3338" t="str">
            <v>RALLIS (INDIA) LTD</v>
          </cell>
          <cell r="B3338">
            <v>500355</v>
          </cell>
          <cell r="C3338" t="str">
            <v>RALLIS</v>
          </cell>
        </row>
        <row r="3339">
          <cell r="A3339" t="str">
            <v>RALLIS INDIA LTD</v>
          </cell>
          <cell r="B3339">
            <v>500355</v>
          </cell>
          <cell r="C3339" t="str">
            <v>RALLIS</v>
          </cell>
        </row>
        <row r="3340">
          <cell r="A3340" t="str">
            <v>RAM MINERALS AND CHEMICALS LTD</v>
          </cell>
          <cell r="B3340">
            <v>534734</v>
          </cell>
          <cell r="C3340" t="str">
            <v>Not Listed</v>
          </cell>
        </row>
        <row r="3341">
          <cell r="A3341" t="str">
            <v>RAM RATNA WIRES LTD</v>
          </cell>
          <cell r="B3341">
            <v>522281</v>
          </cell>
          <cell r="C3341" t="str">
            <v>Not Listed</v>
          </cell>
        </row>
        <row r="3342">
          <cell r="A3342" t="str">
            <v>RAMA PAPER MILLS LTD</v>
          </cell>
          <cell r="B3342">
            <v>500357</v>
          </cell>
          <cell r="C3342" t="str">
            <v>Not Listed</v>
          </cell>
        </row>
        <row r="3343">
          <cell r="A3343" t="str">
            <v>RAMA PETROCHEMICALS LTD</v>
          </cell>
          <cell r="B3343">
            <v>500358</v>
          </cell>
          <cell r="C3343" t="str">
            <v>Not Listed</v>
          </cell>
        </row>
        <row r="3344">
          <cell r="A3344" t="str">
            <v>RAMA PHOSPHATES LTD</v>
          </cell>
          <cell r="B3344">
            <v>524037</v>
          </cell>
          <cell r="C3344" t="str">
            <v>Not Listed</v>
          </cell>
        </row>
        <row r="3345">
          <cell r="A3345" t="str">
            <v>RAMA PULP &amp; PAPERS LTD</v>
          </cell>
          <cell r="B3345">
            <v>502587</v>
          </cell>
          <cell r="C3345" t="str">
            <v>Not Listed</v>
          </cell>
        </row>
        <row r="3346">
          <cell r="A3346" t="str">
            <v>RAMA STEEL TUBES LTD</v>
          </cell>
          <cell r="B3346">
            <v>539309</v>
          </cell>
          <cell r="C3346" t="str">
            <v>RAMASTEEL</v>
          </cell>
        </row>
        <row r="3347">
          <cell r="A3347" t="str">
            <v>RAMA VISION LTD</v>
          </cell>
          <cell r="B3347">
            <v>523289</v>
          </cell>
          <cell r="C3347" t="str">
            <v>Not Listed</v>
          </cell>
        </row>
        <row r="3348">
          <cell r="A3348" t="str">
            <v>RAMASIGNS INDUSTRIES LTD</v>
          </cell>
          <cell r="B3348">
            <v>515127</v>
          </cell>
          <cell r="C3348" t="str">
            <v>Not Listed</v>
          </cell>
        </row>
        <row r="3349">
          <cell r="A3349" t="str">
            <v>RAMCHANDRA LEASING &amp; FINANCE LTD</v>
          </cell>
          <cell r="B3349">
            <v>538540</v>
          </cell>
          <cell r="C3349" t="str">
            <v>Not Listed</v>
          </cell>
        </row>
        <row r="3350">
          <cell r="A3350" t="str">
            <v>RAMCO INDUSTRIES LTD</v>
          </cell>
          <cell r="B3350">
            <v>532369</v>
          </cell>
          <cell r="C3350" t="str">
            <v>RAMCOIND</v>
          </cell>
        </row>
        <row r="3351">
          <cell r="A3351" t="str">
            <v>RAMCO SYSTEMS LTD</v>
          </cell>
          <cell r="B3351">
            <v>532370</v>
          </cell>
          <cell r="C3351" t="str">
            <v>RAMCOSYS</v>
          </cell>
        </row>
        <row r="3352">
          <cell r="A3352" t="str">
            <v>RAMGOPAL POLYTEX LTD</v>
          </cell>
          <cell r="B3352">
            <v>514223</v>
          </cell>
          <cell r="C3352" t="str">
            <v>RAMGOPOLY</v>
          </cell>
        </row>
        <row r="3353">
          <cell r="A3353" t="str">
            <v>RAMINFO LTD</v>
          </cell>
          <cell r="B3353">
            <v>530951</v>
          </cell>
          <cell r="C3353" t="str">
            <v>Not Listed</v>
          </cell>
        </row>
        <row r="3354">
          <cell r="A3354" t="str">
            <v>RAMKRISHNA FORGINGS LTD</v>
          </cell>
          <cell r="B3354">
            <v>532527</v>
          </cell>
          <cell r="C3354" t="str">
            <v>RKFORGE</v>
          </cell>
        </row>
        <row r="3355">
          <cell r="A3355" t="str">
            <v>RAMKY INFRASTRUCTURE LTD</v>
          </cell>
          <cell r="B3355">
            <v>533262</v>
          </cell>
          <cell r="C3355" t="str">
            <v>RAMKY</v>
          </cell>
        </row>
        <row r="3356">
          <cell r="A3356" t="str">
            <v>RAMSARUP INDUSTRIES LTD</v>
          </cell>
          <cell r="B3356">
            <v>532690</v>
          </cell>
          <cell r="C3356" t="str">
            <v>RAMSARUP</v>
          </cell>
        </row>
        <row r="3357">
          <cell r="A3357" t="str">
            <v>RAMSONS PROJECTS LTD</v>
          </cell>
          <cell r="B3357">
            <v>530925</v>
          </cell>
          <cell r="C3357" t="str">
            <v>Not Listed</v>
          </cell>
        </row>
        <row r="3358">
          <cell r="A3358" t="str">
            <v>RANA SUGARS LTD</v>
          </cell>
          <cell r="B3358">
            <v>507490</v>
          </cell>
          <cell r="C3358" t="str">
            <v>RANASUG</v>
          </cell>
        </row>
        <row r="3359">
          <cell r="A3359" t="str">
            <v>RANDER CORPORATION LTD</v>
          </cell>
          <cell r="B3359">
            <v>531228</v>
          </cell>
          <cell r="C3359" t="str">
            <v>Not Listed</v>
          </cell>
        </row>
        <row r="3360">
          <cell r="A3360" t="str">
            <v>RANE BRAKE LINING LTD</v>
          </cell>
          <cell r="B3360">
            <v>532987</v>
          </cell>
          <cell r="C3360" t="str">
            <v>RBL</v>
          </cell>
        </row>
        <row r="3361">
          <cell r="A3361" t="str">
            <v>RANE ENGINE VALVE LTD</v>
          </cell>
          <cell r="B3361">
            <v>532988</v>
          </cell>
          <cell r="C3361" t="str">
            <v>RANEENGINE</v>
          </cell>
        </row>
        <row r="3362">
          <cell r="A3362" t="str">
            <v>RANE HOLDINGS LTD</v>
          </cell>
          <cell r="B3362">
            <v>505800</v>
          </cell>
          <cell r="C3362" t="str">
            <v>RANEHOLDIN</v>
          </cell>
        </row>
        <row r="3363">
          <cell r="A3363" t="str">
            <v>RANE MADRAS LTD</v>
          </cell>
          <cell r="B3363">
            <v>532661</v>
          </cell>
          <cell r="C3363" t="str">
            <v>RML</v>
          </cell>
        </row>
        <row r="3364">
          <cell r="A3364" t="str">
            <v>RANJEET MECHATRONICS LTD</v>
          </cell>
          <cell r="B3364">
            <v>541945</v>
          </cell>
          <cell r="C3364" t="str">
            <v>Not Listed</v>
          </cell>
        </row>
        <row r="3365">
          <cell r="A3365" t="str">
            <v>RAP MEDIA LTD</v>
          </cell>
          <cell r="B3365">
            <v>531583</v>
          </cell>
          <cell r="C3365" t="str">
            <v>Not Listed</v>
          </cell>
        </row>
        <row r="3366">
          <cell r="A3366" t="str">
            <v>RAPICUT CARBIDES LTD</v>
          </cell>
          <cell r="B3366">
            <v>500360</v>
          </cell>
          <cell r="C3366" t="str">
            <v>Not Listed</v>
          </cell>
        </row>
        <row r="3367">
          <cell r="A3367" t="str">
            <v>RAPID INVESTMENTS LTD</v>
          </cell>
          <cell r="B3367">
            <v>501351</v>
          </cell>
          <cell r="C3367" t="str">
            <v>Not Listed</v>
          </cell>
        </row>
        <row r="3368">
          <cell r="A3368" t="str">
            <v>RAS RESORTS &amp; APART HOTELS LTD</v>
          </cell>
          <cell r="B3368">
            <v>507966</v>
          </cell>
          <cell r="C3368" t="str">
            <v>Not Listed</v>
          </cell>
        </row>
        <row r="3369">
          <cell r="A3369" t="str">
            <v>RASANDIK ENGINEERING INDUSTRIES (INDIA) LTD</v>
          </cell>
          <cell r="B3369">
            <v>522207</v>
          </cell>
          <cell r="C3369" t="str">
            <v>Not Listed</v>
          </cell>
        </row>
        <row r="3370">
          <cell r="A3370" t="str">
            <v>RASANDIK ENGINEERING INDUSTRIES INDIA LTD</v>
          </cell>
          <cell r="B3370">
            <v>522207</v>
          </cell>
          <cell r="C3370" t="str">
            <v>Not Listed</v>
          </cell>
        </row>
        <row r="3371">
          <cell r="A3371" t="str">
            <v>RASHTRIYA CHEMICALS AND FERTILIZERS LTD</v>
          </cell>
          <cell r="B3371">
            <v>524230</v>
          </cell>
          <cell r="C3371" t="str">
            <v>RCF</v>
          </cell>
        </row>
        <row r="3372">
          <cell r="A3372" t="str">
            <v>RASI ELECTRODES LTD</v>
          </cell>
          <cell r="B3372">
            <v>531233</v>
          </cell>
          <cell r="C3372" t="str">
            <v>Not Listed</v>
          </cell>
        </row>
        <row r="3373">
          <cell r="A3373" t="str">
            <v>RASOI LTD</v>
          </cell>
          <cell r="B3373">
            <v>507649</v>
          </cell>
          <cell r="C3373" t="str">
            <v>Not Listed</v>
          </cell>
        </row>
        <row r="3374">
          <cell r="A3374" t="str">
            <v>RATHI BARS LTD</v>
          </cell>
          <cell r="B3374">
            <v>532918</v>
          </cell>
          <cell r="C3374" t="str">
            <v>Not Listed</v>
          </cell>
        </row>
        <row r="3375">
          <cell r="A3375" t="str">
            <v>RATHI GRAPHIC TECHNOLOGIES LTD</v>
          </cell>
          <cell r="B3375">
            <v>524610</v>
          </cell>
          <cell r="C3375" t="str">
            <v>Not Listed</v>
          </cell>
        </row>
        <row r="3376">
          <cell r="A3376" t="str">
            <v>RATNABHUMI DEVELOPERS LTD</v>
          </cell>
          <cell r="B3376">
            <v>540796</v>
          </cell>
          <cell r="C3376" t="str">
            <v>Not Listed</v>
          </cell>
        </row>
        <row r="3377">
          <cell r="A3377" t="str">
            <v>RATNAMANI METALS &amp; TUBES LTD</v>
          </cell>
          <cell r="B3377">
            <v>520111</v>
          </cell>
          <cell r="C3377" t="str">
            <v>RATNAMANI</v>
          </cell>
        </row>
        <row r="3378">
          <cell r="A3378" t="str">
            <v>RATTANINDIA INFRASTRUCTURE LTD</v>
          </cell>
          <cell r="B3378">
            <v>534597</v>
          </cell>
          <cell r="C3378" t="str">
            <v>RTNINFRA</v>
          </cell>
        </row>
        <row r="3379">
          <cell r="A3379" t="str">
            <v>RATTANINDIA POWER LTD</v>
          </cell>
          <cell r="B3379">
            <v>533122</v>
          </cell>
          <cell r="C3379" t="str">
            <v>RTNPOWER</v>
          </cell>
        </row>
        <row r="3380">
          <cell r="A3380" t="str">
            <v>RAUNAQ EPC INTERNATIONAL LTD</v>
          </cell>
          <cell r="B3380">
            <v>537840</v>
          </cell>
          <cell r="C3380" t="str">
            <v>Not Listed</v>
          </cell>
        </row>
        <row r="3381">
          <cell r="A3381" t="str">
            <v>RAVALGAON SUGAR FARM LTD</v>
          </cell>
          <cell r="B3381">
            <v>507300</v>
          </cell>
          <cell r="C3381" t="str">
            <v>Not Listed</v>
          </cell>
        </row>
        <row r="3382">
          <cell r="A3382" t="str">
            <v>RAVI KUMAR DISTILLERIES LTD</v>
          </cell>
          <cell r="B3382">
            <v>533294</v>
          </cell>
          <cell r="C3382" t="str">
            <v>RKDL</v>
          </cell>
        </row>
        <row r="3383">
          <cell r="A3383" t="str">
            <v>RAVILEELA GRANITES LTD</v>
          </cell>
          <cell r="B3383">
            <v>526095</v>
          </cell>
          <cell r="C3383" t="str">
            <v>Not Listed</v>
          </cell>
        </row>
        <row r="3384">
          <cell r="A3384" t="str">
            <v>RAVINDRA ENERGY LTD</v>
          </cell>
          <cell r="B3384">
            <v>504341</v>
          </cell>
          <cell r="C3384" t="str">
            <v>Not Listed</v>
          </cell>
        </row>
        <row r="3385">
          <cell r="A3385" t="str">
            <v>RAW EDGE INDUSTRIAL SOLUTIONS LTD</v>
          </cell>
          <cell r="B3385">
            <v>541634</v>
          </cell>
          <cell r="C3385" t="str">
            <v>Not Listed</v>
          </cell>
        </row>
        <row r="3386">
          <cell r="A3386" t="str">
            <v>RAYMED LABS LTD</v>
          </cell>
          <cell r="B3386">
            <v>531207</v>
          </cell>
          <cell r="C3386" t="str">
            <v>Not Listed</v>
          </cell>
        </row>
        <row r="3387">
          <cell r="A3387" t="str">
            <v>RAYMOND LTD</v>
          </cell>
          <cell r="B3387">
            <v>500330</v>
          </cell>
          <cell r="C3387" t="str">
            <v>RAYMOND</v>
          </cell>
        </row>
        <row r="3388">
          <cell r="A3388" t="str">
            <v>RBL BANK LTD</v>
          </cell>
          <cell r="B3388">
            <v>540065</v>
          </cell>
          <cell r="C3388" t="str">
            <v>RBLBANK</v>
          </cell>
        </row>
        <row r="3389">
          <cell r="A3389" t="str">
            <v>RCC CEMENTS LTD</v>
          </cell>
          <cell r="B3389">
            <v>531825</v>
          </cell>
          <cell r="C3389" t="str">
            <v>Not Listed</v>
          </cell>
        </row>
        <row r="3390">
          <cell r="A3390" t="str">
            <v>RCI INDUSTRIES &amp; TECHNOLOGIES LTD</v>
          </cell>
          <cell r="B3390">
            <v>537254</v>
          </cell>
          <cell r="C3390" t="str">
            <v>Not Listed</v>
          </cell>
        </row>
        <row r="3391">
          <cell r="A3391" t="str">
            <v>RCL RETAIL LTD</v>
          </cell>
          <cell r="B3391">
            <v>534708</v>
          </cell>
          <cell r="C3391" t="str">
            <v>Not Listed</v>
          </cell>
        </row>
        <row r="3392">
          <cell r="A3392" t="str">
            <v>RDB RASAYANS LTD</v>
          </cell>
          <cell r="B3392">
            <v>533608</v>
          </cell>
          <cell r="C3392" t="str">
            <v>Not Listed</v>
          </cell>
        </row>
        <row r="3393">
          <cell r="A3393" t="str">
            <v>RDB REALTY &amp; INFRASTRUCTURE LTD</v>
          </cell>
          <cell r="B3393">
            <v>533285</v>
          </cell>
          <cell r="C3393" t="str">
            <v>Not Listed</v>
          </cell>
        </row>
        <row r="3394">
          <cell r="A3394" t="str">
            <v>REAL GROWTH COMMERCIAL ENTERPRISES LTD</v>
          </cell>
          <cell r="B3394">
            <v>539691</v>
          </cell>
          <cell r="C3394" t="str">
            <v>Not Listed</v>
          </cell>
        </row>
        <row r="3395">
          <cell r="A3395" t="str">
            <v>REAL NEWS &amp; VIEWS LTD</v>
          </cell>
          <cell r="B3395">
            <v>530053</v>
          </cell>
          <cell r="C3395" t="str">
            <v>Not Listed</v>
          </cell>
        </row>
        <row r="3396">
          <cell r="A3396" t="str">
            <v>REAL STRIPS LTD</v>
          </cell>
          <cell r="B3396">
            <v>513558</v>
          </cell>
          <cell r="C3396" t="str">
            <v>Not Listed</v>
          </cell>
        </row>
        <row r="3397">
          <cell r="A3397" t="str">
            <v>REAL TOUCH FINANCE LTD</v>
          </cell>
          <cell r="B3397">
            <v>538611</v>
          </cell>
          <cell r="C3397" t="str">
            <v>Not Listed</v>
          </cell>
        </row>
        <row r="3398">
          <cell r="A3398" t="str">
            <v>REC LTD</v>
          </cell>
          <cell r="B3398">
            <v>532955</v>
          </cell>
          <cell r="C3398" t="str">
            <v>RECLTD</v>
          </cell>
        </row>
        <row r="3399">
          <cell r="A3399" t="str">
            <v>REDEX PROTECH LTD</v>
          </cell>
          <cell r="B3399">
            <v>523650</v>
          </cell>
          <cell r="C3399" t="str">
            <v>Not Listed</v>
          </cell>
        </row>
        <row r="3400">
          <cell r="A3400" t="str">
            <v>REDINGTON (INDIA) LTD</v>
          </cell>
          <cell r="B3400">
            <v>532805</v>
          </cell>
          <cell r="C3400" t="str">
            <v>REDINGTON</v>
          </cell>
        </row>
        <row r="3401">
          <cell r="A3401" t="str">
            <v>REDINGTON INDIA LTD</v>
          </cell>
          <cell r="B3401">
            <v>532805</v>
          </cell>
          <cell r="C3401" t="str">
            <v>REDINGTON</v>
          </cell>
        </row>
        <row r="3402">
          <cell r="A3402" t="str">
            <v>REFEX INDUSTRIES LTD</v>
          </cell>
          <cell r="B3402">
            <v>532884</v>
          </cell>
          <cell r="C3402" t="str">
            <v>REFEX</v>
          </cell>
        </row>
        <row r="3403">
          <cell r="A3403" t="str">
            <v>REFNOL RESINS &amp; CHEMICALS LTD</v>
          </cell>
          <cell r="B3403">
            <v>530815</v>
          </cell>
          <cell r="C3403" t="str">
            <v>Not Listed</v>
          </cell>
        </row>
        <row r="3404">
          <cell r="A3404" t="str">
            <v>REGAL ENTERTAINMENT &amp; CONSULTANTS LTD</v>
          </cell>
          <cell r="B3404">
            <v>531033</v>
          </cell>
          <cell r="C3404" t="str">
            <v>Not Listed</v>
          </cell>
        </row>
        <row r="3405">
          <cell r="A3405" t="str">
            <v>REGALIAA REALTY LTD</v>
          </cell>
          <cell r="B3405">
            <v>530807</v>
          </cell>
          <cell r="C3405" t="str">
            <v>Not Listed</v>
          </cell>
        </row>
        <row r="3406">
          <cell r="A3406" t="str">
            <v>REGENCY CERAMICS LTD</v>
          </cell>
          <cell r="B3406">
            <v>515018</v>
          </cell>
          <cell r="C3406" t="str">
            <v>REGENCERAM</v>
          </cell>
        </row>
        <row r="3407">
          <cell r="A3407" t="str">
            <v>REGENCY INVESTMENTS LTD</v>
          </cell>
          <cell r="B3407">
            <v>540175</v>
          </cell>
          <cell r="C3407" t="str">
            <v>Not Listed</v>
          </cell>
        </row>
        <row r="3408">
          <cell r="A3408" t="str">
            <v>REGENCY TRUST LTD</v>
          </cell>
          <cell r="B3408">
            <v>511585</v>
          </cell>
          <cell r="C3408" t="str">
            <v>Not Listed</v>
          </cell>
        </row>
        <row r="3409">
          <cell r="A3409" t="str">
            <v>REGENT ENTERPRISES LTD</v>
          </cell>
          <cell r="B3409">
            <v>512624</v>
          </cell>
          <cell r="C3409" t="str">
            <v>Not Listed</v>
          </cell>
        </row>
        <row r="3410">
          <cell r="A3410" t="str">
            <v>REIL ELECTRICALS (INDIA) LTD</v>
          </cell>
          <cell r="B3410">
            <v>505817</v>
          </cell>
          <cell r="C3410" t="str">
            <v>Not Listed</v>
          </cell>
        </row>
        <row r="3411">
          <cell r="A3411" t="str">
            <v>REIL ELECTRICALS INDIA LTD</v>
          </cell>
          <cell r="B3411">
            <v>505817</v>
          </cell>
          <cell r="C3411" t="str">
            <v>Not Listed</v>
          </cell>
        </row>
        <row r="3412">
          <cell r="A3412" t="str">
            <v>REKVINA LABORATORIES LTD</v>
          </cell>
          <cell r="B3412">
            <v>526075</v>
          </cell>
          <cell r="C3412" t="str">
            <v>Not Listed</v>
          </cell>
        </row>
        <row r="3413">
          <cell r="A3413" t="str">
            <v>RELAXO FOOTWEARS LTD</v>
          </cell>
          <cell r="B3413">
            <v>530517</v>
          </cell>
          <cell r="C3413" t="str">
            <v>RELAXO</v>
          </cell>
        </row>
        <row r="3414">
          <cell r="A3414" t="str">
            <v>RELIABLE DATA SERVICES LTD</v>
          </cell>
          <cell r="B3414" t="str">
            <v>Not Listed</v>
          </cell>
          <cell r="C3414" t="str">
            <v>RELIABLE</v>
          </cell>
        </row>
        <row r="3415">
          <cell r="A3415" t="str">
            <v>RELIABLE VENTURES (INDIA) LTD</v>
          </cell>
          <cell r="B3415">
            <v>532124</v>
          </cell>
          <cell r="C3415" t="str">
            <v>Not Listed</v>
          </cell>
        </row>
        <row r="3416">
          <cell r="A3416" t="str">
            <v>RELIABLE VENTURES INDIA LTD</v>
          </cell>
          <cell r="B3416">
            <v>532124</v>
          </cell>
          <cell r="C3416" t="str">
            <v>Not Listed</v>
          </cell>
        </row>
        <row r="3417">
          <cell r="A3417" t="str">
            <v>RELIANCE CAPITAL LTD</v>
          </cell>
          <cell r="B3417">
            <v>500111</v>
          </cell>
          <cell r="C3417" t="str">
            <v>RELCAPITAL</v>
          </cell>
        </row>
        <row r="3418">
          <cell r="A3418" t="str">
            <v>RELIANCE CHEMOTEX INDUSTRIES LTD</v>
          </cell>
          <cell r="B3418">
            <v>503162</v>
          </cell>
          <cell r="C3418" t="str">
            <v>Not Listed</v>
          </cell>
        </row>
        <row r="3419">
          <cell r="A3419" t="str">
            <v>RELIANCE COMMUNICATIONS LTD</v>
          </cell>
          <cell r="B3419">
            <v>532712</v>
          </cell>
          <cell r="C3419" t="str">
            <v>RCOM</v>
          </cell>
        </row>
        <row r="3420">
          <cell r="A3420" t="str">
            <v>Reliance ETF Bank BeES</v>
          </cell>
          <cell r="B3420">
            <v>590106</v>
          </cell>
          <cell r="C3420" t="str">
            <v>BANKBEES</v>
          </cell>
        </row>
        <row r="3421">
          <cell r="A3421" t="str">
            <v>Reliance ETF Gold BeES</v>
          </cell>
          <cell r="B3421">
            <v>590095</v>
          </cell>
          <cell r="C3421" t="str">
            <v>GOLDBEES</v>
          </cell>
        </row>
        <row r="3422">
          <cell r="A3422" t="str">
            <v>Reliance ETF Hang Seng BeES</v>
          </cell>
          <cell r="B3422">
            <v>590113</v>
          </cell>
          <cell r="C3422" t="str">
            <v>HNGSNGBEES</v>
          </cell>
        </row>
        <row r="3423">
          <cell r="A3423" t="str">
            <v>Reliance ETF Junior BeES</v>
          </cell>
          <cell r="B3423">
            <v>590104</v>
          </cell>
          <cell r="C3423" t="str">
            <v>JUNIORBEES</v>
          </cell>
        </row>
        <row r="3424">
          <cell r="A3424" t="str">
            <v>Reliance ETF Nifty BeES</v>
          </cell>
          <cell r="B3424">
            <v>590103</v>
          </cell>
          <cell r="C3424" t="str">
            <v>NIFTYBEES</v>
          </cell>
        </row>
        <row r="3425">
          <cell r="A3425" t="str">
            <v>Reliance ETF PSU Bank BeES</v>
          </cell>
          <cell r="B3425">
            <v>590108</v>
          </cell>
          <cell r="C3425" t="str">
            <v>PSUBNKBEES</v>
          </cell>
        </row>
        <row r="3426">
          <cell r="A3426" t="str">
            <v>Reliance ETF Shariah BeES</v>
          </cell>
          <cell r="B3426">
            <v>590109</v>
          </cell>
          <cell r="C3426" t="str">
            <v>SHARIABEES</v>
          </cell>
        </row>
        <row r="3427">
          <cell r="A3427" t="str">
            <v>RELIANCE HOME FINANCE LTD</v>
          </cell>
          <cell r="B3427">
            <v>540709</v>
          </cell>
          <cell r="C3427" t="str">
            <v>RHFL</v>
          </cell>
        </row>
        <row r="3428">
          <cell r="A3428" t="str">
            <v>RELIANCE INDUSTRIAL INFRASTRUCTURE LTD</v>
          </cell>
          <cell r="B3428">
            <v>523445</v>
          </cell>
          <cell r="C3428" t="str">
            <v>RIIL</v>
          </cell>
        </row>
        <row r="3429">
          <cell r="A3429" t="str">
            <v>RELIANCE INDUSTRIES LTD</v>
          </cell>
          <cell r="B3429">
            <v>500325</v>
          </cell>
          <cell r="C3429" t="str">
            <v>RELIANCE</v>
          </cell>
        </row>
        <row r="3430">
          <cell r="A3430" t="str">
            <v>RELIANCE INFRASTRUCTURE LTD</v>
          </cell>
          <cell r="B3430">
            <v>500390</v>
          </cell>
          <cell r="C3430" t="str">
            <v>RELINFRA</v>
          </cell>
        </row>
        <row r="3431">
          <cell r="A3431" t="str">
            <v>RELIANCE NAVAL AND ENGINEERING LTD</v>
          </cell>
          <cell r="B3431">
            <v>533107</v>
          </cell>
          <cell r="C3431" t="str">
            <v>RNAVAL</v>
          </cell>
        </row>
        <row r="3432">
          <cell r="A3432" t="str">
            <v>RELIANCE NIPPON LIFE ASSET MANAGEMENT LTD</v>
          </cell>
          <cell r="B3432">
            <v>540767</v>
          </cell>
          <cell r="C3432" t="str">
            <v>RNAM</v>
          </cell>
        </row>
        <row r="3433">
          <cell r="A3433" t="str">
            <v>RELIANCE POWER LTD</v>
          </cell>
          <cell r="B3433">
            <v>532939</v>
          </cell>
          <cell r="C3433" t="str">
            <v>RPOWER</v>
          </cell>
        </row>
        <row r="3434">
          <cell r="A3434" t="str">
            <v>RELIC TECHNOLOGIES LTD</v>
          </cell>
          <cell r="B3434">
            <v>511712</v>
          </cell>
          <cell r="C3434" t="str">
            <v>Not Listed</v>
          </cell>
        </row>
        <row r="3435">
          <cell r="A3435" t="str">
            <v>RELICAB CABLE MANUFACTURING LTD</v>
          </cell>
          <cell r="B3435">
            <v>539760</v>
          </cell>
          <cell r="C3435" t="str">
            <v>Not Listed</v>
          </cell>
        </row>
        <row r="3436">
          <cell r="A3436" t="str">
            <v>RELIGARE ENTERPRISES LTD</v>
          </cell>
          <cell r="B3436">
            <v>532915</v>
          </cell>
          <cell r="C3436" t="str">
            <v>RELIGARE</v>
          </cell>
        </row>
        <row r="3437">
          <cell r="A3437" t="str">
            <v>RELSTRUCT BUILDCON LTD</v>
          </cell>
          <cell r="B3437">
            <v>540426</v>
          </cell>
          <cell r="C3437" t="str">
            <v>Not Listed</v>
          </cell>
        </row>
        <row r="3438">
          <cell r="A3438" t="str">
            <v>REMI EDELSTAHL TUBULARS LTD</v>
          </cell>
          <cell r="B3438">
            <v>513043</v>
          </cell>
          <cell r="C3438" t="str">
            <v>Not Listed</v>
          </cell>
        </row>
        <row r="3439">
          <cell r="A3439" t="str">
            <v>REMI ELEKTROTECHNIK LTD</v>
          </cell>
          <cell r="B3439">
            <v>512487</v>
          </cell>
          <cell r="C3439" t="str">
            <v>Not Listed</v>
          </cell>
        </row>
        <row r="3440">
          <cell r="A3440" t="str">
            <v>REMI PROCESS PLANT &amp; MACHINERY LTD</v>
          </cell>
          <cell r="B3440">
            <v>505658</v>
          </cell>
          <cell r="C3440" t="str">
            <v>Not Listed</v>
          </cell>
        </row>
        <row r="3441">
          <cell r="A3441" t="str">
            <v>REMI SALES &amp; ENGINEERING LTD</v>
          </cell>
          <cell r="B3441">
            <v>504360</v>
          </cell>
          <cell r="C3441" t="str">
            <v>Not Listed</v>
          </cell>
        </row>
        <row r="3442">
          <cell r="A3442" t="str">
            <v>REMI SECURITIES LTD</v>
          </cell>
          <cell r="B3442">
            <v>511149</v>
          </cell>
          <cell r="C3442" t="str">
            <v>Not Listed</v>
          </cell>
        </row>
        <row r="3443">
          <cell r="A3443" t="str">
            <v>REMSONS INDUSTRIES LTD.</v>
          </cell>
          <cell r="B3443">
            <v>530919</v>
          </cell>
          <cell r="C3443" t="str">
            <v>REMSONSIND</v>
          </cell>
        </row>
        <row r="3444">
          <cell r="A3444" t="str">
            <v>Renaissance Global LTD</v>
          </cell>
          <cell r="B3444" t="str">
            <v>Not Listed</v>
          </cell>
          <cell r="C3444" t="str">
            <v>RGL</v>
          </cell>
        </row>
        <row r="3445">
          <cell r="A3445" t="str">
            <v>RENAISSANCE JEWELLERY LTD</v>
          </cell>
          <cell r="B3445">
            <v>532923</v>
          </cell>
          <cell r="C3445" t="str">
            <v>RJL</v>
          </cell>
        </row>
        <row r="3446">
          <cell r="A3446" t="str">
            <v>REPCO HOME FINANCE LTD</v>
          </cell>
          <cell r="B3446">
            <v>535322</v>
          </cell>
          <cell r="C3446" t="str">
            <v>REPCOHOME</v>
          </cell>
        </row>
        <row r="3447">
          <cell r="A3447" t="str">
            <v>REPRO (INDIA) LTD</v>
          </cell>
          <cell r="B3447">
            <v>532687</v>
          </cell>
          <cell r="C3447" t="str">
            <v>REPRO</v>
          </cell>
        </row>
        <row r="3448">
          <cell r="A3448" t="str">
            <v>REPRO INDIA LTD</v>
          </cell>
          <cell r="B3448">
            <v>532687</v>
          </cell>
          <cell r="C3448" t="str">
            <v>REPRO</v>
          </cell>
        </row>
        <row r="3449">
          <cell r="A3449" t="str">
            <v>RESONANCE SPECIALTIES LTD</v>
          </cell>
          <cell r="B3449">
            <v>524218</v>
          </cell>
          <cell r="C3449" t="str">
            <v>Not Listed</v>
          </cell>
        </row>
        <row r="3450">
          <cell r="A3450" t="str">
            <v>RESPONSIVE INDUSTRIES LTD</v>
          </cell>
          <cell r="B3450">
            <v>505509</v>
          </cell>
          <cell r="C3450" t="str">
            <v>RESPONIND</v>
          </cell>
        </row>
        <row r="3451">
          <cell r="A3451" t="str">
            <v>RESTILE CERAMICS LTD</v>
          </cell>
          <cell r="B3451">
            <v>515085</v>
          </cell>
          <cell r="C3451" t="str">
            <v>Not Listed</v>
          </cell>
        </row>
        <row r="3452">
          <cell r="A3452" t="str">
            <v>Retro Green Revolution Ltd</v>
          </cell>
          <cell r="B3452">
            <v>519191</v>
          </cell>
          <cell r="C3452" t="str">
            <v>RGRL</v>
          </cell>
        </row>
        <row r="3453">
          <cell r="A3453" t="str">
            <v>REVATHI EQUIPMENT LTD</v>
          </cell>
          <cell r="B3453">
            <v>505368</v>
          </cell>
          <cell r="C3453" t="str">
            <v>REVATHI</v>
          </cell>
        </row>
        <row r="3454">
          <cell r="A3454" t="str">
            <v>REXNORD ELECTRONICS &amp; CONTROLS LTD</v>
          </cell>
          <cell r="B3454">
            <v>531888</v>
          </cell>
          <cell r="C3454" t="str">
            <v>Not Listed</v>
          </cell>
        </row>
        <row r="3455">
          <cell r="A3455" t="str">
            <v>RGF CAPITAL MARKETS LTD</v>
          </cell>
          <cell r="B3455">
            <v>539669</v>
          </cell>
          <cell r="C3455" t="str">
            <v>Not Listed</v>
          </cell>
        </row>
        <row r="3456">
          <cell r="A3456" t="str">
            <v>RIBA TEXTILES LTD</v>
          </cell>
          <cell r="B3456">
            <v>531952</v>
          </cell>
          <cell r="C3456" t="str">
            <v>Not Listed</v>
          </cell>
        </row>
        <row r="3457">
          <cell r="A3457" t="str">
            <v>RICH UNIVERSE NETWORK LTD</v>
          </cell>
          <cell r="B3457">
            <v>530271</v>
          </cell>
          <cell r="C3457" t="str">
            <v>Not Listed</v>
          </cell>
        </row>
        <row r="3458">
          <cell r="A3458" t="str">
            <v>RICHA INDUSTRIES LTD</v>
          </cell>
          <cell r="B3458">
            <v>532766</v>
          </cell>
          <cell r="C3458" t="str">
            <v>Not Listed</v>
          </cell>
        </row>
        <row r="3459">
          <cell r="A3459" t="str">
            <v>RICHFIELD FINANCIAL SERVICES LTD</v>
          </cell>
          <cell r="B3459">
            <v>539435</v>
          </cell>
          <cell r="C3459" t="str">
            <v>Not Listed</v>
          </cell>
        </row>
        <row r="3460">
          <cell r="A3460" t="str">
            <v>RICHIRICH INVENTURES LTD</v>
          </cell>
          <cell r="B3460">
            <v>519230</v>
          </cell>
          <cell r="C3460" t="str">
            <v>Not Listed</v>
          </cell>
        </row>
        <row r="3461">
          <cell r="A3461" t="str">
            <v>RICO AUTO INDUSTRIES LTD</v>
          </cell>
          <cell r="B3461">
            <v>520008</v>
          </cell>
          <cell r="C3461" t="str">
            <v>RICOAUTO</v>
          </cell>
        </row>
        <row r="3462">
          <cell r="A3462" t="str">
            <v>RIDDHI CORPORATE SERVICES LTD</v>
          </cell>
          <cell r="B3462">
            <v>540590</v>
          </cell>
          <cell r="C3462" t="str">
            <v>Not Listed</v>
          </cell>
        </row>
        <row r="3463">
          <cell r="A3463" t="str">
            <v>RIDDHI SIDDHI GLUCO BIOLS LTD</v>
          </cell>
          <cell r="B3463">
            <v>524480</v>
          </cell>
          <cell r="C3463" t="str">
            <v>Not Listed</v>
          </cell>
        </row>
        <row r="3464">
          <cell r="A3464" t="str">
            <v>RIDDHI STEEL AND TUBE LTD</v>
          </cell>
          <cell r="B3464">
            <v>540082</v>
          </cell>
          <cell r="C3464" t="str">
            <v>Not Listed</v>
          </cell>
        </row>
        <row r="3465">
          <cell r="A3465" t="str">
            <v>RIDHI SYNTHETICS LTD</v>
          </cell>
          <cell r="B3465">
            <v>504365</v>
          </cell>
          <cell r="C3465" t="str">
            <v>Not Listed</v>
          </cell>
        </row>
        <row r="3466">
          <cell r="A3466" t="str">
            <v>RIDINGS CONSULTING ENGINEERS (INDIA) LTD</v>
          </cell>
          <cell r="B3466">
            <v>541151</v>
          </cell>
          <cell r="C3466" t="str">
            <v>Not Listed</v>
          </cell>
        </row>
        <row r="3467">
          <cell r="A3467" t="str">
            <v>RIDINGS CONSULTING ENGINEERS INDIA LTD</v>
          </cell>
          <cell r="B3467">
            <v>541151</v>
          </cell>
          <cell r="C3467" t="str">
            <v>Not Listed</v>
          </cell>
        </row>
        <row r="3468">
          <cell r="A3468" t="str">
            <v>RIGA SUGAR COMPANY LTD</v>
          </cell>
          <cell r="B3468">
            <v>507508</v>
          </cell>
          <cell r="C3468" t="str">
            <v>Not Listed</v>
          </cell>
        </row>
        <row r="3469">
          <cell r="A3469" t="str">
            <v>RISA INTERNATIONAL LTD</v>
          </cell>
          <cell r="B3469">
            <v>530251</v>
          </cell>
          <cell r="C3469" t="str">
            <v>Not Listed</v>
          </cell>
        </row>
        <row r="3470">
          <cell r="A3470" t="str">
            <v>RISHAB SPECIAL YARNS LTD</v>
          </cell>
          <cell r="B3470">
            <v>514177</v>
          </cell>
          <cell r="C3470" t="str">
            <v>Not Listed</v>
          </cell>
        </row>
        <row r="3471">
          <cell r="A3471" t="str">
            <v>RISHABH DIGHA STEEL &amp; ALLIED PRODUCTS LTD</v>
          </cell>
          <cell r="B3471">
            <v>531539</v>
          </cell>
          <cell r="C3471" t="str">
            <v>Not Listed</v>
          </cell>
        </row>
        <row r="3472">
          <cell r="A3472" t="str">
            <v>RISHI LASER LTD</v>
          </cell>
          <cell r="B3472">
            <v>526861</v>
          </cell>
          <cell r="C3472" t="str">
            <v>Not Listed</v>
          </cell>
        </row>
        <row r="3473">
          <cell r="A3473" t="str">
            <v>RISHI TECHTEX LTD</v>
          </cell>
          <cell r="B3473">
            <v>523021</v>
          </cell>
          <cell r="C3473" t="str">
            <v>Not Listed</v>
          </cell>
        </row>
        <row r="3474">
          <cell r="A3474" t="str">
            <v>RISHIROOP LTD</v>
          </cell>
          <cell r="B3474">
            <v>526492</v>
          </cell>
          <cell r="C3474" t="str">
            <v>Not Listed</v>
          </cell>
        </row>
        <row r="3475">
          <cell r="A3475" t="str">
            <v>Ritco Logistics Ltd</v>
          </cell>
          <cell r="B3475">
            <v>542383</v>
          </cell>
          <cell r="C3475" t="str">
            <v>RITCO</v>
          </cell>
        </row>
        <row r="3476">
          <cell r="A3476" t="str">
            <v>RITES LTD</v>
          </cell>
          <cell r="B3476">
            <v>541556</v>
          </cell>
          <cell r="C3476" t="str">
            <v>RITES</v>
          </cell>
        </row>
        <row r="3477">
          <cell r="A3477" t="str">
            <v>RITESH INTERNATIONAL LTD</v>
          </cell>
          <cell r="B3477">
            <v>519097</v>
          </cell>
          <cell r="C3477" t="str">
            <v>Not Listed</v>
          </cell>
        </row>
        <row r="3478">
          <cell r="A3478" t="str">
            <v>RITESH PROPERTIES &amp; INDUSTRIES LTD</v>
          </cell>
          <cell r="B3478">
            <v>526407</v>
          </cell>
          <cell r="C3478" t="str">
            <v>Not Listed</v>
          </cell>
        </row>
        <row r="3479">
          <cell r="A3479" t="str">
            <v>RITHWIK FACILITY MANAGEMENT SERVICES LTD</v>
          </cell>
          <cell r="B3479">
            <v>540843</v>
          </cell>
          <cell r="C3479" t="str">
            <v>Not Listed</v>
          </cell>
        </row>
        <row r="3480">
          <cell r="A3480" t="str">
            <v>RKEC PROJECTS LTD</v>
          </cell>
          <cell r="B3480" t="str">
            <v>Not Listed</v>
          </cell>
          <cell r="C3480" t="str">
            <v>RKEC</v>
          </cell>
        </row>
        <row r="3481">
          <cell r="A3481" t="str">
            <v>RLF LTD</v>
          </cell>
          <cell r="B3481">
            <v>512618</v>
          </cell>
          <cell r="C3481" t="str">
            <v>Not Listed</v>
          </cell>
        </row>
        <row r="3482">
          <cell r="A3482" t="str">
            <v>RMC SWITCHGEARS LTD</v>
          </cell>
          <cell r="B3482">
            <v>540358</v>
          </cell>
          <cell r="C3482" t="str">
            <v>Not Listed</v>
          </cell>
        </row>
        <row r="3483">
          <cell r="A3483" t="str">
            <v>RMG ALLOY STEEL LTD</v>
          </cell>
          <cell r="B3483">
            <v>500365</v>
          </cell>
          <cell r="C3483" t="str">
            <v>Not Listed</v>
          </cell>
        </row>
        <row r="3484">
          <cell r="A3484" t="str">
            <v>ROCKON ENTERPRISES LTD</v>
          </cell>
          <cell r="B3484">
            <v>531447</v>
          </cell>
          <cell r="C3484" t="str">
            <v>Not Listed</v>
          </cell>
        </row>
        <row r="3485">
          <cell r="A3485" t="str">
            <v>RODIUM REALTY LTD</v>
          </cell>
          <cell r="B3485">
            <v>531822</v>
          </cell>
          <cell r="C3485" t="str">
            <v>Not Listed</v>
          </cell>
        </row>
        <row r="3486">
          <cell r="A3486" t="str">
            <v>ROHIT FERRO-TECH LTD</v>
          </cell>
          <cell r="B3486">
            <v>532731</v>
          </cell>
          <cell r="C3486" t="str">
            <v>ROHITFERRO</v>
          </cell>
        </row>
        <row r="3487">
          <cell r="A3487" t="str">
            <v>ROLCON ENGINEERING CO LTD</v>
          </cell>
          <cell r="B3487">
            <v>505807</v>
          </cell>
          <cell r="C3487" t="str">
            <v>Not Listed</v>
          </cell>
        </row>
        <row r="3488">
          <cell r="A3488" t="str">
            <v>ROLLATAINERS LTD</v>
          </cell>
          <cell r="B3488">
            <v>502448</v>
          </cell>
          <cell r="C3488" t="str">
            <v>ROLLT</v>
          </cell>
        </row>
        <row r="3489">
          <cell r="A3489" t="str">
            <v>ROLTA (INDIA) LTD</v>
          </cell>
          <cell r="B3489">
            <v>500366</v>
          </cell>
          <cell r="C3489" t="str">
            <v>ROLTA</v>
          </cell>
        </row>
        <row r="3490">
          <cell r="A3490" t="str">
            <v>ROLTA INDIA LTD</v>
          </cell>
          <cell r="B3490">
            <v>500366</v>
          </cell>
          <cell r="C3490" t="str">
            <v>ROLTA</v>
          </cell>
        </row>
        <row r="3491">
          <cell r="A3491" t="str">
            <v>RONI HOUSEHOLDS LTD</v>
          </cell>
          <cell r="B3491">
            <v>542145</v>
          </cell>
          <cell r="C3491" t="str">
            <v>Not Listed</v>
          </cell>
        </row>
        <row r="3492">
          <cell r="A3492" t="str">
            <v>ROOPA INDUSTRIES LTD</v>
          </cell>
          <cell r="B3492">
            <v>530991</v>
          </cell>
          <cell r="C3492" t="str">
            <v>Not Listed</v>
          </cell>
        </row>
        <row r="3493">
          <cell r="A3493" t="str">
            <v>Roopshri Resorts Ltd</v>
          </cell>
          <cell r="B3493">
            <v>542599</v>
          </cell>
          <cell r="C3493" t="str">
            <v>ROOPSHRI</v>
          </cell>
        </row>
        <row r="3494">
          <cell r="A3494" t="str">
            <v>ROSELABS FINANCE LTD</v>
          </cell>
          <cell r="B3494">
            <v>531324</v>
          </cell>
          <cell r="C3494" t="str">
            <v>Not Listed</v>
          </cell>
        </row>
        <row r="3495">
          <cell r="A3495" t="str">
            <v>ROSSELL (INDIA) LTD</v>
          </cell>
          <cell r="B3495">
            <v>533168</v>
          </cell>
          <cell r="C3495" t="str">
            <v>ROSSELLIND</v>
          </cell>
        </row>
        <row r="3496">
          <cell r="A3496" t="str">
            <v>ROSSELL INDIA LTD</v>
          </cell>
          <cell r="B3496">
            <v>533168</v>
          </cell>
          <cell r="C3496" t="str">
            <v>ROSSELLIND</v>
          </cell>
        </row>
        <row r="3497">
          <cell r="A3497" t="str">
            <v>ROTO PUMPS LTD</v>
          </cell>
          <cell r="B3497">
            <v>517500</v>
          </cell>
          <cell r="C3497" t="str">
            <v>Not Listed</v>
          </cell>
        </row>
        <row r="3498">
          <cell r="A3498" t="str">
            <v>ROTOGRAPHICS (INDIA) LTD</v>
          </cell>
          <cell r="B3498">
            <v>539922</v>
          </cell>
          <cell r="C3498" t="str">
            <v>Not Listed</v>
          </cell>
        </row>
        <row r="3499">
          <cell r="A3499" t="str">
            <v>ROTOGRAPHICS INDIA LTD</v>
          </cell>
          <cell r="B3499">
            <v>539922</v>
          </cell>
          <cell r="C3499" t="str">
            <v>Not Listed</v>
          </cell>
        </row>
        <row r="3500">
          <cell r="A3500" t="str">
            <v>ROYAL CUSHION VINYL PRODUCTS LTD</v>
          </cell>
          <cell r="B3500">
            <v>526193</v>
          </cell>
          <cell r="C3500" t="str">
            <v>Not Listed</v>
          </cell>
        </row>
        <row r="3501">
          <cell r="A3501" t="str">
            <v>ROYAL INDIA CORPORATION LTD</v>
          </cell>
          <cell r="B3501">
            <v>512047</v>
          </cell>
          <cell r="C3501" t="str">
            <v>Not Listed</v>
          </cell>
        </row>
        <row r="3502">
          <cell r="A3502" t="str">
            <v>ROYAL ORCHID HOTELS LTD</v>
          </cell>
          <cell r="B3502">
            <v>532699</v>
          </cell>
          <cell r="C3502" t="str">
            <v>ROHLTD</v>
          </cell>
        </row>
        <row r="3503">
          <cell r="A3503" t="str">
            <v>ROYALE MANOR HOTELS &amp; INDUSTRIES LTD</v>
          </cell>
          <cell r="B3503">
            <v>526640</v>
          </cell>
          <cell r="C3503" t="str">
            <v>Not Listed</v>
          </cell>
        </row>
        <row r="3504">
          <cell r="A3504" t="str">
            <v>RPG LIFE SCIENCES LTD</v>
          </cell>
          <cell r="B3504">
            <v>532983</v>
          </cell>
          <cell r="C3504" t="str">
            <v>RPGLIFE</v>
          </cell>
        </row>
        <row r="3505">
          <cell r="A3505" t="str">
            <v>RR FINANCIAL CONSULTANTS LTD</v>
          </cell>
          <cell r="B3505">
            <v>511626</v>
          </cell>
          <cell r="C3505" t="str">
            <v>Not Listed</v>
          </cell>
        </row>
        <row r="3506">
          <cell r="A3506" t="str">
            <v>RSC INTERNATIONAL LTD</v>
          </cell>
          <cell r="B3506">
            <v>530179</v>
          </cell>
          <cell r="C3506" t="str">
            <v>Not Listed</v>
          </cell>
        </row>
        <row r="3507">
          <cell r="A3507" t="str">
            <v>RSD FINANCE LTD</v>
          </cell>
          <cell r="B3507">
            <v>539875</v>
          </cell>
          <cell r="C3507" t="str">
            <v>Not Listed</v>
          </cell>
        </row>
        <row r="3508">
          <cell r="A3508" t="str">
            <v>RSWM LTD</v>
          </cell>
          <cell r="B3508">
            <v>500350</v>
          </cell>
          <cell r="C3508" t="str">
            <v>RSWM</v>
          </cell>
        </row>
        <row r="3509">
          <cell r="A3509" t="str">
            <v>RTS POWER CORPORATION LTD</v>
          </cell>
          <cell r="B3509">
            <v>531215</v>
          </cell>
          <cell r="C3509" t="str">
            <v>Not Listed</v>
          </cell>
        </row>
        <row r="3510">
          <cell r="A3510" t="str">
            <v>RUBFILA INTERNATIONAL LTD</v>
          </cell>
          <cell r="B3510">
            <v>500367</v>
          </cell>
          <cell r="C3510" t="str">
            <v>Not Listed</v>
          </cell>
        </row>
        <row r="3511">
          <cell r="A3511" t="str">
            <v>RUBRA MEDICAMENTS LTD</v>
          </cell>
          <cell r="B3511">
            <v>531099</v>
          </cell>
          <cell r="C3511" t="str">
            <v>Not Listed</v>
          </cell>
        </row>
        <row r="3512">
          <cell r="A3512" t="str">
            <v>RUCHI INFRASTRUCTURE LTD</v>
          </cell>
          <cell r="B3512">
            <v>509020</v>
          </cell>
          <cell r="C3512" t="str">
            <v>RUCHINFRA</v>
          </cell>
        </row>
        <row r="3513">
          <cell r="A3513" t="str">
            <v>RUCHI SOYA INDUSTRIES LTD</v>
          </cell>
          <cell r="B3513">
            <v>500368</v>
          </cell>
          <cell r="C3513" t="str">
            <v>RUCHISOYA</v>
          </cell>
        </row>
        <row r="3514">
          <cell r="A3514" t="str">
            <v>RUCHIKA INDUSTRIES (INDIA) LTD</v>
          </cell>
          <cell r="B3514">
            <v>540696</v>
          </cell>
          <cell r="C3514" t="str">
            <v>Not Listed</v>
          </cell>
        </row>
        <row r="3515">
          <cell r="A3515" t="str">
            <v>RUCHIKA INDUSTRIES INDIA LTD</v>
          </cell>
          <cell r="B3515">
            <v>540696</v>
          </cell>
          <cell r="C3515" t="str">
            <v>Not Listed</v>
          </cell>
        </row>
        <row r="3516">
          <cell r="A3516" t="str">
            <v>RUCHIRA PAPERS LTD</v>
          </cell>
          <cell r="B3516">
            <v>532785</v>
          </cell>
          <cell r="C3516" t="str">
            <v>RUCHIRA</v>
          </cell>
        </row>
        <row r="3517">
          <cell r="A3517" t="str">
            <v>RUDRA GLOBAL INFRA PRODUCTS LTD</v>
          </cell>
          <cell r="B3517">
            <v>539226</v>
          </cell>
          <cell r="C3517" t="str">
            <v>Not Listed</v>
          </cell>
        </row>
        <row r="3518">
          <cell r="A3518" t="str">
            <v>RUDRABHISHEK ENTERPRISES LTD</v>
          </cell>
          <cell r="B3518" t="str">
            <v>Not Listed</v>
          </cell>
          <cell r="C3518" t="str">
            <v>REPL</v>
          </cell>
        </row>
        <row r="3519">
          <cell r="A3519" t="str">
            <v>RUIA AQUACULTURE FARMS LTD</v>
          </cell>
          <cell r="B3519">
            <v>519413</v>
          </cell>
          <cell r="C3519" t="str">
            <v>Not Listed</v>
          </cell>
        </row>
        <row r="3520">
          <cell r="A3520" t="str">
            <v>RUNGTA IRRIGATION LTD</v>
          </cell>
          <cell r="B3520">
            <v>530449</v>
          </cell>
          <cell r="C3520" t="str">
            <v>Not Listed</v>
          </cell>
        </row>
        <row r="3521">
          <cell r="A3521" t="str">
            <v>RUPA &amp; COMPANY LTD</v>
          </cell>
          <cell r="B3521">
            <v>533552</v>
          </cell>
          <cell r="C3521" t="str">
            <v>RUPA</v>
          </cell>
        </row>
        <row r="3522">
          <cell r="A3522" t="str">
            <v>RUSHIL DECOR LTD</v>
          </cell>
          <cell r="B3522">
            <v>533470</v>
          </cell>
          <cell r="C3522" t="str">
            <v>RUSHIL</v>
          </cell>
        </row>
        <row r="3523">
          <cell r="A3523" t="str">
            <v>RUTRON INTERNATIONAL LTD</v>
          </cell>
          <cell r="B3523">
            <v>504335</v>
          </cell>
          <cell r="C3523" t="str">
            <v>Not Listed</v>
          </cell>
        </row>
        <row r="3524">
          <cell r="A3524" t="str">
            <v>RUTTONSHA INTERNATIONAL RECTIFIER LTD</v>
          </cell>
          <cell r="B3524">
            <v>517035</v>
          </cell>
          <cell r="C3524" t="str">
            <v>Not Listed</v>
          </cell>
        </row>
        <row r="3525">
          <cell r="A3525" t="str">
            <v>S  M  GOLD LTD</v>
          </cell>
          <cell r="B3525">
            <v>542034</v>
          </cell>
          <cell r="C3525" t="str">
            <v>Not Listed</v>
          </cell>
        </row>
        <row r="3526">
          <cell r="A3526" t="str">
            <v>S A L STEEL LTD</v>
          </cell>
          <cell r="B3526">
            <v>532604</v>
          </cell>
          <cell r="C3526" t="str">
            <v>SALSTEEL</v>
          </cell>
        </row>
        <row r="3527">
          <cell r="A3527" t="str">
            <v>S CHAND AND COMPANY LTD</v>
          </cell>
          <cell r="B3527">
            <v>540497</v>
          </cell>
          <cell r="C3527" t="str">
            <v>SCHAND</v>
          </cell>
        </row>
        <row r="3528">
          <cell r="A3528" t="str">
            <v>S E POWER LTD</v>
          </cell>
          <cell r="B3528">
            <v>534598</v>
          </cell>
          <cell r="C3528" t="str">
            <v>SEPOWER</v>
          </cell>
        </row>
        <row r="3529">
          <cell r="A3529" t="str">
            <v>S H KELKAR AND COMPANY LTD</v>
          </cell>
          <cell r="B3529">
            <v>539450</v>
          </cell>
          <cell r="C3529" t="str">
            <v>SHK</v>
          </cell>
        </row>
        <row r="3530">
          <cell r="A3530" t="str">
            <v>S KUMARS.COM LTD.</v>
          </cell>
          <cell r="B3530">
            <v>532316</v>
          </cell>
          <cell r="C3530" t="str">
            <v>SKUMAR</v>
          </cell>
        </row>
        <row r="3531">
          <cell r="A3531" t="str">
            <v>S P APPARELS LTD</v>
          </cell>
          <cell r="B3531">
            <v>540048</v>
          </cell>
          <cell r="C3531" t="str">
            <v>SPAL</v>
          </cell>
        </row>
        <row r="3532">
          <cell r="A3532" t="str">
            <v>S R G SECURITIES FINANCE LTD</v>
          </cell>
          <cell r="B3532">
            <v>536710</v>
          </cell>
          <cell r="C3532" t="str">
            <v>Not Listed</v>
          </cell>
        </row>
        <row r="3533">
          <cell r="A3533" t="str">
            <v>S R INDUSTRIES LTD</v>
          </cell>
          <cell r="B3533">
            <v>513515</v>
          </cell>
          <cell r="C3533" t="str">
            <v>Not Listed</v>
          </cell>
        </row>
        <row r="3534">
          <cell r="A3534" t="str">
            <v>S R K INDUSTRIES LTD</v>
          </cell>
          <cell r="B3534">
            <v>531307</v>
          </cell>
          <cell r="C3534" t="str">
            <v>Not Listed</v>
          </cell>
        </row>
        <row r="3535">
          <cell r="A3535" t="str">
            <v>S S INFRASTRUCTURE DEVELOPMENT CONSULTANTS LTD</v>
          </cell>
          <cell r="B3535" t="str">
            <v>Not Listed</v>
          </cell>
          <cell r="C3535" t="str">
            <v>SSINFRA</v>
          </cell>
        </row>
        <row r="3536">
          <cell r="A3536" t="str">
            <v>S T SERVICES LTD</v>
          </cell>
          <cell r="B3536">
            <v>538876</v>
          </cell>
          <cell r="C3536" t="str">
            <v>Not Listed</v>
          </cell>
        </row>
        <row r="3537">
          <cell r="A3537" t="str">
            <v>S V GLOBAL MILL LTD</v>
          </cell>
          <cell r="B3537">
            <v>535621</v>
          </cell>
          <cell r="C3537" t="str">
            <v>Not Listed</v>
          </cell>
        </row>
        <row r="3538">
          <cell r="A3538" t="str">
            <v>S V TRADING &amp; AGENCIES LTD</v>
          </cell>
          <cell r="B3538">
            <v>503622</v>
          </cell>
          <cell r="C3538" t="str">
            <v>Not Listed</v>
          </cell>
        </row>
        <row r="3539">
          <cell r="A3539" t="str">
            <v>S&amp;T CORPORATION LTD</v>
          </cell>
          <cell r="B3539">
            <v>514197</v>
          </cell>
          <cell r="C3539" t="str">
            <v>Not Listed</v>
          </cell>
        </row>
        <row r="3540">
          <cell r="A3540" t="str">
            <v>SAB EVENTS &amp; GOVERNANCE NOW MEDIA LTD</v>
          </cell>
          <cell r="B3540">
            <v>540081</v>
          </cell>
          <cell r="C3540" t="str">
            <v>SABEVENTS</v>
          </cell>
        </row>
        <row r="3541">
          <cell r="A3541" t="str">
            <v>SAB INDUSTRIES LTD</v>
          </cell>
          <cell r="B3541">
            <v>539112</v>
          </cell>
          <cell r="C3541" t="str">
            <v>Not Listed</v>
          </cell>
        </row>
        <row r="3542">
          <cell r="A3542" t="str">
            <v>SABOO BROTHERS LTD</v>
          </cell>
          <cell r="B3542">
            <v>530267</v>
          </cell>
          <cell r="C3542" t="str">
            <v>Not Listed</v>
          </cell>
        </row>
        <row r="3543">
          <cell r="A3543" t="str">
            <v>SABOO SODIUM CHLORO LTD</v>
          </cell>
          <cell r="B3543">
            <v>530461</v>
          </cell>
          <cell r="C3543" t="str">
            <v>Not Listed</v>
          </cell>
        </row>
        <row r="3544">
          <cell r="A3544" t="str">
            <v>SABRIMALA INDUSTRIES (INDIA) LTD</v>
          </cell>
          <cell r="B3544">
            <v>540132</v>
          </cell>
          <cell r="C3544" t="str">
            <v>Not Listed</v>
          </cell>
        </row>
        <row r="3545">
          <cell r="A3545" t="str">
            <v>SABRIMALA INDUSTRIES INDIA LTD</v>
          </cell>
          <cell r="B3545">
            <v>540132</v>
          </cell>
          <cell r="C3545" t="str">
            <v>Not Listed</v>
          </cell>
        </row>
        <row r="3546">
          <cell r="A3546" t="str">
            <v>SACHETA METALS LTD</v>
          </cell>
          <cell r="B3546">
            <v>531869</v>
          </cell>
          <cell r="C3546" t="str">
            <v>Not Listed</v>
          </cell>
        </row>
        <row r="3547">
          <cell r="A3547" t="str">
            <v>SADBHAV ENGINEERING LTD</v>
          </cell>
          <cell r="B3547">
            <v>532710</v>
          </cell>
          <cell r="C3547" t="str">
            <v>SADBHAV</v>
          </cell>
        </row>
        <row r="3548">
          <cell r="A3548" t="str">
            <v>SADBHAV INFRASTRUCTURE PROJECT LTD</v>
          </cell>
          <cell r="B3548">
            <v>539346</v>
          </cell>
          <cell r="C3548" t="str">
            <v>SADBHIN</v>
          </cell>
        </row>
        <row r="3549">
          <cell r="A3549" t="str">
            <v>SADHANA NITROCHEM LTD</v>
          </cell>
          <cell r="B3549">
            <v>506642</v>
          </cell>
          <cell r="C3549" t="str">
            <v>Not Listed</v>
          </cell>
        </row>
        <row r="3550">
          <cell r="A3550" t="str">
            <v>SADHNA BROADCAST LTD</v>
          </cell>
          <cell r="B3550">
            <v>540821</v>
          </cell>
          <cell r="C3550" t="str">
            <v>Not Listed</v>
          </cell>
        </row>
        <row r="3551">
          <cell r="A3551" t="str">
            <v>SAFAL HERBS LTD</v>
          </cell>
          <cell r="B3551">
            <v>532034</v>
          </cell>
          <cell r="C3551" t="str">
            <v>Not Listed</v>
          </cell>
        </row>
        <row r="3552">
          <cell r="A3552" t="str">
            <v>SAFAL SECURITIES LTD</v>
          </cell>
          <cell r="B3552">
            <v>531448</v>
          </cell>
          <cell r="C3552" t="str">
            <v>Not Listed</v>
          </cell>
        </row>
        <row r="3553">
          <cell r="A3553" t="str">
            <v>SAFARI INDUSTRIES (INDIA) LTD</v>
          </cell>
          <cell r="B3553">
            <v>523025</v>
          </cell>
          <cell r="C3553" t="str">
            <v>Not Listed</v>
          </cell>
        </row>
        <row r="3554">
          <cell r="A3554" t="str">
            <v>SAFARI INDUSTRIES INDIA LTD</v>
          </cell>
          <cell r="B3554">
            <v>523025</v>
          </cell>
          <cell r="C3554" t="str">
            <v>Not Listed</v>
          </cell>
        </row>
        <row r="3555">
          <cell r="A3555" t="str">
            <v>SAGAR CEMENTS LTD</v>
          </cell>
          <cell r="B3555">
            <v>502090</v>
          </cell>
          <cell r="C3555" t="str">
            <v>SAGCEM</v>
          </cell>
        </row>
        <row r="3556">
          <cell r="A3556" t="str">
            <v>SAGAR DIAMONDS LTD</v>
          </cell>
          <cell r="B3556">
            <v>540715</v>
          </cell>
          <cell r="C3556" t="str">
            <v>Not Listed</v>
          </cell>
        </row>
        <row r="3557">
          <cell r="A3557" t="str">
            <v>SAGAR PRODUCTIONS LTD</v>
          </cell>
          <cell r="B3557">
            <v>532092</v>
          </cell>
          <cell r="C3557" t="str">
            <v>Not Listed</v>
          </cell>
        </row>
        <row r="3558">
          <cell r="A3558" t="str">
            <v>SAGAR SOYA PRODUCTS LTD</v>
          </cell>
          <cell r="B3558">
            <v>507663</v>
          </cell>
          <cell r="C3558" t="str">
            <v>Not Listed</v>
          </cell>
        </row>
        <row r="3559">
          <cell r="A3559" t="str">
            <v>SAGAR SYSTECH LTD</v>
          </cell>
          <cell r="B3559">
            <v>511254</v>
          </cell>
          <cell r="C3559" t="str">
            <v>Not Listed</v>
          </cell>
        </row>
        <row r="3560">
          <cell r="A3560" t="str">
            <v>SAGAR TOURIST RESORTS LTD</v>
          </cell>
          <cell r="B3560">
            <v>526085</v>
          </cell>
          <cell r="C3560" t="str">
            <v>Not Listed</v>
          </cell>
        </row>
        <row r="3561">
          <cell r="A3561" t="str">
            <v>SAGARDEEP ALLOYS LTD</v>
          </cell>
          <cell r="B3561" t="str">
            <v>Not Listed</v>
          </cell>
          <cell r="C3561" t="str">
            <v>SAGARDEEP</v>
          </cell>
        </row>
        <row r="3562">
          <cell r="A3562" t="str">
            <v>SAGARSOFT (INDIA) LTD</v>
          </cell>
          <cell r="B3562">
            <v>540143</v>
          </cell>
          <cell r="C3562" t="str">
            <v>Not Listed</v>
          </cell>
        </row>
        <row r="3563">
          <cell r="A3563" t="str">
            <v>SAGARSOFT INDIA LTD</v>
          </cell>
          <cell r="B3563">
            <v>540143</v>
          </cell>
          <cell r="C3563" t="str">
            <v>Not Listed</v>
          </cell>
        </row>
        <row r="3564">
          <cell r="A3564" t="str">
            <v>SAHARA HOUSINGFINA CORPORATION LTD</v>
          </cell>
          <cell r="B3564">
            <v>511533</v>
          </cell>
          <cell r="C3564" t="str">
            <v>Not Listed</v>
          </cell>
        </row>
        <row r="3565">
          <cell r="A3565" t="str">
            <v>SAHARA ONE MEDIA &amp; ENTERTAINMENT LTD</v>
          </cell>
          <cell r="B3565">
            <v>503691</v>
          </cell>
          <cell r="C3565" t="str">
            <v>Not Listed</v>
          </cell>
        </row>
        <row r="3566">
          <cell r="A3566" t="str">
            <v>SAHYADRI INDUSTRIES LTD</v>
          </cell>
          <cell r="B3566">
            <v>532841</v>
          </cell>
          <cell r="C3566" t="str">
            <v>Not Listed</v>
          </cell>
        </row>
        <row r="3567">
          <cell r="A3567" t="str">
            <v>SAHYOG MULTIBASE LTD</v>
          </cell>
          <cell r="B3567">
            <v>539660</v>
          </cell>
          <cell r="C3567" t="str">
            <v>Not Listed</v>
          </cell>
        </row>
        <row r="3568">
          <cell r="A3568" t="str">
            <v>SAI BABA INVESTMENT AND COMMERCIAL ENTERPRISES LTD</v>
          </cell>
          <cell r="B3568">
            <v>538557</v>
          </cell>
          <cell r="C3568" t="str">
            <v>Not Listed</v>
          </cell>
        </row>
        <row r="3569">
          <cell r="A3569" t="str">
            <v>SAI CAPITAL LTD</v>
          </cell>
          <cell r="B3569">
            <v>531931</v>
          </cell>
          <cell r="C3569" t="str">
            <v>Not Listed</v>
          </cell>
        </row>
        <row r="3570">
          <cell r="A3570" t="str">
            <v>SAI INDUSTRIES LTD</v>
          </cell>
          <cell r="B3570">
            <v>530905</v>
          </cell>
          <cell r="C3570" t="str">
            <v>Not Listed</v>
          </cell>
        </row>
        <row r="3571">
          <cell r="A3571" t="str">
            <v>SAI MOH AUTO LINKS LTD</v>
          </cell>
          <cell r="B3571">
            <v>540066</v>
          </cell>
          <cell r="C3571" t="str">
            <v>Not Listed</v>
          </cell>
        </row>
        <row r="3572">
          <cell r="A3572" t="str">
            <v>SAINIK FINANCE &amp; INDUSTRIES LTD</v>
          </cell>
          <cell r="B3572">
            <v>530265</v>
          </cell>
          <cell r="C3572" t="str">
            <v>Not Listed</v>
          </cell>
        </row>
        <row r="3573">
          <cell r="A3573" t="str">
            <v>SAINT-GOBAIN SEKURIT (INDIA) LTD</v>
          </cell>
          <cell r="B3573">
            <v>515043</v>
          </cell>
          <cell r="C3573" t="str">
            <v>Not Listed</v>
          </cell>
        </row>
        <row r="3574">
          <cell r="A3574" t="str">
            <v>SAINT-GOBAIN SEKURIT INDIA LTD</v>
          </cell>
          <cell r="B3574">
            <v>515043</v>
          </cell>
          <cell r="C3574" t="str">
            <v>Not Listed</v>
          </cell>
        </row>
        <row r="3575">
          <cell r="A3575" t="str">
            <v>SAKAR HEALTHCARE LTD</v>
          </cell>
          <cell r="B3575" t="str">
            <v>Not Listed</v>
          </cell>
          <cell r="C3575" t="str">
            <v>SAKAR</v>
          </cell>
        </row>
        <row r="3576">
          <cell r="A3576" t="str">
            <v>SAKETH EXIM LTD</v>
          </cell>
          <cell r="B3576" t="str">
            <v>Not Listed</v>
          </cell>
          <cell r="C3576" t="str">
            <v>SAKETH</v>
          </cell>
        </row>
        <row r="3577">
          <cell r="A3577" t="str">
            <v>SAKSOFT LTD</v>
          </cell>
          <cell r="B3577">
            <v>590051</v>
          </cell>
          <cell r="C3577" t="str">
            <v>SAKSOFT</v>
          </cell>
        </row>
        <row r="3578">
          <cell r="A3578" t="str">
            <v>SAKTHI FINANCE LTD</v>
          </cell>
          <cell r="B3578">
            <v>511066</v>
          </cell>
          <cell r="C3578" t="str">
            <v>Not Listed</v>
          </cell>
        </row>
        <row r="3579">
          <cell r="A3579" t="str">
            <v>SAKTHI SUGARS LTD</v>
          </cell>
          <cell r="B3579">
            <v>507315</v>
          </cell>
          <cell r="C3579" t="str">
            <v>SAKHTISUG</v>
          </cell>
        </row>
        <row r="3580">
          <cell r="A3580" t="str">
            <v>SAKUMA EXPORTS LTD</v>
          </cell>
          <cell r="B3580">
            <v>532713</v>
          </cell>
          <cell r="C3580" t="str">
            <v>SAKUMA</v>
          </cell>
        </row>
        <row r="3581">
          <cell r="A3581" t="str">
            <v>SALASAR TECHNO ENGINEERING LTD</v>
          </cell>
          <cell r="B3581">
            <v>540642</v>
          </cell>
          <cell r="C3581" t="str">
            <v>SALASAR</v>
          </cell>
        </row>
        <row r="3582">
          <cell r="A3582" t="str">
            <v>SALEM ERODE INVESTMENTS LTD</v>
          </cell>
          <cell r="B3582">
            <v>540181</v>
          </cell>
          <cell r="C3582" t="str">
            <v>Not Listed</v>
          </cell>
        </row>
        <row r="3583">
          <cell r="A3583" t="str">
            <v>SALGUTI INDUSTRIES LTD</v>
          </cell>
          <cell r="B3583">
            <v>526554</v>
          </cell>
          <cell r="C3583" t="str">
            <v>Not Listed</v>
          </cell>
        </row>
        <row r="3584">
          <cell r="A3584" t="str">
            <v>SALONA COTSPIN LTD</v>
          </cell>
          <cell r="B3584">
            <v>590056</v>
          </cell>
          <cell r="C3584" t="str">
            <v>SALONA</v>
          </cell>
        </row>
        <row r="3585">
          <cell r="A3585" t="str">
            <v>SALORA INTERNATIONAL LTD</v>
          </cell>
          <cell r="B3585">
            <v>500370</v>
          </cell>
          <cell r="C3585" t="str">
            <v>SALORAINTL</v>
          </cell>
        </row>
        <row r="3586">
          <cell r="A3586" t="str">
            <v>SALZER ELECTRONICS LTD</v>
          </cell>
          <cell r="B3586">
            <v>517059</v>
          </cell>
          <cell r="C3586" t="str">
            <v>SALZERELEC</v>
          </cell>
        </row>
        <row r="3587">
          <cell r="A3587" t="str">
            <v>SAM INDUSTRIES LTD</v>
          </cell>
          <cell r="B3587">
            <v>532005</v>
          </cell>
          <cell r="C3587" t="str">
            <v>Not Listed</v>
          </cell>
        </row>
        <row r="3588">
          <cell r="A3588" t="str">
            <v>SAMBANDAM SPINNING MILLS LTD</v>
          </cell>
          <cell r="B3588">
            <v>521240</v>
          </cell>
          <cell r="C3588" t="str">
            <v>Not Listed</v>
          </cell>
        </row>
        <row r="3589">
          <cell r="A3589" t="str">
            <v>SAMBHAAV MEDIA LTD</v>
          </cell>
          <cell r="B3589">
            <v>511630</v>
          </cell>
          <cell r="C3589" t="str">
            <v>SAMBHAAV</v>
          </cell>
        </row>
        <row r="3590">
          <cell r="A3590" t="str">
            <v>SAMKRG PISTONS &amp; RINGS LTD</v>
          </cell>
          <cell r="B3590">
            <v>520075</v>
          </cell>
          <cell r="C3590" t="str">
            <v>Not Listed</v>
          </cell>
        </row>
        <row r="3591">
          <cell r="A3591" t="str">
            <v>SAMPRE NUTRITIONS LTD</v>
          </cell>
          <cell r="B3591">
            <v>530617</v>
          </cell>
          <cell r="C3591" t="str">
            <v>Not Listed</v>
          </cell>
        </row>
        <row r="3592">
          <cell r="A3592" t="str">
            <v>SAMRAT PHARMACHEM LTD</v>
          </cell>
          <cell r="B3592">
            <v>530125</v>
          </cell>
          <cell r="C3592" t="str">
            <v>Not Listed</v>
          </cell>
        </row>
        <row r="3593">
          <cell r="A3593" t="str">
            <v>SAMTEL (INDIA) LTD</v>
          </cell>
          <cell r="B3593">
            <v>500371</v>
          </cell>
          <cell r="C3593" t="str">
            <v>Not Listed</v>
          </cell>
        </row>
        <row r="3594">
          <cell r="A3594" t="str">
            <v>SAMTEL INDIA LTD</v>
          </cell>
          <cell r="B3594">
            <v>500371</v>
          </cell>
          <cell r="C3594" t="str">
            <v>Not Listed</v>
          </cell>
        </row>
        <row r="3595">
          <cell r="A3595" t="str">
            <v>SAMTEX FASHIONS LTD</v>
          </cell>
          <cell r="B3595">
            <v>521206</v>
          </cell>
          <cell r="C3595" t="str">
            <v>Not Listed</v>
          </cell>
        </row>
        <row r="3596">
          <cell r="A3596" t="str">
            <v>SAMYAK INTERNATIONAL LTD</v>
          </cell>
          <cell r="B3596">
            <v>530025</v>
          </cell>
          <cell r="C3596" t="str">
            <v>Not Listed</v>
          </cell>
        </row>
        <row r="3597">
          <cell r="A3597" t="str">
            <v>SANASA TECH FEB LTD</v>
          </cell>
          <cell r="B3597">
            <v>780015</v>
          </cell>
          <cell r="C3597" t="str">
            <v>Not Listed</v>
          </cell>
        </row>
        <row r="3598">
          <cell r="A3598" t="str">
            <v>SANATHNAGAR ENTERPRISES LTD</v>
          </cell>
          <cell r="B3598">
            <v>509423</v>
          </cell>
          <cell r="C3598" t="str">
            <v>Not Listed</v>
          </cell>
        </row>
        <row r="3599">
          <cell r="A3599" t="str">
            <v>SANBLUE CORPORATION LTD</v>
          </cell>
          <cell r="B3599">
            <v>521222</v>
          </cell>
          <cell r="C3599" t="str">
            <v>Not Listed</v>
          </cell>
        </row>
        <row r="3600">
          <cell r="A3600" t="str">
            <v>SANCO INDUSTRIES LTD</v>
          </cell>
          <cell r="B3600" t="str">
            <v>Not Listed</v>
          </cell>
          <cell r="C3600" t="str">
            <v>SANCO</v>
          </cell>
        </row>
        <row r="3601">
          <cell r="A3601" t="str">
            <v>SANCO TRANS LTD</v>
          </cell>
          <cell r="B3601">
            <v>523116</v>
          </cell>
          <cell r="C3601" t="str">
            <v>Not Listed</v>
          </cell>
        </row>
        <row r="3602">
          <cell r="A3602" t="str">
            <v>SANDHAR TECHNOLOGIES LTD</v>
          </cell>
          <cell r="B3602">
            <v>541163</v>
          </cell>
          <cell r="C3602" t="str">
            <v>SANDHAR</v>
          </cell>
        </row>
        <row r="3603">
          <cell r="A3603" t="str">
            <v>SANDU PHARMACEUTICALS LTD</v>
          </cell>
          <cell r="B3603">
            <v>524703</v>
          </cell>
          <cell r="C3603" t="str">
            <v>Not Listed</v>
          </cell>
        </row>
        <row r="3604">
          <cell r="A3604" t="str">
            <v>SANDUR MANGANESE &amp; IRON ORES LTD</v>
          </cell>
          <cell r="B3604">
            <v>504918</v>
          </cell>
          <cell r="C3604" t="str">
            <v>Not Listed</v>
          </cell>
        </row>
        <row r="3605">
          <cell r="A3605" t="str">
            <v>SANG FROID LABS (INDIA) LTD</v>
          </cell>
          <cell r="B3605">
            <v>539392</v>
          </cell>
          <cell r="C3605" t="str">
            <v>Not Listed</v>
          </cell>
        </row>
        <row r="3606">
          <cell r="A3606" t="str">
            <v>SANG FROID LABS INDIA LTD</v>
          </cell>
          <cell r="B3606">
            <v>539392</v>
          </cell>
          <cell r="C3606" t="str">
            <v>Not Listed</v>
          </cell>
        </row>
        <row r="3607">
          <cell r="A3607" t="str">
            <v>SANGAL PAPERS LTD</v>
          </cell>
          <cell r="B3607">
            <v>516096</v>
          </cell>
          <cell r="C3607" t="str">
            <v>Not Listed</v>
          </cell>
        </row>
        <row r="3608">
          <cell r="A3608" t="str">
            <v>SANGAM (INDIA) LTD</v>
          </cell>
          <cell r="B3608">
            <v>514234</v>
          </cell>
          <cell r="C3608" t="str">
            <v>SANGAMIND</v>
          </cell>
        </row>
        <row r="3609">
          <cell r="A3609" t="str">
            <v>SANGAM INDIA LTD</v>
          </cell>
          <cell r="B3609">
            <v>514234</v>
          </cell>
          <cell r="C3609" t="str">
            <v>SANGAMIND</v>
          </cell>
        </row>
        <row r="3610">
          <cell r="A3610" t="str">
            <v>SANGAM RENEWABLES LTD</v>
          </cell>
          <cell r="B3610">
            <v>534618</v>
          </cell>
          <cell r="C3610" t="str">
            <v>Not Listed</v>
          </cell>
        </row>
        <row r="3611">
          <cell r="A3611" t="str">
            <v>SANGHI CORPORATE SERVICES LTD</v>
          </cell>
          <cell r="B3611">
            <v>511640</v>
          </cell>
          <cell r="C3611" t="str">
            <v>Not Listed</v>
          </cell>
        </row>
        <row r="3612">
          <cell r="A3612" t="str">
            <v>SANGHI INDUSTRIES LTD</v>
          </cell>
          <cell r="B3612">
            <v>526521</v>
          </cell>
          <cell r="C3612" t="str">
            <v>SANGHIIND</v>
          </cell>
        </row>
        <row r="3613">
          <cell r="A3613" t="str">
            <v>SANGHVI BRANDS LTD</v>
          </cell>
          <cell r="B3613">
            <v>540782</v>
          </cell>
          <cell r="C3613" t="str">
            <v>Not Listed</v>
          </cell>
        </row>
        <row r="3614">
          <cell r="A3614" t="str">
            <v>SANGHVI FORGING AND ENGINEERING LTD</v>
          </cell>
          <cell r="B3614">
            <v>533411</v>
          </cell>
          <cell r="C3614" t="str">
            <v>SANGHVIFOR</v>
          </cell>
        </row>
        <row r="3615">
          <cell r="A3615" t="str">
            <v>SANGHVI MOVERS LTD</v>
          </cell>
          <cell r="B3615">
            <v>530073</v>
          </cell>
          <cell r="C3615" t="str">
            <v>SANGHVIMOV</v>
          </cell>
        </row>
        <row r="3616">
          <cell r="A3616" t="str">
            <v>SANGINITA CHEMICALS LTD</v>
          </cell>
          <cell r="B3616" t="str">
            <v>Not Listed</v>
          </cell>
          <cell r="C3616" t="str">
            <v>SANGINITA</v>
          </cell>
        </row>
        <row r="3617">
          <cell r="A3617" t="str">
            <v>SANGUINE MEDIA LTD</v>
          </cell>
          <cell r="B3617">
            <v>531898</v>
          </cell>
          <cell r="C3617" t="str">
            <v>Not Listed</v>
          </cell>
        </row>
        <row r="3618">
          <cell r="A3618" t="str">
            <v>SANJIVANI PARANTERAL LTD</v>
          </cell>
          <cell r="B3618">
            <v>531569</v>
          </cell>
          <cell r="C3618" t="str">
            <v>Not Listed</v>
          </cell>
        </row>
        <row r="3619">
          <cell r="A3619" t="str">
            <v>SANKHYA INFOTECH LTD</v>
          </cell>
          <cell r="B3619">
            <v>532972</v>
          </cell>
          <cell r="C3619" t="str">
            <v>Not Listed</v>
          </cell>
        </row>
        <row r="3620">
          <cell r="A3620" t="str">
            <v>SANMIT INFRA LTD</v>
          </cell>
          <cell r="B3620">
            <v>532435</v>
          </cell>
          <cell r="C3620" t="str">
            <v>Not Listed</v>
          </cell>
        </row>
        <row r="3621">
          <cell r="A3621" t="str">
            <v>SANMITRA COMMERCIAL LTD</v>
          </cell>
          <cell r="B3621">
            <v>512062</v>
          </cell>
          <cell r="C3621" t="str">
            <v>Not Listed</v>
          </cell>
        </row>
        <row r="3622">
          <cell r="A3622" t="str">
            <v>SANOFI (INDIA) LTD</v>
          </cell>
          <cell r="B3622">
            <v>500674</v>
          </cell>
          <cell r="C3622" t="str">
            <v>SANOFI</v>
          </cell>
        </row>
        <row r="3623">
          <cell r="A3623" t="str">
            <v>SANOFI INDIA LTD</v>
          </cell>
          <cell r="B3623">
            <v>500674</v>
          </cell>
          <cell r="C3623" t="str">
            <v>SANOFI</v>
          </cell>
        </row>
        <row r="3624">
          <cell r="A3624" t="str">
            <v>SANRHEA TECHNICAL TEXTILES LTD</v>
          </cell>
          <cell r="B3624">
            <v>514280</v>
          </cell>
          <cell r="C3624" t="str">
            <v>Not Listed</v>
          </cell>
        </row>
        <row r="3625">
          <cell r="A3625" t="str">
            <v>SANTOSH FINE-FAB LTD</v>
          </cell>
          <cell r="B3625">
            <v>530035</v>
          </cell>
          <cell r="C3625" t="str">
            <v>Not Listed</v>
          </cell>
        </row>
        <row r="3626">
          <cell r="A3626" t="str">
            <v>SANTOSH INDUSTRIES LTD</v>
          </cell>
          <cell r="B3626">
            <v>540822</v>
          </cell>
          <cell r="C3626" t="str">
            <v>Not Listed</v>
          </cell>
        </row>
        <row r="3627">
          <cell r="A3627" t="str">
            <v>SANWARIA CONSUMER LTD</v>
          </cell>
          <cell r="B3627">
            <v>519260</v>
          </cell>
          <cell r="C3627" t="str">
            <v>SANWARIA</v>
          </cell>
        </row>
        <row r="3628">
          <cell r="A3628" t="str">
            <v>SAPTAK CHEM AND BUSINESS LTD</v>
          </cell>
          <cell r="B3628">
            <v>506906</v>
          </cell>
          <cell r="C3628" t="str">
            <v>Not Listed</v>
          </cell>
        </row>
        <row r="3629">
          <cell r="A3629" t="str">
            <v>SAPTARISHI AGRO INDUSTRIES LTD</v>
          </cell>
          <cell r="B3629">
            <v>519238</v>
          </cell>
          <cell r="C3629" t="str">
            <v>Not Listed</v>
          </cell>
        </row>
        <row r="3630">
          <cell r="A3630" t="str">
            <v>SAR AUTO PRODUCTS LTD</v>
          </cell>
          <cell r="B3630">
            <v>538992</v>
          </cell>
          <cell r="C3630" t="str">
            <v>Not Listed</v>
          </cell>
        </row>
        <row r="3631">
          <cell r="A3631" t="str">
            <v>SARASWATI COMMERCIAL (INDIA) LTD</v>
          </cell>
          <cell r="B3631">
            <v>512020</v>
          </cell>
          <cell r="C3631" t="str">
            <v>Not Listed</v>
          </cell>
        </row>
        <row r="3632">
          <cell r="A3632" t="str">
            <v>SARASWATI COMMERCIAL INDIA LTD</v>
          </cell>
          <cell r="B3632">
            <v>512020</v>
          </cell>
          <cell r="C3632" t="str">
            <v>Not Listed</v>
          </cell>
        </row>
        <row r="3633">
          <cell r="A3633" t="str">
            <v>SARDA ENERGY &amp; MINERALS LTD</v>
          </cell>
          <cell r="B3633">
            <v>504614</v>
          </cell>
          <cell r="C3633" t="str">
            <v>SARDAEN</v>
          </cell>
        </row>
        <row r="3634">
          <cell r="A3634" t="str">
            <v>SARDA PAPERS LTD</v>
          </cell>
          <cell r="B3634">
            <v>516032</v>
          </cell>
          <cell r="C3634" t="str">
            <v>Not Listed</v>
          </cell>
        </row>
        <row r="3635">
          <cell r="A3635" t="str">
            <v>SARDA PLYWOOD INDUSTRIES LTD</v>
          </cell>
          <cell r="B3635">
            <v>516003</v>
          </cell>
          <cell r="C3635" t="str">
            <v>Not Listed</v>
          </cell>
        </row>
        <row r="3636">
          <cell r="A3636" t="str">
            <v>SARDA PROTEINS LTD</v>
          </cell>
          <cell r="B3636">
            <v>519242</v>
          </cell>
          <cell r="C3636" t="str">
            <v>Not Listed</v>
          </cell>
        </row>
        <row r="3637">
          <cell r="A3637" t="str">
            <v>SAREGAMA (INDIA) LTD</v>
          </cell>
          <cell r="B3637">
            <v>532163</v>
          </cell>
          <cell r="C3637" t="str">
            <v>SAREGAMA</v>
          </cell>
        </row>
        <row r="3638">
          <cell r="A3638" t="str">
            <v>SAREGAMA INDIA LTD</v>
          </cell>
          <cell r="B3638">
            <v>532163</v>
          </cell>
          <cell r="C3638" t="str">
            <v>SAREGAMA</v>
          </cell>
        </row>
        <row r="3639">
          <cell r="A3639" t="str">
            <v>SARLA PERFORMANCE FIBERS LTD</v>
          </cell>
          <cell r="B3639">
            <v>526885</v>
          </cell>
          <cell r="C3639" t="str">
            <v>SARLAPOLY</v>
          </cell>
        </row>
        <row r="3640">
          <cell r="A3640" t="str">
            <v>SARTHAK GLOBAL LTD</v>
          </cell>
          <cell r="B3640">
            <v>530993</v>
          </cell>
          <cell r="C3640" t="str">
            <v>Not Listed</v>
          </cell>
        </row>
        <row r="3641">
          <cell r="A3641" t="str">
            <v>SARTHAK INDUSTRIES LTD</v>
          </cell>
          <cell r="B3641">
            <v>531930</v>
          </cell>
          <cell r="C3641" t="str">
            <v>Not Listed</v>
          </cell>
        </row>
        <row r="3642">
          <cell r="A3642" t="str">
            <v>SARTHAK METALS LTD</v>
          </cell>
          <cell r="B3642">
            <v>540393</v>
          </cell>
          <cell r="C3642" t="str">
            <v>Not Listed</v>
          </cell>
        </row>
        <row r="3643">
          <cell r="A3643" t="str">
            <v>SARUP INDUSTRIES LTD</v>
          </cell>
          <cell r="B3643">
            <v>514412</v>
          </cell>
          <cell r="C3643" t="str">
            <v>Not Listed</v>
          </cell>
        </row>
        <row r="3644">
          <cell r="A3644" t="str">
            <v>SARVAMANGAL MERCANTILE CO LTD</v>
          </cell>
          <cell r="B3644">
            <v>506190</v>
          </cell>
          <cell r="C3644" t="str">
            <v>Not Listed</v>
          </cell>
        </row>
        <row r="3645">
          <cell r="A3645" t="str">
            <v>SARVESHWAR FOODS LTD</v>
          </cell>
          <cell r="B3645" t="str">
            <v>Not Listed</v>
          </cell>
          <cell r="C3645" t="str">
            <v>SARVESHWAR</v>
          </cell>
        </row>
        <row r="3646">
          <cell r="A3646" t="str">
            <v>SARVOTTAM FINVEST LTD</v>
          </cell>
          <cell r="B3646">
            <v>539124</v>
          </cell>
          <cell r="C3646" t="str">
            <v>Not Listed</v>
          </cell>
        </row>
        <row r="3647">
          <cell r="A3647" t="str">
            <v>SASHWAT TECHNOCRATS LTD</v>
          </cell>
          <cell r="B3647">
            <v>506313</v>
          </cell>
          <cell r="C3647" t="str">
            <v>Not Listed</v>
          </cell>
        </row>
        <row r="3648">
          <cell r="A3648" t="str">
            <v>SASKEN TECHNOLOGIES LTD</v>
          </cell>
          <cell r="B3648">
            <v>532663</v>
          </cell>
          <cell r="C3648" t="str">
            <v>SASKEN</v>
          </cell>
        </row>
        <row r="3649">
          <cell r="A3649" t="str">
            <v>SASTASUNDAR VENTURES LTD</v>
          </cell>
          <cell r="B3649">
            <v>533259</v>
          </cell>
          <cell r="C3649" t="str">
            <v>SASTASUNDR</v>
          </cell>
        </row>
        <row r="3650">
          <cell r="A3650" t="str">
            <v>SAT INDUSTRIES LTD</v>
          </cell>
          <cell r="B3650">
            <v>511076</v>
          </cell>
          <cell r="C3650" t="str">
            <v>Not Listed</v>
          </cell>
        </row>
        <row r="3651">
          <cell r="A3651" t="str">
            <v>SATHAVAHANA ISPAT LTD</v>
          </cell>
          <cell r="B3651">
            <v>526093</v>
          </cell>
          <cell r="C3651" t="str">
            <v>SATHAISPAT</v>
          </cell>
        </row>
        <row r="3652">
          <cell r="A3652" t="str">
            <v>SATIA INDUSTRIES LTD</v>
          </cell>
          <cell r="B3652">
            <v>539201</v>
          </cell>
          <cell r="C3652" t="str">
            <v>Not Listed</v>
          </cell>
        </row>
        <row r="3653">
          <cell r="A3653" t="str">
            <v>SATIN CREDITCARE NETWORK LTD</v>
          </cell>
          <cell r="B3653">
            <v>539404</v>
          </cell>
          <cell r="C3653" t="str">
            <v>SATIN</v>
          </cell>
        </row>
        <row r="3654">
          <cell r="A3654" t="str">
            <v>SATKAR FINLEASE LTD</v>
          </cell>
          <cell r="B3654">
            <v>536592</v>
          </cell>
          <cell r="C3654" t="str">
            <v>Not Listed</v>
          </cell>
        </row>
        <row r="3655">
          <cell r="A3655" t="str">
            <v>SATRA PROPERTIES (INDIA) LTD.</v>
          </cell>
          <cell r="B3655">
            <v>508996</v>
          </cell>
          <cell r="C3655" t="str">
            <v>SATRAPROP</v>
          </cell>
        </row>
        <row r="3656">
          <cell r="A3656" t="str">
            <v>SATYAM SILK MILLS LTD</v>
          </cell>
          <cell r="B3656">
            <v>503893</v>
          </cell>
          <cell r="C3656" t="str">
            <v>Not Listed</v>
          </cell>
        </row>
        <row r="3657">
          <cell r="A3657" t="str">
            <v>SAUMYA CONSULTANTS LTD</v>
          </cell>
          <cell r="B3657">
            <v>539218</v>
          </cell>
          <cell r="C3657" t="str">
            <v>Not Listed</v>
          </cell>
        </row>
        <row r="3658">
          <cell r="A3658" t="str">
            <v>SAURASHTRA CEMENT LTD</v>
          </cell>
          <cell r="B3658">
            <v>502175</v>
          </cell>
          <cell r="C3658" t="str">
            <v>Not Listed</v>
          </cell>
        </row>
        <row r="3659">
          <cell r="A3659" t="str">
            <v>SAVANI FINANCIALS LTD</v>
          </cell>
          <cell r="B3659">
            <v>511577</v>
          </cell>
          <cell r="C3659" t="str">
            <v>Not Listed</v>
          </cell>
        </row>
        <row r="3660">
          <cell r="A3660" t="str">
            <v>SAVANT INFOCOMM LTD</v>
          </cell>
          <cell r="B3660">
            <v>517320</v>
          </cell>
          <cell r="C3660" t="str">
            <v>Not Listed</v>
          </cell>
        </row>
        <row r="3661">
          <cell r="A3661" t="str">
            <v>SAVEN TECHNOLOGIES LTD</v>
          </cell>
          <cell r="B3661">
            <v>532404</v>
          </cell>
          <cell r="C3661" t="str">
            <v>Not Listed</v>
          </cell>
        </row>
        <row r="3662">
          <cell r="A3662" t="str">
            <v>SAVERA INDUSTRIES LTD</v>
          </cell>
          <cell r="B3662">
            <v>512634</v>
          </cell>
          <cell r="C3662" t="str">
            <v>Not Listed</v>
          </cell>
        </row>
        <row r="3663">
          <cell r="A3663" t="str">
            <v>SAVITA OIL TECHNOLOGIES LTD</v>
          </cell>
          <cell r="B3663">
            <v>524667</v>
          </cell>
          <cell r="C3663" t="str">
            <v>SOTL</v>
          </cell>
        </row>
        <row r="3664">
          <cell r="A3664" t="str">
            <v>SAWACA BUSINESS MACHINES LTD</v>
          </cell>
          <cell r="B3664">
            <v>531893</v>
          </cell>
          <cell r="C3664" t="str">
            <v>Not Listed</v>
          </cell>
        </row>
        <row r="3665">
          <cell r="A3665" t="str">
            <v>SAYAJI HOTELS LTD</v>
          </cell>
          <cell r="B3665">
            <v>523710</v>
          </cell>
          <cell r="C3665" t="str">
            <v>Not Listed</v>
          </cell>
        </row>
        <row r="3666">
          <cell r="A3666" t="str">
            <v>SAYAJI INDUSTRIES LTD</v>
          </cell>
          <cell r="B3666">
            <v>540728</v>
          </cell>
          <cell r="C3666" t="str">
            <v>Not Listed</v>
          </cell>
        </row>
        <row r="3667">
          <cell r="A3667" t="str">
            <v>SBEC SUGAR LTD</v>
          </cell>
          <cell r="B3667">
            <v>532102</v>
          </cell>
          <cell r="C3667" t="str">
            <v>Not Listed</v>
          </cell>
        </row>
        <row r="3668">
          <cell r="A3668" t="str">
            <v>SBI LIFE INSURANCE COMPANY LTD</v>
          </cell>
          <cell r="B3668">
            <v>540719</v>
          </cell>
          <cell r="C3668" t="str">
            <v>SBILIFE</v>
          </cell>
        </row>
        <row r="3669">
          <cell r="A3669" t="str">
            <v>SBI MUTUAL FUND - SBI GOLD EXCHANGE TRADED SCHEME - GROWTH OPTION</v>
          </cell>
          <cell r="B3669">
            <v>590098</v>
          </cell>
          <cell r="C3669" t="str">
            <v>SBIGETS</v>
          </cell>
        </row>
        <row r="3670">
          <cell r="A3670" t="str">
            <v>SC Agrotech Ltd</v>
          </cell>
          <cell r="B3670">
            <v>526081</v>
          </cell>
          <cell r="C3670" t="str">
            <v>SCAGRO</v>
          </cell>
        </row>
        <row r="3671">
          <cell r="A3671" t="str">
            <v>SCAN PROJECTS LTD</v>
          </cell>
          <cell r="B3671">
            <v>531797</v>
          </cell>
          <cell r="C3671" t="str">
            <v>Not Listed</v>
          </cell>
        </row>
        <row r="3672">
          <cell r="A3672" t="str">
            <v>SCAN STEELS LTD</v>
          </cell>
          <cell r="B3672">
            <v>511672</v>
          </cell>
          <cell r="C3672" t="str">
            <v>Not Listed</v>
          </cell>
        </row>
        <row r="3673">
          <cell r="A3673" t="str">
            <v>Scandent Imaging LTD</v>
          </cell>
          <cell r="B3673">
            <v>516110</v>
          </cell>
          <cell r="C3673" t="str">
            <v>SCANDENT</v>
          </cell>
        </row>
        <row r="3674">
          <cell r="A3674" t="str">
            <v>SCANPOINT GEOMATICS LTD</v>
          </cell>
          <cell r="B3674">
            <v>526544</v>
          </cell>
          <cell r="C3674" t="str">
            <v>Not Listed</v>
          </cell>
        </row>
        <row r="3675">
          <cell r="A3675" t="str">
            <v>SCHABLONA (INDIA) LTD</v>
          </cell>
          <cell r="B3675">
            <v>507894</v>
          </cell>
          <cell r="C3675" t="str">
            <v>Not Listed</v>
          </cell>
        </row>
        <row r="3676">
          <cell r="A3676" t="str">
            <v>SCHABLONA INDIA LTD</v>
          </cell>
          <cell r="B3676">
            <v>507894</v>
          </cell>
          <cell r="C3676" t="str">
            <v>Not Listed</v>
          </cell>
        </row>
        <row r="3677">
          <cell r="A3677" t="str">
            <v>SCHAEFFLER (INDIA) LTD</v>
          </cell>
          <cell r="B3677">
            <v>505790</v>
          </cell>
          <cell r="C3677" t="str">
            <v>SCHAEFFLER</v>
          </cell>
        </row>
        <row r="3678">
          <cell r="A3678" t="str">
            <v>SCHAEFFLER INDIA LTD</v>
          </cell>
          <cell r="B3678">
            <v>505790</v>
          </cell>
          <cell r="C3678" t="str">
            <v>SCHAEFFLER</v>
          </cell>
        </row>
        <row r="3679">
          <cell r="A3679" t="str">
            <v>SCHNEIDER ELECTRIC INFRASTRUCTURE LTD</v>
          </cell>
          <cell r="B3679">
            <v>534139</v>
          </cell>
          <cell r="C3679" t="str">
            <v>SCHNEIDER</v>
          </cell>
        </row>
        <row r="3680">
          <cell r="A3680" t="str">
            <v>SCINTILLA COMMERCIAL &amp; CREDIT LTD</v>
          </cell>
          <cell r="B3680">
            <v>538857</v>
          </cell>
          <cell r="C3680" t="str">
            <v>Not Listed</v>
          </cell>
        </row>
        <row r="3681">
          <cell r="A3681" t="str">
            <v>SCOOTERS (INDIA) LTD</v>
          </cell>
          <cell r="B3681">
            <v>505141</v>
          </cell>
          <cell r="C3681" t="str">
            <v>Not Listed</v>
          </cell>
        </row>
        <row r="3682">
          <cell r="A3682" t="str">
            <v>SCOOTERS INDIA LTD</v>
          </cell>
          <cell r="B3682">
            <v>505141</v>
          </cell>
          <cell r="C3682" t="str">
            <v>Not Listed</v>
          </cell>
        </row>
        <row r="3683">
          <cell r="A3683" t="str">
            <v>SEA GOLD AQUA FARMS LTD</v>
          </cell>
          <cell r="B3683">
            <v>530361</v>
          </cell>
          <cell r="C3683" t="str">
            <v>Not Listed</v>
          </cell>
        </row>
        <row r="3684">
          <cell r="A3684" t="str">
            <v>SEA TV NETWORK LTD</v>
          </cell>
          <cell r="B3684">
            <v>533268</v>
          </cell>
          <cell r="C3684" t="str">
            <v>Not Listed</v>
          </cell>
        </row>
        <row r="3685">
          <cell r="A3685" t="str">
            <v>SEAMEC LTD</v>
          </cell>
          <cell r="B3685">
            <v>526807</v>
          </cell>
          <cell r="C3685" t="str">
            <v>SEAMECLTD</v>
          </cell>
        </row>
        <row r="3686">
          <cell r="A3686" t="str">
            <v>SEASONS FURNISHINGS LTD</v>
          </cell>
          <cell r="B3686">
            <v>521182</v>
          </cell>
          <cell r="C3686" t="str">
            <v>Not Listed</v>
          </cell>
        </row>
        <row r="3687">
          <cell r="A3687" t="str">
            <v>SEASONS TEXTILES LTD</v>
          </cell>
          <cell r="B3687">
            <v>514264</v>
          </cell>
          <cell r="C3687" t="str">
            <v>Not Listed</v>
          </cell>
        </row>
        <row r="3688">
          <cell r="A3688" t="str">
            <v>SECUR CREDENTIALS LTD</v>
          </cell>
          <cell r="B3688" t="str">
            <v>Not Listed</v>
          </cell>
          <cell r="C3688" t="str">
            <v>SECURCRED</v>
          </cell>
        </row>
        <row r="3689">
          <cell r="A3689" t="str">
            <v>SECURITY AND INTELLIGENCE SERVICES (INDIA) LTD</v>
          </cell>
          <cell r="B3689">
            <v>540673</v>
          </cell>
          <cell r="C3689" t="str">
            <v>SIS</v>
          </cell>
        </row>
        <row r="3690">
          <cell r="A3690" t="str">
            <v>SECURITY AND INTELLIGENCE SERVICES INDIA LTD</v>
          </cell>
          <cell r="B3690">
            <v>540673</v>
          </cell>
          <cell r="C3690" t="str">
            <v>SIS</v>
          </cell>
        </row>
        <row r="3691">
          <cell r="A3691" t="str">
            <v>SEL MANUFACTURING COMPANY LTD</v>
          </cell>
          <cell r="B3691">
            <v>532886</v>
          </cell>
          <cell r="C3691" t="str">
            <v>SELMCL</v>
          </cell>
        </row>
        <row r="3692">
          <cell r="A3692" t="str">
            <v>SELAN EXPLORATION TECHNOLOGY LTD</v>
          </cell>
          <cell r="B3692">
            <v>530075</v>
          </cell>
          <cell r="C3692" t="str">
            <v>SELAN</v>
          </cell>
        </row>
        <row r="3693">
          <cell r="A3693" t="str">
            <v>SELLWIN TRADERS LTD</v>
          </cell>
          <cell r="B3693">
            <v>538875</v>
          </cell>
          <cell r="C3693" t="str">
            <v>Not Listed</v>
          </cell>
        </row>
        <row r="3694">
          <cell r="A3694" t="str">
            <v>SENBO INDUSTRIES LTD</v>
          </cell>
          <cell r="B3694">
            <v>532021</v>
          </cell>
          <cell r="C3694" t="str">
            <v>Not Listed</v>
          </cell>
        </row>
        <row r="3695">
          <cell r="A3695" t="str">
            <v>SENTHIL INFOTEK LTD</v>
          </cell>
          <cell r="B3695">
            <v>531980</v>
          </cell>
          <cell r="C3695" t="str">
            <v>Not Listed</v>
          </cell>
        </row>
        <row r="3696">
          <cell r="A3696" t="str">
            <v>SEQUENT SCIENTIFIC LTD</v>
          </cell>
          <cell r="B3696">
            <v>512529</v>
          </cell>
          <cell r="C3696" t="str">
            <v>SEQUENT</v>
          </cell>
        </row>
        <row r="3697">
          <cell r="A3697" t="str">
            <v>SERVOTECH POWER SYSTEMS LTD</v>
          </cell>
          <cell r="B3697" t="str">
            <v>Not Listed</v>
          </cell>
          <cell r="C3697" t="str">
            <v>SERVOTECH</v>
          </cell>
        </row>
        <row r="3698">
          <cell r="A3698" t="str">
            <v>SESHASAYEE PAPER AND BOARDS LTD</v>
          </cell>
          <cell r="B3698">
            <v>502450</v>
          </cell>
          <cell r="C3698" t="str">
            <v>SESHAPAPER</v>
          </cell>
        </row>
        <row r="3699">
          <cell r="A3699" t="str">
            <v>SETCO AUTOMOTIVE LTD</v>
          </cell>
          <cell r="B3699">
            <v>505075</v>
          </cell>
          <cell r="C3699" t="str">
            <v>SETCO</v>
          </cell>
        </row>
        <row r="3700">
          <cell r="A3700" t="str">
            <v>SEVEN HILL INDUSTRIES LTD</v>
          </cell>
          <cell r="B3700">
            <v>511760</v>
          </cell>
          <cell r="C3700" t="str">
            <v>Not Listed</v>
          </cell>
        </row>
        <row r="3701">
          <cell r="A3701" t="str">
            <v>SEYA INDUSTRIES LTD</v>
          </cell>
          <cell r="B3701">
            <v>524324</v>
          </cell>
          <cell r="C3701" t="str">
            <v>Not Listed</v>
          </cell>
        </row>
        <row r="3702">
          <cell r="A3702" t="str">
            <v>SEZAL GLASS LTD</v>
          </cell>
          <cell r="B3702">
            <v>532993</v>
          </cell>
          <cell r="C3702" t="str">
            <v>SEZAL</v>
          </cell>
        </row>
        <row r="3703">
          <cell r="A3703" t="str">
            <v>SFL INTERNATIONAL LTD</v>
          </cell>
          <cell r="B3703">
            <v>530867</v>
          </cell>
          <cell r="C3703" t="str">
            <v>Not Listed</v>
          </cell>
        </row>
        <row r="3704">
          <cell r="A3704" t="str">
            <v>SHABA CHEMICALS LTD</v>
          </cell>
          <cell r="B3704">
            <v>524546</v>
          </cell>
          <cell r="C3704" t="str">
            <v>Not Listed</v>
          </cell>
        </row>
        <row r="3705">
          <cell r="A3705" t="str">
            <v>SHAH ALLOYS LTD</v>
          </cell>
          <cell r="B3705">
            <v>513436</v>
          </cell>
          <cell r="C3705" t="str">
            <v>SHAHALLOYS</v>
          </cell>
        </row>
        <row r="3706">
          <cell r="A3706" t="str">
            <v>SHAH CONSTRUCTION CO LTD</v>
          </cell>
          <cell r="B3706">
            <v>509870</v>
          </cell>
          <cell r="C3706" t="str">
            <v>Not Listed</v>
          </cell>
        </row>
        <row r="3707">
          <cell r="A3707" t="str">
            <v>SHAH FOODS LTD</v>
          </cell>
          <cell r="B3707">
            <v>519031</v>
          </cell>
          <cell r="C3707" t="str">
            <v>Not Listed</v>
          </cell>
        </row>
        <row r="3708">
          <cell r="A3708" t="str">
            <v>SHAHI SHIPPING LTD</v>
          </cell>
          <cell r="B3708">
            <v>526508</v>
          </cell>
          <cell r="C3708" t="str">
            <v>Not Listed</v>
          </cell>
        </row>
        <row r="3709">
          <cell r="A3709" t="str">
            <v>SHAILJA COMMERCIAL TRADE FRENZY LTD</v>
          </cell>
          <cell r="B3709">
            <v>539520</v>
          </cell>
          <cell r="C3709" t="str">
            <v>Not Listed</v>
          </cell>
        </row>
        <row r="3710">
          <cell r="A3710" t="str">
            <v>SHAILY ENGINEERING PLASTICS LTD</v>
          </cell>
          <cell r="B3710">
            <v>501423</v>
          </cell>
          <cell r="C3710" t="str">
            <v>Not Listed</v>
          </cell>
        </row>
        <row r="3711">
          <cell r="A3711" t="str">
            <v>SHAIVAL REALITY LTD</v>
          </cell>
          <cell r="B3711" t="str">
            <v>Not Listed</v>
          </cell>
          <cell r="C3711" t="str">
            <v>SHAIVAL</v>
          </cell>
        </row>
        <row r="3712">
          <cell r="A3712" t="str">
            <v>SHAKTI PUMPS (INDIA) LTD</v>
          </cell>
          <cell r="B3712">
            <v>531431</v>
          </cell>
          <cell r="C3712" t="str">
            <v>SHAKTIPUMP</v>
          </cell>
        </row>
        <row r="3713">
          <cell r="A3713" t="str">
            <v>SHAKTI PUMPS INDIA LTD</v>
          </cell>
          <cell r="B3713">
            <v>531431</v>
          </cell>
          <cell r="C3713" t="str">
            <v>SHAKTIPUMP</v>
          </cell>
        </row>
        <row r="3714">
          <cell r="A3714" t="str">
            <v>SHALBY LTD</v>
          </cell>
          <cell r="B3714">
            <v>540797</v>
          </cell>
          <cell r="C3714" t="str">
            <v>SHALBY</v>
          </cell>
        </row>
        <row r="3715">
          <cell r="A3715" t="str">
            <v>SHALIBHADRA FINANCE LTD</v>
          </cell>
          <cell r="B3715">
            <v>511754</v>
          </cell>
          <cell r="C3715" t="str">
            <v>Not Listed</v>
          </cell>
        </row>
        <row r="3716">
          <cell r="A3716" t="str">
            <v>SHALIMAR AGENCIES LTD</v>
          </cell>
          <cell r="B3716">
            <v>539895</v>
          </cell>
          <cell r="C3716" t="str">
            <v>Not Listed</v>
          </cell>
        </row>
        <row r="3717">
          <cell r="A3717" t="str">
            <v>SHALIMAR PAINTS LTD</v>
          </cell>
          <cell r="B3717">
            <v>509874</v>
          </cell>
          <cell r="C3717" t="str">
            <v>SHALPAINTS</v>
          </cell>
        </row>
        <row r="3718">
          <cell r="A3718" t="str">
            <v>SHALIMAR PRODUCTIONS LTD</v>
          </cell>
          <cell r="B3718">
            <v>512499</v>
          </cell>
          <cell r="C3718" t="str">
            <v>Not Listed</v>
          </cell>
        </row>
        <row r="3719">
          <cell r="A3719" t="str">
            <v>SHALIMAR WIRES INDUSTRIES LTD</v>
          </cell>
          <cell r="B3719">
            <v>532455</v>
          </cell>
          <cell r="C3719" t="str">
            <v>Not Listed</v>
          </cell>
        </row>
        <row r="3720">
          <cell r="A3720" t="str">
            <v>SHANGAR DECOR LTD</v>
          </cell>
          <cell r="B3720">
            <v>540259</v>
          </cell>
          <cell r="C3720" t="str">
            <v>Not Listed</v>
          </cell>
        </row>
        <row r="3721">
          <cell r="A3721" t="str">
            <v>Shankar Lal Rampal Dye-Chem Ltd</v>
          </cell>
          <cell r="B3721">
            <v>542232</v>
          </cell>
          <cell r="C3721" t="str">
            <v>SRD</v>
          </cell>
        </row>
        <row r="3722">
          <cell r="A3722" t="str">
            <v>SHANKARA BUILDING PRODUCTS LTD</v>
          </cell>
          <cell r="B3722">
            <v>540425</v>
          </cell>
          <cell r="C3722" t="str">
            <v>SHANKARA</v>
          </cell>
        </row>
        <row r="3723">
          <cell r="A3723" t="str">
            <v>SHANTAI INDUSTRIES LTD</v>
          </cell>
          <cell r="B3723">
            <v>512297</v>
          </cell>
          <cell r="C3723" t="str">
            <v>Not Listed</v>
          </cell>
        </row>
        <row r="3724">
          <cell r="A3724" t="str">
            <v>SHANTANU SHEOREY AQUAKULT LTD</v>
          </cell>
          <cell r="B3724">
            <v>531925</v>
          </cell>
          <cell r="C3724" t="str">
            <v>Not Listed</v>
          </cell>
        </row>
        <row r="3725">
          <cell r="A3725" t="str">
            <v>SHANTHI GEARS LTD</v>
          </cell>
          <cell r="B3725">
            <v>522034</v>
          </cell>
          <cell r="C3725" t="str">
            <v>SHANTIGEAR</v>
          </cell>
        </row>
        <row r="3726">
          <cell r="A3726" t="str">
            <v>SHANTI EDUCATIONAL INITIATIVES LTD</v>
          </cell>
          <cell r="B3726">
            <v>539921</v>
          </cell>
          <cell r="C3726" t="str">
            <v>Not Listed</v>
          </cell>
        </row>
        <row r="3727">
          <cell r="A3727" t="str">
            <v>SHANTI OVERSEAS (INDIA) LTD</v>
          </cell>
          <cell r="B3727" t="str">
            <v>Not Listed</v>
          </cell>
          <cell r="C3727" t="str">
            <v>SHANTI</v>
          </cell>
        </row>
        <row r="3728">
          <cell r="A3728" t="str">
            <v>SHANTI OVERSEAS INDIA LTD</v>
          </cell>
          <cell r="B3728" t="str">
            <v>Not Listed</v>
          </cell>
          <cell r="C3728" t="str">
            <v>SHANTI</v>
          </cell>
        </row>
        <row r="3729">
          <cell r="A3729" t="str">
            <v>SHARAD FIBRES &amp; YARN PROCESSORS LTD</v>
          </cell>
          <cell r="B3729">
            <v>514402</v>
          </cell>
          <cell r="C3729" t="str">
            <v>Not Listed</v>
          </cell>
        </row>
        <row r="3730">
          <cell r="A3730" t="str">
            <v>SHARANAM INFRAPROJECT AND TRADING LTD</v>
          </cell>
          <cell r="B3730">
            <v>539584</v>
          </cell>
          <cell r="C3730" t="str">
            <v>Not Listed</v>
          </cell>
        </row>
        <row r="3731">
          <cell r="A3731" t="str">
            <v>SHARDA CROPCHEM LTD</v>
          </cell>
          <cell r="B3731">
            <v>538666</v>
          </cell>
          <cell r="C3731" t="str">
            <v>SHARDACROP</v>
          </cell>
        </row>
        <row r="3732">
          <cell r="A3732" t="str">
            <v>SHARDA ISPAT LTD</v>
          </cell>
          <cell r="B3732">
            <v>513548</v>
          </cell>
          <cell r="C3732" t="str">
            <v>Not Listed</v>
          </cell>
        </row>
        <row r="3733">
          <cell r="A3733" t="str">
            <v>SHARDA MOTOR INDUSTRIES LTD</v>
          </cell>
          <cell r="B3733">
            <v>535602</v>
          </cell>
          <cell r="C3733" t="str">
            <v>SHARDAMOTR</v>
          </cell>
        </row>
        <row r="3734">
          <cell r="A3734" t="str">
            <v>SHARDUL SECURITIES LTD</v>
          </cell>
          <cell r="B3734">
            <v>512393</v>
          </cell>
          <cell r="C3734" t="str">
            <v>Not Listed</v>
          </cell>
        </row>
        <row r="3735">
          <cell r="A3735" t="str">
            <v>SHARE INDIA SECURITIES LTD</v>
          </cell>
          <cell r="B3735">
            <v>540725</v>
          </cell>
          <cell r="C3735" t="str">
            <v>Not Listed</v>
          </cell>
        </row>
        <row r="3736">
          <cell r="A3736" t="str">
            <v>SHARIKA ENTERPRISES LTD</v>
          </cell>
          <cell r="B3736">
            <v>540786</v>
          </cell>
          <cell r="C3736" t="str">
            <v>Not Listed</v>
          </cell>
        </row>
        <row r="3737">
          <cell r="A3737" t="str">
            <v>SHARON BIO-MEDICINE LTD</v>
          </cell>
          <cell r="B3737">
            <v>532908</v>
          </cell>
          <cell r="C3737" t="str">
            <v>SHARONBIO</v>
          </cell>
        </row>
        <row r="3738">
          <cell r="A3738" t="str">
            <v>SHARP (INDIA) LTD</v>
          </cell>
          <cell r="B3738">
            <v>523449</v>
          </cell>
          <cell r="C3738" t="str">
            <v>Not Listed</v>
          </cell>
        </row>
        <row r="3739">
          <cell r="A3739" t="str">
            <v>SHARP INDIA LTD</v>
          </cell>
          <cell r="B3739">
            <v>523449</v>
          </cell>
          <cell r="C3739" t="str">
            <v>Not Listed</v>
          </cell>
        </row>
        <row r="3740">
          <cell r="A3740" t="str">
            <v>SHARP INVESTMENTS LTD</v>
          </cell>
          <cell r="B3740">
            <v>538212</v>
          </cell>
          <cell r="C3740" t="str">
            <v>Not Listed</v>
          </cell>
        </row>
        <row r="3741">
          <cell r="A3741" t="str">
            <v>SHASHANK TRADERS LTD</v>
          </cell>
          <cell r="B3741">
            <v>540221</v>
          </cell>
          <cell r="C3741" t="str">
            <v>Not Listed</v>
          </cell>
        </row>
        <row r="3742">
          <cell r="A3742" t="str">
            <v>SHASHIJIT INFRAPROJECTS LTD</v>
          </cell>
          <cell r="B3742">
            <v>540147</v>
          </cell>
          <cell r="C3742" t="str">
            <v>Not Listed</v>
          </cell>
        </row>
        <row r="3743">
          <cell r="A3743" t="str">
            <v>SHEELA FOAM LTD</v>
          </cell>
          <cell r="B3743">
            <v>540203</v>
          </cell>
          <cell r="C3743" t="str">
            <v>SFL</v>
          </cell>
        </row>
        <row r="3744">
          <cell r="A3744" t="str">
            <v>SHEETAL COOL PRODUCTS LTD</v>
          </cell>
          <cell r="B3744">
            <v>540757</v>
          </cell>
          <cell r="C3744" t="str">
            <v>Not Listed</v>
          </cell>
        </row>
        <row r="3745">
          <cell r="A3745" t="str">
            <v>SHEETAL DIAMONDS LTD</v>
          </cell>
          <cell r="B3745">
            <v>530525</v>
          </cell>
          <cell r="C3745" t="str">
            <v>Not Listed</v>
          </cell>
        </row>
        <row r="3746">
          <cell r="A3746" t="str">
            <v>SHEKHAWATI POLY-YARN LTD</v>
          </cell>
          <cell r="B3746">
            <v>533301</v>
          </cell>
          <cell r="C3746" t="str">
            <v>SPYL</v>
          </cell>
        </row>
        <row r="3747">
          <cell r="A3747" t="str">
            <v>SHELTER INFRA PROJECTS LTD</v>
          </cell>
          <cell r="B3747">
            <v>526839</v>
          </cell>
          <cell r="C3747" t="str">
            <v>Not Listed</v>
          </cell>
        </row>
        <row r="3748">
          <cell r="A3748" t="str">
            <v>SHEMAROO ENTERTAINMENT LTD</v>
          </cell>
          <cell r="B3748">
            <v>538685</v>
          </cell>
          <cell r="C3748" t="str">
            <v>SHEMAROO</v>
          </cell>
        </row>
        <row r="3749">
          <cell r="A3749" t="str">
            <v>SHERATON PROPERTIES &amp; FINANCE LTD</v>
          </cell>
          <cell r="B3749">
            <v>512367</v>
          </cell>
          <cell r="C3749" t="str">
            <v>Not Listed</v>
          </cell>
        </row>
        <row r="3750">
          <cell r="A3750" t="str">
            <v>SHERVANI INDUSTRIAL SYNDICATE LTD</v>
          </cell>
          <cell r="B3750">
            <v>526117</v>
          </cell>
          <cell r="C3750" t="str">
            <v>Not Listed</v>
          </cell>
        </row>
        <row r="3751">
          <cell r="A3751" t="str">
            <v>SHESHADRI INDUSTRIES LTD</v>
          </cell>
          <cell r="B3751">
            <v>539111</v>
          </cell>
          <cell r="C3751" t="str">
            <v>Not Listed</v>
          </cell>
        </row>
        <row r="3752">
          <cell r="A3752" t="str">
            <v>SHETRON LTD</v>
          </cell>
          <cell r="B3752">
            <v>526137</v>
          </cell>
          <cell r="C3752" t="str">
            <v>Not Listed</v>
          </cell>
        </row>
        <row r="3753">
          <cell r="A3753" t="str">
            <v>SHIKHAR LEASING &amp; TRADING LTD</v>
          </cell>
          <cell r="B3753">
            <v>507952</v>
          </cell>
          <cell r="C3753" t="str">
            <v>Not Listed</v>
          </cell>
        </row>
        <row r="3754">
          <cell r="A3754" t="str">
            <v>SHILCHAR TECHNOLOGIES LTD</v>
          </cell>
          <cell r="B3754">
            <v>531201</v>
          </cell>
          <cell r="C3754" t="str">
            <v>Not Listed</v>
          </cell>
        </row>
        <row r="3755">
          <cell r="A3755" t="str">
            <v>SHILP GRAVURES LTD</v>
          </cell>
          <cell r="B3755">
            <v>513709</v>
          </cell>
          <cell r="C3755" t="str">
            <v>Not Listed</v>
          </cell>
        </row>
        <row r="3756">
          <cell r="A3756" t="str">
            <v>SHILPA MEDICARE LTD</v>
          </cell>
          <cell r="B3756">
            <v>530549</v>
          </cell>
          <cell r="C3756" t="str">
            <v>SHILPAMED</v>
          </cell>
        </row>
        <row r="3757">
          <cell r="A3757" t="str">
            <v>SHILPI CABLE TECHNOLOGIES LTD</v>
          </cell>
          <cell r="B3757">
            <v>533389</v>
          </cell>
          <cell r="C3757" t="str">
            <v>SHILPI</v>
          </cell>
        </row>
        <row r="3758">
          <cell r="A3758" t="str">
            <v>SHIPPING CORPORATION OF (INDIA) LTD</v>
          </cell>
          <cell r="B3758">
            <v>523598</v>
          </cell>
          <cell r="C3758" t="str">
            <v>SCI</v>
          </cell>
        </row>
        <row r="3759">
          <cell r="A3759" t="str">
            <v>SHIPPING CORPORATION OF INDIA LTD</v>
          </cell>
          <cell r="B3759">
            <v>523598</v>
          </cell>
          <cell r="C3759" t="str">
            <v>SCI</v>
          </cell>
        </row>
        <row r="3760">
          <cell r="A3760" t="str">
            <v>SHIRPUR GOLD REFINERY LTD</v>
          </cell>
          <cell r="B3760">
            <v>512289</v>
          </cell>
          <cell r="C3760" t="str">
            <v>SHIRPUR-G</v>
          </cell>
        </row>
        <row r="3761">
          <cell r="A3761" t="str">
            <v>SHISH INDUSTRIES LTD</v>
          </cell>
          <cell r="B3761">
            <v>540693</v>
          </cell>
          <cell r="C3761" t="str">
            <v>Not Listed</v>
          </cell>
        </row>
        <row r="3762">
          <cell r="A3762" t="str">
            <v>SHIVA CEMENT LTD</v>
          </cell>
          <cell r="B3762">
            <v>532323</v>
          </cell>
          <cell r="C3762" t="str">
            <v>Not Listed</v>
          </cell>
        </row>
        <row r="3763">
          <cell r="A3763" t="str">
            <v>SHIVA GLOBAL AGRO INDUSTRIES LTD</v>
          </cell>
          <cell r="B3763">
            <v>530433</v>
          </cell>
          <cell r="C3763" t="str">
            <v>Not Listed</v>
          </cell>
        </row>
        <row r="3764">
          <cell r="A3764" t="str">
            <v>SHIVA GRANITO EXPORT LTD</v>
          </cell>
          <cell r="B3764">
            <v>540072</v>
          </cell>
          <cell r="C3764" t="str">
            <v>Not Listed</v>
          </cell>
        </row>
        <row r="3765">
          <cell r="A3765" t="str">
            <v>SHIVA MEDICARE LTD.</v>
          </cell>
          <cell r="B3765">
            <v>524602</v>
          </cell>
          <cell r="C3765" t="str">
            <v>SHIVMED</v>
          </cell>
        </row>
        <row r="3766">
          <cell r="A3766" t="str">
            <v>SHIVA MILLS LTD</v>
          </cell>
          <cell r="B3766">
            <v>540961</v>
          </cell>
          <cell r="C3766" t="str">
            <v>SHIVAMILLS</v>
          </cell>
        </row>
        <row r="3767">
          <cell r="A3767" t="str">
            <v>SHIVA SUITINGS LTD</v>
          </cell>
          <cell r="B3767">
            <v>521003</v>
          </cell>
          <cell r="C3767" t="str">
            <v>Not Listed</v>
          </cell>
        </row>
        <row r="3768">
          <cell r="A3768" t="str">
            <v>SHIVA TEXYARN LTD</v>
          </cell>
          <cell r="B3768">
            <v>511108</v>
          </cell>
          <cell r="C3768" t="str">
            <v>SHIVATEX</v>
          </cell>
        </row>
        <row r="3769">
          <cell r="A3769" t="str">
            <v>SHIVAGRICO IMPLEMENTS LTD</v>
          </cell>
          <cell r="B3769">
            <v>522237</v>
          </cell>
          <cell r="C3769" t="str">
            <v>Not Listed</v>
          </cell>
        </row>
        <row r="3770">
          <cell r="A3770" t="str">
            <v>SHIVALIK BIMETAL CONTROLS LTD</v>
          </cell>
          <cell r="B3770">
            <v>513097</v>
          </cell>
          <cell r="C3770" t="str">
            <v>Not Listed</v>
          </cell>
        </row>
        <row r="3771">
          <cell r="A3771" t="str">
            <v>SHIVALIK RASAYAN LTD</v>
          </cell>
          <cell r="B3771">
            <v>539148</v>
          </cell>
          <cell r="C3771" t="str">
            <v>Not Listed</v>
          </cell>
        </row>
        <row r="3772">
          <cell r="A3772" t="str">
            <v>SHIVAM AUTOTECH LTD</v>
          </cell>
          <cell r="B3772">
            <v>532776</v>
          </cell>
          <cell r="C3772" t="str">
            <v>SHIVAMAUTO</v>
          </cell>
        </row>
        <row r="3773">
          <cell r="A3773" t="str">
            <v>SHIVANSH FINSERVE LTD</v>
          </cell>
          <cell r="B3773">
            <v>539593</v>
          </cell>
          <cell r="C3773" t="str">
            <v>Not Listed</v>
          </cell>
        </row>
        <row r="3774">
          <cell r="A3774" t="str">
            <v>SHIVKAMAL IMPEX LTD</v>
          </cell>
          <cell r="B3774">
            <v>539683</v>
          </cell>
          <cell r="C3774" t="str">
            <v>Not Listed</v>
          </cell>
        </row>
        <row r="3775">
          <cell r="A3775" t="str">
            <v>SHIVOM INVESTMENT &amp; CONSULTANCY LTD</v>
          </cell>
          <cell r="B3775">
            <v>539833</v>
          </cell>
          <cell r="C3775" t="str">
            <v>Not Listed</v>
          </cell>
        </row>
        <row r="3776">
          <cell r="A3776" t="str">
            <v>SHOPPERS STOP LTD</v>
          </cell>
          <cell r="B3776">
            <v>532638</v>
          </cell>
          <cell r="C3776" t="str">
            <v>SHOPERSTOP</v>
          </cell>
        </row>
        <row r="3777">
          <cell r="A3777" t="str">
            <v>SHRADHA INFRAPROJECTS NAGPUR LTD</v>
          </cell>
          <cell r="B3777" t="str">
            <v>Not Listed</v>
          </cell>
          <cell r="C3777" t="str">
            <v>SHRADHA</v>
          </cell>
        </row>
        <row r="3778">
          <cell r="A3778" t="str">
            <v>SHREE AJIT PULP AND PAPER LTD</v>
          </cell>
          <cell r="B3778">
            <v>538795</v>
          </cell>
          <cell r="C3778" t="str">
            <v>Not Listed</v>
          </cell>
        </row>
        <row r="3779">
          <cell r="A3779" t="str">
            <v>SHREE BHAVYA FABRICS LTD</v>
          </cell>
          <cell r="B3779">
            <v>521131</v>
          </cell>
          <cell r="C3779" t="str">
            <v>Not Listed</v>
          </cell>
        </row>
        <row r="3780">
          <cell r="A3780" t="str">
            <v>SHREE BHAWANI PAPER MILLS LTD</v>
          </cell>
          <cell r="B3780">
            <v>502563</v>
          </cell>
          <cell r="C3780" t="str">
            <v>Not Listed</v>
          </cell>
        </row>
        <row r="3781">
          <cell r="A3781" t="str">
            <v>SHREE CEMENT LTD</v>
          </cell>
          <cell r="B3781">
            <v>500387</v>
          </cell>
          <cell r="C3781" t="str">
            <v>SHREECEM</v>
          </cell>
        </row>
        <row r="3782">
          <cell r="A3782" t="str">
            <v>SHREE DIGVIJAY CEMENT CO LTD</v>
          </cell>
          <cell r="B3782">
            <v>502180</v>
          </cell>
          <cell r="C3782" t="str">
            <v>Not Listed</v>
          </cell>
        </row>
        <row r="3783">
          <cell r="A3783" t="str">
            <v>SHREE GANESH BIOTECH (INDIA) LTD</v>
          </cell>
          <cell r="B3783">
            <v>539470</v>
          </cell>
          <cell r="C3783" t="str">
            <v>Not Listed</v>
          </cell>
        </row>
        <row r="3784">
          <cell r="A3784" t="str">
            <v>SHREE GANESH BIOTECH INDIA LTD</v>
          </cell>
          <cell r="B3784">
            <v>539470</v>
          </cell>
          <cell r="C3784" t="str">
            <v>Not Listed</v>
          </cell>
        </row>
        <row r="3785">
          <cell r="A3785" t="str">
            <v>SHREE GANESH ELASTOPLAST LTD</v>
          </cell>
          <cell r="B3785">
            <v>530797</v>
          </cell>
          <cell r="C3785" t="str">
            <v>Not Listed</v>
          </cell>
        </row>
        <row r="3786">
          <cell r="A3786" t="str">
            <v>SHREE GANESH FORGINGS LTD</v>
          </cell>
          <cell r="B3786">
            <v>532643</v>
          </cell>
          <cell r="C3786" t="str">
            <v>SGFL</v>
          </cell>
        </row>
        <row r="3787">
          <cell r="A3787" t="str">
            <v>SHREE GANESH REMEDIES LTD</v>
          </cell>
          <cell r="B3787">
            <v>540737</v>
          </cell>
          <cell r="C3787" t="str">
            <v>Not Listed</v>
          </cell>
        </row>
        <row r="3788">
          <cell r="A3788" t="str">
            <v>SHREE GLOBAL TRADEFIN LTD</v>
          </cell>
          <cell r="B3788">
            <v>512463</v>
          </cell>
          <cell r="C3788" t="str">
            <v>Not Listed</v>
          </cell>
        </row>
        <row r="3789">
          <cell r="A3789" t="str">
            <v>SHREE HARI CHEMICALS EXPORT LTD</v>
          </cell>
          <cell r="B3789">
            <v>524336</v>
          </cell>
          <cell r="C3789" t="str">
            <v>Not Listed</v>
          </cell>
        </row>
        <row r="3790">
          <cell r="A3790" t="str">
            <v>SHREE KARTHIK PAPERS LTD</v>
          </cell>
          <cell r="B3790">
            <v>516106</v>
          </cell>
          <cell r="C3790" t="str">
            <v>Not Listed</v>
          </cell>
        </row>
        <row r="3791">
          <cell r="A3791" t="str">
            <v>SHREE KRISHNA INFRASTRUCTURE LTD</v>
          </cell>
          <cell r="B3791">
            <v>542146</v>
          </cell>
          <cell r="C3791" t="str">
            <v>Not Listed</v>
          </cell>
        </row>
        <row r="3792">
          <cell r="A3792" t="str">
            <v>SHREE KRISHNA PAPER MILLS &amp; INDUSTRIES LTD</v>
          </cell>
          <cell r="B3792">
            <v>500388</v>
          </cell>
          <cell r="C3792" t="str">
            <v>Not Listed</v>
          </cell>
        </row>
        <row r="3793">
          <cell r="A3793" t="str">
            <v>SHREE MANUFACTURING CO LTD</v>
          </cell>
          <cell r="B3793">
            <v>503863</v>
          </cell>
          <cell r="C3793" t="str">
            <v>Not Listed</v>
          </cell>
        </row>
        <row r="3794">
          <cell r="A3794" t="str">
            <v>SHREE METALLOYS LTD</v>
          </cell>
          <cell r="B3794">
            <v>531962</v>
          </cell>
          <cell r="C3794" t="str">
            <v>Not Listed</v>
          </cell>
        </row>
        <row r="3795">
          <cell r="A3795" t="str">
            <v>SHREE NIDHI TRADING CO  LTD</v>
          </cell>
          <cell r="B3795">
            <v>540253</v>
          </cell>
          <cell r="C3795" t="str">
            <v>Not Listed</v>
          </cell>
        </row>
        <row r="3796">
          <cell r="A3796" t="str">
            <v>SHREE OM TRADES LTD</v>
          </cell>
          <cell r="B3796">
            <v>506180</v>
          </cell>
          <cell r="C3796" t="str">
            <v>Not Listed</v>
          </cell>
        </row>
        <row r="3797">
          <cell r="A3797" t="str">
            <v>SHREE PACETRONIX LTD</v>
          </cell>
          <cell r="B3797">
            <v>527005</v>
          </cell>
          <cell r="C3797" t="str">
            <v>Not Listed</v>
          </cell>
        </row>
        <row r="3798">
          <cell r="A3798" t="str">
            <v>SHREE PRECOATED STEELS LTD</v>
          </cell>
          <cell r="B3798">
            <v>533110</v>
          </cell>
          <cell r="C3798" t="str">
            <v>Not Listed</v>
          </cell>
        </row>
        <row r="3799">
          <cell r="A3799" t="str">
            <v>SHREE PUSHKAR CHEMICALS &amp; FERTILISERS LTD</v>
          </cell>
          <cell r="B3799">
            <v>539334</v>
          </cell>
          <cell r="C3799" t="str">
            <v>SHREEPUSHK</v>
          </cell>
        </row>
        <row r="3800">
          <cell r="A3800" t="str">
            <v>SHREE RAJASTHAN SYNTEX LTD</v>
          </cell>
          <cell r="B3800">
            <v>503837</v>
          </cell>
          <cell r="C3800" t="str">
            <v>Not Listed</v>
          </cell>
        </row>
        <row r="3801">
          <cell r="A3801" t="str">
            <v>SHREE RAJESHWARANAND PAPER MILLS LTD</v>
          </cell>
          <cell r="B3801">
            <v>516086</v>
          </cell>
          <cell r="C3801" t="str">
            <v>Not Listed</v>
          </cell>
        </row>
        <row r="3802">
          <cell r="A3802" t="str">
            <v>SHREE RAM PROTEINS LTD</v>
          </cell>
          <cell r="B3802" t="str">
            <v>Not Listed</v>
          </cell>
          <cell r="C3802" t="str">
            <v>SRPL</v>
          </cell>
        </row>
        <row r="3803">
          <cell r="A3803" t="str">
            <v>SHREE RAMA MULTI-TECH LTD</v>
          </cell>
          <cell r="B3803">
            <v>532310</v>
          </cell>
          <cell r="C3803" t="str">
            <v>SHREERAMA</v>
          </cell>
        </row>
        <row r="3804">
          <cell r="A3804" t="str">
            <v>SHREE RAMA NEWSPRINT LTD</v>
          </cell>
          <cell r="B3804">
            <v>500356</v>
          </cell>
          <cell r="C3804" t="str">
            <v>RAMANEWS</v>
          </cell>
        </row>
        <row r="3805">
          <cell r="A3805" t="str">
            <v>SHREE RENUKA SUGARS LTD</v>
          </cell>
          <cell r="B3805">
            <v>532670</v>
          </cell>
          <cell r="C3805" t="str">
            <v>RENUKA</v>
          </cell>
        </row>
        <row r="3806">
          <cell r="A3806" t="str">
            <v>SHREE SALASAR INVESTMENT LTD</v>
          </cell>
          <cell r="B3806">
            <v>503635</v>
          </cell>
          <cell r="C3806" t="str">
            <v>Not Listed</v>
          </cell>
        </row>
        <row r="3807">
          <cell r="A3807" t="str">
            <v>SHREE SECURITIES LTD</v>
          </cell>
          <cell r="B3807">
            <v>538975</v>
          </cell>
          <cell r="C3807" t="str">
            <v>Not Listed</v>
          </cell>
        </row>
        <row r="3808">
          <cell r="A3808" t="str">
            <v>SHREE STEEL WIRE ROPES LTD</v>
          </cell>
          <cell r="B3808">
            <v>513488</v>
          </cell>
          <cell r="C3808" t="str">
            <v>Not Listed</v>
          </cell>
        </row>
        <row r="3809">
          <cell r="A3809" t="str">
            <v>SHREE SURGOVIND TRADELINK LTD</v>
          </cell>
          <cell r="B3809">
            <v>531667</v>
          </cell>
          <cell r="C3809" t="str">
            <v>Not Listed</v>
          </cell>
        </row>
        <row r="3810">
          <cell r="A3810" t="str">
            <v>SHREE TIRUPATI BALAJEE FIBC LTD</v>
          </cell>
          <cell r="B3810" t="str">
            <v>Not Listed</v>
          </cell>
          <cell r="C3810" t="str">
            <v>TIRUPATI</v>
          </cell>
        </row>
        <row r="3811">
          <cell r="A3811" t="str">
            <v>SHREE TULSI ONLINE COM LTD</v>
          </cell>
          <cell r="B3811">
            <v>590128</v>
          </cell>
          <cell r="C3811" t="str">
            <v>Not Listed</v>
          </cell>
        </row>
        <row r="3812">
          <cell r="A3812" t="str">
            <v>SHREE VASU LOGISTICS LTD</v>
          </cell>
          <cell r="B3812" t="str">
            <v>Not Listed</v>
          </cell>
          <cell r="C3812" t="str">
            <v>SVLL</v>
          </cell>
        </row>
        <row r="3813">
          <cell r="A3813" t="str">
            <v>SHREE WORSTEX LTD</v>
          </cell>
          <cell r="B3813">
            <v>541358</v>
          </cell>
          <cell r="C3813" t="str">
            <v>Not Listed</v>
          </cell>
        </row>
        <row r="3814">
          <cell r="A3814" t="str">
            <v>SHREEJI TRANSLOGISTICS LTD</v>
          </cell>
          <cell r="B3814">
            <v>540738</v>
          </cell>
          <cell r="C3814" t="str">
            <v>Not Listed</v>
          </cell>
        </row>
        <row r="3815">
          <cell r="A3815" t="str">
            <v>SHREENATH INVESTMENTS CO LTD</v>
          </cell>
          <cell r="B3815">
            <v>503696</v>
          </cell>
          <cell r="C3815" t="str">
            <v>Not Listed</v>
          </cell>
        </row>
        <row r="3816">
          <cell r="A3816" t="str">
            <v>SHREEOSWAL SEEDS AND CHEMICALS LTD</v>
          </cell>
          <cell r="B3816" t="str">
            <v>Not Listed</v>
          </cell>
          <cell r="C3816" t="str">
            <v>OSWALSEEDS</v>
          </cell>
        </row>
        <row r="3817">
          <cell r="A3817" t="str">
            <v>SHREESHAY ENGINEERS LTD</v>
          </cell>
          <cell r="B3817">
            <v>541112</v>
          </cell>
          <cell r="C3817" t="str">
            <v>Not Listed</v>
          </cell>
        </row>
        <row r="3818">
          <cell r="A3818" t="str">
            <v>SHREEVATSAA FINANCE &amp; LEASING LTD</v>
          </cell>
          <cell r="B3818">
            <v>532007</v>
          </cell>
          <cell r="C3818" t="str">
            <v>Not Listed</v>
          </cell>
        </row>
        <row r="3819">
          <cell r="A3819" t="str">
            <v>SHRENIK LTD</v>
          </cell>
          <cell r="B3819" t="str">
            <v>Not Listed</v>
          </cell>
          <cell r="C3819" t="str">
            <v>SHRENIK</v>
          </cell>
        </row>
        <row r="3820">
          <cell r="A3820" t="str">
            <v>SHREYANS INDUSTRIES LTD</v>
          </cell>
          <cell r="B3820">
            <v>516016</v>
          </cell>
          <cell r="C3820" t="str">
            <v>SHREYANIND</v>
          </cell>
        </row>
        <row r="3821">
          <cell r="A3821" t="str">
            <v>SHREYAS INTERMEDIATES LTD</v>
          </cell>
          <cell r="B3821">
            <v>526335</v>
          </cell>
          <cell r="C3821" t="str">
            <v>Not Listed</v>
          </cell>
        </row>
        <row r="3822">
          <cell r="A3822" t="str">
            <v>SHREYAS SHIPPING &amp; LOGISTICS LTD</v>
          </cell>
          <cell r="B3822">
            <v>520151</v>
          </cell>
          <cell r="C3822" t="str">
            <v>SHREYAS</v>
          </cell>
        </row>
        <row r="3823">
          <cell r="A3823" t="str">
            <v>SHRI BAJRANG ALLOYS LTD</v>
          </cell>
          <cell r="B3823">
            <v>526981</v>
          </cell>
          <cell r="C3823" t="str">
            <v>Not Listed</v>
          </cell>
        </row>
        <row r="3824">
          <cell r="A3824" t="str">
            <v>SHRI BHOLANATH CARPETS LTD</v>
          </cell>
          <cell r="B3824">
            <v>530841</v>
          </cell>
          <cell r="C3824" t="str">
            <v>Not Listed</v>
          </cell>
        </row>
        <row r="3825">
          <cell r="A3825" t="str">
            <v>SHRI DINESH MILLS LTD</v>
          </cell>
          <cell r="B3825">
            <v>503804</v>
          </cell>
          <cell r="C3825" t="str">
            <v>Not Listed</v>
          </cell>
        </row>
        <row r="3826">
          <cell r="A3826" t="str">
            <v>SHRI JAGDAMBA POLYMERS LTD</v>
          </cell>
          <cell r="B3826">
            <v>512453</v>
          </cell>
          <cell r="C3826" t="str">
            <v>Not Listed</v>
          </cell>
        </row>
        <row r="3827">
          <cell r="A3827" t="str">
            <v>SHRI KALYAN HOLDINGS LTD</v>
          </cell>
          <cell r="B3827">
            <v>532083</v>
          </cell>
          <cell r="C3827" t="str">
            <v>Not Listed</v>
          </cell>
        </row>
        <row r="3828">
          <cell r="A3828" t="str">
            <v>SHRI KESHAV CEMENTS AND INFRA LTD</v>
          </cell>
          <cell r="B3828">
            <v>530977</v>
          </cell>
          <cell r="C3828" t="str">
            <v>Not Listed</v>
          </cell>
        </row>
        <row r="3829">
          <cell r="A3829" t="str">
            <v>SHRI KRISHNA DEVCON LTD</v>
          </cell>
          <cell r="B3829">
            <v>531080</v>
          </cell>
          <cell r="C3829" t="str">
            <v>Not Listed</v>
          </cell>
        </row>
        <row r="3830">
          <cell r="A3830" t="str">
            <v>SHRI NIWAS LEASING AND FINANCE LTD</v>
          </cell>
          <cell r="B3830">
            <v>538897</v>
          </cell>
          <cell r="C3830" t="str">
            <v>Not Listed</v>
          </cell>
        </row>
        <row r="3831">
          <cell r="A3831" t="str">
            <v>SHRI RAM SWITCHGEARS LTD</v>
          </cell>
          <cell r="B3831" t="str">
            <v>Not Listed</v>
          </cell>
          <cell r="C3831" t="str">
            <v>SRIRAM</v>
          </cell>
        </row>
        <row r="3832">
          <cell r="A3832" t="str">
            <v>SHRICON INDUSTRIES LTD</v>
          </cell>
          <cell r="B3832">
            <v>508961</v>
          </cell>
          <cell r="C3832" t="str">
            <v>Not Listed</v>
          </cell>
        </row>
        <row r="3833">
          <cell r="A3833" t="str">
            <v>SHRIRAM ASSET MANAGEMENT CO LTD</v>
          </cell>
          <cell r="B3833">
            <v>531359</v>
          </cell>
          <cell r="C3833" t="str">
            <v>Not Listed</v>
          </cell>
        </row>
        <row r="3834">
          <cell r="A3834" t="str">
            <v>SHRIRAM CITY UNION FINANCE LTD</v>
          </cell>
          <cell r="B3834">
            <v>532498</v>
          </cell>
          <cell r="C3834" t="str">
            <v>SHRIRAMCIT</v>
          </cell>
        </row>
        <row r="3835">
          <cell r="A3835" t="str">
            <v>SHRIRAM EPC LTD</v>
          </cell>
          <cell r="B3835">
            <v>532945</v>
          </cell>
          <cell r="C3835" t="str">
            <v>SHRIRAMEPC</v>
          </cell>
        </row>
        <row r="3836">
          <cell r="A3836" t="str">
            <v>SHRIRAM PISTONS &amp; RINGS LTD</v>
          </cell>
          <cell r="B3836" t="str">
            <v>Not Listed</v>
          </cell>
          <cell r="C3836" t="str">
            <v>SHRIPISTON</v>
          </cell>
        </row>
        <row r="3837">
          <cell r="A3837" t="str">
            <v>SHRIRAM TRANSPORT FINANCE COMPANY LTD</v>
          </cell>
          <cell r="B3837">
            <v>511218</v>
          </cell>
          <cell r="C3837" t="str">
            <v>SRTRANSFIN</v>
          </cell>
        </row>
        <row r="3838">
          <cell r="A3838" t="str">
            <v>SHRISTI INFRASTRUCTURE DEVELOPMENT CORPORATION LTD</v>
          </cell>
          <cell r="B3838">
            <v>511411</v>
          </cell>
          <cell r="C3838" t="str">
            <v>Not Listed</v>
          </cell>
        </row>
        <row r="3839">
          <cell r="A3839" t="str">
            <v>SHUBHAM POLYSPIN LTD</v>
          </cell>
          <cell r="B3839">
            <v>542019</v>
          </cell>
          <cell r="C3839" t="str">
            <v>Not Listed</v>
          </cell>
        </row>
        <row r="3840">
          <cell r="A3840" t="str">
            <v>SHUBHLAXMI JEWEL ART LTD</v>
          </cell>
          <cell r="B3840" t="str">
            <v>Not Listed</v>
          </cell>
          <cell r="C3840" t="str">
            <v>SHUBHLAXMI</v>
          </cell>
        </row>
        <row r="3841">
          <cell r="A3841" t="str">
            <v>SHUKRA BULLIONS LTD.</v>
          </cell>
          <cell r="B3841">
            <v>531506</v>
          </cell>
          <cell r="C3841" t="str">
            <v>SKRABUL</v>
          </cell>
        </row>
        <row r="3842">
          <cell r="A3842" t="str">
            <v>SHUKRA JEWELLERS LTD</v>
          </cell>
          <cell r="B3842">
            <v>523790</v>
          </cell>
          <cell r="C3842" t="str">
            <v>Not Listed</v>
          </cell>
        </row>
        <row r="3843">
          <cell r="A3843" t="str">
            <v>SHUKRA PHARMACEUTICALS LTD</v>
          </cell>
          <cell r="B3843">
            <v>524632</v>
          </cell>
          <cell r="C3843" t="str">
            <v>Not Listed</v>
          </cell>
        </row>
        <row r="3844">
          <cell r="A3844" t="str">
            <v>SHYAM CENTURY FERROUS LTD</v>
          </cell>
          <cell r="B3844">
            <v>539252</v>
          </cell>
          <cell r="C3844" t="str">
            <v>SHYAMCENT</v>
          </cell>
        </row>
        <row r="3845">
          <cell r="A3845" t="str">
            <v>SHYAM TELECOM LTD</v>
          </cell>
          <cell r="B3845">
            <v>517411</v>
          </cell>
          <cell r="C3845" t="str">
            <v>SHYAMTEL</v>
          </cell>
        </row>
        <row r="3846">
          <cell r="A3846" t="str">
            <v>SHYAMA INFOSYS LTD</v>
          </cell>
          <cell r="B3846">
            <v>531219</v>
          </cell>
          <cell r="C3846" t="str">
            <v>Not Listed</v>
          </cell>
        </row>
        <row r="3847">
          <cell r="A3847" t="str">
            <v>SHYAMKAMAL INVESTMENTS LTD</v>
          </cell>
          <cell r="B3847">
            <v>505515</v>
          </cell>
          <cell r="C3847" t="str">
            <v>Not Listed</v>
          </cell>
        </row>
        <row r="3848">
          <cell r="A3848" t="str">
            <v>SI CAPITAL &amp; FINANCIAL SERVICES LTD</v>
          </cell>
          <cell r="B3848">
            <v>530907</v>
          </cell>
          <cell r="C3848" t="str">
            <v>Not Listed</v>
          </cell>
        </row>
        <row r="3849">
          <cell r="A3849" t="str">
            <v>SIBAR AUTO PARTS LTD</v>
          </cell>
          <cell r="B3849">
            <v>520141</v>
          </cell>
          <cell r="C3849" t="str">
            <v>Not Listed</v>
          </cell>
        </row>
        <row r="3850">
          <cell r="A3850" t="str">
            <v>SICAGEN (INDIA) LTD</v>
          </cell>
          <cell r="B3850">
            <v>533014</v>
          </cell>
          <cell r="C3850" t="str">
            <v>SICAGEN</v>
          </cell>
        </row>
        <row r="3851">
          <cell r="A3851" t="str">
            <v>SICAGEN INDIA LTD</v>
          </cell>
          <cell r="B3851">
            <v>533014</v>
          </cell>
          <cell r="C3851" t="str">
            <v>SICAGEN</v>
          </cell>
        </row>
        <row r="3852">
          <cell r="A3852" t="str">
            <v>SICAL LOGISTICS LTD</v>
          </cell>
          <cell r="B3852">
            <v>520086</v>
          </cell>
          <cell r="C3852" t="str">
            <v>SICAL</v>
          </cell>
        </row>
        <row r="3853">
          <cell r="A3853" t="str">
            <v>SIDDHARTH EDUCATION SERVICES LTD</v>
          </cell>
          <cell r="B3853">
            <v>540736</v>
          </cell>
          <cell r="C3853" t="str">
            <v>Not Listed</v>
          </cell>
        </row>
        <row r="3854">
          <cell r="A3854" t="str">
            <v>SIDH AUTOMOBILES LTD</v>
          </cell>
          <cell r="B3854">
            <v>539983</v>
          </cell>
          <cell r="C3854" t="str">
            <v>Not Listed</v>
          </cell>
        </row>
        <row r="3855">
          <cell r="A3855" t="str">
            <v>SIEL FINANCIAL SERVICES LTD</v>
          </cell>
          <cell r="B3855">
            <v>532217</v>
          </cell>
          <cell r="C3855" t="str">
            <v>Not Listed</v>
          </cell>
        </row>
        <row r="3856">
          <cell r="A3856" t="str">
            <v>SIEMENS LTD</v>
          </cell>
          <cell r="B3856">
            <v>500550</v>
          </cell>
          <cell r="C3856" t="str">
            <v>SIEMENS</v>
          </cell>
        </row>
        <row r="3857">
          <cell r="A3857" t="str">
            <v>SIGNET INDUSTRIES LTD</v>
          </cell>
          <cell r="B3857">
            <v>512131</v>
          </cell>
          <cell r="C3857" t="str">
            <v>SIGIND</v>
          </cell>
        </row>
        <row r="3858">
          <cell r="A3858" t="str">
            <v>SIKA INTERPLANT SYSTEMS LTD</v>
          </cell>
          <cell r="B3858">
            <v>523606</v>
          </cell>
          <cell r="C3858" t="str">
            <v>Not Listed</v>
          </cell>
        </row>
        <row r="3859">
          <cell r="A3859" t="str">
            <v>SIKKO INDUSTRIES LTD</v>
          </cell>
          <cell r="B3859" t="str">
            <v>Not Listed</v>
          </cell>
          <cell r="C3859" t="str">
            <v>SIKKO</v>
          </cell>
        </row>
        <row r="3860">
          <cell r="A3860" t="str">
            <v>SIKOZY REALTORS LTD</v>
          </cell>
          <cell r="B3860">
            <v>524642</v>
          </cell>
          <cell r="C3860" t="str">
            <v>Not Listed</v>
          </cell>
        </row>
        <row r="3861">
          <cell r="A3861" t="str">
            <v>SIL INVESTMENTS LTD</v>
          </cell>
          <cell r="B3861">
            <v>521194</v>
          </cell>
          <cell r="C3861" t="str">
            <v>SILINV</v>
          </cell>
        </row>
        <row r="3862">
          <cell r="A3862" t="str">
            <v>SILGO RETAIL LTD</v>
          </cell>
          <cell r="B3862" t="str">
            <v>Not Listed</v>
          </cell>
          <cell r="C3862" t="str">
            <v>SILGO</v>
          </cell>
        </row>
        <row r="3863">
          <cell r="A3863" t="str">
            <v>SILLY MONKS ENTERTAINMENT LTD</v>
          </cell>
          <cell r="B3863" t="str">
            <v>Not Listed</v>
          </cell>
          <cell r="C3863" t="str">
            <v>SILLYMONKS</v>
          </cell>
        </row>
        <row r="3864">
          <cell r="A3864" t="str">
            <v>SILVER OAK (INDIA) LTD</v>
          </cell>
          <cell r="B3864">
            <v>531635</v>
          </cell>
          <cell r="C3864" t="str">
            <v>Not Listed</v>
          </cell>
        </row>
        <row r="3865">
          <cell r="A3865" t="str">
            <v>SILVER OAK COMMERCIAL LTD</v>
          </cell>
          <cell r="B3865">
            <v>512197</v>
          </cell>
          <cell r="C3865" t="str">
            <v>Not Listed</v>
          </cell>
        </row>
        <row r="3866">
          <cell r="A3866" t="str">
            <v>SILVER OAK INDIA LTD</v>
          </cell>
          <cell r="B3866">
            <v>531635</v>
          </cell>
          <cell r="C3866" t="str">
            <v>Not Listed</v>
          </cell>
        </row>
        <row r="3867">
          <cell r="A3867" t="str">
            <v>SILVER TOUCH TECHNOLOGIES LTD</v>
          </cell>
          <cell r="B3867" t="str">
            <v>Not Listed</v>
          </cell>
          <cell r="C3867" t="str">
            <v>SILVERTUC</v>
          </cell>
        </row>
        <row r="3868">
          <cell r="A3868" t="str">
            <v>SILVERPOINT INFRATECH LTD</v>
          </cell>
          <cell r="B3868">
            <v>536073</v>
          </cell>
          <cell r="C3868" t="str">
            <v>Not Listed</v>
          </cell>
        </row>
        <row r="3869">
          <cell r="A3869" t="str">
            <v>SIMBHAOLI SUGARS LTD</v>
          </cell>
          <cell r="B3869">
            <v>539742</v>
          </cell>
          <cell r="C3869" t="str">
            <v>SIMBHALS</v>
          </cell>
        </row>
        <row r="3870">
          <cell r="A3870" t="str">
            <v>SIMMONDS MARSHALL LTD</v>
          </cell>
          <cell r="B3870">
            <v>507998</v>
          </cell>
          <cell r="C3870" t="str">
            <v>Not Listed</v>
          </cell>
        </row>
        <row r="3871">
          <cell r="A3871" t="str">
            <v>SIMPLEX CASTINGS LTD</v>
          </cell>
          <cell r="B3871">
            <v>513472</v>
          </cell>
          <cell r="C3871" t="str">
            <v>Not Listed</v>
          </cell>
        </row>
        <row r="3872">
          <cell r="A3872" t="str">
            <v>SIMPLEX INFRASTRUCTURES LTD</v>
          </cell>
          <cell r="B3872">
            <v>523838</v>
          </cell>
          <cell r="C3872" t="str">
            <v>SIMPLEXINF</v>
          </cell>
        </row>
        <row r="3873">
          <cell r="A3873" t="str">
            <v>SIMPLEX MILLS COMPANY LTD</v>
          </cell>
          <cell r="B3873">
            <v>533018</v>
          </cell>
          <cell r="C3873" t="str">
            <v>Not Listed</v>
          </cell>
        </row>
        <row r="3874">
          <cell r="A3874" t="str">
            <v>SIMPLEX PAPERS LTD</v>
          </cell>
          <cell r="B3874">
            <v>533019</v>
          </cell>
          <cell r="C3874" t="str">
            <v>Not Listed</v>
          </cell>
        </row>
        <row r="3875">
          <cell r="A3875" t="str">
            <v>SIMPLEX REALTY LTD</v>
          </cell>
          <cell r="B3875">
            <v>503229</v>
          </cell>
          <cell r="C3875" t="str">
            <v>Not Listed</v>
          </cell>
        </row>
        <row r="3876">
          <cell r="A3876" t="str">
            <v>SIMRAN FARMS LTD</v>
          </cell>
          <cell r="B3876">
            <v>519566</v>
          </cell>
          <cell r="C3876" t="str">
            <v>Not Listed</v>
          </cell>
        </row>
        <row r="3877">
          <cell r="A3877" t="str">
            <v>SINCLAIRS HOTELS LTD</v>
          </cell>
          <cell r="B3877">
            <v>523023</v>
          </cell>
          <cell r="C3877" t="str">
            <v>Not Listed</v>
          </cell>
        </row>
        <row r="3878">
          <cell r="A3878" t="str">
            <v>SINDHU TRADE LINKS LTD</v>
          </cell>
          <cell r="B3878">
            <v>532029</v>
          </cell>
          <cell r="C3878" t="str">
            <v>Not Listed</v>
          </cell>
        </row>
        <row r="3879">
          <cell r="A3879" t="str">
            <v>SINDU VALLEY TECHNOLOGIES LTD</v>
          </cell>
          <cell r="B3879">
            <v>505504</v>
          </cell>
          <cell r="C3879" t="str">
            <v>Not Listed</v>
          </cell>
        </row>
        <row r="3880">
          <cell r="A3880" t="str">
            <v>SINGER (INDIA) LTD</v>
          </cell>
          <cell r="B3880">
            <v>505729</v>
          </cell>
          <cell r="C3880" t="str">
            <v>Not Listed</v>
          </cell>
        </row>
        <row r="3881">
          <cell r="A3881" t="str">
            <v>SINGER INDIA LTD</v>
          </cell>
          <cell r="B3881">
            <v>505729</v>
          </cell>
          <cell r="C3881" t="str">
            <v>Not Listed</v>
          </cell>
        </row>
        <row r="3882">
          <cell r="A3882" t="str">
            <v>SINNAR BIDI UDYOG LTD</v>
          </cell>
          <cell r="B3882">
            <v>509887</v>
          </cell>
          <cell r="C3882" t="str">
            <v>Not Listed</v>
          </cell>
        </row>
        <row r="3883">
          <cell r="A3883" t="str">
            <v>SINNER ENERGY (INDIA) LTD</v>
          </cell>
          <cell r="B3883">
            <v>539410</v>
          </cell>
          <cell r="C3883" t="str">
            <v>Not Listed</v>
          </cell>
        </row>
        <row r="3884">
          <cell r="A3884" t="str">
            <v>SINNER ENERGY INDIA LTD</v>
          </cell>
          <cell r="B3884">
            <v>539410</v>
          </cell>
          <cell r="C3884" t="str">
            <v>Not Listed</v>
          </cell>
        </row>
        <row r="3885">
          <cell r="A3885" t="str">
            <v>SINTERCOM (INDIA) LTD</v>
          </cell>
          <cell r="B3885" t="str">
            <v>Not Listed</v>
          </cell>
          <cell r="C3885" t="str">
            <v>SINTERCOM</v>
          </cell>
        </row>
        <row r="3886">
          <cell r="A3886" t="str">
            <v>SINTERCOM INDIA LTD</v>
          </cell>
          <cell r="B3886" t="str">
            <v>Not Listed</v>
          </cell>
          <cell r="C3886" t="str">
            <v>SINTERCOM</v>
          </cell>
        </row>
        <row r="3887">
          <cell r="A3887" t="str">
            <v>SINTEX INDUSTRIES LTD</v>
          </cell>
          <cell r="B3887">
            <v>502742</v>
          </cell>
          <cell r="C3887" t="str">
            <v>SINTEX</v>
          </cell>
        </row>
        <row r="3888">
          <cell r="A3888" t="str">
            <v>SINTEX PLASTICS TECHNOLOGY LTD</v>
          </cell>
          <cell r="B3888">
            <v>540653</v>
          </cell>
          <cell r="C3888" t="str">
            <v>SPTL</v>
          </cell>
        </row>
        <row r="3889">
          <cell r="A3889" t="str">
            <v>SIP INDUSTRIES LTD</v>
          </cell>
          <cell r="B3889">
            <v>523164</v>
          </cell>
          <cell r="C3889" t="str">
            <v>Not Listed</v>
          </cell>
        </row>
        <row r="3890">
          <cell r="A3890" t="str">
            <v>SIR SHADI LAL ENTERPRISES LTD</v>
          </cell>
          <cell r="B3890">
            <v>532879</v>
          </cell>
          <cell r="C3890" t="str">
            <v>Not Listed</v>
          </cell>
        </row>
        <row r="3891">
          <cell r="A3891" t="str">
            <v>SIRCA PAINTS (INDIA) LTD</v>
          </cell>
          <cell r="B3891" t="str">
            <v>Not Listed</v>
          </cell>
          <cell r="C3891" t="str">
            <v>SIRCA</v>
          </cell>
        </row>
        <row r="3892">
          <cell r="A3892" t="str">
            <v>SIRCA PAINTS INDIA LTD</v>
          </cell>
          <cell r="B3892" t="str">
            <v>Not Listed</v>
          </cell>
          <cell r="C3892" t="str">
            <v>SIRCA</v>
          </cell>
        </row>
        <row r="3893">
          <cell r="A3893" t="str">
            <v>SIROHIA &amp; SONS LTD</v>
          </cell>
          <cell r="B3893">
            <v>538667</v>
          </cell>
          <cell r="C3893" t="str">
            <v>Not Listed</v>
          </cell>
        </row>
        <row r="3894">
          <cell r="A3894" t="str">
            <v>SITA ENTERPRISES LTD</v>
          </cell>
          <cell r="B3894">
            <v>512589</v>
          </cell>
          <cell r="C3894" t="str">
            <v>Not Listed</v>
          </cell>
        </row>
        <row r="3895">
          <cell r="A3895" t="str">
            <v>SITA SHREE FOOD PRODUCTS LTD</v>
          </cell>
          <cell r="B3895">
            <v>532961</v>
          </cell>
          <cell r="C3895" t="str">
            <v>SITASHREE</v>
          </cell>
        </row>
        <row r="3896">
          <cell r="A3896" t="str">
            <v>SITI NETWORKS LTD</v>
          </cell>
          <cell r="B3896">
            <v>532795</v>
          </cell>
          <cell r="C3896" t="str">
            <v>SITINET</v>
          </cell>
        </row>
        <row r="3897">
          <cell r="A3897" t="str">
            <v>SIYARAM SILK MILLS LTD</v>
          </cell>
          <cell r="B3897">
            <v>503811</v>
          </cell>
          <cell r="C3897" t="str">
            <v>SIYSIL</v>
          </cell>
        </row>
        <row r="3898">
          <cell r="A3898" t="str">
            <v>SJ CORPORATION LTD</v>
          </cell>
          <cell r="B3898">
            <v>504398</v>
          </cell>
          <cell r="C3898" t="str">
            <v>Not Listed</v>
          </cell>
        </row>
        <row r="3899">
          <cell r="A3899" t="str">
            <v>SJVN LTD</v>
          </cell>
          <cell r="B3899">
            <v>533206</v>
          </cell>
          <cell r="C3899" t="str">
            <v>SJVN</v>
          </cell>
        </row>
        <row r="3900">
          <cell r="A3900" t="str">
            <v>SKF (INDIA) LTD</v>
          </cell>
          <cell r="B3900">
            <v>500472</v>
          </cell>
          <cell r="C3900" t="str">
            <v>SKF(INDIA)</v>
          </cell>
        </row>
        <row r="3901">
          <cell r="A3901" t="str">
            <v>SKF INDIA LTD</v>
          </cell>
          <cell r="B3901">
            <v>500472</v>
          </cell>
          <cell r="C3901" t="str">
            <v>SKFINDIA</v>
          </cell>
        </row>
        <row r="3902">
          <cell r="A3902" t="str">
            <v>SKIL INFRASTRUCTURE LTD</v>
          </cell>
          <cell r="B3902">
            <v>539861</v>
          </cell>
          <cell r="C3902" t="str">
            <v>SKIL</v>
          </cell>
        </row>
        <row r="3903">
          <cell r="A3903" t="str">
            <v>SKIPPER LTD</v>
          </cell>
          <cell r="B3903">
            <v>538562</v>
          </cell>
          <cell r="C3903" t="str">
            <v>SKIPPER</v>
          </cell>
        </row>
        <row r="3904">
          <cell r="A3904" t="str">
            <v>SKM EGG PRODUCTS EXPORT (INDIA) LTD</v>
          </cell>
          <cell r="B3904">
            <v>532143</v>
          </cell>
          <cell r="C3904" t="str">
            <v>SKMEGGPROD</v>
          </cell>
        </row>
        <row r="3905">
          <cell r="A3905" t="str">
            <v>SKM EGG PRODUCTS EXPORT INDIA LTD</v>
          </cell>
          <cell r="B3905">
            <v>532143</v>
          </cell>
          <cell r="C3905" t="str">
            <v>SKMEGGPROD</v>
          </cell>
        </row>
        <row r="3906">
          <cell r="A3906" t="str">
            <v>SKP SECURITIES LTD</v>
          </cell>
          <cell r="B3906">
            <v>531169</v>
          </cell>
          <cell r="C3906" t="str">
            <v>Not Listed</v>
          </cell>
        </row>
        <row r="3907">
          <cell r="A3907" t="str">
            <v>SKS TEXTILES LTD</v>
          </cell>
          <cell r="B3907" t="str">
            <v>Not Listed</v>
          </cell>
          <cell r="C3907" t="str">
            <v>SKSTEXTILE</v>
          </cell>
        </row>
        <row r="3908">
          <cell r="A3908" t="str">
            <v>SKY GOLD LTD</v>
          </cell>
          <cell r="B3908">
            <v>541967</v>
          </cell>
          <cell r="C3908" t="str">
            <v>Not Listed</v>
          </cell>
        </row>
        <row r="3909">
          <cell r="A3909" t="str">
            <v>SKY INDUSTRIES LTD</v>
          </cell>
          <cell r="B3909">
            <v>526479</v>
          </cell>
          <cell r="C3909" t="str">
            <v>Not Listed</v>
          </cell>
        </row>
        <row r="3910">
          <cell r="A3910" t="str">
            <v>SKYLINE MILLARS LTD</v>
          </cell>
          <cell r="B3910">
            <v>505650</v>
          </cell>
          <cell r="C3910" t="str">
            <v>Not Listed</v>
          </cell>
        </row>
        <row r="3911">
          <cell r="A3911" t="str">
            <v>SKYLINE VENTURES (INDIA) LTD</v>
          </cell>
          <cell r="B3911">
            <v>538919</v>
          </cell>
          <cell r="C3911" t="str">
            <v>Not Listed</v>
          </cell>
        </row>
        <row r="3912">
          <cell r="A3912" t="str">
            <v>SKYLINE VENTURES INDIA LTD</v>
          </cell>
          <cell r="B3912">
            <v>538919</v>
          </cell>
          <cell r="C3912" t="str">
            <v>Not Listed</v>
          </cell>
        </row>
        <row r="3913">
          <cell r="A3913" t="str">
            <v>SMART FINSEC LTD</v>
          </cell>
          <cell r="B3913">
            <v>539494</v>
          </cell>
          <cell r="C3913" t="str">
            <v>Not Listed</v>
          </cell>
        </row>
        <row r="3914">
          <cell r="A3914" t="str">
            <v>SMARTLINK HOLDINGS LTD</v>
          </cell>
          <cell r="B3914">
            <v>532419</v>
          </cell>
          <cell r="C3914" t="str">
            <v>SMARTLINK</v>
          </cell>
        </row>
        <row r="3915">
          <cell r="A3915" t="str">
            <v>SMIFS CAPITAL MARKETS LTD</v>
          </cell>
          <cell r="B3915">
            <v>508905</v>
          </cell>
          <cell r="C3915" t="str">
            <v>Not Listed</v>
          </cell>
        </row>
        <row r="3916">
          <cell r="A3916" t="str">
            <v>SML ISUZU LTD</v>
          </cell>
          <cell r="B3916">
            <v>505192</v>
          </cell>
          <cell r="C3916" t="str">
            <v>SMLISUZU</v>
          </cell>
        </row>
        <row r="3917">
          <cell r="A3917" t="str">
            <v>SMRUTHI ORGANICS LTD</v>
          </cell>
          <cell r="B3917">
            <v>540686</v>
          </cell>
          <cell r="C3917" t="str">
            <v>Not Listed</v>
          </cell>
        </row>
        <row r="3918">
          <cell r="A3918" t="str">
            <v>SMS LIFESCIENCES (INDIA) LTD</v>
          </cell>
          <cell r="B3918">
            <v>540679</v>
          </cell>
          <cell r="C3918" t="str">
            <v>SMSLIFE</v>
          </cell>
        </row>
        <row r="3919">
          <cell r="A3919" t="str">
            <v>SMS LIFESCIENCES INDIA LTD</v>
          </cell>
          <cell r="B3919">
            <v>540679</v>
          </cell>
          <cell r="C3919" t="str">
            <v>SMSLIFE</v>
          </cell>
        </row>
        <row r="3920">
          <cell r="A3920" t="str">
            <v>SMS PHARMACEUTICALS LTD</v>
          </cell>
          <cell r="B3920">
            <v>532815</v>
          </cell>
          <cell r="C3920" t="str">
            <v>SMSPHARMA</v>
          </cell>
        </row>
        <row r="3921">
          <cell r="A3921" t="str">
            <v>SMVD POLY PACK LTD</v>
          </cell>
          <cell r="B3921" t="str">
            <v>Not Listed</v>
          </cell>
          <cell r="C3921" t="str">
            <v>SMVD</v>
          </cell>
        </row>
        <row r="3922">
          <cell r="A3922" t="str">
            <v>SNL BEARINGS LTD</v>
          </cell>
          <cell r="B3922">
            <v>505827</v>
          </cell>
          <cell r="C3922" t="str">
            <v>Not Listed</v>
          </cell>
        </row>
        <row r="3923">
          <cell r="A3923" t="str">
            <v>SNOWMAN LOGISTICS LTD</v>
          </cell>
          <cell r="B3923">
            <v>538635</v>
          </cell>
          <cell r="C3923" t="str">
            <v>SNOWMAN</v>
          </cell>
        </row>
        <row r="3924">
          <cell r="A3924" t="str">
            <v>SOBHA LTD</v>
          </cell>
          <cell r="B3924">
            <v>532784</v>
          </cell>
          <cell r="C3924" t="str">
            <v>SOBHA</v>
          </cell>
        </row>
        <row r="3925">
          <cell r="A3925" t="str">
            <v>SOBHAGYA MERCHANTILE LTD</v>
          </cell>
          <cell r="B3925">
            <v>512014</v>
          </cell>
          <cell r="C3925" t="str">
            <v>Not Listed</v>
          </cell>
        </row>
        <row r="3926">
          <cell r="A3926" t="str">
            <v>SOFCOM SYSTEMS LTD</v>
          </cell>
          <cell r="B3926">
            <v>538923</v>
          </cell>
          <cell r="C3926" t="str">
            <v>Not Listed</v>
          </cell>
        </row>
        <row r="3927">
          <cell r="A3927" t="str">
            <v>SOFTBPO GLOBAL SERVICES LTD</v>
          </cell>
          <cell r="B3927">
            <v>504375</v>
          </cell>
          <cell r="C3927" t="str">
            <v>Not Listed</v>
          </cell>
        </row>
        <row r="3928">
          <cell r="A3928" t="str">
            <v>SOFTSOL (INDIA) LTD</v>
          </cell>
          <cell r="B3928">
            <v>532344</v>
          </cell>
          <cell r="C3928" t="str">
            <v>Not Listed</v>
          </cell>
        </row>
        <row r="3929">
          <cell r="A3929" t="str">
            <v>SOFTSOL INDIA LTD</v>
          </cell>
          <cell r="B3929">
            <v>532344</v>
          </cell>
          <cell r="C3929" t="str">
            <v>Not Listed</v>
          </cell>
        </row>
        <row r="3930">
          <cell r="A3930" t="str">
            <v>SOFTTECH ENGINEERS LTD</v>
          </cell>
          <cell r="B3930" t="str">
            <v>Not Listed</v>
          </cell>
          <cell r="C3930" t="str">
            <v>SOFTTECH</v>
          </cell>
        </row>
        <row r="3931">
          <cell r="A3931" t="str">
            <v>SOLAR INDUSTRIES (INDIA) LTD</v>
          </cell>
          <cell r="B3931">
            <v>532725</v>
          </cell>
          <cell r="C3931" t="str">
            <v>SOLARINDS</v>
          </cell>
        </row>
        <row r="3932">
          <cell r="A3932" t="str">
            <v>SOLAR INDUSTRIES INDIA LTD</v>
          </cell>
          <cell r="B3932">
            <v>532725</v>
          </cell>
          <cell r="C3932" t="str">
            <v>SOLARINDS</v>
          </cell>
        </row>
        <row r="3933">
          <cell r="A3933" t="str">
            <v>SOLARA ACTIVE PHARMA SCIENCES LTD</v>
          </cell>
          <cell r="B3933">
            <v>541540</v>
          </cell>
          <cell r="C3933" t="str">
            <v>SOLARA</v>
          </cell>
        </row>
        <row r="3934">
          <cell r="A3934" t="str">
            <v>SOLEX ENERGY LTD</v>
          </cell>
          <cell r="B3934" t="str">
            <v>Not Listed</v>
          </cell>
          <cell r="C3934" t="str">
            <v>SOLEX</v>
          </cell>
        </row>
        <row r="3935">
          <cell r="A3935" t="str">
            <v>SOLID CARBIDE TOOLS LTD</v>
          </cell>
          <cell r="B3935">
            <v>500394</v>
          </cell>
          <cell r="C3935" t="str">
            <v>Not Listed</v>
          </cell>
        </row>
        <row r="3936">
          <cell r="A3936" t="str">
            <v>SOLID CONTAINERS LTD</v>
          </cell>
          <cell r="B3936">
            <v>502460</v>
          </cell>
          <cell r="C3936" t="str">
            <v>Not Listed</v>
          </cell>
        </row>
        <row r="3937">
          <cell r="A3937" t="str">
            <v>SOLID STONE COMPANY LTD</v>
          </cell>
          <cell r="B3937">
            <v>513699</v>
          </cell>
          <cell r="C3937" t="str">
            <v>Not Listed</v>
          </cell>
        </row>
        <row r="3938">
          <cell r="A3938" t="str">
            <v>SOLIS MARKETING LTD</v>
          </cell>
          <cell r="B3938">
            <v>538575</v>
          </cell>
          <cell r="C3938" t="str">
            <v>Not Listed</v>
          </cell>
        </row>
        <row r="3939">
          <cell r="A3939" t="str">
            <v>SOLITAIRE MACHINE TOOLS LTD</v>
          </cell>
          <cell r="B3939">
            <v>522152</v>
          </cell>
          <cell r="C3939" t="str">
            <v>Not Listed</v>
          </cell>
        </row>
        <row r="3940">
          <cell r="A3940" t="str">
            <v>SOM DATT FINANCE CORPORATION LTD</v>
          </cell>
          <cell r="B3940">
            <v>511571</v>
          </cell>
          <cell r="C3940" t="str">
            <v>Not Listed</v>
          </cell>
        </row>
        <row r="3941">
          <cell r="A3941" t="str">
            <v>SOM DISTILLERIES &amp; BREWERIES LTD</v>
          </cell>
          <cell r="B3941">
            <v>507514</v>
          </cell>
          <cell r="C3941" t="str">
            <v>SDBL</v>
          </cell>
        </row>
        <row r="3942">
          <cell r="A3942" t="str">
            <v>SOMA TEXTILES &amp; INDUSTRIES LTD</v>
          </cell>
          <cell r="B3942">
            <v>521034</v>
          </cell>
          <cell r="C3942" t="str">
            <v>SOMATEX</v>
          </cell>
        </row>
        <row r="3943">
          <cell r="A3943" t="str">
            <v>SOMANY CERAMICS LTD</v>
          </cell>
          <cell r="B3943">
            <v>531548</v>
          </cell>
          <cell r="C3943" t="str">
            <v>SOMANYCERA</v>
          </cell>
        </row>
        <row r="3944">
          <cell r="A3944" t="str">
            <v>SOMI CONVEYOR BELTINGS LTD</v>
          </cell>
          <cell r="B3944">
            <v>533001</v>
          </cell>
          <cell r="C3944" t="str">
            <v>SOMICONVEY</v>
          </cell>
        </row>
        <row r="3945">
          <cell r="A3945" t="str">
            <v>SONAL ADHESIVES LTD</v>
          </cell>
          <cell r="B3945">
            <v>526901</v>
          </cell>
          <cell r="C3945" t="str">
            <v>Not Listed</v>
          </cell>
        </row>
        <row r="3946">
          <cell r="A3946" t="str">
            <v>SONAL MERCANTILE LTD</v>
          </cell>
          <cell r="B3946">
            <v>538943</v>
          </cell>
          <cell r="C3946" t="str">
            <v>Not Listed</v>
          </cell>
        </row>
        <row r="3947">
          <cell r="A3947" t="str">
            <v>SONAM CLOCK LTD</v>
          </cell>
          <cell r="B3947" t="str">
            <v>Not Listed</v>
          </cell>
          <cell r="C3947" t="str">
            <v>SONAMCLOCK</v>
          </cell>
        </row>
        <row r="3948">
          <cell r="A3948" t="str">
            <v>SONATA SOFTWARE LTD</v>
          </cell>
          <cell r="B3948">
            <v>532221</v>
          </cell>
          <cell r="C3948" t="str">
            <v>SONATSOFTW</v>
          </cell>
        </row>
        <row r="3949">
          <cell r="A3949" t="str">
            <v>SONI MEDICARE LTD</v>
          </cell>
          <cell r="B3949">
            <v>539378</v>
          </cell>
          <cell r="C3949" t="str">
            <v>Not Listed</v>
          </cell>
        </row>
        <row r="3950">
          <cell r="A3950" t="str">
            <v>SONI SOYA PRODUCTS LTD</v>
          </cell>
          <cell r="B3950" t="str">
            <v>Not Listed</v>
          </cell>
          <cell r="C3950" t="str">
            <v>SONISOYA</v>
          </cell>
        </row>
        <row r="3951">
          <cell r="A3951" t="str">
            <v>SOPHIA TRAEXPO LTD</v>
          </cell>
          <cell r="B3951">
            <v>541633</v>
          </cell>
          <cell r="C3951" t="str">
            <v>Not Listed</v>
          </cell>
        </row>
        <row r="3952">
          <cell r="A3952" t="str">
            <v>SORIL INFRA RESOURCES LTD</v>
          </cell>
          <cell r="B3952">
            <v>532679</v>
          </cell>
          <cell r="C3952" t="str">
            <v>SORILINFRA</v>
          </cell>
        </row>
        <row r="3953">
          <cell r="A3953" t="str">
            <v>SOURCE INDUSTRIES (INDIA) LTD</v>
          </cell>
          <cell r="B3953">
            <v>521036</v>
          </cell>
          <cell r="C3953" t="str">
            <v>Not Listed</v>
          </cell>
        </row>
        <row r="3954">
          <cell r="A3954" t="str">
            <v>SOURCE INDUSTRIES INDIA LTD</v>
          </cell>
          <cell r="B3954">
            <v>521036</v>
          </cell>
          <cell r="C3954" t="str">
            <v>Not Listed</v>
          </cell>
        </row>
        <row r="3955">
          <cell r="A3955" t="str">
            <v>SOURCE NATURAL FOODS &amp; HERBAL SUPPL LTD</v>
          </cell>
          <cell r="B3955">
            <v>531398</v>
          </cell>
          <cell r="C3955" t="str">
            <v>Not Listed</v>
          </cell>
        </row>
        <row r="3956">
          <cell r="A3956" t="str">
            <v>SOUTH ASIAN ENTERPRISES LTD</v>
          </cell>
          <cell r="B3956">
            <v>526477</v>
          </cell>
          <cell r="C3956" t="str">
            <v>Not Listed</v>
          </cell>
        </row>
        <row r="3957">
          <cell r="A3957" t="str">
            <v>SOUTH INDIA PAPER MILLS LTD</v>
          </cell>
          <cell r="B3957">
            <v>516108</v>
          </cell>
          <cell r="C3957" t="str">
            <v>Not Listed</v>
          </cell>
        </row>
        <row r="3958">
          <cell r="A3958" t="str">
            <v>SOUTH INDIA PROJECTS LTD</v>
          </cell>
          <cell r="B3958">
            <v>538891</v>
          </cell>
          <cell r="C3958" t="str">
            <v>Not Listed</v>
          </cell>
        </row>
        <row r="3959">
          <cell r="A3959" t="str">
            <v>SOUTH WEST PINNACLE EXPLORATION LTD</v>
          </cell>
          <cell r="B3959" t="str">
            <v>Not Listed</v>
          </cell>
          <cell r="C3959" t="str">
            <v>SOUTHWEST</v>
          </cell>
        </row>
        <row r="3960">
          <cell r="A3960" t="str">
            <v>SOUTHERN GAS LTD</v>
          </cell>
          <cell r="B3960">
            <v>509910</v>
          </cell>
          <cell r="C3960" t="str">
            <v>Not Listed</v>
          </cell>
        </row>
        <row r="3961">
          <cell r="A3961" t="str">
            <v>SOUTHERN INFOSYS LTD</v>
          </cell>
          <cell r="B3961">
            <v>540174</v>
          </cell>
          <cell r="C3961" t="str">
            <v>Not Listed</v>
          </cell>
        </row>
        <row r="3962">
          <cell r="A3962" t="str">
            <v>SOUTHERN LATEX LTD</v>
          </cell>
          <cell r="B3962">
            <v>514454</v>
          </cell>
          <cell r="C3962" t="str">
            <v>Not Listed</v>
          </cell>
        </row>
        <row r="3963">
          <cell r="A3963" t="str">
            <v>SOUTHERN MAGNESIUM &amp; CHEMICALS LTD</v>
          </cell>
          <cell r="B3963">
            <v>513498</v>
          </cell>
          <cell r="C3963" t="str">
            <v>Not Listed</v>
          </cell>
        </row>
        <row r="3964">
          <cell r="A3964" t="str">
            <v>SOUTHERN ONLINE BIO TECHNOLOGIES LTD</v>
          </cell>
          <cell r="B3964">
            <v>532669</v>
          </cell>
          <cell r="C3964" t="str">
            <v>Not Listed</v>
          </cell>
        </row>
        <row r="3965">
          <cell r="A3965" t="str">
            <v>SOUTHERN PETROCHEMICALS INDUSTRIES CORPORATION LTD</v>
          </cell>
          <cell r="B3965">
            <v>590030</v>
          </cell>
          <cell r="C3965" t="str">
            <v>SPIC</v>
          </cell>
        </row>
        <row r="3966">
          <cell r="A3966" t="str">
            <v>SOVEREIGN DIAMONDS LTD</v>
          </cell>
          <cell r="B3966">
            <v>523826</v>
          </cell>
          <cell r="C3966" t="str">
            <v>Not Listed</v>
          </cell>
        </row>
        <row r="3967">
          <cell r="A3967" t="str">
            <v>SOWBHAGYA MEDIA LTD</v>
          </cell>
          <cell r="B3967">
            <v>532025</v>
          </cell>
          <cell r="C3967" t="str">
            <v>Not Listed</v>
          </cell>
        </row>
        <row r="3968">
          <cell r="A3968" t="str">
            <v>SP CAPITAL FINANCING LTD</v>
          </cell>
          <cell r="B3968">
            <v>530289</v>
          </cell>
          <cell r="C3968" t="str">
            <v>Not Listed</v>
          </cell>
        </row>
        <row r="3969">
          <cell r="A3969" t="str">
            <v>SPA Capital Services Ltd</v>
          </cell>
          <cell r="B3969">
            <v>542376</v>
          </cell>
          <cell r="C3969" t="str">
            <v>SPACAPS</v>
          </cell>
        </row>
        <row r="3970">
          <cell r="A3970" t="str">
            <v>SPACE INCUBATRICS TECHNOLOGIES LTD</v>
          </cell>
          <cell r="B3970">
            <v>541890</v>
          </cell>
          <cell r="C3970" t="str">
            <v>Not Listed</v>
          </cell>
        </row>
        <row r="3971">
          <cell r="A3971" t="str">
            <v>SPACEAGE PRODUCTS LTD</v>
          </cell>
          <cell r="B3971">
            <v>538920</v>
          </cell>
          <cell r="C3971" t="str">
            <v>Not Listed</v>
          </cell>
        </row>
        <row r="3972">
          <cell r="A3972" t="str">
            <v>SPACENET ENTERPRISES (INDIA) LTD</v>
          </cell>
          <cell r="B3972" t="str">
            <v>Not Listed</v>
          </cell>
          <cell r="C3972" t="str">
            <v>SPCENET</v>
          </cell>
        </row>
        <row r="3973">
          <cell r="A3973" t="str">
            <v>SPACENET ENTERPRISES INDIA LTD</v>
          </cell>
          <cell r="B3973" t="str">
            <v>Not Listed</v>
          </cell>
          <cell r="C3973" t="str">
            <v>SPCENET</v>
          </cell>
        </row>
        <row r="3974">
          <cell r="A3974" t="str">
            <v>SPAN DIVERGENT LTD</v>
          </cell>
          <cell r="B3974">
            <v>524727</v>
          </cell>
          <cell r="C3974" t="str">
            <v>Not Listed</v>
          </cell>
        </row>
        <row r="3975">
          <cell r="A3975" t="str">
            <v>SPARC SYSTEMS LTD</v>
          </cell>
          <cell r="B3975">
            <v>531370</v>
          </cell>
          <cell r="C3975" t="str">
            <v>Not Listed</v>
          </cell>
        </row>
        <row r="3976">
          <cell r="A3976" t="str">
            <v>SPARKLING INDIA FINSHARES LTD</v>
          </cell>
          <cell r="B3976">
            <v>540211</v>
          </cell>
          <cell r="C3976" t="str">
            <v>Not Listed</v>
          </cell>
        </row>
        <row r="3977">
          <cell r="A3977" t="str">
            <v>SPECIALITY RESTAURANTS LTD</v>
          </cell>
          <cell r="B3977">
            <v>534425</v>
          </cell>
          <cell r="C3977" t="str">
            <v>SPECIALITY</v>
          </cell>
        </row>
        <row r="3978">
          <cell r="A3978" t="str">
            <v>SPECTRA INDUSTRIES LTD</v>
          </cell>
          <cell r="B3978">
            <v>513687</v>
          </cell>
          <cell r="C3978" t="str">
            <v>Not Listed</v>
          </cell>
        </row>
        <row r="3979">
          <cell r="A3979" t="str">
            <v>SPECTRUM ELECTRICAL INDUSTRIES LTD</v>
          </cell>
          <cell r="B3979" t="str">
            <v>Not Listed</v>
          </cell>
          <cell r="C3979" t="str">
            <v>SPECTRUM</v>
          </cell>
        </row>
        <row r="3980">
          <cell r="A3980" t="str">
            <v>SPECTRUM FOODS LTD</v>
          </cell>
          <cell r="B3980">
            <v>531982</v>
          </cell>
          <cell r="C3980" t="str">
            <v>Not Listed</v>
          </cell>
        </row>
        <row r="3981">
          <cell r="A3981" t="str">
            <v>SPECULAR MARKETING &amp; FINANCING LTD</v>
          </cell>
          <cell r="B3981">
            <v>512153</v>
          </cell>
          <cell r="C3981" t="str">
            <v>Not Listed</v>
          </cell>
        </row>
        <row r="3982">
          <cell r="A3982" t="str">
            <v>SPEEDAGE COMMERCIALS LTD</v>
          </cell>
          <cell r="B3982">
            <v>512291</v>
          </cell>
          <cell r="C3982" t="str">
            <v>Not Listed</v>
          </cell>
        </row>
        <row r="3983">
          <cell r="A3983" t="str">
            <v>SPEL SEMICONDUCTOR LTD</v>
          </cell>
          <cell r="B3983">
            <v>517166</v>
          </cell>
          <cell r="C3983" t="str">
            <v>Not Listed</v>
          </cell>
        </row>
        <row r="3984">
          <cell r="A3984" t="str">
            <v>Spencers Retail Ltd</v>
          </cell>
          <cell r="B3984">
            <v>542337</v>
          </cell>
          <cell r="C3984" t="str">
            <v>SPENCER</v>
          </cell>
        </row>
        <row r="3985">
          <cell r="A3985" t="str">
            <v>Spencer's Retail LTD</v>
          </cell>
          <cell r="B3985" t="str">
            <v>Not Listed</v>
          </cell>
          <cell r="C3985" t="str">
            <v>SPENCERS</v>
          </cell>
        </row>
        <row r="3986">
          <cell r="A3986" t="str">
            <v>SPENTA INTERNATIONAL LTD</v>
          </cell>
          <cell r="B3986">
            <v>526161</v>
          </cell>
          <cell r="C3986" t="str">
            <v>Not Listed</v>
          </cell>
        </row>
        <row r="3987">
          <cell r="A3987" t="str">
            <v>SPENTEX INDUSTRIES LTD</v>
          </cell>
          <cell r="B3987">
            <v>521082</v>
          </cell>
          <cell r="C3987" t="str">
            <v>SPENTEX</v>
          </cell>
        </row>
        <row r="3988">
          <cell r="A3988" t="str">
            <v>SPICE ISLANDS APPARELS LTD</v>
          </cell>
          <cell r="B3988">
            <v>526827</v>
          </cell>
          <cell r="C3988" t="str">
            <v>Not Listed</v>
          </cell>
        </row>
        <row r="3989">
          <cell r="A3989" t="str">
            <v>SPICE MOBILITY LTD</v>
          </cell>
          <cell r="B3989">
            <v>517214</v>
          </cell>
          <cell r="C3989" t="str">
            <v>SPICEMOBI</v>
          </cell>
        </row>
        <row r="3990">
          <cell r="A3990" t="str">
            <v>SPICEJET LTD</v>
          </cell>
          <cell r="B3990">
            <v>500285</v>
          </cell>
          <cell r="C3990" t="str">
            <v>Not Listed</v>
          </cell>
        </row>
        <row r="3991">
          <cell r="A3991" t="str">
            <v>SPICY ENTERTAINMENT AND MEDIA LTD</v>
          </cell>
          <cell r="B3991">
            <v>540084</v>
          </cell>
          <cell r="C3991" t="str">
            <v>Not Listed</v>
          </cell>
        </row>
        <row r="3992">
          <cell r="A3992" t="str">
            <v>SPL INDUSTRIES LTD</v>
          </cell>
          <cell r="B3992">
            <v>532651</v>
          </cell>
          <cell r="C3992" t="str">
            <v>SPLIL</v>
          </cell>
        </row>
        <row r="3993">
          <cell r="A3993" t="str">
            <v>SPLENDID METAL PRODUCTS LTD</v>
          </cell>
          <cell r="B3993">
            <v>513414</v>
          </cell>
          <cell r="C3993" t="str">
            <v>SMPL</v>
          </cell>
        </row>
        <row r="3994">
          <cell r="A3994" t="str">
            <v>SPML INFRA LTD</v>
          </cell>
          <cell r="B3994">
            <v>500402</v>
          </cell>
          <cell r="C3994" t="str">
            <v>SPMLINFRA</v>
          </cell>
        </row>
        <row r="3995">
          <cell r="A3995" t="str">
            <v>SPORTKING (INDIA) LTD</v>
          </cell>
          <cell r="B3995">
            <v>539221</v>
          </cell>
          <cell r="C3995" t="str">
            <v>Not Listed</v>
          </cell>
        </row>
        <row r="3996">
          <cell r="A3996" t="str">
            <v>SPORTKING INDIA LTD</v>
          </cell>
          <cell r="B3996">
            <v>539221</v>
          </cell>
          <cell r="C3996" t="str">
            <v>Not Listed</v>
          </cell>
        </row>
        <row r="3997">
          <cell r="A3997" t="str">
            <v>SPRAYKING AGRO EQUIPMENT LTD</v>
          </cell>
          <cell r="B3997">
            <v>540079</v>
          </cell>
          <cell r="C3997" t="str">
            <v>Not Listed</v>
          </cell>
        </row>
        <row r="3998">
          <cell r="A3998" t="str">
            <v>Spring Fields Infraventure Ltd</v>
          </cell>
          <cell r="B3998">
            <v>540570</v>
          </cell>
          <cell r="C3998" t="str">
            <v>SFIVL</v>
          </cell>
        </row>
        <row r="3999">
          <cell r="A3999" t="str">
            <v>SPS FINQUEST LTD</v>
          </cell>
          <cell r="B3999">
            <v>538402</v>
          </cell>
          <cell r="C3999" t="str">
            <v>Not Listed</v>
          </cell>
        </row>
        <row r="4000">
          <cell r="A4000" t="str">
            <v>SPS INTERNATIONAL LTD</v>
          </cell>
          <cell r="B4000">
            <v>530177</v>
          </cell>
          <cell r="C4000" t="str">
            <v>Not Listed</v>
          </cell>
        </row>
        <row r="4001">
          <cell r="A4001" t="str">
            <v>SQS INDIA BFSI LTD</v>
          </cell>
          <cell r="B4001">
            <v>533121</v>
          </cell>
          <cell r="C4001" t="str">
            <v>SQSBFSI</v>
          </cell>
        </row>
        <row r="4002">
          <cell r="A4002" t="str">
            <v>SQUARE FOUR PROJECTS (INDIA) LTD</v>
          </cell>
          <cell r="B4002">
            <v>526532</v>
          </cell>
          <cell r="C4002" t="str">
            <v>Not Listed</v>
          </cell>
        </row>
        <row r="4003">
          <cell r="A4003" t="str">
            <v>SQUARE FOUR PROJECTS INDIA LTD</v>
          </cell>
          <cell r="B4003">
            <v>526532</v>
          </cell>
          <cell r="C4003" t="str">
            <v>Not Listed</v>
          </cell>
        </row>
        <row r="4004">
          <cell r="A4004" t="str">
            <v>SREE JAYALAKSHMI AUTOSPIN LTD</v>
          </cell>
          <cell r="B4004">
            <v>530037</v>
          </cell>
          <cell r="C4004" t="str">
            <v>Not Listed</v>
          </cell>
        </row>
        <row r="4005">
          <cell r="A4005" t="str">
            <v>SREE RAYALASEEMA HI-STRENGTH HYPO LTD</v>
          </cell>
          <cell r="B4005">
            <v>532842</v>
          </cell>
          <cell r="C4005" t="str">
            <v>SRHHYPOLTD</v>
          </cell>
        </row>
        <row r="4006">
          <cell r="A4006" t="str">
            <v>SREECHEM RESINS LTD</v>
          </cell>
          <cell r="B4006">
            <v>514248</v>
          </cell>
          <cell r="C4006" t="str">
            <v>Not Listed</v>
          </cell>
        </row>
        <row r="4007">
          <cell r="A4007" t="str">
            <v>SREELEATHERS LTD</v>
          </cell>
          <cell r="B4007">
            <v>535601</v>
          </cell>
          <cell r="C4007" t="str">
            <v>SREEL</v>
          </cell>
        </row>
        <row r="4008">
          <cell r="A4008" t="str">
            <v>SREI INFRASTRUCTURE FINANCE LTD</v>
          </cell>
          <cell r="B4008">
            <v>523756</v>
          </cell>
          <cell r="C4008" t="str">
            <v>SREINFRA</v>
          </cell>
        </row>
        <row r="4009">
          <cell r="A4009" t="str">
            <v>SRESTHA FINVEST LTD</v>
          </cell>
          <cell r="B4009">
            <v>539217</v>
          </cell>
          <cell r="C4009" t="str">
            <v>Not Listed</v>
          </cell>
        </row>
        <row r="4010">
          <cell r="A4010" t="str">
            <v>SRF LTD</v>
          </cell>
          <cell r="B4010">
            <v>503806</v>
          </cell>
          <cell r="C4010" t="str">
            <v>SRF</v>
          </cell>
        </row>
        <row r="4011">
          <cell r="A4011" t="str">
            <v>SRG HOUSING FINANCE LTD</v>
          </cell>
          <cell r="B4011">
            <v>534680</v>
          </cell>
          <cell r="C4011" t="str">
            <v>Not Listed</v>
          </cell>
        </row>
        <row r="4012">
          <cell r="A4012" t="str">
            <v>SRI ADHIKARI BROTHERS TELEVISION NETWORK LTD</v>
          </cell>
          <cell r="B4012">
            <v>530943</v>
          </cell>
          <cell r="C4012" t="str">
            <v>SABTN</v>
          </cell>
        </row>
        <row r="4013">
          <cell r="A4013" t="str">
            <v>SRI AMARNATH FINANCE LTD</v>
          </cell>
          <cell r="B4013">
            <v>538863</v>
          </cell>
          <cell r="C4013" t="str">
            <v>Not Listed</v>
          </cell>
        </row>
        <row r="4014">
          <cell r="A4014" t="str">
            <v>SRI HAVISHA HOSPITALITY AND INFRASTRUCTURE LTD</v>
          </cell>
          <cell r="B4014">
            <v>531322</v>
          </cell>
          <cell r="C4014" t="str">
            <v>HAVISHA</v>
          </cell>
        </row>
        <row r="4015">
          <cell r="A4015" t="str">
            <v>SRI KPR INDUSTRIES LTD</v>
          </cell>
          <cell r="B4015">
            <v>514442</v>
          </cell>
          <cell r="C4015" t="str">
            <v>Not Listed</v>
          </cell>
        </row>
        <row r="4016">
          <cell r="A4016" t="str">
            <v>SRI KRISHNA CONSTRUCTIONS (INDIA) LTD</v>
          </cell>
          <cell r="B4016">
            <v>539363</v>
          </cell>
          <cell r="C4016" t="str">
            <v>Not Listed</v>
          </cell>
        </row>
        <row r="4017">
          <cell r="A4017" t="str">
            <v>SRI KRISHNA CONSTRUCTIONS INDIA LTD</v>
          </cell>
          <cell r="B4017">
            <v>539363</v>
          </cell>
          <cell r="C4017" t="str">
            <v>Not Listed</v>
          </cell>
        </row>
        <row r="4018">
          <cell r="A4018" t="str">
            <v>SRI KRISHNA METCOM LTD</v>
          </cell>
          <cell r="B4018" t="str">
            <v>Not Listed</v>
          </cell>
          <cell r="C4018" t="str">
            <v>SKML</v>
          </cell>
        </row>
        <row r="4019">
          <cell r="A4019" t="str">
            <v>SRI LAKSHMI SARASWATHI TEXTILES ARNI LTD</v>
          </cell>
          <cell r="B4019">
            <v>521161</v>
          </cell>
          <cell r="C4019" t="str">
            <v>Not Listed</v>
          </cell>
        </row>
        <row r="4020">
          <cell r="A4020" t="str">
            <v>SRI NACHAMMAI COTTON MILLS LTD</v>
          </cell>
          <cell r="B4020">
            <v>521234</v>
          </cell>
          <cell r="C4020" t="str">
            <v>Not Listed</v>
          </cell>
        </row>
        <row r="4021">
          <cell r="A4021" t="str">
            <v>SRI RAMAKRISHNA MILLS COIMBATORE LTD</v>
          </cell>
          <cell r="B4021">
            <v>521178</v>
          </cell>
          <cell r="C4021" t="str">
            <v>Not Listed</v>
          </cell>
        </row>
        <row r="4022">
          <cell r="A4022" t="str">
            <v>SRI VAJRA GRANITES LTD</v>
          </cell>
          <cell r="B4022">
            <v>515081</v>
          </cell>
          <cell r="C4022" t="str">
            <v>Not Listed</v>
          </cell>
        </row>
        <row r="4023">
          <cell r="A4023" t="str">
            <v>SRIKALAHASTHI PIPES LTD</v>
          </cell>
          <cell r="B4023">
            <v>513605</v>
          </cell>
          <cell r="C4023" t="str">
            <v>SRIPIPES</v>
          </cell>
        </row>
        <row r="4024">
          <cell r="A4024" t="str">
            <v>SRM ENERGY LTD</v>
          </cell>
          <cell r="B4024">
            <v>523222</v>
          </cell>
          <cell r="C4024" t="str">
            <v>Not Listed</v>
          </cell>
        </row>
        <row r="4025">
          <cell r="A4025" t="str">
            <v>SRS FINANCE LTD</v>
          </cell>
          <cell r="B4025">
            <v>536799</v>
          </cell>
          <cell r="C4025" t="str">
            <v>Not Listed</v>
          </cell>
        </row>
        <row r="4026">
          <cell r="A4026" t="str">
            <v>SRS LTD</v>
          </cell>
          <cell r="B4026">
            <v>533569</v>
          </cell>
          <cell r="C4026" t="str">
            <v>SRSLTD</v>
          </cell>
        </row>
        <row r="4027">
          <cell r="A4027" t="str">
            <v>SRU STEELS LTD</v>
          </cell>
          <cell r="B4027">
            <v>540914</v>
          </cell>
          <cell r="C4027" t="str">
            <v>Not Listed</v>
          </cell>
        </row>
        <row r="4028">
          <cell r="A4028" t="str">
            <v>SS ORGANICS LTD</v>
          </cell>
          <cell r="B4028">
            <v>524636</v>
          </cell>
          <cell r="C4028" t="str">
            <v>Not Listed</v>
          </cell>
        </row>
        <row r="4029">
          <cell r="A4029" t="str">
            <v>SSPDL LTD</v>
          </cell>
          <cell r="B4029">
            <v>530821</v>
          </cell>
          <cell r="C4029" t="str">
            <v>Not Listed</v>
          </cell>
        </row>
        <row r="4030">
          <cell r="A4030" t="str">
            <v>SSPN FINANCE LTD</v>
          </cell>
          <cell r="B4030">
            <v>539026</v>
          </cell>
          <cell r="C4030" t="str">
            <v>Not Listed</v>
          </cell>
        </row>
        <row r="4031">
          <cell r="A4031" t="str">
            <v>STAMPEDE CAPITAL LTD</v>
          </cell>
          <cell r="B4031">
            <v>531723</v>
          </cell>
          <cell r="C4031" t="str">
            <v>STAMPEDE</v>
          </cell>
        </row>
        <row r="4032">
          <cell r="A4032" t="str">
            <v>STAMPEDE CAPITAL LTD</v>
          </cell>
          <cell r="B4032">
            <v>570005</v>
          </cell>
          <cell r="C4032" t="str">
            <v>SCAPDVR</v>
          </cell>
        </row>
        <row r="4033">
          <cell r="A4033" t="str">
            <v>STANDARD BATTERIES LTD</v>
          </cell>
          <cell r="B4033">
            <v>504180</v>
          </cell>
          <cell r="C4033" t="str">
            <v>Not Listed</v>
          </cell>
        </row>
        <row r="4034">
          <cell r="A4034" t="str">
            <v>STANDARD CAPITAL MARKETS LTD</v>
          </cell>
          <cell r="B4034">
            <v>511700</v>
          </cell>
          <cell r="C4034" t="str">
            <v>Not Listed</v>
          </cell>
        </row>
        <row r="4035">
          <cell r="A4035" t="str">
            <v>STANDARD CHARTERED PLC</v>
          </cell>
          <cell r="B4035">
            <v>580001</v>
          </cell>
          <cell r="C4035" t="str">
            <v>Not Listed</v>
          </cell>
        </row>
        <row r="4036">
          <cell r="A4036" t="str">
            <v>STANDARD INDUSTRIES LTD</v>
          </cell>
          <cell r="B4036">
            <v>530017</v>
          </cell>
          <cell r="C4036" t="str">
            <v>SIL</v>
          </cell>
        </row>
        <row r="4037">
          <cell r="A4037" t="str">
            <v>STANDARD SHOE SOLE AND MOULD (INDIA) LTD</v>
          </cell>
          <cell r="B4037">
            <v>523351</v>
          </cell>
          <cell r="C4037" t="str">
            <v>Not Listed</v>
          </cell>
        </row>
        <row r="4038">
          <cell r="A4038" t="str">
            <v>STANDARD SHOE SOLE AND MOULD INDIA LTD</v>
          </cell>
          <cell r="B4038">
            <v>523351</v>
          </cell>
          <cell r="C4038" t="str">
            <v>Not Listed</v>
          </cell>
        </row>
        <row r="4039">
          <cell r="A4039" t="str">
            <v>STANDARD SURFACTANTS LTD</v>
          </cell>
          <cell r="B4039">
            <v>526231</v>
          </cell>
          <cell r="C4039" t="str">
            <v>Not Listed</v>
          </cell>
        </row>
        <row r="4040">
          <cell r="A4040" t="str">
            <v>STANPACKS (INDIA) LTD</v>
          </cell>
          <cell r="B4040">
            <v>530931</v>
          </cell>
          <cell r="C4040" t="str">
            <v>Not Listed</v>
          </cell>
        </row>
        <row r="4041">
          <cell r="A4041" t="str">
            <v>STANPACKS INDIA LTD</v>
          </cell>
          <cell r="B4041">
            <v>530931</v>
          </cell>
          <cell r="C4041" t="str">
            <v>Not Listed</v>
          </cell>
        </row>
        <row r="4042">
          <cell r="A4042" t="str">
            <v>STANROSE MAFATLAL INVESTMENTS AND FINANCE LTD</v>
          </cell>
          <cell r="B4042">
            <v>506105</v>
          </cell>
          <cell r="C4042" t="str">
            <v>Not Listed</v>
          </cell>
        </row>
        <row r="4043">
          <cell r="A4043" t="str">
            <v>STAR CEMENT LTD</v>
          </cell>
          <cell r="B4043">
            <v>540575</v>
          </cell>
          <cell r="C4043" t="str">
            <v>STARCEMENT</v>
          </cell>
        </row>
        <row r="4044">
          <cell r="A4044" t="str">
            <v>STAR DELTA TRANSFORMERS LTD</v>
          </cell>
          <cell r="B4044">
            <v>539255</v>
          </cell>
          <cell r="C4044" t="str">
            <v>Not Listed</v>
          </cell>
        </row>
        <row r="4045">
          <cell r="A4045" t="str">
            <v>STAR PAPER MILLS LTD</v>
          </cell>
          <cell r="B4045">
            <v>516022</v>
          </cell>
          <cell r="C4045" t="str">
            <v>STARPAPER</v>
          </cell>
        </row>
        <row r="4046">
          <cell r="A4046" t="str">
            <v>STARCOM INFORMATION TECHNOLOGY LTD</v>
          </cell>
          <cell r="B4046">
            <v>531616</v>
          </cell>
          <cell r="C4046" t="str">
            <v>Not Listed</v>
          </cell>
        </row>
        <row r="4047">
          <cell r="A4047" t="str">
            <v>STARLIT POWER SYSTEMS LTD</v>
          </cell>
          <cell r="B4047">
            <v>538733</v>
          </cell>
          <cell r="C4047" t="str">
            <v>Not Listed</v>
          </cell>
        </row>
        <row r="4048">
          <cell r="A4048" t="str">
            <v>STARLITE COMPONENTS LTD</v>
          </cell>
          <cell r="B4048">
            <v>517548</v>
          </cell>
          <cell r="C4048" t="str">
            <v>Not Listed</v>
          </cell>
        </row>
        <row r="4049">
          <cell r="A4049" t="str">
            <v>STARLOG ENTERPRISES LTD</v>
          </cell>
          <cell r="B4049">
            <v>520155</v>
          </cell>
          <cell r="C4049" t="str">
            <v>Not Listed</v>
          </cell>
        </row>
        <row r="4050">
          <cell r="A4050" t="str">
            <v>STATE BANK OF INDIA</v>
          </cell>
          <cell r="B4050">
            <v>500112</v>
          </cell>
          <cell r="C4050" t="str">
            <v>SBIN</v>
          </cell>
        </row>
        <row r="4051">
          <cell r="A4051" t="str">
            <v>STEEL AUTHORITY OF (INDIA) LTD</v>
          </cell>
          <cell r="B4051">
            <v>500113</v>
          </cell>
          <cell r="C4051" t="str">
            <v>SAIL</v>
          </cell>
        </row>
        <row r="4052">
          <cell r="A4052" t="str">
            <v>STEEL AUTHORITY OF INDIA LTD</v>
          </cell>
          <cell r="B4052">
            <v>500113</v>
          </cell>
          <cell r="C4052" t="str">
            <v>SAIL</v>
          </cell>
        </row>
        <row r="4053">
          <cell r="A4053" t="str">
            <v>STEEL CITY SECURITIES LTD</v>
          </cell>
          <cell r="B4053" t="str">
            <v>Not Listed</v>
          </cell>
          <cell r="C4053" t="str">
            <v>STEELCITY</v>
          </cell>
        </row>
        <row r="4054">
          <cell r="A4054" t="str">
            <v>STEEL EXCHANGE (INDIA) LTD</v>
          </cell>
          <cell r="B4054">
            <v>534748</v>
          </cell>
          <cell r="C4054" t="str">
            <v>STEELXIND</v>
          </cell>
        </row>
        <row r="4055">
          <cell r="A4055" t="str">
            <v>STEEL EXCHANGE INDIA LTD</v>
          </cell>
          <cell r="B4055">
            <v>534748</v>
          </cell>
          <cell r="C4055" t="str">
            <v>STEELXIND</v>
          </cell>
        </row>
        <row r="4056">
          <cell r="A4056" t="str">
            <v>STEEL STRIPS INFRASTRUCTURES LTD</v>
          </cell>
          <cell r="B4056">
            <v>513173</v>
          </cell>
          <cell r="C4056" t="str">
            <v>Not Listed</v>
          </cell>
        </row>
        <row r="4057">
          <cell r="A4057" t="str">
            <v>STEEL STRIPS LTD.</v>
          </cell>
          <cell r="B4057">
            <v>504717</v>
          </cell>
          <cell r="C4057" t="str">
            <v>STRIPMT</v>
          </cell>
        </row>
        <row r="4058">
          <cell r="A4058" t="str">
            <v>STEEL STRIPS WHEELS LTD</v>
          </cell>
          <cell r="B4058">
            <v>513262</v>
          </cell>
          <cell r="C4058" t="str">
            <v>SSWL</v>
          </cell>
        </row>
        <row r="4059">
          <cell r="A4059" t="str">
            <v>STEELCAST LTD</v>
          </cell>
          <cell r="B4059">
            <v>513517</v>
          </cell>
          <cell r="C4059" t="str">
            <v>Not Listed</v>
          </cell>
        </row>
        <row r="4060">
          <cell r="A4060" t="str">
            <v>STEELCO GUJARAT LTD</v>
          </cell>
          <cell r="B4060">
            <v>500399</v>
          </cell>
          <cell r="C4060" t="str">
            <v>Not Listed</v>
          </cell>
        </row>
        <row r="4061">
          <cell r="A4061" t="str">
            <v>STEL HOLDINGS LTD</v>
          </cell>
          <cell r="B4061">
            <v>533316</v>
          </cell>
          <cell r="C4061" t="str">
            <v>STEL</v>
          </cell>
        </row>
        <row r="4062">
          <cell r="A4062" t="str">
            <v>STELLANT SECURITIES (INDIA) LTD</v>
          </cell>
          <cell r="B4062">
            <v>526071</v>
          </cell>
          <cell r="C4062" t="str">
            <v>Not Listed</v>
          </cell>
        </row>
        <row r="4063">
          <cell r="A4063" t="str">
            <v>STELLANT SECURITIES INDIA LTD</v>
          </cell>
          <cell r="B4063">
            <v>526071</v>
          </cell>
          <cell r="C4063" t="str">
            <v>Not Listed</v>
          </cell>
        </row>
        <row r="4064">
          <cell r="A4064" t="str">
            <v>STELLAR CAPITAL SERVICES LTD</v>
          </cell>
          <cell r="B4064">
            <v>536738</v>
          </cell>
          <cell r="C4064" t="str">
            <v>Not Listed</v>
          </cell>
        </row>
        <row r="4065">
          <cell r="A4065" t="str">
            <v>STEP TWO CORPORATION LTD</v>
          </cell>
          <cell r="B4065">
            <v>531509</v>
          </cell>
          <cell r="C4065" t="str">
            <v>Not Listed</v>
          </cell>
        </row>
        <row r="4066">
          <cell r="A4066" t="str">
            <v>STERLING GREEN WOODS LTD</v>
          </cell>
          <cell r="B4066">
            <v>526500</v>
          </cell>
          <cell r="C4066" t="str">
            <v>Not Listed</v>
          </cell>
        </row>
        <row r="4067">
          <cell r="A4067" t="str">
            <v>STERLING GUARANTY &amp;amp; FINANCE LTD.</v>
          </cell>
          <cell r="B4067">
            <v>508963</v>
          </cell>
          <cell r="C4067" t="str">
            <v>STRLGUA</v>
          </cell>
        </row>
        <row r="4068">
          <cell r="A4068" t="str">
            <v>STERLING SPINNERS LTD</v>
          </cell>
          <cell r="B4068">
            <v>531628</v>
          </cell>
          <cell r="C4068" t="str">
            <v>Not Listed</v>
          </cell>
        </row>
        <row r="4069">
          <cell r="A4069" t="str">
            <v>STERLING TOOLS LTD</v>
          </cell>
          <cell r="B4069">
            <v>530759</v>
          </cell>
          <cell r="C4069" t="str">
            <v>STERTOOLS</v>
          </cell>
        </row>
        <row r="4070">
          <cell r="A4070" t="str">
            <v>STERLITE TECHNOLOGIES LTD</v>
          </cell>
          <cell r="B4070">
            <v>532374</v>
          </cell>
          <cell r="C4070" t="str">
            <v>STRTECH</v>
          </cell>
        </row>
        <row r="4071">
          <cell r="A4071" t="str">
            <v>STI (INDIA) LTD</v>
          </cell>
          <cell r="B4071">
            <v>513151</v>
          </cell>
          <cell r="C4071" t="str">
            <v>ST(INDIA)</v>
          </cell>
        </row>
        <row r="4072">
          <cell r="A4072" t="str">
            <v>STI INDIA LTD</v>
          </cell>
          <cell r="B4072">
            <v>513151</v>
          </cell>
          <cell r="C4072" t="str">
            <v>STINDIA</v>
          </cell>
        </row>
        <row r="4073">
          <cell r="A4073" t="str">
            <v>STL GLOBAL LTD</v>
          </cell>
          <cell r="B4073">
            <v>532730</v>
          </cell>
          <cell r="C4073" t="str">
            <v>SGL</v>
          </cell>
        </row>
        <row r="4074">
          <cell r="A4074" t="str">
            <v>STOVEC INDUSTRIES LTD</v>
          </cell>
          <cell r="B4074">
            <v>504959</v>
          </cell>
          <cell r="C4074" t="str">
            <v>Not Listed</v>
          </cell>
        </row>
        <row r="4075">
          <cell r="A4075" t="str">
            <v>STRATMONT INDUSTRIES LTD</v>
          </cell>
          <cell r="B4075">
            <v>530495</v>
          </cell>
          <cell r="C4075" t="str">
            <v>Not Listed</v>
          </cell>
        </row>
        <row r="4076">
          <cell r="A4076" t="str">
            <v>STRIDES PHARMA SCIENCE LTD</v>
          </cell>
          <cell r="B4076">
            <v>532531</v>
          </cell>
          <cell r="C4076" t="str">
            <v>STAR</v>
          </cell>
        </row>
        <row r="4077">
          <cell r="A4077" t="str">
            <v>STURDY INDUSTRIES LTD</v>
          </cell>
          <cell r="B4077">
            <v>530611</v>
          </cell>
          <cell r="C4077" t="str">
            <v>Not Listed</v>
          </cell>
        </row>
        <row r="4078">
          <cell r="A4078" t="str">
            <v>STYLAM INDUSTRIES LTD</v>
          </cell>
          <cell r="B4078">
            <v>526951</v>
          </cell>
          <cell r="C4078" t="str">
            <v>Not Listed</v>
          </cell>
        </row>
        <row r="4079">
          <cell r="A4079" t="str">
            <v>Subex LTD</v>
          </cell>
          <cell r="B4079" t="str">
            <v>Not Listed</v>
          </cell>
          <cell r="C4079" t="str">
            <v>SUBEX</v>
          </cell>
        </row>
        <row r="4080">
          <cell r="A4080" t="str">
            <v>SUBEX LTD</v>
          </cell>
          <cell r="B4080">
            <v>532348</v>
          </cell>
          <cell r="C4080" t="str">
            <v>Not Listed</v>
          </cell>
        </row>
        <row r="4081">
          <cell r="A4081" t="str">
            <v>SUBHASH SILK MILLS LTD</v>
          </cell>
          <cell r="B4081">
            <v>530231</v>
          </cell>
          <cell r="C4081" t="str">
            <v>Not Listed</v>
          </cell>
        </row>
        <row r="4082">
          <cell r="A4082" t="str">
            <v>SUBROS LTD</v>
          </cell>
          <cell r="B4082">
            <v>517168</v>
          </cell>
          <cell r="C4082" t="str">
            <v>SUBROS</v>
          </cell>
        </row>
        <row r="4083">
          <cell r="A4083" t="str">
            <v>SUBWAY FINANCE &amp; INVESTMENT CO LTD</v>
          </cell>
          <cell r="B4083">
            <v>511024</v>
          </cell>
          <cell r="C4083" t="str">
            <v>Not Listed</v>
          </cell>
        </row>
        <row r="4084">
          <cell r="A4084" t="str">
            <v>SUCHITRA FINANCE &amp; TRADING COMPANY LTD</v>
          </cell>
          <cell r="B4084">
            <v>538714</v>
          </cell>
          <cell r="C4084" t="str">
            <v>Not Listed</v>
          </cell>
        </row>
        <row r="4085">
          <cell r="A4085" t="str">
            <v>SUDAL INDUSTRIES LTD</v>
          </cell>
          <cell r="B4085">
            <v>506003</v>
          </cell>
          <cell r="C4085" t="str">
            <v>Not Listed</v>
          </cell>
        </row>
        <row r="4086">
          <cell r="A4086" t="str">
            <v>SUDARSHAN CHEMICAL INDUSTRIES LTD</v>
          </cell>
          <cell r="B4086">
            <v>506655</v>
          </cell>
          <cell r="C4086" t="str">
            <v>SUDARSCHEM</v>
          </cell>
        </row>
        <row r="4087">
          <cell r="A4087" t="str">
            <v>SUDITI INDUSTRIES LTD</v>
          </cell>
          <cell r="B4087">
            <v>521113</v>
          </cell>
          <cell r="C4087" t="str">
            <v>Not Listed</v>
          </cell>
        </row>
        <row r="4088">
          <cell r="A4088" t="str">
            <v>SUERYAA KNITWEAR LTD</v>
          </cell>
          <cell r="B4088">
            <v>540318</v>
          </cell>
          <cell r="C4088" t="str">
            <v>Not Listed</v>
          </cell>
        </row>
        <row r="4089">
          <cell r="A4089" t="str">
            <v>SUGAL &amp; DAMANI SHARE BROKERS LTD</v>
          </cell>
          <cell r="B4089">
            <v>511654</v>
          </cell>
          <cell r="C4089" t="str">
            <v>Not Listed</v>
          </cell>
        </row>
        <row r="4090">
          <cell r="A4090" t="str">
            <v>Suich Industries Ltd</v>
          </cell>
          <cell r="B4090">
            <v>542683</v>
          </cell>
          <cell r="C4090" t="str">
            <v>SUICH</v>
          </cell>
        </row>
        <row r="4091">
          <cell r="A4091" t="str">
            <v>SUJALA TRADING &amp; HOLDINGS LTD</v>
          </cell>
          <cell r="B4091">
            <v>539117</v>
          </cell>
          <cell r="C4091" t="str">
            <v>Not Listed</v>
          </cell>
        </row>
        <row r="4092">
          <cell r="A4092" t="str">
            <v>SUJANA UNIVERSAL INDUSTRIES LTD</v>
          </cell>
          <cell r="B4092">
            <v>517224</v>
          </cell>
          <cell r="C4092" t="str">
            <v>SUJANAUNI</v>
          </cell>
        </row>
        <row r="4093">
          <cell r="A4093" t="str">
            <v>SUKHJIT STARCH &amp; CHEMICALS LTD</v>
          </cell>
          <cell r="B4093">
            <v>524542</v>
          </cell>
          <cell r="C4093" t="str">
            <v>Not Listed</v>
          </cell>
        </row>
        <row r="4094">
          <cell r="A4094" t="str">
            <v>SULABH ENGINEERS &amp; SERVICES LTD</v>
          </cell>
          <cell r="B4094">
            <v>508969</v>
          </cell>
          <cell r="C4094" t="str">
            <v>Not Listed</v>
          </cell>
        </row>
        <row r="4095">
          <cell r="A4095" t="str">
            <v>SUMEDHA FISCAL SERVICES LTD</v>
          </cell>
          <cell r="B4095">
            <v>530419</v>
          </cell>
          <cell r="C4095" t="str">
            <v>Not Listed</v>
          </cell>
        </row>
        <row r="4096">
          <cell r="A4096" t="str">
            <v>SUMEET INDUSTRIES LTD</v>
          </cell>
          <cell r="B4096">
            <v>514211</v>
          </cell>
          <cell r="C4096" t="str">
            <v>SUMEETINDS</v>
          </cell>
        </row>
        <row r="4097">
          <cell r="A4097" t="str">
            <v>SUMERU INDUSTRIES LTD</v>
          </cell>
          <cell r="B4097">
            <v>530445</v>
          </cell>
          <cell r="C4097" t="str">
            <v>Not Listed</v>
          </cell>
        </row>
        <row r="4098">
          <cell r="A4098" t="str">
            <v>SUMIT WOODS LTD</v>
          </cell>
          <cell r="B4098" t="str">
            <v>Not Listed</v>
          </cell>
          <cell r="C4098" t="str">
            <v>SUMIT</v>
          </cell>
        </row>
        <row r="4099">
          <cell r="A4099" t="str">
            <v>SUMMIT SECURITIES LTD</v>
          </cell>
          <cell r="B4099">
            <v>533306</v>
          </cell>
          <cell r="C4099" t="str">
            <v>SUMMITSEC</v>
          </cell>
        </row>
        <row r="4100">
          <cell r="A4100" t="str">
            <v>SUN AND SHINE WORLDWIDE LTD</v>
          </cell>
          <cell r="B4100">
            <v>532154</v>
          </cell>
          <cell r="C4100" t="str">
            <v>Not Listed</v>
          </cell>
        </row>
        <row r="4101">
          <cell r="A4101" t="str">
            <v>SUN PHARMA ADVANCED RESEARCH COMPANY LTD</v>
          </cell>
          <cell r="B4101">
            <v>532872</v>
          </cell>
          <cell r="C4101" t="str">
            <v>SPARC</v>
          </cell>
        </row>
        <row r="4102">
          <cell r="A4102" t="str">
            <v>SUN PHARMACEUTICAL INDUSTRIES LTD</v>
          </cell>
          <cell r="B4102">
            <v>524715</v>
          </cell>
          <cell r="C4102" t="str">
            <v>SUNPHARMA</v>
          </cell>
        </row>
        <row r="4103">
          <cell r="A4103" t="str">
            <v>SUN RETAIL LTD</v>
          </cell>
          <cell r="B4103">
            <v>542025</v>
          </cell>
          <cell r="C4103" t="str">
            <v>Not Listed</v>
          </cell>
        </row>
        <row r="4104">
          <cell r="A4104" t="str">
            <v>SUN SOURCE (INDIA) LTD</v>
          </cell>
          <cell r="B4104">
            <v>517403</v>
          </cell>
          <cell r="C4104" t="str">
            <v>Not Listed</v>
          </cell>
        </row>
        <row r="4105">
          <cell r="A4105" t="str">
            <v>SUN SOURCE INDIA LTD</v>
          </cell>
          <cell r="B4105">
            <v>517403</v>
          </cell>
          <cell r="C4105" t="str">
            <v>Not Listed</v>
          </cell>
        </row>
        <row r="4106">
          <cell r="A4106" t="str">
            <v>SUN TECHNO OVERSEAS LTD</v>
          </cell>
          <cell r="B4106">
            <v>531752</v>
          </cell>
          <cell r="C4106" t="str">
            <v>Not Listed</v>
          </cell>
        </row>
        <row r="4107">
          <cell r="A4107" t="str">
            <v>SUN TV NETWORK LTD</v>
          </cell>
          <cell r="B4107">
            <v>532733</v>
          </cell>
          <cell r="C4107" t="str">
            <v>SUNTV</v>
          </cell>
        </row>
        <row r="4108">
          <cell r="A4108" t="str">
            <v>SUNCARE TRADERS LTD</v>
          </cell>
          <cell r="B4108">
            <v>539526</v>
          </cell>
          <cell r="C4108" t="str">
            <v>Not Listed</v>
          </cell>
        </row>
        <row r="4109">
          <cell r="A4109" t="str">
            <v>SUNCITY SYNTHETICS LTD</v>
          </cell>
          <cell r="B4109">
            <v>530795</v>
          </cell>
          <cell r="C4109" t="str">
            <v>Not Listed</v>
          </cell>
        </row>
        <row r="4110">
          <cell r="A4110" t="str">
            <v>SUNDARAM BRAKE LININGS LTD</v>
          </cell>
          <cell r="B4110">
            <v>590072</v>
          </cell>
          <cell r="C4110" t="str">
            <v>SUNDRMBRAK</v>
          </cell>
        </row>
        <row r="4111">
          <cell r="A4111" t="str">
            <v>SUNDARAM CLAYTON LTD</v>
          </cell>
          <cell r="B4111">
            <v>520056</v>
          </cell>
          <cell r="C4111" t="str">
            <v>SUNCLAYLTD</v>
          </cell>
        </row>
        <row r="4112">
          <cell r="A4112" t="str">
            <v>SUNDARAM FINANCE HOLDINGS LTD</v>
          </cell>
          <cell r="B4112" t="str">
            <v>Not Listed</v>
          </cell>
          <cell r="C4112" t="str">
            <v>SUNDARMHLD</v>
          </cell>
        </row>
        <row r="4113">
          <cell r="A4113" t="str">
            <v>SUNDARAM FINANCE LTD</v>
          </cell>
          <cell r="B4113">
            <v>590071</v>
          </cell>
          <cell r="C4113" t="str">
            <v>SUNDARMFIN</v>
          </cell>
        </row>
        <row r="4114">
          <cell r="A4114" t="str">
            <v>SUNDARAM MULTI PAP LTD</v>
          </cell>
          <cell r="B4114">
            <v>533166</v>
          </cell>
          <cell r="C4114" t="str">
            <v>SUNDARAM</v>
          </cell>
        </row>
        <row r="4115">
          <cell r="A4115" t="str">
            <v>SUNDRAM FASTENERS LTD</v>
          </cell>
          <cell r="B4115">
            <v>500403</v>
          </cell>
          <cell r="C4115" t="str">
            <v>SUNDRMFAST</v>
          </cell>
        </row>
        <row r="4116">
          <cell r="A4116" t="str">
            <v>SUNFLAG IRON AND STEEL COMPANY LTD</v>
          </cell>
          <cell r="B4116">
            <v>500404</v>
          </cell>
          <cell r="C4116" t="str">
            <v>SUNFLAG</v>
          </cell>
        </row>
        <row r="4117">
          <cell r="A4117" t="str">
            <v>SUNGOLD CAPITAL LTD</v>
          </cell>
          <cell r="B4117">
            <v>531433</v>
          </cell>
          <cell r="C4117" t="str">
            <v>Not Listed</v>
          </cell>
        </row>
        <row r="4118">
          <cell r="A4118" t="str">
            <v>SUNGOLD MEDIA AND ENTERTAINMENT LTD</v>
          </cell>
          <cell r="B4118">
            <v>541799</v>
          </cell>
          <cell r="C4118" t="str">
            <v>Not Listed</v>
          </cell>
        </row>
        <row r="4119">
          <cell r="A4119" t="str">
            <v>SUNIL AGRO FOODS LTD</v>
          </cell>
          <cell r="B4119">
            <v>530953</v>
          </cell>
          <cell r="C4119" t="str">
            <v>Not Listed</v>
          </cell>
        </row>
        <row r="4120">
          <cell r="A4120" t="str">
            <v>SUNIL HEALTHCARE LTD</v>
          </cell>
          <cell r="B4120">
            <v>537253</v>
          </cell>
          <cell r="C4120" t="str">
            <v>Not Listed</v>
          </cell>
        </row>
        <row r="4121">
          <cell r="A4121" t="str">
            <v>SUNIL HITECH ENGINEERS LTD</v>
          </cell>
          <cell r="B4121">
            <v>532711</v>
          </cell>
          <cell r="C4121" t="str">
            <v>SUNILHITEC</v>
          </cell>
        </row>
        <row r="4122">
          <cell r="A4122" t="str">
            <v>SUNIL INDUSTRIES LTD</v>
          </cell>
          <cell r="B4122">
            <v>521232</v>
          </cell>
          <cell r="C4122" t="str">
            <v>Not Listed</v>
          </cell>
        </row>
        <row r="4123">
          <cell r="A4123" t="str">
            <v>SUNRAJ DIAMOND EXPORTS LTD.</v>
          </cell>
          <cell r="B4123">
            <v>523425</v>
          </cell>
          <cell r="C4123" t="str">
            <v>SUNRAJDI</v>
          </cell>
        </row>
        <row r="4124">
          <cell r="A4124" t="str">
            <v>SUNRISE INDUSTRIAL TRADERS LTD</v>
          </cell>
          <cell r="B4124">
            <v>501110</v>
          </cell>
          <cell r="C4124" t="str">
            <v>Not Listed</v>
          </cell>
        </row>
        <row r="4125">
          <cell r="A4125" t="str">
            <v>SUNSHIELD CHEMICALS LTD</v>
          </cell>
          <cell r="B4125">
            <v>530845</v>
          </cell>
          <cell r="C4125" t="str">
            <v>Not Listed</v>
          </cell>
        </row>
        <row r="4126">
          <cell r="A4126" t="str">
            <v>SUNSHINE CAPITAL LTD</v>
          </cell>
          <cell r="B4126">
            <v>539574</v>
          </cell>
          <cell r="C4126" t="str">
            <v>Not Listed</v>
          </cell>
        </row>
        <row r="4127">
          <cell r="A4127" t="str">
            <v>SUNSTAR REALTY DEVELOPMENT LTD</v>
          </cell>
          <cell r="B4127">
            <v>535141</v>
          </cell>
          <cell r="C4127" t="str">
            <v>Not Listed</v>
          </cell>
        </row>
        <row r="4128">
          <cell r="A4128" t="str">
            <v>SUNTECK REALTY LTD</v>
          </cell>
          <cell r="B4128">
            <v>512179</v>
          </cell>
          <cell r="C4128" t="str">
            <v>SUNTECK</v>
          </cell>
        </row>
        <row r="4129">
          <cell r="A4129" t="str">
            <v>SUPER BAKERS (INDIA) LTD</v>
          </cell>
          <cell r="B4129">
            <v>530735</v>
          </cell>
          <cell r="C4129" t="str">
            <v>Not Listed</v>
          </cell>
        </row>
        <row r="4130">
          <cell r="A4130" t="str">
            <v>SUPER BAKERS INDIA LTD</v>
          </cell>
          <cell r="B4130">
            <v>530735</v>
          </cell>
          <cell r="C4130" t="str">
            <v>Not Listed</v>
          </cell>
        </row>
        <row r="4131">
          <cell r="A4131" t="str">
            <v>SUPER CROP SAFE LTD</v>
          </cell>
          <cell r="B4131">
            <v>530883</v>
          </cell>
          <cell r="C4131" t="str">
            <v>Not Listed</v>
          </cell>
        </row>
        <row r="4132">
          <cell r="A4132" t="str">
            <v>SUPER DOMESTIC MACHINES LTD</v>
          </cell>
          <cell r="B4132">
            <v>531699</v>
          </cell>
          <cell r="C4132" t="str">
            <v>Not Listed</v>
          </cell>
        </row>
        <row r="4133">
          <cell r="A4133" t="str">
            <v>SUPER FINE KNITTERS LTD</v>
          </cell>
          <cell r="B4133">
            <v>540269</v>
          </cell>
          <cell r="C4133" t="str">
            <v>Not Listed</v>
          </cell>
        </row>
        <row r="4134">
          <cell r="A4134" t="str">
            <v>SUPER SALES (INDIA) LTD</v>
          </cell>
          <cell r="B4134">
            <v>512527</v>
          </cell>
          <cell r="C4134" t="str">
            <v>Not Listed</v>
          </cell>
        </row>
        <row r="4135">
          <cell r="A4135" t="str">
            <v>SUPER SALES INDIA LTD</v>
          </cell>
          <cell r="B4135">
            <v>512527</v>
          </cell>
          <cell r="C4135" t="str">
            <v>Not Listed</v>
          </cell>
        </row>
        <row r="4136">
          <cell r="A4136" t="str">
            <v>SUPER SPINNING MILLS LTD</v>
          </cell>
          <cell r="B4136">
            <v>521180</v>
          </cell>
          <cell r="C4136" t="str">
            <v>SUPERSPIN</v>
          </cell>
        </row>
        <row r="4137">
          <cell r="A4137" t="str">
            <v>SUPER TANNERY LTD</v>
          </cell>
          <cell r="B4137">
            <v>523842</v>
          </cell>
          <cell r="C4137" t="str">
            <v>Not Listed</v>
          </cell>
        </row>
        <row r="4138">
          <cell r="A4138" t="str">
            <v>SUPERB PAPERS LTD</v>
          </cell>
          <cell r="B4138">
            <v>532070</v>
          </cell>
          <cell r="C4138" t="str">
            <v>Not Listed</v>
          </cell>
        </row>
        <row r="4139">
          <cell r="A4139" t="str">
            <v>SUPERHOUSE LTD</v>
          </cell>
          <cell r="B4139">
            <v>523283</v>
          </cell>
          <cell r="C4139" t="str">
            <v>SUPERHOUSE</v>
          </cell>
        </row>
        <row r="4140">
          <cell r="A4140" t="str">
            <v>SUPERIOR FINLEASE LTD</v>
          </cell>
          <cell r="B4140">
            <v>539835</v>
          </cell>
          <cell r="C4140" t="str">
            <v>Not Listed</v>
          </cell>
        </row>
        <row r="4141">
          <cell r="A4141" t="str">
            <v>Superior Industrial Enterprises LTD</v>
          </cell>
          <cell r="B4141">
            <v>519234</v>
          </cell>
          <cell r="C4141" t="str">
            <v>SIEL</v>
          </cell>
        </row>
        <row r="4142">
          <cell r="A4142" t="str">
            <v>SUPERNOVA ADVERTISING LTD</v>
          </cell>
          <cell r="B4142">
            <v>780008</v>
          </cell>
          <cell r="C4142" t="str">
            <v>Not Listed</v>
          </cell>
        </row>
        <row r="4143">
          <cell r="A4143" t="str">
            <v>SUPERSHAKTI METALIKS LTD</v>
          </cell>
          <cell r="B4143">
            <v>541701</v>
          </cell>
          <cell r="C4143" t="str">
            <v>Not Listed</v>
          </cell>
        </row>
        <row r="4144">
          <cell r="A4144" t="str">
            <v>SUPERTEX INDUSTRIES LTD</v>
          </cell>
          <cell r="B4144">
            <v>526133</v>
          </cell>
          <cell r="C4144" t="str">
            <v>Not Listed</v>
          </cell>
        </row>
        <row r="4145">
          <cell r="A4145" t="str">
            <v>SUPRA PACIFIC MANAGEMENT CONSULTANCY LTD</v>
          </cell>
          <cell r="B4145">
            <v>540168</v>
          </cell>
          <cell r="C4145" t="str">
            <v>Not Listed</v>
          </cell>
        </row>
        <row r="4146">
          <cell r="A4146" t="str">
            <v>SUPRA TRENDS LTD</v>
          </cell>
          <cell r="B4146">
            <v>511539</v>
          </cell>
          <cell r="C4146" t="str">
            <v>Not Listed</v>
          </cell>
        </row>
        <row r="4147">
          <cell r="A4147" t="str">
            <v>SUPRAJIT ENGINEERING LTD</v>
          </cell>
          <cell r="B4147">
            <v>532509</v>
          </cell>
          <cell r="C4147" t="str">
            <v>SUPRAJIT</v>
          </cell>
        </row>
        <row r="4148">
          <cell r="A4148" t="str">
            <v>SUPREME ENGINEERING LTD</v>
          </cell>
          <cell r="B4148" t="str">
            <v>Not Listed</v>
          </cell>
          <cell r="C4148" t="str">
            <v>SUPREMEENG</v>
          </cell>
        </row>
        <row r="4149">
          <cell r="A4149" t="str">
            <v>SUPREME HOLDINGS &amp; HOSPITALITY (INDIA) LTD</v>
          </cell>
          <cell r="B4149">
            <v>530677</v>
          </cell>
          <cell r="C4149" t="str">
            <v>Not Listed</v>
          </cell>
        </row>
        <row r="4150">
          <cell r="A4150" t="str">
            <v>SUPREME HOLDINGS &amp; HOSPITALITY INDIA LTD</v>
          </cell>
          <cell r="B4150">
            <v>530677</v>
          </cell>
          <cell r="C4150" t="str">
            <v>Not Listed</v>
          </cell>
        </row>
        <row r="4151">
          <cell r="A4151" t="str">
            <v>SUPREME INDIA IMPEX LTD</v>
          </cell>
          <cell r="B4151" t="str">
            <v>Not Listed</v>
          </cell>
          <cell r="C4151" t="str">
            <v>SIIL</v>
          </cell>
        </row>
        <row r="4152">
          <cell r="A4152" t="str">
            <v>SUPREME INDUSTRIES LTD</v>
          </cell>
          <cell r="B4152">
            <v>509930</v>
          </cell>
          <cell r="C4152" t="str">
            <v>SUPREMEIND</v>
          </cell>
        </row>
        <row r="4153">
          <cell r="A4153" t="str">
            <v>SUPREME INFRASTRUCTURE (INDIA) LTD</v>
          </cell>
          <cell r="B4153">
            <v>532904</v>
          </cell>
          <cell r="C4153" t="str">
            <v>SUPREMEINF</v>
          </cell>
        </row>
        <row r="4154">
          <cell r="A4154" t="str">
            <v>SUPREME INFRASTRUCTURE INDIA LTD</v>
          </cell>
          <cell r="B4154">
            <v>532904</v>
          </cell>
          <cell r="C4154" t="str">
            <v>SUPREMEINF</v>
          </cell>
        </row>
        <row r="4155">
          <cell r="A4155" t="str">
            <v>SUPREME PETROCHEM LTD</v>
          </cell>
          <cell r="B4155">
            <v>500405</v>
          </cell>
          <cell r="C4155" t="str">
            <v>SUPPETRO</v>
          </cell>
        </row>
        <row r="4156">
          <cell r="A4156" t="str">
            <v>SUPREMEX SHINE STEELS LTD</v>
          </cell>
          <cell r="B4156">
            <v>534733</v>
          </cell>
          <cell r="C4156" t="str">
            <v>Not Listed</v>
          </cell>
        </row>
        <row r="4157">
          <cell r="A4157" t="str">
            <v>SURAJ LTD</v>
          </cell>
          <cell r="B4157">
            <v>531638</v>
          </cell>
          <cell r="C4157" t="str">
            <v>Not Listed</v>
          </cell>
        </row>
        <row r="4158">
          <cell r="A4158" t="str">
            <v>SURAJ PRODUCTS LTD</v>
          </cell>
          <cell r="B4158">
            <v>518075</v>
          </cell>
          <cell r="C4158" t="str">
            <v>Not Listed</v>
          </cell>
        </row>
        <row r="4159">
          <cell r="A4159" t="str">
            <v>SURANA SOLAR LTD</v>
          </cell>
          <cell r="B4159">
            <v>533298</v>
          </cell>
          <cell r="C4159" t="str">
            <v>SURANASOL</v>
          </cell>
        </row>
        <row r="4160">
          <cell r="A4160" t="str">
            <v>SURANA TELECOM AND POWER LTD</v>
          </cell>
          <cell r="B4160">
            <v>517530</v>
          </cell>
          <cell r="C4160" t="str">
            <v>SURANAT&amp;P</v>
          </cell>
        </row>
        <row r="4161">
          <cell r="A4161" t="str">
            <v>SURAT TEXTILE MILLS LTD</v>
          </cell>
          <cell r="B4161">
            <v>530185</v>
          </cell>
          <cell r="C4161" t="str">
            <v>Not Listed</v>
          </cell>
        </row>
        <row r="4162">
          <cell r="A4162" t="str">
            <v>SUREVIN BPO SERVICES LTD</v>
          </cell>
          <cell r="B4162" t="str">
            <v>Not Listed</v>
          </cell>
          <cell r="C4162" t="str">
            <v>SUREVIN</v>
          </cell>
        </row>
        <row r="4163">
          <cell r="A4163" t="str">
            <v>SURYA (INDIA) LTD</v>
          </cell>
          <cell r="B4163">
            <v>539253</v>
          </cell>
          <cell r="C4163" t="str">
            <v>Not Listed</v>
          </cell>
        </row>
        <row r="4164">
          <cell r="A4164" t="str">
            <v>SURYA INDIA LTD</v>
          </cell>
          <cell r="B4164">
            <v>539253</v>
          </cell>
          <cell r="C4164" t="str">
            <v>Not Listed</v>
          </cell>
        </row>
        <row r="4165">
          <cell r="A4165" t="str">
            <v>SURYA ROSHNI LTD</v>
          </cell>
          <cell r="B4165">
            <v>500336</v>
          </cell>
          <cell r="C4165" t="str">
            <v>SURYAROSNI</v>
          </cell>
        </row>
        <row r="4166">
          <cell r="A4166" t="str">
            <v>SURYAAMBA SPINNING MILLS LTD</v>
          </cell>
          <cell r="B4166">
            <v>533101</v>
          </cell>
          <cell r="C4166" t="str">
            <v>Not Listed</v>
          </cell>
        </row>
        <row r="4167">
          <cell r="A4167" t="str">
            <v>SURYACHAKRA POWER CORPORATION LTD</v>
          </cell>
          <cell r="B4167">
            <v>532874</v>
          </cell>
          <cell r="C4167" t="str">
            <v>Not Listed</v>
          </cell>
        </row>
        <row r="4168">
          <cell r="A4168" t="str">
            <v>SURYAKRIPA FINANCE LTD</v>
          </cell>
          <cell r="B4168">
            <v>511185</v>
          </cell>
          <cell r="C4168" t="str">
            <v>Not Listed</v>
          </cell>
        </row>
        <row r="4169">
          <cell r="A4169" t="str">
            <v>SURYALAKSHMI COTTON MILLS LTD</v>
          </cell>
          <cell r="B4169">
            <v>521200</v>
          </cell>
          <cell r="C4169" t="str">
            <v>SURYALAXMI</v>
          </cell>
        </row>
        <row r="4170">
          <cell r="A4170" t="str">
            <v>SURYALATA SPINNING MILLS LTD</v>
          </cell>
          <cell r="B4170">
            <v>514138</v>
          </cell>
          <cell r="C4170" t="str">
            <v>Not Listed</v>
          </cell>
        </row>
        <row r="4171">
          <cell r="A4171" t="str">
            <v>SURYAVANSHI SPINNING MILLS LTD</v>
          </cell>
          <cell r="B4171">
            <v>514140</v>
          </cell>
          <cell r="C4171" t="str">
            <v>Not Listed</v>
          </cell>
        </row>
        <row r="4172">
          <cell r="A4172" t="str">
            <v>SURYO FOODS &amp;amp; INDUSTRIES LTD.</v>
          </cell>
          <cell r="B4172">
            <v>519604</v>
          </cell>
          <cell r="C4172" t="str">
            <v>SURFI</v>
          </cell>
        </row>
        <row r="4173">
          <cell r="A4173" t="str">
            <v>SUTLEJ TEXTILES AND INDUSTRIES LTD</v>
          </cell>
          <cell r="B4173">
            <v>532782</v>
          </cell>
          <cell r="C4173" t="str">
            <v>SUTLEJTEX</v>
          </cell>
        </row>
        <row r="4174">
          <cell r="A4174" t="str">
            <v>SUUMAYA LIFESTYLE LTD</v>
          </cell>
          <cell r="B4174" t="str">
            <v>Not Listed</v>
          </cell>
          <cell r="C4174" t="str">
            <v>SUULD</v>
          </cell>
        </row>
        <row r="4175">
          <cell r="A4175" t="str">
            <v>SUVEN LIFE SCIENCES LTD</v>
          </cell>
          <cell r="B4175">
            <v>530239</v>
          </cell>
          <cell r="C4175" t="str">
            <v>SUVEN</v>
          </cell>
        </row>
        <row r="4176">
          <cell r="A4176" t="str">
            <v>SUVIDHA INFRAESTATE CORPORATION LTD</v>
          </cell>
          <cell r="B4176">
            <v>531640</v>
          </cell>
          <cell r="C4176" t="str">
            <v>Not Listed</v>
          </cell>
        </row>
        <row r="4177">
          <cell r="A4177" t="str">
            <v>SUYOG TELEMATICS LTD</v>
          </cell>
          <cell r="B4177">
            <v>537259</v>
          </cell>
          <cell r="C4177" t="str">
            <v>Not Listed</v>
          </cell>
        </row>
        <row r="4178">
          <cell r="A4178" t="str">
            <v>SUZLON ENERGY LTD</v>
          </cell>
          <cell r="B4178">
            <v>532667</v>
          </cell>
          <cell r="C4178" t="str">
            <v>SUZLON</v>
          </cell>
        </row>
        <row r="4179">
          <cell r="A4179" t="str">
            <v>SVA (INDIA) LTD</v>
          </cell>
          <cell r="B4179">
            <v>531885</v>
          </cell>
          <cell r="C4179" t="str">
            <v>Not Listed</v>
          </cell>
        </row>
        <row r="4180">
          <cell r="A4180" t="str">
            <v>SVA INDIA LTD</v>
          </cell>
          <cell r="B4180">
            <v>531885</v>
          </cell>
          <cell r="C4180" t="str">
            <v>Not Listed</v>
          </cell>
        </row>
        <row r="4181">
          <cell r="A4181" t="str">
            <v>SVAM SOFTWARE LTD</v>
          </cell>
          <cell r="B4181">
            <v>523722</v>
          </cell>
          <cell r="C4181" t="str">
            <v>Not Listed</v>
          </cell>
        </row>
        <row r="4182">
          <cell r="A4182" t="str">
            <v>SVARAJ TRADING &amp; AGENCIES LTD</v>
          </cell>
          <cell r="B4182">
            <v>503624</v>
          </cell>
          <cell r="C4182" t="str">
            <v>Not Listed</v>
          </cell>
        </row>
        <row r="4183">
          <cell r="A4183" t="str">
            <v>SVARNIM TRADE UDYOG LTD</v>
          </cell>
          <cell r="B4183">
            <v>539911</v>
          </cell>
          <cell r="C4183" t="str">
            <v>Not Listed</v>
          </cell>
        </row>
        <row r="4184">
          <cell r="A4184" t="str">
            <v>SVC INDUSTRIES Ltd</v>
          </cell>
          <cell r="B4184">
            <v>524488</v>
          </cell>
          <cell r="C4184" t="str">
            <v>SVCIND</v>
          </cell>
        </row>
        <row r="4185">
          <cell r="A4185" t="str">
            <v>SVC RESOURCES LTD</v>
          </cell>
          <cell r="B4185">
            <v>512449</v>
          </cell>
          <cell r="C4185" t="str">
            <v>Not Listed</v>
          </cell>
        </row>
        <row r="4186">
          <cell r="A4186" t="str">
            <v>SVP GLOBAL VENTURES LTD</v>
          </cell>
          <cell r="B4186">
            <v>505590</v>
          </cell>
          <cell r="C4186" t="str">
            <v>Not Listed</v>
          </cell>
        </row>
        <row r="4187">
          <cell r="A4187" t="str">
            <v>SVP HOUSING LTD</v>
          </cell>
          <cell r="B4187">
            <v>539041</v>
          </cell>
          <cell r="C4187" t="str">
            <v>Not Listed</v>
          </cell>
        </row>
        <row r="4188">
          <cell r="A4188" t="str">
            <v>SW INVESTMENTS LTD</v>
          </cell>
          <cell r="B4188">
            <v>503659</v>
          </cell>
          <cell r="C4188" t="str">
            <v>Not Listed</v>
          </cell>
        </row>
        <row r="4189">
          <cell r="A4189" t="str">
            <v>SWADESHI INDUSTRIES LEASING CO LTD</v>
          </cell>
          <cell r="B4189">
            <v>506863</v>
          </cell>
          <cell r="C4189" t="str">
            <v>Not Listed</v>
          </cell>
        </row>
        <row r="4190">
          <cell r="A4190" t="str">
            <v>SWADESHI POLYTEX LTD</v>
          </cell>
          <cell r="B4190">
            <v>503816</v>
          </cell>
          <cell r="C4190" t="str">
            <v>Not Listed</v>
          </cell>
        </row>
        <row r="4191">
          <cell r="A4191" t="str">
            <v>SWAGRUHA INFRASTRUCTURE LTD</v>
          </cell>
          <cell r="B4191">
            <v>531909</v>
          </cell>
          <cell r="C4191" t="str">
            <v>Not Listed</v>
          </cell>
        </row>
        <row r="4192">
          <cell r="A4192" t="str">
            <v>SWAGTAM TRADING &amp; SERVICES LTD</v>
          </cell>
          <cell r="B4192">
            <v>539406</v>
          </cell>
          <cell r="C4192" t="str">
            <v>Not Listed</v>
          </cell>
        </row>
        <row r="4193">
          <cell r="A4193" t="str">
            <v>SWAN ENERGY LTD</v>
          </cell>
          <cell r="B4193">
            <v>503310</v>
          </cell>
          <cell r="C4193" t="str">
            <v>SWANENERGY</v>
          </cell>
        </row>
        <row r="4194">
          <cell r="A4194" t="str">
            <v>SWARAJ AUTOMOTIVES LTD</v>
          </cell>
          <cell r="B4194">
            <v>539353</v>
          </cell>
          <cell r="C4194" t="str">
            <v>Not Listed</v>
          </cell>
        </row>
        <row r="4195">
          <cell r="A4195" t="str">
            <v>SWARAJ ENGINES LTD</v>
          </cell>
          <cell r="B4195">
            <v>500407</v>
          </cell>
          <cell r="C4195" t="str">
            <v>SWARAJENG</v>
          </cell>
        </row>
        <row r="4196">
          <cell r="A4196" t="str">
            <v>SWARNA SECURITIES LTD</v>
          </cell>
          <cell r="B4196">
            <v>531003</v>
          </cell>
          <cell r="C4196" t="str">
            <v>Not Listed</v>
          </cell>
        </row>
        <row r="4197">
          <cell r="A4197" t="str">
            <v>SWARNSARITA GEMS LTD</v>
          </cell>
          <cell r="B4197">
            <v>526365</v>
          </cell>
          <cell r="C4197" t="str">
            <v>Not Listed</v>
          </cell>
        </row>
        <row r="4198">
          <cell r="A4198" t="str">
            <v>SWASTI VINAYAKA ART AND HERITAGE CORPORATION LTD</v>
          </cell>
          <cell r="B4198">
            <v>512257</v>
          </cell>
          <cell r="C4198" t="str">
            <v>Not Listed</v>
          </cell>
        </row>
        <row r="4199">
          <cell r="A4199" t="str">
            <v>SWASTI VINAYAKA SYNTHETICS LTD</v>
          </cell>
          <cell r="B4199">
            <v>510245</v>
          </cell>
          <cell r="C4199" t="str">
            <v>Not Listed</v>
          </cell>
        </row>
        <row r="4200">
          <cell r="A4200" t="str">
            <v>SWASTIK SAFE DEPOSIT &amp; INVESTMENTS LTD</v>
          </cell>
          <cell r="B4200">
            <v>501386</v>
          </cell>
          <cell r="C4200" t="str">
            <v>Not Listed</v>
          </cell>
        </row>
        <row r="4201">
          <cell r="A4201" t="str">
            <v>SWASTIKA INVESTMART LTD</v>
          </cell>
          <cell r="B4201">
            <v>530585</v>
          </cell>
          <cell r="C4201" t="str">
            <v>Not Listed</v>
          </cell>
        </row>
        <row r="4202">
          <cell r="A4202" t="str">
            <v>SWELECT ENERGY SYSTEMS LTD</v>
          </cell>
          <cell r="B4202">
            <v>532051</v>
          </cell>
          <cell r="C4202" t="str">
            <v>SWELECTES</v>
          </cell>
        </row>
        <row r="4203">
          <cell r="A4203" t="str">
            <v>SWISS GLASCOAT EQUIPMENTS LTD</v>
          </cell>
          <cell r="B4203">
            <v>522215</v>
          </cell>
          <cell r="C4203" t="str">
            <v>Not Listed</v>
          </cell>
        </row>
        <row r="4204">
          <cell r="A4204" t="str">
            <v>SWITCHING TECHNOLOGIES GUNTHER LTD</v>
          </cell>
          <cell r="B4204">
            <v>517201</v>
          </cell>
          <cell r="C4204" t="str">
            <v>Not Listed</v>
          </cell>
        </row>
        <row r="4205">
          <cell r="A4205" t="str">
            <v>SWORD &amp; SHIELD PHARMA LTD</v>
          </cell>
          <cell r="B4205">
            <v>531637</v>
          </cell>
          <cell r="C4205" t="str">
            <v>Not Listed</v>
          </cell>
        </row>
        <row r="4206">
          <cell r="A4206" t="str">
            <v>SWORD-EDGE COMMERCIALS LTD</v>
          </cell>
          <cell r="B4206">
            <v>512359</v>
          </cell>
          <cell r="C4206" t="str">
            <v>Not Listed</v>
          </cell>
        </row>
        <row r="4207">
          <cell r="A4207" t="str">
            <v>SYBLY INDUSTRIES LTD</v>
          </cell>
          <cell r="B4207">
            <v>531499</v>
          </cell>
          <cell r="C4207" t="str">
            <v>Not Listed</v>
          </cell>
        </row>
        <row r="4208">
          <cell r="A4208" t="str">
            <v>SYLPH EDUCATION SOLUTIONS LTD</v>
          </cell>
          <cell r="B4208">
            <v>539682</v>
          </cell>
          <cell r="C4208" t="str">
            <v>Not Listed</v>
          </cell>
        </row>
        <row r="4209">
          <cell r="A4209" t="str">
            <v>SYLPH TECHNOLOGIES LTD</v>
          </cell>
          <cell r="B4209">
            <v>511447</v>
          </cell>
          <cell r="C4209" t="str">
            <v>Not Listed</v>
          </cell>
        </row>
        <row r="4210">
          <cell r="A4210" t="str">
            <v>SYMBIOX INVESTMENT &amp; TRADING COMPANY LTD</v>
          </cell>
          <cell r="B4210">
            <v>539278</v>
          </cell>
          <cell r="C4210" t="str">
            <v>Not Listed</v>
          </cell>
        </row>
        <row r="4211">
          <cell r="A4211" t="str">
            <v>SYMPHONY LTD</v>
          </cell>
          <cell r="B4211">
            <v>517385</v>
          </cell>
          <cell r="C4211" t="str">
            <v>SYMPHONY</v>
          </cell>
        </row>
        <row r="4212">
          <cell r="A4212" t="str">
            <v>SYNCOM FORMULATIONS (INDIA) LTD</v>
          </cell>
          <cell r="B4212">
            <v>524470</v>
          </cell>
          <cell r="C4212" t="str">
            <v>Not Listed</v>
          </cell>
        </row>
        <row r="4213">
          <cell r="A4213" t="str">
            <v>SYNCOM FORMULATIONS INDIA LTD</v>
          </cell>
          <cell r="B4213">
            <v>524470</v>
          </cell>
          <cell r="C4213" t="str">
            <v>Not Listed</v>
          </cell>
        </row>
        <row r="4214">
          <cell r="A4214" t="str">
            <v>SYNCOM HEALTHCARE LTD</v>
          </cell>
          <cell r="B4214">
            <v>533157</v>
          </cell>
          <cell r="C4214" t="str">
            <v>SYNCOM</v>
          </cell>
        </row>
        <row r="4215">
          <cell r="A4215" t="str">
            <v>SYNDICATE BANK</v>
          </cell>
          <cell r="B4215">
            <v>532276</v>
          </cell>
          <cell r="C4215" t="str">
            <v>SYNDIBANK</v>
          </cell>
        </row>
        <row r="4216">
          <cell r="A4216" t="str">
            <v>SYNERGY GREEN INDUSTRIES LTD</v>
          </cell>
          <cell r="B4216">
            <v>541929</v>
          </cell>
          <cell r="C4216" t="str">
            <v>Not Listed</v>
          </cell>
        </row>
        <row r="4217">
          <cell r="A4217" t="str">
            <v>SYNGENE INTERNATIONAL LTD</v>
          </cell>
          <cell r="B4217">
            <v>539268</v>
          </cell>
          <cell r="C4217" t="str">
            <v>SYNGENE</v>
          </cell>
        </row>
        <row r="4218">
          <cell r="A4218" t="str">
            <v>SYNTHIKO FOILS LTD</v>
          </cell>
          <cell r="B4218">
            <v>513307</v>
          </cell>
          <cell r="C4218" t="str">
            <v>Not Listed</v>
          </cell>
        </row>
        <row r="4219">
          <cell r="A4219" t="str">
            <v>SYSCHEM (INDIA) LTD</v>
          </cell>
          <cell r="B4219">
            <v>531173</v>
          </cell>
          <cell r="C4219" t="str">
            <v>Not Listed</v>
          </cell>
        </row>
        <row r="4220">
          <cell r="A4220" t="str">
            <v>SYSCHEM INDIA LTD</v>
          </cell>
          <cell r="B4220">
            <v>531173</v>
          </cell>
          <cell r="C4220" t="str">
            <v>Not Listed</v>
          </cell>
        </row>
        <row r="4221">
          <cell r="A4221" t="str">
            <v>SYSCO INDUSTRIES LTD</v>
          </cell>
          <cell r="B4221">
            <v>539842</v>
          </cell>
          <cell r="C4221" t="str">
            <v>Not Listed</v>
          </cell>
        </row>
        <row r="4222">
          <cell r="A4222" t="str">
            <v>SYSTEMATIX CORPORATE SERVICES LTD</v>
          </cell>
          <cell r="B4222">
            <v>526506</v>
          </cell>
          <cell r="C4222" t="str">
            <v>Not Listed</v>
          </cell>
        </row>
        <row r="4223">
          <cell r="A4223" t="str">
            <v>SYSTEMATIX SECURITIES LTD</v>
          </cell>
          <cell r="B4223">
            <v>531432</v>
          </cell>
          <cell r="C4223" t="str">
            <v>Not Listed</v>
          </cell>
        </row>
        <row r="4224">
          <cell r="A4224" t="str">
            <v>T &amp; I GLOBAL LTD</v>
          </cell>
          <cell r="B4224">
            <v>522294</v>
          </cell>
          <cell r="C4224" t="str">
            <v>Not Listed</v>
          </cell>
        </row>
        <row r="4225">
          <cell r="A4225" t="str">
            <v>T D POWER SYSTEMS LTD</v>
          </cell>
          <cell r="B4225">
            <v>533553</v>
          </cell>
          <cell r="C4225" t="str">
            <v>Not Listed</v>
          </cell>
        </row>
        <row r="4226">
          <cell r="A4226" t="str">
            <v>T SPIRITUAL WORLD LTD</v>
          </cell>
          <cell r="B4226">
            <v>532444</v>
          </cell>
          <cell r="C4226" t="str">
            <v>Not Listed</v>
          </cell>
        </row>
        <row r="4227">
          <cell r="A4227" t="str">
            <v>T T LTD</v>
          </cell>
          <cell r="B4227">
            <v>514142</v>
          </cell>
          <cell r="C4227" t="str">
            <v>TTL</v>
          </cell>
        </row>
        <row r="4228">
          <cell r="A4228" t="str">
            <v>TAAL ENTERPRISES LTD</v>
          </cell>
          <cell r="B4228">
            <v>539956</v>
          </cell>
          <cell r="C4228" t="str">
            <v>Not Listed</v>
          </cell>
        </row>
        <row r="4229">
          <cell r="A4229" t="str">
            <v>TAAZA INTERNATIONAL LTD</v>
          </cell>
          <cell r="B4229">
            <v>537392</v>
          </cell>
          <cell r="C4229" t="str">
            <v>Not Listed</v>
          </cell>
        </row>
        <row r="4230">
          <cell r="A4230" t="str">
            <v>TAI INDUSTRIES LTD</v>
          </cell>
          <cell r="B4230">
            <v>519483</v>
          </cell>
          <cell r="C4230" t="str">
            <v>Not Listed</v>
          </cell>
        </row>
        <row r="4231">
          <cell r="A4231" t="str">
            <v>TAINWALA CHEMICAL AND PLASTIC I LTD</v>
          </cell>
          <cell r="B4231">
            <v>507785</v>
          </cell>
          <cell r="C4231" t="str">
            <v>TAINWALCHM</v>
          </cell>
        </row>
        <row r="4232">
          <cell r="A4232" t="str">
            <v>TAJ GVK HOTELS &amp; RESORTS LTD</v>
          </cell>
          <cell r="B4232">
            <v>532390</v>
          </cell>
          <cell r="C4232" t="str">
            <v>TAJGVK</v>
          </cell>
        </row>
        <row r="4233">
          <cell r="A4233" t="str">
            <v>TAKE SOLUTIONS LTD</v>
          </cell>
          <cell r="B4233">
            <v>532890</v>
          </cell>
          <cell r="C4233" t="str">
            <v>TAKE</v>
          </cell>
        </row>
        <row r="4234">
          <cell r="A4234" t="str">
            <v>TALBROS AUTOMOTIVE COMPONENTS LTD</v>
          </cell>
          <cell r="B4234">
            <v>505160</v>
          </cell>
          <cell r="C4234" t="str">
            <v>TALBROAUTO</v>
          </cell>
        </row>
        <row r="4235">
          <cell r="A4235" t="str">
            <v>TALBROS ENGINEERING LTD</v>
          </cell>
          <cell r="B4235">
            <v>538987</v>
          </cell>
          <cell r="C4235" t="str">
            <v>Not Listed</v>
          </cell>
        </row>
        <row r="4236">
          <cell r="A4236" t="str">
            <v>TALWALKARS BETTER VALUE FITNESS LTD</v>
          </cell>
          <cell r="B4236">
            <v>533200</v>
          </cell>
          <cell r="C4236" t="str">
            <v>TALWALKARS</v>
          </cell>
        </row>
        <row r="4237">
          <cell r="A4237" t="str">
            <v>TALWALKARS LIFESTYLES LTD</v>
          </cell>
          <cell r="B4237">
            <v>541545</v>
          </cell>
          <cell r="C4237" t="str">
            <v>TALWGYM</v>
          </cell>
        </row>
        <row r="4238">
          <cell r="A4238" t="str">
            <v>TAMBOLI CAPITAL LTD</v>
          </cell>
          <cell r="B4238">
            <v>533170</v>
          </cell>
          <cell r="C4238" t="str">
            <v>Not Listed</v>
          </cell>
        </row>
        <row r="4239">
          <cell r="A4239" t="str">
            <v>TAMIL NADU NEWSPRINT &amp; PAPERS LTD</v>
          </cell>
          <cell r="B4239">
            <v>531426</v>
          </cell>
          <cell r="C4239" t="str">
            <v>TNPL</v>
          </cell>
        </row>
        <row r="4240">
          <cell r="A4240" t="str">
            <v>TAMILNADU JAIBHARAT MILLS LTD</v>
          </cell>
          <cell r="B4240">
            <v>521038</v>
          </cell>
          <cell r="C4240" t="str">
            <v>Not Listed</v>
          </cell>
        </row>
        <row r="4241">
          <cell r="A4241" t="str">
            <v>TAMILNADU PETROPRODUCTS LTD</v>
          </cell>
          <cell r="B4241">
            <v>500777</v>
          </cell>
          <cell r="C4241" t="str">
            <v>TNPETRO</v>
          </cell>
        </row>
        <row r="4242">
          <cell r="A4242" t="str">
            <v>TAMILNADU STEEL TUBES LTD</v>
          </cell>
          <cell r="B4242">
            <v>513540</v>
          </cell>
          <cell r="C4242" t="str">
            <v>Not Listed</v>
          </cell>
        </row>
        <row r="4243">
          <cell r="A4243" t="str">
            <v>TAMILNADU TELECOMMUNICATION LTD</v>
          </cell>
          <cell r="B4243">
            <v>523419</v>
          </cell>
          <cell r="C4243" t="str">
            <v>TNTELE</v>
          </cell>
        </row>
        <row r="4244">
          <cell r="A4244" t="str">
            <v>TANEJA AEROSPACE &amp; AVIATION LTD</v>
          </cell>
          <cell r="B4244">
            <v>522229</v>
          </cell>
          <cell r="C4244" t="str">
            <v>Not Listed</v>
          </cell>
        </row>
        <row r="4245">
          <cell r="A4245" t="str">
            <v>TANFAC INDUSTRIES LTD</v>
          </cell>
          <cell r="B4245">
            <v>506854</v>
          </cell>
          <cell r="C4245" t="str">
            <v>Not Listed</v>
          </cell>
        </row>
        <row r="4246">
          <cell r="A4246" t="str">
            <v>TANLA SOLUTIONS LTD</v>
          </cell>
          <cell r="B4246">
            <v>532790</v>
          </cell>
          <cell r="C4246" t="str">
            <v>TANLA</v>
          </cell>
        </row>
        <row r="4247">
          <cell r="A4247" t="str">
            <v>TANTIA CONSTRUCTIONS LTD</v>
          </cell>
          <cell r="B4247">
            <v>532738</v>
          </cell>
          <cell r="C4247" t="str">
            <v>TANTIACONS</v>
          </cell>
        </row>
        <row r="4248">
          <cell r="A4248" t="str">
            <v>TANVI FOODS (INDIA) LTD</v>
          </cell>
          <cell r="B4248">
            <v>540332</v>
          </cell>
          <cell r="C4248" t="str">
            <v>Not Listed</v>
          </cell>
        </row>
        <row r="4249">
          <cell r="A4249" t="str">
            <v>TANVI FOODS INDIA LTD</v>
          </cell>
          <cell r="B4249">
            <v>540332</v>
          </cell>
          <cell r="C4249" t="str">
            <v>Not Listed</v>
          </cell>
        </row>
        <row r="4250">
          <cell r="A4250" t="str">
            <v>TAPARIA TOOLS LTD</v>
          </cell>
          <cell r="B4250">
            <v>505685</v>
          </cell>
          <cell r="C4250" t="str">
            <v>Not Listed</v>
          </cell>
        </row>
        <row r="4251">
          <cell r="A4251" t="str">
            <v>TARA CHAND LOGISTIC SOLUTIONS LTD</v>
          </cell>
          <cell r="B4251" t="str">
            <v>Not Listed</v>
          </cell>
          <cell r="C4251" t="str">
            <v>TARACHAND</v>
          </cell>
        </row>
        <row r="4252">
          <cell r="A4252" t="str">
            <v>TARA JEWELS LTD</v>
          </cell>
          <cell r="B4252">
            <v>534756</v>
          </cell>
          <cell r="C4252" t="str">
            <v>TARAJEWELS</v>
          </cell>
        </row>
        <row r="4253">
          <cell r="A4253" t="str">
            <v>TARAI FOODS LTD</v>
          </cell>
          <cell r="B4253">
            <v>519285</v>
          </cell>
          <cell r="C4253" t="str">
            <v>Not Listed</v>
          </cell>
        </row>
        <row r="4254">
          <cell r="A4254" t="str">
            <v>TARAPUR TRANSFORMERS LTD</v>
          </cell>
          <cell r="B4254">
            <v>533203</v>
          </cell>
          <cell r="C4254" t="str">
            <v>TARAPUR</v>
          </cell>
        </row>
        <row r="4255">
          <cell r="A4255" t="str">
            <v>TARINI INTERNATIONAL LTD</v>
          </cell>
          <cell r="B4255">
            <v>538496</v>
          </cell>
          <cell r="C4255" t="str">
            <v>Not Listed</v>
          </cell>
        </row>
        <row r="4256">
          <cell r="A4256" t="str">
            <v>TARMAT LTD</v>
          </cell>
          <cell r="B4256">
            <v>532869</v>
          </cell>
          <cell r="C4256" t="str">
            <v>TARMAT</v>
          </cell>
        </row>
        <row r="4257">
          <cell r="A4257" t="str">
            <v>TASHI (INDIA) LTD</v>
          </cell>
          <cell r="B4257">
            <v>512271</v>
          </cell>
          <cell r="C4257" t="str">
            <v>Not Listed</v>
          </cell>
        </row>
        <row r="4258">
          <cell r="A4258" t="str">
            <v>TASHI INDIA LTD</v>
          </cell>
          <cell r="B4258">
            <v>512271</v>
          </cell>
          <cell r="C4258" t="str">
            <v>Not Listed</v>
          </cell>
        </row>
        <row r="4259">
          <cell r="A4259" t="str">
            <v>TASTY BITE EATABLES LTD</v>
          </cell>
          <cell r="B4259">
            <v>519091</v>
          </cell>
          <cell r="C4259" t="str">
            <v>TASTYBITE</v>
          </cell>
        </row>
        <row r="4260">
          <cell r="A4260" t="str">
            <v>TASTY DAIRY SPECIALITIES LTD</v>
          </cell>
          <cell r="B4260">
            <v>540955</v>
          </cell>
          <cell r="C4260" t="str">
            <v>Not Listed</v>
          </cell>
        </row>
        <row r="4261">
          <cell r="A4261" t="str">
            <v>TATA CHEMICALS LTD</v>
          </cell>
          <cell r="B4261">
            <v>500770</v>
          </cell>
          <cell r="C4261" t="str">
            <v>TATACHEM</v>
          </cell>
        </row>
        <row r="4262">
          <cell r="A4262" t="str">
            <v>TATA COFFEE LTD</v>
          </cell>
          <cell r="B4262">
            <v>532301</v>
          </cell>
          <cell r="C4262" t="str">
            <v>TATACOFFEE</v>
          </cell>
        </row>
        <row r="4263">
          <cell r="A4263" t="str">
            <v>TATA COMMUNICATIONS LTD</v>
          </cell>
          <cell r="B4263">
            <v>500483</v>
          </cell>
          <cell r="C4263" t="str">
            <v>TATACOMM</v>
          </cell>
        </row>
        <row r="4264">
          <cell r="A4264" t="str">
            <v>TATA CONSULTANCY SERVICES LTD</v>
          </cell>
          <cell r="B4264">
            <v>532540</v>
          </cell>
          <cell r="C4264" t="str">
            <v>TCS</v>
          </cell>
        </row>
        <row r="4265">
          <cell r="A4265" t="str">
            <v>TATA ELXSI LTD</v>
          </cell>
          <cell r="B4265">
            <v>500408</v>
          </cell>
          <cell r="C4265" t="str">
            <v>TATAELXSI</v>
          </cell>
        </row>
        <row r="4266">
          <cell r="A4266" t="str">
            <v>TATA GLOBAL BEVERAGES LTD</v>
          </cell>
          <cell r="B4266">
            <v>500800</v>
          </cell>
          <cell r="C4266" t="str">
            <v>TATAGLOBAL</v>
          </cell>
        </row>
        <row r="4267">
          <cell r="A4267" t="str">
            <v>TATA INVESTMENT CORPORATION LTD</v>
          </cell>
          <cell r="B4267">
            <v>501301</v>
          </cell>
          <cell r="C4267" t="str">
            <v>TATAINVEST</v>
          </cell>
        </row>
        <row r="4268">
          <cell r="A4268" t="str">
            <v>TATA METALIKS LTD</v>
          </cell>
          <cell r="B4268">
            <v>513434</v>
          </cell>
          <cell r="C4268" t="str">
            <v>TATAMETALI</v>
          </cell>
        </row>
        <row r="4269">
          <cell r="A4269" t="str">
            <v>TATA MOTORS LTD</v>
          </cell>
          <cell r="B4269">
            <v>500570</v>
          </cell>
          <cell r="C4269" t="str">
            <v>TATAMOTORS</v>
          </cell>
        </row>
        <row r="4270">
          <cell r="A4270" t="str">
            <v>TATA MOTORS LTD</v>
          </cell>
          <cell r="B4270">
            <v>570001</v>
          </cell>
          <cell r="C4270" t="str">
            <v>TATAMTRDVR</v>
          </cell>
        </row>
        <row r="4271">
          <cell r="A4271" t="str">
            <v>TATA POWER COMPANY LTD</v>
          </cell>
          <cell r="B4271">
            <v>500400</v>
          </cell>
          <cell r="C4271" t="str">
            <v>TATAPOWER</v>
          </cell>
        </row>
        <row r="4272">
          <cell r="A4272" t="str">
            <v>TATA SPONGE IRON LTD</v>
          </cell>
          <cell r="B4272">
            <v>513010</v>
          </cell>
          <cell r="C4272" t="str">
            <v>TATASPONGE</v>
          </cell>
        </row>
        <row r="4273">
          <cell r="A4273" t="str">
            <v>Tata Steel Bsl LTD</v>
          </cell>
          <cell r="B4273" t="str">
            <v>Not Listed</v>
          </cell>
          <cell r="C4273" t="str">
            <v>TATASTLBSL</v>
          </cell>
        </row>
        <row r="4274">
          <cell r="A4274" t="str">
            <v>TATA STEEL LTD</v>
          </cell>
          <cell r="B4274">
            <v>500470</v>
          </cell>
          <cell r="C4274" t="str">
            <v>TATASTEEL</v>
          </cell>
        </row>
        <row r="4275">
          <cell r="A4275" t="str">
            <v>TATA TELESERVICES MAHARASHTRA LTD</v>
          </cell>
          <cell r="B4275">
            <v>532371</v>
          </cell>
          <cell r="C4275" t="str">
            <v>TTML</v>
          </cell>
        </row>
        <row r="4276">
          <cell r="A4276" t="str">
            <v>TATIA GLOBAL VENNTURE LTD</v>
          </cell>
          <cell r="B4276">
            <v>521228</v>
          </cell>
          <cell r="C4276" t="str">
            <v>Not Listed</v>
          </cell>
        </row>
        <row r="4277">
          <cell r="A4277" t="str">
            <v>TAVERNIER RESOURCES LTD</v>
          </cell>
          <cell r="B4277">
            <v>531190</v>
          </cell>
          <cell r="C4277" t="str">
            <v>Not Listed</v>
          </cell>
        </row>
        <row r="4278">
          <cell r="A4278" t="str">
            <v>TAYLORMADE RENEWABLES LTD</v>
          </cell>
          <cell r="B4278">
            <v>541228</v>
          </cell>
          <cell r="C4278" t="str">
            <v>Not Listed</v>
          </cell>
        </row>
        <row r="4279">
          <cell r="A4279" t="str">
            <v>TAYO ROLLS LTD</v>
          </cell>
          <cell r="B4279">
            <v>504961</v>
          </cell>
          <cell r="C4279" t="str">
            <v>Not Listed</v>
          </cell>
        </row>
        <row r="4280">
          <cell r="A4280" t="str">
            <v>TCFC FINANCE LTD</v>
          </cell>
          <cell r="B4280">
            <v>532284</v>
          </cell>
          <cell r="C4280" t="str">
            <v>Not Listed</v>
          </cell>
        </row>
        <row r="4281">
          <cell r="A4281" t="str">
            <v>TCI DEVELOPERS LTD</v>
          </cell>
          <cell r="B4281">
            <v>533393</v>
          </cell>
          <cell r="C4281" t="str">
            <v>TCIDEVELOP</v>
          </cell>
        </row>
        <row r="4282">
          <cell r="A4282" t="str">
            <v>TCI EXPRESS LTD</v>
          </cell>
          <cell r="B4282">
            <v>540212</v>
          </cell>
          <cell r="C4282" t="str">
            <v>TCIEXP</v>
          </cell>
        </row>
        <row r="4283">
          <cell r="A4283" t="str">
            <v>TCI FINANCE LTD</v>
          </cell>
          <cell r="B4283">
            <v>501242</v>
          </cell>
          <cell r="C4283" t="str">
            <v>TCIFINANCE</v>
          </cell>
        </row>
        <row r="4284">
          <cell r="A4284" t="str">
            <v>TCI INDUSTRIES LTD</v>
          </cell>
          <cell r="B4284">
            <v>532262</v>
          </cell>
          <cell r="C4284" t="str">
            <v>Not Listed</v>
          </cell>
        </row>
        <row r="4285">
          <cell r="A4285" t="str">
            <v>TCM LTD</v>
          </cell>
          <cell r="B4285">
            <v>524156</v>
          </cell>
          <cell r="C4285" t="str">
            <v>Not Listed</v>
          </cell>
        </row>
        <row r="4286">
          <cell r="A4286" t="str">
            <v>TCNS CLOTHING CO LTD</v>
          </cell>
          <cell r="B4286">
            <v>541700</v>
          </cell>
          <cell r="C4286" t="str">
            <v>TCNSBRANDS</v>
          </cell>
        </row>
        <row r="4287">
          <cell r="A4287" t="str">
            <v>TCPL PACKAGING LTD</v>
          </cell>
          <cell r="B4287">
            <v>523301</v>
          </cell>
          <cell r="C4287" t="str">
            <v>TCPLPACK</v>
          </cell>
        </row>
        <row r="4288">
          <cell r="A4288" t="str">
            <v>TD POWER SYSTEMS LTD</v>
          </cell>
          <cell r="B4288" t="str">
            <v>Not Listed</v>
          </cell>
          <cell r="C4288" t="str">
            <v>TDPOWERSYS</v>
          </cell>
        </row>
        <row r="4289">
          <cell r="A4289" t="str">
            <v>TEA TIME LTD</v>
          </cell>
          <cell r="B4289">
            <v>512011</v>
          </cell>
          <cell r="C4289" t="str">
            <v>Not Listed</v>
          </cell>
        </row>
        <row r="4290">
          <cell r="A4290" t="str">
            <v>TEAMLEASE SERVICES LTD</v>
          </cell>
          <cell r="B4290">
            <v>539658</v>
          </cell>
          <cell r="C4290" t="str">
            <v>TEAMLEASE</v>
          </cell>
        </row>
        <row r="4291">
          <cell r="A4291" t="str">
            <v>TECH MAHINDRA LTD</v>
          </cell>
          <cell r="B4291">
            <v>532755</v>
          </cell>
          <cell r="C4291" t="str">
            <v>TECHM</v>
          </cell>
        </row>
        <row r="4292">
          <cell r="A4292" t="str">
            <v>TECHINDIA NIRMAN LTD</v>
          </cell>
          <cell r="B4292">
            <v>526576</v>
          </cell>
          <cell r="C4292" t="str">
            <v>TECHIN</v>
          </cell>
        </row>
        <row r="4293">
          <cell r="A4293" t="str">
            <v>TECHNO ELECTRIC &amp; ENGINEERING COMPANY LTD</v>
          </cell>
          <cell r="B4293">
            <v>542141</v>
          </cell>
          <cell r="C4293" t="str">
            <v>TECHNOE</v>
          </cell>
        </row>
        <row r="4294">
          <cell r="A4294" t="str">
            <v>TECHNOCRAFT INDUSTRIES (INDIA) LTD</v>
          </cell>
          <cell r="B4294">
            <v>532804</v>
          </cell>
          <cell r="C4294" t="str">
            <v>TIIL</v>
          </cell>
        </row>
        <row r="4295">
          <cell r="A4295" t="str">
            <v>TECHNOCRAFT INDUSTRIES INDIA LTD</v>
          </cell>
          <cell r="B4295">
            <v>532804</v>
          </cell>
          <cell r="C4295" t="str">
            <v>TIIL</v>
          </cell>
        </row>
        <row r="4296">
          <cell r="A4296" t="str">
            <v>TECHNOFAB ENGINEERING LTD</v>
          </cell>
          <cell r="B4296">
            <v>533216</v>
          </cell>
          <cell r="C4296" t="str">
            <v>TECHNOFAB</v>
          </cell>
        </row>
        <row r="4297">
          <cell r="A4297" t="str">
            <v>TECHNOJET CONSULTANTS LTD</v>
          </cell>
          <cell r="B4297">
            <v>509917</v>
          </cell>
          <cell r="C4297" t="str">
            <v>Not Listed</v>
          </cell>
        </row>
        <row r="4298">
          <cell r="A4298" t="str">
            <v>TECHNVISION VENTURES LTD</v>
          </cell>
          <cell r="B4298">
            <v>501421</v>
          </cell>
          <cell r="C4298" t="str">
            <v>Not Listed</v>
          </cell>
        </row>
        <row r="4299">
          <cell r="A4299" t="str">
            <v>TEESTA AGRO INDUSTRIES LTD</v>
          </cell>
          <cell r="B4299">
            <v>524204</v>
          </cell>
          <cell r="C4299" t="str">
            <v>Not Listed</v>
          </cell>
        </row>
        <row r="4300">
          <cell r="A4300" t="str">
            <v>TEJAS NETWORKS LTD</v>
          </cell>
          <cell r="B4300">
            <v>540595</v>
          </cell>
          <cell r="C4300" t="str">
            <v>TEJASNET</v>
          </cell>
        </row>
        <row r="4301">
          <cell r="A4301" t="str">
            <v>TEJNAKSH HEALTHCARE LTD</v>
          </cell>
          <cell r="B4301">
            <v>539428</v>
          </cell>
          <cell r="C4301" t="str">
            <v>Not Listed</v>
          </cell>
        </row>
        <row r="4302">
          <cell r="A4302" t="str">
            <v>TELECANOR GLOBAL LTD</v>
          </cell>
          <cell r="B4302">
            <v>530595</v>
          </cell>
          <cell r="C4302" t="str">
            <v>Not Listed</v>
          </cell>
        </row>
        <row r="4303">
          <cell r="A4303" t="str">
            <v>TERA SOFTWARE LTD</v>
          </cell>
          <cell r="B4303">
            <v>533982</v>
          </cell>
          <cell r="C4303" t="str">
            <v>TERASOFT</v>
          </cell>
        </row>
        <row r="4304">
          <cell r="A4304" t="str">
            <v>TERAI TEA CO LTD</v>
          </cell>
          <cell r="B4304">
            <v>530533</v>
          </cell>
          <cell r="C4304" t="str">
            <v>Not Listed</v>
          </cell>
        </row>
        <row r="4305">
          <cell r="A4305" t="str">
            <v>TERRAFORM MAGNUM LTD</v>
          </cell>
          <cell r="B4305">
            <v>506162</v>
          </cell>
          <cell r="C4305" t="str">
            <v>Not Listed</v>
          </cell>
        </row>
        <row r="4306">
          <cell r="A4306" t="str">
            <v>TERRAFORM REALSTATE LTD</v>
          </cell>
          <cell r="B4306">
            <v>512157</v>
          </cell>
          <cell r="C4306" t="str">
            <v>Not Listed</v>
          </cell>
        </row>
        <row r="4307">
          <cell r="A4307" t="str">
            <v>TEXMACO INFRASTRUCTURE &amp; HOLDINGS LTD</v>
          </cell>
          <cell r="B4307">
            <v>505400</v>
          </cell>
          <cell r="C4307" t="str">
            <v>TEXINFRA</v>
          </cell>
        </row>
        <row r="4308">
          <cell r="A4308" t="str">
            <v>TEXMACO RAIL &amp; ENGINEERING LTD</v>
          </cell>
          <cell r="B4308">
            <v>533326</v>
          </cell>
          <cell r="C4308" t="str">
            <v>TEXRAIL</v>
          </cell>
        </row>
        <row r="4309">
          <cell r="A4309" t="str">
            <v>TEXMO PIPES AND PRODUCTS LTD</v>
          </cell>
          <cell r="B4309">
            <v>533164</v>
          </cell>
          <cell r="C4309" t="str">
            <v>TEXMOPIPES</v>
          </cell>
        </row>
        <row r="4310">
          <cell r="A4310" t="str">
            <v>TGB BANQUETS AND HOTELS LTD</v>
          </cell>
          <cell r="B4310">
            <v>532845</v>
          </cell>
          <cell r="C4310" t="str">
            <v>TGBHOTELS</v>
          </cell>
        </row>
        <row r="4311">
          <cell r="A4311" t="str">
            <v>TGV SRAAC LTD</v>
          </cell>
          <cell r="B4311">
            <v>507753</v>
          </cell>
          <cell r="C4311" t="str">
            <v>Not Listed</v>
          </cell>
        </row>
        <row r="4312">
          <cell r="A4312" t="str">
            <v>THACKER &amp; CO LTD</v>
          </cell>
          <cell r="B4312">
            <v>509945</v>
          </cell>
          <cell r="C4312" t="str">
            <v>Not Listed</v>
          </cell>
        </row>
        <row r="4313">
          <cell r="A4313" t="str">
            <v>THAKKERS DEVELOPERS LTD</v>
          </cell>
          <cell r="B4313">
            <v>526654</v>
          </cell>
          <cell r="C4313" t="str">
            <v>Not Listed</v>
          </cell>
        </row>
        <row r="4314">
          <cell r="A4314" t="str">
            <v>THAKRAL SERVICES (INDIA) LTD</v>
          </cell>
          <cell r="B4314">
            <v>509015</v>
          </cell>
          <cell r="C4314" t="str">
            <v>Not Listed</v>
          </cell>
        </row>
        <row r="4315">
          <cell r="A4315" t="str">
            <v>THAKRAL SERVICES INDIA LTD</v>
          </cell>
          <cell r="B4315">
            <v>509015</v>
          </cell>
          <cell r="C4315" t="str">
            <v>Not Listed</v>
          </cell>
        </row>
        <row r="4316">
          <cell r="A4316" t="str">
            <v>THAMBBI MODERN SPINNING MILLS LTD</v>
          </cell>
          <cell r="B4316">
            <v>514484</v>
          </cell>
          <cell r="C4316" t="str">
            <v>Not Listed</v>
          </cell>
        </row>
        <row r="4317">
          <cell r="A4317" t="str">
            <v>THANGAMAYIL JEWELLERY LTD</v>
          </cell>
          <cell r="B4317">
            <v>533158</v>
          </cell>
          <cell r="C4317" t="str">
            <v>THANGAMAYL</v>
          </cell>
        </row>
        <row r="4318">
          <cell r="A4318" t="str">
            <v>THE ANDHRA SUGARS LTD</v>
          </cell>
          <cell r="B4318">
            <v>590062</v>
          </cell>
          <cell r="C4318" t="str">
            <v>ANDHRSUGAR</v>
          </cell>
        </row>
        <row r="4319">
          <cell r="A4319" t="str">
            <v>The Anup Engineering Ltd</v>
          </cell>
          <cell r="B4319">
            <v>542460</v>
          </cell>
          <cell r="C4319" t="str">
            <v>ANUP</v>
          </cell>
        </row>
        <row r="4320">
          <cell r="A4320" t="str">
            <v>THE BYKE HOSPITALITY LTD</v>
          </cell>
          <cell r="B4320">
            <v>531373</v>
          </cell>
          <cell r="C4320" t="str">
            <v>BYKE</v>
          </cell>
        </row>
        <row r="4321">
          <cell r="A4321" t="str">
            <v>THE FEDERAL BANK LTD</v>
          </cell>
          <cell r="B4321">
            <v>500469</v>
          </cell>
          <cell r="C4321" t="str">
            <v>FEDERALBNK</v>
          </cell>
        </row>
        <row r="4322">
          <cell r="A4322" t="str">
            <v>THE GREAT EASTERN SHIPPING COMPANY LTD</v>
          </cell>
          <cell r="B4322">
            <v>500620</v>
          </cell>
          <cell r="C4322" t="str">
            <v>GESHIP</v>
          </cell>
        </row>
        <row r="4323">
          <cell r="A4323" t="str">
            <v>THE GROB TEA COMPANY LTD</v>
          </cell>
          <cell r="B4323" t="str">
            <v>Not Listed</v>
          </cell>
          <cell r="C4323" t="str">
            <v>GROBTEA</v>
          </cell>
        </row>
        <row r="4324">
          <cell r="A4324" t="str">
            <v>THE HI-TECH GEARS LTD</v>
          </cell>
          <cell r="B4324">
            <v>522073</v>
          </cell>
          <cell r="C4324" t="str">
            <v>HITECHGEAR</v>
          </cell>
        </row>
        <row r="4325">
          <cell r="A4325" t="str">
            <v>THE INDIA CEMENTS LTD</v>
          </cell>
          <cell r="B4325">
            <v>530005</v>
          </cell>
          <cell r="C4325" t="str">
            <v>INDIACEM</v>
          </cell>
        </row>
        <row r="4326">
          <cell r="A4326" t="str">
            <v>THE INDIAN HOTELS COMPANY LTD</v>
          </cell>
          <cell r="B4326">
            <v>500850</v>
          </cell>
          <cell r="C4326" t="str">
            <v>INDHOTEL</v>
          </cell>
        </row>
        <row r="4327">
          <cell r="A4327" t="str">
            <v>THE INDIAN WOOD PRODUCTS COMPANY LTD</v>
          </cell>
          <cell r="B4327">
            <v>540954</v>
          </cell>
          <cell r="C4327" t="str">
            <v>Not Listed</v>
          </cell>
        </row>
        <row r="4328">
          <cell r="A4328" t="str">
            <v>THE INVESTMENT TRUST OF (INDIA) LTD</v>
          </cell>
          <cell r="B4328">
            <v>530023</v>
          </cell>
          <cell r="C4328" t="str">
            <v>THEINVEST</v>
          </cell>
        </row>
        <row r="4329">
          <cell r="A4329" t="str">
            <v>THE INVESTMENT TRUST OF INDIA LTD</v>
          </cell>
          <cell r="B4329">
            <v>530023</v>
          </cell>
          <cell r="C4329" t="str">
            <v>THEINVEST</v>
          </cell>
        </row>
        <row r="4330">
          <cell r="A4330" t="str">
            <v>THE JAMMU &amp; KASHMIR BANK LTD</v>
          </cell>
          <cell r="B4330">
            <v>532209</v>
          </cell>
          <cell r="C4330" t="str">
            <v>J&amp;KBANK</v>
          </cell>
        </row>
        <row r="4331">
          <cell r="A4331" t="str">
            <v>THE KARNATAKA BANK LTD</v>
          </cell>
          <cell r="B4331">
            <v>532652</v>
          </cell>
          <cell r="C4331" t="str">
            <v>KTKBANK</v>
          </cell>
        </row>
        <row r="4332">
          <cell r="A4332" t="str">
            <v>THE MANDHANA RETAIL VENTURES LTD</v>
          </cell>
          <cell r="B4332">
            <v>540210</v>
          </cell>
          <cell r="C4332" t="str">
            <v>TMRVL</v>
          </cell>
        </row>
        <row r="4333">
          <cell r="A4333" t="str">
            <v>THE MOTOR &amp; GENERAL FINANCE LTD</v>
          </cell>
          <cell r="B4333">
            <v>501343</v>
          </cell>
          <cell r="C4333" t="str">
            <v>MOTOGENFIN</v>
          </cell>
        </row>
        <row r="4334">
          <cell r="A4334" t="str">
            <v>THE NEW INDIA ASSURANCE COMPANY LTD</v>
          </cell>
          <cell r="B4334">
            <v>540769</v>
          </cell>
          <cell r="C4334" t="str">
            <v>NIACL</v>
          </cell>
        </row>
        <row r="4335">
          <cell r="A4335" t="str">
            <v>THE ORISSA MINERALS DEVELOPMENT COMPANY LTD</v>
          </cell>
          <cell r="B4335">
            <v>590086</v>
          </cell>
          <cell r="C4335" t="str">
            <v>ORISSAMINE</v>
          </cell>
        </row>
        <row r="4336">
          <cell r="A4336" t="str">
            <v>THE PERIA KARAMALAI TEA &amp; PRODUCE COMPANY LTD</v>
          </cell>
          <cell r="B4336" t="str">
            <v>Not Listed</v>
          </cell>
          <cell r="C4336" t="str">
            <v>PKTEA</v>
          </cell>
        </row>
        <row r="4337">
          <cell r="A4337" t="str">
            <v>THE PHOENIX MILLS LTD</v>
          </cell>
          <cell r="B4337">
            <v>503100</v>
          </cell>
          <cell r="C4337" t="str">
            <v>PHOENIXLTD</v>
          </cell>
        </row>
        <row r="4338">
          <cell r="A4338" t="str">
            <v>THE PHOSPHATE COMPANY LTD</v>
          </cell>
          <cell r="B4338">
            <v>542123</v>
          </cell>
          <cell r="C4338" t="str">
            <v>Not Listed</v>
          </cell>
        </row>
        <row r="4339">
          <cell r="A4339" t="str">
            <v>THE RAMCO CEMENTS LTD</v>
          </cell>
          <cell r="B4339">
            <v>500260</v>
          </cell>
          <cell r="C4339" t="str">
            <v>RAMCOCEM</v>
          </cell>
        </row>
        <row r="4340">
          <cell r="A4340" t="str">
            <v>THE RUBY MILLS LTD</v>
          </cell>
          <cell r="B4340">
            <v>503169</v>
          </cell>
          <cell r="C4340" t="str">
            <v>RUBYMILLS</v>
          </cell>
        </row>
        <row r="4341">
          <cell r="A4341" t="str">
            <v>THE SANDESH LTD</v>
          </cell>
          <cell r="B4341">
            <v>526725</v>
          </cell>
          <cell r="C4341" t="str">
            <v>SANDESH</v>
          </cell>
        </row>
        <row r="4342">
          <cell r="A4342" t="str">
            <v>THE SOUTH INDIAN BANK LTD</v>
          </cell>
          <cell r="B4342">
            <v>532218</v>
          </cell>
          <cell r="C4342" t="str">
            <v>SOUTHBANK</v>
          </cell>
        </row>
        <row r="4343">
          <cell r="A4343" t="str">
            <v>THE STATE TRADING CORPORATION OF (INDIA) LTD</v>
          </cell>
          <cell r="B4343">
            <v>512531</v>
          </cell>
          <cell r="C4343" t="str">
            <v>STC(INDIA)</v>
          </cell>
        </row>
        <row r="4344">
          <cell r="A4344" t="str">
            <v>THE STATE TRADING CORPORATION OF INDIA LTD</v>
          </cell>
          <cell r="B4344">
            <v>512531</v>
          </cell>
          <cell r="C4344" t="str">
            <v>STCINDIA</v>
          </cell>
        </row>
        <row r="4345">
          <cell r="A4345" t="str">
            <v>THE TINPLATE COMPANY OF (INDIA) LTD</v>
          </cell>
          <cell r="B4345">
            <v>504966</v>
          </cell>
          <cell r="C4345" t="str">
            <v>TINPLATE</v>
          </cell>
        </row>
        <row r="4346">
          <cell r="A4346" t="str">
            <v>THE TINPLATE COMPANY OF INDIA LTD</v>
          </cell>
          <cell r="B4346">
            <v>504966</v>
          </cell>
          <cell r="C4346" t="str">
            <v>TINPLATE</v>
          </cell>
        </row>
        <row r="4347">
          <cell r="A4347" t="str">
            <v>THE UGAR SUGAR WORKS LTD</v>
          </cell>
          <cell r="B4347">
            <v>530363</v>
          </cell>
          <cell r="C4347" t="str">
            <v>UGARSUGAR</v>
          </cell>
        </row>
        <row r="4348">
          <cell r="A4348" t="str">
            <v>THE UNITED NILGIRI TEA ESTATES COMPANY LTD</v>
          </cell>
          <cell r="B4348" t="str">
            <v>Not Listed</v>
          </cell>
          <cell r="C4348" t="str">
            <v>UNITEDTEA</v>
          </cell>
        </row>
        <row r="4349">
          <cell r="A4349" t="str">
            <v>THE WESTERN INDIA PLYWOODS LTD</v>
          </cell>
          <cell r="B4349" t="str">
            <v>Not Listed</v>
          </cell>
          <cell r="C4349" t="str">
            <v>WIPL</v>
          </cell>
        </row>
        <row r="4350">
          <cell r="A4350" t="str">
            <v>THE YAMUNA SYNDICATE LTD</v>
          </cell>
          <cell r="B4350">
            <v>540980</v>
          </cell>
          <cell r="C4350" t="str">
            <v>Not Listed</v>
          </cell>
        </row>
        <row r="4351">
          <cell r="A4351" t="str">
            <v>THEJO ENGINEERING LTD</v>
          </cell>
          <cell r="B4351" t="str">
            <v>Not Listed</v>
          </cell>
          <cell r="C4351" t="str">
            <v>THEJO</v>
          </cell>
        </row>
        <row r="4352">
          <cell r="A4352" t="str">
            <v>THEMIS MEDICARE LTD</v>
          </cell>
          <cell r="B4352">
            <v>530199</v>
          </cell>
          <cell r="C4352" t="str">
            <v>THEMISMED</v>
          </cell>
        </row>
        <row r="4353">
          <cell r="A4353" t="str">
            <v>THERMAX LTD</v>
          </cell>
          <cell r="B4353">
            <v>500411</v>
          </cell>
          <cell r="C4353" t="str">
            <v>THERMAX</v>
          </cell>
        </row>
        <row r="4354">
          <cell r="A4354" t="str">
            <v>THINK INK STUDIO LTD</v>
          </cell>
          <cell r="B4354">
            <v>539310</v>
          </cell>
          <cell r="C4354" t="str">
            <v>Not Listed</v>
          </cell>
        </row>
        <row r="4355">
          <cell r="A4355" t="str">
            <v>THIRANI PROJECTS LTD</v>
          </cell>
          <cell r="B4355">
            <v>538464</v>
          </cell>
          <cell r="C4355" t="str">
            <v>Not Listed</v>
          </cell>
        </row>
        <row r="4356">
          <cell r="A4356" t="str">
            <v>THIRDWAVE FINANCIAL INTERMEDIARIES LTD</v>
          </cell>
          <cell r="B4356">
            <v>531652</v>
          </cell>
          <cell r="C4356" t="str">
            <v>Not Listed</v>
          </cell>
        </row>
        <row r="4357">
          <cell r="A4357" t="str">
            <v>THIRU AROORAN SUGARS LTD</v>
          </cell>
          <cell r="B4357">
            <v>507450</v>
          </cell>
          <cell r="C4357" t="str">
            <v>THIRUSUGAR</v>
          </cell>
        </row>
        <row r="4358">
          <cell r="A4358" t="str">
            <v>THIRUMALAI CHEMICALS LTD</v>
          </cell>
          <cell r="B4358">
            <v>500412</v>
          </cell>
          <cell r="C4358" t="str">
            <v>TIRUMALCHM</v>
          </cell>
        </row>
        <row r="4359">
          <cell r="A4359" t="str">
            <v>THOMAS COOK (INDIA) LTD</v>
          </cell>
          <cell r="B4359">
            <v>500413</v>
          </cell>
          <cell r="C4359" t="str">
            <v>THOMASCOOK</v>
          </cell>
        </row>
        <row r="4360">
          <cell r="A4360" t="str">
            <v>THOMAS COOK INDIA LTD</v>
          </cell>
          <cell r="B4360">
            <v>500413</v>
          </cell>
          <cell r="C4360" t="str">
            <v>THOMASCOOK</v>
          </cell>
        </row>
        <row r="4361">
          <cell r="A4361" t="str">
            <v>THOMAS SCOTT (INDIA) LTD</v>
          </cell>
          <cell r="B4361">
            <v>533941</v>
          </cell>
          <cell r="C4361" t="str">
            <v>THOMASCOTT</v>
          </cell>
        </row>
        <row r="4362">
          <cell r="A4362" t="str">
            <v>THOMAS SCOTT INDIA LTD</v>
          </cell>
          <cell r="B4362">
            <v>533941</v>
          </cell>
          <cell r="C4362" t="str">
            <v>THOMASCOTT</v>
          </cell>
        </row>
        <row r="4363">
          <cell r="A4363" t="str">
            <v>THYROCARE TECHNOLOGIES LTD</v>
          </cell>
          <cell r="B4363">
            <v>539871</v>
          </cell>
          <cell r="C4363" t="str">
            <v>THYROCARE</v>
          </cell>
        </row>
        <row r="4364">
          <cell r="A4364" t="str">
            <v>TI FINANCIAL HOLDINGS LTD</v>
          </cell>
          <cell r="B4364">
            <v>504973</v>
          </cell>
          <cell r="C4364" t="str">
            <v>TIFIN</v>
          </cell>
        </row>
        <row r="4365">
          <cell r="A4365" t="str">
            <v>TIAAN AYURVEDIC &amp; HERBS LTD</v>
          </cell>
          <cell r="B4365">
            <v>540108</v>
          </cell>
          <cell r="C4365" t="str">
            <v>Not Listed</v>
          </cell>
        </row>
        <row r="4366">
          <cell r="A4366" t="str">
            <v>TIDE WATER OIL COMPANY (INDIA) LTD</v>
          </cell>
          <cell r="B4366">
            <v>590005</v>
          </cell>
          <cell r="C4366" t="str">
            <v>TIDEWATER</v>
          </cell>
        </row>
        <row r="4367">
          <cell r="A4367" t="str">
            <v>TIDE WATER OIL COMPANY INDIA LTD</v>
          </cell>
          <cell r="B4367">
            <v>590005</v>
          </cell>
          <cell r="C4367" t="str">
            <v>TIDEWATER</v>
          </cell>
        </row>
        <row r="4368">
          <cell r="A4368" t="str">
            <v>TIGER LOGISTICS (INDIA) LTD</v>
          </cell>
          <cell r="B4368">
            <v>536264</v>
          </cell>
          <cell r="C4368" t="str">
            <v>Not Listed</v>
          </cell>
        </row>
        <row r="4369">
          <cell r="A4369" t="str">
            <v>TIGER LOGISTICS INDIA LTD</v>
          </cell>
          <cell r="B4369">
            <v>536264</v>
          </cell>
          <cell r="C4369" t="str">
            <v>Not Listed</v>
          </cell>
        </row>
        <row r="4370">
          <cell r="A4370" t="str">
            <v>TIJARIA POLYPIPES LTD</v>
          </cell>
          <cell r="B4370">
            <v>533629</v>
          </cell>
          <cell r="C4370" t="str">
            <v>TIJARIA</v>
          </cell>
        </row>
        <row r="4371">
          <cell r="A4371" t="str">
            <v>TIL LTD</v>
          </cell>
          <cell r="B4371">
            <v>505196</v>
          </cell>
          <cell r="C4371" t="str">
            <v>TIL</v>
          </cell>
        </row>
        <row r="4372">
          <cell r="A4372" t="str">
            <v>Tilak Ventures Ltd</v>
          </cell>
          <cell r="B4372">
            <v>503663</v>
          </cell>
          <cell r="C4372" t="str">
            <v>TILAK</v>
          </cell>
        </row>
        <row r="4373">
          <cell r="A4373" t="str">
            <v>TILAKNAGAR INDUSTRIES LTD</v>
          </cell>
          <cell r="B4373">
            <v>507205</v>
          </cell>
          <cell r="C4373" t="str">
            <v>TI</v>
          </cell>
        </row>
        <row r="4374">
          <cell r="A4374" t="str">
            <v>TIME TECHNOPLAST LTD</v>
          </cell>
          <cell r="B4374">
            <v>532856</v>
          </cell>
          <cell r="C4374" t="str">
            <v>TIMETECHNO</v>
          </cell>
        </row>
        <row r="4375">
          <cell r="A4375" t="str">
            <v>TIMES GUARANTY LTD</v>
          </cell>
          <cell r="B4375">
            <v>511559</v>
          </cell>
          <cell r="C4375" t="str">
            <v>TIMESGTY</v>
          </cell>
        </row>
        <row r="4376">
          <cell r="A4376" t="str">
            <v>TIMEX GROUP (INDIA) LTD</v>
          </cell>
          <cell r="B4376">
            <v>500414</v>
          </cell>
          <cell r="C4376" t="str">
            <v>Not Listed</v>
          </cell>
        </row>
        <row r="4377">
          <cell r="A4377" t="str">
            <v>TIMEX GROUP INDIA LTD</v>
          </cell>
          <cell r="B4377">
            <v>500414</v>
          </cell>
          <cell r="C4377" t="str">
            <v>Not Listed</v>
          </cell>
        </row>
        <row r="4378">
          <cell r="A4378" t="str">
            <v>TIMKEN (INDIA) LTD</v>
          </cell>
          <cell r="B4378">
            <v>522113</v>
          </cell>
          <cell r="C4378" t="str">
            <v>TIMKEN</v>
          </cell>
        </row>
        <row r="4379">
          <cell r="A4379" t="str">
            <v>TIMKEN INDIA LTD</v>
          </cell>
          <cell r="B4379">
            <v>522113</v>
          </cell>
          <cell r="C4379" t="str">
            <v>TIMKEN</v>
          </cell>
        </row>
        <row r="4380">
          <cell r="A4380" t="str">
            <v>TINNA RUBBER AND INFRASTRUCTURE LTD</v>
          </cell>
          <cell r="B4380">
            <v>530475</v>
          </cell>
          <cell r="C4380" t="str">
            <v>Not Listed</v>
          </cell>
        </row>
        <row r="4381">
          <cell r="A4381" t="str">
            <v>TINNA TRADE LTD</v>
          </cell>
          <cell r="B4381">
            <v>541741</v>
          </cell>
          <cell r="C4381" t="str">
            <v>Not Listed</v>
          </cell>
        </row>
        <row r="4382">
          <cell r="A4382" t="str">
            <v>TIPS INDUSTRIES LTD</v>
          </cell>
          <cell r="B4382">
            <v>532375</v>
          </cell>
          <cell r="C4382" t="str">
            <v>TIPSINDLTD</v>
          </cell>
        </row>
        <row r="4383">
          <cell r="A4383" t="str">
            <v>TIRUPATI FINLEASE LTD</v>
          </cell>
          <cell r="B4383">
            <v>539488</v>
          </cell>
          <cell r="C4383" t="str">
            <v>Not Listed</v>
          </cell>
        </row>
        <row r="4384">
          <cell r="A4384" t="str">
            <v>TIRUPATI FOAM LTD</v>
          </cell>
          <cell r="B4384">
            <v>540904</v>
          </cell>
          <cell r="C4384" t="str">
            <v>Not Listed</v>
          </cell>
        </row>
        <row r="4385">
          <cell r="A4385" t="str">
            <v>TIRUPATI FORGE LTD</v>
          </cell>
          <cell r="B4385" t="str">
            <v>Not Listed</v>
          </cell>
          <cell r="C4385" t="str">
            <v>TIRUPATIFL</v>
          </cell>
        </row>
        <row r="4386">
          <cell r="A4386" t="str">
            <v>TIRUPATI INDUSTRIES (INDIA) LTD</v>
          </cell>
          <cell r="B4386">
            <v>531547</v>
          </cell>
          <cell r="C4386" t="str">
            <v>Not Listed</v>
          </cell>
        </row>
        <row r="4387">
          <cell r="A4387" t="str">
            <v>TIRUPATI INDUSTRIES INDIA LTD</v>
          </cell>
          <cell r="B4387">
            <v>531547</v>
          </cell>
          <cell r="C4387" t="str">
            <v>Not Listed</v>
          </cell>
        </row>
        <row r="4388">
          <cell r="A4388" t="str">
            <v>TIRUPATI SARJAN LTD</v>
          </cell>
          <cell r="B4388">
            <v>531814</v>
          </cell>
          <cell r="C4388" t="str">
            <v>Not Listed</v>
          </cell>
        </row>
        <row r="4389">
          <cell r="A4389" t="str">
            <v>TIRUPATI STARCH &amp; CHEMICALS LTD</v>
          </cell>
          <cell r="B4389">
            <v>524582</v>
          </cell>
          <cell r="C4389" t="str">
            <v>Not Listed</v>
          </cell>
        </row>
        <row r="4390">
          <cell r="A4390" t="str">
            <v>TIRUPATI TYRES LTD</v>
          </cell>
          <cell r="B4390">
            <v>539040</v>
          </cell>
          <cell r="C4390" t="str">
            <v>Not Listed</v>
          </cell>
        </row>
        <row r="4391">
          <cell r="A4391" t="str">
            <v>TITAANIUM TEN ENTERPRISE LTD</v>
          </cell>
          <cell r="B4391">
            <v>539985</v>
          </cell>
          <cell r="C4391" t="str">
            <v>Not Listed</v>
          </cell>
        </row>
        <row r="4392">
          <cell r="A4392" t="str">
            <v>TITAGARH WAGONS LTD</v>
          </cell>
          <cell r="B4392">
            <v>532966</v>
          </cell>
          <cell r="C4392" t="str">
            <v>TWL</v>
          </cell>
        </row>
        <row r="4393">
          <cell r="A4393" t="str">
            <v>TITAN BIOTECH LTD</v>
          </cell>
          <cell r="B4393">
            <v>524717</v>
          </cell>
          <cell r="C4393" t="str">
            <v>Not Listed</v>
          </cell>
        </row>
        <row r="4394">
          <cell r="A4394" t="str">
            <v>TITAN COMPANY LTD</v>
          </cell>
          <cell r="B4394">
            <v>500114</v>
          </cell>
          <cell r="C4394" t="str">
            <v>TITAN</v>
          </cell>
        </row>
        <row r="4395">
          <cell r="A4395" t="str">
            <v>TITAN SECURITIES LTD</v>
          </cell>
          <cell r="B4395">
            <v>530045</v>
          </cell>
          <cell r="C4395" t="str">
            <v>Not Listed</v>
          </cell>
        </row>
        <row r="4396">
          <cell r="A4396" t="str">
            <v>TIVOLI CONSTRUCTION LTD</v>
          </cell>
          <cell r="B4396">
            <v>511096</v>
          </cell>
          <cell r="C4396" t="str">
            <v>Not Listed</v>
          </cell>
        </row>
        <row r="4397">
          <cell r="A4397" t="str">
            <v>TODAYS WRITING INSTRUMENTS LTD</v>
          </cell>
          <cell r="B4397">
            <v>531830</v>
          </cell>
          <cell r="C4397" t="str">
            <v>TODAYS</v>
          </cell>
        </row>
        <row r="4398">
          <cell r="A4398" t="str">
            <v>TOKYO FINANCE LTD</v>
          </cell>
          <cell r="B4398">
            <v>531644</v>
          </cell>
          <cell r="C4398" t="str">
            <v>Not Listed</v>
          </cell>
        </row>
        <row r="4399">
          <cell r="A4399" t="str">
            <v>TOKYO PLAST INTERNATIONAL LTD</v>
          </cell>
          <cell r="B4399">
            <v>500418</v>
          </cell>
          <cell r="C4399" t="str">
            <v>TOKYOPLAST</v>
          </cell>
        </row>
        <row r="4400">
          <cell r="A4400" t="str">
            <v>TORRENT PHARMACEUTICALS LTD</v>
          </cell>
          <cell r="B4400">
            <v>500420</v>
          </cell>
          <cell r="C4400" t="str">
            <v>TORNTPHARM</v>
          </cell>
        </row>
        <row r="4401">
          <cell r="A4401" t="str">
            <v>TORRENT POWER LTD</v>
          </cell>
          <cell r="B4401">
            <v>532779</v>
          </cell>
          <cell r="C4401" t="str">
            <v>TORNTPOWER</v>
          </cell>
        </row>
        <row r="4402">
          <cell r="A4402" t="str">
            <v>TOTAL EXPORTS LTD</v>
          </cell>
          <cell r="B4402">
            <v>523878</v>
          </cell>
          <cell r="C4402" t="str">
            <v>Not Listed</v>
          </cell>
        </row>
        <row r="4403">
          <cell r="A4403" t="str">
            <v>TOTAL TRANSPORT SYSTEMS LTD</v>
          </cell>
          <cell r="B4403" t="str">
            <v>Not Listed</v>
          </cell>
          <cell r="C4403" t="str">
            <v>TOTAL</v>
          </cell>
        </row>
        <row r="4404">
          <cell r="A4404" t="str">
            <v>TOUCHWOOD ENTERTAINMENT LTD</v>
          </cell>
          <cell r="B4404" t="str">
            <v>Not Listed</v>
          </cell>
          <cell r="C4404" t="str">
            <v>TOUCHWOOD</v>
          </cell>
        </row>
        <row r="4405">
          <cell r="A4405" t="str">
            <v>TOURISM FINANCE CORPORATION OF (INDIA) LTD</v>
          </cell>
          <cell r="B4405">
            <v>526650</v>
          </cell>
          <cell r="C4405" t="str">
            <v>TFCILTD</v>
          </cell>
        </row>
        <row r="4406">
          <cell r="A4406" t="str">
            <v>TOURISM FINANCE CORPORATION OF INDIA LTD</v>
          </cell>
          <cell r="B4406">
            <v>526650</v>
          </cell>
          <cell r="C4406" t="str">
            <v>TFCILTD</v>
          </cell>
        </row>
        <row r="4407">
          <cell r="A4407" t="str">
            <v>TOWA SOKKI LTD</v>
          </cell>
          <cell r="B4407">
            <v>531771</v>
          </cell>
          <cell r="C4407" t="str">
            <v>Not Listed</v>
          </cell>
        </row>
        <row r="4408">
          <cell r="A4408" t="str">
            <v>TOYAM INDUSTRIES LTD</v>
          </cell>
          <cell r="B4408">
            <v>538607</v>
          </cell>
          <cell r="C4408" t="str">
            <v>Not Listed</v>
          </cell>
        </row>
        <row r="4409">
          <cell r="A4409" t="str">
            <v>TPI (INDIA) LTD</v>
          </cell>
          <cell r="B4409">
            <v>500421</v>
          </cell>
          <cell r="C4409" t="str">
            <v>Not Listed</v>
          </cell>
        </row>
        <row r="4410">
          <cell r="A4410" t="str">
            <v>TPI INDIA LTD</v>
          </cell>
          <cell r="B4410">
            <v>500421</v>
          </cell>
          <cell r="C4410" t="str">
            <v>Not Listed</v>
          </cell>
        </row>
        <row r="4411">
          <cell r="A4411" t="str">
            <v>TPL PLASTECH LTD</v>
          </cell>
          <cell r="B4411">
            <v>526582</v>
          </cell>
          <cell r="C4411" t="str">
            <v>TPLPLASTEH</v>
          </cell>
        </row>
        <row r="4412">
          <cell r="A4412" t="str">
            <v>TRADE WINGS LTD</v>
          </cell>
          <cell r="B4412">
            <v>509953</v>
          </cell>
          <cell r="C4412" t="str">
            <v>Not Listed</v>
          </cell>
        </row>
        <row r="4413">
          <cell r="A4413" t="str">
            <v>TRANS ASIA CORPORATION LTD</v>
          </cell>
          <cell r="B4413">
            <v>530783</v>
          </cell>
          <cell r="C4413" t="str">
            <v>Not Listed</v>
          </cell>
        </row>
        <row r="4414">
          <cell r="A4414" t="str">
            <v>TRANS FINANCIAL RESOURCES LTD.</v>
          </cell>
          <cell r="B4414">
            <v>526961</v>
          </cell>
          <cell r="C4414" t="str">
            <v>TRANSFIN</v>
          </cell>
        </row>
        <row r="4415">
          <cell r="A4415" t="str">
            <v>TRANSCHEM LTD</v>
          </cell>
          <cell r="B4415">
            <v>500422</v>
          </cell>
          <cell r="C4415" t="str">
            <v>Not Listed</v>
          </cell>
        </row>
        <row r="4416">
          <cell r="A4416" t="str">
            <v>TRANSCORP INTERNATIONAL LTD</v>
          </cell>
          <cell r="B4416">
            <v>532410</v>
          </cell>
          <cell r="C4416" t="str">
            <v>Not Listed</v>
          </cell>
        </row>
        <row r="4417">
          <cell r="A4417" t="str">
            <v>TRANSFORMERS AND RECTIFIERS (INDIA) LTD</v>
          </cell>
          <cell r="B4417">
            <v>532928</v>
          </cell>
          <cell r="C4417" t="str">
            <v>TRIL</v>
          </cell>
        </row>
        <row r="4418">
          <cell r="A4418" t="str">
            <v>TRANSFORMERS AND RECTIFIERS INDIA LTD</v>
          </cell>
          <cell r="B4418">
            <v>532928</v>
          </cell>
          <cell r="C4418" t="str">
            <v>TRIL</v>
          </cell>
        </row>
        <row r="4419">
          <cell r="A4419" t="str">
            <v>TRANS-FREIGHT CONTAINERS LTD</v>
          </cell>
          <cell r="B4419">
            <v>513063</v>
          </cell>
          <cell r="C4419" t="str">
            <v>Not Listed</v>
          </cell>
        </row>
        <row r="4420">
          <cell r="A4420" t="str">
            <v>TRANSGENE BIOTEK LTD</v>
          </cell>
          <cell r="B4420">
            <v>526139</v>
          </cell>
          <cell r="C4420" t="str">
            <v>Not Listed</v>
          </cell>
        </row>
        <row r="4421">
          <cell r="A4421" t="str">
            <v>TRANSGLOBE FOODS LTD</v>
          </cell>
          <cell r="B4421">
            <v>519367</v>
          </cell>
          <cell r="C4421" t="str">
            <v>Not Listed</v>
          </cell>
        </row>
        <row r="4422">
          <cell r="A4422" t="str">
            <v>TRANSOCEANIC PROPERTIES LTD</v>
          </cell>
          <cell r="B4422">
            <v>509003</v>
          </cell>
          <cell r="C4422" t="str">
            <v>Not Listed</v>
          </cell>
        </row>
        <row r="4423">
          <cell r="A4423" t="str">
            <v>TRANSPEK INDUSTRY LTD</v>
          </cell>
          <cell r="B4423">
            <v>506687</v>
          </cell>
          <cell r="C4423" t="str">
            <v>Not Listed</v>
          </cell>
        </row>
        <row r="4424">
          <cell r="A4424" t="str">
            <v>TRANSPORT CORPORATION OF (INDIA) LTD</v>
          </cell>
          <cell r="B4424">
            <v>532349</v>
          </cell>
          <cell r="C4424" t="str">
            <v>TCI</v>
          </cell>
        </row>
        <row r="4425">
          <cell r="A4425" t="str">
            <v>TRANSPORT CORPORATION OF INDIA LTD</v>
          </cell>
          <cell r="B4425">
            <v>532349</v>
          </cell>
          <cell r="C4425" t="str">
            <v>TCI</v>
          </cell>
        </row>
        <row r="4426">
          <cell r="A4426" t="str">
            <v>TRANSWARRANTY FINANCE LTD</v>
          </cell>
          <cell r="B4426">
            <v>532812</v>
          </cell>
          <cell r="C4426" t="str">
            <v>TFL</v>
          </cell>
        </row>
        <row r="4427">
          <cell r="A4427" t="str">
            <v>TRANSWIND INFRASTRUCTURES LTD</v>
          </cell>
          <cell r="B4427" t="str">
            <v>Not Listed</v>
          </cell>
          <cell r="C4427" t="str">
            <v>TRANSWIND</v>
          </cell>
        </row>
        <row r="4428">
          <cell r="A4428" t="str">
            <v>TREE HOUSE EDUCATION &amp; ACCESSORIES LTD</v>
          </cell>
          <cell r="B4428">
            <v>533540</v>
          </cell>
          <cell r="C4428" t="str">
            <v>TREEHOUSE</v>
          </cell>
        </row>
        <row r="4429">
          <cell r="A4429" t="str">
            <v>Trejhara Solutions Ltd</v>
          </cell>
          <cell r="B4429">
            <v>542233</v>
          </cell>
          <cell r="C4429" t="str">
            <v>TREJHARA</v>
          </cell>
        </row>
        <row r="4430">
          <cell r="A4430" t="str">
            <v>TRENT LTD</v>
          </cell>
          <cell r="B4430">
            <v>500251</v>
          </cell>
          <cell r="C4430" t="str">
            <v>TRENT</v>
          </cell>
        </row>
        <row r="4431">
          <cell r="A4431" t="str">
            <v>TRESCON LTD</v>
          </cell>
          <cell r="B4431">
            <v>532159</v>
          </cell>
          <cell r="C4431" t="str">
            <v>Not Listed</v>
          </cell>
        </row>
        <row r="4432">
          <cell r="A4432" t="str">
            <v>TRF LTD</v>
          </cell>
          <cell r="B4432">
            <v>505854</v>
          </cell>
          <cell r="C4432" t="str">
            <v>TRF</v>
          </cell>
        </row>
        <row r="4433">
          <cell r="A4433" t="str">
            <v>TRIBHOVANDAS BHIMJI ZAVERI LTD</v>
          </cell>
          <cell r="B4433">
            <v>534369</v>
          </cell>
          <cell r="C4433" t="str">
            <v>TBZ</v>
          </cell>
        </row>
        <row r="4434">
          <cell r="A4434" t="str">
            <v>TRICOM FRUIT PRODUCTS LTD</v>
          </cell>
          <cell r="B4434">
            <v>531716</v>
          </cell>
          <cell r="C4434" t="str">
            <v>Not Listed</v>
          </cell>
        </row>
        <row r="4435">
          <cell r="A4435" t="str">
            <v>TRIDENT LTD</v>
          </cell>
          <cell r="B4435">
            <v>521064</v>
          </cell>
          <cell r="C4435" t="str">
            <v>TRIDENT</v>
          </cell>
        </row>
        <row r="4436">
          <cell r="A4436" t="str">
            <v>TRIDENT TEXOFAB LTD</v>
          </cell>
          <cell r="B4436">
            <v>540726</v>
          </cell>
          <cell r="C4436" t="str">
            <v>Not Listed</v>
          </cell>
        </row>
        <row r="4437">
          <cell r="A4437" t="str">
            <v>TRIDENT TOOLS LTD</v>
          </cell>
          <cell r="B4437">
            <v>531972</v>
          </cell>
          <cell r="C4437" t="str">
            <v>Not Listed</v>
          </cell>
        </row>
        <row r="4438">
          <cell r="A4438" t="str">
            <v>TRIGYN TECHNOLOGIES LTD</v>
          </cell>
          <cell r="B4438">
            <v>517562</v>
          </cell>
          <cell r="C4438" t="str">
            <v>TRIGYN</v>
          </cell>
        </row>
        <row r="4439">
          <cell r="A4439" t="str">
            <v>TRIJAL INDUSTRIES LTD</v>
          </cell>
          <cell r="B4439">
            <v>531658</v>
          </cell>
          <cell r="C4439" t="str">
            <v>Not Listed</v>
          </cell>
        </row>
        <row r="4440">
          <cell r="A4440" t="str">
            <v>TRIMURTHI LTD</v>
          </cell>
          <cell r="B4440">
            <v>536565</v>
          </cell>
          <cell r="C4440" t="str">
            <v>Not Listed</v>
          </cell>
        </row>
        <row r="4441">
          <cell r="A4441" t="str">
            <v>TRINITY LEAGUE (INDIA) LTD</v>
          </cell>
          <cell r="B4441">
            <v>531846</v>
          </cell>
          <cell r="C4441" t="str">
            <v>Not Listed</v>
          </cell>
        </row>
        <row r="4442">
          <cell r="A4442" t="str">
            <v>TRINITY LEAGUE INDIA LTD</v>
          </cell>
          <cell r="B4442">
            <v>531846</v>
          </cell>
          <cell r="C4442" t="str">
            <v>Not Listed</v>
          </cell>
        </row>
        <row r="4443">
          <cell r="A4443" t="str">
            <v>TRIO MERCANTILE &amp;amp; TRADING LTD.</v>
          </cell>
          <cell r="B4443">
            <v>534755</v>
          </cell>
          <cell r="C4443" t="str">
            <v>TRIOMERC</v>
          </cell>
        </row>
        <row r="4444">
          <cell r="A4444" t="str">
            <v>TRIOCHEM PRODUCTS LTD</v>
          </cell>
          <cell r="B4444">
            <v>512101</v>
          </cell>
          <cell r="C4444" t="str">
            <v>Not Listed</v>
          </cell>
        </row>
        <row r="4445">
          <cell r="A4445" t="str">
            <v>TRISHAKTI ELECTRONICS &amp; INDUSTRIES LTD</v>
          </cell>
          <cell r="B4445">
            <v>531279</v>
          </cell>
          <cell r="C4445" t="str">
            <v>Not Listed</v>
          </cell>
        </row>
        <row r="4446">
          <cell r="A4446" t="str">
            <v>TRITON CORP LTD</v>
          </cell>
          <cell r="B4446">
            <v>523387</v>
          </cell>
          <cell r="C4446" t="str">
            <v>Not Listed</v>
          </cell>
        </row>
        <row r="4447">
          <cell r="A4447" t="str">
            <v>TRITON VALVES LTD</v>
          </cell>
          <cell r="B4447">
            <v>505978</v>
          </cell>
          <cell r="C4447" t="str">
            <v>Not Listed</v>
          </cell>
        </row>
        <row r="4448">
          <cell r="A4448" t="str">
            <v>TRIVENI ENGINEERING &amp; INDUSTRIES LTD</v>
          </cell>
          <cell r="B4448">
            <v>532356</v>
          </cell>
          <cell r="C4448" t="str">
            <v>TRIVENI</v>
          </cell>
        </row>
        <row r="4449">
          <cell r="A4449" t="str">
            <v>Triveni Enterprises Ltd</v>
          </cell>
          <cell r="B4449">
            <v>538569</v>
          </cell>
          <cell r="C4449" t="str">
            <v>TRIVENIENT</v>
          </cell>
        </row>
        <row r="4450">
          <cell r="A4450" t="str">
            <v>TRIVENI GLASS LTD</v>
          </cell>
          <cell r="B4450">
            <v>502281</v>
          </cell>
          <cell r="C4450" t="str">
            <v>Not Listed</v>
          </cell>
        </row>
        <row r="4451">
          <cell r="A4451" t="str">
            <v>TRIVENI TURBINE LTD</v>
          </cell>
          <cell r="B4451">
            <v>533655</v>
          </cell>
          <cell r="C4451" t="str">
            <v>TRITURBINE</v>
          </cell>
        </row>
        <row r="4452">
          <cell r="A4452" t="str">
            <v>TRIVIKRAMA INDUSTRIES LTD</v>
          </cell>
          <cell r="B4452">
            <v>538579</v>
          </cell>
          <cell r="C4452" t="str">
            <v>Not Listed</v>
          </cell>
        </row>
        <row r="4453">
          <cell r="A4453" t="str">
            <v>TROMBO EXTRACTIONS LTD</v>
          </cell>
          <cell r="B4453">
            <v>519303</v>
          </cell>
          <cell r="C4453" t="str">
            <v>Not Listed</v>
          </cell>
        </row>
        <row r="4454">
          <cell r="A4454" t="str">
            <v>TTI ENTERPRISE LTD</v>
          </cell>
          <cell r="B4454">
            <v>538597</v>
          </cell>
          <cell r="C4454" t="str">
            <v>Not Listed</v>
          </cell>
        </row>
        <row r="4455">
          <cell r="A4455" t="str">
            <v>TTK HEALTHCARE LTD</v>
          </cell>
          <cell r="B4455">
            <v>507747</v>
          </cell>
          <cell r="C4455" t="str">
            <v>TTKHLTCARE</v>
          </cell>
        </row>
        <row r="4456">
          <cell r="A4456" t="str">
            <v>TTK PRESTIGE LTD</v>
          </cell>
          <cell r="B4456">
            <v>517506</v>
          </cell>
          <cell r="C4456" t="str">
            <v>TTKPRESTIG</v>
          </cell>
        </row>
        <row r="4457">
          <cell r="A4457" t="str">
            <v>TTL Enterprises Ltd</v>
          </cell>
          <cell r="B4457">
            <v>514236</v>
          </cell>
          <cell r="C4457" t="str">
            <v>TTLEL</v>
          </cell>
        </row>
        <row r="4458">
          <cell r="A4458" t="str">
            <v>TUBE INVESTMENTS OF (INDIA) LTD</v>
          </cell>
          <cell r="B4458">
            <v>540762</v>
          </cell>
          <cell r="C4458" t="str">
            <v>TI(INDIA)</v>
          </cell>
        </row>
        <row r="4459">
          <cell r="A4459" t="str">
            <v>TUBE INVESTMENTS OF INDIA LTD</v>
          </cell>
          <cell r="B4459">
            <v>540762</v>
          </cell>
          <cell r="C4459" t="str">
            <v>TIINDIA</v>
          </cell>
        </row>
        <row r="4460">
          <cell r="A4460" t="str">
            <v>TULASEE BIO-ETHANOL LTD</v>
          </cell>
          <cell r="B4460">
            <v>524514</v>
          </cell>
          <cell r="C4460" t="str">
            <v>Not Listed</v>
          </cell>
        </row>
        <row r="4461">
          <cell r="A4461" t="str">
            <v>TULIP STAR HOTELS LTD</v>
          </cell>
          <cell r="B4461">
            <v>531088</v>
          </cell>
          <cell r="C4461" t="str">
            <v>Not Listed</v>
          </cell>
        </row>
        <row r="4462">
          <cell r="A4462" t="str">
            <v>TULIVE DEVELOPERS LTD</v>
          </cell>
          <cell r="B4462">
            <v>505285</v>
          </cell>
          <cell r="C4462" t="str">
            <v>Not Listed</v>
          </cell>
        </row>
        <row r="4463">
          <cell r="A4463" t="str">
            <v>TULSI EXTRUSIONS LTD</v>
          </cell>
          <cell r="B4463">
            <v>532948</v>
          </cell>
          <cell r="C4463" t="str">
            <v>TULSI</v>
          </cell>
        </row>
        <row r="4464">
          <cell r="A4464" t="str">
            <v>TUMUS ELECTRIC CORPORATION LTD</v>
          </cell>
          <cell r="B4464">
            <v>504273</v>
          </cell>
          <cell r="C4464" t="str">
            <v>Not Listed</v>
          </cell>
        </row>
        <row r="4465">
          <cell r="A4465" t="str">
            <v>TUNI TEXTILE MILLS LTD</v>
          </cell>
          <cell r="B4465">
            <v>531411</v>
          </cell>
          <cell r="C4465" t="str">
            <v>Not Listed</v>
          </cell>
        </row>
        <row r="4466">
          <cell r="A4466" t="str">
            <v>TUTICORIN ALKALI CHEMICALS &amp; FERTILISERS LTD</v>
          </cell>
          <cell r="B4466">
            <v>506808</v>
          </cell>
          <cell r="C4466" t="str">
            <v>Not Listed</v>
          </cell>
        </row>
        <row r="4467">
          <cell r="A4467" t="str">
            <v>TV TODAY NETWORK LTD</v>
          </cell>
          <cell r="B4467">
            <v>532515</v>
          </cell>
          <cell r="C4467" t="str">
            <v>TVTODAY</v>
          </cell>
        </row>
        <row r="4468">
          <cell r="A4468" t="str">
            <v>TV VISION LTD</v>
          </cell>
          <cell r="B4468">
            <v>540083</v>
          </cell>
          <cell r="C4468" t="str">
            <v>TVVISION</v>
          </cell>
        </row>
        <row r="4469">
          <cell r="A4469" t="str">
            <v>TV18 BROADCAST LTD</v>
          </cell>
          <cell r="B4469">
            <v>532800</v>
          </cell>
          <cell r="C4469" t="str">
            <v>TV18BRDCST</v>
          </cell>
        </row>
        <row r="4470">
          <cell r="A4470" t="str">
            <v>TVS ELECTRONICS LTD</v>
          </cell>
          <cell r="B4470">
            <v>532513</v>
          </cell>
          <cell r="C4470" t="str">
            <v>TVSELECT</v>
          </cell>
        </row>
        <row r="4471">
          <cell r="A4471" t="str">
            <v>TVS MOTOR COMPANY LTD</v>
          </cell>
          <cell r="B4471">
            <v>532343</v>
          </cell>
          <cell r="C4471" t="str">
            <v>TVSMOTOR</v>
          </cell>
        </row>
        <row r="4472">
          <cell r="A4472" t="str">
            <v>TVS SRICHAKRA LTD</v>
          </cell>
          <cell r="B4472">
            <v>509243</v>
          </cell>
          <cell r="C4472" t="str">
            <v>TVSSRICHAK</v>
          </cell>
        </row>
        <row r="4473">
          <cell r="A4473" t="str">
            <v>TWIN ROSES TRADES &amp; AGENCIES LTD</v>
          </cell>
          <cell r="B4473">
            <v>512117</v>
          </cell>
          <cell r="C4473" t="str">
            <v>Not Listed</v>
          </cell>
        </row>
        <row r="4474">
          <cell r="A4474" t="str">
            <v>TWINSTAR INDUSTRIES LTD</v>
          </cell>
          <cell r="B4474">
            <v>531917</v>
          </cell>
          <cell r="C4474" t="str">
            <v>Not Listed</v>
          </cell>
        </row>
        <row r="4475">
          <cell r="A4475" t="str">
            <v>TYCHE INDUSTRIES LTD</v>
          </cell>
          <cell r="B4475">
            <v>532384</v>
          </cell>
          <cell r="C4475" t="str">
            <v>Not Listed</v>
          </cell>
        </row>
        <row r="4476">
          <cell r="A4476" t="str">
            <v>TYPHOON FINANCIAL SERVICES LTD</v>
          </cell>
          <cell r="B4476">
            <v>539468</v>
          </cell>
          <cell r="C4476" t="str">
            <v>Not Listed</v>
          </cell>
        </row>
        <row r="4477">
          <cell r="A4477" t="str">
            <v>TYPHOON HOLDINGS LTD</v>
          </cell>
          <cell r="B4477">
            <v>512307</v>
          </cell>
          <cell r="C4477" t="str">
            <v>Not Listed</v>
          </cell>
        </row>
        <row r="4478">
          <cell r="A4478" t="str">
            <v>TYROON TEA CO LTD</v>
          </cell>
          <cell r="B4478">
            <v>526945</v>
          </cell>
          <cell r="C4478" t="str">
            <v>Not Listed</v>
          </cell>
        </row>
        <row r="4479">
          <cell r="A4479" t="str">
            <v>U  H  ZAVERI LTD</v>
          </cell>
          <cell r="B4479">
            <v>541338</v>
          </cell>
          <cell r="C4479" t="str">
            <v>Not Listed</v>
          </cell>
        </row>
        <row r="4480">
          <cell r="A4480" t="str">
            <v>UCAL FUEL SYSTEMS LTD</v>
          </cell>
          <cell r="B4480">
            <v>500464</v>
          </cell>
          <cell r="C4480" t="str">
            <v>UCALFUEL</v>
          </cell>
        </row>
        <row r="4481">
          <cell r="A4481" t="str">
            <v>UCO BANK</v>
          </cell>
          <cell r="B4481">
            <v>532505</v>
          </cell>
          <cell r="C4481" t="str">
            <v>UCOBANK</v>
          </cell>
        </row>
        <row r="4482">
          <cell r="A4482" t="str">
            <v>UDAIPUR CEMENT WORKS LTD</v>
          </cell>
          <cell r="B4482">
            <v>530131</v>
          </cell>
          <cell r="C4482" t="str">
            <v>Not Listed</v>
          </cell>
        </row>
        <row r="4483">
          <cell r="A4483" t="str">
            <v>UDAY JEWELLERY INDUSTRIES LTD</v>
          </cell>
          <cell r="B4483">
            <v>539518</v>
          </cell>
          <cell r="C4483" t="str">
            <v>Not Listed</v>
          </cell>
        </row>
        <row r="4484">
          <cell r="A4484" t="str">
            <v>UFLEX LTD</v>
          </cell>
          <cell r="B4484">
            <v>500148</v>
          </cell>
          <cell r="C4484" t="str">
            <v>UFLEX</v>
          </cell>
        </row>
        <row r="4485">
          <cell r="A4485" t="str">
            <v>UFO MOVIEZ (INDIA) LTD</v>
          </cell>
          <cell r="B4485">
            <v>539141</v>
          </cell>
          <cell r="C4485" t="str">
            <v>UFO</v>
          </cell>
        </row>
        <row r="4486">
          <cell r="A4486" t="str">
            <v>UFO MOVIEZ INDIA LTD</v>
          </cell>
          <cell r="B4486">
            <v>539141</v>
          </cell>
          <cell r="C4486" t="str">
            <v>UFO</v>
          </cell>
        </row>
        <row r="4487">
          <cell r="A4487" t="str">
            <v>UGRO CAPITAL LTD</v>
          </cell>
          <cell r="B4487">
            <v>511742</v>
          </cell>
          <cell r="C4487" t="str">
            <v>Not Listed</v>
          </cell>
        </row>
        <row r="4488">
          <cell r="A4488" t="str">
            <v>UJAAS ENERGY LTD</v>
          </cell>
          <cell r="B4488">
            <v>533644</v>
          </cell>
          <cell r="C4488" t="str">
            <v>UJAAS</v>
          </cell>
        </row>
        <row r="4489">
          <cell r="A4489" t="str">
            <v>UJJIVAN FINANCIAL SERVICES LTD</v>
          </cell>
          <cell r="B4489">
            <v>539874</v>
          </cell>
          <cell r="C4489" t="str">
            <v>UJJIVAN</v>
          </cell>
        </row>
        <row r="4490">
          <cell r="A4490" t="str">
            <v>ULTRA WIRING CONNECTIVITY SYSTEM LTD</v>
          </cell>
          <cell r="B4490" t="str">
            <v>Not Listed</v>
          </cell>
          <cell r="C4490" t="str">
            <v>UWCSL</v>
          </cell>
        </row>
        <row r="4491">
          <cell r="A4491" t="str">
            <v>ULTRACAB (INDIA) LTD</v>
          </cell>
          <cell r="B4491">
            <v>538706</v>
          </cell>
          <cell r="C4491" t="str">
            <v>Not Listed</v>
          </cell>
        </row>
        <row r="4492">
          <cell r="A4492" t="str">
            <v>ULTRACAB INDIA LTD</v>
          </cell>
          <cell r="B4492">
            <v>538706</v>
          </cell>
          <cell r="C4492" t="str">
            <v>Not Listed</v>
          </cell>
        </row>
        <row r="4493">
          <cell r="A4493" t="str">
            <v>ULTRAMARINE &amp; PIGMENTS LTD</v>
          </cell>
          <cell r="B4493">
            <v>506685</v>
          </cell>
          <cell r="C4493" t="str">
            <v>Not Listed</v>
          </cell>
        </row>
        <row r="4494">
          <cell r="A4494" t="str">
            <v>ULTRATECH CEMENT LTD</v>
          </cell>
          <cell r="B4494">
            <v>532538</v>
          </cell>
          <cell r="C4494" t="str">
            <v>ULTRACEMCO</v>
          </cell>
        </row>
        <row r="4495">
          <cell r="A4495" t="str">
            <v>UMANG DAIRIES LTD</v>
          </cell>
          <cell r="B4495">
            <v>500231</v>
          </cell>
          <cell r="C4495" t="str">
            <v>UMANGDAIRY</v>
          </cell>
        </row>
        <row r="4496">
          <cell r="A4496" t="str">
            <v>UMIYA TUBES LTD</v>
          </cell>
          <cell r="B4496">
            <v>539798</v>
          </cell>
          <cell r="C4496" t="str">
            <v>Not Listed</v>
          </cell>
        </row>
        <row r="4497">
          <cell r="A4497" t="str">
            <v>UNI ABEX ALLOY PRODUCTS LTD</v>
          </cell>
          <cell r="B4497">
            <v>504605</v>
          </cell>
          <cell r="C4497" t="str">
            <v>Not Listed</v>
          </cell>
        </row>
        <row r="4498">
          <cell r="A4498" t="str">
            <v>UNICHEM LABORATORIES LTD</v>
          </cell>
          <cell r="B4498">
            <v>506690</v>
          </cell>
          <cell r="C4498" t="str">
            <v>UNICHEMLAB</v>
          </cell>
        </row>
        <row r="4499">
          <cell r="A4499" t="str">
            <v>UNICK FIX-A-FORM AND PRINTERS LTD</v>
          </cell>
          <cell r="B4499">
            <v>541503</v>
          </cell>
          <cell r="C4499" t="str">
            <v>Not Listed</v>
          </cell>
        </row>
        <row r="4500">
          <cell r="A4500" t="str">
            <v>UNIINFO TELECOM SERVICES LTD</v>
          </cell>
          <cell r="B4500" t="str">
            <v>Not Listed</v>
          </cell>
          <cell r="C4500" t="str">
            <v>UNIINFO</v>
          </cell>
        </row>
        <row r="4501">
          <cell r="A4501" t="str">
            <v>UNIJOLLY INVESTMENTS CO LTD</v>
          </cell>
          <cell r="B4501">
            <v>503671</v>
          </cell>
          <cell r="C4501" t="str">
            <v>Not Listed</v>
          </cell>
        </row>
        <row r="4502">
          <cell r="A4502" t="str">
            <v>UNIMODE OVERSEAS LTD.</v>
          </cell>
          <cell r="B4502">
            <v>512595</v>
          </cell>
          <cell r="C4502" t="str">
            <v>UNIMOVR</v>
          </cell>
        </row>
        <row r="4503">
          <cell r="A4503" t="str">
            <v>UNION BANK OF INDIA</v>
          </cell>
          <cell r="B4503">
            <v>532477</v>
          </cell>
          <cell r="C4503" t="str">
            <v>UNIONBANK</v>
          </cell>
        </row>
        <row r="4504">
          <cell r="A4504" t="str">
            <v>UNION QUALITY PLASTICS LTD</v>
          </cell>
          <cell r="B4504">
            <v>526799</v>
          </cell>
          <cell r="C4504" t="str">
            <v>Not Listed</v>
          </cell>
        </row>
        <row r="4505">
          <cell r="A4505" t="str">
            <v>UNIPHOS ENTERPRISES LTD</v>
          </cell>
          <cell r="B4505">
            <v>500429</v>
          </cell>
          <cell r="C4505" t="str">
            <v>UNIENTER</v>
          </cell>
        </row>
        <row r="4506">
          <cell r="A4506" t="str">
            <v>UNIPLY DECOR LTD</v>
          </cell>
          <cell r="B4506">
            <v>526957</v>
          </cell>
          <cell r="C4506" t="str">
            <v>Not Listed</v>
          </cell>
        </row>
        <row r="4507">
          <cell r="A4507" t="str">
            <v>UNIPLY INDUSTRIES LTD</v>
          </cell>
          <cell r="B4507">
            <v>532646</v>
          </cell>
          <cell r="C4507" t="str">
            <v>UNIPLY</v>
          </cell>
        </row>
        <row r="4508">
          <cell r="A4508" t="str">
            <v>UNIQUE ORGANICS LTD</v>
          </cell>
          <cell r="B4508">
            <v>530997</v>
          </cell>
          <cell r="C4508" t="str">
            <v>Not Listed</v>
          </cell>
        </row>
        <row r="4509">
          <cell r="A4509" t="str">
            <v>UNIROYAL INDUSTRIES LTD</v>
          </cell>
          <cell r="B4509">
            <v>521226</v>
          </cell>
          <cell r="C4509" t="str">
            <v>Not Listed</v>
          </cell>
        </row>
        <row r="4510">
          <cell r="A4510" t="str">
            <v>UNIROYAL MARINE EXPORTS LTD</v>
          </cell>
          <cell r="B4510">
            <v>526113</v>
          </cell>
          <cell r="C4510" t="str">
            <v>Not Listed</v>
          </cell>
        </row>
        <row r="4511">
          <cell r="A4511" t="str">
            <v>UNISHIRE URBAN INFRA LTD</v>
          </cell>
          <cell r="B4511">
            <v>537582</v>
          </cell>
          <cell r="C4511" t="str">
            <v>Not Listed</v>
          </cell>
        </row>
        <row r="4512">
          <cell r="A4512" t="str">
            <v>UNISON METALS LTD</v>
          </cell>
          <cell r="B4512">
            <v>538610</v>
          </cell>
          <cell r="C4512" t="str">
            <v>Not Listed</v>
          </cell>
        </row>
        <row r="4513">
          <cell r="A4513" t="str">
            <v>UNISTAR MULTIMEDIA LTD</v>
          </cell>
          <cell r="B4513">
            <v>532035</v>
          </cell>
          <cell r="C4513" t="str">
            <v>Not Listed</v>
          </cell>
        </row>
        <row r="4514">
          <cell r="A4514" t="str">
            <v>UNISYS SOFTWARES &amp; HOLDING INDUSTRIES LTD</v>
          </cell>
          <cell r="B4514">
            <v>531831</v>
          </cell>
          <cell r="C4514" t="str">
            <v>Not Listed</v>
          </cell>
        </row>
        <row r="4515">
          <cell r="A4515" t="str">
            <v>UNITECH INTERNATIONAL LTD</v>
          </cell>
          <cell r="B4515">
            <v>531867</v>
          </cell>
          <cell r="C4515" t="str">
            <v>Not Listed</v>
          </cell>
        </row>
        <row r="4516">
          <cell r="A4516" t="str">
            <v>UNITECH LTD</v>
          </cell>
          <cell r="B4516">
            <v>507878</v>
          </cell>
          <cell r="C4516" t="str">
            <v>UNITECH</v>
          </cell>
        </row>
        <row r="4517">
          <cell r="A4517" t="str">
            <v>UNITED BANK OF INDIA</v>
          </cell>
          <cell r="B4517">
            <v>533171</v>
          </cell>
          <cell r="C4517" t="str">
            <v>UNITEDBNK</v>
          </cell>
        </row>
        <row r="4518">
          <cell r="A4518" t="str">
            <v>UNITED BREWERIES LTD</v>
          </cell>
          <cell r="B4518">
            <v>532478</v>
          </cell>
          <cell r="C4518" t="str">
            <v>UBL</v>
          </cell>
        </row>
        <row r="4519">
          <cell r="A4519" t="str">
            <v>UNITED CREDIT LTD</v>
          </cell>
          <cell r="B4519">
            <v>531091</v>
          </cell>
          <cell r="C4519" t="str">
            <v>Not Listed</v>
          </cell>
        </row>
        <row r="4520">
          <cell r="A4520" t="str">
            <v>UNITED DRILLING TOOLS LTD</v>
          </cell>
          <cell r="B4520">
            <v>522014</v>
          </cell>
          <cell r="C4520" t="str">
            <v>Not Listed</v>
          </cell>
        </row>
        <row r="4521">
          <cell r="A4521" t="str">
            <v>UNITED INTERACTIVE LTD</v>
          </cell>
          <cell r="B4521">
            <v>502893</v>
          </cell>
          <cell r="C4521" t="str">
            <v>Not Listed</v>
          </cell>
        </row>
        <row r="4522">
          <cell r="A4522" t="str">
            <v>UNITED LEASING &amp; INDUSTRIES LTD</v>
          </cell>
          <cell r="B4522">
            <v>507808</v>
          </cell>
          <cell r="C4522" t="str">
            <v>Not Listed</v>
          </cell>
        </row>
        <row r="4523">
          <cell r="A4523" t="str">
            <v>UNITED POLYFAB GUJARAT LTD</v>
          </cell>
          <cell r="B4523" t="str">
            <v>Not Listed</v>
          </cell>
          <cell r="C4523" t="str">
            <v>UNITEDPOLY</v>
          </cell>
        </row>
        <row r="4524">
          <cell r="A4524" t="str">
            <v>UNITED SPIRITS LTD</v>
          </cell>
          <cell r="B4524">
            <v>532432</v>
          </cell>
          <cell r="C4524" t="str">
            <v>MCDOWELL-N</v>
          </cell>
        </row>
        <row r="4525">
          <cell r="A4525" t="str">
            <v>UNITED TEXTILES LTD</v>
          </cell>
          <cell r="B4525">
            <v>521188</v>
          </cell>
          <cell r="C4525" t="str">
            <v>Not Listed</v>
          </cell>
        </row>
        <row r="4526">
          <cell r="A4526" t="str">
            <v>UNITED VAN DER HORST LTD</v>
          </cell>
          <cell r="B4526">
            <v>522091</v>
          </cell>
          <cell r="C4526" t="str">
            <v>Not Listed</v>
          </cell>
        </row>
        <row r="4527">
          <cell r="A4527" t="str">
            <v>UNITY INFRAPROJECTS LTD</v>
          </cell>
          <cell r="B4527">
            <v>532746</v>
          </cell>
          <cell r="C4527" t="str">
            <v>UNITY</v>
          </cell>
        </row>
        <row r="4528">
          <cell r="A4528" t="str">
            <v>UNIVASTU (INDIA) LTD</v>
          </cell>
          <cell r="B4528" t="str">
            <v>Not Listed</v>
          </cell>
          <cell r="C4528" t="str">
            <v>UNIVASTU</v>
          </cell>
        </row>
        <row r="4529">
          <cell r="A4529" t="str">
            <v>UNIVASTU INDIA LTD</v>
          </cell>
          <cell r="B4529" t="str">
            <v>Not Listed</v>
          </cell>
          <cell r="C4529" t="str">
            <v>UNIVASTU</v>
          </cell>
        </row>
        <row r="4530">
          <cell r="A4530" t="str">
            <v>UNIVERSAL ARTS LTD</v>
          </cell>
          <cell r="B4530">
            <v>532378</v>
          </cell>
          <cell r="C4530" t="str">
            <v>Not Listed</v>
          </cell>
        </row>
        <row r="4531">
          <cell r="A4531" t="str">
            <v>UNIVERSAL AUTOFOUNDRY LTD</v>
          </cell>
          <cell r="B4531">
            <v>539314</v>
          </cell>
          <cell r="C4531" t="str">
            <v>Not Listed</v>
          </cell>
        </row>
        <row r="4532">
          <cell r="A4532" t="str">
            <v>UNIVERSAL CABLES LTD</v>
          </cell>
          <cell r="B4532">
            <v>504212</v>
          </cell>
          <cell r="C4532" t="str">
            <v>UNIVCABLES</v>
          </cell>
        </row>
        <row r="4533">
          <cell r="A4533" t="str">
            <v>UNIVERSAL CREDIT &amp; SECURITIES LTD</v>
          </cell>
          <cell r="B4533">
            <v>531963</v>
          </cell>
          <cell r="C4533" t="str">
            <v>Not Listed</v>
          </cell>
        </row>
        <row r="4534">
          <cell r="A4534" t="str">
            <v>UNIVERSAL OFFICE AUTOMATION LTD</v>
          </cell>
          <cell r="B4534">
            <v>523519</v>
          </cell>
          <cell r="C4534" t="str">
            <v>Not Listed</v>
          </cell>
        </row>
        <row r="4535">
          <cell r="A4535" t="str">
            <v>UNIVERSAL PRIME ALUMINIUM LTD</v>
          </cell>
          <cell r="B4535">
            <v>504673</v>
          </cell>
          <cell r="C4535" t="str">
            <v>Not Listed</v>
          </cell>
        </row>
        <row r="4536">
          <cell r="A4536" t="str">
            <v>UNIVERSAL STARCH-CHEM ALLIED LTD</v>
          </cell>
          <cell r="B4536">
            <v>524408</v>
          </cell>
          <cell r="C4536" t="str">
            <v>Not Listed</v>
          </cell>
        </row>
        <row r="4537">
          <cell r="A4537" t="str">
            <v>UNIWORTH LTD</v>
          </cell>
          <cell r="B4537">
            <v>514144</v>
          </cell>
          <cell r="C4537" t="str">
            <v>Not Listed</v>
          </cell>
        </row>
        <row r="4538">
          <cell r="A4538" t="str">
            <v>UNIWORTH SECURITIES LTD</v>
          </cell>
          <cell r="B4538">
            <v>512408</v>
          </cell>
          <cell r="C4538" t="str">
            <v>Not Listed</v>
          </cell>
        </row>
        <row r="4539">
          <cell r="A4539" t="str">
            <v>UNJHA FORMULATIONS LTD</v>
          </cell>
          <cell r="B4539">
            <v>531762</v>
          </cell>
          <cell r="C4539" t="str">
            <v>Not Listed</v>
          </cell>
        </row>
        <row r="4540">
          <cell r="A4540" t="str">
            <v>UPASANA FINANCE LTD</v>
          </cell>
          <cell r="B4540">
            <v>511764</v>
          </cell>
          <cell r="C4540" t="str">
            <v>Not Listed</v>
          </cell>
        </row>
        <row r="4541">
          <cell r="A4541" t="str">
            <v>UPL LTD</v>
          </cell>
          <cell r="B4541">
            <v>512070</v>
          </cell>
          <cell r="C4541" t="str">
            <v>UPL</v>
          </cell>
        </row>
        <row r="4542">
          <cell r="A4542" t="str">
            <v>UPSURGE INVESTMENT &amp; FINANCE LTD</v>
          </cell>
          <cell r="B4542">
            <v>531390</v>
          </cell>
          <cell r="C4542" t="str">
            <v>Not Listed</v>
          </cell>
        </row>
        <row r="4543">
          <cell r="A4543" t="str">
            <v>URAVI T AND WEDGE LAMPS LTD</v>
          </cell>
          <cell r="B4543" t="str">
            <v>Not Listed</v>
          </cell>
          <cell r="C4543" t="str">
            <v>URAVI</v>
          </cell>
        </row>
        <row r="4544">
          <cell r="A4544" t="str">
            <v>URJA GLOBAL LTD</v>
          </cell>
          <cell r="B4544">
            <v>526987</v>
          </cell>
          <cell r="C4544" t="str">
            <v>URJA</v>
          </cell>
        </row>
        <row r="4545">
          <cell r="A4545" t="str">
            <v>USG TECH SOLUTIONS LTD</v>
          </cell>
          <cell r="B4545">
            <v>532402</v>
          </cell>
          <cell r="C4545" t="str">
            <v>Not Listed</v>
          </cell>
        </row>
        <row r="4546">
          <cell r="A4546" t="str">
            <v>USHA MARTIN EDUCATION &amp; SOLUTIONS LTD</v>
          </cell>
          <cell r="B4546">
            <v>532398</v>
          </cell>
          <cell r="C4546" t="str">
            <v>UMESLTD</v>
          </cell>
        </row>
        <row r="4547">
          <cell r="A4547" t="str">
            <v>USHA MARTIN LTD</v>
          </cell>
          <cell r="B4547">
            <v>517146</v>
          </cell>
          <cell r="C4547" t="str">
            <v>USHAMART</v>
          </cell>
        </row>
        <row r="4548">
          <cell r="A4548" t="str">
            <v>USHAKIRAN FINANCE LTD</v>
          </cell>
          <cell r="B4548">
            <v>511507</v>
          </cell>
          <cell r="C4548" t="str">
            <v>Not Listed</v>
          </cell>
        </row>
        <row r="4549">
          <cell r="A4549" t="str">
            <v>USHANTI COLOUR CHEM LTD</v>
          </cell>
          <cell r="B4549" t="str">
            <v>Not Listed</v>
          </cell>
          <cell r="C4549" t="str">
            <v>UCL</v>
          </cell>
        </row>
        <row r="4550">
          <cell r="A4550" t="str">
            <v>USHDEV INTERNATIONAL LTD</v>
          </cell>
          <cell r="B4550">
            <v>511736</v>
          </cell>
          <cell r="C4550" t="str">
            <v>Not Listed</v>
          </cell>
        </row>
        <row r="4551">
          <cell r="A4551" t="str">
            <v>USHER AGRO LTD</v>
          </cell>
          <cell r="B4551">
            <v>532765</v>
          </cell>
          <cell r="C4551" t="str">
            <v>USHERAGRO</v>
          </cell>
        </row>
        <row r="4552">
          <cell r="A4552" t="str">
            <v>UTI MUTUAL FUND - UTI GOLD EXCHANGE TRADED FUND</v>
          </cell>
          <cell r="B4552">
            <v>590101</v>
          </cell>
          <cell r="C4552" t="str">
            <v>GOLDSHARE</v>
          </cell>
        </row>
        <row r="4553">
          <cell r="A4553" t="str">
            <v>UTL INDUSTRIES LTD</v>
          </cell>
          <cell r="B4553">
            <v>500426</v>
          </cell>
          <cell r="C4553" t="str">
            <v>Not Listed</v>
          </cell>
        </row>
        <row r="4554">
          <cell r="A4554" t="str">
            <v>UTTAM GALVA STEELS LTD</v>
          </cell>
          <cell r="B4554">
            <v>513216</v>
          </cell>
          <cell r="C4554" t="str">
            <v>UTTAMSTL</v>
          </cell>
        </row>
        <row r="4555">
          <cell r="A4555" t="str">
            <v>UTTAM SUGAR MILLS LTD</v>
          </cell>
          <cell r="B4555">
            <v>532729</v>
          </cell>
          <cell r="C4555" t="str">
            <v>UTTAMSUGAR</v>
          </cell>
        </row>
        <row r="4556">
          <cell r="A4556" t="str">
            <v>UTTAM VALUE STEELS LTD</v>
          </cell>
          <cell r="B4556">
            <v>500254</v>
          </cell>
          <cell r="C4556" t="str">
            <v>UVSL</v>
          </cell>
        </row>
        <row r="4557">
          <cell r="A4557" t="str">
            <v>V B DESAI FINANCIAL SERVICES LTD</v>
          </cell>
          <cell r="B4557">
            <v>511110</v>
          </cell>
          <cell r="C4557" t="str">
            <v>Not Listed</v>
          </cell>
        </row>
        <row r="4558">
          <cell r="A4558" t="str">
            <v>V B INDUSTRIES LTD</v>
          </cell>
          <cell r="B4558">
            <v>539123</v>
          </cell>
          <cell r="C4558" t="str">
            <v>Not Listed</v>
          </cell>
        </row>
        <row r="4559">
          <cell r="A4559" t="str">
            <v>V R Films &amp;amp; Studios Ltd</v>
          </cell>
          <cell r="B4559">
            <v>542654</v>
          </cell>
          <cell r="C4559" t="str">
            <v>VRFILMS</v>
          </cell>
        </row>
        <row r="4560">
          <cell r="A4560" t="str">
            <v>V R WOODART LTD</v>
          </cell>
          <cell r="B4560">
            <v>523888</v>
          </cell>
          <cell r="C4560" t="str">
            <v>Not Listed</v>
          </cell>
        </row>
        <row r="4561">
          <cell r="A4561" t="str">
            <v>V S T TILLERS TRACTORS LTD</v>
          </cell>
          <cell r="B4561">
            <v>531266</v>
          </cell>
          <cell r="C4561" t="str">
            <v>VSTTILLERS</v>
          </cell>
        </row>
        <row r="4562">
          <cell r="A4562" t="str">
            <v>V2 RETAIL LTD</v>
          </cell>
          <cell r="B4562">
            <v>532867</v>
          </cell>
          <cell r="C4562" t="str">
            <v>V2RETAIL</v>
          </cell>
        </row>
        <row r="4563">
          <cell r="A4563" t="str">
            <v>VA TECH WABAG LTD</v>
          </cell>
          <cell r="B4563">
            <v>533269</v>
          </cell>
          <cell r="C4563" t="str">
            <v>WABAG</v>
          </cell>
        </row>
        <row r="4564">
          <cell r="A4564" t="str">
            <v>VAARAD VENTURES LTD</v>
          </cell>
          <cell r="B4564">
            <v>532320</v>
          </cell>
          <cell r="C4564" t="str">
            <v>Not Listed</v>
          </cell>
        </row>
        <row r="4565">
          <cell r="A4565" t="str">
            <v>VADILAL ENTERPRISES LTD</v>
          </cell>
          <cell r="B4565">
            <v>519152</v>
          </cell>
          <cell r="C4565" t="str">
            <v>Not Listed</v>
          </cell>
        </row>
        <row r="4566">
          <cell r="A4566" t="str">
            <v>VADILAL INDUSTRIES LTD</v>
          </cell>
          <cell r="B4566">
            <v>519156</v>
          </cell>
          <cell r="C4566" t="str">
            <v>VADILALIND</v>
          </cell>
        </row>
        <row r="4567">
          <cell r="A4567" t="str">
            <v>VADIVARHE SPECIALITY CHEMICALS LTD</v>
          </cell>
          <cell r="B4567" t="str">
            <v>Not Listed</v>
          </cell>
          <cell r="C4567" t="str">
            <v>VSCL</v>
          </cell>
        </row>
        <row r="4568">
          <cell r="A4568" t="str">
            <v>VAGHANI TECHNO-BUILD LTD</v>
          </cell>
          <cell r="B4568">
            <v>531676</v>
          </cell>
          <cell r="C4568" t="str">
            <v>Not Listed</v>
          </cell>
        </row>
        <row r="4569">
          <cell r="A4569" t="str">
            <v>VAIBHAV GLOBAL LTD</v>
          </cell>
          <cell r="B4569">
            <v>532156</v>
          </cell>
          <cell r="C4569" t="str">
            <v>VAIBHAVGBL</v>
          </cell>
        </row>
        <row r="4570">
          <cell r="A4570" t="str">
            <v>VAISHALI PHARMA LTD</v>
          </cell>
          <cell r="B4570" t="str">
            <v>Not Listed</v>
          </cell>
          <cell r="C4570" t="str">
            <v>VAISHALI</v>
          </cell>
        </row>
        <row r="4571">
          <cell r="A4571" t="str">
            <v>VAKRANGEE LTD</v>
          </cell>
          <cell r="B4571">
            <v>511431</v>
          </cell>
          <cell r="C4571" t="str">
            <v>VAKRANGEE</v>
          </cell>
        </row>
        <row r="4572">
          <cell r="A4572" t="str">
            <v>VAKSONS AUTOMOBILES LTD</v>
          </cell>
          <cell r="B4572">
            <v>539402</v>
          </cell>
          <cell r="C4572" t="str">
            <v>Not Listed</v>
          </cell>
        </row>
        <row r="4573">
          <cell r="A4573" t="str">
            <v>VALIANT COMMUNICATIONS LTD</v>
          </cell>
          <cell r="B4573">
            <v>526775</v>
          </cell>
          <cell r="C4573" t="str">
            <v>Not Listed</v>
          </cell>
        </row>
        <row r="4574">
          <cell r="A4574" t="str">
            <v>VALIANT ORGANICS LTD</v>
          </cell>
          <cell r="B4574">
            <v>540145</v>
          </cell>
          <cell r="C4574" t="str">
            <v>Not Listed</v>
          </cell>
        </row>
        <row r="4575">
          <cell r="A4575" t="str">
            <v>VALLABH POLY-PLAST INTERNATIONAL LTD</v>
          </cell>
          <cell r="B4575">
            <v>530403</v>
          </cell>
          <cell r="C4575" t="str">
            <v>Not Listed</v>
          </cell>
        </row>
        <row r="4576">
          <cell r="A4576" t="str">
            <v>VALLABH STEELS LTD</v>
          </cell>
          <cell r="B4576">
            <v>513397</v>
          </cell>
          <cell r="C4576" t="str">
            <v>Not Listed</v>
          </cell>
        </row>
        <row r="4577">
          <cell r="A4577" t="str">
            <v>VALLEY MAGNESITE COMPANY LTD</v>
          </cell>
          <cell r="B4577">
            <v>539543</v>
          </cell>
          <cell r="C4577" t="str">
            <v>Not Listed</v>
          </cell>
        </row>
        <row r="4578">
          <cell r="A4578" t="str">
            <v>VALSON INDUSTRIES LTD</v>
          </cell>
          <cell r="B4578">
            <v>530459</v>
          </cell>
          <cell r="C4578" t="str">
            <v>Not Listed</v>
          </cell>
        </row>
        <row r="4579">
          <cell r="A4579" t="str">
            <v>VAMA INDUSTRIES LTD</v>
          </cell>
          <cell r="B4579">
            <v>512175</v>
          </cell>
          <cell r="C4579" t="str">
            <v>Not Listed</v>
          </cell>
        </row>
        <row r="4580">
          <cell r="A4580" t="str">
            <v>VAMSHI RUBBER LTD</v>
          </cell>
          <cell r="B4580">
            <v>530369</v>
          </cell>
          <cell r="C4580" t="str">
            <v>Not Listed</v>
          </cell>
        </row>
        <row r="4581">
          <cell r="A4581" t="str">
            <v>VANDANA KNITWEAR LTD</v>
          </cell>
          <cell r="B4581">
            <v>532090</v>
          </cell>
          <cell r="C4581" t="str">
            <v>Not Listed</v>
          </cell>
        </row>
        <row r="4582">
          <cell r="A4582" t="str">
            <v>VANI COMMERCIALS LTD</v>
          </cell>
          <cell r="B4582">
            <v>538918</v>
          </cell>
          <cell r="C4582" t="str">
            <v>Not Listed</v>
          </cell>
        </row>
        <row r="4583">
          <cell r="A4583" t="str">
            <v>VANTA BIOSCIENCE LTD</v>
          </cell>
          <cell r="B4583">
            <v>540729</v>
          </cell>
          <cell r="C4583" t="str">
            <v>Not Listed</v>
          </cell>
        </row>
        <row r="4584">
          <cell r="A4584" t="str">
            <v>VANTAGE KNOWLEDGE ACADEMY LTD</v>
          </cell>
          <cell r="B4584">
            <v>539761</v>
          </cell>
          <cell r="C4584" t="str">
            <v>Not Listed</v>
          </cell>
        </row>
        <row r="4585">
          <cell r="A4585" t="str">
            <v>VAPI PAPER MILLS LTD</v>
          </cell>
          <cell r="B4585">
            <v>502589</v>
          </cell>
          <cell r="C4585" t="str">
            <v>Not Listed</v>
          </cell>
        </row>
        <row r="4586">
          <cell r="A4586" t="str">
            <v>VARDHAMAN LABORATORIES LTD</v>
          </cell>
          <cell r="B4586">
            <v>524796</v>
          </cell>
          <cell r="C4586" t="str">
            <v>Not Listed</v>
          </cell>
        </row>
        <row r="4587">
          <cell r="A4587" t="str">
            <v>VARDHMAN ACRYLICS LTD</v>
          </cell>
          <cell r="B4587" t="str">
            <v>Not Listed</v>
          </cell>
          <cell r="C4587" t="str">
            <v>VARDHACRLC</v>
          </cell>
        </row>
        <row r="4588">
          <cell r="A4588" t="str">
            <v>VARDHMAN CONCRETE LTD</v>
          </cell>
          <cell r="B4588">
            <v>531444</v>
          </cell>
          <cell r="C4588" t="str">
            <v>Not Listed</v>
          </cell>
        </row>
        <row r="4589">
          <cell r="A4589" t="str">
            <v>VARDHMAN HOLDINGS LTD</v>
          </cell>
          <cell r="B4589">
            <v>500439</v>
          </cell>
          <cell r="C4589" t="str">
            <v>VHL</v>
          </cell>
        </row>
        <row r="4590">
          <cell r="A4590" t="str">
            <v>VARDHMAN INDUSTRIES LTD</v>
          </cell>
          <cell r="B4590">
            <v>513534</v>
          </cell>
          <cell r="C4590" t="str">
            <v>Not Listed</v>
          </cell>
        </row>
        <row r="4591">
          <cell r="A4591" t="str">
            <v>VARDHMAN POLYTEX LTD</v>
          </cell>
          <cell r="B4591">
            <v>514175</v>
          </cell>
          <cell r="C4591" t="str">
            <v>VARDMNPOLY</v>
          </cell>
        </row>
        <row r="4592">
          <cell r="A4592" t="str">
            <v>VARDHMAN SPECIAL STEELS LTD</v>
          </cell>
          <cell r="B4592">
            <v>534392</v>
          </cell>
          <cell r="C4592" t="str">
            <v>VSSL</v>
          </cell>
        </row>
        <row r="4593">
          <cell r="A4593" t="str">
            <v>VARDHMAN TEXTILES LTD</v>
          </cell>
          <cell r="B4593">
            <v>502986</v>
          </cell>
          <cell r="C4593" t="str">
            <v>VTL</v>
          </cell>
        </row>
        <row r="4594">
          <cell r="A4594" t="str">
            <v>VARROC ENGINEERING LTD</v>
          </cell>
          <cell r="B4594">
            <v>541578</v>
          </cell>
          <cell r="C4594" t="str">
            <v>VARROC</v>
          </cell>
        </row>
        <row r="4595">
          <cell r="A4595" t="str">
            <v>VARUN BEVERAGES LTD</v>
          </cell>
          <cell r="B4595">
            <v>540180</v>
          </cell>
          <cell r="C4595" t="str">
            <v>VBL</v>
          </cell>
        </row>
        <row r="4596">
          <cell r="A4596" t="str">
            <v>VARUN MERCANTILE LTD</v>
          </cell>
          <cell r="B4596">
            <v>512511</v>
          </cell>
          <cell r="C4596" t="str">
            <v>Not Listed</v>
          </cell>
        </row>
        <row r="4597">
          <cell r="A4597" t="str">
            <v>VAS INFRASTRUCTURE LTD</v>
          </cell>
          <cell r="B4597">
            <v>531574</v>
          </cell>
          <cell r="C4597" t="str">
            <v>Not Listed</v>
          </cell>
        </row>
        <row r="4598">
          <cell r="A4598" t="str">
            <v>VASA RETAIL AND OVERSEAS LTD</v>
          </cell>
          <cell r="B4598" t="str">
            <v>Not Listed</v>
          </cell>
          <cell r="C4598" t="str">
            <v>VASA</v>
          </cell>
        </row>
        <row r="4599">
          <cell r="A4599" t="str">
            <v>VASCON ENGINEERS LTD</v>
          </cell>
          <cell r="B4599">
            <v>533156</v>
          </cell>
          <cell r="C4599" t="str">
            <v>VASCONEQ</v>
          </cell>
        </row>
        <row r="4600">
          <cell r="A4600" t="str">
            <v>VASUNDHARA RASAYANS LTD</v>
          </cell>
          <cell r="B4600">
            <v>538634</v>
          </cell>
          <cell r="C4600" t="str">
            <v>Not Listed</v>
          </cell>
        </row>
        <row r="4601">
          <cell r="A4601" t="str">
            <v>VASWANI INDUSTRIES LTD</v>
          </cell>
          <cell r="B4601">
            <v>533576</v>
          </cell>
          <cell r="C4601" t="str">
            <v>VASWANI</v>
          </cell>
        </row>
        <row r="4602">
          <cell r="A4602" t="str">
            <v>VAX HOUSING FINANCE CORPORATION LTD</v>
          </cell>
          <cell r="B4602">
            <v>531650</v>
          </cell>
          <cell r="C4602" t="str">
            <v>Not Listed</v>
          </cell>
        </row>
        <row r="4603">
          <cell r="A4603" t="str">
            <v>VBC FERRO ALLOYS LTD</v>
          </cell>
          <cell r="B4603">
            <v>513005</v>
          </cell>
          <cell r="C4603" t="str">
            <v>Not Listed</v>
          </cell>
        </row>
        <row r="4604">
          <cell r="A4604" t="str">
            <v>VCK CAPITAL MARKET SERVICES LTD</v>
          </cell>
          <cell r="B4604">
            <v>511493</v>
          </cell>
          <cell r="C4604" t="str">
            <v>Not Listed</v>
          </cell>
        </row>
        <row r="4605">
          <cell r="A4605" t="str">
            <v>VCU DATA MANAGEMENT LTD</v>
          </cell>
          <cell r="B4605">
            <v>536672</v>
          </cell>
          <cell r="C4605" t="str">
            <v>Not Listed</v>
          </cell>
        </row>
        <row r="4606">
          <cell r="A4606" t="str">
            <v>VEDANTA LTD</v>
          </cell>
          <cell r="B4606">
            <v>500295</v>
          </cell>
          <cell r="C4606" t="str">
            <v>VEDL</v>
          </cell>
        </row>
        <row r="4607">
          <cell r="A4607" t="str">
            <v>VEDAVAAG SYSTEMS LTD</v>
          </cell>
          <cell r="B4607">
            <v>533056</v>
          </cell>
          <cell r="C4607" t="str">
            <v>Not Listed</v>
          </cell>
        </row>
        <row r="4608">
          <cell r="A4608" t="str">
            <v>VEEJAY LAKSHMI ENGINEERING WORKS LTD</v>
          </cell>
          <cell r="B4608">
            <v>522267</v>
          </cell>
          <cell r="C4608" t="str">
            <v>Not Listed</v>
          </cell>
        </row>
        <row r="4609">
          <cell r="A4609" t="str">
            <v>VEER ENERGY &amp; INFRASTRUCTURE LTD</v>
          </cell>
          <cell r="B4609">
            <v>503657</v>
          </cell>
          <cell r="C4609" t="str">
            <v>Not Listed</v>
          </cell>
        </row>
        <row r="4610">
          <cell r="A4610" t="str">
            <v>VEERAM INFRA ENGINEERING LTD</v>
          </cell>
          <cell r="B4610">
            <v>542046</v>
          </cell>
          <cell r="C4610" t="str">
            <v>Not Listed</v>
          </cell>
        </row>
        <row r="4611">
          <cell r="A4611" t="str">
            <v>VEERAM ORNAMENTS LTD</v>
          </cell>
          <cell r="B4611">
            <v>540252</v>
          </cell>
          <cell r="C4611" t="str">
            <v>Not Listed</v>
          </cell>
        </row>
        <row r="4612">
          <cell r="A4612" t="str">
            <v>VEERHEALTH CARE LTD</v>
          </cell>
          <cell r="B4612">
            <v>511523</v>
          </cell>
          <cell r="C4612" t="str">
            <v>Not Listed</v>
          </cell>
        </row>
        <row r="4613">
          <cell r="A4613" t="str">
            <v>VEGETABLE PRODUCTS LTD</v>
          </cell>
          <cell r="B4613">
            <v>539132</v>
          </cell>
          <cell r="C4613" t="str">
            <v>Not Listed</v>
          </cell>
        </row>
        <row r="4614">
          <cell r="A4614" t="str">
            <v>VELAN HOTELS LTD</v>
          </cell>
          <cell r="B4614">
            <v>526755</v>
          </cell>
          <cell r="C4614" t="str">
            <v>Not Listed</v>
          </cell>
        </row>
        <row r="4615">
          <cell r="A4615" t="str">
            <v>VELJAN DENISON LTD</v>
          </cell>
          <cell r="B4615">
            <v>505232</v>
          </cell>
          <cell r="C4615" t="str">
            <v>Not Listed</v>
          </cell>
        </row>
        <row r="4616">
          <cell r="A4616" t="str">
            <v>VENKY'S (INDIA) LTD</v>
          </cell>
          <cell r="B4616">
            <v>523261</v>
          </cell>
          <cell r="C4616" t="str">
            <v>VENKEYS</v>
          </cell>
        </row>
        <row r="4617">
          <cell r="A4617" t="str">
            <v>VENKY'S INDIA LTD</v>
          </cell>
          <cell r="B4617">
            <v>523261</v>
          </cell>
          <cell r="C4617" t="str">
            <v>VENKEYS</v>
          </cell>
        </row>
        <row r="4618">
          <cell r="A4618" t="str">
            <v>VENLON ENTERPRISES LTD</v>
          </cell>
          <cell r="B4618">
            <v>524038</v>
          </cell>
          <cell r="C4618" t="str">
            <v>Not Listed</v>
          </cell>
        </row>
        <row r="4619">
          <cell r="A4619" t="str">
            <v>VENTURA GUARANTY LTD.</v>
          </cell>
          <cell r="B4619">
            <v>512060</v>
          </cell>
          <cell r="C4619" t="str">
            <v>SHYAM</v>
          </cell>
        </row>
        <row r="4620">
          <cell r="A4620" t="str">
            <v>VENTURA TEXTILES LTD</v>
          </cell>
          <cell r="B4620">
            <v>516098</v>
          </cell>
          <cell r="C4620" t="str">
            <v>Not Listed</v>
          </cell>
        </row>
        <row r="4621">
          <cell r="A4621" t="str">
            <v>VENUS REMEDIES LTD</v>
          </cell>
          <cell r="B4621">
            <v>526953</v>
          </cell>
          <cell r="C4621" t="str">
            <v>VENUSREM</v>
          </cell>
        </row>
        <row r="4622">
          <cell r="A4622" t="str">
            <v>VERA SYNTHETIC LTD</v>
          </cell>
          <cell r="B4622" t="str">
            <v>Not Listed</v>
          </cell>
          <cell r="C4622" t="str">
            <v>VERA</v>
          </cell>
        </row>
        <row r="4623">
          <cell r="A4623" t="str">
            <v>VERITAS (INDIA) LTD</v>
          </cell>
          <cell r="B4623">
            <v>512229</v>
          </cell>
          <cell r="C4623" t="str">
            <v>Not Listed</v>
          </cell>
        </row>
        <row r="4624">
          <cell r="A4624" t="str">
            <v>VERITAS INDIA LTD</v>
          </cell>
          <cell r="B4624">
            <v>512229</v>
          </cell>
          <cell r="C4624" t="str">
            <v>Not Listed</v>
          </cell>
        </row>
        <row r="4625">
          <cell r="A4625" t="str">
            <v>VERONICA PRODUCTION LTD</v>
          </cell>
          <cell r="B4625">
            <v>531695</v>
          </cell>
          <cell r="C4625" t="str">
            <v>Not Listed</v>
          </cell>
        </row>
        <row r="4626">
          <cell r="A4626" t="str">
            <v>VERTEX SECURITIES LTD</v>
          </cell>
          <cell r="B4626">
            <v>531950</v>
          </cell>
          <cell r="C4626" t="str">
            <v>Not Listed</v>
          </cell>
        </row>
        <row r="4627">
          <cell r="A4627" t="str">
            <v>VERTICAL INDUSTRIES LTD</v>
          </cell>
          <cell r="B4627">
            <v>515099</v>
          </cell>
          <cell r="C4627" t="str">
            <v>Not Listed</v>
          </cell>
        </row>
        <row r="4628">
          <cell r="A4628" t="str">
            <v>VERTOZ ADVERTISING LTD</v>
          </cell>
          <cell r="B4628" t="str">
            <v>Not Listed</v>
          </cell>
          <cell r="C4628" t="str">
            <v>VERTOZ</v>
          </cell>
        </row>
        <row r="4629">
          <cell r="A4629" t="str">
            <v>VESUVIUS (INDIA) LTD</v>
          </cell>
          <cell r="B4629">
            <v>520113</v>
          </cell>
          <cell r="C4629" t="str">
            <v>VESUVIUS</v>
          </cell>
        </row>
        <row r="4630">
          <cell r="A4630" t="str">
            <v>VESUVIUS INDIA LTD</v>
          </cell>
          <cell r="B4630">
            <v>520113</v>
          </cell>
          <cell r="C4630" t="str">
            <v>VESUVIUS</v>
          </cell>
        </row>
        <row r="4631">
          <cell r="A4631" t="str">
            <v>VETO SWITCHGEARS AND CABLES LTD</v>
          </cell>
          <cell r="B4631">
            <v>539331</v>
          </cell>
          <cell r="C4631" t="str">
            <v>VETO</v>
          </cell>
        </row>
        <row r="4632">
          <cell r="A4632" t="str">
            <v>V-GUARD INDUSTRIES LTD</v>
          </cell>
          <cell r="B4632">
            <v>532953</v>
          </cell>
          <cell r="C4632" t="str">
            <v>VGUARD</v>
          </cell>
        </row>
        <row r="4633">
          <cell r="A4633" t="str">
            <v>VIAAN INDUSTRIES LTD</v>
          </cell>
          <cell r="B4633">
            <v>537524</v>
          </cell>
          <cell r="C4633" t="str">
            <v>Not Listed</v>
          </cell>
        </row>
        <row r="4634">
          <cell r="A4634" t="str">
            <v>VIBRANT GLOBAL CAPITAL LTD</v>
          </cell>
          <cell r="B4634">
            <v>538732</v>
          </cell>
          <cell r="C4634" t="str">
            <v>Not Listed</v>
          </cell>
        </row>
        <row r="4635">
          <cell r="A4635" t="str">
            <v>VICEROY HOTELS LTD</v>
          </cell>
          <cell r="B4635">
            <v>523796</v>
          </cell>
          <cell r="C4635" t="str">
            <v>VICEROY</v>
          </cell>
        </row>
        <row r="4636">
          <cell r="A4636" t="str">
            <v>VICTORIA MILLS LTD</v>
          </cell>
          <cell r="B4636">
            <v>503349</v>
          </cell>
          <cell r="C4636" t="str">
            <v>Not Listed</v>
          </cell>
        </row>
        <row r="4637">
          <cell r="A4637" t="str">
            <v>VICTORY PAPER &amp; BOARDS (INDIA) LTD</v>
          </cell>
          <cell r="B4637">
            <v>531234</v>
          </cell>
          <cell r="C4637" t="str">
            <v>Not Listed</v>
          </cell>
        </row>
        <row r="4638">
          <cell r="A4638" t="str">
            <v>VICTORY PAPER &amp; BOARDS INDIA LTD</v>
          </cell>
          <cell r="B4638">
            <v>531234</v>
          </cell>
          <cell r="C4638" t="str">
            <v>Not Listed</v>
          </cell>
        </row>
        <row r="4639">
          <cell r="A4639" t="str">
            <v>VIDEOCON INDUSTRIES LTD</v>
          </cell>
          <cell r="B4639">
            <v>511389</v>
          </cell>
          <cell r="C4639" t="str">
            <v>VIDEOIND</v>
          </cell>
        </row>
        <row r="4640">
          <cell r="A4640" t="str">
            <v>VIDHI SPECIALTY FOOD INGREDIENTS LTD</v>
          </cell>
          <cell r="B4640">
            <v>531717</v>
          </cell>
          <cell r="C4640" t="str">
            <v>VIDHIING</v>
          </cell>
        </row>
        <row r="4641">
          <cell r="A4641" t="str">
            <v>VIDLI RESTAURANTS LTD</v>
          </cell>
          <cell r="B4641">
            <v>539659</v>
          </cell>
          <cell r="C4641" t="str">
            <v>Not Listed</v>
          </cell>
        </row>
        <row r="4642">
          <cell r="A4642" t="str">
            <v>VIJAY SHANTHI BUILDERS LTD</v>
          </cell>
          <cell r="B4642">
            <v>523724</v>
          </cell>
          <cell r="C4642" t="str">
            <v>VIJSHAN</v>
          </cell>
        </row>
        <row r="4643">
          <cell r="A4643" t="str">
            <v>VIJAY SOLVEX LTD</v>
          </cell>
          <cell r="B4643">
            <v>531069</v>
          </cell>
          <cell r="C4643" t="str">
            <v>Not Listed</v>
          </cell>
        </row>
        <row r="4644">
          <cell r="A4644" t="str">
            <v>VIJAY TEXTILES LTD</v>
          </cell>
          <cell r="B4644">
            <v>530151</v>
          </cell>
          <cell r="C4644" t="str">
            <v>Not Listed</v>
          </cell>
        </row>
        <row r="4645">
          <cell r="A4645" t="str">
            <v>VIJAYA BANK</v>
          </cell>
          <cell r="B4645">
            <v>532401</v>
          </cell>
          <cell r="C4645" t="str">
            <v>VIJAYABANK</v>
          </cell>
        </row>
        <row r="4646">
          <cell r="A4646" t="str">
            <v>VIJI FINANCE LTD</v>
          </cell>
          <cell r="B4646">
            <v>537820</v>
          </cell>
          <cell r="C4646" t="str">
            <v>VIJIFIN</v>
          </cell>
        </row>
        <row r="4647">
          <cell r="A4647" t="str">
            <v>VIKALP SECURITIES LTD</v>
          </cell>
          <cell r="B4647">
            <v>531334</v>
          </cell>
          <cell r="C4647" t="str">
            <v>Not Listed</v>
          </cell>
        </row>
        <row r="4648">
          <cell r="A4648" t="str">
            <v>VIKAS ECOTECH LTD</v>
          </cell>
          <cell r="B4648">
            <v>530961</v>
          </cell>
          <cell r="C4648" t="str">
            <v>VIKASECO</v>
          </cell>
        </row>
        <row r="4649">
          <cell r="A4649" t="str">
            <v>Vikas Multicorp Ltd</v>
          </cell>
          <cell r="B4649">
            <v>542655</v>
          </cell>
          <cell r="C4649" t="str">
            <v>VIKASMCORP</v>
          </cell>
        </row>
        <row r="4650">
          <cell r="A4650" t="str">
            <v>VIKAS PROPPANT &amp; GRANITE LTD</v>
          </cell>
          <cell r="B4650">
            <v>531518</v>
          </cell>
          <cell r="C4650" t="str">
            <v>Not Listed</v>
          </cell>
        </row>
        <row r="4651">
          <cell r="A4651" t="str">
            <v>VIKAS WSP LTD</v>
          </cell>
          <cell r="B4651">
            <v>519307</v>
          </cell>
          <cell r="C4651" t="str">
            <v>Not Listed</v>
          </cell>
        </row>
        <row r="4652">
          <cell r="A4652" t="str">
            <v>VIKRAM THERMO (INDIA) LTD</v>
          </cell>
          <cell r="B4652">
            <v>530477</v>
          </cell>
          <cell r="C4652" t="str">
            <v>Not Listed</v>
          </cell>
        </row>
        <row r="4653">
          <cell r="A4653" t="str">
            <v>VIKRAM THERMO INDIA LTD</v>
          </cell>
          <cell r="B4653">
            <v>530477</v>
          </cell>
          <cell r="C4653" t="str">
            <v>Not Listed</v>
          </cell>
        </row>
        <row r="4654">
          <cell r="A4654" t="str">
            <v>VIKSIT ENGINEERING LTD</v>
          </cell>
          <cell r="B4654">
            <v>506196</v>
          </cell>
          <cell r="C4654" t="str">
            <v>Not Listed</v>
          </cell>
        </row>
        <row r="4655">
          <cell r="A4655" t="str">
            <v>VIMAL OIL &amp; FOODS LTD</v>
          </cell>
          <cell r="B4655">
            <v>519373</v>
          </cell>
          <cell r="C4655" t="str">
            <v>VIMALOIL</v>
          </cell>
        </row>
        <row r="4656">
          <cell r="A4656" t="str">
            <v>VIMTA LABS LTD</v>
          </cell>
          <cell r="B4656">
            <v>524394</v>
          </cell>
          <cell r="C4656" t="str">
            <v>VIMTALABS</v>
          </cell>
        </row>
        <row r="4657">
          <cell r="A4657" t="str">
            <v>VINADITYA TRADING CO LTD</v>
          </cell>
          <cell r="B4657">
            <v>504380</v>
          </cell>
          <cell r="C4657" t="str">
            <v>Not Listed</v>
          </cell>
        </row>
        <row r="4658">
          <cell r="A4658" t="str">
            <v>VINATI ORGANICS LTD</v>
          </cell>
          <cell r="B4658">
            <v>524200</v>
          </cell>
          <cell r="C4658" t="str">
            <v>VINATIORGA</v>
          </cell>
        </row>
        <row r="4659">
          <cell r="A4659" t="str">
            <v>VINAYAK POLYCON INTERNATIONAL LTD</v>
          </cell>
          <cell r="B4659">
            <v>534639</v>
          </cell>
          <cell r="C4659" t="str">
            <v>Not Listed</v>
          </cell>
        </row>
        <row r="4660">
          <cell r="A4660" t="str">
            <v>VINDHYA TELELINKS LTD</v>
          </cell>
          <cell r="B4660">
            <v>517015</v>
          </cell>
          <cell r="C4660" t="str">
            <v>VINDHYATEL</v>
          </cell>
        </row>
        <row r="4661">
          <cell r="A4661" t="str">
            <v>VINNY OVERSEAS LTD</v>
          </cell>
          <cell r="B4661" t="str">
            <v>Not Listed</v>
          </cell>
          <cell r="C4661" t="str">
            <v>VINNY</v>
          </cell>
        </row>
        <row r="4662">
          <cell r="A4662" t="str">
            <v>VINTAGE SECURITIES LTD</v>
          </cell>
          <cell r="B4662">
            <v>531051</v>
          </cell>
          <cell r="C4662" t="str">
            <v>Not Listed</v>
          </cell>
        </row>
        <row r="4663">
          <cell r="A4663" t="str">
            <v>VINYL CHEMICALS (INDIA) LTD</v>
          </cell>
          <cell r="B4663">
            <v>524129</v>
          </cell>
          <cell r="C4663" t="str">
            <v>VINYL(INDIA)</v>
          </cell>
        </row>
        <row r="4664">
          <cell r="A4664" t="str">
            <v>VINYL CHEMICALS INDIA LTD</v>
          </cell>
          <cell r="B4664">
            <v>524129</v>
          </cell>
          <cell r="C4664" t="str">
            <v>VINYLINDIA</v>
          </cell>
        </row>
        <row r="4665">
          <cell r="A4665" t="str">
            <v>VINYOFLEX LTD</v>
          </cell>
          <cell r="B4665">
            <v>530401</v>
          </cell>
          <cell r="C4665" t="str">
            <v>Not Listed</v>
          </cell>
        </row>
        <row r="4666">
          <cell r="A4666" t="str">
            <v>VIP CLOTHING LTD</v>
          </cell>
          <cell r="B4666">
            <v>532613</v>
          </cell>
          <cell r="C4666" t="str">
            <v>VIPCLOTHNG</v>
          </cell>
        </row>
        <row r="4667">
          <cell r="A4667" t="str">
            <v>VIP INDUSTRIES LTD</v>
          </cell>
          <cell r="B4667">
            <v>507880</v>
          </cell>
          <cell r="C4667" t="str">
            <v>VIPIND</v>
          </cell>
        </row>
        <row r="4668">
          <cell r="A4668" t="str">
            <v>VIPPY SPINPRO LTD</v>
          </cell>
          <cell r="B4668">
            <v>514302</v>
          </cell>
          <cell r="C4668" t="str">
            <v>Not Listed</v>
          </cell>
        </row>
        <row r="4669">
          <cell r="A4669" t="str">
            <v>VIPUL LTD</v>
          </cell>
          <cell r="B4669">
            <v>511726</v>
          </cell>
          <cell r="C4669" t="str">
            <v>VIPULLTD</v>
          </cell>
        </row>
        <row r="4670">
          <cell r="A4670" t="str">
            <v>VIPUL ORGANICS LTD</v>
          </cell>
          <cell r="B4670">
            <v>530627</v>
          </cell>
          <cell r="C4670" t="str">
            <v>Not Listed</v>
          </cell>
        </row>
        <row r="4671">
          <cell r="A4671" t="str">
            <v>VIRAT CRANE INDUSTRIES LTD</v>
          </cell>
          <cell r="B4671">
            <v>519457</v>
          </cell>
          <cell r="C4671" t="str">
            <v>Not Listed</v>
          </cell>
        </row>
        <row r="4672">
          <cell r="A4672" t="str">
            <v>VIRAT INDUSTRIES LTD</v>
          </cell>
          <cell r="B4672">
            <v>530521</v>
          </cell>
          <cell r="C4672" t="str">
            <v>Not Listed</v>
          </cell>
        </row>
        <row r="4673">
          <cell r="A4673" t="str">
            <v>VIRAT LEASING LTD</v>
          </cell>
          <cell r="B4673">
            <v>539167</v>
          </cell>
          <cell r="C4673" t="str">
            <v>Not Listed</v>
          </cell>
        </row>
        <row r="4674">
          <cell r="A4674" t="str">
            <v>VIRGO GLOBAL LTD</v>
          </cell>
          <cell r="B4674">
            <v>532354</v>
          </cell>
          <cell r="C4674" t="str">
            <v>Not Listed</v>
          </cell>
        </row>
        <row r="4675">
          <cell r="A4675" t="str">
            <v>VIRINCHI LTD</v>
          </cell>
          <cell r="B4675">
            <v>532372</v>
          </cell>
          <cell r="C4675" t="str">
            <v>Not Listed</v>
          </cell>
        </row>
        <row r="4676">
          <cell r="A4676" t="str">
            <v>VIRTUAL GLOBAL EDUCATION LTD</v>
          </cell>
          <cell r="B4676">
            <v>534741</v>
          </cell>
          <cell r="C4676" t="str">
            <v>Not Listed</v>
          </cell>
        </row>
        <row r="4677">
          <cell r="A4677" t="str">
            <v>VIRTUALSOFT SYSTEMS LTD</v>
          </cell>
          <cell r="B4677">
            <v>531126</v>
          </cell>
          <cell r="C4677" t="str">
            <v>Not Listed</v>
          </cell>
        </row>
        <row r="4678">
          <cell r="A4678" t="str">
            <v>VISA STEEL LTD</v>
          </cell>
          <cell r="B4678">
            <v>532721</v>
          </cell>
          <cell r="C4678" t="str">
            <v>VISASTEEL</v>
          </cell>
        </row>
        <row r="4679">
          <cell r="A4679" t="str">
            <v>VISAGAR FINANCIAL SERVICES LTD</v>
          </cell>
          <cell r="B4679">
            <v>531025</v>
          </cell>
          <cell r="C4679" t="str">
            <v>Not Listed</v>
          </cell>
        </row>
        <row r="4680">
          <cell r="A4680" t="str">
            <v>VISAGAR POLYTEX LTD</v>
          </cell>
          <cell r="B4680">
            <v>506146</v>
          </cell>
          <cell r="C4680" t="str">
            <v>VIVIDHA</v>
          </cell>
        </row>
        <row r="4681">
          <cell r="A4681" t="str">
            <v>VISAKA INDUSTRIES LTD</v>
          </cell>
          <cell r="B4681">
            <v>509055</v>
          </cell>
          <cell r="C4681" t="str">
            <v>VISAKAIND</v>
          </cell>
        </row>
        <row r="4682">
          <cell r="A4682" t="str">
            <v>VISCO TRADE ASSOCIATES LTD</v>
          </cell>
          <cell r="B4682">
            <v>540097</v>
          </cell>
          <cell r="C4682" t="str">
            <v>Not Listed</v>
          </cell>
        </row>
        <row r="4683">
          <cell r="A4683" t="str">
            <v>VISESH INFOTECNICS LTD</v>
          </cell>
          <cell r="B4683">
            <v>532411</v>
          </cell>
          <cell r="C4683" t="str">
            <v>VISESHINFO</v>
          </cell>
        </row>
        <row r="4684">
          <cell r="A4684" t="str">
            <v>VISHAL BEARINGS LTD</v>
          </cell>
          <cell r="B4684">
            <v>539398</v>
          </cell>
          <cell r="C4684" t="str">
            <v>Not Listed</v>
          </cell>
        </row>
        <row r="4685">
          <cell r="A4685" t="str">
            <v>VISHAL FABRICS LTD</v>
          </cell>
          <cell r="B4685">
            <v>538598</v>
          </cell>
          <cell r="C4685" t="str">
            <v>Not Listed</v>
          </cell>
        </row>
        <row r="4686">
          <cell r="A4686" t="str">
            <v>VISHNU CHEMICALS LTD</v>
          </cell>
          <cell r="B4686">
            <v>516072</v>
          </cell>
          <cell r="C4686" t="str">
            <v>VISHNU</v>
          </cell>
        </row>
        <row r="4687">
          <cell r="A4687" t="str">
            <v>Vishvprabha Ventures Ltd</v>
          </cell>
          <cell r="B4687">
            <v>512064</v>
          </cell>
          <cell r="C4687" t="str">
            <v>VISVEN</v>
          </cell>
        </row>
        <row r="4688">
          <cell r="A4688" t="str">
            <v>VISION CINEMAS LTD</v>
          </cell>
          <cell r="B4688">
            <v>526441</v>
          </cell>
          <cell r="C4688" t="str">
            <v>Not Listed</v>
          </cell>
        </row>
        <row r="4689">
          <cell r="A4689" t="str">
            <v>VISION CORPORATION LTD</v>
          </cell>
          <cell r="B4689">
            <v>531668</v>
          </cell>
          <cell r="C4689" t="str">
            <v>Not Listed</v>
          </cell>
        </row>
        <row r="4690">
          <cell r="A4690" t="str">
            <v>VISTA PHARMACEUTICALS LTD</v>
          </cell>
          <cell r="B4690">
            <v>524711</v>
          </cell>
          <cell r="C4690" t="str">
            <v>Not Listed</v>
          </cell>
        </row>
        <row r="4691">
          <cell r="A4691" t="str">
            <v>VISTAR AMAR LTD</v>
          </cell>
          <cell r="B4691">
            <v>538565</v>
          </cell>
          <cell r="C4691" t="str">
            <v>Not Listed</v>
          </cell>
        </row>
        <row r="4692">
          <cell r="A4692" t="str">
            <v>VITESSE AGRO LTD</v>
          </cell>
          <cell r="B4692">
            <v>540823</v>
          </cell>
          <cell r="C4692" t="str">
            <v>Not Listed</v>
          </cell>
        </row>
        <row r="4693">
          <cell r="A4693" t="str">
            <v>VIVANTA INDUSTRIES LTD</v>
          </cell>
          <cell r="B4693">
            <v>541735</v>
          </cell>
          <cell r="C4693" t="str">
            <v>Not Listed</v>
          </cell>
        </row>
        <row r="4694">
          <cell r="A4694" t="str">
            <v>VIVANZA BIOSCIENCES LTD</v>
          </cell>
          <cell r="B4694">
            <v>530057</v>
          </cell>
          <cell r="C4694" t="str">
            <v>Not Listed</v>
          </cell>
        </row>
        <row r="4695">
          <cell r="A4695" t="str">
            <v>VIVID GLOBAL INDUSTRIES LTD</v>
          </cell>
          <cell r="B4695">
            <v>524576</v>
          </cell>
          <cell r="C4695" t="str">
            <v>Not Listed</v>
          </cell>
        </row>
        <row r="4696">
          <cell r="A4696" t="str">
            <v>VIVIMED LABS LTD</v>
          </cell>
          <cell r="B4696">
            <v>532660</v>
          </cell>
          <cell r="C4696" t="str">
            <v>VIVIMEDLAB</v>
          </cell>
        </row>
        <row r="4697">
          <cell r="A4697" t="str">
            <v>VIVO BIO TECH LTD</v>
          </cell>
          <cell r="B4697">
            <v>511509</v>
          </cell>
          <cell r="C4697" t="str">
            <v>Not Listed</v>
          </cell>
        </row>
        <row r="4698">
          <cell r="A4698" t="str">
            <v>VJTF EDUSERVICES LTD</v>
          </cell>
          <cell r="B4698">
            <v>509026</v>
          </cell>
          <cell r="C4698" t="str">
            <v>Not Listed</v>
          </cell>
        </row>
        <row r="4699">
          <cell r="A4699" t="str">
            <v>VKJ INFRADEVELOPERS LTD</v>
          </cell>
          <cell r="B4699">
            <v>536128</v>
          </cell>
          <cell r="C4699" t="str">
            <v>Not Listed</v>
          </cell>
        </row>
        <row r="4700">
          <cell r="A4700" t="str">
            <v>VLS FINANCE LTD</v>
          </cell>
          <cell r="B4700">
            <v>511333</v>
          </cell>
          <cell r="C4700" t="str">
            <v>VLSFINANCE</v>
          </cell>
        </row>
        <row r="4701">
          <cell r="A4701" t="str">
            <v>V-MART RETAIL LTD</v>
          </cell>
          <cell r="B4701">
            <v>534976</v>
          </cell>
          <cell r="C4701" t="str">
            <v>VMART</v>
          </cell>
        </row>
        <row r="4702">
          <cell r="A4702" t="str">
            <v>VMS INDUSTRIES LTD</v>
          </cell>
          <cell r="B4702">
            <v>533427</v>
          </cell>
          <cell r="C4702" t="str">
            <v>Not Listed</v>
          </cell>
        </row>
        <row r="4703">
          <cell r="A4703" t="str">
            <v>VMV HOLIDAYS LTD</v>
          </cell>
          <cell r="B4703">
            <v>539222</v>
          </cell>
          <cell r="C4703" t="str">
            <v>Not Listed</v>
          </cell>
        </row>
        <row r="4704">
          <cell r="A4704" t="str">
            <v>VODAFONE IDEA LTD</v>
          </cell>
          <cell r="B4704">
            <v>532822</v>
          </cell>
          <cell r="C4704" t="str">
            <v>IDEA</v>
          </cell>
        </row>
        <row r="4705">
          <cell r="A4705" t="str">
            <v>VOITH PAPER FABRICS (INDIA) LTD</v>
          </cell>
          <cell r="B4705">
            <v>522122</v>
          </cell>
          <cell r="C4705" t="str">
            <v>Not Listed</v>
          </cell>
        </row>
        <row r="4706">
          <cell r="A4706" t="str">
            <v>VOITH PAPER FABRICS INDIA LTD</v>
          </cell>
          <cell r="B4706">
            <v>522122</v>
          </cell>
          <cell r="C4706" t="str">
            <v>Not Listed</v>
          </cell>
        </row>
        <row r="4707">
          <cell r="A4707" t="str">
            <v>VOLTAIRE LEASING &amp; FINANCE LTD</v>
          </cell>
          <cell r="B4707">
            <v>509038</v>
          </cell>
          <cell r="C4707" t="str">
            <v>Not Listed</v>
          </cell>
        </row>
        <row r="4708">
          <cell r="A4708" t="str">
            <v>VOLTAMP TRANSFORMERS LTD</v>
          </cell>
          <cell r="B4708">
            <v>532757</v>
          </cell>
          <cell r="C4708" t="str">
            <v>VOLTAMP</v>
          </cell>
        </row>
        <row r="4709">
          <cell r="A4709" t="str">
            <v>VOLTAS LTD</v>
          </cell>
          <cell r="B4709">
            <v>500575</v>
          </cell>
          <cell r="C4709" t="str">
            <v>VOLTAS</v>
          </cell>
        </row>
        <row r="4710">
          <cell r="A4710" t="str">
            <v>VORA CONSTRUCTIONS LTD</v>
          </cell>
          <cell r="B4710">
            <v>512215</v>
          </cell>
          <cell r="C4710" t="str">
            <v>Not Listed</v>
          </cell>
        </row>
        <row r="4711">
          <cell r="A4711" t="str">
            <v>VRL LOGISTICS LTD</v>
          </cell>
          <cell r="B4711">
            <v>539118</v>
          </cell>
          <cell r="C4711" t="str">
            <v>VRLLOG</v>
          </cell>
        </row>
        <row r="4712">
          <cell r="A4712" t="str">
            <v>VSF PROJECTS LTD</v>
          </cell>
          <cell r="B4712">
            <v>519331</v>
          </cell>
          <cell r="C4712" t="str">
            <v>Not Listed</v>
          </cell>
        </row>
        <row r="4713">
          <cell r="A4713" t="str">
            <v>VST INDUSTRIES LTD</v>
          </cell>
          <cell r="B4713">
            <v>509966</v>
          </cell>
          <cell r="C4713" t="str">
            <v>VSTIND</v>
          </cell>
        </row>
        <row r="4714">
          <cell r="A4714" t="str">
            <v>VTM LTD</v>
          </cell>
          <cell r="B4714">
            <v>532893</v>
          </cell>
          <cell r="C4714" t="str">
            <v>Not Listed</v>
          </cell>
        </row>
        <row r="4715">
          <cell r="A4715" t="str">
            <v>VXL INSTRUMENTS LTD.</v>
          </cell>
          <cell r="B4715">
            <v>517399</v>
          </cell>
          <cell r="C4715" t="str">
            <v>VXLINSTR</v>
          </cell>
        </row>
        <row r="4716">
          <cell r="A4716" t="str">
            <v>VYAPAR INDUSTRIES LTD</v>
          </cell>
          <cell r="B4716">
            <v>506142</v>
          </cell>
          <cell r="C4716" t="str">
            <v>Not Listed</v>
          </cell>
        </row>
        <row r="4717">
          <cell r="A4717" t="str">
            <v>W H BRADY &amp; CO LTD</v>
          </cell>
          <cell r="B4717">
            <v>501391</v>
          </cell>
          <cell r="C4717" t="str">
            <v>Not Listed</v>
          </cell>
        </row>
        <row r="4718">
          <cell r="A4718" t="str">
            <v>W S INDUSTRIES (INDIA) LTD</v>
          </cell>
          <cell r="B4718">
            <v>504220</v>
          </cell>
          <cell r="C4718" t="str">
            <v>Not Listed</v>
          </cell>
        </row>
        <row r="4719">
          <cell r="A4719" t="str">
            <v>W S INDUSTRIES I LTD</v>
          </cell>
          <cell r="B4719" t="str">
            <v>Not Listed</v>
          </cell>
          <cell r="C4719" t="str">
            <v>WSI</v>
          </cell>
        </row>
        <row r="4720">
          <cell r="A4720" t="str">
            <v>W S INDUSTRIES INDIA LTD</v>
          </cell>
          <cell r="B4720">
            <v>504220</v>
          </cell>
          <cell r="C4720" t="str">
            <v>Not Listed</v>
          </cell>
        </row>
        <row r="4721">
          <cell r="A4721" t="str">
            <v>W W TECHNOLOGY HOLDINGS LTD</v>
          </cell>
          <cell r="B4721">
            <v>505583</v>
          </cell>
          <cell r="C4721" t="str">
            <v>Not Listed</v>
          </cell>
        </row>
        <row r="4722">
          <cell r="A4722" t="str">
            <v>WAA SOLAR LTD</v>
          </cell>
          <cell r="B4722">
            <v>541445</v>
          </cell>
          <cell r="C4722" t="str">
            <v>Not Listed</v>
          </cell>
        </row>
        <row r="4723">
          <cell r="A4723" t="str">
            <v>WABCO (INDIA) LTD</v>
          </cell>
          <cell r="B4723">
            <v>533023</v>
          </cell>
          <cell r="C4723" t="str">
            <v>WABCO(INDIA)</v>
          </cell>
        </row>
        <row r="4724">
          <cell r="A4724" t="str">
            <v>WABCO INDIA LTD</v>
          </cell>
          <cell r="B4724">
            <v>533023</v>
          </cell>
          <cell r="C4724" t="str">
            <v>WABCOINDIA</v>
          </cell>
        </row>
        <row r="4725">
          <cell r="A4725" t="str">
            <v>WAGEND INFRA VENTURE LTD</v>
          </cell>
          <cell r="B4725">
            <v>503675</v>
          </cell>
          <cell r="C4725" t="str">
            <v>Not Listed</v>
          </cell>
        </row>
        <row r="4726">
          <cell r="A4726" t="str">
            <v>WALCHAND PEOPLEFIRST LTD</v>
          </cell>
          <cell r="B4726">
            <v>501370</v>
          </cell>
          <cell r="C4726" t="str">
            <v>Not Listed</v>
          </cell>
        </row>
        <row r="4727">
          <cell r="A4727" t="str">
            <v>WALCHANDNAGAR INDUSTRIES LTD</v>
          </cell>
          <cell r="B4727">
            <v>507410</v>
          </cell>
          <cell r="C4727" t="str">
            <v>WALCHANNAG</v>
          </cell>
        </row>
        <row r="4728">
          <cell r="A4728" t="str">
            <v>WALL STREET FINANCE LTD</v>
          </cell>
          <cell r="B4728">
            <v>511147</v>
          </cell>
          <cell r="C4728" t="str">
            <v>Not Listed</v>
          </cell>
        </row>
        <row r="4729">
          <cell r="A4729" t="str">
            <v>WALLFORT FINANCIAL SERVICES LTD</v>
          </cell>
          <cell r="B4729">
            <v>532053</v>
          </cell>
          <cell r="C4729" t="str">
            <v>Not Listed</v>
          </cell>
        </row>
        <row r="4730">
          <cell r="A4730" t="str">
            <v>WANBURY LTD</v>
          </cell>
          <cell r="B4730">
            <v>524212</v>
          </cell>
          <cell r="C4730" t="str">
            <v>WANBURY</v>
          </cell>
        </row>
        <row r="4731">
          <cell r="A4731" t="str">
            <v>WARNER MULTIMEDIA LTD</v>
          </cell>
          <cell r="B4731">
            <v>511690</v>
          </cell>
          <cell r="C4731" t="str">
            <v>Not Listed</v>
          </cell>
        </row>
        <row r="4732">
          <cell r="A4732" t="str">
            <v>WARREN TEA LTD</v>
          </cell>
          <cell r="B4732">
            <v>508494</v>
          </cell>
          <cell r="C4732" t="str">
            <v>Not Listed</v>
          </cell>
        </row>
        <row r="4733">
          <cell r="A4733" t="str">
            <v>WATERBASE LTD</v>
          </cell>
          <cell r="B4733">
            <v>523660</v>
          </cell>
          <cell r="C4733" t="str">
            <v>Not Listed</v>
          </cell>
        </row>
        <row r="4734">
          <cell r="A4734" t="str">
            <v>WEALTH FIRST PORTFOLIO MANAGERS LTD</v>
          </cell>
          <cell r="B4734" t="str">
            <v>Not Listed</v>
          </cell>
          <cell r="C4734" t="str">
            <v>WEALTH</v>
          </cell>
        </row>
        <row r="4735">
          <cell r="A4735" t="str">
            <v>WEB ELEMENT SOLUTIONS LTD</v>
          </cell>
          <cell r="B4735">
            <v>780016</v>
          </cell>
          <cell r="C4735" t="str">
            <v>Not Listed</v>
          </cell>
        </row>
        <row r="4736">
          <cell r="A4736" t="str">
            <v>WEBSOL ENERGY SYSTEM LTD</v>
          </cell>
          <cell r="B4736">
            <v>517498</v>
          </cell>
          <cell r="C4736" t="str">
            <v>WEBELSOLAR</v>
          </cell>
        </row>
        <row r="4737">
          <cell r="A4737" t="str">
            <v>WEIZMANN FINCORP LTD</v>
          </cell>
          <cell r="B4737">
            <v>511074</v>
          </cell>
          <cell r="C4737" t="str">
            <v>Not Listed</v>
          </cell>
        </row>
        <row r="4738">
          <cell r="A4738" t="str">
            <v>WEIZMANN FOREX LTD</v>
          </cell>
          <cell r="B4738">
            <v>533452</v>
          </cell>
          <cell r="C4738" t="str">
            <v>WEIZFOREX</v>
          </cell>
        </row>
        <row r="4739">
          <cell r="A4739" t="str">
            <v>WEIZMANN LTD</v>
          </cell>
          <cell r="B4739">
            <v>523011</v>
          </cell>
          <cell r="C4739" t="str">
            <v>WEIZMANIND</v>
          </cell>
        </row>
        <row r="4740">
          <cell r="A4740" t="str">
            <v>WELCAST STEELS LTD</v>
          </cell>
          <cell r="B4740">
            <v>504988</v>
          </cell>
          <cell r="C4740" t="str">
            <v>Not Listed</v>
          </cell>
        </row>
        <row r="4741">
          <cell r="A4741" t="str">
            <v>WELCURE DRUGS &amp; PHARMACEUTICALS LTD</v>
          </cell>
          <cell r="B4741">
            <v>524661</v>
          </cell>
          <cell r="C4741" t="str">
            <v>Not Listed</v>
          </cell>
        </row>
        <row r="4742">
          <cell r="A4742" t="str">
            <v>WELLESLEY CORPORATION LTD</v>
          </cell>
          <cell r="B4742">
            <v>532016</v>
          </cell>
          <cell r="C4742" t="str">
            <v>Not Listed</v>
          </cell>
        </row>
        <row r="4743">
          <cell r="A4743" t="str">
            <v>WELLNESS NONI LTD</v>
          </cell>
          <cell r="B4743">
            <v>531211</v>
          </cell>
          <cell r="C4743" t="str">
            <v>Not Listed</v>
          </cell>
        </row>
        <row r="4744">
          <cell r="A4744" t="str">
            <v>WELSPUN (INDIA) LTD</v>
          </cell>
          <cell r="B4744">
            <v>514162</v>
          </cell>
          <cell r="C4744" t="str">
            <v>WELSPUNIND</v>
          </cell>
        </row>
        <row r="4745">
          <cell r="A4745" t="str">
            <v>WELSPUN CORP LTD</v>
          </cell>
          <cell r="B4745">
            <v>532144</v>
          </cell>
          <cell r="C4745" t="str">
            <v>WELCORP</v>
          </cell>
        </row>
        <row r="4746">
          <cell r="A4746" t="str">
            <v>WELSPUN ENTERPRISES LTD</v>
          </cell>
          <cell r="B4746">
            <v>532553</v>
          </cell>
          <cell r="C4746" t="str">
            <v>WELENT</v>
          </cell>
        </row>
        <row r="4747">
          <cell r="A4747" t="str">
            <v>WELSPUN INDIA LTD</v>
          </cell>
          <cell r="B4747">
            <v>514162</v>
          </cell>
          <cell r="C4747" t="str">
            <v>WELSPUNIND</v>
          </cell>
        </row>
        <row r="4748">
          <cell r="A4748" t="str">
            <v>WELSPUN INVESTMENTS AND COMMERCIALS LTD</v>
          </cell>
          <cell r="B4748">
            <v>533252</v>
          </cell>
          <cell r="C4748" t="str">
            <v>WELINV</v>
          </cell>
        </row>
        <row r="4749">
          <cell r="A4749" t="str">
            <v>WELTERMAN INTERNATIONAL LTD</v>
          </cell>
          <cell r="B4749">
            <v>526431</v>
          </cell>
          <cell r="C4749" t="str">
            <v>Not Listed</v>
          </cell>
        </row>
        <row r="4750">
          <cell r="A4750" t="str">
            <v>WENDT (INDIA) LTD</v>
          </cell>
          <cell r="B4750">
            <v>505412</v>
          </cell>
          <cell r="C4750" t="str">
            <v>WENDT</v>
          </cell>
        </row>
        <row r="4751">
          <cell r="A4751" t="str">
            <v>WENDT INDIA LTD</v>
          </cell>
          <cell r="B4751">
            <v>505412</v>
          </cell>
          <cell r="C4751" t="str">
            <v>WENDT</v>
          </cell>
        </row>
        <row r="4752">
          <cell r="A4752" t="str">
            <v>WEP SOLUTIONS LTD</v>
          </cell>
          <cell r="B4752">
            <v>532373</v>
          </cell>
          <cell r="C4752" t="str">
            <v>Not Listed</v>
          </cell>
        </row>
        <row r="4753">
          <cell r="A4753" t="str">
            <v>WEST COAST PAPER MILLS LTD</v>
          </cell>
          <cell r="B4753">
            <v>500444</v>
          </cell>
          <cell r="C4753" t="str">
            <v>WSTCSTPAPR</v>
          </cell>
        </row>
        <row r="4754">
          <cell r="A4754" t="str">
            <v>WEST LEISURE RESORTS LTD</v>
          </cell>
          <cell r="B4754">
            <v>538382</v>
          </cell>
          <cell r="C4754" t="str">
            <v>Not Listed</v>
          </cell>
        </row>
        <row r="4755">
          <cell r="A4755" t="str">
            <v>WESTERN MINISTIL LTD</v>
          </cell>
          <cell r="B4755">
            <v>504998</v>
          </cell>
          <cell r="C4755" t="str">
            <v>Not Listed</v>
          </cell>
        </row>
        <row r="4756">
          <cell r="A4756" t="str">
            <v>WESTLIFE DEVELOPMENT LTD</v>
          </cell>
          <cell r="B4756">
            <v>505533</v>
          </cell>
          <cell r="C4756" t="str">
            <v>Not Listed</v>
          </cell>
        </row>
        <row r="4757">
          <cell r="A4757" t="str">
            <v>WHEELS (INDIA) LTD</v>
          </cell>
          <cell r="B4757">
            <v>590073</v>
          </cell>
          <cell r="C4757" t="str">
            <v>WHEELS</v>
          </cell>
        </row>
        <row r="4758">
          <cell r="A4758" t="str">
            <v>WHEELS INDIA LTD</v>
          </cell>
          <cell r="B4758">
            <v>590073</v>
          </cell>
          <cell r="C4758" t="str">
            <v>WHEELS</v>
          </cell>
        </row>
        <row r="4759">
          <cell r="A4759" t="str">
            <v>WHIRLPOOL OF (INDIA) LTD</v>
          </cell>
          <cell r="B4759">
            <v>500238</v>
          </cell>
          <cell r="C4759" t="str">
            <v>WHIRLPOOL</v>
          </cell>
        </row>
        <row r="4760">
          <cell r="A4760" t="str">
            <v>WHIRLPOOL OF INDIA LTD</v>
          </cell>
          <cell r="B4760">
            <v>500238</v>
          </cell>
          <cell r="C4760" t="str">
            <v>WHIRLPOOL</v>
          </cell>
        </row>
        <row r="4761">
          <cell r="A4761" t="str">
            <v>WHITE ORGANIC AGRO LTD</v>
          </cell>
          <cell r="B4761">
            <v>513713</v>
          </cell>
          <cell r="C4761" t="str">
            <v>Not Listed</v>
          </cell>
        </row>
        <row r="4762">
          <cell r="A4762" t="str">
            <v>White Organic Retail Ltd</v>
          </cell>
          <cell r="B4762">
            <v>542667</v>
          </cell>
          <cell r="C4762" t="str">
            <v>WORL</v>
          </cell>
        </row>
        <row r="4763">
          <cell r="A4763" t="str">
            <v>WILLIAMSON FINANCIAL SERVICES LTD</v>
          </cell>
          <cell r="B4763">
            <v>519214</v>
          </cell>
          <cell r="C4763" t="str">
            <v>Not Listed</v>
          </cell>
        </row>
        <row r="4764">
          <cell r="A4764" t="str">
            <v>WILLIAMSON MAGOR &amp; COMPANY LTD</v>
          </cell>
          <cell r="B4764">
            <v>519224</v>
          </cell>
          <cell r="C4764" t="str">
            <v>WILLAMAGOR</v>
          </cell>
        </row>
        <row r="4765">
          <cell r="A4765" t="str">
            <v>WIM PLAST LTD</v>
          </cell>
          <cell r="B4765">
            <v>526586</v>
          </cell>
          <cell r="C4765" t="str">
            <v>Not Listed</v>
          </cell>
        </row>
        <row r="4766">
          <cell r="A4766" t="str">
            <v>WINDSOR MACHINES LTD</v>
          </cell>
          <cell r="B4766">
            <v>522029</v>
          </cell>
          <cell r="C4766" t="str">
            <v>WINDMACHIN</v>
          </cell>
        </row>
        <row r="4767">
          <cell r="A4767" t="str">
            <v>WINRO COMMERCIAL (INDIA) LTD</v>
          </cell>
          <cell r="B4767">
            <v>512022</v>
          </cell>
          <cell r="C4767" t="str">
            <v>Not Listed</v>
          </cell>
        </row>
        <row r="4768">
          <cell r="A4768" t="str">
            <v>WINRO COMMERCIAL INDIA LTD</v>
          </cell>
          <cell r="B4768">
            <v>512022</v>
          </cell>
          <cell r="C4768" t="str">
            <v>Not Listed</v>
          </cell>
        </row>
        <row r="4769">
          <cell r="A4769" t="str">
            <v>WINSOME BREWERIES LTD</v>
          </cell>
          <cell r="B4769">
            <v>526471</v>
          </cell>
          <cell r="C4769" t="str">
            <v>Not Listed</v>
          </cell>
        </row>
        <row r="4770">
          <cell r="A4770" t="str">
            <v>WINSOME TEXTILE INDUSTRIES LTD</v>
          </cell>
          <cell r="B4770">
            <v>514470</v>
          </cell>
          <cell r="C4770" t="str">
            <v>Not Listed</v>
          </cell>
        </row>
        <row r="4771">
          <cell r="A4771" t="str">
            <v>WINSOME YARNS LTD</v>
          </cell>
          <cell r="B4771">
            <v>514348</v>
          </cell>
          <cell r="C4771" t="str">
            <v>WINSOME</v>
          </cell>
        </row>
        <row r="4772">
          <cell r="A4772" t="str">
            <v>WINTAC LTD</v>
          </cell>
          <cell r="B4772">
            <v>524758</v>
          </cell>
          <cell r="C4772" t="str">
            <v>Not Listed</v>
          </cell>
        </row>
        <row r="4773">
          <cell r="A4773" t="str">
            <v>WINY COMMERCIAL &amp; FISCAL SERVICES LTD</v>
          </cell>
          <cell r="B4773">
            <v>538873</v>
          </cell>
          <cell r="C4773" t="str">
            <v>Not Listed</v>
          </cell>
        </row>
        <row r="4774">
          <cell r="A4774" t="str">
            <v>WIPRO LTD</v>
          </cell>
          <cell r="B4774">
            <v>507685</v>
          </cell>
          <cell r="C4774" t="str">
            <v>WIPRO</v>
          </cell>
        </row>
        <row r="4775">
          <cell r="A4775" t="str">
            <v>WIRES &amp; FABRIKS SA LTD</v>
          </cell>
          <cell r="B4775">
            <v>507817</v>
          </cell>
          <cell r="C4775" t="str">
            <v>Not Listed</v>
          </cell>
        </row>
        <row r="4776">
          <cell r="A4776" t="str">
            <v>WISEC GLOBAL LTD</v>
          </cell>
          <cell r="B4776">
            <v>511642</v>
          </cell>
          <cell r="C4776" t="str">
            <v>Not Listed</v>
          </cell>
        </row>
        <row r="4777">
          <cell r="A4777" t="str">
            <v>WOCKHARDT LTD</v>
          </cell>
          <cell r="B4777">
            <v>532300</v>
          </cell>
          <cell r="C4777" t="str">
            <v>WOCKPHARMA</v>
          </cell>
        </row>
        <row r="4778">
          <cell r="A4778" t="str">
            <v>WOMEN NETWORKS LTD</v>
          </cell>
          <cell r="B4778">
            <v>531396</v>
          </cell>
          <cell r="C4778" t="str">
            <v>Not Listed</v>
          </cell>
        </row>
        <row r="4779">
          <cell r="A4779" t="str">
            <v>WOMENS NEXT LOUNGERIES LTD</v>
          </cell>
          <cell r="B4779">
            <v>538128</v>
          </cell>
          <cell r="C4779" t="str">
            <v>Not Listed</v>
          </cell>
        </row>
        <row r="4780">
          <cell r="A4780" t="str">
            <v>WONDERLA HOLIDAYS LTD</v>
          </cell>
          <cell r="B4780">
            <v>538268</v>
          </cell>
          <cell r="C4780" t="str">
            <v>WONDERLA</v>
          </cell>
        </row>
        <row r="4781">
          <cell r="A4781" t="str">
            <v>WOODSVILLA LTD</v>
          </cell>
          <cell r="B4781">
            <v>526959</v>
          </cell>
          <cell r="C4781" t="str">
            <v>Not Listed</v>
          </cell>
        </row>
        <row r="4782">
          <cell r="A4782" t="str">
            <v>WORLDWIDE LEATHER EXPORTS LTD</v>
          </cell>
          <cell r="B4782">
            <v>526525</v>
          </cell>
          <cell r="C4782" t="str">
            <v>Not Listed</v>
          </cell>
        </row>
        <row r="4783">
          <cell r="A4783" t="str">
            <v>WORTH INVESTMENT &amp; TRADING CO LTD</v>
          </cell>
          <cell r="B4783">
            <v>538451</v>
          </cell>
          <cell r="C4783" t="str">
            <v>Not Listed</v>
          </cell>
        </row>
        <row r="4784">
          <cell r="A4784" t="str">
            <v>WORTH PERIPHERALS LTD</v>
          </cell>
          <cell r="B4784" t="str">
            <v>Not Listed</v>
          </cell>
          <cell r="C4784" t="str">
            <v>WORTH</v>
          </cell>
        </row>
        <row r="4785">
          <cell r="A4785" t="str">
            <v>WPIL LTD</v>
          </cell>
          <cell r="B4785">
            <v>505872</v>
          </cell>
          <cell r="C4785" t="str">
            <v>Not Listed</v>
          </cell>
        </row>
        <row r="4786">
          <cell r="A4786" t="str">
            <v>XCHANGING SOLUTIONS LTD</v>
          </cell>
          <cell r="B4786">
            <v>532616</v>
          </cell>
          <cell r="C4786" t="str">
            <v>XCHANGING</v>
          </cell>
        </row>
        <row r="4787">
          <cell r="A4787" t="str">
            <v>Xelpmoc Design and Tech Ltd</v>
          </cell>
          <cell r="B4787">
            <v>542367</v>
          </cell>
          <cell r="C4787" t="str">
            <v>XELPMOC</v>
          </cell>
        </row>
        <row r="4788">
          <cell r="A4788" t="str">
            <v>XL ENERGY LTD</v>
          </cell>
          <cell r="B4788">
            <v>532788</v>
          </cell>
          <cell r="C4788" t="str">
            <v>XLENERGY</v>
          </cell>
        </row>
        <row r="4789">
          <cell r="A4789" t="str">
            <v>XPRO (INDIA) LTD</v>
          </cell>
          <cell r="B4789">
            <v>590013</v>
          </cell>
          <cell r="C4789" t="str">
            <v>XPRO(INDIA)</v>
          </cell>
        </row>
        <row r="4790">
          <cell r="A4790" t="str">
            <v>XPRO INDIA LTD</v>
          </cell>
          <cell r="B4790">
            <v>590013</v>
          </cell>
          <cell r="C4790" t="str">
            <v>XPROINDIA</v>
          </cell>
        </row>
        <row r="4791">
          <cell r="A4791" t="str">
            <v>YAMINI INVESTMENTS COMPANY LTD</v>
          </cell>
          <cell r="B4791">
            <v>511012</v>
          </cell>
          <cell r="C4791" t="str">
            <v>Not Listed</v>
          </cell>
        </row>
        <row r="4792">
          <cell r="A4792" t="str">
            <v>YARN SYNDICATE LTD</v>
          </cell>
          <cell r="B4792">
            <v>514378</v>
          </cell>
          <cell r="C4792" t="str">
            <v>Not Listed</v>
          </cell>
        </row>
        <row r="4793">
          <cell r="A4793" t="str">
            <v>YASH CHEMEX LTD</v>
          </cell>
          <cell r="B4793">
            <v>539939</v>
          </cell>
          <cell r="C4793" t="str">
            <v>Not Listed</v>
          </cell>
        </row>
        <row r="4794">
          <cell r="A4794" t="str">
            <v>YASH MANAGEMENT &amp; SATELLITE LTD</v>
          </cell>
          <cell r="B4794">
            <v>511601</v>
          </cell>
          <cell r="C4794" t="str">
            <v>Not Listed</v>
          </cell>
        </row>
        <row r="4795">
          <cell r="A4795" t="str">
            <v>YASH PAPERS LTD</v>
          </cell>
          <cell r="B4795">
            <v>516030</v>
          </cell>
          <cell r="C4795" t="str">
            <v>Not Listed</v>
          </cell>
        </row>
        <row r="4796">
          <cell r="A4796" t="str">
            <v>YASHO INDUSTRIES LTD</v>
          </cell>
          <cell r="B4796">
            <v>541167</v>
          </cell>
          <cell r="C4796" t="str">
            <v>Not Listed</v>
          </cell>
        </row>
        <row r="4797">
          <cell r="A4797" t="str">
            <v>YASHRAJ CONTAINEURS LTD</v>
          </cell>
          <cell r="B4797">
            <v>530063</v>
          </cell>
          <cell r="C4797" t="str">
            <v>Not Listed</v>
          </cell>
        </row>
        <row r="4798">
          <cell r="A4798" t="str">
            <v>YES BANK LTD</v>
          </cell>
          <cell r="B4798">
            <v>532648</v>
          </cell>
          <cell r="C4798" t="str">
            <v>YESBANK</v>
          </cell>
        </row>
        <row r="4799">
          <cell r="A4799" t="str">
            <v>YKM INDUSTRIES LTD</v>
          </cell>
          <cell r="B4799">
            <v>531260</v>
          </cell>
          <cell r="C4799" t="str">
            <v>Not Listed</v>
          </cell>
        </row>
        <row r="4800">
          <cell r="A4800" t="str">
            <v>YOGI SUNG-WON (INDIA) LTD</v>
          </cell>
          <cell r="B4800">
            <v>522209</v>
          </cell>
          <cell r="C4800" t="str">
            <v>Not Listed</v>
          </cell>
        </row>
        <row r="4801">
          <cell r="A4801" t="str">
            <v>YOGI SUNG-WON INDIA LTD</v>
          </cell>
          <cell r="B4801">
            <v>522209</v>
          </cell>
          <cell r="C4801" t="str">
            <v>Not Listed</v>
          </cell>
        </row>
        <row r="4802">
          <cell r="A4802" t="str">
            <v>YOGYA ENTERPRISES LTD</v>
          </cell>
          <cell r="B4802">
            <v>539097</v>
          </cell>
          <cell r="C4802" t="str">
            <v>Not Listed</v>
          </cell>
        </row>
        <row r="4803">
          <cell r="A4803" t="str">
            <v>YORK EXPORTS LTD</v>
          </cell>
          <cell r="B4803">
            <v>530675</v>
          </cell>
          <cell r="C4803" t="str">
            <v>Not Listed</v>
          </cell>
        </row>
        <row r="4804">
          <cell r="A4804" t="str">
            <v>YUG DECOR LTD</v>
          </cell>
          <cell r="B4804">
            <v>540550</v>
          </cell>
          <cell r="C4804" t="str">
            <v>Not Listed</v>
          </cell>
        </row>
        <row r="4805">
          <cell r="A4805" t="str">
            <v>YUKEN (INDIA) LTD</v>
          </cell>
          <cell r="B4805">
            <v>522108</v>
          </cell>
          <cell r="C4805" t="str">
            <v>Not Listed</v>
          </cell>
        </row>
        <row r="4806">
          <cell r="A4806" t="str">
            <v>YUKEN INDIA LTD</v>
          </cell>
          <cell r="B4806">
            <v>522108</v>
          </cell>
          <cell r="C4806" t="str">
            <v>Not Listed</v>
          </cell>
        </row>
        <row r="4807">
          <cell r="A4807" t="str">
            <v>YURANUS INFRASTRUCTURE LTD</v>
          </cell>
          <cell r="B4807">
            <v>536846</v>
          </cell>
          <cell r="C4807" t="str">
            <v>Not Listed</v>
          </cell>
        </row>
        <row r="4808">
          <cell r="A4808" t="str">
            <v>YUVRAAJ HYGIENE PRODUCTS LTD.</v>
          </cell>
          <cell r="B4808">
            <v>531663</v>
          </cell>
          <cell r="C4808" t="str">
            <v>YUVRAAJHPL</v>
          </cell>
        </row>
        <row r="4809">
          <cell r="A4809" t="str">
            <v>Z F STEERING GEAR (INDIA) LTD</v>
          </cell>
          <cell r="B4809">
            <v>505163</v>
          </cell>
          <cell r="C4809" t="str">
            <v>Not Listed</v>
          </cell>
        </row>
        <row r="4810">
          <cell r="A4810" t="str">
            <v>Z F STEERING GEAR INDIA LTD</v>
          </cell>
          <cell r="B4810">
            <v>505163</v>
          </cell>
          <cell r="C4810" t="str">
            <v>Not Listed</v>
          </cell>
        </row>
        <row r="4811">
          <cell r="A4811" t="str">
            <v>ZEAL AQUA LTD</v>
          </cell>
          <cell r="B4811">
            <v>539963</v>
          </cell>
          <cell r="C4811" t="str">
            <v>Not Listed</v>
          </cell>
        </row>
        <row r="4812">
          <cell r="A4812" t="str">
            <v>ZEE ENTERTAINMENT ENTERPRISES LTD</v>
          </cell>
          <cell r="B4812">
            <v>505537</v>
          </cell>
          <cell r="C4812" t="str">
            <v>ZEEL</v>
          </cell>
        </row>
        <row r="4813">
          <cell r="A4813" t="str">
            <v>ZEE LEARN LTD</v>
          </cell>
          <cell r="B4813">
            <v>533287</v>
          </cell>
          <cell r="C4813" t="str">
            <v>ZEELEARN</v>
          </cell>
        </row>
        <row r="4814">
          <cell r="A4814" t="str">
            <v>ZEE MEDIA CORPORATION LTD</v>
          </cell>
          <cell r="B4814">
            <v>532794</v>
          </cell>
          <cell r="C4814" t="str">
            <v>ZEEMEDIA</v>
          </cell>
        </row>
        <row r="4815">
          <cell r="A4815" t="str">
            <v>ZEN TECHNOLOGIES LTD</v>
          </cell>
          <cell r="B4815">
            <v>533339</v>
          </cell>
          <cell r="C4815" t="str">
            <v>ZENTEC</v>
          </cell>
        </row>
        <row r="4816">
          <cell r="A4816" t="str">
            <v>ZENITH BIRLA (INDIA) LTD</v>
          </cell>
          <cell r="B4816">
            <v>531845</v>
          </cell>
          <cell r="C4816" t="str">
            <v>ZENITHBIR</v>
          </cell>
        </row>
        <row r="4817">
          <cell r="A4817" t="str">
            <v>ZENITH BIRLA INDIA LTD</v>
          </cell>
          <cell r="B4817">
            <v>531845</v>
          </cell>
          <cell r="C4817" t="str">
            <v>ZENITHBIR</v>
          </cell>
        </row>
        <row r="4818">
          <cell r="A4818" t="str">
            <v>ZENITH EXPORTS LTD</v>
          </cell>
          <cell r="B4818">
            <v>512553</v>
          </cell>
          <cell r="C4818" t="str">
            <v>ZENITHEXPO</v>
          </cell>
        </row>
        <row r="4819">
          <cell r="A4819" t="str">
            <v>ZENITH FIBRES LTD</v>
          </cell>
          <cell r="B4819">
            <v>514266</v>
          </cell>
          <cell r="C4819" t="str">
            <v>Not Listed</v>
          </cell>
        </row>
        <row r="4820">
          <cell r="A4820" t="str">
            <v>ZENITH HEALTH CARE LTD</v>
          </cell>
          <cell r="B4820">
            <v>530665</v>
          </cell>
          <cell r="C4820" t="str">
            <v>Not Listed</v>
          </cell>
        </row>
        <row r="4821">
          <cell r="A4821" t="str">
            <v>ZENLABS ETHICA LTD</v>
          </cell>
          <cell r="B4821">
            <v>530697</v>
          </cell>
          <cell r="C4821" t="str">
            <v>Not Listed</v>
          </cell>
        </row>
        <row r="4822">
          <cell r="A4822" t="str">
            <v>ZENOTECH LABORATORIES LTD</v>
          </cell>
          <cell r="B4822">
            <v>532039</v>
          </cell>
          <cell r="C4822" t="str">
            <v>Not Listed</v>
          </cell>
        </row>
        <row r="4823">
          <cell r="A4823" t="str">
            <v>ZENSAR TECHNOLOGIES LTD</v>
          </cell>
          <cell r="B4823">
            <v>504067</v>
          </cell>
          <cell r="C4823" t="str">
            <v>ZENSARTECH</v>
          </cell>
        </row>
        <row r="4824">
          <cell r="A4824" t="str">
            <v>ZICOM ELECTRONIC SECURITY SYSTEMS LTD</v>
          </cell>
          <cell r="B4824">
            <v>531404</v>
          </cell>
          <cell r="C4824" t="str">
            <v>ZICOM</v>
          </cell>
        </row>
        <row r="4825">
          <cell r="A4825" t="str">
            <v>ZIM LABORATORIES LTD</v>
          </cell>
          <cell r="B4825">
            <v>541400</v>
          </cell>
          <cell r="C4825" t="str">
            <v>Not Listed</v>
          </cell>
        </row>
        <row r="4826">
          <cell r="A4826" t="str">
            <v>ZODIAC CLOTHING COMPANY LTD</v>
          </cell>
          <cell r="B4826">
            <v>521163</v>
          </cell>
          <cell r="C4826" t="str">
            <v>ZODIACLOTH</v>
          </cell>
        </row>
        <row r="4827">
          <cell r="A4827" t="str">
            <v>ZODIAC ENERGY LTD</v>
          </cell>
          <cell r="B4827" t="str">
            <v>Not Listed</v>
          </cell>
          <cell r="C4827" t="str">
            <v>ZODIAC</v>
          </cell>
        </row>
        <row r="4828">
          <cell r="A4828" t="str">
            <v>ZODIAC JRD- MKJ LTD</v>
          </cell>
          <cell r="B4828">
            <v>512587</v>
          </cell>
          <cell r="C4828" t="str">
            <v>ZODJRDMKJ</v>
          </cell>
        </row>
        <row r="4829">
          <cell r="A4829" t="str">
            <v>Zodiac Ventures LTD</v>
          </cell>
          <cell r="B4829">
            <v>503641</v>
          </cell>
          <cell r="C4829" t="str">
            <v>ZODIACVEN</v>
          </cell>
        </row>
        <row r="4830">
          <cell r="A4830" t="str">
            <v>ZOTA HEALTH CARE LTD</v>
          </cell>
          <cell r="B4830" t="str">
            <v>Not Listed</v>
          </cell>
          <cell r="C4830" t="str">
            <v>ZOTA</v>
          </cell>
        </row>
        <row r="4831">
          <cell r="A4831" t="str">
            <v>ZUARI AGRO CHEMICALS LTD</v>
          </cell>
          <cell r="B4831">
            <v>534742</v>
          </cell>
          <cell r="C4831" t="str">
            <v>ZUARI</v>
          </cell>
        </row>
        <row r="4832">
          <cell r="A4832" t="str">
            <v>ZUARI GLOBAL LTD</v>
          </cell>
          <cell r="B4832">
            <v>500780</v>
          </cell>
          <cell r="C4832" t="str">
            <v>ZUARIGLOB</v>
          </cell>
        </row>
        <row r="4833">
          <cell r="A4833" t="str">
            <v>ZYDUS WELLNESS LTD</v>
          </cell>
          <cell r="B4833">
            <v>531335</v>
          </cell>
          <cell r="C4833" t="str">
            <v>ZYDUSWELL</v>
          </cell>
        </row>
        <row r="4834">
          <cell r="A4834" t="str">
            <v>ZYLOG SYSTEMS LTD</v>
          </cell>
          <cell r="B4834">
            <v>532883</v>
          </cell>
          <cell r="C4834" t="str">
            <v>ZYLOG</v>
          </cell>
        </row>
        <row r="4835">
          <cell r="A4835" t="str">
            <v>INDIA LEASE DEVELOPMENT Ltd</v>
          </cell>
          <cell r="B4835">
            <v>500202</v>
          </cell>
          <cell r="C4835" t="str">
            <v>INDLEASE</v>
          </cell>
        </row>
        <row r="4836">
          <cell r="A4836" t="str">
            <v>Kore Foods Ltd</v>
          </cell>
          <cell r="B4836">
            <v>500458</v>
          </cell>
          <cell r="C4836" t="str">
            <v>KORE</v>
          </cell>
        </row>
        <row r="4837">
          <cell r="A4837" t="str">
            <v>GOLD ROCK INVESTMENTS Ltd</v>
          </cell>
          <cell r="B4837">
            <v>501111</v>
          </cell>
          <cell r="C4837" t="str">
            <v>ZGOLDINV</v>
          </cell>
        </row>
        <row r="4838">
          <cell r="A4838" t="str">
            <v>KARTIK INVESTMENTS TRUST Ltd</v>
          </cell>
          <cell r="B4838">
            <v>501151</v>
          </cell>
          <cell r="C4838" t="str">
            <v>KARTKIN</v>
          </cell>
        </row>
        <row r="4839">
          <cell r="A4839" t="str">
            <v>JAYABHARAT CREDIT Ltd</v>
          </cell>
          <cell r="B4839">
            <v>501311</v>
          </cell>
          <cell r="C4839" t="str">
            <v>JAYBHCR</v>
          </cell>
        </row>
        <row r="4840">
          <cell r="A4840" t="str">
            <v>AMALGAMATED ELECTRICITY CO.Ltd</v>
          </cell>
          <cell r="B4840">
            <v>501622</v>
          </cell>
          <cell r="C4840" t="str">
            <v>AMALGAM</v>
          </cell>
        </row>
        <row r="4841">
          <cell r="A4841" t="str">
            <v>GAEKWAR MILLS Ltd</v>
          </cell>
          <cell r="B4841">
            <v>502850</v>
          </cell>
          <cell r="C4841" t="str">
            <v>ZGAEKWAR</v>
          </cell>
        </row>
        <row r="4842">
          <cell r="A4842" t="str">
            <v>K K Fincorp Limited</v>
          </cell>
          <cell r="B4842">
            <v>503669</v>
          </cell>
          <cell r="C4842" t="str">
            <v>KKFIN</v>
          </cell>
        </row>
        <row r="4843">
          <cell r="A4843" t="str">
            <v>RAJASTHAN PETRO SYNTHETICS Ltd</v>
          </cell>
          <cell r="B4843">
            <v>506975</v>
          </cell>
          <cell r="C4843" t="str">
            <v>RAJSPTR</v>
          </cell>
        </row>
        <row r="4844">
          <cell r="A4844" t="str">
            <v>NORTHERN PROJECTS Ltd</v>
          </cell>
          <cell r="B4844">
            <v>508924</v>
          </cell>
          <cell r="C4844" t="str">
            <v>NORTHPR</v>
          </cell>
        </row>
        <row r="4845">
          <cell r="A4845" t="str">
            <v>ID Info Business Services Ltd</v>
          </cell>
          <cell r="B4845">
            <v>511260</v>
          </cell>
          <cell r="C4845" t="str">
            <v>IDINFO</v>
          </cell>
        </row>
        <row r="4846">
          <cell r="A4846" t="str">
            <v>TRC FINANCIAL SERVICES Ltd</v>
          </cell>
          <cell r="B4846">
            <v>511730</v>
          </cell>
          <cell r="C4846" t="str">
            <v>TRCFIN</v>
          </cell>
        </row>
        <row r="4847">
          <cell r="A4847" t="str">
            <v>SPV Global Trading Ltd</v>
          </cell>
          <cell r="B4847">
            <v>512221</v>
          </cell>
          <cell r="C4847" t="str">
            <v>SPVGLOBAL</v>
          </cell>
        </row>
        <row r="4848">
          <cell r="A4848" t="str">
            <v>ARAVALI SECURITIES &amp; FINANCE Ltd</v>
          </cell>
          <cell r="B4848">
            <v>512344</v>
          </cell>
          <cell r="C4848" t="str">
            <v>ARAVALIS</v>
          </cell>
        </row>
        <row r="4849">
          <cell r="A4849" t="str">
            <v>YASH TRADING &amp; FINANCE Ltd</v>
          </cell>
          <cell r="B4849">
            <v>512345</v>
          </cell>
          <cell r="C4849" t="str">
            <v>YASTF</v>
          </cell>
        </row>
        <row r="4850">
          <cell r="A4850" t="str">
            <v>GAYATRI TISSUE &amp; PAPERS Ltd</v>
          </cell>
          <cell r="B4850">
            <v>512479</v>
          </cell>
          <cell r="C4850" t="str">
            <v>GYTRIPA</v>
          </cell>
        </row>
        <row r="4851">
          <cell r="A4851" t="str">
            <v>GRAND FOUNDRY Ltd</v>
          </cell>
          <cell r="B4851">
            <v>513343</v>
          </cell>
          <cell r="C4851" t="str">
            <v>GRANDFONRY</v>
          </cell>
        </row>
        <row r="4852">
          <cell r="A4852" t="str">
            <v>Smiths &amp; Founders (India) Limited</v>
          </cell>
          <cell r="B4852">
            <v>513418</v>
          </cell>
          <cell r="C4852" t="str">
            <v>SMFIL</v>
          </cell>
        </row>
        <row r="4853">
          <cell r="A4853" t="str">
            <v>MODERN INSULATORS Ltd</v>
          </cell>
          <cell r="B4853">
            <v>515008</v>
          </cell>
          <cell r="C4853" t="str">
            <v>MODINSU</v>
          </cell>
        </row>
        <row r="4854">
          <cell r="A4854" t="str">
            <v>S&amp;S POWER SWITCHGEAR Ltd</v>
          </cell>
          <cell r="B4854">
            <v>517273</v>
          </cell>
          <cell r="C4854" t="str">
            <v>S&amp;SPOWER</v>
          </cell>
        </row>
        <row r="4855">
          <cell r="A4855" t="str">
            <v>SBEC SYSTEMS (INDIA) Ltd</v>
          </cell>
          <cell r="B4855">
            <v>517360</v>
          </cell>
          <cell r="C4855" t="str">
            <v>SBECSYS</v>
          </cell>
        </row>
        <row r="4856">
          <cell r="A4856" t="str">
            <v>VINTRON INFORMATICS Ltd</v>
          </cell>
          <cell r="B4856">
            <v>517393</v>
          </cell>
          <cell r="C4856" t="str">
            <v>VINTRON</v>
          </cell>
        </row>
        <row r="4857">
          <cell r="A4857" t="str">
            <v>SHARAT INDUSTRIES Ltd</v>
          </cell>
          <cell r="B4857">
            <v>519397</v>
          </cell>
          <cell r="C4857" t="str">
            <v>SHINDL</v>
          </cell>
        </row>
        <row r="4858">
          <cell r="A4858" t="str">
            <v>BKV INDUSTRIES Ltd</v>
          </cell>
          <cell r="B4858">
            <v>519500</v>
          </cell>
          <cell r="C4858" t="str">
            <v>BKV</v>
          </cell>
        </row>
        <row r="4859">
          <cell r="A4859" t="str">
            <v>TMT (INDIA) Ltd</v>
          </cell>
          <cell r="B4859">
            <v>522171</v>
          </cell>
          <cell r="C4859" t="str">
            <v>TMTIND-B1</v>
          </cell>
        </row>
        <row r="4860">
          <cell r="A4860" t="str">
            <v>PHARMAIDS PHARMACEUTICALS Ltd</v>
          </cell>
          <cell r="B4860">
            <v>524572</v>
          </cell>
          <cell r="C4860" t="str">
            <v>PHARMAID</v>
          </cell>
        </row>
        <row r="4861">
          <cell r="A4861" t="str">
            <v>SURAJ INDUSTRIES Ltd</v>
          </cell>
          <cell r="B4861">
            <v>526211</v>
          </cell>
          <cell r="C4861" t="str">
            <v>SURJIND</v>
          </cell>
        </row>
        <row r="4862">
          <cell r="A4862" t="str">
            <v>TEXEL INDUSTRIES Ltd</v>
          </cell>
          <cell r="B4862">
            <v>526638</v>
          </cell>
          <cell r="C4862" t="str">
            <v>TEXELIN</v>
          </cell>
        </row>
        <row r="4863">
          <cell r="A4863" t="str">
            <v>Paos Industries Ltd</v>
          </cell>
          <cell r="B4863">
            <v>530291</v>
          </cell>
          <cell r="C4863" t="str">
            <v>PAOS</v>
          </cell>
        </row>
        <row r="4864">
          <cell r="A4864" t="str">
            <v>SIDDHA VENTURES Ltd</v>
          </cell>
          <cell r="B4864">
            <v>530439</v>
          </cell>
          <cell r="C4864" t="str">
            <v>SIDDHA</v>
          </cell>
        </row>
        <row r="4865">
          <cell r="A4865" t="str">
            <v>KIRAN SYNTEX Ltd</v>
          </cell>
          <cell r="B4865">
            <v>530443</v>
          </cell>
          <cell r="C4865" t="str">
            <v>KIRANSY-B</v>
          </cell>
        </row>
        <row r="4866">
          <cell r="A4866" t="str">
            <v>KANSAL FIBRES Ltd</v>
          </cell>
          <cell r="B4866">
            <v>531205</v>
          </cell>
          <cell r="C4866" t="str">
            <v>KANSAFB</v>
          </cell>
        </row>
        <row r="4867">
          <cell r="A4867" t="str">
            <v>Xtglobal Infotech Ltd</v>
          </cell>
          <cell r="B4867">
            <v>531225</v>
          </cell>
          <cell r="C4867" t="str">
            <v>XTGLOBAL</v>
          </cell>
        </row>
        <row r="4868">
          <cell r="A4868" t="str">
            <v>Saffron Industries Limited</v>
          </cell>
          <cell r="B4868">
            <v>531436</v>
          </cell>
          <cell r="C4868" t="str">
            <v>SAFFRON</v>
          </cell>
        </row>
        <row r="4869">
          <cell r="A4869" t="str">
            <v>CENTERAC TECHNOLOGIES Ltd</v>
          </cell>
          <cell r="B4869">
            <v>531621</v>
          </cell>
          <cell r="C4869" t="str">
            <v>CENTERAC</v>
          </cell>
        </row>
        <row r="4870">
          <cell r="A4870" t="str">
            <v>Servoteach Industries Ltd</v>
          </cell>
          <cell r="B4870">
            <v>531944</v>
          </cell>
          <cell r="C4870" t="str">
            <v>SERVOTEACH</v>
          </cell>
        </row>
        <row r="4871">
          <cell r="A4871" t="str">
            <v>SMC CREDITS Ltd</v>
          </cell>
          <cell r="B4871">
            <v>532138</v>
          </cell>
          <cell r="C4871" t="str">
            <v>SMCREDT</v>
          </cell>
        </row>
        <row r="4872">
          <cell r="A4872" t="str">
            <v>RAJ OIL MILLS Ltd</v>
          </cell>
          <cell r="B4872">
            <v>533093</v>
          </cell>
          <cell r="C4872" t="str">
            <v>RAJOIL</v>
          </cell>
        </row>
        <row r="4873">
          <cell r="A4873" t="str">
            <v>Axis Mutual Fund - Axis Gold Exchange Traded Fund</v>
          </cell>
          <cell r="B4873">
            <v>533570</v>
          </cell>
          <cell r="C4873" t="str">
            <v>AXISGOLD</v>
          </cell>
        </row>
        <row r="4874">
          <cell r="A4874" t="str">
            <v>IDBI Mutual Fund - IDBI Gold ETF</v>
          </cell>
          <cell r="B4874">
            <v>533719</v>
          </cell>
          <cell r="C4874" t="str">
            <v>IDBIGOLD</v>
          </cell>
        </row>
        <row r="4875">
          <cell r="A4875" t="str">
            <v>SBI Mutual Fund - SBI Sensex ETF</v>
          </cell>
          <cell r="B4875">
            <v>535276</v>
          </cell>
          <cell r="C4875" t="str">
            <v>SBISENSEX</v>
          </cell>
        </row>
        <row r="4876">
          <cell r="A4876" t="str">
            <v>Motilal Oswal Mutual Fund - Motilal Oswal MOSt Shares Midcap 100 ETF- Growth option</v>
          </cell>
          <cell r="B4876">
            <v>536960</v>
          </cell>
          <cell r="C4876" t="str">
            <v>M100</v>
          </cell>
        </row>
        <row r="4877">
          <cell r="A4877" t="str">
            <v>ICICI Prudential Nifty ETF</v>
          </cell>
          <cell r="B4877">
            <v>537007</v>
          </cell>
          <cell r="C4877" t="str">
            <v>ICICINIFTY</v>
          </cell>
        </row>
        <row r="4878">
          <cell r="A4878" t="str">
            <v>ICICI Prudential Nifty 100 ETF</v>
          </cell>
          <cell r="B4878">
            <v>537008</v>
          </cell>
          <cell r="C4878" t="str">
            <v>ICICINF100</v>
          </cell>
        </row>
        <row r="4879">
          <cell r="A4879" t="str">
            <v>NIPPON INDIA ETF NIFTY 100</v>
          </cell>
          <cell r="B4879">
            <v>537483</v>
          </cell>
          <cell r="C4879" t="str">
            <v>NETFNIF100</v>
          </cell>
        </row>
        <row r="4880">
          <cell r="A4880" t="str">
            <v>Kotak Mahindra Mutual Fund - Kotak Nifty ETF</v>
          </cell>
          <cell r="B4880">
            <v>537708</v>
          </cell>
          <cell r="C4880" t="str">
            <v>KOTAKNIFTY</v>
          </cell>
        </row>
        <row r="4881">
          <cell r="A4881" t="str">
            <v>CPSE ETF</v>
          </cell>
          <cell r="B4881">
            <v>538057</v>
          </cell>
          <cell r="C4881" t="str">
            <v>CPSEETF</v>
          </cell>
        </row>
        <row r="4882">
          <cell r="A4882" t="str">
            <v>Response Informatics Ltd</v>
          </cell>
          <cell r="B4882">
            <v>538273</v>
          </cell>
          <cell r="C4882" t="str">
            <v>RESPONSINF</v>
          </cell>
        </row>
        <row r="4883">
          <cell r="A4883" t="str">
            <v>Quasar India Ltd</v>
          </cell>
          <cell r="B4883">
            <v>538452</v>
          </cell>
          <cell r="C4883" t="str">
            <v>QUASAR</v>
          </cell>
        </row>
        <row r="4884">
          <cell r="A4884" t="str">
            <v>ICICI Prudential Growth Fund Series 1 (Regular Dividend Payout)</v>
          </cell>
          <cell r="B4884">
            <v>538501</v>
          </cell>
          <cell r="C4884" t="str">
            <v>IPRU2401</v>
          </cell>
        </row>
        <row r="4885">
          <cell r="A4885" t="str">
            <v>ICICI Prudential Growth Fund Series 1 (Direct Dividend Option)</v>
          </cell>
          <cell r="B4885">
            <v>538502</v>
          </cell>
          <cell r="C4885" t="str">
            <v>IPRU8601</v>
          </cell>
        </row>
        <row r="4886">
          <cell r="A4886" t="str">
            <v>ICICI Prudential Growth Fund Series 2 (Regular Plan - Dividend Payout Option)</v>
          </cell>
          <cell r="B4886">
            <v>538577</v>
          </cell>
          <cell r="C4886" t="str">
            <v>IPRU2428</v>
          </cell>
        </row>
        <row r="4887">
          <cell r="A4887" t="str">
            <v>ICICI Prudential Growth Fund Series 2 (Direct Plan - Dividend Payout Option)</v>
          </cell>
          <cell r="B4887">
            <v>538578</v>
          </cell>
          <cell r="C4887" t="str">
            <v>IPRU8628</v>
          </cell>
        </row>
        <row r="4888">
          <cell r="A4888" t="str">
            <v>QGO Finance Ltd</v>
          </cell>
          <cell r="B4888">
            <v>538646</v>
          </cell>
          <cell r="C4888" t="str">
            <v>QGO</v>
          </cell>
        </row>
        <row r="4889">
          <cell r="A4889" t="str">
            <v>NIPPON INDIA ETF SENSEX</v>
          </cell>
          <cell r="B4889">
            <v>538683</v>
          </cell>
          <cell r="C4889" t="str">
            <v>NETFSENSEX</v>
          </cell>
        </row>
        <row r="4890">
          <cell r="A4890" t="str">
            <v>ICICI Prudential Growth Fund Series 3 (Regular Plan - Dividend Payout Option)</v>
          </cell>
          <cell r="B4890">
            <v>538728</v>
          </cell>
          <cell r="C4890" t="str">
            <v>IPRU2511</v>
          </cell>
        </row>
        <row r="4891">
          <cell r="A4891" t="str">
            <v>ICICI Prudential Growth Fund Series 3 (Direct Plan - Dividend Payout Option)</v>
          </cell>
          <cell r="B4891">
            <v>538729</v>
          </cell>
          <cell r="C4891" t="str">
            <v>IPRU8711</v>
          </cell>
        </row>
        <row r="4892">
          <cell r="A4892" t="str">
            <v>DSP BlackRock 3 Years Close Ended Equity Fund-Regular- Growth</v>
          </cell>
          <cell r="B4892">
            <v>538808</v>
          </cell>
          <cell r="C4892" t="str">
            <v>D3YRCEERG</v>
          </cell>
        </row>
        <row r="4893">
          <cell r="A4893" t="str">
            <v>DSP BlackRock 3 Years Close Ended Equity Fund-Regular- Dividend Payout</v>
          </cell>
          <cell r="B4893">
            <v>538809</v>
          </cell>
          <cell r="C4893" t="str">
            <v>D3YRCEERDP</v>
          </cell>
        </row>
        <row r="4894">
          <cell r="A4894" t="str">
            <v>DSP BlackRock 3 Years Close Ended Equity Fund- Direct Plan - Growth</v>
          </cell>
          <cell r="B4894">
            <v>538810</v>
          </cell>
          <cell r="C4894" t="str">
            <v>D3YRCEEDG</v>
          </cell>
        </row>
        <row r="4895">
          <cell r="A4895" t="str">
            <v>DSP BlackRock 3 Years Close Ended Equity Fund-Direct Plan - Dividend Payout</v>
          </cell>
          <cell r="B4895">
            <v>538811</v>
          </cell>
          <cell r="C4895" t="str">
            <v>D3YRCEEDDP</v>
          </cell>
        </row>
        <row r="4896">
          <cell r="A4896" t="str">
            <v>SBI Mutual Fund - SBI - ETF BSE 100</v>
          </cell>
          <cell r="B4896">
            <v>539031</v>
          </cell>
          <cell r="C4896" t="str">
            <v>SETFBSE100</v>
          </cell>
        </row>
        <row r="4897">
          <cell r="A4897" t="str">
            <v>Rajputana Investment and Finance Ltd</v>
          </cell>
          <cell r="B4897">
            <v>539090</v>
          </cell>
          <cell r="C4897" t="str">
            <v>RAJPUTANA</v>
          </cell>
        </row>
        <row r="4898">
          <cell r="A4898" t="str">
            <v>Edelweiss Mutual Fund - Edelweiss Exchange Traded Scheme - Nifty ( Nifty EES )</v>
          </cell>
          <cell r="B4898">
            <v>539142</v>
          </cell>
          <cell r="C4898" t="str">
            <v>NIFTYEES</v>
          </cell>
        </row>
        <row r="4899">
          <cell r="A4899" t="str">
            <v>Boston Leasing and Finance Ltd</v>
          </cell>
          <cell r="B4899">
            <v>539274</v>
          </cell>
          <cell r="C4899" t="str">
            <v>BLFL</v>
          </cell>
        </row>
        <row r="4900">
          <cell r="A4900" t="str">
            <v>UTI- SENSEX ETF</v>
          </cell>
          <cell r="B4900">
            <v>539312</v>
          </cell>
          <cell r="C4900" t="str">
            <v>UTISENSETF</v>
          </cell>
        </row>
        <row r="4901">
          <cell r="A4901" t="str">
            <v>UTI NIFTY ETF</v>
          </cell>
          <cell r="B4901">
            <v>539313</v>
          </cell>
          <cell r="C4901" t="str">
            <v>UTINIFTETF</v>
          </cell>
        </row>
        <row r="4902">
          <cell r="A4902" t="str">
            <v>LIC MF EXCHANGE TRADED FUND- NIFTY 50</v>
          </cell>
          <cell r="B4902">
            <v>539480</v>
          </cell>
          <cell r="C4902" t="str">
            <v>LICNETFN50</v>
          </cell>
        </row>
        <row r="4903">
          <cell r="A4903" t="str">
            <v>LIC MF EXCHANGE TRADED FUND- SENSEX</v>
          </cell>
          <cell r="B4903">
            <v>539487</v>
          </cell>
          <cell r="C4903" t="str">
            <v>LICNETFSEN</v>
          </cell>
        </row>
        <row r="4904">
          <cell r="A4904" t="str">
            <v>HDFC Nifty ETF</v>
          </cell>
          <cell r="B4904">
            <v>539516</v>
          </cell>
          <cell r="C4904" t="str">
            <v>HDFCNIFETF</v>
          </cell>
        </row>
        <row r="4905">
          <cell r="A4905" t="str">
            <v>HDFC Sensex ETF - Open Ended Traded Fund</v>
          </cell>
          <cell r="B4905">
            <v>539517</v>
          </cell>
          <cell r="C4905" t="str">
            <v>SXETF</v>
          </cell>
        </row>
        <row r="4906">
          <cell r="A4906" t="str">
            <v>Roxy Exports Ltd</v>
          </cell>
          <cell r="B4906">
            <v>539561</v>
          </cell>
          <cell r="C4906" t="str">
            <v>ROXY</v>
          </cell>
        </row>
        <row r="4907">
          <cell r="A4907" t="str">
            <v>LIC MF Exchange Traded Fund- NIFTY 100</v>
          </cell>
          <cell r="B4907">
            <v>539784</v>
          </cell>
          <cell r="C4907" t="str">
            <v>LICNFNHGP</v>
          </cell>
        </row>
        <row r="4908">
          <cell r="A4908" t="str">
            <v>ICICI Prudential NV20 ETF</v>
          </cell>
          <cell r="B4908">
            <v>539945</v>
          </cell>
          <cell r="C4908" t="str">
            <v>ICICINV20</v>
          </cell>
        </row>
        <row r="4909">
          <cell r="A4909" t="str">
            <v>ICICI Prudential Midcap Select ETF</v>
          </cell>
          <cell r="B4909">
            <v>539980</v>
          </cell>
          <cell r="C4909" t="str">
            <v>ICICIMCAP</v>
          </cell>
        </row>
        <row r="4910">
          <cell r="A4910" t="str">
            <v>BIRLA SUN LIFE SENSEX ETF</v>
          </cell>
          <cell r="B4910">
            <v>540008</v>
          </cell>
          <cell r="C4910" t="str">
            <v>BSLSENETFG</v>
          </cell>
        </row>
        <row r="4911">
          <cell r="A4911" t="str">
            <v>IDFC SENSEX ETF</v>
          </cell>
          <cell r="B4911">
            <v>540154</v>
          </cell>
          <cell r="C4911" t="str">
            <v>IDFSENSEXE</v>
          </cell>
        </row>
        <row r="4912">
          <cell r="A4912" t="str">
            <v>Axis Emerging Opportunities Fund-SR 2 (1400 D)-Direct Plan-Dividend Payout</v>
          </cell>
          <cell r="B4912">
            <v>540333</v>
          </cell>
          <cell r="C4912" t="str">
            <v>AXISE2D1D</v>
          </cell>
        </row>
        <row r="4913">
          <cell r="A4913" t="str">
            <v>Axis Emerging Opportunities Fund-SR 2 (1400 D)-Direct Plan-Growth</v>
          </cell>
          <cell r="B4913">
            <v>540334</v>
          </cell>
          <cell r="C4913" t="str">
            <v>AXISE2DGG</v>
          </cell>
        </row>
        <row r="4914">
          <cell r="A4914" t="str">
            <v>Axis Emerging Opportunities Fund-SR 2 (1400 D)-Regular Plan-Dividend Payout</v>
          </cell>
          <cell r="B4914">
            <v>540335</v>
          </cell>
          <cell r="C4914" t="str">
            <v>AXISE2DPD</v>
          </cell>
        </row>
        <row r="4915">
          <cell r="A4915" t="str">
            <v>Axis Emerging Opportunities Fund-SR 2 (1400 D)-Regular Plan-Growth</v>
          </cell>
          <cell r="B4915">
            <v>540336</v>
          </cell>
          <cell r="C4915" t="str">
            <v>AXISE2GPG</v>
          </cell>
        </row>
        <row r="4916">
          <cell r="A4916" t="str">
            <v>ICICI Prudential Value Fund Series 12 - Dividend Payout Option</v>
          </cell>
          <cell r="B4916">
            <v>540469</v>
          </cell>
          <cell r="C4916" t="str">
            <v>IPRU2933</v>
          </cell>
        </row>
        <row r="4917">
          <cell r="A4917" t="str">
            <v>ICICI Prudential Value Fund Series 12 - Direct Plan Dividend Payout Option</v>
          </cell>
          <cell r="B4917">
            <v>540470</v>
          </cell>
          <cell r="C4917" t="str">
            <v>IPRU9135</v>
          </cell>
        </row>
        <row r="4918">
          <cell r="A4918" t="str">
            <v>ICICI Prudential Value Fund- Series 13- Dividend Payout Option</v>
          </cell>
          <cell r="B4918">
            <v>540538</v>
          </cell>
          <cell r="C4918" t="str">
            <v>IPRU2955</v>
          </cell>
        </row>
        <row r="4919">
          <cell r="A4919" t="str">
            <v>ICICI Prudential Value Fund Series- 13- Direct Plan Dividend Payout Option</v>
          </cell>
          <cell r="B4919">
            <v>540539</v>
          </cell>
          <cell r="C4919" t="str">
            <v>IPRU9157</v>
          </cell>
        </row>
        <row r="4920">
          <cell r="A4920" t="str">
            <v>Axis Equity Advantage Fund- Series 1 Direct Plan- Growth</v>
          </cell>
          <cell r="B4920">
            <v>540551</v>
          </cell>
          <cell r="C4920" t="str">
            <v>AXISAEDGG</v>
          </cell>
        </row>
        <row r="4921">
          <cell r="A4921" t="str">
            <v>Axis Equity Advantage Fund- Series 1 Regular Plan- Growth</v>
          </cell>
          <cell r="B4921">
            <v>540552</v>
          </cell>
          <cell r="C4921" t="str">
            <v>AXISAEGPG</v>
          </cell>
        </row>
        <row r="4922">
          <cell r="A4922" t="str">
            <v>ICICI Prudential Value Fund Series 14 - Cumulative</v>
          </cell>
          <cell r="B4922">
            <v>540586</v>
          </cell>
          <cell r="C4922" t="str">
            <v>IPRU2969</v>
          </cell>
        </row>
        <row r="4923">
          <cell r="A4923" t="str">
            <v>ICICI Prudential Value Fund Series 14 - Dividend Payout</v>
          </cell>
          <cell r="B4923">
            <v>540587</v>
          </cell>
          <cell r="C4923" t="str">
            <v>IPRU2970</v>
          </cell>
        </row>
        <row r="4924">
          <cell r="A4924" t="str">
            <v>ICICI Prudential Value Fund Series 14 - Direct Plan Cumulative</v>
          </cell>
          <cell r="B4924">
            <v>540588</v>
          </cell>
          <cell r="C4924" t="str">
            <v>IPRU9171</v>
          </cell>
        </row>
        <row r="4925">
          <cell r="A4925" t="str">
            <v>ICICI Prudential Value Fund Series 14 - Direct Plan Dividend Payout</v>
          </cell>
          <cell r="B4925">
            <v>540589</v>
          </cell>
          <cell r="C4925" t="str">
            <v>IPRU9172</v>
          </cell>
        </row>
        <row r="4926">
          <cell r="A4926" t="str">
            <v>HDFC EOF- II- 1126D May 2017(1)  plan under HDFC Equity Opportunities Fund- Series 2- Direct</v>
          </cell>
          <cell r="B4926">
            <v>540591</v>
          </cell>
          <cell r="C4926" t="str">
            <v>HEOFDG1126</v>
          </cell>
        </row>
        <row r="4927">
          <cell r="A4927" t="str">
            <v>HDFC EOF - II - 1126D May 2017(1)  plan under HDFC Equity Opportunities Fund - Series 2 - Direct</v>
          </cell>
          <cell r="B4927">
            <v>540592</v>
          </cell>
          <cell r="C4927" t="str">
            <v>HEOFDD1126</v>
          </cell>
        </row>
        <row r="4928">
          <cell r="A4928" t="str">
            <v>HDFC EOF- II - 1126D May 2017(1) plan under HDFC Equity Opportunities Fund - Series2 - Regular</v>
          </cell>
          <cell r="B4928">
            <v>540593</v>
          </cell>
          <cell r="C4928" t="str">
            <v>HEOFRG1126</v>
          </cell>
        </row>
        <row r="4929">
          <cell r="A4929" t="str">
            <v>HDFC EOF - II - 1126D May 2017(1)  plan under HDFC Equity Opportunities Fund - Series 2 - Regular</v>
          </cell>
          <cell r="B4929">
            <v>540594</v>
          </cell>
          <cell r="C4929" t="str">
            <v>HEOFRD1126</v>
          </cell>
        </row>
        <row r="4930">
          <cell r="A4930" t="str">
            <v>ICICI Prudential Nifty Low Vol 30 ETF</v>
          </cell>
          <cell r="B4930">
            <v>540612</v>
          </cell>
          <cell r="C4930" t="str">
            <v>ICICILOVOL</v>
          </cell>
        </row>
        <row r="4931">
          <cell r="A4931" t="str">
            <v>Aditya Birla Sun Life RESURGENT INDIA FUND â€“ SERIES 4 REGULAR GROWTH</v>
          </cell>
          <cell r="B4931">
            <v>540617</v>
          </cell>
          <cell r="C4931" t="str">
            <v>BSLRIFS4RG</v>
          </cell>
        </row>
        <row r="4932">
          <cell r="A4932" t="str">
            <v>Aditya Birla Sun Life RESURGENT INDIA FUND â€“ SERIES 4 REGULAR DIVIDEND</v>
          </cell>
          <cell r="B4932">
            <v>540618</v>
          </cell>
          <cell r="C4932" t="str">
            <v>BSLRIFS4RD</v>
          </cell>
        </row>
        <row r="4933">
          <cell r="A4933" t="str">
            <v>Aditya Birla Sun Life RESURGENT INDIA FUND â€“ SERIES 4 DIRECT GROWTH</v>
          </cell>
          <cell r="B4933">
            <v>540619</v>
          </cell>
          <cell r="C4933" t="str">
            <v>BSLRIFS4DG</v>
          </cell>
        </row>
        <row r="4934">
          <cell r="A4934" t="str">
            <v>Aditya Birla Sun Life RESURGENT INDIA FUND â€“ SERIES 4 DIRECT DIVIDEND</v>
          </cell>
          <cell r="B4934">
            <v>540620</v>
          </cell>
          <cell r="C4934" t="str">
            <v>BSLRIFS4DD</v>
          </cell>
        </row>
        <row r="4935">
          <cell r="A4935" t="str">
            <v>ICICI PRUDENTIAL VALUE FUND-SERIES 15-CUMULATIVE</v>
          </cell>
          <cell r="B4935">
            <v>540626</v>
          </cell>
          <cell r="C4935" t="str">
            <v>IPRU2987</v>
          </cell>
        </row>
        <row r="4936">
          <cell r="A4936" t="str">
            <v>ICICI PRUDENTIAL VALUE FUND-SERIES 15-DIVIDEND PAYOUT</v>
          </cell>
          <cell r="B4936">
            <v>540627</v>
          </cell>
          <cell r="C4936" t="str">
            <v>IPRU2988</v>
          </cell>
        </row>
        <row r="4937">
          <cell r="A4937" t="str">
            <v>ICICI PRUDENTIAL VALUE FUND-SERIES 15-DIRECT PLAN CUMULATIVE</v>
          </cell>
          <cell r="B4937">
            <v>540629</v>
          </cell>
          <cell r="C4937" t="str">
            <v>IPRU9189</v>
          </cell>
        </row>
        <row r="4938">
          <cell r="A4938" t="str">
            <v>ICICI PRUDENTIAL VALUE FUND-SERIES 15-DIRECT PLAN DIVIDEND PAYOUT</v>
          </cell>
          <cell r="B4938">
            <v>540631</v>
          </cell>
          <cell r="C4938" t="str">
            <v>IPRU9190</v>
          </cell>
        </row>
        <row r="4939">
          <cell r="A4939" t="str">
            <v>HDFC EQUITY OPPORTUNITIES FUND-II-1100D JUNE 2017(1) SERIES 2-DIRECT OPTION-GROWTH OPTION</v>
          </cell>
          <cell r="B4939">
            <v>540634</v>
          </cell>
          <cell r="C4939" t="str">
            <v>HEOFDG1100</v>
          </cell>
        </row>
        <row r="4940">
          <cell r="A4940" t="str">
            <v>HDFC EQUITY OPPORTUNITIES FUND-II-1100D JUNE 2017(1) SERIES 2-DIRECT OPTION-DIVIDEND PAYOUT OPTION</v>
          </cell>
          <cell r="B4940">
            <v>540635</v>
          </cell>
          <cell r="C4940" t="str">
            <v>HEOFDD1100</v>
          </cell>
        </row>
        <row r="4941">
          <cell r="A4941" t="str">
            <v>HDFC EQUITY OPPORTUNITIES FUND-II-1100D JUNE 2017(1) SERIES 2-REGULAR OPTION-GROWTH OPTION</v>
          </cell>
          <cell r="B4941">
            <v>540636</v>
          </cell>
          <cell r="C4941" t="str">
            <v>HEOFRG1100</v>
          </cell>
        </row>
        <row r="4942">
          <cell r="A4942" t="str">
            <v>HDFC EQUITY OPPORTUNITIES FUND-II-1100D JUNE 2017(1) SERIES 2-REGULAR OPTION-DIVIDEND PAYOUT OPTION</v>
          </cell>
          <cell r="B4942">
            <v>540637</v>
          </cell>
          <cell r="C4942" t="str">
            <v>HEOFRD1100</v>
          </cell>
        </row>
        <row r="4943">
          <cell r="A4943" t="str">
            <v>UTI Nifty Next 50 ETF</v>
          </cell>
          <cell r="B4943">
            <v>540669</v>
          </cell>
          <cell r="C4943" t="str">
            <v>UTINEXT50</v>
          </cell>
        </row>
        <row r="4944">
          <cell r="A4944" t="str">
            <v>Axis Equity Advantage Fund - Series 2 Direct Plan - Growth</v>
          </cell>
          <cell r="B4944">
            <v>540671</v>
          </cell>
          <cell r="C4944" t="str">
            <v>AXISAHDGG</v>
          </cell>
        </row>
        <row r="4945">
          <cell r="A4945" t="str">
            <v>Axis Equity Advantage Fund - Series 2 Regular Plan - Growth</v>
          </cell>
          <cell r="B4945">
            <v>540672</v>
          </cell>
          <cell r="C4945" t="str">
            <v>AXISAHGPG</v>
          </cell>
        </row>
        <row r="4946">
          <cell r="A4946" t="str">
            <v>ICICI Prudential Value Fund - Series 16 - Cumulative Option</v>
          </cell>
          <cell r="B4946">
            <v>540682</v>
          </cell>
          <cell r="C4946" t="str">
            <v>IPRU2991</v>
          </cell>
        </row>
        <row r="4947">
          <cell r="A4947" t="str">
            <v>ICICI Prudential Value Fund - Series 16 - Dividend Payout Option</v>
          </cell>
          <cell r="B4947">
            <v>540683</v>
          </cell>
          <cell r="C4947" t="str">
            <v>IPRU2992</v>
          </cell>
        </row>
        <row r="4948">
          <cell r="A4948" t="str">
            <v>ICICI Prudential Value Fund - Series 16 - Direct Plan Cumulative Option</v>
          </cell>
          <cell r="B4948">
            <v>540684</v>
          </cell>
          <cell r="C4948" t="str">
            <v>IPRU9193</v>
          </cell>
        </row>
        <row r="4949">
          <cell r="A4949" t="str">
            <v>ICICI Prudential Value Fund - Series 16 - Direct Plan Dividend Payout Option</v>
          </cell>
          <cell r="B4949">
            <v>540685</v>
          </cell>
          <cell r="C4949" t="str">
            <v>IPRU9194</v>
          </cell>
        </row>
        <row r="4950">
          <cell r="A4950" t="str">
            <v>ICICI PRUDENTIAL VALUE FUND SERIES 17 - CUMULATIVE OPTION</v>
          </cell>
          <cell r="B4950">
            <v>540711</v>
          </cell>
          <cell r="C4950" t="str">
            <v>IPRU3003</v>
          </cell>
        </row>
        <row r="4951">
          <cell r="A4951" t="str">
            <v>ICICI PRUDENTIAL VALUE FUND SERIES 17 - DIVIDEND OPTION</v>
          </cell>
          <cell r="B4951">
            <v>540712</v>
          </cell>
          <cell r="C4951" t="str">
            <v>IPRU3004</v>
          </cell>
        </row>
        <row r="4952">
          <cell r="A4952" t="str">
            <v>ICICI PRUDENTIAL VALUE FUND SERIES 17 - DIRECT PLAN CUMULATIVE OPTION</v>
          </cell>
          <cell r="B4952">
            <v>540713</v>
          </cell>
          <cell r="C4952" t="str">
            <v>IPRU9205</v>
          </cell>
        </row>
        <row r="4953">
          <cell r="A4953" t="str">
            <v>ICICI PRUDENTIAL VALUE FUND SERIES 17 - DIRECT PLAN DIVIDEND OPTION</v>
          </cell>
          <cell r="B4953">
            <v>540714</v>
          </cell>
          <cell r="C4953" t="str">
            <v>IPRU9206</v>
          </cell>
        </row>
        <row r="4954">
          <cell r="A4954" t="str">
            <v>Aditya Birla Sun Life Resurgent India Fund - Series 5 - Regular Plan Growth</v>
          </cell>
          <cell r="B4954">
            <v>540739</v>
          </cell>
          <cell r="C4954" t="str">
            <v>ABSLRIF5RG</v>
          </cell>
        </row>
        <row r="4955">
          <cell r="A4955" t="str">
            <v>Aditya Birla Sun Life Resurgent India Fund - Series 5 - Regular Plan Dividend Payout</v>
          </cell>
          <cell r="B4955">
            <v>540740</v>
          </cell>
          <cell r="C4955" t="str">
            <v>ABSLRIF5RD</v>
          </cell>
        </row>
        <row r="4956">
          <cell r="A4956" t="str">
            <v>Aditya Birla Sun Life Resurgent India Fund - Series 5 - Direct Plan Growth</v>
          </cell>
          <cell r="B4956">
            <v>540741</v>
          </cell>
          <cell r="C4956" t="str">
            <v>ABSLRIF5DG</v>
          </cell>
        </row>
        <row r="4957">
          <cell r="A4957" t="str">
            <v>Aditya Birla Sun Life Resurgent India Fund - Series 5 - Direct Plan Dividend Payout</v>
          </cell>
          <cell r="B4957">
            <v>540742</v>
          </cell>
          <cell r="C4957" t="str">
            <v>ABSLRIF5DD</v>
          </cell>
        </row>
        <row r="4958">
          <cell r="A4958" t="str">
            <v>ICICI Prudential Value Fund Series 18 - Cumulative Option</v>
          </cell>
          <cell r="B4958">
            <v>540763</v>
          </cell>
          <cell r="C4958" t="str">
            <v>IPRU3013</v>
          </cell>
        </row>
        <row r="4959">
          <cell r="A4959" t="str">
            <v>ICICI Prudential Value Fund Series 18 - Dividend Payout Option</v>
          </cell>
          <cell r="B4959">
            <v>540764</v>
          </cell>
          <cell r="C4959" t="str">
            <v>IPRU3014</v>
          </cell>
        </row>
        <row r="4960">
          <cell r="A4960" t="str">
            <v>ICICI Prudential Value Fund Series 18 - Direct Plan Cumulative Option</v>
          </cell>
          <cell r="B4960">
            <v>540765</v>
          </cell>
          <cell r="C4960" t="str">
            <v>IPRU9215</v>
          </cell>
        </row>
        <row r="4961">
          <cell r="A4961" t="str">
            <v>ICICI Prudential Value Fund Series 18 - Direct Plan Dividend Payout Option</v>
          </cell>
          <cell r="B4961">
            <v>540766</v>
          </cell>
          <cell r="C4961" t="str">
            <v>IPRU9216</v>
          </cell>
        </row>
        <row r="4962">
          <cell r="A4962" t="str">
            <v>NIPPON INDIA MUTUAL FUND  CAPITAL BUILDER FD SR B DR DVP 06JN21</v>
          </cell>
          <cell r="B4962">
            <v>540778</v>
          </cell>
          <cell r="C4962" t="str">
            <v>NCBFIVBDD</v>
          </cell>
        </row>
        <row r="4963">
          <cell r="A4963" t="str">
            <v>NIPPON INDIA MUTUAL FUND  CAPITAL BUILDER FD SR B DR GWTH 06JN21</v>
          </cell>
          <cell r="B4963">
            <v>540779</v>
          </cell>
          <cell r="C4963" t="str">
            <v>NCBFIVBDG</v>
          </cell>
        </row>
        <row r="4964">
          <cell r="A4964" t="str">
            <v>NIPPON INDIA MUTUAL FUND  CAPITAL BUILDER FD SR B RG DVP 06JN21</v>
          </cell>
          <cell r="B4964">
            <v>540780</v>
          </cell>
          <cell r="C4964" t="str">
            <v>NCBFIVBD</v>
          </cell>
        </row>
        <row r="4965">
          <cell r="A4965" t="str">
            <v>NIPPON INDIA MUTUAL FUND  CAPITAL BUILDER FD SR B RG GWTH 06JN21</v>
          </cell>
          <cell r="B4965">
            <v>540781</v>
          </cell>
          <cell r="C4965" t="str">
            <v>NCBFIVBG</v>
          </cell>
        </row>
        <row r="4966">
          <cell r="A4966" t="str">
            <v>BHARAT 22 ETF - ICICI Prudential AMC</v>
          </cell>
          <cell r="B4966">
            <v>540787</v>
          </cell>
          <cell r="C4966" t="str">
            <v>ICICIB22</v>
          </cell>
        </row>
        <row r="4967">
          <cell r="A4967" t="str">
            <v>HDFC HOF-I-1140D November 2017(1) - Direct Option - Growth Option</v>
          </cell>
          <cell r="B4967">
            <v>540791</v>
          </cell>
          <cell r="C4967" t="str">
            <v>HHOF1140DG</v>
          </cell>
        </row>
        <row r="4968">
          <cell r="A4968" t="str">
            <v>HDFC HOF-I-1140D November 2017(1) - Direct Option - Dividend Payout Option</v>
          </cell>
          <cell r="B4968">
            <v>540792</v>
          </cell>
          <cell r="C4968" t="str">
            <v>HHOF1140DD</v>
          </cell>
        </row>
        <row r="4969">
          <cell r="A4969" t="str">
            <v>HDFC HOF-I-1140D November 2017(1) - Regular Option - Growth Option</v>
          </cell>
          <cell r="B4969">
            <v>540793</v>
          </cell>
          <cell r="C4969" t="str">
            <v>HHOF1140RG</v>
          </cell>
        </row>
        <row r="4970">
          <cell r="A4970" t="str">
            <v>HDFC HOF-I-1140D November 2017(1) - Regular  Option - Dividend Payout Option</v>
          </cell>
          <cell r="B4970">
            <v>540794</v>
          </cell>
          <cell r="C4970" t="str">
            <v>HHOF1140RD</v>
          </cell>
        </row>
        <row r="4971">
          <cell r="A4971" t="str">
            <v>DSP BLACKROCK A.C.E. Fund Series 1 - Regular Growth</v>
          </cell>
          <cell r="B4971">
            <v>540799</v>
          </cell>
          <cell r="C4971" t="str">
            <v>DACEFRG</v>
          </cell>
        </row>
        <row r="4972">
          <cell r="A4972" t="str">
            <v>DSP BLACKROCK A.C.E. Fund Series 1 - Regular-Dividend Payout</v>
          </cell>
          <cell r="B4972">
            <v>540800</v>
          </cell>
          <cell r="C4972" t="str">
            <v>DACEFRDP</v>
          </cell>
        </row>
        <row r="4973">
          <cell r="A4973" t="str">
            <v>DSP BLACKROCK A.C.E. Fund Series 1 - Direct Growth</v>
          </cell>
          <cell r="B4973">
            <v>540801</v>
          </cell>
          <cell r="C4973" t="str">
            <v>DACEFDG</v>
          </cell>
        </row>
        <row r="4974">
          <cell r="A4974" t="str">
            <v>DSP BLACKROCK A.C.E. Fund Series 1 - Direct - Dividend Payout</v>
          </cell>
          <cell r="B4974">
            <v>540802</v>
          </cell>
          <cell r="C4974" t="str">
            <v>DACEFDDP</v>
          </cell>
        </row>
        <row r="4975">
          <cell r="A4975" t="str">
            <v>NIPPON INDIA MUTUAL FUND  CAPITAL BUILDER FD IV SR C DR DVP 20MR21</v>
          </cell>
          <cell r="B4975">
            <v>540825</v>
          </cell>
          <cell r="C4975" t="str">
            <v>NCBFIVBCD</v>
          </cell>
        </row>
        <row r="4976">
          <cell r="A4976" t="str">
            <v>NIPPON INDIA MUTUAL FUND  CAPITAL BUILDER FD IV SR C RG GWTH 20MR21</v>
          </cell>
          <cell r="B4976">
            <v>540826</v>
          </cell>
          <cell r="C4976" t="str">
            <v>NCBFIVCG</v>
          </cell>
        </row>
        <row r="4977">
          <cell r="A4977" t="str">
            <v>NIPPON INDIA MUTUAL FUND  CAPITAL BUILDER FD IV SR C DR GWTH 20MR21</v>
          </cell>
          <cell r="B4977">
            <v>540827</v>
          </cell>
          <cell r="C4977" t="str">
            <v>NCBFIVBCG</v>
          </cell>
        </row>
        <row r="4978">
          <cell r="A4978" t="str">
            <v>NIPPON INDIA MUTUAL FUND  CAPITAL BUILDER FD IV SR C RG DVP 20MR21</v>
          </cell>
          <cell r="B4978">
            <v>540828</v>
          </cell>
          <cell r="C4978" t="str">
            <v>NCBFIVCD</v>
          </cell>
        </row>
        <row r="4979">
          <cell r="A4979" t="str">
            <v>ICICI PRUDENTIAL VALUE FUND - SERIES 19 - CUMULATIVE OPTION</v>
          </cell>
          <cell r="B4979">
            <v>540861</v>
          </cell>
          <cell r="C4979" t="str">
            <v>IPRU3018</v>
          </cell>
        </row>
        <row r="4980">
          <cell r="A4980" t="str">
            <v>ICICI PRUDENTIAL VALUE FUND - SERIES 19  - DIVIDEND PAYOUT OPTION</v>
          </cell>
          <cell r="B4980">
            <v>540862</v>
          </cell>
          <cell r="C4980" t="str">
            <v>IPRU3019</v>
          </cell>
        </row>
        <row r="4981">
          <cell r="A4981" t="str">
            <v>ICICI PRUDENTIAL VALUE FUND - SERIES 19  - DIRECT PLAN CUMULATIVE OPTION</v>
          </cell>
          <cell r="B4981">
            <v>540863</v>
          </cell>
          <cell r="C4981" t="str">
            <v>IPRU9220</v>
          </cell>
        </row>
        <row r="4982">
          <cell r="A4982" t="str">
            <v>ICICI PRUDENTIAL VALUE FUND - SERIES 19  -DIRECT PLAN DIVIDEND PAYOUT OPTION</v>
          </cell>
          <cell r="B4982">
            <v>540864</v>
          </cell>
          <cell r="C4982" t="str">
            <v>IPRU9221</v>
          </cell>
        </row>
        <row r="4983">
          <cell r="A4983" t="str">
            <v>NIPPON INDIA MUTUAL FUND  CAPITAL BUILDER FD IV SRD DR DVP 18JN21</v>
          </cell>
          <cell r="B4983">
            <v>540896</v>
          </cell>
          <cell r="C4983" t="str">
            <v>NCBFIVDDD</v>
          </cell>
        </row>
        <row r="4984">
          <cell r="A4984" t="str">
            <v>NIPPON INDIA MUTUAL FUND  CAPITAL BUILDER FD IV SRD RG GWTH 18JN21</v>
          </cell>
          <cell r="B4984">
            <v>540897</v>
          </cell>
          <cell r="C4984" t="str">
            <v>NCBFIVDG</v>
          </cell>
        </row>
        <row r="4985">
          <cell r="A4985" t="str">
            <v>NIPPON INDIA MUTUAL FUND  CAPITAL BUILDER FD IV SRD DR GWTH 18JN21</v>
          </cell>
          <cell r="B4985">
            <v>540898</v>
          </cell>
          <cell r="C4985" t="str">
            <v>NCBFIVDDG</v>
          </cell>
        </row>
        <row r="4986">
          <cell r="A4986" t="str">
            <v>NIPPON INDIA MUTUAL FUND  CAPITAL BUILDER FD IV SRD RG DVP 18JN21</v>
          </cell>
          <cell r="B4986">
            <v>540899</v>
          </cell>
          <cell r="C4986" t="str">
            <v>NCBFIVDD</v>
          </cell>
        </row>
        <row r="4987">
          <cell r="A4987" t="str">
            <v>ICICI Prudential Value Fund - Series 20 - Cumulative Option</v>
          </cell>
          <cell r="B4987">
            <v>540947</v>
          </cell>
          <cell r="C4987" t="str">
            <v>IPRU3034</v>
          </cell>
        </row>
        <row r="4988">
          <cell r="A4988" t="str">
            <v>ICICI Prudential Value Fund - Series 20 - Dividend Option</v>
          </cell>
          <cell r="B4988">
            <v>540949</v>
          </cell>
          <cell r="C4988" t="str">
            <v>IPRU3035</v>
          </cell>
        </row>
        <row r="4989">
          <cell r="A4989" t="str">
            <v>ICICI Prudential Value Fund - Series 20 - Direct Plan Cumulative Option</v>
          </cell>
          <cell r="B4989">
            <v>540950</v>
          </cell>
          <cell r="C4989" t="str">
            <v>IPRU9236</v>
          </cell>
        </row>
        <row r="4990">
          <cell r="A4990" t="str">
            <v>ICICI Prudential Value Fund - Series 20 - Direct Plan Dividend Option</v>
          </cell>
          <cell r="B4990">
            <v>540951</v>
          </cell>
          <cell r="C4990" t="str">
            <v>IPRU9237</v>
          </cell>
        </row>
        <row r="4991">
          <cell r="A4991" t="str">
            <v>Kotak India Growth Fund   Series 4 - Regular Plan Growth Option</v>
          </cell>
          <cell r="B4991">
            <v>540981</v>
          </cell>
          <cell r="C4991" t="str">
            <v>KTKIND4RG</v>
          </cell>
        </row>
        <row r="4992">
          <cell r="A4992" t="str">
            <v>Kotak India Growth Fund   Series 4 - Regular Plan Dividend Option</v>
          </cell>
          <cell r="B4992">
            <v>540982</v>
          </cell>
          <cell r="C4992" t="str">
            <v>KTKIND4RD</v>
          </cell>
        </row>
        <row r="4993">
          <cell r="A4993" t="str">
            <v>KOTAK INDIA GROWTH FUND SERIES 4 DIRECT PLAN DIVIDEND OPTION</v>
          </cell>
          <cell r="B4993">
            <v>540983</v>
          </cell>
          <cell r="C4993" t="str">
            <v>KTKIND4DD</v>
          </cell>
        </row>
        <row r="4994">
          <cell r="A4994" t="str">
            <v>Kotak India Growth Fund   Series 4 - Direct Plan Growth Option</v>
          </cell>
          <cell r="B4994">
            <v>540984</v>
          </cell>
          <cell r="C4994" t="str">
            <v>KTKIND4DG</v>
          </cell>
        </row>
        <row r="4995">
          <cell r="A4995" t="str">
            <v>Axis Capital Builder Fund - Series 1 (1540 Days) - Direct Plan  - Dividend Payout</v>
          </cell>
          <cell r="B4995">
            <v>541068</v>
          </cell>
          <cell r="C4995" t="str">
            <v>AXISCBD1D</v>
          </cell>
        </row>
        <row r="4996">
          <cell r="A4996" t="str">
            <v>Axis Capital Builder Fund - Series 1 (1540 Days) - Direct Plan  - Growth</v>
          </cell>
          <cell r="B4996">
            <v>541069</v>
          </cell>
          <cell r="C4996" t="str">
            <v>AXISCBDGG</v>
          </cell>
        </row>
        <row r="4997">
          <cell r="A4997" t="str">
            <v>Axis Capital Builder Fund - Series 1 (1540 Days) - Regular Plan  - Dividend Payout</v>
          </cell>
          <cell r="B4997">
            <v>541070</v>
          </cell>
          <cell r="C4997" t="str">
            <v>AXISCBDPD</v>
          </cell>
        </row>
        <row r="4998">
          <cell r="A4998" t="str">
            <v>Axis Capital Builder Fund - Series 1 (1540 Days) - Regular Plan  - Growth</v>
          </cell>
          <cell r="B4998">
            <v>541071</v>
          </cell>
          <cell r="C4998" t="str">
            <v>AXISCBGPG</v>
          </cell>
        </row>
        <row r="4999">
          <cell r="A4999" t="str">
            <v>DSP BlackRock A C E Fund - Series 2 - Regular Plan - Growth Option</v>
          </cell>
          <cell r="B4999">
            <v>541084</v>
          </cell>
          <cell r="C4999" t="str">
            <v>DACE2RG</v>
          </cell>
        </row>
        <row r="5000">
          <cell r="A5000" t="str">
            <v>DSP BlackRock A C E Fund - Series 2 - Regular Plan - Dividend Payout Option</v>
          </cell>
          <cell r="B5000">
            <v>541085</v>
          </cell>
          <cell r="C5000" t="str">
            <v>DACE2RDP</v>
          </cell>
        </row>
        <row r="5001">
          <cell r="A5001" t="str">
            <v>DSP BlackRock A C E Fund - Series 2 - Direct Plan - Growth Option</v>
          </cell>
          <cell r="B5001">
            <v>541086</v>
          </cell>
          <cell r="C5001" t="str">
            <v>DACE2DG</v>
          </cell>
        </row>
        <row r="5002">
          <cell r="A5002" t="str">
            <v>DSP BlackRock A C E Fund - Series 2 - Direct Plan - Dividend Payout  Option</v>
          </cell>
          <cell r="B5002">
            <v>541087</v>
          </cell>
          <cell r="C5002" t="str">
            <v>DACE2DDP</v>
          </cell>
        </row>
        <row r="5003">
          <cell r="A5003" t="str">
            <v>ADITYA BIRLA SUN LIFE RESURGENT INDIA FUND - SERIES 6- REGULAR PLAN- GROWTH</v>
          </cell>
          <cell r="B5003">
            <v>541092</v>
          </cell>
          <cell r="C5003" t="str">
            <v>ABSLRIF6RG</v>
          </cell>
        </row>
        <row r="5004">
          <cell r="A5004" t="str">
            <v>ADITYA BIRLA SUN LIFE RESURGENT INDIA FUND - SERIES 6- REGULAR PLAN- DIVIDEND PAYOUT</v>
          </cell>
          <cell r="B5004">
            <v>541093</v>
          </cell>
          <cell r="C5004" t="str">
            <v>ABSLRIF6RD</v>
          </cell>
        </row>
        <row r="5005">
          <cell r="A5005" t="str">
            <v>ADITYA BIRLA SUN LIFE RESURGENT INDIA FUND - SERIES 6- DIRECT PLAN- GROWTH</v>
          </cell>
          <cell r="B5005">
            <v>541094</v>
          </cell>
          <cell r="C5005" t="str">
            <v>ABSLRIF6DG</v>
          </cell>
        </row>
        <row r="5006">
          <cell r="A5006" t="str">
            <v>ADITYA BIRLA SUN LIFE RESURGENT INDIA FUND - SERIES 6- DIRECT PLAN- DIVIDEND PAYOUT</v>
          </cell>
          <cell r="B5006">
            <v>541095</v>
          </cell>
          <cell r="C5006" t="str">
            <v>ABSLRIF6DD</v>
          </cell>
        </row>
        <row r="5007">
          <cell r="A5007" t="str">
            <v>Aditya Birla Sun Life Resurgent India Fund - Series 7 - Regular Plan - Growth Option</v>
          </cell>
          <cell r="B5007">
            <v>541252</v>
          </cell>
          <cell r="C5007" t="str">
            <v>ABSLRIF7RG</v>
          </cell>
        </row>
        <row r="5008">
          <cell r="A5008" t="str">
            <v>Aditya Birla Sun Life Resurgent India Fund - Series 7 - Regular Plan - Dividend Payout</v>
          </cell>
          <cell r="B5008">
            <v>541253</v>
          </cell>
          <cell r="C5008" t="str">
            <v>ABSLRIF7RD</v>
          </cell>
        </row>
        <row r="5009">
          <cell r="A5009" t="str">
            <v>Aditya Birla Sun Life Resurgent India Fund - Series 7 - Direct Plan - Growth Option</v>
          </cell>
          <cell r="B5009">
            <v>541254</v>
          </cell>
          <cell r="C5009" t="str">
            <v>ABSLRIF7DG</v>
          </cell>
        </row>
        <row r="5010">
          <cell r="A5010" t="str">
            <v>Aditya Birla Sun Life Resurgent India Fund - Series 7 - Direct Plan - Dividend Payout</v>
          </cell>
          <cell r="B5010">
            <v>541255</v>
          </cell>
          <cell r="C5010" t="str">
            <v>ABSLRIF7DD</v>
          </cell>
        </row>
        <row r="5011">
          <cell r="A5011" t="str">
            <v>IndInfravit Trust</v>
          </cell>
          <cell r="B5011">
            <v>541300</v>
          </cell>
          <cell r="C5011" t="str">
            <v>INDINFR</v>
          </cell>
        </row>
        <row r="5012">
          <cell r="A5012" t="str">
            <v>ICICI Prudential Bharat Consumption Fund - Series 2 - Cumulative Option</v>
          </cell>
          <cell r="B5012">
            <v>541309</v>
          </cell>
          <cell r="C5012" t="str">
            <v>IPRU3095</v>
          </cell>
        </row>
        <row r="5013">
          <cell r="A5013" t="str">
            <v>ICICI Prudential Bharat Consumption Fund - Series 2 - Dividend Option</v>
          </cell>
          <cell r="B5013">
            <v>541310</v>
          </cell>
          <cell r="C5013" t="str">
            <v>IPRU3096</v>
          </cell>
        </row>
        <row r="5014">
          <cell r="A5014" t="str">
            <v>ICICI Prudential Bharat Consumption Fund - Series 2 - Direct Plan Cumulative Option</v>
          </cell>
          <cell r="B5014">
            <v>541311</v>
          </cell>
          <cell r="C5014" t="str">
            <v>IPRU9297</v>
          </cell>
        </row>
        <row r="5015">
          <cell r="A5015" t="str">
            <v>ICICI Prudential Bharat Consumption Fund - Series 2 - Direct Plan Dividend Option</v>
          </cell>
          <cell r="B5015">
            <v>541312</v>
          </cell>
          <cell r="C5015" t="str">
            <v>IPRU9298</v>
          </cell>
        </row>
        <row r="5016">
          <cell r="A5016" t="str">
            <v>ICICI Prudential S&amp;P BSE 500 ETF</v>
          </cell>
          <cell r="B5016">
            <v>541313</v>
          </cell>
          <cell r="C5016" t="str">
            <v>ICICI500</v>
          </cell>
        </row>
        <row r="5017">
          <cell r="A5017" t="str">
            <v>Kotak India Growth Fund Series 5 - Regular Plan - Growth Option</v>
          </cell>
          <cell r="B5017">
            <v>541341</v>
          </cell>
          <cell r="C5017" t="str">
            <v>KTKIND5RG</v>
          </cell>
        </row>
        <row r="5018">
          <cell r="A5018" t="str">
            <v>Kotak India Growth Fund Series 5 - Regular Plan - Dividend Option</v>
          </cell>
          <cell r="B5018">
            <v>541343</v>
          </cell>
          <cell r="C5018" t="str">
            <v>KTKIND5RD</v>
          </cell>
        </row>
        <row r="5019">
          <cell r="A5019" t="str">
            <v>Kotak India Growth Fund Series 5 - Direct Plan - Growth Option</v>
          </cell>
          <cell r="B5019">
            <v>541345</v>
          </cell>
          <cell r="C5019" t="str">
            <v>KTKIND5DG</v>
          </cell>
        </row>
        <row r="5020">
          <cell r="A5020" t="str">
            <v>Kotak India Growth Fund Series 5 - Direct Plan - Dividend Option</v>
          </cell>
          <cell r="B5020">
            <v>541346</v>
          </cell>
          <cell r="C5020" t="str">
            <v>KTKIND5DD</v>
          </cell>
        </row>
        <row r="5021">
          <cell r="A5021" t="str">
            <v>ICICI Prudential Bharat Consumption Fund  - Series 3 - Cumulative Option</v>
          </cell>
          <cell r="B5021">
            <v>541672</v>
          </cell>
          <cell r="C5021" t="str">
            <v>IPRU3143</v>
          </cell>
        </row>
        <row r="5022">
          <cell r="A5022" t="str">
            <v>ICICI Prudential Bharat Consumption Fund  - Series 3 - Dividend Payout Option</v>
          </cell>
          <cell r="B5022">
            <v>541673</v>
          </cell>
          <cell r="C5022" t="str">
            <v>IPRU3144</v>
          </cell>
        </row>
        <row r="5023">
          <cell r="A5023" t="str">
            <v>ICICI Prudential Bharat Consumption Fund  - Series 3 -  Direct Plan - Cumulative Option</v>
          </cell>
          <cell r="B5023">
            <v>541674</v>
          </cell>
          <cell r="C5023" t="str">
            <v>IPRU9345</v>
          </cell>
        </row>
        <row r="5024">
          <cell r="A5024" t="str">
            <v>ICICI Prudential Bharat Consumption Fund  - Series 3 - Direct Plan - Dividend Payout Option</v>
          </cell>
          <cell r="B5024">
            <v>541675</v>
          </cell>
          <cell r="C5024" t="str">
            <v>IPRU9346</v>
          </cell>
        </row>
        <row r="5025">
          <cell r="A5025" t="str">
            <v>Tata Vaue Fund Series 1 - Regular Plan - Dividend Payout Option</v>
          </cell>
          <cell r="B5025">
            <v>541676</v>
          </cell>
          <cell r="C5025" t="str">
            <v>TVF1D</v>
          </cell>
        </row>
        <row r="5026">
          <cell r="A5026" t="str">
            <v>Tata Vaue Fund Series 1 - Direct Plan - Dividend Payout Option</v>
          </cell>
          <cell r="B5026">
            <v>541677</v>
          </cell>
          <cell r="C5026" t="str">
            <v>TVF1DZ</v>
          </cell>
        </row>
        <row r="5027">
          <cell r="A5027" t="str">
            <v>Tata Vaue Fund Series 1 - Regular Plan - Growth Option</v>
          </cell>
          <cell r="B5027">
            <v>541678</v>
          </cell>
          <cell r="C5027" t="str">
            <v>TVF1G</v>
          </cell>
        </row>
        <row r="5028">
          <cell r="A5028" t="str">
            <v>Tata Vaue Fund Series 1 - Direct Plan - Growth Option</v>
          </cell>
          <cell r="B5028">
            <v>541679</v>
          </cell>
          <cell r="C5028" t="str">
            <v>TVF1GZ</v>
          </cell>
        </row>
        <row r="5029">
          <cell r="A5029" t="str">
            <v>IDFC Equity Opportunity - Series 6 - Regular Plan - Growth Option</v>
          </cell>
          <cell r="B5029">
            <v>541725</v>
          </cell>
          <cell r="C5029" t="str">
            <v>IDFCEOS6RG</v>
          </cell>
        </row>
        <row r="5030">
          <cell r="A5030" t="str">
            <v>IDFC Equity Opportunity - Series 6 - Regular Plan - Dividend Payout  Option</v>
          </cell>
          <cell r="B5030">
            <v>541726</v>
          </cell>
          <cell r="C5030" t="str">
            <v>IDFCEOS6RD</v>
          </cell>
        </row>
        <row r="5031">
          <cell r="A5031" t="str">
            <v>IDFC Equity Opportunity - Series 6 - Direct Plan - Growth Option</v>
          </cell>
          <cell r="B5031">
            <v>541727</v>
          </cell>
          <cell r="C5031" t="str">
            <v>IDFCEOS6DG</v>
          </cell>
        </row>
        <row r="5032">
          <cell r="A5032" t="str">
            <v>IDFC Equity Opportunity - Series 6 - Direct Plan - Dividend Payout Option</v>
          </cell>
          <cell r="B5032">
            <v>541728</v>
          </cell>
          <cell r="C5032" t="str">
            <v>IDFCEOS6DD</v>
          </cell>
        </row>
        <row r="5033">
          <cell r="A5033" t="str">
            <v>TATA Value Fund Series  2 - Regular Plan  - Dividend Payout Option</v>
          </cell>
          <cell r="B5033">
            <v>541742</v>
          </cell>
          <cell r="C5033" t="str">
            <v>TVF2D</v>
          </cell>
        </row>
        <row r="5034">
          <cell r="A5034" t="str">
            <v>TATA Value Fund Series  2 - Direct Plan  - Dividend Payout Option</v>
          </cell>
          <cell r="B5034">
            <v>541743</v>
          </cell>
          <cell r="C5034" t="str">
            <v>TVF2DZ</v>
          </cell>
        </row>
        <row r="5035">
          <cell r="A5035" t="str">
            <v>TATA Value Fund Series  2 - Regular  Plan  - Growth Option</v>
          </cell>
          <cell r="B5035">
            <v>541744</v>
          </cell>
          <cell r="C5035" t="str">
            <v>TVF2G</v>
          </cell>
        </row>
        <row r="5036">
          <cell r="A5036" t="str">
            <v>TATA Value Fund Series  2 - Direct Plan  - Growth Option</v>
          </cell>
          <cell r="B5036">
            <v>541745</v>
          </cell>
          <cell r="C5036" t="str">
            <v>TVF2GZ</v>
          </cell>
        </row>
        <row r="5037">
          <cell r="A5037" t="str">
            <v>ICICI PRU Bharat Consumption Fund - Sr 4 - Cumulative</v>
          </cell>
          <cell r="B5037">
            <v>541804</v>
          </cell>
          <cell r="C5037" t="str">
            <v>IPRU3168</v>
          </cell>
        </row>
        <row r="5038">
          <cell r="A5038" t="str">
            <v>ICICI PRU Bharat Consumption Fund - Sr 4 - Dividend Payout Option</v>
          </cell>
          <cell r="B5038">
            <v>541805</v>
          </cell>
          <cell r="C5038" t="str">
            <v>IPRU3169</v>
          </cell>
        </row>
        <row r="5039">
          <cell r="A5039" t="str">
            <v>ICICI PRU Bharat Consumption Fund - Sr 4 - Direct Plan Cumulative</v>
          </cell>
          <cell r="B5039">
            <v>541806</v>
          </cell>
          <cell r="C5039" t="str">
            <v>IPRU9370</v>
          </cell>
        </row>
        <row r="5040">
          <cell r="A5040" t="str">
            <v>ICICI PRU Bharat Consumption Fund - Sr 4 - Direct Plan Dividend Payout</v>
          </cell>
          <cell r="B5040">
            <v>541807</v>
          </cell>
          <cell r="C5040" t="str">
            <v>IPRU9371</v>
          </cell>
        </row>
        <row r="5041">
          <cell r="A5041" t="str">
            <v>ICICI Prudential Nifty Next 50 ETF</v>
          </cell>
          <cell r="B5041">
            <v>541809</v>
          </cell>
          <cell r="C5041" t="str">
            <v>ICICINXT50</v>
          </cell>
        </row>
        <row r="5042">
          <cell r="A5042" t="str">
            <v>Kotak India Growth Fund Series 7 - Regular Plan - Growth Option</v>
          </cell>
          <cell r="B5042">
            <v>541879</v>
          </cell>
          <cell r="C5042" t="str">
            <v>KTKIND7RG</v>
          </cell>
        </row>
        <row r="5043">
          <cell r="A5043" t="str">
            <v>Kotak India Growth Fund Series 7 - Regular Plan - Dividend Option</v>
          </cell>
          <cell r="B5043">
            <v>541881</v>
          </cell>
          <cell r="C5043" t="str">
            <v>KTKIND7RD</v>
          </cell>
        </row>
        <row r="5044">
          <cell r="A5044" t="str">
            <v>Kotak India Growth Fund Series 7 - Direct Plan - Growth Option</v>
          </cell>
          <cell r="B5044">
            <v>541882</v>
          </cell>
          <cell r="C5044" t="str">
            <v>KTKIND7DG</v>
          </cell>
        </row>
        <row r="5045">
          <cell r="A5045" t="str">
            <v>Kotak India Growth Fund Series 7 - Direct Plan - Dividend Option</v>
          </cell>
          <cell r="B5045">
            <v>541884</v>
          </cell>
          <cell r="C5045" t="str">
            <v>KTKIND7DD</v>
          </cell>
        </row>
        <row r="5046">
          <cell r="A5046" t="str">
            <v>SBI - ETF - SENSEX NEXT 50</v>
          </cell>
          <cell r="B5046">
            <v>541972</v>
          </cell>
          <cell r="C5046" t="str">
            <v>SETFSN50</v>
          </cell>
        </row>
        <row r="5047">
          <cell r="A5047" t="str">
            <v>NIPPON INDIA MUTUAL FUND  INDIA OPPT FD  SR A RG GWTH31JN22</v>
          </cell>
          <cell r="B5047">
            <v>541984</v>
          </cell>
          <cell r="C5047" t="str">
            <v>NIOSAG</v>
          </cell>
        </row>
        <row r="5048">
          <cell r="A5048" t="str">
            <v>NIPPON INDIA MUTUAL FUND  INDIA OPPT FD  SR A RG DVP31JN22</v>
          </cell>
          <cell r="B5048">
            <v>541985</v>
          </cell>
          <cell r="C5048" t="str">
            <v>NIOSAD</v>
          </cell>
        </row>
        <row r="5049">
          <cell r="A5049" t="str">
            <v>NIPPON INDIA MUTUAL FUND  INDIA OPPT FD  SR A DR GWTH31JN22</v>
          </cell>
          <cell r="B5049">
            <v>541986</v>
          </cell>
          <cell r="C5049" t="str">
            <v>NIOSADG</v>
          </cell>
        </row>
        <row r="5050">
          <cell r="A5050" t="str">
            <v>NIPPON INDIA MUTUAL FUND  INDIA OPPT FD  SR A DR DVP31JN22</v>
          </cell>
          <cell r="B5050">
            <v>541987</v>
          </cell>
          <cell r="C5050" t="str">
            <v>NIOSADD</v>
          </cell>
        </row>
        <row r="5051">
          <cell r="A5051" t="str">
            <v>MIRAE ASSET NIFTY 50 ETF (MAN50ETF)</v>
          </cell>
          <cell r="B5051">
            <v>542131</v>
          </cell>
          <cell r="C5051" t="str">
            <v>MAN50ETF</v>
          </cell>
        </row>
        <row r="5052">
          <cell r="A5052" t="str">
            <v>ICICI Prudential Bharat Consumption Fund - Series 5 - Cumulative Option</v>
          </cell>
          <cell r="B5052">
            <v>542156</v>
          </cell>
          <cell r="C5052" t="str">
            <v>IPRU3218</v>
          </cell>
        </row>
        <row r="5053">
          <cell r="A5053" t="str">
            <v>ICICI Prudential Bharat Consumption Fund - Series 5 - Dividend Payout Option</v>
          </cell>
          <cell r="B5053">
            <v>542158</v>
          </cell>
          <cell r="C5053" t="str">
            <v>IPRU3219</v>
          </cell>
        </row>
        <row r="5054">
          <cell r="A5054" t="str">
            <v>ICICI Prudential Bharat Consumption Fund - Series 5 -  Direct Plan - Cumulative Option</v>
          </cell>
          <cell r="B5054">
            <v>542160</v>
          </cell>
          <cell r="C5054" t="str">
            <v>IPRU9420</v>
          </cell>
        </row>
        <row r="5055">
          <cell r="A5055" t="str">
            <v>ICICI Prudential Bharat Consumption Fund - Series 5 -  Direct Plan - Dividend Payout  Option</v>
          </cell>
          <cell r="B5055">
            <v>542163</v>
          </cell>
          <cell r="C5055" t="str">
            <v>IPRU9421</v>
          </cell>
        </row>
        <row r="5056">
          <cell r="A5056" t="str">
            <v>Aditya Birla Sun Life Nifty Next 50 ETF</v>
          </cell>
          <cell r="B5056">
            <v>542230</v>
          </cell>
          <cell r="C5056" t="str">
            <v>ABSLNN50ET</v>
          </cell>
        </row>
        <row r="5057">
          <cell r="A5057" t="str">
            <v>Axis&amp;#160;Capital&amp;#160;Builder&amp;#160;Fund&amp;#160;-&amp;#160;Series&amp;#160;4&amp;#160;(1582&amp;#160;days)&amp;#160;-</v>
          </cell>
          <cell r="B5057">
            <v>542244</v>
          </cell>
          <cell r="C5057" t="str">
            <v>AXISCCDID</v>
          </cell>
        </row>
        <row r="5058">
          <cell r="A5058" t="str">
            <v>Axis&amp;#160;Capital&amp;#160;Builder&amp;#160;Fund&amp;#160;-&amp;#160;Series&amp;#160;4&amp;#160;(1582&amp;#160;days)&amp;#160;-Direct&amp;#160;Plan&amp;#160;-&amp;#160;Growth&amp;#160;Option</v>
          </cell>
          <cell r="B5058">
            <v>542245</v>
          </cell>
          <cell r="C5058" t="str">
            <v>AXISCCDGG</v>
          </cell>
        </row>
        <row r="5059">
          <cell r="A5059" t="str">
            <v>Axis&amp;#160;Capital&amp;#160;Builder&amp;#160;Fund&amp;#160;-&amp;#160;Series&amp;#160;4&amp;#160;(1582&amp;#160;days)&amp;#160;-Regular&amp;#160;Plan&amp;#160;-&amp;#160;Dividend&amp;#160;Payout&amp;#160;Option</v>
          </cell>
          <cell r="B5059">
            <v>542246</v>
          </cell>
          <cell r="C5059" t="str">
            <v>AXISCCDPD</v>
          </cell>
        </row>
        <row r="5060">
          <cell r="A5060" t="str">
            <v>Axis&amp;#160;Capital&amp;#160;Builder&amp;#160;Fund&amp;#160;-&amp;#160;Series&amp;#160;4&amp;#160;(1582&amp;#160;days)&amp;#160;- Regular&amp;#160;Plan&amp;#160;-&amp;#160;Growth&amp;#160;Option</v>
          </cell>
          <cell r="B5060">
            <v>542247</v>
          </cell>
          <cell r="C5060" t="str">
            <v>AXISCCGPG</v>
          </cell>
        </row>
        <row r="5061">
          <cell r="A5061" t="str">
            <v>UTI S&amp;P BSE Sensex Next 50 ETF</v>
          </cell>
          <cell r="B5061">
            <v>542513</v>
          </cell>
          <cell r="C5061" t="str">
            <v>UTISXN50</v>
          </cell>
        </row>
        <row r="5062">
          <cell r="A5062" t="str">
            <v>India Infrastructure Trust</v>
          </cell>
          <cell r="B5062">
            <v>542543</v>
          </cell>
          <cell r="C5062" t="str">
            <v>INFRATRUST</v>
          </cell>
        </row>
        <row r="5063">
          <cell r="A5063" t="str">
            <v>Parshva Enterprises Ltd</v>
          </cell>
          <cell r="B5063">
            <v>542694</v>
          </cell>
          <cell r="C5063" t="str">
            <v>PARSHVA</v>
          </cell>
        </row>
        <row r="5064">
          <cell r="A5064" t="str">
            <v>Anand Rayons Ltd</v>
          </cell>
          <cell r="B5064">
            <v>542721</v>
          </cell>
          <cell r="C5064" t="str">
            <v>ARL</v>
          </cell>
        </row>
        <row r="5065">
          <cell r="A5065" t="str">
            <v>Earum Pharmaceuticals Ltd</v>
          </cell>
          <cell r="B5065">
            <v>542724</v>
          </cell>
          <cell r="C5065" t="str">
            <v>EARUM</v>
          </cell>
        </row>
        <row r="5066">
          <cell r="A5066" t="str">
            <v>SBC Exports Ltd</v>
          </cell>
          <cell r="B5066">
            <v>542725</v>
          </cell>
          <cell r="C5066" t="str">
            <v>SBC</v>
          </cell>
        </row>
        <row r="5067">
          <cell r="A5067" t="str">
            <v>IndiaMART InterMESH Ltd</v>
          </cell>
          <cell r="B5067">
            <v>542726</v>
          </cell>
          <cell r="C5067" t="str">
            <v>INDIAMART</v>
          </cell>
        </row>
        <row r="5068">
          <cell r="A5068" t="str">
            <v>City Pulse Multiplex Ltd</v>
          </cell>
          <cell r="B5068">
            <v>542727</v>
          </cell>
          <cell r="C5068" t="str">
            <v>CPML</v>
          </cell>
        </row>
        <row r="5069">
          <cell r="A5069" t="str">
            <v>SK International Export Ltd</v>
          </cell>
          <cell r="B5069">
            <v>542728</v>
          </cell>
          <cell r="C5069" t="str">
            <v>SKIEL</v>
          </cell>
        </row>
        <row r="5070">
          <cell r="A5070" t="str">
            <v>DCM Nouvelle Ltd</v>
          </cell>
          <cell r="B5070">
            <v>542729</v>
          </cell>
          <cell r="C5070" t="str">
            <v>DCMNVL</v>
          </cell>
        </row>
        <row r="5071">
          <cell r="A5071" t="str">
            <v>ICICI Prudential Bank ETF</v>
          </cell>
          <cell r="B5071">
            <v>542730</v>
          </cell>
          <cell r="C5071" t="str">
            <v>ICICIBANKN</v>
          </cell>
        </row>
        <row r="5072">
          <cell r="A5072" t="str">
            <v>NIPPON INDIA ETF SENSEX NEXT 50</v>
          </cell>
          <cell r="B5072">
            <v>542747</v>
          </cell>
          <cell r="C5072" t="str">
            <v>NETFSNX150</v>
          </cell>
        </row>
        <row r="5073">
          <cell r="A5073" t="str">
            <v>Affle (India) Ltd</v>
          </cell>
          <cell r="B5073">
            <v>542752</v>
          </cell>
          <cell r="C5073" t="str">
            <v>AFFLE</v>
          </cell>
        </row>
        <row r="5074">
          <cell r="A5074" t="str">
            <v>Seacoast Shipping Services Ltd</v>
          </cell>
          <cell r="B5074">
            <v>542753</v>
          </cell>
          <cell r="C5074" t="str">
            <v>SEACOAST</v>
          </cell>
        </row>
        <row r="5075">
          <cell r="A5075" t="str">
            <v>ICICI Prudential Private Banks ETF</v>
          </cell>
          <cell r="B5075">
            <v>542758</v>
          </cell>
          <cell r="C5075" t="str">
            <v>ICICIBANKP</v>
          </cell>
        </row>
        <row r="5076">
          <cell r="A5076" t="str">
            <v>Spandana Sphoorty Financial Ltd</v>
          </cell>
          <cell r="B5076">
            <v>542759</v>
          </cell>
          <cell r="C5076" t="str">
            <v>SPANDANA</v>
          </cell>
        </row>
        <row r="5077">
          <cell r="A5077" t="str">
            <v>Sterling and Wilson Solar Ltd</v>
          </cell>
          <cell r="B5077">
            <v>542760</v>
          </cell>
          <cell r="C5077" t="str">
            <v>SWSOLAR</v>
          </cell>
        </row>
        <row r="5078">
          <cell r="A5078" t="str">
            <v>Transpact Enterprises Ltd</v>
          </cell>
          <cell r="B5078">
            <v>542765</v>
          </cell>
          <cell r="C5078" t="str">
            <v>TRANSPACT</v>
          </cell>
        </row>
        <row r="5079">
          <cell r="A5079" t="str">
            <v>Alphalogic Techsys Ltd</v>
          </cell>
          <cell r="B5079">
            <v>542770</v>
          </cell>
          <cell r="C5079" t="str">
            <v>ALPHALOGIC</v>
          </cell>
        </row>
        <row r="5080">
          <cell r="A5080" t="str">
            <v>Novateor Research Laboratories Ltd</v>
          </cell>
          <cell r="B5080">
            <v>542771</v>
          </cell>
          <cell r="C5080" t="str">
            <v>NOVATEOR</v>
          </cell>
        </row>
        <row r="5081">
          <cell r="A5081" t="str">
            <v>IIFL Wealth Management Ltd</v>
          </cell>
          <cell r="B5081">
            <v>542772</v>
          </cell>
          <cell r="C5081" t="str">
            <v>IIFLWAM</v>
          </cell>
        </row>
        <row r="5082">
          <cell r="A5082" t="str">
            <v>IIFL Securities Ltd</v>
          </cell>
          <cell r="B5082">
            <v>542773</v>
          </cell>
          <cell r="C5082" t="str">
            <v>IIFLSEC</v>
          </cell>
        </row>
        <row r="5083">
          <cell r="A5083" t="str">
            <v>APM Finvest Ltd</v>
          </cell>
          <cell r="B5083">
            <v>542774</v>
          </cell>
          <cell r="C5083" t="str">
            <v>APMFINVEST</v>
          </cell>
        </row>
        <row r="5084">
          <cell r="A5084" t="str">
            <v>Misquita Engineering Ltd</v>
          </cell>
          <cell r="B5084">
            <v>542801</v>
          </cell>
          <cell r="C5084" t="str">
            <v>MISQUITA</v>
          </cell>
        </row>
        <row r="5085">
          <cell r="A5085" t="str">
            <v>Galactico Corporate Services Ltd</v>
          </cell>
          <cell r="B5085">
            <v>542802</v>
          </cell>
          <cell r="C5085" t="str">
            <v>GALACTICO</v>
          </cell>
        </row>
        <row r="5086">
          <cell r="A5086" t="str">
            <v>Ellora Trading Ltd</v>
          </cell>
          <cell r="B5086">
            <v>542803</v>
          </cell>
          <cell r="C5086" t="str">
            <v>ELLORATRAD</v>
          </cell>
        </row>
        <row r="5087">
          <cell r="A5087" t="str">
            <v>NIPPON INDIA EQUITY SAVINGS FUND - SEGREGATED PORTFOLIO 1 - DIVIDEND PLANDIVIDEND PAYOUT</v>
          </cell>
          <cell r="B5087">
            <v>542804</v>
          </cell>
          <cell r="C5087" t="str">
            <v>NIESSPJ</v>
          </cell>
        </row>
        <row r="5088">
          <cell r="A5088" t="str">
            <v>NIPPON INDIA EQUITY SAVINGS FUND - SEGREGATED PORTFOLIO 1 - DIRECT QUARTERLY DIVIDEND PLAN REINVESTMENT</v>
          </cell>
          <cell r="B5088">
            <v>542805</v>
          </cell>
          <cell r="C5088" t="str">
            <v>NIESSPI</v>
          </cell>
        </row>
        <row r="5089">
          <cell r="A5089" t="str">
            <v>NIPPON INDIA EQUITY SAVINGS FUND - SEGREGATED PORTFOLIO 1 - DIRECT BONUS PLAN BONUS</v>
          </cell>
          <cell r="B5089">
            <v>542806</v>
          </cell>
          <cell r="C5089" t="str">
            <v>NIESSPB</v>
          </cell>
        </row>
        <row r="5090">
          <cell r="A5090" t="str">
            <v>NIPPON INDIA EQUITY SAVINGS FUND - SEGREGATED PORTFOLIO 1 - QUARTERLY DIVIDEND PLANDIVIDEND PAYOUT</v>
          </cell>
          <cell r="B5090">
            <v>542807</v>
          </cell>
          <cell r="C5090" t="str">
            <v>NIESSPO</v>
          </cell>
        </row>
        <row r="5091">
          <cell r="A5091" t="str">
            <v>NIPPON INDIA EQUITY SAVINGS FUND - SEGREGATED PORTFOLIO 1 - DIRECT DIVIDEND PLAN DIVIDEND PAYOUT</v>
          </cell>
          <cell r="B5091">
            <v>542808</v>
          </cell>
          <cell r="C5091" t="str">
            <v>NIESSPC</v>
          </cell>
        </row>
        <row r="5092">
          <cell r="A5092" t="str">
            <v>NIPPON INDIA EQUITY SAVINGS FUND - SEGREGATED PORTFOLIO 1 - QUARTERLY DIVIDEND PLAN REINVESTMENT</v>
          </cell>
          <cell r="B5092">
            <v>542809</v>
          </cell>
          <cell r="C5092" t="str">
            <v>NIESSPP</v>
          </cell>
        </row>
        <row r="5093">
          <cell r="A5093" t="str">
            <v>NIPPON INDIA EQUITY SAVINGS FUND - SEGREGATED PORTFOLIO 1 - BONUS PLANBONUS</v>
          </cell>
          <cell r="B5093">
            <v>542810</v>
          </cell>
          <cell r="C5093" t="str">
            <v>NIESSPA</v>
          </cell>
        </row>
        <row r="5094">
          <cell r="A5094" t="str">
            <v>NIPPON INDIA EQUITY SAVINGS FUND - SEGREGATED PORTFOLIO 1 - DIRECT MONTHLY DIVIDEND PLAN REINVESTMENT</v>
          </cell>
          <cell r="B5094">
            <v>542811</v>
          </cell>
          <cell r="C5094" t="str">
            <v>NIESSPG</v>
          </cell>
        </row>
        <row r="5095">
          <cell r="A5095" t="str">
            <v>Gujarat Fluorochemicals Ltd</v>
          </cell>
          <cell r="B5095">
            <v>542812</v>
          </cell>
          <cell r="C5095" t="str">
            <v>FLUOROCHEM</v>
          </cell>
        </row>
        <row r="5096">
          <cell r="A5096" t="str">
            <v>NIPPON INDIA EQUITY HYBRID FUND -&amp;#160;SEGREGATED PORTFOLIO 1- DIRECT DIVIDEND PLAN REINVESTMENT</v>
          </cell>
          <cell r="B5096">
            <v>542813</v>
          </cell>
          <cell r="C5096" t="str">
            <v>NIEHSPA</v>
          </cell>
        </row>
        <row r="5097">
          <cell r="A5097" t="str">
            <v>NIPPON INDIA EQUITY HYBRID FUND -&amp;#160;SEGREGATED PORTFOLIO 1 - DIRECT MONTHLY DIVIDEND PLAN DIVIDEND PAYOUT</v>
          </cell>
          <cell r="B5097">
            <v>542814</v>
          </cell>
          <cell r="C5097" t="str">
            <v>NIEHSPB</v>
          </cell>
        </row>
        <row r="5098">
          <cell r="A5098" t="str">
            <v>NIPPON INDIA EQUITY HYBRID FUND -&amp;#160;SEGREGATED PORTFOLIO 1 - DIRECT MONTHLY DIVIDEND PLAN REINVESTMENT</v>
          </cell>
          <cell r="B5098">
            <v>542815</v>
          </cell>
          <cell r="C5098" t="str">
            <v>NIEHSPC</v>
          </cell>
        </row>
        <row r="5099">
          <cell r="A5099" t="str">
            <v>NIPPON INDIA EQUITY HYBRID FUND -&amp;#160;SEGREGATED PORTFOLIO 1 - QUARTERLY DIVIDEND PLAN REINVESTMENT</v>
          </cell>
          <cell r="B5099">
            <v>542816</v>
          </cell>
          <cell r="C5099" t="str">
            <v>NIEHSPF</v>
          </cell>
        </row>
        <row r="5100">
          <cell r="A5100" t="str">
            <v>NIPPON INDIA EQUITY HYBRID FUND -&amp;#160;SEGREGATED PORTFOLIO 1 - DIRECT QUARTERLY DIVIDEND PLAN DIVIDEND PAYOUT</v>
          </cell>
          <cell r="B5100">
            <v>542817</v>
          </cell>
          <cell r="C5100" t="str">
            <v>NIEHSPI</v>
          </cell>
        </row>
        <row r="5101">
          <cell r="A5101" t="str">
            <v>NIPPON INDIA EQUITY HYBRID FUND -&amp;#160;SEGREGATED PORTFOLIO 1 - DIRECT QUARTERLY DIVIDEND PLAN REINVESTMENT</v>
          </cell>
          <cell r="B5101">
            <v>542818</v>
          </cell>
          <cell r="C5101" t="str">
            <v>NIEHSPK</v>
          </cell>
        </row>
        <row r="5102">
          <cell r="A5102" t="str">
            <v>NIPPON INDIA EQUITY HYBRID FUND -&amp;#160;SEGREGATED PORTFOLIO 1 - DIRECT DIVIDEND PLAN DIVIDEND PAYOUT</v>
          </cell>
          <cell r="B5102">
            <v>542819</v>
          </cell>
          <cell r="C5102" t="str">
            <v>NIEHSPM</v>
          </cell>
        </row>
        <row r="5103">
          <cell r="A5103" t="str">
            <v>NIPPON INDIA EQUITY HYBRID FUND -&amp;#160;SEGREGATED PORTFOLIO 1 - MONTHLY DIVIDEND PLAN REINVESTMENT</v>
          </cell>
          <cell r="B5103">
            <v>542820</v>
          </cell>
          <cell r="C5103" t="str">
            <v>NIEHSPN</v>
          </cell>
        </row>
        <row r="5104">
          <cell r="A5104" t="str">
            <v>Indian Railway Catering and Tourism Corporation Ltd</v>
          </cell>
          <cell r="B5104">
            <v>542830</v>
          </cell>
          <cell r="C5104" t="str">
            <v>IRCTC</v>
          </cell>
        </row>
        <row r="5105">
          <cell r="A5105" t="str">
            <v>NIPPON INDIA EQUITY SAVINGS FUND - SEGREGATED PORTFOLIO 1 - DIRECT DIVIDEND PLAN REINVESTMENT</v>
          </cell>
          <cell r="B5105">
            <v>542836</v>
          </cell>
          <cell r="C5105" t="str">
            <v>NIESSPD</v>
          </cell>
        </row>
        <row r="5106">
          <cell r="A5106" t="str">
            <v>NIPPON INDIA EQUITY SAVINGS FUND - SEGREGATED PORTFOLIO 1 - DIRECT GROWTH PLAN GROWTH</v>
          </cell>
          <cell r="B5106">
            <v>542837</v>
          </cell>
          <cell r="C5106" t="str">
            <v>NIESSPE</v>
          </cell>
        </row>
        <row r="5107">
          <cell r="A5107" t="str">
            <v>NIPPON INDIA EQUITY SAVINGS FUND - SEGREGATED PORTFOLIO 1 - DIRECT MONTHLY DIVIDEND PLAN DIVIDEND PAYOUT</v>
          </cell>
          <cell r="B5107">
            <v>542838</v>
          </cell>
          <cell r="C5107" t="str">
            <v>NIESSPF</v>
          </cell>
        </row>
        <row r="5108">
          <cell r="A5108" t="str">
            <v>NIPPON INDIA EQUITY HYBRID FUND -&amp;#160;SEGREGATED PORTFOLIO 1 - GROWTH PLAN GROWTH</v>
          </cell>
          <cell r="B5108">
            <v>542839</v>
          </cell>
          <cell r="C5108" t="str">
            <v>NIEHSPD</v>
          </cell>
        </row>
        <row r="5109">
          <cell r="A5109" t="str">
            <v>NIPPON INDIA EQUITY SAVINGS FUND - SEGREGATED PORTFOLIO 1 - DIRECT QUARTERLY DIVIDEND PLAN DIVIDEND PAYOUT</v>
          </cell>
          <cell r="B5109">
            <v>542840</v>
          </cell>
          <cell r="C5109" t="str">
            <v>NIESSPH</v>
          </cell>
        </row>
        <row r="5110">
          <cell r="A5110" t="str">
            <v>NIPPON INDIA EQUITY HYBRID FUND -&amp;#160;SEGREGATED PORTFOLIO 1 - QUARTERLY DIVIDEND PLAN DIVIDEND PAYOUT</v>
          </cell>
          <cell r="B5110">
            <v>542841</v>
          </cell>
          <cell r="C5110" t="str">
            <v>NIEHSPE</v>
          </cell>
        </row>
        <row r="5111">
          <cell r="A5111" t="str">
            <v>NIPPON INDIA EQUITY SAVINGS FUND - SEGREGATED PORTFOLIO 1 - DIVIDEND PLAN REINVESTMENT</v>
          </cell>
          <cell r="B5111">
            <v>542842</v>
          </cell>
          <cell r="C5111" t="str">
            <v>NIESSPK</v>
          </cell>
        </row>
        <row r="5112">
          <cell r="A5112" t="str">
            <v>NIPPON INDIA EQUITY HYBRID FUND -&amp;#160;SEGREGATED PORTFOLIO 1 - DIRECT GROWTH PLAN GROWTH</v>
          </cell>
          <cell r="B5112">
            <v>542843</v>
          </cell>
          <cell r="C5112" t="str">
            <v>NIEHSPG</v>
          </cell>
        </row>
        <row r="5113">
          <cell r="A5113" t="str">
            <v>NIPPON INDIA EQUITY HYBRID FUND -&amp;#160;SEGREGATED PORTFOLIO 1 - DIVIDEND PLAN DIVIDEND PAYOUT</v>
          </cell>
          <cell r="B5113">
            <v>542844</v>
          </cell>
          <cell r="C5113" t="str">
            <v>NIEHSPH</v>
          </cell>
        </row>
        <row r="5114">
          <cell r="A5114" t="str">
            <v>NIPPON INDIA EQUITY HYBRID FUND -&amp;#160;SEGREGATED PORTFOLIO 1 - DIVIDEND PLAN REINVESTMENT</v>
          </cell>
          <cell r="B5114">
            <v>542845</v>
          </cell>
          <cell r="C5114" t="str">
            <v>NIEHSPJ</v>
          </cell>
        </row>
        <row r="5115">
          <cell r="A5115" t="str">
            <v>NIPPON INDIA EQUITY HYBRID FUND -&amp;#160;SEGREGATED PORTFOLIO 1 - MONTHLY DIVIDEND PLAN DIVIDEND PAYOUT</v>
          </cell>
          <cell r="B5115">
            <v>542846</v>
          </cell>
          <cell r="C5115" t="str">
            <v>NIEHSPL</v>
          </cell>
        </row>
        <row r="5116">
          <cell r="A5116" t="str">
            <v>NIPPON INDIA EQUITY SAVINGS FUND - SEGREGATED PORTFOLIO 1 - GROWTH PLAN GROWTH</v>
          </cell>
          <cell r="B5116">
            <v>542847</v>
          </cell>
          <cell r="C5116" t="str">
            <v>NIESSPL</v>
          </cell>
        </row>
        <row r="5117">
          <cell r="A5117" t="str">
            <v>NIPPON INDIA EQUITY SAVINGS FUND - SEGREGATED PORTFOLIO 1 - MONTHLY DIVIDEND PLANDIVIDEND PAYOUT</v>
          </cell>
          <cell r="B5117">
            <v>542848</v>
          </cell>
          <cell r="C5117" t="str">
            <v>NIESSPM</v>
          </cell>
        </row>
        <row r="5118">
          <cell r="A5118" t="str">
            <v>NIPPON INDIA EQUITY SAVINGS FUND - SEGREGATED PORTFOLIO 1 - MONTHLY DIVIDEND PLAN REINVESTMENT</v>
          </cell>
          <cell r="B5118">
            <v>542849</v>
          </cell>
          <cell r="C5118" t="str">
            <v>NIESSPN</v>
          </cell>
        </row>
        <row r="5119">
          <cell r="A5119" t="str">
            <v>Goblin India Ltd</v>
          </cell>
          <cell r="B5119">
            <v>542850</v>
          </cell>
          <cell r="C5119" t="str">
            <v>GOBLIN</v>
          </cell>
        </row>
        <row r="5120">
          <cell r="A5120" t="str">
            <v>Gensol Engineering Ltd</v>
          </cell>
          <cell r="B5120">
            <v>542851</v>
          </cell>
          <cell r="C5120" t="str">
            <v>GENSOL</v>
          </cell>
        </row>
        <row r="5121">
          <cell r="A5121" t="str">
            <v>Vishwaraj Sugar Industries Ltd</v>
          </cell>
          <cell r="B5121">
            <v>542852</v>
          </cell>
          <cell r="C5121" t="str">
            <v>VISHWARAJ</v>
          </cell>
        </row>
        <row r="5122">
          <cell r="A5122" t="str">
            <v>Greenpanel Industries Ltd</v>
          </cell>
          <cell r="B5122">
            <v>542857</v>
          </cell>
          <cell r="C5122" t="str">
            <v>GREENPANEL</v>
          </cell>
        </row>
        <row r="5123">
          <cell r="A5123" t="str">
            <v>Shahlon Silk Industries Ltd</v>
          </cell>
          <cell r="B5123">
            <v>542862</v>
          </cell>
          <cell r="C5123" t="str">
            <v>SHAHLON</v>
          </cell>
        </row>
        <row r="5124">
          <cell r="A5124" t="str">
            <v>ADITYA BIRLA SUN LIFE BANKING ETF</v>
          </cell>
          <cell r="B5124">
            <v>542863</v>
          </cell>
          <cell r="C5124" t="str">
            <v>ABSLBANETF</v>
          </cell>
        </row>
        <row r="5125">
          <cell r="A5125" t="str">
            <v>Mount Housing and Infrastructure Ltd</v>
          </cell>
          <cell r="B5125">
            <v>542864</v>
          </cell>
          <cell r="C5125" t="str">
            <v>MOUNT</v>
          </cell>
        </row>
        <row r="5126">
          <cell r="A5126" t="str">
            <v>Anuroop Packaging Ltd</v>
          </cell>
          <cell r="B5126">
            <v>542865</v>
          </cell>
          <cell r="C5126" t="str">
            <v>ANUROOP</v>
          </cell>
        </row>
        <row r="5127">
          <cell r="A5127" t="str">
            <v>JSG Leasing Ltd</v>
          </cell>
          <cell r="B5127">
            <v>542866</v>
          </cell>
          <cell r="C5127" t="str">
            <v>JSGLEASING</v>
          </cell>
        </row>
        <row r="5128">
          <cell r="A5128" t="str">
            <v>CSB Bank Ltd</v>
          </cell>
          <cell r="B5128">
            <v>542867</v>
          </cell>
          <cell r="C5128" t="str">
            <v>CSBBANK</v>
          </cell>
        </row>
        <row r="5129">
          <cell r="A5129" t="str">
            <v>Ujjivan Small Finance Bank Ltd</v>
          </cell>
          <cell r="B5129">
            <v>542904</v>
          </cell>
          <cell r="C5129" t="str">
            <v>UJJIVANSFB</v>
          </cell>
        </row>
        <row r="5130">
          <cell r="A5130" t="str">
            <v>Somany Home Innovation Ltd</v>
          </cell>
          <cell r="B5130">
            <v>542905</v>
          </cell>
          <cell r="C5130" t="str">
            <v>SHIL</v>
          </cell>
        </row>
        <row r="5131">
          <cell r="A5131" t="str">
            <v>Easun Capital Markets Ltd</v>
          </cell>
          <cell r="B5131">
            <v>542906</v>
          </cell>
          <cell r="C5131" t="str">
            <v>EASUN</v>
          </cell>
        </row>
        <row r="5132">
          <cell r="A5132" t="str">
            <v>Prince Pipes and Fittings Ltd</v>
          </cell>
          <cell r="B5132">
            <v>542907</v>
          </cell>
          <cell r="C5132" t="str">
            <v>PRINCEPIPE</v>
          </cell>
        </row>
        <row r="5133">
          <cell r="A5133" t="str">
            <v>Valencia Nutrition Ltd</v>
          </cell>
          <cell r="B5133">
            <v>542910</v>
          </cell>
          <cell r="C5133" t="str">
            <v>VALENCIA</v>
          </cell>
        </row>
        <row r="5134">
          <cell r="A5134" t="str">
            <v>Assam Entrade Ltd</v>
          </cell>
          <cell r="B5134">
            <v>542911</v>
          </cell>
          <cell r="C5134" t="str">
            <v>ASSAMENT</v>
          </cell>
        </row>
        <row r="5135">
          <cell r="A5135" t="str">
            <v>Gian Life Care Ltd</v>
          </cell>
          <cell r="B5135">
            <v>542918</v>
          </cell>
          <cell r="C5135" t="str">
            <v>GIANLIFE</v>
          </cell>
        </row>
        <row r="5136">
          <cell r="A5136" t="str">
            <v>Artemis Medicare Services Ltd</v>
          </cell>
          <cell r="B5136">
            <v>542919</v>
          </cell>
          <cell r="C5136" t="str">
            <v>ARTEMISMED</v>
          </cell>
        </row>
        <row r="5137">
          <cell r="A5137" t="str">
            <v>Sumitomo Chemical India Ltd</v>
          </cell>
          <cell r="B5137">
            <v>542920</v>
          </cell>
          <cell r="C5137" t="str">
            <v>SUMICHEM</v>
          </cell>
        </row>
        <row r="5138">
          <cell r="A5138" t="str">
            <v>ICICI Prudential Midcap 150 ETF</v>
          </cell>
          <cell r="B5138">
            <v>542921</v>
          </cell>
          <cell r="C5138" t="str">
            <v>ICICIM150</v>
          </cell>
        </row>
        <row r="5139">
          <cell r="A5139" t="str">
            <v>Mirae Asset Nifty Next 50 ETF (MANXT50ETF)</v>
          </cell>
          <cell r="B5139">
            <v>542922</v>
          </cell>
          <cell r="C5139" t="str">
            <v>MANXT50ETF</v>
          </cell>
        </row>
        <row r="5140">
          <cell r="A5140" t="str">
            <v>Tranway Technologies Ltd</v>
          </cell>
          <cell r="B5140">
            <v>542923</v>
          </cell>
          <cell r="C5140" t="str">
            <v>TRANWAY</v>
          </cell>
        </row>
        <row r="5141">
          <cell r="A5141" t="str">
            <v>Janus Corporation Ltd</v>
          </cell>
          <cell r="B5141">
            <v>542924</v>
          </cell>
          <cell r="C5141" t="str">
            <v>JANUSCORP</v>
          </cell>
        </row>
        <row r="5142">
          <cell r="A5142" t="str">
            <v>Vardhan Capital &amp; Finance Ltd</v>
          </cell>
          <cell r="B5142">
            <v>542931</v>
          </cell>
          <cell r="C5142" t="str">
            <v>VARDHANCFL</v>
          </cell>
        </row>
        <row r="5143">
          <cell r="A5143" t="str">
            <v>Birla Tyres Ltd</v>
          </cell>
          <cell r="B5143">
            <v>542932</v>
          </cell>
          <cell r="C5143" t="str">
            <v>BIRLATYRES</v>
          </cell>
        </row>
        <row r="5144">
          <cell r="A5144" t="str">
            <v>Universus Photo Imagings Ltd</v>
          </cell>
          <cell r="B5144">
            <v>542933</v>
          </cell>
          <cell r="C5144" t="str">
            <v>UNIVPHOTO</v>
          </cell>
        </row>
        <row r="5145">
          <cell r="A5145" t="str">
            <v>Chandra Bhagat Pharma Ltd</v>
          </cell>
          <cell r="B5145">
            <v>542934</v>
          </cell>
          <cell r="C5145" t="str">
            <v>CBPL</v>
          </cell>
        </row>
        <row r="5146">
          <cell r="A5146" t="str">
            <v>ICL Organic Dairy Products Ltd</v>
          </cell>
          <cell r="B5146">
            <v>542935</v>
          </cell>
          <cell r="C5146" t="str">
            <v>ICLORGANIC</v>
          </cell>
        </row>
        <row r="5147">
          <cell r="A5147" t="str">
            <v>Octavius Plantations Ltd</v>
          </cell>
          <cell r="B5147">
            <v>542938</v>
          </cell>
          <cell r="C5147" t="str">
            <v>OCTAVIUSPL</v>
          </cell>
        </row>
        <row r="5148">
          <cell r="A5148" t="str">
            <v>Suven Pharmaceuticals Ltd</v>
          </cell>
          <cell r="B5148">
            <v>543064</v>
          </cell>
          <cell r="C5148" t="str">
            <v>SUVENPHAR</v>
          </cell>
        </row>
        <row r="5149">
          <cell r="A5149" t="str">
            <v>SM Auto Stamping Ltd</v>
          </cell>
          <cell r="B5149">
            <v>543065</v>
          </cell>
          <cell r="C5149" t="str">
            <v>SMAUTO</v>
          </cell>
        </row>
        <row r="5150">
          <cell r="A5150" t="str">
            <v>SBI Cards and Payment Services Ltd</v>
          </cell>
          <cell r="B5150">
            <v>543066</v>
          </cell>
          <cell r="C5150" t="str">
            <v>SBICARD</v>
          </cell>
        </row>
        <row r="5151">
          <cell r="A5151" t="str">
            <v>NIPPON INDIA EQUITY SAVINGS FUND -  SEGREGATED PORTFOLIO 2 - MONTHLY DIVIDEND PLAN(Issue Price: 0.01)</v>
          </cell>
          <cell r="B5151">
            <v>543144</v>
          </cell>
          <cell r="C5151" t="str">
            <v>08MPD</v>
          </cell>
        </row>
        <row r="5152">
          <cell r="A5152" t="str">
            <v>NIPPON INDIA EQUITY SAVINGS FUND -  SEGREGATED PORTFOLIO 2 - DIRECT DIVIDEND PLAN(Issue Price: 0.01)</v>
          </cell>
          <cell r="B5152">
            <v>543145</v>
          </cell>
          <cell r="C5152" t="str">
            <v>08ADR</v>
          </cell>
        </row>
        <row r="5153">
          <cell r="A5153" t="str">
            <v>NIPPON INDIA EQUITY SAVINGS FUND -  SEGREGATED PORTFOLIO 2 - MONTHLY DIVIDEND PLAN(Issue Price: 0.01)</v>
          </cell>
          <cell r="B5153">
            <v>543146</v>
          </cell>
          <cell r="C5153" t="str">
            <v>08MPR</v>
          </cell>
        </row>
        <row r="5154">
          <cell r="A5154" t="str">
            <v>NIPPON INDIA EQUITY SAVINGS FUND -  SEGREGATED PORTFOLIO 2 - DIRECT MONTHLY DIVIDEND PLAN(Issue Price: 0.01)</v>
          </cell>
          <cell r="B5154">
            <v>543147</v>
          </cell>
          <cell r="C5154" t="str">
            <v>08AMD</v>
          </cell>
        </row>
        <row r="5155">
          <cell r="A5155" t="str">
            <v>NIPPON INDIA EQUITY SAVINGS FUND -  SEGREGATED PORTFOLIO 2 - DIRECT MONTHLY DIVIDEND PLAN(Issue Price: 0.01)</v>
          </cell>
          <cell r="B5155">
            <v>543148</v>
          </cell>
          <cell r="C5155" t="str">
            <v>08AMR</v>
          </cell>
        </row>
        <row r="5156">
          <cell r="A5156" t="str">
            <v>NIPPON INDIA EQUITY SAVINGS FUND -  SEGREGATED PORTFOLIO 2 - BONUS PLAN(Issue Price: 0.01)</v>
          </cell>
          <cell r="B5156">
            <v>543149</v>
          </cell>
          <cell r="C5156" t="str">
            <v>08BPB</v>
          </cell>
        </row>
        <row r="5157">
          <cell r="A5157" t="str">
            <v>NIPPON INDIA EQUITY SAVINGS FUND -  SEGREGATED PORTFOLIO 2 - GROWTH PLAN(Issue Price: 0.01)</v>
          </cell>
          <cell r="B5157">
            <v>543150</v>
          </cell>
          <cell r="C5157" t="str">
            <v>08GPG</v>
          </cell>
        </row>
        <row r="5158">
          <cell r="A5158" t="str">
            <v>NIPPON INDIA EQUITY SAVINGS FUND -  SEGREGATED PORTFOLIO 2 - DIRECT BONUS PLAN(Issue Price: 0.01)</v>
          </cell>
          <cell r="B5158">
            <v>543151</v>
          </cell>
          <cell r="C5158" t="str">
            <v>08ABB</v>
          </cell>
        </row>
        <row r="5159">
          <cell r="A5159" t="str">
            <v>NIPPON INDIA EQUITY SAVINGS FUND -  SEGREGATED PORTFOLIO 2 - QUARTERLY DIVIDEND PLAN(Issue Price: 0.01)</v>
          </cell>
          <cell r="B5159">
            <v>543152</v>
          </cell>
          <cell r="C5159" t="str">
            <v>08QPD</v>
          </cell>
        </row>
        <row r="5160">
          <cell r="A5160" t="str">
            <v>NIPPON INDIA EQUITY SAVINGS FUND -  SEGREGATED PORTFOLIO 2 - DIRECT GROWTH PLAN(Issue Price: 0.01)</v>
          </cell>
          <cell r="B5160">
            <v>543153</v>
          </cell>
          <cell r="C5160" t="str">
            <v>08AGG</v>
          </cell>
        </row>
        <row r="5161">
          <cell r="A5161" t="str">
            <v>NIPPON INDIA EQUITY SAVINGS FUND -  SEGREGATED PORTFOLIO 2 - QUARTERLY DIVIDEND PLAN(Issue Price: 0.01)</v>
          </cell>
          <cell r="B5161">
            <v>543154</v>
          </cell>
          <cell r="C5161" t="str">
            <v>08QPR</v>
          </cell>
        </row>
        <row r="5162">
          <cell r="A5162" t="str">
            <v>NIPPON INDIA EQUITY SAVINGS FUND -  SEGREGATED PORTFOLIO 2 - DIRECT QUARTERLY DIVIDEND PLAN(Issue Price: 0.01)</v>
          </cell>
          <cell r="B5162">
            <v>543155</v>
          </cell>
          <cell r="C5162" t="str">
            <v>08AQD</v>
          </cell>
        </row>
        <row r="5163">
          <cell r="A5163" t="str">
            <v>NIPPON INDIA EQUITY SAVINGS FUND -  SEGREGATED PORTFOLIO 2 - DIVIDEND PLAN(Issue Price: 0.01)</v>
          </cell>
          <cell r="B5163">
            <v>543156</v>
          </cell>
          <cell r="C5163" t="str">
            <v>08DPD</v>
          </cell>
        </row>
        <row r="5164">
          <cell r="A5164" t="str">
            <v>NIPPON INDIA EQUITY SAVINGS FUND -  SEGREGATED PORTFOLIO 2 - DIRECT QUARTERLY DIVIDEND PLAN(Issue Price: 0.01)</v>
          </cell>
          <cell r="B5164">
            <v>543168</v>
          </cell>
          <cell r="C5164" t="str">
            <v>08AQR</v>
          </cell>
        </row>
        <row r="5165">
          <cell r="A5165" t="str">
            <v>NIPPON INDIA EQUITY SAVINGS FUND -  SEGREGATED PORTFOLIO 2 - DIVIDEND PLAN(Issue Price: 0.01)</v>
          </cell>
          <cell r="B5165">
            <v>543169</v>
          </cell>
          <cell r="C5165" t="str">
            <v>08DPR</v>
          </cell>
        </row>
        <row r="5166">
          <cell r="A5166" t="str">
            <v>NIPPON INDIA EQUITY SAVINGS FUND -  SEGREGATED PORTFOLIO 2 - DIRECT DIVIDEND PLAN(Issue Price: 0.01)</v>
          </cell>
          <cell r="B5166">
            <v>543170</v>
          </cell>
          <cell r="C5166" t="str">
            <v>08ADD</v>
          </cell>
        </row>
        <row r="5167">
          <cell r="A5167" t="str">
            <v>RO Jewels Ltd</v>
          </cell>
          <cell r="B5167">
            <v>543171</v>
          </cell>
          <cell r="C5167" t="str">
            <v>ROJL</v>
          </cell>
        </row>
        <row r="5168">
          <cell r="A5168" t="str">
            <v>Cospower Engineering Ltd</v>
          </cell>
          <cell r="B5168">
            <v>543172</v>
          </cell>
          <cell r="C5168" t="str">
            <v>COSPOWER</v>
          </cell>
        </row>
        <row r="5169">
          <cell r="A5169" t="str">
            <v>NIPPON INDIA EQUITY HYBRID FUND -  SEGREGATED PORTFOLIO 2DIVIDEND PLANDIVIDEND REINVESTMENT</v>
          </cell>
          <cell r="B5169">
            <v>543173</v>
          </cell>
          <cell r="C5169" t="str">
            <v>11DPR</v>
          </cell>
        </row>
        <row r="5170">
          <cell r="A5170" t="str">
            <v>NIPPON INDIA EQUITY HYBRID FUND -  SEGREGATED PORTFOLIO 2GROWTH PLAN GROWTH OPTIONGROWTH</v>
          </cell>
          <cell r="B5170">
            <v>543174</v>
          </cell>
          <cell r="C5170" t="str">
            <v>11GPG</v>
          </cell>
        </row>
        <row r="5171">
          <cell r="A5171" t="str">
            <v>NIPPON INDIA EQUITY HYBRID FUND -  SEGREGATED PORTFOLIO 2MONTHLY DIVIDEND PLANDIVIDEND PAYOUT</v>
          </cell>
          <cell r="B5171">
            <v>543175</v>
          </cell>
          <cell r="C5171" t="str">
            <v>11MPD</v>
          </cell>
        </row>
        <row r="5172">
          <cell r="A5172" t="str">
            <v>NIPPON INDIA EQUITY HYBRID FUND -  SEGREGATED PORTFOLIO 2MONTHLY DIVIDEND PLANREINVESTMENT</v>
          </cell>
          <cell r="B5172">
            <v>543176</v>
          </cell>
          <cell r="C5172" t="str">
            <v>11MPR</v>
          </cell>
        </row>
        <row r="5173">
          <cell r="A5173" t="str">
            <v>NIPPON INDIA EQUITY HYBRID FUND -  SEGREGATED PORTFOLIO 2QUARTERLY DIVIDEND PLANDIVIDEND PAYOUT</v>
          </cell>
          <cell r="B5173">
            <v>543177</v>
          </cell>
          <cell r="C5173" t="str">
            <v>11QPD</v>
          </cell>
        </row>
        <row r="5174">
          <cell r="A5174" t="str">
            <v>NIPPON INDIA EQUITY HYBRID FUND -  SEGREGATED PORTFOLIO 2QUARTERLY DIVIDEND PLANREINVESTMENT</v>
          </cell>
          <cell r="B5174">
            <v>543178</v>
          </cell>
          <cell r="C5174" t="str">
            <v>11QPR</v>
          </cell>
        </row>
        <row r="5175">
          <cell r="A5175" t="str">
            <v>NIPPON INDIA EQUITY HYBRID FUND -  SEGREGATED PORTFOLIO 2DIRECT PLAN DIVIDEND PLANDIVIDEND PAYOUT</v>
          </cell>
          <cell r="B5175">
            <v>543179</v>
          </cell>
          <cell r="C5175" t="str">
            <v>11ADD</v>
          </cell>
        </row>
        <row r="5176">
          <cell r="A5176" t="str">
            <v>NIPPON INDIA EQUITY HYBRID FUND -  SEGREGATED PORTFOLIO 2DIRECT PLAN DIVIDEND PLANDIVIDEND REINVESTMENT</v>
          </cell>
          <cell r="B5176">
            <v>543180</v>
          </cell>
          <cell r="C5176" t="str">
            <v>11ADR</v>
          </cell>
        </row>
        <row r="5177">
          <cell r="A5177" t="str">
            <v>NIPPON INDIA EQUITY HYBRID FUND -  SEGREGATED PORTFOLIO 2DIRECT GROWTH PLAN GROWTH OPTIONGROWTH</v>
          </cell>
          <cell r="B5177">
            <v>543181</v>
          </cell>
          <cell r="C5177" t="str">
            <v>11AGG</v>
          </cell>
        </row>
        <row r="5178">
          <cell r="A5178" t="str">
            <v>NIPPON INDIA EQUITY HYBRID FUND -  SEGREGATED PORTFOLIO 2DIRECT MONTHLY DIVIDEND PLANDIVIDEND PAYOUT</v>
          </cell>
          <cell r="B5178">
            <v>543182</v>
          </cell>
          <cell r="C5178" t="str">
            <v>11AMD</v>
          </cell>
        </row>
        <row r="5179">
          <cell r="A5179" t="str">
            <v>NIPPON INDIA EQUITY HYBRID FUND -  SEGREGATED PORTFOLIO 2DIRECT MONTHLY DIVIDEND PLANREINVESTMENT</v>
          </cell>
          <cell r="B5179">
            <v>543183</v>
          </cell>
          <cell r="C5179" t="str">
            <v>11AMR</v>
          </cell>
        </row>
        <row r="5180">
          <cell r="A5180" t="str">
            <v>NIPPON INDIA EQUITY HYBRID FUND -  SEGREGATED PORTFOLIO 2DIRECT QUARTERLY DIVIDEND PLANDIVIDEND PAYOUT</v>
          </cell>
          <cell r="B5180">
            <v>543184</v>
          </cell>
          <cell r="C5180" t="str">
            <v>11AQD</v>
          </cell>
        </row>
        <row r="5181">
          <cell r="A5181" t="str">
            <v>NIPPON INDIA EQUITY HYBRID FUND -  SEGREGATED PORTFOLIO 2DIRECT QUARTERLY DIVIDEND PLANREINVESTMENT</v>
          </cell>
          <cell r="B5181">
            <v>543185</v>
          </cell>
          <cell r="C5181" t="str">
            <v>11AQR</v>
          </cell>
        </row>
        <row r="5182">
          <cell r="A5182" t="str">
            <v>NIPPON INDIA EQUITY HYBRID FUND -  SEGREGATED PORTFOLIO 2DIVIDEND PLANDIVIDEND PAYOUT</v>
          </cell>
          <cell r="B5182">
            <v>543186</v>
          </cell>
          <cell r="C5182" t="str">
            <v>11DPD</v>
          </cell>
        </row>
        <row r="5183">
          <cell r="A5183" t="str">
            <v>ABB Power Products and Systems India Ltd</v>
          </cell>
          <cell r="B5183">
            <v>543187</v>
          </cell>
          <cell r="C5183" t="str">
            <v>POWERINDIA</v>
          </cell>
        </row>
        <row r="5184">
          <cell r="A5184" t="str">
            <v>DJ Mediaprint &amp; Logistics Ltd</v>
          </cell>
          <cell r="B5184">
            <v>543193</v>
          </cell>
          <cell r="C5184" t="str">
            <v>DJML</v>
          </cell>
        </row>
        <row r="5185">
          <cell r="A5185" t="str">
            <v>Nirmitee Robotics India Ltd</v>
          </cell>
          <cell r="B5185">
            <v>543194</v>
          </cell>
          <cell r="C5185" t="str">
            <v>NIRMITEE</v>
          </cell>
        </row>
        <row r="5186">
          <cell r="A5186" t="str">
            <v>Natural Biocon (India) Ltd</v>
          </cell>
          <cell r="B5186">
            <v>543207</v>
          </cell>
          <cell r="C5186" t="str">
            <v>NATURAL</v>
          </cell>
        </row>
        <row r="5187">
          <cell r="A5187" t="str">
            <v>Bhartia Bachat Ltd</v>
          </cell>
          <cell r="B5187">
            <v>543208</v>
          </cell>
          <cell r="C5187" t="str">
            <v>BHARTIA</v>
          </cell>
        </row>
        <row r="5188">
          <cell r="A5188" t="str">
            <v>Billwin Industries Ltd</v>
          </cell>
          <cell r="B5188">
            <v>543209</v>
          </cell>
          <cell r="C5188" t="str">
            <v>BILLWIN</v>
          </cell>
        </row>
        <row r="5189">
          <cell r="A5189" t="str">
            <v>Aarti Surfactants Ltd</v>
          </cell>
          <cell r="B5189">
            <v>543210</v>
          </cell>
          <cell r="C5189" t="str">
            <v>AARTISURF</v>
          </cell>
        </row>
        <row r="5190">
          <cell r="A5190" t="str">
            <v>Bonlon Industries Ltd</v>
          </cell>
          <cell r="B5190">
            <v>543211</v>
          </cell>
          <cell r="C5190" t="str">
            <v>BONLON</v>
          </cell>
        </row>
        <row r="5191">
          <cell r="A5191" t="str">
            <v>Borosil Ltd</v>
          </cell>
          <cell r="B5191">
            <v>543212</v>
          </cell>
          <cell r="C5191" t="str">
            <v>BOROLTD</v>
          </cell>
        </row>
        <row r="5192">
          <cell r="A5192" t="str">
            <v>Rossari Biotech Ltd</v>
          </cell>
          <cell r="B5192">
            <v>543213</v>
          </cell>
          <cell r="C5192" t="str">
            <v>ROSSARI</v>
          </cell>
        </row>
        <row r="5193">
          <cell r="A5193" t="str">
            <v>NDR Auto Components Ltd</v>
          </cell>
          <cell r="B5193">
            <v>543214</v>
          </cell>
          <cell r="C5193" t="str">
            <v>NDRAUTO</v>
          </cell>
        </row>
        <row r="5194">
          <cell r="A5194" t="str">
            <v>Mindspace Business Parks REIT</v>
          </cell>
          <cell r="B5194">
            <v>543217</v>
          </cell>
          <cell r="C5194" t="str">
            <v>MINDSPACE</v>
          </cell>
        </row>
        <row r="5195">
          <cell r="A5195" t="str">
            <v>Suratwwala Business Group Ltd</v>
          </cell>
          <cell r="B5195">
            <v>543218</v>
          </cell>
          <cell r="C5195" t="str">
            <v>SBGLP</v>
          </cell>
        </row>
        <row r="5196">
          <cell r="A5196" t="str">
            <v>&amp;#160;ICICI Prudential Alpha Low Vol 30 ETF&amp;#160;</v>
          </cell>
          <cell r="B5196">
            <v>543219</v>
          </cell>
          <cell r="C5196" t="str">
            <v>ICICIALPLV</v>
          </cell>
        </row>
        <row r="5197">
          <cell r="A5197" t="str">
            <v>Max Healthcare Institute Ltd</v>
          </cell>
          <cell r="B5197">
            <v>543220</v>
          </cell>
          <cell r="C5197" t="str">
            <v>MAXHEALTH</v>
          </cell>
        </row>
        <row r="5198">
          <cell r="A5198" t="str">
            <v>ICICI Prudential IT ETF</v>
          </cell>
          <cell r="B5198">
            <v>543221</v>
          </cell>
          <cell r="C5198" t="str">
            <v>ICICITECH</v>
          </cell>
        </row>
        <row r="5199">
          <cell r="A5199" t="str">
            <v>Trekkingtoes.com Ltd</v>
          </cell>
          <cell r="B5199">
            <v>543222</v>
          </cell>
          <cell r="C5199" t="str">
            <v>HIPPOCABS</v>
          </cell>
        </row>
        <row r="5200">
          <cell r="A5200" t="str">
            <v>Max India Ltd</v>
          </cell>
          <cell r="B5200">
            <v>543223</v>
          </cell>
          <cell r="C5200" t="str">
            <v>MAXINDIA</v>
          </cell>
        </row>
        <row r="5201">
          <cell r="A5201" t="str">
            <v>HDFC Banking ETF</v>
          </cell>
          <cell r="B5201">
            <v>543224</v>
          </cell>
          <cell r="C5201" t="str">
            <v>HBANKETF</v>
          </cell>
        </row>
        <row r="5202">
          <cell r="A5202" t="str">
            <v>Tower Infrastructure Trust</v>
          </cell>
          <cell r="B5202">
            <v>543225</v>
          </cell>
          <cell r="C5202" t="str">
            <v>TOWERINFRA</v>
          </cell>
        </row>
        <row r="5203">
          <cell r="A5203" t="str">
            <v>UTI Bank Exchange Traded Fund (UTI Bank ETF)</v>
          </cell>
          <cell r="B5203">
            <v>543226</v>
          </cell>
          <cell r="C5203" t="str">
            <v>UTIBANKETF</v>
          </cell>
        </row>
        <row r="5204">
          <cell r="A5204" t="str">
            <v>Happiest Minds Technologies Ltd</v>
          </cell>
          <cell r="B5204">
            <v>543227</v>
          </cell>
          <cell r="C5204" t="str">
            <v>HAPPSTMNDS</v>
          </cell>
        </row>
        <row r="5205">
          <cell r="A5205" t="str">
            <v>Route Mobile Ltd</v>
          </cell>
          <cell r="B5205">
            <v>543228</v>
          </cell>
          <cell r="C5205" t="str">
            <v>ROUTE</v>
          </cell>
        </row>
        <row r="5206">
          <cell r="A5206" t="str">
            <v>Advait Infratech Ltd</v>
          </cell>
          <cell r="B5206">
            <v>543230</v>
          </cell>
          <cell r="C5206" t="str">
            <v>ADVAIT</v>
          </cell>
        </row>
        <row r="5207">
          <cell r="A5207" t="str">
            <v>Archidply Decor Ltd</v>
          </cell>
          <cell r="B5207">
            <v>543231</v>
          </cell>
          <cell r="C5207" t="str">
            <v>ADL</v>
          </cell>
        </row>
        <row r="5208">
          <cell r="A5208" t="str">
            <v>Computer Age Management Services Ltd</v>
          </cell>
          <cell r="B5208">
            <v>543232</v>
          </cell>
          <cell r="C5208" t="str">
            <v>CAMS</v>
          </cell>
        </row>
        <row r="5209">
          <cell r="A5209" t="str">
            <v>Chemcon Speciality Chemicals Ltd</v>
          </cell>
          <cell r="B5209">
            <v>543233</v>
          </cell>
          <cell r="C5209" t="str">
            <v>CHEMCON</v>
          </cell>
        </row>
        <row r="5210">
          <cell r="A5210" t="str">
            <v>SecMark Consultancy Ltd</v>
          </cell>
          <cell r="B5210">
            <v>543234</v>
          </cell>
          <cell r="C5210" t="str">
            <v>SECMARK</v>
          </cell>
        </row>
        <row r="5211">
          <cell r="A5211" t="str">
            <v>Angel Broking Ltd</v>
          </cell>
          <cell r="B5211">
            <v>543235</v>
          </cell>
          <cell r="C5211" t="str">
            <v>ANGELBRKG</v>
          </cell>
        </row>
        <row r="5212">
          <cell r="A5212" t="str">
            <v>Atam Valves Ltd</v>
          </cell>
          <cell r="B5212">
            <v>543236</v>
          </cell>
          <cell r="C5212" t="str">
            <v>ATAM</v>
          </cell>
        </row>
        <row r="5213">
          <cell r="A5213" t="str">
            <v>Mazagon Dock Shipbuilders Ltd</v>
          </cell>
          <cell r="B5213">
            <v>543237</v>
          </cell>
          <cell r="C5213" t="str">
            <v>MAZDOCK</v>
          </cell>
        </row>
        <row r="5214">
          <cell r="A5214" t="str">
            <v>UTI Asset Management Company Ltd</v>
          </cell>
          <cell r="B5214">
            <v>543238</v>
          </cell>
          <cell r="C5214" t="str">
            <v>UTIAMC</v>
          </cell>
        </row>
        <row r="5215">
          <cell r="A5215" t="str">
            <v>G M Polyplast Ltd</v>
          </cell>
          <cell r="B5215">
            <v>543239</v>
          </cell>
          <cell r="C5215" t="str">
            <v>GMPL</v>
          </cell>
        </row>
        <row r="5216">
          <cell r="A5216" t="str">
            <v>Likhitha Infrastructure Ltd</v>
          </cell>
          <cell r="B5216">
            <v>543240</v>
          </cell>
          <cell r="C5216" t="str">
            <v>LIKHITHA</v>
          </cell>
        </row>
        <row r="5217">
          <cell r="A5217" t="str">
            <v>Veer Global Infraconstruction Ltd</v>
          </cell>
          <cell r="B5217">
            <v>543241</v>
          </cell>
          <cell r="C5217" t="str">
            <v>VGIL</v>
          </cell>
        </row>
        <row r="5218">
          <cell r="A5218" t="str">
            <v>Hemisphere Properties India Ltd</v>
          </cell>
          <cell r="B5218">
            <v>543242</v>
          </cell>
          <cell r="C5218" t="str">
            <v>HEMIPROP</v>
          </cell>
        </row>
        <row r="5219">
          <cell r="A5219" t="str">
            <v>Equitas Small Finance Bank Ltd</v>
          </cell>
          <cell r="B5219">
            <v>543243</v>
          </cell>
          <cell r="C5219" t="str">
            <v>EQUITASBNK</v>
          </cell>
        </row>
        <row r="5220">
          <cell r="A5220" t="str">
            <v>Shine Fashions (India) Ltd</v>
          </cell>
          <cell r="B5220">
            <v>543244</v>
          </cell>
          <cell r="C5220" t="str">
            <v>SHINEFASH</v>
          </cell>
        </row>
        <row r="5221">
          <cell r="A5221" t="str">
            <v>BARODA RAYON CORPORATION LTD</v>
          </cell>
          <cell r="B5221">
            <v>500270</v>
          </cell>
          <cell r="C5221" t="str">
            <v>BARODARY</v>
          </cell>
        </row>
        <row r="5222">
          <cell r="A5222" t="str">
            <v>MEDIAONE GLOBAL ENTERTAINMENT LTD</v>
          </cell>
          <cell r="B5222">
            <v>503685</v>
          </cell>
          <cell r="C5222" t="str">
            <v>MEDIAONE</v>
          </cell>
        </row>
        <row r="5223">
          <cell r="A5223" t="str">
            <v>INDIA RADIATORS LTD</v>
          </cell>
          <cell r="B5223">
            <v>505100</v>
          </cell>
          <cell r="C5223" t="str">
            <v>INRADIA</v>
          </cell>
        </row>
        <row r="5224">
          <cell r="A5224" t="str">
            <v>PB Global Ltd</v>
          </cell>
          <cell r="B5224">
            <v>506580</v>
          </cell>
          <cell r="C5224" t="str">
            <v>PBGLOBAL</v>
          </cell>
        </row>
        <row r="5225">
          <cell r="A5225" t="str">
            <v>INFOMEDIA PRESS LTD</v>
          </cell>
          <cell r="B5225">
            <v>509069</v>
          </cell>
          <cell r="C5225" t="str">
            <v>INFOMEDIA</v>
          </cell>
        </row>
        <row r="5226">
          <cell r="A5226" t="str">
            <v>U.P.HOTELS LTD</v>
          </cell>
          <cell r="B5226">
            <v>509960</v>
          </cell>
          <cell r="C5226" t="str">
            <v>UPHOT</v>
          </cell>
        </row>
        <row r="5227">
          <cell r="A5227" t="str">
            <v>PREMIER CAPITAL SERVICES LTD</v>
          </cell>
          <cell r="B5227">
            <v>511016</v>
          </cell>
          <cell r="C5227" t="str">
            <v>PREMCAP</v>
          </cell>
        </row>
        <row r="5228">
          <cell r="A5228" t="str">
            <v>ICDS LTD</v>
          </cell>
          <cell r="B5228">
            <v>511194</v>
          </cell>
          <cell r="C5228" t="str">
            <v>ICDSLTD</v>
          </cell>
        </row>
        <row r="5229">
          <cell r="A5229" t="str">
            <v>Saianand Commercial Limited</v>
          </cell>
          <cell r="B5229">
            <v>512097</v>
          </cell>
          <cell r="C5229" t="str">
            <v>SAICOM</v>
          </cell>
        </row>
        <row r="5230">
          <cell r="A5230" t="str">
            <v>ROSE MERC.LTD</v>
          </cell>
          <cell r="B5230">
            <v>512115</v>
          </cell>
          <cell r="C5230" t="str">
            <v>ROSEMER</v>
          </cell>
        </row>
        <row r="5231">
          <cell r="A5231" t="str">
            <v>SURBHI INDUSTRIES LTD</v>
          </cell>
          <cell r="B5231">
            <v>514260</v>
          </cell>
          <cell r="C5231" t="str">
            <v>SURBHIN</v>
          </cell>
        </row>
        <row r="5232">
          <cell r="A5232" t="str">
            <v>SHRI GANG INDUSTRIES AND ALLIED PRODUCTS LTD</v>
          </cell>
          <cell r="B5232">
            <v>523309</v>
          </cell>
          <cell r="C5232" t="str">
            <v>SHRIGANG</v>
          </cell>
        </row>
        <row r="5233">
          <cell r="A5233" t="str">
            <v>UBE INDUSTRIES LTD</v>
          </cell>
          <cell r="B5233">
            <v>523868</v>
          </cell>
          <cell r="C5233" t="str">
            <v>UBEINDL</v>
          </cell>
        </row>
        <row r="5234">
          <cell r="A5234" t="str">
            <v>PET PLASTICS LTD</v>
          </cell>
          <cell r="B5234">
            <v>524046</v>
          </cell>
          <cell r="C5234" t="str">
            <v>PETPLST</v>
          </cell>
        </row>
        <row r="5235">
          <cell r="A5235" t="str">
            <v>PANJON LTD</v>
          </cell>
          <cell r="B5235">
            <v>526345</v>
          </cell>
          <cell r="C5235" t="str">
            <v>PANJON</v>
          </cell>
        </row>
        <row r="5236">
          <cell r="A5236" t="str">
            <v>EURO LEDER FASHION LTD</v>
          </cell>
          <cell r="B5236">
            <v>526468</v>
          </cell>
          <cell r="C5236" t="str">
            <v>EUROLED</v>
          </cell>
        </row>
        <row r="5237">
          <cell r="A5237" t="str">
            <v>DSJ keep Learning Ltd</v>
          </cell>
          <cell r="B5237">
            <v>526677</v>
          </cell>
          <cell r="C5237" t="str">
            <v>KEEPLEARN</v>
          </cell>
        </row>
        <row r="5238">
          <cell r="A5238" t="str">
            <v>SIDDHESWARI GARMENTS LTD</v>
          </cell>
          <cell r="B5238">
            <v>526877</v>
          </cell>
          <cell r="C5238" t="str">
            <v>SIDDHEGA</v>
          </cell>
        </row>
        <row r="5239">
          <cell r="A5239" t="str">
            <v>AADI INDUSTRIES LTD</v>
          </cell>
          <cell r="B5239">
            <v>530027</v>
          </cell>
          <cell r="C5239" t="str">
            <v>AADIIND</v>
          </cell>
        </row>
        <row r="5240">
          <cell r="A5240" t="str">
            <v>SHAMROCK INDUSTRIAL CO.LTD</v>
          </cell>
          <cell r="B5240">
            <v>531240</v>
          </cell>
          <cell r="C5240" t="str">
            <v>SHAMROIN</v>
          </cell>
        </row>
        <row r="5241">
          <cell r="A5241" t="str">
            <v>G.G.AUTOMOTIVE GEARS LTD</v>
          </cell>
          <cell r="B5241">
            <v>531399</v>
          </cell>
          <cell r="C5241" t="str">
            <v>GGAUTO</v>
          </cell>
        </row>
        <row r="5242">
          <cell r="A5242" t="str">
            <v>SGN TELECOMS LTD</v>
          </cell>
          <cell r="B5242">
            <v>531812</v>
          </cell>
          <cell r="C5242" t="str">
            <v>SGNTE</v>
          </cell>
        </row>
        <row r="5243">
          <cell r="A5243" t="str">
            <v>LCC INFOTECH LTD</v>
          </cell>
          <cell r="B5243">
            <v>532019</v>
          </cell>
          <cell r="C5243" t="str">
            <v>LCCINFOTEC</v>
          </cell>
        </row>
        <row r="5244">
          <cell r="A5244" t="str">
            <v>AMBICA AGARBATHIES &amp; AROMA INDUSTRIES LTD</v>
          </cell>
          <cell r="B5244">
            <v>532335</v>
          </cell>
          <cell r="C5244" t="str">
            <v>AMBICAAGAR</v>
          </cell>
        </row>
        <row r="5245">
          <cell r="A5245" t="str">
            <v>Shree Hanuman Sugar &amp; Industries Ltd</v>
          </cell>
          <cell r="B5245">
            <v>537709</v>
          </cell>
          <cell r="C5245" t="str">
            <v>HANSUGAR</v>
          </cell>
        </row>
        <row r="5246">
          <cell r="A5246" t="str">
            <v>Samrat Forgings Ltd</v>
          </cell>
          <cell r="B5246">
            <v>543229</v>
          </cell>
          <cell r="C5246" t="str">
            <v>SAMRATFORG</v>
          </cell>
        </row>
        <row r="5247">
          <cell r="A5247" t="str">
            <v>Gland Pharma Ltd</v>
          </cell>
          <cell r="B5247">
            <v>543245</v>
          </cell>
          <cell r="C5247" t="str">
            <v>GLAND</v>
          </cell>
        </row>
        <row r="5248">
          <cell r="A5248" t="str">
            <v>Mirae Asset ESG Sector Leaders ETF</v>
          </cell>
          <cell r="B5248">
            <v>543246</v>
          </cell>
          <cell r="C5248" t="str">
            <v>MAESGETF</v>
          </cell>
        </row>
        <row r="5249">
          <cell r="A5249" t="str">
            <v>Net Pix Shorts Digital Media Ltd</v>
          </cell>
          <cell r="B5249">
            <v>543247</v>
          </cell>
          <cell r="C5249" t="str">
            <v>NETPIX</v>
          </cell>
        </row>
        <row r="5250">
          <cell r="A5250" t="str">
            <v>Restaurant Brands Asia Ltd</v>
          </cell>
          <cell r="B5250">
            <v>543248</v>
          </cell>
          <cell r="C5250" t="str">
            <v>RBA</v>
          </cell>
        </row>
        <row r="5251">
          <cell r="A5251" t="str">
            <v>Tarc Ltd</v>
          </cell>
          <cell r="B5251">
            <v>543249</v>
          </cell>
          <cell r="C5251" t="str">
            <v>TARC</v>
          </cell>
        </row>
        <row r="5252">
          <cell r="A5252" t="str">
            <v>Ravinder Heights Ltd</v>
          </cell>
          <cell r="B5252">
            <v>543251</v>
          </cell>
          <cell r="C5252" t="str">
            <v>RVHL</v>
          </cell>
        </row>
        <row r="5253">
          <cell r="A5253" t="str">
            <v>Fairchem Organics Ltd</v>
          </cell>
          <cell r="B5253">
            <v>543252</v>
          </cell>
          <cell r="C5253" t="str">
            <v>FAIRCHEMOR</v>
          </cell>
        </row>
        <row r="5254">
          <cell r="A5254" t="str">
            <v>Mrs. Bectors Food Specialities Ltd</v>
          </cell>
          <cell r="B5254">
            <v>543253</v>
          </cell>
          <cell r="C5254" t="str">
            <v>BECTORFOOD</v>
          </cell>
        </row>
        <row r="5255">
          <cell r="A5255" t="str">
            <v>Antony Waste Handling Cell Ltd</v>
          </cell>
          <cell r="B5255">
            <v>543254</v>
          </cell>
          <cell r="C5255" t="str">
            <v>AWHCL</v>
          </cell>
        </row>
        <row r="5256">
          <cell r="A5256" t="str">
            <v>NIPPON INDIA ETF INFRA BeES</v>
          </cell>
          <cell r="B5256">
            <v>543255</v>
          </cell>
          <cell r="C5256" t="str">
            <v>INFRABEES</v>
          </cell>
        </row>
        <row r="5257">
          <cell r="A5257" t="str">
            <v>Rita Finance and Leasing Ltd</v>
          </cell>
          <cell r="B5257">
            <v>543256</v>
          </cell>
          <cell r="C5257" t="str">
            <v>RFLL</v>
          </cell>
        </row>
        <row r="5258">
          <cell r="A5258" t="str">
            <v>Indian Railway Finance Corporation Ltd</v>
          </cell>
          <cell r="B5258">
            <v>543257</v>
          </cell>
          <cell r="C5258" t="str">
            <v>IRFC</v>
          </cell>
        </row>
        <row r="5259">
          <cell r="A5259" t="str">
            <v>Indigo Paints Ltd</v>
          </cell>
          <cell r="B5259">
            <v>543258</v>
          </cell>
          <cell r="C5259" t="str">
            <v>INDIGOPNTS</v>
          </cell>
        </row>
        <row r="5260">
          <cell r="A5260" t="str">
            <v>Home First Finance Company India Ltd</v>
          </cell>
          <cell r="B5260">
            <v>543259</v>
          </cell>
          <cell r="C5260" t="str">
            <v>HOMEFIRST</v>
          </cell>
        </row>
        <row r="5261">
          <cell r="A5261" t="str">
            <v>Stove Kraft Ltd</v>
          </cell>
          <cell r="B5261">
            <v>543260</v>
          </cell>
          <cell r="C5261" t="str">
            <v>STOVEKRAFT</v>
          </cell>
        </row>
        <row r="5262">
          <cell r="A5262" t="str">
            <v>Brookfield India Real Estate Trust REIT</v>
          </cell>
          <cell r="B5262">
            <v>543261</v>
          </cell>
          <cell r="C5262" t="str">
            <v>BIRET</v>
          </cell>
        </row>
        <row r="5263">
          <cell r="A5263" t="str">
            <v>MRP Agro Ltd</v>
          </cell>
          <cell r="B5263">
            <v>543262</v>
          </cell>
          <cell r="C5263" t="str">
            <v>MRP</v>
          </cell>
        </row>
        <row r="5264">
          <cell r="A5264" t="str">
            <v>SMC Global Securities Ltd</v>
          </cell>
          <cell r="B5264">
            <v>543263</v>
          </cell>
          <cell r="C5264" t="str">
            <v>SMCGLOBAL*</v>
          </cell>
        </row>
        <row r="5265">
          <cell r="A5265" t="str">
            <v>Nureca Ltd</v>
          </cell>
          <cell r="B5265">
            <v>543264</v>
          </cell>
          <cell r="C5265" t="str">
            <v>NURECA</v>
          </cell>
        </row>
        <row r="5266">
          <cell r="A5266" t="str">
            <v>RailTel Corporation of India Ltd</v>
          </cell>
          <cell r="B5266">
            <v>543265</v>
          </cell>
          <cell r="C5266" t="str">
            <v>RAILTEL</v>
          </cell>
        </row>
        <row r="5267">
          <cell r="A5267" t="str">
            <v>Heranba Industries Ltd</v>
          </cell>
          <cell r="B5267">
            <v>543266</v>
          </cell>
          <cell r="C5267" t="str">
            <v>HERANBA</v>
          </cell>
        </row>
        <row r="5268">
          <cell r="A5268" t="str">
            <v>Davangere Sugar Company Ltd</v>
          </cell>
          <cell r="B5268">
            <v>543267</v>
          </cell>
          <cell r="C5268" t="str">
            <v>DAVANGERE</v>
          </cell>
        </row>
        <row r="5269">
          <cell r="A5269" t="str">
            <v>Adjia Technologies Ltd</v>
          </cell>
          <cell r="B5269">
            <v>543269</v>
          </cell>
          <cell r="C5269" t="str">
            <v>ADJIA</v>
          </cell>
        </row>
        <row r="5270">
          <cell r="A5270" t="str">
            <v>MTAR Technologies Ltd</v>
          </cell>
          <cell r="B5270">
            <v>543270</v>
          </cell>
          <cell r="C5270" t="str">
            <v>MTARTECH</v>
          </cell>
        </row>
        <row r="5271">
          <cell r="A5271" t="str">
            <v>Jubilant Ingrevia Ltd</v>
          </cell>
          <cell r="B5271">
            <v>543271</v>
          </cell>
          <cell r="C5271" t="str">
            <v>JUBLINGREA</v>
          </cell>
        </row>
        <row r="5272">
          <cell r="A5272" t="str">
            <v>Easy Trip Planners Ltd</v>
          </cell>
          <cell r="B5272">
            <v>543272</v>
          </cell>
          <cell r="C5272" t="str">
            <v>EASEMYTRIP</v>
          </cell>
        </row>
        <row r="5273">
          <cell r="A5273" t="str">
            <v>Knowledge Marine &amp; Engineering Works Ltd</v>
          </cell>
          <cell r="B5273">
            <v>543273</v>
          </cell>
          <cell r="C5273" t="str">
            <v>KMEW</v>
          </cell>
        </row>
        <row r="5274">
          <cell r="A5274" t="str">
            <v>Suumaya Corporation Ltd</v>
          </cell>
          <cell r="B5274">
            <v>543274</v>
          </cell>
          <cell r="C5274" t="str">
            <v>SUUMAYA</v>
          </cell>
        </row>
        <row r="5275">
          <cell r="A5275" t="str">
            <v>Anupam Rasayan India Ltd</v>
          </cell>
          <cell r="B5275">
            <v>543275</v>
          </cell>
          <cell r="C5275" t="str">
            <v>ANURAS</v>
          </cell>
        </row>
        <row r="5276">
          <cell r="A5276" t="str">
            <v>Craftsman Automation Ltd</v>
          </cell>
          <cell r="B5276">
            <v>543276</v>
          </cell>
          <cell r="C5276" t="str">
            <v>CRAFTSMAN</v>
          </cell>
        </row>
        <row r="5277">
          <cell r="A5277" t="str">
            <v>Laxmi Organic Industries Ltd</v>
          </cell>
          <cell r="B5277">
            <v>543277</v>
          </cell>
          <cell r="C5277" t="str">
            <v>LXCHEM</v>
          </cell>
        </row>
        <row r="5278">
          <cell r="A5278" t="str">
            <v>Kalyan Jewellers India Ltd</v>
          </cell>
          <cell r="B5278">
            <v>543278</v>
          </cell>
          <cell r="C5278" t="str">
            <v>KALYANKJIL</v>
          </cell>
        </row>
        <row r="5279">
          <cell r="A5279" t="str">
            <v>Suryoday Small Finance Bank Ltd</v>
          </cell>
          <cell r="B5279">
            <v>543279</v>
          </cell>
          <cell r="C5279" t="str">
            <v>SURYODAY</v>
          </cell>
        </row>
        <row r="5280">
          <cell r="A5280" t="str">
            <v>Nazara Technologies Ltd</v>
          </cell>
          <cell r="B5280">
            <v>543280</v>
          </cell>
          <cell r="C5280" t="str">
            <v>NAZARA</v>
          </cell>
        </row>
        <row r="5281">
          <cell r="A5281" t="str">
            <v>Suvidhaa Infoserve Ltd</v>
          </cell>
          <cell r="B5281">
            <v>543281</v>
          </cell>
          <cell r="C5281" t="str">
            <v>SUVIDHAA</v>
          </cell>
        </row>
        <row r="5282">
          <cell r="A5282" t="str">
            <v>Niks Technology Ltd</v>
          </cell>
          <cell r="B5282">
            <v>543282</v>
          </cell>
          <cell r="C5282" t="str">
            <v>NIKSTECH</v>
          </cell>
        </row>
        <row r="5283">
          <cell r="A5283" t="str">
            <v>Barbeque-Nation Hospitality Ltd</v>
          </cell>
          <cell r="B5283">
            <v>543283</v>
          </cell>
          <cell r="C5283" t="str">
            <v>BARBEQUE</v>
          </cell>
        </row>
        <row r="5284">
          <cell r="A5284" t="str">
            <v>EKI Energy Services Ltd</v>
          </cell>
          <cell r="B5284">
            <v>543284</v>
          </cell>
          <cell r="C5284" t="str">
            <v>EKI</v>
          </cell>
        </row>
        <row r="5285">
          <cell r="A5285" t="str">
            <v>Rajeshwari Cans Ltd</v>
          </cell>
          <cell r="B5285">
            <v>543285</v>
          </cell>
          <cell r="C5285" t="str">
            <v>RCAN</v>
          </cell>
        </row>
        <row r="5286">
          <cell r="A5286" t="str">
            <v>Jetmall Spices and Masala Ltd</v>
          </cell>
          <cell r="B5286">
            <v>543286</v>
          </cell>
          <cell r="C5286" t="str">
            <v>JETMALL</v>
          </cell>
        </row>
        <row r="5287">
          <cell r="A5287" t="str">
            <v>Macrotech Developers Ltd</v>
          </cell>
          <cell r="B5287">
            <v>543287</v>
          </cell>
          <cell r="C5287" t="str">
            <v>LODHA</v>
          </cell>
        </row>
        <row r="5288">
          <cell r="A5288" t="str">
            <v>Deep Industries Ltd</v>
          </cell>
          <cell r="B5288">
            <v>543288</v>
          </cell>
          <cell r="C5288" t="str">
            <v>DEEPIND</v>
          </cell>
        </row>
        <row r="5289">
          <cell r="A5289" t="str">
            <v>Kuberan Global Edu Solutions Ltd</v>
          </cell>
          <cell r="B5289">
            <v>543289</v>
          </cell>
          <cell r="C5289" t="str">
            <v>KGES</v>
          </cell>
        </row>
        <row r="5290">
          <cell r="A5290" t="str">
            <v>POWERGRID Infrastructure Investment Trust</v>
          </cell>
          <cell r="B5290">
            <v>543290</v>
          </cell>
          <cell r="C5290" t="str">
            <v>PGINVIT</v>
          </cell>
        </row>
        <row r="5291">
          <cell r="A5291" t="str">
            <v>Mirae Asset NYSE FANG+ ETF</v>
          </cell>
          <cell r="B5291">
            <v>543291</v>
          </cell>
          <cell r="C5291" t="str">
            <v>MAFANG</v>
          </cell>
        </row>
        <row r="5292">
          <cell r="A5292" t="str">
            <v>ICICI Prudential Healthcare ETF</v>
          </cell>
          <cell r="B5292">
            <v>543292</v>
          </cell>
          <cell r="C5292" t="str">
            <v>ICICIPHARM</v>
          </cell>
        </row>
        <row r="5293">
          <cell r="A5293" t="str">
            <v>Inox Wind Energy Ltd</v>
          </cell>
          <cell r="B5293">
            <v>543297</v>
          </cell>
          <cell r="C5293" t="str">
            <v>IWEL</v>
          </cell>
        </row>
        <row r="5294">
          <cell r="A5294" t="str">
            <v>Vineet Laboratories Ltd</v>
          </cell>
          <cell r="B5294">
            <v>543298</v>
          </cell>
          <cell r="C5294" t="str">
            <v>VINEETLAB</v>
          </cell>
        </row>
        <row r="5295">
          <cell r="A5295" t="str">
            <v>Shyam Metalics and Energy Ltd</v>
          </cell>
          <cell r="B5295">
            <v>543299</v>
          </cell>
          <cell r="C5295" t="str">
            <v>SHYAMMETL</v>
          </cell>
        </row>
        <row r="5296">
          <cell r="A5296" t="str">
            <v>Sona BLW Precision Forgings Ltd</v>
          </cell>
          <cell r="B5296">
            <v>543300</v>
          </cell>
          <cell r="C5296" t="str">
            <v>SONACOMS</v>
          </cell>
        </row>
        <row r="5297">
          <cell r="A5297" t="str">
            <v>Navoday Enterprises Ltd</v>
          </cell>
          <cell r="B5297">
            <v>543305</v>
          </cell>
          <cell r="C5297" t="str">
            <v>NAVODAYENT</v>
          </cell>
        </row>
        <row r="5298">
          <cell r="A5298" t="str">
            <v>Dodla Dairy Ltd</v>
          </cell>
          <cell r="B5298">
            <v>543306</v>
          </cell>
          <cell r="C5298" t="str">
            <v>DODLA</v>
          </cell>
        </row>
        <row r="5299">
          <cell r="A5299" t="str">
            <v>Krishna Institute of Medical Sciences Ltd</v>
          </cell>
          <cell r="B5299">
            <v>543308</v>
          </cell>
          <cell r="C5299" t="str">
            <v>KIMS</v>
          </cell>
        </row>
        <row r="5300">
          <cell r="A5300" t="str">
            <v>Adeshwar Meditex Ltd</v>
          </cell>
          <cell r="B5300">
            <v>543309</v>
          </cell>
          <cell r="C5300" t="str">
            <v>ADESHWAR</v>
          </cell>
        </row>
        <row r="5301">
          <cell r="A5301" t="str">
            <v>Times Green Energy (India) Ltd</v>
          </cell>
          <cell r="B5301">
            <v>543310</v>
          </cell>
          <cell r="C5301" t="str">
            <v>TIMESGREEN</v>
          </cell>
        </row>
        <row r="5302">
          <cell r="A5302" t="str">
            <v>India Pesticides Ltd</v>
          </cell>
          <cell r="B5302">
            <v>543311</v>
          </cell>
          <cell r="C5302" t="str">
            <v>IPL</v>
          </cell>
        </row>
        <row r="5303">
          <cell r="A5303" t="str">
            <v>Focus Business Solution Ltd</v>
          </cell>
          <cell r="B5303">
            <v>543312</v>
          </cell>
          <cell r="C5303" t="str">
            <v>FOCUS</v>
          </cell>
        </row>
        <row r="5304">
          <cell r="A5304" t="str">
            <v>G R Infraprojects Ltd</v>
          </cell>
          <cell r="B5304">
            <v>543317</v>
          </cell>
          <cell r="C5304" t="str">
            <v>GRINFRA</v>
          </cell>
        </row>
        <row r="5305">
          <cell r="A5305" t="str">
            <v>Clean Science and Technology Ltd</v>
          </cell>
          <cell r="B5305">
            <v>543318</v>
          </cell>
          <cell r="C5305" t="str">
            <v>CLEAN</v>
          </cell>
        </row>
        <row r="5306">
          <cell r="A5306" t="str">
            <v>AA Plus Tradelink Ltd</v>
          </cell>
          <cell r="B5306">
            <v>543319</v>
          </cell>
          <cell r="C5306" t="str">
            <v>AAPLUSTRAD</v>
          </cell>
        </row>
        <row r="5307">
          <cell r="A5307" t="str">
            <v>Zomato Ltd</v>
          </cell>
          <cell r="B5307">
            <v>543320</v>
          </cell>
          <cell r="C5307" t="str">
            <v>ZOMATO</v>
          </cell>
        </row>
        <row r="5308">
          <cell r="A5308" t="str">
            <v>Tatva Chintan Pharma Chem Ltd</v>
          </cell>
          <cell r="B5308">
            <v>543321</v>
          </cell>
          <cell r="C5308" t="str">
            <v>TATVA</v>
          </cell>
        </row>
        <row r="5309">
          <cell r="A5309" t="str">
            <v>Glenmark Life Sciences Ltd</v>
          </cell>
          <cell r="B5309">
            <v>543322</v>
          </cell>
          <cell r="C5309" t="str">
            <v>GLS</v>
          </cell>
        </row>
        <row r="5310">
          <cell r="A5310" t="str">
            <v>Mirae Asset Nifty Financial Services ETF</v>
          </cell>
          <cell r="B5310">
            <v>543323</v>
          </cell>
          <cell r="C5310" t="str">
            <v>MAFSETF</v>
          </cell>
        </row>
        <row r="5311">
          <cell r="A5311" t="str">
            <v>Gretex Corporate Services Ltd</v>
          </cell>
          <cell r="B5311">
            <v>543324</v>
          </cell>
          <cell r="C5311" t="str">
            <v>GCSL</v>
          </cell>
        </row>
        <row r="5312">
          <cell r="A5312" t="str">
            <v>Rolex Rings Ltd</v>
          </cell>
          <cell r="B5312">
            <v>543325</v>
          </cell>
          <cell r="C5312" t="str">
            <v>ROLEXRINGS</v>
          </cell>
        </row>
        <row r="5313">
          <cell r="A5313" t="str">
            <v>ICICI Prudential FMCG ETF</v>
          </cell>
          <cell r="B5313">
            <v>543326</v>
          </cell>
          <cell r="C5313" t="str">
            <v>ICICIFMCG</v>
          </cell>
        </row>
        <row r="5314">
          <cell r="A5314" t="str">
            <v>Exxaro Tiles Ltd</v>
          </cell>
          <cell r="B5314">
            <v>543327</v>
          </cell>
          <cell r="C5314" t="str">
            <v>EXXARO</v>
          </cell>
        </row>
        <row r="5315">
          <cell r="A5315" t="str">
            <v>Krsnaa Diagnostics Ltd</v>
          </cell>
          <cell r="B5315">
            <v>543328</v>
          </cell>
          <cell r="C5315" t="str">
            <v>KRSNAA</v>
          </cell>
        </row>
        <row r="5316">
          <cell r="A5316" t="str">
            <v>Windlas Biotech Ltd</v>
          </cell>
          <cell r="B5316">
            <v>543329</v>
          </cell>
          <cell r="C5316" t="str">
            <v>WINDLAS</v>
          </cell>
        </row>
        <row r="5317">
          <cell r="A5317" t="str">
            <v>Devyani International Ltd</v>
          </cell>
          <cell r="B5317">
            <v>543330</v>
          </cell>
          <cell r="C5317" t="str">
            <v>DEVYANI</v>
          </cell>
        </row>
        <row r="5318">
          <cell r="A5318" t="str">
            <v>Meghmani Organics Ltd</v>
          </cell>
          <cell r="B5318">
            <v>543331</v>
          </cell>
          <cell r="C5318" t="str">
            <v>MOL</v>
          </cell>
        </row>
        <row r="5319">
          <cell r="A5319" t="str">
            <v>Meghmani Finechem Ltd</v>
          </cell>
          <cell r="B5319">
            <v>543332</v>
          </cell>
          <cell r="C5319" t="str">
            <v>MFL</v>
          </cell>
        </row>
        <row r="5320">
          <cell r="A5320" t="str">
            <v>CarTrade Tech Ltd</v>
          </cell>
          <cell r="B5320">
            <v>543333</v>
          </cell>
          <cell r="C5320" t="str">
            <v>CARTRADE</v>
          </cell>
        </row>
        <row r="5321">
          <cell r="A5321" t="str">
            <v>Nuvoco Vistas Corporation Ltd</v>
          </cell>
          <cell r="B5321">
            <v>543334</v>
          </cell>
          <cell r="C5321" t="str">
            <v>NUVOCO</v>
          </cell>
        </row>
        <row r="5322">
          <cell r="A5322" t="str">
            <v>Aptus Value Housing Finance India Ltd</v>
          </cell>
          <cell r="B5322">
            <v>543335</v>
          </cell>
          <cell r="C5322" t="str">
            <v>APTUS</v>
          </cell>
        </row>
        <row r="5323">
          <cell r="A5323" t="str">
            <v>Chemplast Sanmar Ltd</v>
          </cell>
          <cell r="B5323">
            <v>543336</v>
          </cell>
          <cell r="C5323" t="str">
            <v>CHEMPLASTS</v>
          </cell>
        </row>
        <row r="5324">
          <cell r="A5324" t="str">
            <v>Sharpline Broadcast Ltd</v>
          </cell>
          <cell r="B5324">
            <v>543341</v>
          </cell>
          <cell r="C5324" t="str">
            <v>SHARPLINE</v>
          </cell>
        </row>
        <row r="5325">
          <cell r="A5325" t="str">
            <v>Aashka Hospitals Ltd</v>
          </cell>
          <cell r="B5325">
            <v>543346</v>
          </cell>
          <cell r="C5325" t="str">
            <v>AASHKA</v>
          </cell>
        </row>
        <row r="5326">
          <cell r="A5326" t="str">
            <v>AXIS TECHNOLOGY ETF</v>
          </cell>
          <cell r="B5326">
            <v>543347</v>
          </cell>
          <cell r="C5326" t="str">
            <v>AXISTECETF</v>
          </cell>
        </row>
        <row r="5327">
          <cell r="A5327" t="str">
            <v>AXIS HEALTHCARE ETF</v>
          </cell>
          <cell r="B5327">
            <v>543348</v>
          </cell>
          <cell r="C5327" t="str">
            <v>AXISHETF</v>
          </cell>
        </row>
        <row r="5328">
          <cell r="A5328" t="str">
            <v>Ami Organics Ltd</v>
          </cell>
          <cell r="B5328">
            <v>543349</v>
          </cell>
          <cell r="C5328" t="str">
            <v>AMIORG</v>
          </cell>
        </row>
        <row r="5329">
          <cell r="A5329" t="str">
            <v>Vijaya Diagnostic Centre Ltd</v>
          </cell>
          <cell r="B5329">
            <v>543350</v>
          </cell>
          <cell r="C5329" t="str">
            <v>VIJAYA</v>
          </cell>
        </row>
        <row r="5330">
          <cell r="A5330" t="str">
            <v>Naapbooks Ltd</v>
          </cell>
          <cell r="B5330">
            <v>543351</v>
          </cell>
          <cell r="C5330" t="str">
            <v>NBL</v>
          </cell>
        </row>
        <row r="5331">
          <cell r="A5331" t="str">
            <v>PlatinumOne Business Services Ltd</v>
          </cell>
          <cell r="B5331">
            <v>543352</v>
          </cell>
          <cell r="C5331" t="str">
            <v>POBS</v>
          </cell>
        </row>
        <row r="5332">
          <cell r="A5332" t="str">
            <v>AXIS CONSUMPTION ETF</v>
          </cell>
          <cell r="B5332">
            <v>543357</v>
          </cell>
          <cell r="C5332" t="str">
            <v>AXISCETF</v>
          </cell>
        </row>
        <row r="5333">
          <cell r="A5333" t="str">
            <v>Sansera Engineering Ltd</v>
          </cell>
          <cell r="B5333">
            <v>543358</v>
          </cell>
          <cell r="C5333" t="str">
            <v>SANSERA</v>
          </cell>
        </row>
        <row r="5334">
          <cell r="A5334" t="str">
            <v>Prevest Denpro Ltd</v>
          </cell>
          <cell r="B5334">
            <v>543363</v>
          </cell>
          <cell r="C5334" t="str">
            <v>PREVEST</v>
          </cell>
        </row>
        <row r="5335">
          <cell r="A5335" t="str">
            <v>Markolines Traffic Controls Ltd</v>
          </cell>
          <cell r="B5335">
            <v>543364</v>
          </cell>
          <cell r="C5335" t="str">
            <v>MTCL</v>
          </cell>
        </row>
        <row r="5336">
          <cell r="A5336" t="str">
            <v>Mirae Asset S&amp;P 500 Top 50 ETF</v>
          </cell>
          <cell r="B5336">
            <v>543365</v>
          </cell>
          <cell r="C5336" t="str">
            <v>MASPTOP50</v>
          </cell>
        </row>
        <row r="5337">
          <cell r="A5337" t="str">
            <v>SBL Infratech Ltd</v>
          </cell>
          <cell r="B5337">
            <v>543366</v>
          </cell>
          <cell r="C5337" t="str">
            <v>SBLI</v>
          </cell>
        </row>
        <row r="5338">
          <cell r="A5338" t="str">
            <v>Paras Defence and Space Technologies Ltd</v>
          </cell>
          <cell r="B5338">
            <v>543367</v>
          </cell>
          <cell r="C5338" t="str">
            <v>PARAS</v>
          </cell>
        </row>
        <row r="5339">
          <cell r="A5339" t="str">
            <v>Getalong Enterprise Ltd</v>
          </cell>
          <cell r="B5339">
            <v>543372</v>
          </cell>
          <cell r="C5339" t="str">
            <v>GETALONG</v>
          </cell>
        </row>
        <row r="5340">
          <cell r="A5340" t="str">
            <v>Shri Venkatesh Refineries Ltd</v>
          </cell>
          <cell r="B5340">
            <v>543373</v>
          </cell>
          <cell r="C5340" t="str">
            <v>SVRL</v>
          </cell>
        </row>
        <row r="5341">
          <cell r="A5341" t="str">
            <v>Aditya Birla Sun Life AMC Ltd</v>
          </cell>
          <cell r="B5341">
            <v>543374</v>
          </cell>
          <cell r="C5341" t="str">
            <v>ABSLAMC</v>
          </cell>
        </row>
        <row r="5342">
          <cell r="A5342" t="str">
            <v>Promax Power Ltd</v>
          </cell>
          <cell r="B5342">
            <v>543375</v>
          </cell>
          <cell r="C5342" t="str">
            <v>PROMAX</v>
          </cell>
        </row>
        <row r="5343">
          <cell r="A5343" t="str">
            <v>Samor Reality Ltd</v>
          </cell>
          <cell r="B5343">
            <v>543376</v>
          </cell>
          <cell r="C5343" t="str">
            <v>SAMOR</v>
          </cell>
        </row>
        <row r="5344">
          <cell r="A5344" t="str">
            <v>Adishakti Loha and Ispat Ltd</v>
          </cell>
          <cell r="B5344">
            <v>543377</v>
          </cell>
          <cell r="C5344" t="str">
            <v>ADISHAKTI</v>
          </cell>
        </row>
        <row r="5345">
          <cell r="A5345" t="str">
            <v>CWD Ltd</v>
          </cell>
          <cell r="B5345">
            <v>543378</v>
          </cell>
          <cell r="C5345" t="str">
            <v>CWD</v>
          </cell>
        </row>
        <row r="5346">
          <cell r="A5346" t="str">
            <v>ICICI Prudential Consumption ETF</v>
          </cell>
          <cell r="B5346">
            <v>543383</v>
          </cell>
          <cell r="C5346" t="str">
            <v>ICICICONSU</v>
          </cell>
        </row>
        <row r="5347">
          <cell r="A5347" t="str">
            <v>FSN E-Commerce Ventures Ltd</v>
          </cell>
          <cell r="B5347">
            <v>543384</v>
          </cell>
          <cell r="C5347" t="str">
            <v>NYKAA</v>
          </cell>
        </row>
        <row r="5348">
          <cell r="A5348" t="str">
            <v>National Highways Infra Trust</v>
          </cell>
          <cell r="B5348">
            <v>543385</v>
          </cell>
          <cell r="C5348" t="str">
            <v>NHIT</v>
          </cell>
        </row>
        <row r="5349">
          <cell r="A5349" t="str">
            <v>Fino Payments Bank Ltd</v>
          </cell>
          <cell r="B5349">
            <v>543386</v>
          </cell>
          <cell r="C5349" t="str">
            <v>FINOPB</v>
          </cell>
        </row>
        <row r="5350">
          <cell r="A5350" t="str">
            <v>S.J.S. Enterprises Ltd</v>
          </cell>
          <cell r="B5350">
            <v>543387</v>
          </cell>
          <cell r="C5350" t="str">
            <v>SJS</v>
          </cell>
        </row>
        <row r="5351">
          <cell r="A5351" t="str">
            <v>DSP Nifty 50 Equal Weight ETF</v>
          </cell>
          <cell r="B5351">
            <v>543388</v>
          </cell>
          <cell r="C5351" t="str">
            <v>DSPNEWETF</v>
          </cell>
        </row>
        <row r="5352">
          <cell r="A5352" t="str">
            <v>Sigachi Industries Ltd</v>
          </cell>
          <cell r="B5352">
            <v>543389</v>
          </cell>
          <cell r="C5352" t="str">
            <v>SIGACHI</v>
          </cell>
        </row>
        <row r="5353">
          <cell r="A5353" t="str">
            <v>PB Fintech Ltd</v>
          </cell>
          <cell r="B5353">
            <v>543390</v>
          </cell>
          <cell r="C5353" t="str">
            <v>POLICYBZR</v>
          </cell>
        </row>
        <row r="5354">
          <cell r="A5354" t="str">
            <v>Suyog Gurbaxani Funicular Ropeways Ltd</v>
          </cell>
          <cell r="B5354">
            <v>543391</v>
          </cell>
          <cell r="C5354" t="str">
            <v>SGFRL</v>
          </cell>
        </row>
        <row r="5355">
          <cell r="A5355" t="str">
            <v>One 97 Communications Ltd</v>
          </cell>
          <cell r="B5355">
            <v>543396</v>
          </cell>
          <cell r="C5355" t="str">
            <v>PAYTM</v>
          </cell>
        </row>
        <row r="5356">
          <cell r="A5356" t="str">
            <v>Sapphire Foods India Ltd</v>
          </cell>
          <cell r="B5356">
            <v>543397</v>
          </cell>
          <cell r="C5356" t="str">
            <v>SAPPHIRE</v>
          </cell>
        </row>
        <row r="5357">
          <cell r="A5357" t="str">
            <v>Latent View Analytics Ltd</v>
          </cell>
          <cell r="B5357">
            <v>543398</v>
          </cell>
          <cell r="C5357" t="str">
            <v>LATENTVIEW</v>
          </cell>
        </row>
        <row r="5358">
          <cell r="A5358" t="str">
            <v>Tarsons Products Ltd</v>
          </cell>
          <cell r="B5358">
            <v>543399</v>
          </cell>
          <cell r="C5358" t="str">
            <v>TARSONS</v>
          </cell>
        </row>
        <row r="5359">
          <cell r="A5359" t="str">
            <v>Omnipotent Industries Ltd</v>
          </cell>
          <cell r="B5359">
            <v>543400</v>
          </cell>
          <cell r="C5359" t="str">
            <v>OMNIPOTENT</v>
          </cell>
        </row>
        <row r="5360">
          <cell r="A5360" t="str">
            <v>Go Fashion (India) Ltd</v>
          </cell>
          <cell r="B5360">
            <v>543401</v>
          </cell>
          <cell r="C5360" t="str">
            <v>GOCOLORS</v>
          </cell>
        </row>
        <row r="5361">
          <cell r="A5361" t="str">
            <v>DMR Hydroengineering &amp; Infrastructures Ltd</v>
          </cell>
          <cell r="B5361">
            <v>543410</v>
          </cell>
          <cell r="C5361" t="str">
            <v>DMR</v>
          </cell>
        </row>
        <row r="5362">
          <cell r="A5362" t="str">
            <v>Hi-Tech Pipes Ltd</v>
          </cell>
          <cell r="B5362">
            <v>543411</v>
          </cell>
          <cell r="C5362" t="str">
            <v>HITECH</v>
          </cell>
        </row>
        <row r="5363">
          <cell r="A5363" t="str">
            <v>Star Health and Allied Insurance Company Ltd</v>
          </cell>
          <cell r="B5363">
            <v>543412</v>
          </cell>
          <cell r="C5363" t="str">
            <v>STARHEALTH</v>
          </cell>
        </row>
        <row r="5364">
          <cell r="A5364" t="str">
            <v>Tega Industries Ltd</v>
          </cell>
          <cell r="B5364">
            <v>543413</v>
          </cell>
          <cell r="C5364" t="str">
            <v>TEGA</v>
          </cell>
        </row>
        <row r="5365">
          <cell r="A5365" t="str">
            <v>Mirae Asset Hang Seng TECH ETF</v>
          </cell>
          <cell r="B5365">
            <v>543414</v>
          </cell>
          <cell r="C5365" t="str">
            <v>MAHKTECH</v>
          </cell>
        </row>
        <row r="5366">
          <cell r="A5366" t="str">
            <v>Anand Rathi Wealth Ltd</v>
          </cell>
          <cell r="B5366">
            <v>543415</v>
          </cell>
          <cell r="C5366" t="str">
            <v>ANANDRATHI</v>
          </cell>
        </row>
        <row r="5367">
          <cell r="A5367" t="str">
            <v>Zodiac Energy Ltd</v>
          </cell>
          <cell r="B5367">
            <v>543416</v>
          </cell>
          <cell r="C5367" t="str">
            <v>ZODIAC</v>
          </cell>
        </row>
        <row r="5368">
          <cell r="A5368" t="str">
            <v>RateGain Travel Technologies Ltd</v>
          </cell>
          <cell r="B5368">
            <v>543417</v>
          </cell>
          <cell r="C5368" t="str">
            <v>RATEGAIN</v>
          </cell>
        </row>
        <row r="5369">
          <cell r="A5369" t="str">
            <v>Shriram Properties Ltd</v>
          </cell>
          <cell r="B5369">
            <v>543419</v>
          </cell>
          <cell r="C5369" t="str">
            <v>SHRIRAMPPS</v>
          </cell>
        </row>
        <row r="5370">
          <cell r="A5370" t="str">
            <v>Jet Freight Logistics Ltd</v>
          </cell>
          <cell r="B5370">
            <v>543420</v>
          </cell>
          <cell r="C5370" t="str">
            <v>JETFREIGHT</v>
          </cell>
        </row>
        <row r="5371">
          <cell r="A5371" t="str">
            <v>C.E. Info Systems Ltd</v>
          </cell>
          <cell r="B5371">
            <v>543425</v>
          </cell>
          <cell r="C5371" t="str">
            <v>MAPMYINDIA</v>
          </cell>
        </row>
        <row r="5372">
          <cell r="A5372" t="str">
            <v>Metro Brands Ltd</v>
          </cell>
          <cell r="B5372">
            <v>543426</v>
          </cell>
          <cell r="C5372" t="str">
            <v>METROBRAND</v>
          </cell>
        </row>
        <row r="5373">
          <cell r="A5373" t="str">
            <v>Medplus Health Services Ltd</v>
          </cell>
          <cell r="B5373">
            <v>543427</v>
          </cell>
          <cell r="C5373" t="str">
            <v>MEDPLUS</v>
          </cell>
        </row>
        <row r="5374">
          <cell r="A5374" t="str">
            <v>Data Patterns (India) Ltd</v>
          </cell>
          <cell r="B5374">
            <v>543428</v>
          </cell>
          <cell r="C5374" t="str">
            <v>DATAPATTNS</v>
          </cell>
        </row>
        <row r="5375">
          <cell r="A5375" t="str">
            <v>HP Adhesives Ltd</v>
          </cell>
          <cell r="B5375">
            <v>543433</v>
          </cell>
          <cell r="C5375" t="str">
            <v>HPAL</v>
          </cell>
        </row>
        <row r="5376">
          <cell r="A5376" t="str">
            <v>Supriya Lifescience Ltd</v>
          </cell>
          <cell r="B5376">
            <v>543434</v>
          </cell>
          <cell r="C5376" t="str">
            <v>SUPRIYA</v>
          </cell>
        </row>
        <row r="5377">
          <cell r="A5377" t="str">
            <v>Clara Industries Ltd</v>
          </cell>
          <cell r="B5377">
            <v>543435</v>
          </cell>
          <cell r="C5377" t="str">
            <v>CLARA</v>
          </cell>
        </row>
        <row r="5378">
          <cell r="A5378" t="str">
            <v>Wherrelz IT Solutions Ltd</v>
          </cell>
          <cell r="B5378">
            <v>543436</v>
          </cell>
          <cell r="C5378" t="str">
            <v>WITS</v>
          </cell>
        </row>
        <row r="5379">
          <cell r="A5379" t="str">
            <v>Motilal Oswal Nasdaq Q 50 ETF</v>
          </cell>
          <cell r="B5379">
            <v>543437</v>
          </cell>
          <cell r="C5379" t="str">
            <v>MONQ50</v>
          </cell>
        </row>
        <row r="5380">
          <cell r="A5380" t="str">
            <v>DSP Nifty Midcap 150 Quality 50 ETF</v>
          </cell>
          <cell r="B5380">
            <v>543438</v>
          </cell>
          <cell r="C5380" t="str">
            <v>DSPQ50ETF</v>
          </cell>
        </row>
        <row r="5381">
          <cell r="A5381" t="str">
            <v>Brandbucket Media &amp; Technology Ltd</v>
          </cell>
          <cell r="B5381">
            <v>543439</v>
          </cell>
          <cell r="C5381" t="str">
            <v>BRANDBUCKT</v>
          </cell>
        </row>
        <row r="5382">
          <cell r="A5382" t="str">
            <v>DSP Nifty 50 ETF</v>
          </cell>
          <cell r="B5382">
            <v>543440</v>
          </cell>
          <cell r="C5382" t="str">
            <v>DSPN50ETF</v>
          </cell>
        </row>
        <row r="5383">
          <cell r="A5383" t="str">
            <v>CMS Info Systems Ltd</v>
          </cell>
          <cell r="B5383">
            <v>543441</v>
          </cell>
          <cell r="C5383" t="str">
            <v>CMSINFO</v>
          </cell>
        </row>
        <row r="5384">
          <cell r="A5384" t="str">
            <v>Brand Concepts Ltd</v>
          </cell>
          <cell r="B5384">
            <v>543442</v>
          </cell>
          <cell r="C5384" t="str">
            <v>BCONCEPTS</v>
          </cell>
        </row>
        <row r="5385">
          <cell r="A5385" t="str">
            <v>Ascensive Educare Ltd</v>
          </cell>
          <cell r="B5385">
            <v>543443</v>
          </cell>
          <cell r="C5385" t="str">
            <v>ASCENSIVE</v>
          </cell>
        </row>
        <row r="5386">
          <cell r="A5386" t="str">
            <v>Fabino Life Sciences Ltd</v>
          </cell>
          <cell r="B5386">
            <v>543444</v>
          </cell>
          <cell r="C5386" t="str">
            <v>FABINO</v>
          </cell>
        </row>
        <row r="5387">
          <cell r="A5387" t="str">
            <v>Wonder Fibromats Ltd</v>
          </cell>
          <cell r="B5387">
            <v>543449</v>
          </cell>
          <cell r="C5387" t="str">
            <v>WFL</v>
          </cell>
        </row>
        <row r="5388">
          <cell r="A5388" t="str">
            <v>ICICI Prudential Nifty Auto ETF</v>
          </cell>
          <cell r="B5388">
            <v>543450</v>
          </cell>
          <cell r="C5388" t="str">
            <v>ICICIAUTO</v>
          </cell>
        </row>
        <row r="5389">
          <cell r="A5389" t="str">
            <v>AGS Transact Technologies Ltd</v>
          </cell>
          <cell r="B5389">
            <v>543451</v>
          </cell>
          <cell r="C5389" t="str">
            <v>AGSTRA</v>
          </cell>
        </row>
        <row r="5390">
          <cell r="A5390" t="str">
            <v>ICICI Prudential Silver ETF</v>
          </cell>
          <cell r="B5390">
            <v>543452</v>
          </cell>
          <cell r="C5390" t="str">
            <v>ICICISILVE</v>
          </cell>
        </row>
        <row r="5391">
          <cell r="A5391" t="str">
            <v>Alkosign Ltd</v>
          </cell>
          <cell r="B5391">
            <v>543453</v>
          </cell>
          <cell r="C5391" t="str">
            <v>ALKOSIGN</v>
          </cell>
        </row>
        <row r="5392">
          <cell r="A5392" t="str">
            <v>Mirae Asset Nifty India Manufacturing ETF</v>
          </cell>
          <cell r="B5392">
            <v>543454</v>
          </cell>
          <cell r="C5392" t="str">
            <v>MAMFGETF</v>
          </cell>
        </row>
        <row r="5393">
          <cell r="A5393" t="str">
            <v>Adani Wilmar Ltd</v>
          </cell>
          <cell r="B5393">
            <v>543458</v>
          </cell>
          <cell r="C5393" t="str">
            <v>AWL</v>
          </cell>
        </row>
        <row r="5394">
          <cell r="A5394" t="str">
            <v>Quality RO Industries Ltd</v>
          </cell>
          <cell r="B5394">
            <v>543460</v>
          </cell>
          <cell r="C5394" t="str">
            <v>QRIL</v>
          </cell>
        </row>
        <row r="5395">
          <cell r="A5395" t="str">
            <v>Safa Systems &amp; Technologies Ltd</v>
          </cell>
          <cell r="B5395">
            <v>543461</v>
          </cell>
          <cell r="C5395" t="str">
            <v>SSTL</v>
          </cell>
        </row>
        <row r="5396">
          <cell r="A5396" t="str">
            <v>Dev Information Technology Ltd</v>
          </cell>
          <cell r="B5396">
            <v>543462</v>
          </cell>
          <cell r="C5396" t="str">
            <v>DEVIT</v>
          </cell>
        </row>
        <row r="5397">
          <cell r="A5397" t="str">
            <v>Vedant Fashions Ltd</v>
          </cell>
          <cell r="B5397">
            <v>543463</v>
          </cell>
          <cell r="C5397" t="str">
            <v>MANYAVAR</v>
          </cell>
        </row>
        <row r="5398">
          <cell r="A5398" t="str">
            <v>Maruti Interior Products Ltd</v>
          </cell>
          <cell r="B5398">
            <v>543464</v>
          </cell>
          <cell r="C5398" t="str">
            <v>MARUTIIPL</v>
          </cell>
        </row>
        <row r="5399">
          <cell r="A5399" t="str">
            <v>Motilal Oswal Nifty 200 Momentum 30 ETF</v>
          </cell>
          <cell r="B5399">
            <v>543465</v>
          </cell>
          <cell r="C5399" t="str">
            <v>MOMOMENTUM</v>
          </cell>
        </row>
        <row r="5400">
          <cell r="A5400" t="str">
            <v>Softtech Engineers Ltd</v>
          </cell>
          <cell r="B5400">
            <v>543470</v>
          </cell>
          <cell r="C5400" t="str">
            <v>SOFTTECH</v>
          </cell>
        </row>
        <row r="5401">
          <cell r="A5401" t="str">
            <v>Aditya Birla Sun Life Silver ETF</v>
          </cell>
          <cell r="B5401">
            <v>543471</v>
          </cell>
          <cell r="C5401" t="str">
            <v>SILVER</v>
          </cell>
        </row>
        <row r="5402">
          <cell r="A5402" t="str">
            <v>Aditya Birla Sunlife Nifty IT ETF</v>
          </cell>
          <cell r="B5402">
            <v>543472</v>
          </cell>
          <cell r="C5402" t="str">
            <v>TECH</v>
          </cell>
        </row>
        <row r="5403">
          <cell r="A5403" t="str">
            <v>Aditya Birla Sun Life Nifty Healthcare ETF</v>
          </cell>
          <cell r="B5403">
            <v>543473</v>
          </cell>
          <cell r="C5403" t="str">
            <v>HEALTHY</v>
          </cell>
        </row>
        <row r="5404">
          <cell r="A5404" t="str">
            <v>Aditya Birla Sun Life Nifty ETF</v>
          </cell>
          <cell r="B5404">
            <v>543474</v>
          </cell>
          <cell r="C5404" t="str">
            <v>BSLNIFTY</v>
          </cell>
        </row>
        <row r="5405">
          <cell r="A5405" t="str">
            <v>Ekennis Software Service Ltd</v>
          </cell>
          <cell r="B5405">
            <v>543475</v>
          </cell>
          <cell r="C5405" t="str">
            <v>EKENNIS</v>
          </cell>
        </row>
        <row r="5406">
          <cell r="A5406" t="str">
            <v>Mirae Asset Nifty Midcap 150 ETF</v>
          </cell>
          <cell r="B5406">
            <v>543481</v>
          </cell>
          <cell r="C5406" t="str">
            <v>MAM150ETF</v>
          </cell>
        </row>
        <row r="5407">
          <cell r="A5407" t="str">
            <v>Eureka Forbes Ltd</v>
          </cell>
          <cell r="B5407">
            <v>543482</v>
          </cell>
          <cell r="C5407" t="str">
            <v>EUREKAFORBE</v>
          </cell>
        </row>
        <row r="5408">
          <cell r="A5408" t="str">
            <v>Gateway Distriparks Ltd</v>
          </cell>
          <cell r="B5408">
            <v>543489</v>
          </cell>
          <cell r="C5408" t="str">
            <v>GATEWAY</v>
          </cell>
        </row>
        <row r="5409">
          <cell r="A5409" t="str">
            <v>GMR Power and Urban Infra Ltd</v>
          </cell>
          <cell r="B5409">
            <v>543490</v>
          </cell>
          <cell r="C5409" t="str">
            <v>GMRP&amp;UI</v>
          </cell>
        </row>
        <row r="5410">
          <cell r="A5410" t="str">
            <v>Bhatia Colour Chem Ltd</v>
          </cell>
          <cell r="B5410">
            <v>543497</v>
          </cell>
          <cell r="C5410" t="str">
            <v>BCCL</v>
          </cell>
        </row>
        <row r="5411">
          <cell r="A5411" t="str">
            <v>Motherson Sumi Wiring India Ltd</v>
          </cell>
          <cell r="B5411">
            <v>543498</v>
          </cell>
          <cell r="C5411" t="str">
            <v>MSUMI</v>
          </cell>
        </row>
        <row r="5412">
          <cell r="A5412" t="str">
            <v>Achyut Healthcare Ltd</v>
          </cell>
          <cell r="B5412">
            <v>543499</v>
          </cell>
          <cell r="C5412" t="str">
            <v>ACHYUT</v>
          </cell>
        </row>
        <row r="5413">
          <cell r="A5413" t="str">
            <v>Evoq Remedies Ltd</v>
          </cell>
          <cell r="B5413">
            <v>543500</v>
          </cell>
          <cell r="C5413" t="str">
            <v>EVOQ</v>
          </cell>
        </row>
        <row r="5414">
          <cell r="A5414" t="str">
            <v>Motilal Oswal S&amp;P BSE Low Volatility ETF</v>
          </cell>
          <cell r="B5414">
            <v>543501</v>
          </cell>
          <cell r="C5414" t="str">
            <v>MOLOWVOL</v>
          </cell>
        </row>
        <row r="5415">
          <cell r="A5415" t="str">
            <v>Avro India Ltd</v>
          </cell>
          <cell r="B5415">
            <v>543512</v>
          </cell>
          <cell r="C5415" t="str">
            <v>AVROIND</v>
          </cell>
        </row>
        <row r="5416">
          <cell r="A5416" t="str">
            <v>Uma Exports Ltd</v>
          </cell>
          <cell r="B5416">
            <v>543513</v>
          </cell>
          <cell r="C5416" t="str">
            <v>UMAEXPORTS</v>
          </cell>
        </row>
        <row r="5417">
          <cell r="A5417" t="str">
            <v>Veranda Learning Solutions Ltd</v>
          </cell>
          <cell r="B5417">
            <v>543514</v>
          </cell>
          <cell r="C5417" t="str">
            <v>VERANDA</v>
          </cell>
        </row>
        <row r="5418">
          <cell r="A5418" t="str">
            <v>Sunrise Efficient Marketing Ltd</v>
          </cell>
          <cell r="B5418">
            <v>543515</v>
          </cell>
          <cell r="C5418" t="str">
            <v>SEML</v>
          </cell>
        </row>
        <row r="5419">
          <cell r="A5419" t="str">
            <v>Dhyaani Tile and Marblez Ltd</v>
          </cell>
          <cell r="B5419">
            <v>543516</v>
          </cell>
          <cell r="C5419" t="str">
            <v>DHYAANI</v>
          </cell>
        </row>
        <row r="5420">
          <cell r="A5420" t="str">
            <v>Hariom Pipe Industries Ltd</v>
          </cell>
          <cell r="B5420">
            <v>543517</v>
          </cell>
          <cell r="C5420" t="str">
            <v>HARIOMPIPE</v>
          </cell>
        </row>
        <row r="5421">
          <cell r="A5421" t="str">
            <v>Eighty Jewellers Ltd</v>
          </cell>
          <cell r="B5421">
            <v>543518</v>
          </cell>
          <cell r="C5421" t="str">
            <v>EIGHTY</v>
          </cell>
        </row>
        <row r="5422">
          <cell r="A5422" t="str">
            <v>Shashwat Furnishing Solutions Ltd</v>
          </cell>
          <cell r="B5422">
            <v>543519</v>
          </cell>
          <cell r="C5422" t="str">
            <v>SFSL</v>
          </cell>
        </row>
        <row r="5423">
          <cell r="A5423" t="str">
            <v>Global Longlife Hospital and Research Ltd</v>
          </cell>
          <cell r="B5423">
            <v>543520</v>
          </cell>
          <cell r="C5423" t="str">
            <v>GLHRL</v>
          </cell>
        </row>
        <row r="5424">
          <cell r="A5424" t="str">
            <v>Fone4 Communications (India) Ltd</v>
          </cell>
          <cell r="B5424">
            <v>543521</v>
          </cell>
          <cell r="C5424" t="str">
            <v>FONE4</v>
          </cell>
        </row>
        <row r="5425">
          <cell r="A5425" t="str">
            <v>Nanavati Ventures Ltd</v>
          </cell>
          <cell r="B5425">
            <v>543522</v>
          </cell>
          <cell r="C5425" t="str">
            <v>NVENTURES</v>
          </cell>
        </row>
        <row r="5426">
          <cell r="A5426" t="str">
            <v>Campus Activewear Ltd</v>
          </cell>
          <cell r="B5426">
            <v>543523</v>
          </cell>
          <cell r="C5426" t="str">
            <v>CAMPUS</v>
          </cell>
        </row>
        <row r="5427">
          <cell r="A5427" t="str">
            <v>Rainbow Children's Medicare Ltd</v>
          </cell>
          <cell r="B5427">
            <v>543524</v>
          </cell>
          <cell r="C5427" t="str">
            <v>RAINBOW</v>
          </cell>
        </row>
        <row r="5428">
          <cell r="A5428" t="str">
            <v>Silver Touch Technologies Ltd</v>
          </cell>
          <cell r="B5428">
            <v>543525</v>
          </cell>
          <cell r="C5428" t="str">
            <v>SILVERTUC</v>
          </cell>
        </row>
        <row r="5429">
          <cell r="A5429" t="str">
            <v>Life Insurance Corporation of India</v>
          </cell>
          <cell r="B5429">
            <v>543526</v>
          </cell>
          <cell r="C5429" t="str">
            <v>LICI</v>
          </cell>
        </row>
        <row r="5430">
          <cell r="A5430" t="str">
            <v>Prudent Corporate Advisory Services Ltd</v>
          </cell>
          <cell r="B5430">
            <v>543527</v>
          </cell>
          <cell r="C5430" t="str">
            <v>PRUDENT</v>
          </cell>
        </row>
        <row r="5431">
          <cell r="A5431" t="str">
            <v>Venus Pipes &amp; Tubes Ltd</v>
          </cell>
          <cell r="B5431">
            <v>543528</v>
          </cell>
          <cell r="C5431" t="str">
            <v>VENUSPIPES</v>
          </cell>
        </row>
        <row r="5432">
          <cell r="A5432" t="str">
            <v>Delhivery Ltd</v>
          </cell>
          <cell r="B5432">
            <v>543529</v>
          </cell>
          <cell r="C5432" t="str">
            <v>DELHIVERY</v>
          </cell>
        </row>
        <row r="5433">
          <cell r="A5433" t="str">
            <v>Paradeep Phosphates Ltd</v>
          </cell>
          <cell r="B5433">
            <v>543530</v>
          </cell>
          <cell r="C5433" t="str">
            <v>PARADEEP</v>
          </cell>
        </row>
        <row r="5434">
          <cell r="A5434" t="str">
            <v>Tierra Agrotech Ltd</v>
          </cell>
          <cell r="B5434">
            <v>543531</v>
          </cell>
          <cell r="C5434" t="str">
            <v>TIERRA</v>
          </cell>
        </row>
        <row r="5435">
          <cell r="A5435" t="str">
            <v>Ethos Ltd</v>
          </cell>
          <cell r="B5435">
            <v>543532</v>
          </cell>
          <cell r="C5435" t="str">
            <v>ETHOSLTD</v>
          </cell>
        </row>
        <row r="5436">
          <cell r="A5436" t="str">
            <v>eMudhra Ltd</v>
          </cell>
          <cell r="B5436">
            <v>543533</v>
          </cell>
          <cell r="C5436" t="str">
            <v>EMUDHRA</v>
          </cell>
        </row>
        <row r="5437">
          <cell r="A5437" t="str">
            <v>Aether Industries Ltd</v>
          </cell>
          <cell r="B5437">
            <v>543534</v>
          </cell>
          <cell r="C5437" t="str">
            <v>AETHER</v>
          </cell>
        </row>
        <row r="5438">
          <cell r="A5438" t="str">
            <v>We Win Ltd</v>
          </cell>
          <cell r="B5438">
            <v>543535</v>
          </cell>
          <cell r="C5438" t="str">
            <v>WEWIN</v>
          </cell>
        </row>
        <row r="5439">
          <cell r="A5439" t="str">
            <v>Silver Pearl Hospitality &amp; Luxury Spaces Ltd</v>
          </cell>
          <cell r="B5439">
            <v>543536</v>
          </cell>
          <cell r="C5439" t="str">
            <v>SILVERPRL</v>
          </cell>
        </row>
        <row r="5440">
          <cell r="A5440" t="str">
            <v>Kotak Banking ETF - Dividend Payout Option</v>
          </cell>
          <cell r="B5440">
            <v>590136</v>
          </cell>
          <cell r="C5440" t="str">
            <v>KOTAKBKETF</v>
          </cell>
        </row>
        <row r="5441">
          <cell r="A5441" t="str">
            <v>SBI-ETF NIFTY BANK</v>
          </cell>
          <cell r="B5441">
            <v>590137</v>
          </cell>
          <cell r="C5441" t="str">
            <v>SETFNIFBK</v>
          </cell>
        </row>
        <row r="5442">
          <cell r="A5442" t="str">
            <v>SBI-ETF NIFTY 50</v>
          </cell>
          <cell r="B5442">
            <v>590138</v>
          </cell>
          <cell r="C5442" t="str">
            <v>SETFNIF50</v>
          </cell>
        </row>
      </sheetData>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BBC66-1698-4E05-9422-7A1434054DB1}">
  <sheetPr>
    <tabColor rgb="FF4DA42E"/>
  </sheetPr>
  <dimension ref="A2:O109"/>
  <sheetViews>
    <sheetView showGridLines="0" tabSelected="1" workbookViewId="0">
      <pane xSplit="1" ySplit="3" topLeftCell="B4" activePane="bottomRight" state="frozen"/>
      <selection activeCell="F14" sqref="F14"/>
      <selection pane="topRight" activeCell="F14" sqref="F14"/>
      <selection pane="bottomLeft" activeCell="F14" sqref="F14"/>
      <selection pane="bottomRight" activeCell="P2" sqref="P2"/>
    </sheetView>
  </sheetViews>
  <sheetFormatPr defaultRowHeight="14.4" x14ac:dyDescent="0.3"/>
  <cols>
    <col min="1" max="1" width="2.77734375" customWidth="1"/>
    <col min="2" max="2" width="24.6640625" bestFit="1" customWidth="1"/>
    <col min="3" max="14" width="11.88671875" bestFit="1" customWidth="1"/>
    <col min="15" max="15" width="9.6640625" bestFit="1" customWidth="1"/>
  </cols>
  <sheetData>
    <row r="2" spans="1:14" x14ac:dyDescent="0.3">
      <c r="B2" s="246" t="str">
        <f>"Historical Financial Statements - "&amp;'Raw Data Trent Ltd'!$B$1&amp;"."</f>
        <v>Historical Financial Statements - TRENT LTD.</v>
      </c>
      <c r="C2" s="246"/>
      <c r="D2" s="246"/>
      <c r="E2" s="246"/>
      <c r="F2" s="246"/>
      <c r="G2" s="246"/>
      <c r="H2" s="246"/>
      <c r="I2" s="246"/>
      <c r="J2" s="246"/>
      <c r="K2" s="246"/>
      <c r="L2" s="246"/>
      <c r="M2" s="246"/>
    </row>
    <row r="3" spans="1:14" x14ac:dyDescent="0.3">
      <c r="B3" s="255" t="s">
        <v>82</v>
      </c>
      <c r="C3" s="256">
        <f>'Raw Data Trent Ltd'!B16</f>
        <v>42825</v>
      </c>
      <c r="D3" s="256">
        <f>C3+365</f>
        <v>43190</v>
      </c>
      <c r="E3" s="256">
        <f t="shared" ref="E3:L3" si="0">D3+365</f>
        <v>43555</v>
      </c>
      <c r="F3" s="256">
        <f t="shared" si="0"/>
        <v>43920</v>
      </c>
      <c r="G3" s="256">
        <f t="shared" si="0"/>
        <v>44285</v>
      </c>
      <c r="H3" s="256">
        <f t="shared" si="0"/>
        <v>44650</v>
      </c>
      <c r="I3" s="256">
        <f t="shared" si="0"/>
        <v>45015</v>
      </c>
      <c r="J3" s="256">
        <f t="shared" si="0"/>
        <v>45380</v>
      </c>
      <c r="K3" s="256">
        <f t="shared" si="0"/>
        <v>45745</v>
      </c>
      <c r="L3" s="256">
        <f t="shared" si="0"/>
        <v>46110</v>
      </c>
      <c r="M3" s="257" t="s">
        <v>83</v>
      </c>
    </row>
    <row r="4" spans="1:14" x14ac:dyDescent="0.3">
      <c r="B4" s="22"/>
      <c r="C4" s="23"/>
      <c r="D4" s="23"/>
      <c r="E4" s="23"/>
      <c r="F4" s="23"/>
      <c r="G4" s="23"/>
      <c r="H4" s="23"/>
      <c r="I4" s="23"/>
      <c r="J4" s="23"/>
      <c r="K4" s="23"/>
      <c r="L4" s="23"/>
      <c r="M4" s="24"/>
    </row>
    <row r="5" spans="1:14" x14ac:dyDescent="0.3">
      <c r="A5" t="s">
        <v>29</v>
      </c>
      <c r="B5" s="259" t="s">
        <v>84</v>
      </c>
      <c r="C5" s="258"/>
      <c r="D5" s="258"/>
      <c r="E5" s="258"/>
      <c r="F5" s="258"/>
      <c r="G5" s="258"/>
      <c r="H5" s="258"/>
      <c r="I5" s="258"/>
      <c r="J5" s="258"/>
      <c r="K5" s="258"/>
      <c r="L5" s="258"/>
      <c r="M5" s="258"/>
    </row>
    <row r="6" spans="1:14" x14ac:dyDescent="0.3">
      <c r="B6" t="s">
        <v>42</v>
      </c>
      <c r="C6" s="25">
        <f>IFERROR('Raw Data Trent Ltd'!B17,0)</f>
        <v>1812.44</v>
      </c>
      <c r="D6" s="25">
        <f>IFERROR('Raw Data Trent Ltd'!C17,0)</f>
        <v>2157.46</v>
      </c>
      <c r="E6" s="25">
        <f>IFERROR('Raw Data Trent Ltd'!D17,0)</f>
        <v>2630.24</v>
      </c>
      <c r="F6" s="25">
        <f>IFERROR('Raw Data Trent Ltd'!E17,0)</f>
        <v>3485.98</v>
      </c>
      <c r="G6" s="25">
        <f>IFERROR('Raw Data Trent Ltd'!F17,0)</f>
        <v>2592.96</v>
      </c>
      <c r="H6" s="25">
        <f>IFERROR('Raw Data Trent Ltd'!G17,0)</f>
        <v>4498.0200000000004</v>
      </c>
      <c r="I6" s="25">
        <f>IFERROR('Raw Data Trent Ltd'!H17,0)</f>
        <v>8242.02</v>
      </c>
      <c r="J6" s="25">
        <f>IFERROR('Raw Data Trent Ltd'!I17,0)</f>
        <v>12375.11</v>
      </c>
      <c r="K6" s="25">
        <f>IFERROR('Raw Data Trent Ltd'!J17,0)</f>
        <v>17134.61</v>
      </c>
      <c r="L6" s="25">
        <f>IFERROR('Raw Data Trent Ltd'!K17,0)</f>
        <v>20074.21</v>
      </c>
      <c r="M6" s="25">
        <f>IFERROR(SUM('Raw Data Trent Ltd'!H42:K42),0)</f>
        <v>20074.21</v>
      </c>
      <c r="N6" s="25"/>
    </row>
    <row r="7" spans="1:14" x14ac:dyDescent="0.3">
      <c r="B7" s="26" t="s">
        <v>85</v>
      </c>
      <c r="C7" s="26"/>
      <c r="D7" s="27">
        <f>(D6/C6)-1</f>
        <v>0.19036216371300574</v>
      </c>
      <c r="E7" s="27">
        <f t="shared" ref="E7:M7" si="1">(E6/D6)-1</f>
        <v>0.21913731888424337</v>
      </c>
      <c r="F7" s="27">
        <f t="shared" si="1"/>
        <v>0.32534673641949041</v>
      </c>
      <c r="G7" s="27">
        <f t="shared" si="1"/>
        <v>-0.25617473422107984</v>
      </c>
      <c r="H7" s="27">
        <f t="shared" si="1"/>
        <v>0.73470473898556099</v>
      </c>
      <c r="I7" s="27">
        <f t="shared" si="1"/>
        <v>0.83236624114610414</v>
      </c>
      <c r="J7" s="27">
        <f t="shared" si="1"/>
        <v>0.50146566011730132</v>
      </c>
      <c r="K7" s="27">
        <f t="shared" si="1"/>
        <v>0.38460264191591031</v>
      </c>
      <c r="L7" s="27">
        <f t="shared" si="1"/>
        <v>0.17155920093891819</v>
      </c>
      <c r="M7" s="27">
        <f t="shared" si="1"/>
        <v>0</v>
      </c>
    </row>
    <row r="9" spans="1:14" x14ac:dyDescent="0.3">
      <c r="B9" t="s">
        <v>86</v>
      </c>
      <c r="C9" s="25">
        <f>IFERROR(SUM('Raw Data Trent Ltd'!B18,'Raw Data Trent Ltd'!B20:B22)-1*'Raw Data Trent Ltd'!B19,0)</f>
        <v>1209.2700000000002</v>
      </c>
      <c r="D9" s="25">
        <f>IFERROR(SUM('Raw Data Trent Ltd'!C18,'Raw Data Trent Ltd'!C20:C22)-1*'Raw Data Trent Ltd'!C19,0)</f>
        <v>1408.06</v>
      </c>
      <c r="E9" s="25">
        <f>IFERROR(SUM('Raw Data Trent Ltd'!D18,'Raw Data Trent Ltd'!D20:D22)-1*'Raw Data Trent Ltd'!D19,0)</f>
        <v>1781.6</v>
      </c>
      <c r="F9" s="25">
        <f>IFERROR(SUM('Raw Data Trent Ltd'!E18,'Raw Data Trent Ltd'!E20:E22)-1*'Raw Data Trent Ltd'!E19,0)</f>
        <v>2406.9100000000003</v>
      </c>
      <c r="G9" s="25">
        <f>IFERROR(SUM('Raw Data Trent Ltd'!F18,'Raw Data Trent Ltd'!F20:F22)-1*'Raw Data Trent Ltd'!F19,0)</f>
        <v>1978.8100000000004</v>
      </c>
      <c r="H9" s="25">
        <f>IFERROR(SUM('Raw Data Trent Ltd'!G18,'Raw Data Trent Ltd'!G20:G22)-1*'Raw Data Trent Ltd'!G19,0)</f>
        <v>3083.49</v>
      </c>
      <c r="I9" s="25">
        <f>IFERROR(SUM('Raw Data Trent Ltd'!H18,'Raw Data Trent Ltd'!H20:H22)-1*'Raw Data Trent Ltd'!H19,0)</f>
        <v>5735.079999999999</v>
      </c>
      <c r="J9" s="25">
        <f>IFERROR(SUM('Raw Data Trent Ltd'!I18,'Raw Data Trent Ltd'!I20:I22)-1*'Raw Data Trent Ltd'!I19,0)</f>
        <v>8494.380000000001</v>
      </c>
      <c r="K9" s="25">
        <f>IFERROR(SUM('Raw Data Trent Ltd'!J18,'Raw Data Trent Ltd'!J20:J22)-1*'Raw Data Trent Ltd'!J19,0)</f>
        <v>11724.34</v>
      </c>
      <c r="L9" s="25">
        <f>IFERROR(SUM('Raw Data Trent Ltd'!K18,'Raw Data Trent Ltd'!K20:K22)-1*'Raw Data Trent Ltd'!K19,0)</f>
        <v>12620.199999999999</v>
      </c>
      <c r="M9" s="25">
        <f>IFERROR(SUM('Raw Data Trent Ltd'!H43:K43),0)</f>
        <v>16418</v>
      </c>
      <c r="N9" s="25"/>
    </row>
    <row r="10" spans="1:14" x14ac:dyDescent="0.3">
      <c r="B10" s="28" t="s">
        <v>87</v>
      </c>
      <c r="C10" s="29">
        <f>C9/C6</f>
        <v>0.66720553507978209</v>
      </c>
      <c r="D10" s="29">
        <f t="shared" ref="D10:M10" si="2">D9/D6</f>
        <v>0.65264709426825984</v>
      </c>
      <c r="E10" s="29">
        <f t="shared" si="2"/>
        <v>0.67735263702171666</v>
      </c>
      <c r="F10" s="29">
        <f t="shared" si="2"/>
        <v>0.69045433421878499</v>
      </c>
      <c r="G10" s="29">
        <f t="shared" si="2"/>
        <v>0.76314713686289048</v>
      </c>
      <c r="H10" s="29">
        <f t="shared" si="2"/>
        <v>0.68552162951698736</v>
      </c>
      <c r="I10" s="29">
        <f t="shared" si="2"/>
        <v>0.6958342736368025</v>
      </c>
      <c r="J10" s="29">
        <f t="shared" si="2"/>
        <v>0.68640844404615398</v>
      </c>
      <c r="K10" s="29">
        <f t="shared" si="2"/>
        <v>0.68424901412988093</v>
      </c>
      <c r="L10" s="29">
        <f t="shared" si="2"/>
        <v>0.62867729290467722</v>
      </c>
      <c r="M10" s="29">
        <f t="shared" si="2"/>
        <v>0.81786531076440872</v>
      </c>
    </row>
    <row r="12" spans="1:14" x14ac:dyDescent="0.3">
      <c r="B12" s="30" t="s">
        <v>88</v>
      </c>
      <c r="C12" s="31">
        <f>C6-C9</f>
        <v>603.16999999999985</v>
      </c>
      <c r="D12" s="31">
        <f t="shared" ref="D12:M12" si="3">D6-D9</f>
        <v>749.40000000000009</v>
      </c>
      <c r="E12" s="31">
        <f t="shared" si="3"/>
        <v>848.63999999999987</v>
      </c>
      <c r="F12" s="31">
        <f t="shared" si="3"/>
        <v>1079.0699999999997</v>
      </c>
      <c r="G12" s="31">
        <f t="shared" si="3"/>
        <v>614.14999999999964</v>
      </c>
      <c r="H12" s="31">
        <f t="shared" si="3"/>
        <v>1414.5300000000007</v>
      </c>
      <c r="I12" s="31">
        <f t="shared" si="3"/>
        <v>2506.9400000000014</v>
      </c>
      <c r="J12" s="31">
        <f t="shared" si="3"/>
        <v>3880.7299999999996</v>
      </c>
      <c r="K12" s="31">
        <f t="shared" si="3"/>
        <v>5410.27</v>
      </c>
      <c r="L12" s="31">
        <f t="shared" si="3"/>
        <v>7454.01</v>
      </c>
      <c r="M12" s="31">
        <f t="shared" si="3"/>
        <v>3656.2099999999991</v>
      </c>
      <c r="N12" s="25"/>
    </row>
    <row r="13" spans="1:14" x14ac:dyDescent="0.3">
      <c r="B13" s="28" t="s">
        <v>160</v>
      </c>
      <c r="C13" s="29">
        <f>C12/C6</f>
        <v>0.33279446492021797</v>
      </c>
      <c r="D13" s="29">
        <f t="shared" ref="D13:M13" si="4">D12/D6</f>
        <v>0.34735290573174016</v>
      </c>
      <c r="E13" s="29">
        <f t="shared" si="4"/>
        <v>0.32264736297828334</v>
      </c>
      <c r="F13" s="29">
        <f t="shared" si="4"/>
        <v>0.30954566578121495</v>
      </c>
      <c r="G13" s="29">
        <f t="shared" si="4"/>
        <v>0.23685286313710957</v>
      </c>
      <c r="H13" s="29">
        <f t="shared" si="4"/>
        <v>0.31447837048301264</v>
      </c>
      <c r="I13" s="29">
        <f t="shared" si="4"/>
        <v>0.30416572636319755</v>
      </c>
      <c r="J13" s="29">
        <f t="shared" si="4"/>
        <v>0.31359155595384602</v>
      </c>
      <c r="K13" s="29">
        <f t="shared" si="4"/>
        <v>0.31575098587011902</v>
      </c>
      <c r="L13" s="29">
        <f t="shared" si="4"/>
        <v>0.37132270709532283</v>
      </c>
      <c r="M13" s="29">
        <f t="shared" si="4"/>
        <v>0.18213468923559131</v>
      </c>
    </row>
    <row r="15" spans="1:14" x14ac:dyDescent="0.3">
      <c r="B15" t="s">
        <v>89</v>
      </c>
      <c r="C15" s="32">
        <f>IFERROR(SUM('Raw Data Trent Ltd'!B23:B24),0)</f>
        <v>469.64</v>
      </c>
      <c r="D15" s="32">
        <f>IFERROR(SUM('Raw Data Trent Ltd'!C23:C24),0)</f>
        <v>540.9</v>
      </c>
      <c r="E15" s="32">
        <f>IFERROR(SUM('Raw Data Trent Ltd'!D23:D24),0)</f>
        <v>608</v>
      </c>
      <c r="F15" s="32">
        <f>IFERROR(SUM('Raw Data Trent Ltd'!E23:E24),0)</f>
        <v>550.1</v>
      </c>
      <c r="G15" s="32">
        <f>IFERROR(SUM('Raw Data Trent Ltd'!F23:F24),0)</f>
        <v>500.28</v>
      </c>
      <c r="H15" s="32">
        <f>IFERROR(SUM('Raw Data Trent Ltd'!G23:G24),0)</f>
        <v>819.81</v>
      </c>
      <c r="I15" s="32">
        <f>IFERROR(SUM('Raw Data Trent Ltd'!H23:H24),0)</f>
        <v>1392.79</v>
      </c>
      <c r="J15" s="32">
        <f>IFERROR(SUM('Raw Data Trent Ltd'!I23:I24),0)</f>
        <v>1910.04</v>
      </c>
      <c r="K15" s="32">
        <f>IFERROR(SUM('Raw Data Trent Ltd'!J23:J24),0)</f>
        <v>2590.31</v>
      </c>
      <c r="L15" s="32">
        <f>IFERROR(SUM('Raw Data Trent Ltd'!K23:K24),0)</f>
        <v>3780.62</v>
      </c>
      <c r="N15" s="25"/>
    </row>
    <row r="16" spans="1:14" x14ac:dyDescent="0.3">
      <c r="B16" s="28" t="s">
        <v>90</v>
      </c>
      <c r="C16" s="29">
        <f>C15/C6</f>
        <v>0.25912030191344265</v>
      </c>
      <c r="D16" s="29">
        <f t="shared" ref="D16:L16" si="5">D15/D6</f>
        <v>0.25071148480157218</v>
      </c>
      <c r="E16" s="29">
        <f t="shared" si="5"/>
        <v>0.23115761299349111</v>
      </c>
      <c r="F16" s="29">
        <f t="shared" si="5"/>
        <v>0.1578035444839041</v>
      </c>
      <c r="G16" s="29">
        <f t="shared" si="5"/>
        <v>0.19293780081451312</v>
      </c>
      <c r="H16" s="29">
        <f t="shared" si="5"/>
        <v>0.18226019448557362</v>
      </c>
      <c r="I16" s="29">
        <f t="shared" si="5"/>
        <v>0.16898648632252772</v>
      </c>
      <c r="J16" s="29">
        <f t="shared" si="5"/>
        <v>0.15434529470849148</v>
      </c>
      <c r="K16" s="29">
        <f t="shared" si="5"/>
        <v>0.15117414402778936</v>
      </c>
      <c r="L16" s="29">
        <f t="shared" si="5"/>
        <v>0.18833219339640264</v>
      </c>
    </row>
    <row r="18" spans="2:15" x14ac:dyDescent="0.3">
      <c r="B18" s="30" t="s">
        <v>91</v>
      </c>
      <c r="C18" s="31">
        <f>C12-C15</f>
        <v>133.52999999999986</v>
      </c>
      <c r="D18" s="31">
        <f t="shared" ref="D18:L18" si="6">D12-D15</f>
        <v>208.50000000000011</v>
      </c>
      <c r="E18" s="31">
        <f t="shared" si="6"/>
        <v>240.63999999999987</v>
      </c>
      <c r="F18" s="31">
        <f t="shared" si="6"/>
        <v>528.96999999999969</v>
      </c>
      <c r="G18" s="31">
        <f t="shared" si="6"/>
        <v>113.86999999999966</v>
      </c>
      <c r="H18" s="31">
        <f t="shared" si="6"/>
        <v>594.72000000000071</v>
      </c>
      <c r="I18" s="31">
        <f t="shared" si="6"/>
        <v>1114.1500000000015</v>
      </c>
      <c r="J18" s="31">
        <f t="shared" si="6"/>
        <v>1970.6899999999996</v>
      </c>
      <c r="K18" s="31">
        <f t="shared" si="6"/>
        <v>2819.9600000000005</v>
      </c>
      <c r="L18" s="31">
        <f t="shared" si="6"/>
        <v>3673.3900000000003</v>
      </c>
      <c r="M18" s="31">
        <f>IFERROR(SUM('Raw Data Trent Ltd'!H51:K51),0)</f>
        <v>3764.34</v>
      </c>
      <c r="N18" s="25"/>
    </row>
    <row r="19" spans="2:15" x14ac:dyDescent="0.3">
      <c r="B19" s="28" t="s">
        <v>92</v>
      </c>
      <c r="C19" s="29">
        <f>C18/C6</f>
        <v>7.3674163006775317E-2</v>
      </c>
      <c r="D19" s="29">
        <f t="shared" ref="D19:M19" si="7">D18/D6</f>
        <v>9.6641420930167934E-2</v>
      </c>
      <c r="E19" s="29">
        <f t="shared" si="7"/>
        <v>9.1489749984792215E-2</v>
      </c>
      <c r="F19" s="29">
        <f t="shared" si="7"/>
        <v>0.15174212129731085</v>
      </c>
      <c r="G19" s="29">
        <f t="shared" si="7"/>
        <v>4.391506232259644E-2</v>
      </c>
      <c r="H19" s="29">
        <f t="shared" si="7"/>
        <v>0.13221817599743901</v>
      </c>
      <c r="I19" s="29">
        <f t="shared" si="7"/>
        <v>0.13517924004066981</v>
      </c>
      <c r="J19" s="29">
        <f t="shared" si="7"/>
        <v>0.15924626124535454</v>
      </c>
      <c r="K19" s="29">
        <f t="shared" si="7"/>
        <v>0.16457684184232968</v>
      </c>
      <c r="L19" s="29">
        <f t="shared" si="7"/>
        <v>0.18299051369892019</v>
      </c>
      <c r="M19" s="29">
        <f t="shared" si="7"/>
        <v>0.18752120257783497</v>
      </c>
    </row>
    <row r="21" spans="2:15" x14ac:dyDescent="0.3">
      <c r="B21" t="s">
        <v>93</v>
      </c>
      <c r="C21" s="32">
        <f>IFERROR('Raw Data Trent Ltd'!B27,0)</f>
        <v>45.55</v>
      </c>
      <c r="D21" s="32">
        <f>IFERROR('Raw Data Trent Ltd'!C27,0)</f>
        <v>43.78</v>
      </c>
      <c r="E21" s="32">
        <f>IFERROR('Raw Data Trent Ltd'!D27,0)</f>
        <v>50.64</v>
      </c>
      <c r="F21" s="32">
        <f>IFERROR('Raw Data Trent Ltd'!E27,0)</f>
        <v>263.37</v>
      </c>
      <c r="G21" s="32">
        <f>IFERROR('Raw Data Trent Ltd'!F27,0)</f>
        <v>260.79000000000002</v>
      </c>
      <c r="H21" s="32">
        <f>IFERROR('Raw Data Trent Ltd'!G27,0)</f>
        <v>324.83999999999997</v>
      </c>
      <c r="I21" s="32">
        <f>IFERROR('Raw Data Trent Ltd'!H27,0)</f>
        <v>408.99</v>
      </c>
      <c r="J21" s="32">
        <f>IFERROR('Raw Data Trent Ltd'!I27,0)</f>
        <v>367.66</v>
      </c>
      <c r="K21" s="32">
        <f>IFERROR('Raw Data Trent Ltd'!J27,0)</f>
        <v>200.1</v>
      </c>
      <c r="L21" s="32">
        <f>IFERROR('Raw Data Trent Ltd'!K27,0)</f>
        <v>168.35</v>
      </c>
      <c r="M21" s="32">
        <f>IFERROR(SUM('Raw Data Trent Ltd'!H46:K46),0)</f>
        <v>168.35</v>
      </c>
      <c r="N21" s="25"/>
    </row>
    <row r="22" spans="2:15" x14ac:dyDescent="0.3">
      <c r="B22" s="28" t="s">
        <v>94</v>
      </c>
      <c r="C22" s="29">
        <f>C21/C6</f>
        <v>2.51318664341992E-2</v>
      </c>
      <c r="D22" s="29">
        <f t="shared" ref="D22:M22" si="8">D21/D6</f>
        <v>2.0292380855264986E-2</v>
      </c>
      <c r="E22" s="29">
        <f t="shared" si="8"/>
        <v>1.9252995924326298E-2</v>
      </c>
      <c r="F22" s="29">
        <f t="shared" si="8"/>
        <v>7.5551207981686644E-2</v>
      </c>
      <c r="G22" s="29">
        <f t="shared" si="8"/>
        <v>0.10057617549055906</v>
      </c>
      <c r="H22" s="29">
        <f t="shared" si="8"/>
        <v>7.2218442781490505E-2</v>
      </c>
      <c r="I22" s="29">
        <f t="shared" si="8"/>
        <v>4.9622543988002941E-2</v>
      </c>
      <c r="J22" s="29">
        <f t="shared" si="8"/>
        <v>2.9709634904255398E-2</v>
      </c>
      <c r="K22" s="29">
        <f t="shared" si="8"/>
        <v>1.1678118148005703E-2</v>
      </c>
      <c r="L22" s="29">
        <f t="shared" si="8"/>
        <v>8.3863823283705802E-3</v>
      </c>
      <c r="M22" s="29">
        <f t="shared" si="8"/>
        <v>8.3863823283705802E-3</v>
      </c>
    </row>
    <row r="24" spans="2:15" x14ac:dyDescent="0.3">
      <c r="B24" t="s">
        <v>95</v>
      </c>
      <c r="C24" s="32">
        <f>IFERROR('Raw Data Trent Ltd'!B26,0)</f>
        <v>41.29</v>
      </c>
      <c r="D24" s="32">
        <f>IFERROR('Raw Data Trent Ltd'!C26,0)</f>
        <v>45.53</v>
      </c>
      <c r="E24" s="32">
        <f>IFERROR('Raw Data Trent Ltd'!D26,0)</f>
        <v>51.67</v>
      </c>
      <c r="F24" s="32">
        <f>IFERROR('Raw Data Trent Ltd'!E26,0)</f>
        <v>247.24</v>
      </c>
      <c r="G24" s="32">
        <f>IFERROR('Raw Data Trent Ltd'!F26,0)</f>
        <v>257.3</v>
      </c>
      <c r="H24" s="32">
        <f>IFERROR('Raw Data Trent Ltd'!G26,0)</f>
        <v>310.82</v>
      </c>
      <c r="I24" s="32">
        <f>IFERROR('Raw Data Trent Ltd'!H26,0)</f>
        <v>493.69</v>
      </c>
      <c r="J24" s="32">
        <f>IFERROR('Raw Data Trent Ltd'!I26,0)</f>
        <v>671.11</v>
      </c>
      <c r="K24" s="32">
        <f>IFERROR('Raw Data Trent Ltd'!J26,0)</f>
        <v>895.18</v>
      </c>
      <c r="L24" s="32">
        <f>IFERROR('Raw Data Trent Ltd'!K26,0)</f>
        <v>1361.19</v>
      </c>
      <c r="M24" s="32">
        <f>IFERROR(SUM('Raw Data Trent Ltd'!H45:K45),0)</f>
        <v>1361.19</v>
      </c>
      <c r="N24" s="25"/>
    </row>
    <row r="25" spans="2:15" x14ac:dyDescent="0.3">
      <c r="B25" s="28" t="s">
        <v>96</v>
      </c>
      <c r="C25" s="29">
        <f>C24/C6</f>
        <v>2.278144379951888E-2</v>
      </c>
      <c r="D25" s="29">
        <f t="shared" ref="D25:M25" si="9">D24/D6</f>
        <v>2.1103519879858722E-2</v>
      </c>
      <c r="E25" s="29">
        <f t="shared" si="9"/>
        <v>1.9644595170022511E-2</v>
      </c>
      <c r="F25" s="29">
        <f t="shared" si="9"/>
        <v>7.092410168733039E-2</v>
      </c>
      <c r="G25" s="29">
        <f t="shared" si="9"/>
        <v>9.9230223374058998E-2</v>
      </c>
      <c r="H25" s="29">
        <f t="shared" si="9"/>
        <v>6.9101515778053443E-2</v>
      </c>
      <c r="I25" s="29">
        <f t="shared" si="9"/>
        <v>5.9899150936299592E-2</v>
      </c>
      <c r="J25" s="29">
        <f t="shared" si="9"/>
        <v>5.4230629061075009E-2</v>
      </c>
      <c r="K25" s="29">
        <f t="shared" si="9"/>
        <v>5.2243967035141149E-2</v>
      </c>
      <c r="L25" s="29">
        <f t="shared" si="9"/>
        <v>6.7807898791534024E-2</v>
      </c>
      <c r="M25" s="29">
        <f t="shared" si="9"/>
        <v>6.7807898791534024E-2</v>
      </c>
    </row>
    <row r="27" spans="2:15" x14ac:dyDescent="0.3">
      <c r="B27" s="30" t="s">
        <v>97</v>
      </c>
      <c r="C27" s="33">
        <f>IFERROR(C18-SUM(C21,C24),0)</f>
        <v>46.689999999999856</v>
      </c>
      <c r="D27" s="33">
        <f t="shared" ref="D27:M27" si="10">IFERROR(D18-SUM(D21,D24),0)</f>
        <v>119.19000000000011</v>
      </c>
      <c r="E27" s="33">
        <f t="shared" si="10"/>
        <v>138.32999999999987</v>
      </c>
      <c r="F27" s="33">
        <f t="shared" si="10"/>
        <v>18.359999999999673</v>
      </c>
      <c r="G27" s="33">
        <f t="shared" si="10"/>
        <v>-404.22000000000037</v>
      </c>
      <c r="H27" s="33">
        <f t="shared" si="10"/>
        <v>-40.939999999999259</v>
      </c>
      <c r="I27" s="33">
        <f t="shared" si="10"/>
        <v>211.47000000000139</v>
      </c>
      <c r="J27" s="33">
        <f t="shared" si="10"/>
        <v>931.91999999999962</v>
      </c>
      <c r="K27" s="33">
        <f t="shared" si="10"/>
        <v>1724.6800000000005</v>
      </c>
      <c r="L27" s="33">
        <f t="shared" si="10"/>
        <v>2143.8500000000004</v>
      </c>
      <c r="M27" s="33">
        <f t="shared" si="10"/>
        <v>2234.8000000000002</v>
      </c>
      <c r="N27" s="25"/>
      <c r="O27" s="59"/>
    </row>
    <row r="28" spans="2:15" x14ac:dyDescent="0.3">
      <c r="B28" s="28" t="s">
        <v>98</v>
      </c>
      <c r="C28" s="29">
        <f>C27/C6</f>
        <v>2.5760852773057234E-2</v>
      </c>
      <c r="D28" s="29">
        <f t="shared" ref="D28:M28" si="11">D27/D6</f>
        <v>5.5245520195044223E-2</v>
      </c>
      <c r="E28" s="29">
        <f t="shared" si="11"/>
        <v>5.2592158890443413E-2</v>
      </c>
      <c r="F28" s="29">
        <f t="shared" si="11"/>
        <v>5.2668116282938151E-3</v>
      </c>
      <c r="G28" s="29">
        <f t="shared" si="11"/>
        <v>-0.15589133654202161</v>
      </c>
      <c r="H28" s="29">
        <f t="shared" si="11"/>
        <v>-9.1017825621049382E-3</v>
      </c>
      <c r="I28" s="29">
        <f t="shared" si="11"/>
        <v>2.565754511636727E-2</v>
      </c>
      <c r="J28" s="29">
        <f t="shared" si="11"/>
        <v>7.5305997280024142E-2</v>
      </c>
      <c r="K28" s="29">
        <f t="shared" si="11"/>
        <v>0.10065475665918282</v>
      </c>
      <c r="L28" s="29">
        <f t="shared" si="11"/>
        <v>0.10679623257901559</v>
      </c>
      <c r="M28" s="29">
        <f t="shared" si="11"/>
        <v>0.11132692145793037</v>
      </c>
    </row>
    <row r="30" spans="2:15" x14ac:dyDescent="0.3">
      <c r="B30" t="s">
        <v>99</v>
      </c>
      <c r="C30" s="25">
        <f>IFERROR('Raw Data Trent Ltd'!B29,0)</f>
        <v>43.05</v>
      </c>
      <c r="D30" s="25">
        <f>IFERROR('Raw Data Trent Ltd'!C29,0)</f>
        <v>59.62</v>
      </c>
      <c r="E30" s="25">
        <f>IFERROR('Raw Data Trent Ltd'!D29,0)</f>
        <v>73.61</v>
      </c>
      <c r="F30" s="25">
        <f>IFERROR('Raw Data Trent Ltd'!E29,0)</f>
        <v>59.01</v>
      </c>
      <c r="G30" s="25">
        <f>IFERROR('Raw Data Trent Ltd'!F29,0)</f>
        <v>-23.69</v>
      </c>
      <c r="H30" s="25">
        <f>IFERROR('Raw Data Trent Ltd'!G29,0)</f>
        <v>76.62</v>
      </c>
      <c r="I30" s="25">
        <f>IFERROR('Raw Data Trent Ltd'!H29,0)</f>
        <v>158.44</v>
      </c>
      <c r="J30" s="25">
        <f>IFERROR('Raw Data Trent Ltd'!I29,0)</f>
        <v>443.37</v>
      </c>
      <c r="K30" s="25">
        <f>IFERROR('Raw Data Trent Ltd'!J29,0)</f>
        <v>495.33</v>
      </c>
      <c r="L30" s="25">
        <f>IFERROR('Raw Data Trent Ltd'!K29,0)</f>
        <v>515.15</v>
      </c>
      <c r="M30" s="25">
        <f>IFERROR(SUM('Raw Data Trent Ltd'!H48:K48),0)</f>
        <v>515.15</v>
      </c>
      <c r="N30" s="25"/>
    </row>
    <row r="31" spans="2:15" x14ac:dyDescent="0.3">
      <c r="B31" s="29" t="s">
        <v>100</v>
      </c>
      <c r="C31" s="29">
        <f>C30/C27</f>
        <v>0.92203898050974786</v>
      </c>
      <c r="D31" s="29">
        <f t="shared" ref="D31:M31" si="12">D30/D27</f>
        <v>0.50020974914002803</v>
      </c>
      <c r="E31" s="29">
        <f t="shared" si="12"/>
        <v>0.53213330441697437</v>
      </c>
      <c r="F31" s="29">
        <f t="shared" si="12"/>
        <v>3.2140522875817568</v>
      </c>
      <c r="G31" s="29">
        <f t="shared" si="12"/>
        <v>5.8606699322151255E-2</v>
      </c>
      <c r="H31" s="29">
        <f t="shared" si="12"/>
        <v>-1.8715192965315435</v>
      </c>
      <c r="I31" s="29">
        <f t="shared" si="12"/>
        <v>0.74923156948975722</v>
      </c>
      <c r="J31" s="29">
        <f t="shared" si="12"/>
        <v>0.47575972186453791</v>
      </c>
      <c r="K31" s="29">
        <f t="shared" si="12"/>
        <v>0.28720110397291082</v>
      </c>
      <c r="L31" s="29">
        <f t="shared" si="12"/>
        <v>0.24029199804090767</v>
      </c>
      <c r="M31" s="29">
        <f t="shared" si="12"/>
        <v>0.23051279756577767</v>
      </c>
    </row>
    <row r="33" spans="1:14" x14ac:dyDescent="0.3">
      <c r="B33" s="30" t="s">
        <v>79</v>
      </c>
      <c r="C33" s="31">
        <f>IFERROR(C27-C30,0)</f>
        <v>3.6399999999998585</v>
      </c>
      <c r="D33" s="31">
        <f t="shared" ref="D33:M33" si="13">IFERROR(D27-D30,0)</f>
        <v>59.570000000000114</v>
      </c>
      <c r="E33" s="31">
        <f t="shared" si="13"/>
        <v>64.719999999999871</v>
      </c>
      <c r="F33" s="31">
        <f t="shared" si="13"/>
        <v>-40.650000000000325</v>
      </c>
      <c r="G33" s="31">
        <f t="shared" si="13"/>
        <v>-380.53000000000037</v>
      </c>
      <c r="H33" s="31">
        <f t="shared" si="13"/>
        <v>-117.55999999999926</v>
      </c>
      <c r="I33" s="31">
        <f t="shared" si="13"/>
        <v>53.030000000001394</v>
      </c>
      <c r="J33" s="31">
        <f t="shared" si="13"/>
        <v>488.54999999999961</v>
      </c>
      <c r="K33" s="31">
        <f t="shared" si="13"/>
        <v>1229.3500000000006</v>
      </c>
      <c r="L33" s="31">
        <f t="shared" si="13"/>
        <v>1628.7000000000003</v>
      </c>
      <c r="M33" s="31">
        <f t="shared" si="13"/>
        <v>1719.65</v>
      </c>
      <c r="N33" s="25"/>
    </row>
    <row r="34" spans="1:14" x14ac:dyDescent="0.3">
      <c r="B34" s="29" t="s">
        <v>101</v>
      </c>
      <c r="C34" s="29">
        <f>C33/C6</f>
        <v>2.0083423451258296E-3</v>
      </c>
      <c r="D34" s="29">
        <f t="shared" ref="D34:M34" si="14">D33/D6</f>
        <v>2.76111723971708E-2</v>
      </c>
      <c r="E34" s="29">
        <f t="shared" si="14"/>
        <v>2.4606119593649202E-2</v>
      </c>
      <c r="F34" s="29">
        <f t="shared" si="14"/>
        <v>-1.1660996333886117E-2</v>
      </c>
      <c r="G34" s="29">
        <f t="shared" si="14"/>
        <v>-0.14675505985437506</v>
      </c>
      <c r="H34" s="29">
        <f t="shared" si="14"/>
        <v>-2.6135944259918643E-2</v>
      </c>
      <c r="I34" s="29">
        <f t="shared" si="14"/>
        <v>6.4341023195771656E-3</v>
      </c>
      <c r="J34" s="29">
        <f t="shared" si="14"/>
        <v>3.9478436959348204E-2</v>
      </c>
      <c r="K34" s="29">
        <f t="shared" si="14"/>
        <v>7.1746599426540811E-2</v>
      </c>
      <c r="L34" s="29">
        <f t="shared" si="14"/>
        <v>8.1133952469362447E-2</v>
      </c>
      <c r="M34" s="29">
        <f t="shared" si="14"/>
        <v>8.5664641348277226E-2</v>
      </c>
    </row>
    <row r="36" spans="1:14" x14ac:dyDescent="0.3">
      <c r="B36" t="s">
        <v>102</v>
      </c>
      <c r="C36">
        <f>IFERROR('Raw Data Trent Ltd'!B93,0)</f>
        <v>33.229999999999997</v>
      </c>
      <c r="D36">
        <f>IFERROR('Raw Data Trent Ltd'!C93,0)</f>
        <v>33.229999999999997</v>
      </c>
      <c r="E36">
        <f>IFERROR('Raw Data Trent Ltd'!D93,0)</f>
        <v>33.229999999999997</v>
      </c>
      <c r="F36">
        <f>IFERROR('Raw Data Trent Ltd'!E93,0)</f>
        <v>35.549999999999997</v>
      </c>
      <c r="G36">
        <f>IFERROR('Raw Data Trent Ltd'!F93,0)</f>
        <v>35.549999999999997</v>
      </c>
      <c r="H36">
        <f>IFERROR('Raw Data Trent Ltd'!G93,0)</f>
        <v>35.549999999999997</v>
      </c>
      <c r="I36">
        <f>IFERROR('Raw Data Trent Ltd'!H93,0)</f>
        <v>35.549999999999997</v>
      </c>
      <c r="J36">
        <f>IFERROR('Raw Data Trent Ltd'!I93,0)</f>
        <v>35.549999999999997</v>
      </c>
      <c r="K36">
        <f>IFERROR('Raw Data Trent Ltd'!J93,0)</f>
        <v>35.549999999999997</v>
      </c>
      <c r="L36">
        <f>IFERROR('Raw Data Trent Ltd'!K93,0)</f>
        <v>35.549999999999997</v>
      </c>
      <c r="M36">
        <f>IFERROR('Raw Data Trent Ltd'!L93,0)</f>
        <v>0</v>
      </c>
      <c r="N36" s="25"/>
    </row>
    <row r="38" spans="1:14" x14ac:dyDescent="0.3">
      <c r="B38" t="s">
        <v>103</v>
      </c>
      <c r="C38" s="32">
        <f>C33/C36</f>
        <v>0.10953957267528916</v>
      </c>
      <c r="D38" s="32">
        <f t="shared" ref="D38:L38" si="15">D33/D36</f>
        <v>1.7926572374360554</v>
      </c>
      <c r="E38" s="32">
        <f t="shared" si="15"/>
        <v>1.9476376767980703</v>
      </c>
      <c r="F38" s="32">
        <f t="shared" si="15"/>
        <v>-1.1434599156118237</v>
      </c>
      <c r="G38" s="32">
        <f t="shared" si="15"/>
        <v>-10.704078762306622</v>
      </c>
      <c r="H38" s="32">
        <f t="shared" si="15"/>
        <v>-3.3068917018283903</v>
      </c>
      <c r="I38" s="32">
        <f t="shared" si="15"/>
        <v>1.4917018284107284</v>
      </c>
      <c r="J38" s="32">
        <f t="shared" si="15"/>
        <v>13.742616033755265</v>
      </c>
      <c r="K38" s="32">
        <f t="shared" si="15"/>
        <v>34.580872011251778</v>
      </c>
      <c r="L38" s="32">
        <f t="shared" si="15"/>
        <v>45.81434599156119</v>
      </c>
      <c r="M38">
        <f>IFERROR(M33/M36,0)</f>
        <v>0</v>
      </c>
      <c r="N38" s="25"/>
    </row>
    <row r="39" spans="1:14" x14ac:dyDescent="0.3">
      <c r="B39" s="29" t="s">
        <v>104</v>
      </c>
      <c r="D39" s="29">
        <f>(D38/C38)-1</f>
        <v>15.365384615385285</v>
      </c>
      <c r="E39" s="29">
        <f t="shared" ref="E39:M39" si="16">(E38/D38)-1</f>
        <v>8.6452912539864757E-2</v>
      </c>
      <c r="F39" s="29">
        <f t="shared" si="16"/>
        <v>-1.5871009424564426</v>
      </c>
      <c r="G39" s="29">
        <f t="shared" si="16"/>
        <v>8.361131611316047</v>
      </c>
      <c r="H39" s="29">
        <f t="shared" si="16"/>
        <v>-0.69106246550863493</v>
      </c>
      <c r="I39" s="29">
        <f t="shared" si="16"/>
        <v>-1.4510888057162448</v>
      </c>
      <c r="J39" s="29">
        <f t="shared" si="16"/>
        <v>8.2127097869128196</v>
      </c>
      <c r="K39" s="29">
        <f t="shared" si="16"/>
        <v>1.5163238153720222</v>
      </c>
      <c r="L39" s="29">
        <f t="shared" si="16"/>
        <v>0.32484646357831326</v>
      </c>
      <c r="M39" s="29">
        <f t="shared" si="16"/>
        <v>-1</v>
      </c>
    </row>
    <row r="41" spans="1:14" x14ac:dyDescent="0.3">
      <c r="B41" t="s">
        <v>105</v>
      </c>
      <c r="C41" s="32">
        <f>IFERROR('Raw Data Trent Ltd'!B31/C36,0)</f>
        <v>1</v>
      </c>
      <c r="D41" s="32">
        <f>IFERROR('Raw Data Trent Ltd'!C31/D36,0)</f>
        <v>1.1498645801986158</v>
      </c>
      <c r="E41" s="32">
        <f>IFERROR('Raw Data Trent Ltd'!D31/E36,0)</f>
        <v>1.3000300932891966</v>
      </c>
      <c r="F41" s="32">
        <f>IFERROR('Raw Data Trent Ltd'!E31/F36,0)</f>
        <v>1</v>
      </c>
      <c r="G41" s="32">
        <f>IFERROR('Raw Data Trent Ltd'!F31/G36,0)</f>
        <v>0.6</v>
      </c>
      <c r="H41" s="32">
        <f>IFERROR('Raw Data Trent Ltd'!G31/H36,0)</f>
        <v>1.70014064697609</v>
      </c>
      <c r="I41" s="32">
        <f>IFERROR('Raw Data Trent Ltd'!H31/I36,0)</f>
        <v>2.2000000000000002</v>
      </c>
      <c r="J41" s="32">
        <f>IFERROR('Raw Data Trent Ltd'!I31/J36,0)</f>
        <v>3.2</v>
      </c>
      <c r="K41" s="32">
        <f>IFERROR('Raw Data Trent Ltd'!J31/K36,0)</f>
        <v>5</v>
      </c>
      <c r="L41" s="32">
        <f>IFERROR('Raw Data Trent Ltd'!K31/L36,0)</f>
        <v>6.0000000000000009</v>
      </c>
      <c r="M41" s="32">
        <f>IFERROR('Raw Data Trent Ltd'!L31/M36,0)</f>
        <v>0</v>
      </c>
      <c r="N41" s="25"/>
    </row>
    <row r="42" spans="1:14" x14ac:dyDescent="0.3">
      <c r="B42" s="29" t="s">
        <v>106</v>
      </c>
      <c r="C42" s="29">
        <f>IFERROR(C41/C38,0)</f>
        <v>9.129120879121233</v>
      </c>
      <c r="D42" s="29">
        <f t="shared" ref="D42:M42" si="17">IFERROR(D41/D38,0)</f>
        <v>0.64143025012590105</v>
      </c>
      <c r="E42" s="29">
        <f t="shared" si="17"/>
        <v>0.66749072929542774</v>
      </c>
      <c r="F42" s="29">
        <f t="shared" si="17"/>
        <v>-0.87453874538744669</v>
      </c>
      <c r="G42" s="29">
        <f t="shared" si="17"/>
        <v>-5.6053399206370001E-2</v>
      </c>
      <c r="H42" s="29">
        <f t="shared" si="17"/>
        <v>-0.5141204491323611</v>
      </c>
      <c r="I42" s="29">
        <f t="shared" si="17"/>
        <v>1.4748255704317923</v>
      </c>
      <c r="J42" s="29">
        <f t="shared" si="17"/>
        <v>0.23285231808412665</v>
      </c>
      <c r="K42" s="29">
        <f t="shared" si="17"/>
        <v>0.14458860373368032</v>
      </c>
      <c r="L42" s="29">
        <f t="shared" si="17"/>
        <v>0.13096334499907902</v>
      </c>
      <c r="M42" s="29">
        <f t="shared" si="17"/>
        <v>0</v>
      </c>
    </row>
    <row r="44" spans="1:14" x14ac:dyDescent="0.3">
      <c r="B44" t="s">
        <v>107</v>
      </c>
      <c r="C44" s="29">
        <f>IFERROR(IF(C38&gt;C41,1-C42,0),0)</f>
        <v>0</v>
      </c>
      <c r="D44" s="29">
        <f t="shared" ref="D44:M44" si="18">IFERROR(IF(D38&gt;D41,1-D42,0),0)</f>
        <v>0.35856974987409895</v>
      </c>
      <c r="E44" s="29">
        <f t="shared" si="18"/>
        <v>0.33250927070457226</v>
      </c>
      <c r="F44" s="29">
        <f t="shared" si="18"/>
        <v>0</v>
      </c>
      <c r="G44" s="29">
        <f t="shared" si="18"/>
        <v>0</v>
      </c>
      <c r="H44" s="29">
        <f t="shared" si="18"/>
        <v>0</v>
      </c>
      <c r="I44" s="29">
        <f t="shared" si="18"/>
        <v>0</v>
      </c>
      <c r="J44" s="29">
        <f t="shared" si="18"/>
        <v>0.76714768191587335</v>
      </c>
      <c r="K44" s="29">
        <f t="shared" si="18"/>
        <v>0.85541139626631968</v>
      </c>
      <c r="L44" s="29">
        <f t="shared" si="18"/>
        <v>0.86903665500092098</v>
      </c>
      <c r="M44" s="29">
        <f t="shared" si="18"/>
        <v>0</v>
      </c>
    </row>
    <row r="46" spans="1:14" x14ac:dyDescent="0.3">
      <c r="A46" t="s">
        <v>29</v>
      </c>
      <c r="B46" s="259" t="s">
        <v>108</v>
      </c>
      <c r="C46" s="258"/>
      <c r="D46" s="258"/>
      <c r="E46" s="258"/>
      <c r="F46" s="258"/>
      <c r="G46" s="258"/>
      <c r="H46" s="258"/>
      <c r="I46" s="258"/>
      <c r="J46" s="258"/>
      <c r="K46" s="258"/>
      <c r="L46" s="258"/>
      <c r="M46" s="258"/>
    </row>
    <row r="47" spans="1:14" x14ac:dyDescent="0.3">
      <c r="B47" s="12" t="s">
        <v>62</v>
      </c>
      <c r="C47" s="32">
        <f>IFERROR('Raw Data Trent Ltd'!B57,0)</f>
        <v>33.229999999999997</v>
      </c>
      <c r="D47" s="32">
        <f>IFERROR('Raw Data Trent Ltd'!C57,0)</f>
        <v>33.229999999999997</v>
      </c>
      <c r="E47" s="32">
        <f>IFERROR('Raw Data Trent Ltd'!D57,0)</f>
        <v>33.229999999999997</v>
      </c>
      <c r="F47" s="32">
        <f>IFERROR('Raw Data Trent Ltd'!E57,0)</f>
        <v>35.549999999999997</v>
      </c>
      <c r="G47" s="32">
        <f>IFERROR('Raw Data Trent Ltd'!F57,0)</f>
        <v>35.549999999999997</v>
      </c>
      <c r="H47" s="32">
        <f>IFERROR('Raw Data Trent Ltd'!G57,0)</f>
        <v>35.549999999999997</v>
      </c>
      <c r="I47" s="32">
        <f>IFERROR('Raw Data Trent Ltd'!H57,0)</f>
        <v>35.549999999999997</v>
      </c>
      <c r="J47" s="32">
        <f>IFERROR('Raw Data Trent Ltd'!I57,0)</f>
        <v>35.549999999999997</v>
      </c>
      <c r="K47" s="32">
        <f>IFERROR('Raw Data Trent Ltd'!J57,0)</f>
        <v>35.549999999999997</v>
      </c>
      <c r="L47" s="32">
        <f>IFERROR('Raw Data Trent Ltd'!K57,0)</f>
        <v>35.549999999999997</v>
      </c>
      <c r="N47" s="25"/>
    </row>
    <row r="48" spans="1:14" x14ac:dyDescent="0.3">
      <c r="B48" s="12" t="s">
        <v>2</v>
      </c>
      <c r="C48" s="32">
        <f>IFERROR('Raw Data Trent Ltd'!B58,0)</f>
        <v>1514.46</v>
      </c>
      <c r="D48" s="32">
        <f>IFERROR('Raw Data Trent Ltd'!C58,0)</f>
        <v>1562.14</v>
      </c>
      <c r="E48" s="32">
        <f>IFERROR('Raw Data Trent Ltd'!D58,0)</f>
        <v>1613.28</v>
      </c>
      <c r="F48" s="32">
        <f>IFERROR('Raw Data Trent Ltd'!E58,0)</f>
        <v>2352.2199999999998</v>
      </c>
      <c r="G48" s="32">
        <f>IFERROR('Raw Data Trent Ltd'!F58,0)</f>
        <v>2277.48</v>
      </c>
      <c r="H48" s="32">
        <f>IFERROR('Raw Data Trent Ltd'!G58,0)</f>
        <v>2328.4499999999998</v>
      </c>
      <c r="I48" s="32">
        <f>IFERROR('Raw Data Trent Ltd'!H58,0)</f>
        <v>2559.94</v>
      </c>
      <c r="J48" s="32">
        <f>IFERROR('Raw Data Trent Ltd'!I58,0)</f>
        <v>4032.19</v>
      </c>
      <c r="K48" s="32">
        <f>IFERROR('Raw Data Trent Ltd'!J58,0)</f>
        <v>5426.19</v>
      </c>
      <c r="L48" s="32">
        <f>IFERROR('Raw Data Trent Ltd'!K58,0)</f>
        <v>6949.13</v>
      </c>
      <c r="N48" s="25"/>
    </row>
    <row r="49" spans="2:14" x14ac:dyDescent="0.3">
      <c r="B49" s="12" t="s">
        <v>63</v>
      </c>
      <c r="C49" s="32">
        <f>IFERROR('Raw Data Trent Ltd'!B59,0)</f>
        <v>391.74</v>
      </c>
      <c r="D49" s="32">
        <f>IFERROR('Raw Data Trent Ltd'!C59,0)</f>
        <v>391.43</v>
      </c>
      <c r="E49" s="32">
        <f>IFERROR('Raw Data Trent Ltd'!D59,0)</f>
        <v>494.14</v>
      </c>
      <c r="F49" s="32">
        <f>IFERROR('Raw Data Trent Ltd'!E59,0)</f>
        <v>299.74</v>
      </c>
      <c r="G49" s="32">
        <f>IFERROR('Raw Data Trent Ltd'!F59,0)</f>
        <v>2963.63</v>
      </c>
      <c r="H49" s="32">
        <f>IFERROR('Raw Data Trent Ltd'!G59,0)</f>
        <v>4725.3599999999997</v>
      </c>
      <c r="I49" s="32">
        <f>IFERROR('Raw Data Trent Ltd'!H59,0)</f>
        <v>4464.1400000000003</v>
      </c>
      <c r="J49" s="32">
        <f>IFERROR('Raw Data Trent Ltd'!I59,0)</f>
        <v>1752.99</v>
      </c>
      <c r="K49" s="32">
        <f>IFERROR('Raw Data Trent Ltd'!J59,0)</f>
        <v>2237.19</v>
      </c>
      <c r="L49" s="32">
        <f>IFERROR('Raw Data Trent Ltd'!K59,0)</f>
        <v>2561.25</v>
      </c>
      <c r="N49" s="25"/>
    </row>
    <row r="50" spans="2:14" x14ac:dyDescent="0.3">
      <c r="B50" s="12" t="s">
        <v>64</v>
      </c>
      <c r="C50" s="32">
        <f>IFERROR('Raw Data Trent Ltd'!B60,0)</f>
        <v>282.82</v>
      </c>
      <c r="D50" s="32">
        <f>IFERROR('Raw Data Trent Ltd'!C60,0)</f>
        <v>349.06</v>
      </c>
      <c r="E50" s="32">
        <f>IFERROR('Raw Data Trent Ltd'!D60,0)</f>
        <v>418.11</v>
      </c>
      <c r="F50" s="32">
        <f>IFERROR('Raw Data Trent Ltd'!E60,0)</f>
        <v>2819.17</v>
      </c>
      <c r="G50" s="32">
        <f>IFERROR('Raw Data Trent Ltd'!F60,0)</f>
        <v>447.07</v>
      </c>
      <c r="H50" s="32">
        <f>IFERROR('Raw Data Trent Ltd'!G60,0)</f>
        <v>636.66</v>
      </c>
      <c r="I50" s="32">
        <f>IFERROR('Raw Data Trent Ltd'!H60,0)</f>
        <v>1021.9</v>
      </c>
      <c r="J50" s="32">
        <f>IFERROR('Raw Data Trent Ltd'!I60,0)</f>
        <v>1341.02</v>
      </c>
      <c r="K50" s="32">
        <f>IFERROR('Raw Data Trent Ltd'!J60,0)</f>
        <v>1720.71</v>
      </c>
      <c r="L50" s="32">
        <f>IFERROR('Raw Data Trent Ltd'!K60,0)</f>
        <v>2182.65</v>
      </c>
      <c r="N50" s="25"/>
    </row>
    <row r="51" spans="2:14" x14ac:dyDescent="0.3">
      <c r="B51" s="40" t="s">
        <v>109</v>
      </c>
      <c r="C51" s="41">
        <f>SUM(C47:C50)</f>
        <v>2222.25</v>
      </c>
      <c r="D51" s="41">
        <f t="shared" ref="D51:L51" si="19">SUM(D47:D50)</f>
        <v>2335.86</v>
      </c>
      <c r="E51" s="41">
        <f t="shared" si="19"/>
        <v>2558.7600000000002</v>
      </c>
      <c r="F51" s="41">
        <f t="shared" si="19"/>
        <v>5506.68</v>
      </c>
      <c r="G51" s="41">
        <f t="shared" si="19"/>
        <v>5723.73</v>
      </c>
      <c r="H51" s="41">
        <f t="shared" si="19"/>
        <v>7726.0199999999995</v>
      </c>
      <c r="I51" s="41">
        <f t="shared" si="19"/>
        <v>8081.5300000000007</v>
      </c>
      <c r="J51" s="41">
        <f t="shared" si="19"/>
        <v>7161.75</v>
      </c>
      <c r="K51" s="41">
        <f t="shared" si="19"/>
        <v>9419.64</v>
      </c>
      <c r="L51" s="41">
        <f t="shared" si="19"/>
        <v>11728.58</v>
      </c>
      <c r="N51" s="25"/>
    </row>
    <row r="52" spans="2:14" x14ac:dyDescent="0.3">
      <c r="B52" s="11"/>
      <c r="C52" s="32"/>
      <c r="D52" s="32"/>
      <c r="E52" s="32"/>
      <c r="F52" s="32"/>
      <c r="G52" s="32"/>
      <c r="H52" s="32"/>
      <c r="I52" s="32"/>
      <c r="J52" s="32"/>
      <c r="K52" s="32"/>
      <c r="L52" s="32"/>
      <c r="N52" s="25"/>
    </row>
    <row r="53" spans="2:14" x14ac:dyDescent="0.3">
      <c r="B53" s="12" t="s">
        <v>110</v>
      </c>
      <c r="C53" s="32">
        <f>IFERROR('Raw Data Trent Ltd'!B62,0)</f>
        <v>548.71</v>
      </c>
      <c r="D53" s="32">
        <f>IFERROR('Raw Data Trent Ltd'!C62,0)</f>
        <v>612.53</v>
      </c>
      <c r="E53" s="32">
        <f>IFERROR('Raw Data Trent Ltd'!D62,0)</f>
        <v>662.18</v>
      </c>
      <c r="F53" s="32">
        <f>IFERROR('Raw Data Trent Ltd'!E62,0)</f>
        <v>2738.43</v>
      </c>
      <c r="G53" s="32">
        <f>IFERROR('Raw Data Trent Ltd'!F62,0)</f>
        <v>3053.82</v>
      </c>
      <c r="H53" s="32">
        <f>IFERROR('Raw Data Trent Ltd'!G62,0)</f>
        <v>4686.71</v>
      </c>
      <c r="I53" s="32">
        <f>IFERROR('Raw Data Trent Ltd'!H62,0)</f>
        <v>4526.95</v>
      </c>
      <c r="J53" s="32">
        <f>IFERROR('Raw Data Trent Ltd'!I62,0)</f>
        <v>2449.92</v>
      </c>
      <c r="K53" s="32">
        <f>IFERROR('Raw Data Trent Ltd'!J62,0)</f>
        <v>3895.13</v>
      </c>
      <c r="L53" s="32">
        <f>IFERROR('Raw Data Trent Ltd'!K62,0)</f>
        <v>5518.74</v>
      </c>
      <c r="N53" s="25"/>
    </row>
    <row r="54" spans="2:14" x14ac:dyDescent="0.3">
      <c r="B54" s="12" t="s">
        <v>65</v>
      </c>
      <c r="C54" s="32">
        <f>IFERROR('Raw Data Trent Ltd'!B63,0)</f>
        <v>5.48</v>
      </c>
      <c r="D54" s="32">
        <f>IFERROR('Raw Data Trent Ltd'!C63,0)</f>
        <v>9.59</v>
      </c>
      <c r="E54" s="32">
        <f>IFERROR('Raw Data Trent Ltd'!D63,0)</f>
        <v>87.18</v>
      </c>
      <c r="F54" s="32">
        <f>IFERROR('Raw Data Trent Ltd'!E63,0)</f>
        <v>23.32</v>
      </c>
      <c r="G54" s="32">
        <f>IFERROR('Raw Data Trent Ltd'!F63,0)</f>
        <v>107.98</v>
      </c>
      <c r="H54" s="32">
        <f>IFERROR('Raw Data Trent Ltd'!G63,0)</f>
        <v>104.72</v>
      </c>
      <c r="I54" s="32">
        <f>IFERROR('Raw Data Trent Ltd'!H63,0)</f>
        <v>101.72</v>
      </c>
      <c r="J54" s="32">
        <f>IFERROR('Raw Data Trent Ltd'!I63,0)</f>
        <v>223.78</v>
      </c>
      <c r="K54" s="32">
        <f>IFERROR('Raw Data Trent Ltd'!J63,0)</f>
        <v>179.5</v>
      </c>
      <c r="L54" s="32">
        <f>IFERROR('Raw Data Trent Ltd'!K63,0)</f>
        <v>253.99</v>
      </c>
      <c r="N54" s="25"/>
    </row>
    <row r="55" spans="2:14" x14ac:dyDescent="0.3">
      <c r="B55" s="12" t="s">
        <v>4</v>
      </c>
      <c r="C55" s="32">
        <f>IFERROR('Raw Data Trent Ltd'!B64,0)</f>
        <v>1079.96</v>
      </c>
      <c r="D55" s="32">
        <f>IFERROR('Raw Data Trent Ltd'!C64,0)</f>
        <v>1022.88</v>
      </c>
      <c r="E55" s="32">
        <f>IFERROR('Raw Data Trent Ltd'!D64,0)</f>
        <v>882.83</v>
      </c>
      <c r="F55" s="32">
        <f>IFERROR('Raw Data Trent Ltd'!E64,0)</f>
        <v>1514.78</v>
      </c>
      <c r="G55" s="32">
        <f>IFERROR('Raw Data Trent Ltd'!F64,0)</f>
        <v>1487.29</v>
      </c>
      <c r="H55" s="32">
        <f>IFERROR('Raw Data Trent Ltd'!G64,0)</f>
        <v>1283.72</v>
      </c>
      <c r="I55" s="32">
        <f>IFERROR('Raw Data Trent Ltd'!H64,0)</f>
        <v>1109.8699999999999</v>
      </c>
      <c r="J55" s="32">
        <f>IFERROR('Raw Data Trent Ltd'!I64,0)</f>
        <v>1416.03</v>
      </c>
      <c r="K55" s="32">
        <f>IFERROR('Raw Data Trent Ltd'!J64,0)</f>
        <v>1480.25</v>
      </c>
      <c r="L55" s="32">
        <f>IFERROR('Raw Data Trent Ltd'!K64,0)</f>
        <v>1384.91</v>
      </c>
      <c r="N55" s="25"/>
    </row>
    <row r="56" spans="2:14" x14ac:dyDescent="0.3">
      <c r="B56" s="12" t="s">
        <v>66</v>
      </c>
      <c r="C56" s="32">
        <f>'Raw Data Trent Ltd'!B75</f>
        <v>242.53999999999996</v>
      </c>
      <c r="D56" s="32">
        <f>'Raw Data Trent Ltd'!C75</f>
        <v>298.18</v>
      </c>
      <c r="E56" s="32">
        <f>'Raw Data Trent Ltd'!D75</f>
        <v>358.79000000000008</v>
      </c>
      <c r="F56" s="32">
        <f>'Raw Data Trent Ltd'!E75</f>
        <v>543.81000000000017</v>
      </c>
      <c r="G56" s="32">
        <f>'Raw Data Trent Ltd'!F75</f>
        <v>544.0100000000001</v>
      </c>
      <c r="H56" s="32">
        <f>'Raw Data Trent Ltd'!G75</f>
        <v>678.8599999999999</v>
      </c>
      <c r="I56" s="32">
        <f>'Raw Data Trent Ltd'!H75</f>
        <v>861.13999999999965</v>
      </c>
      <c r="J56" s="32">
        <f>'Raw Data Trent Ltd'!I75</f>
        <v>1109.99</v>
      </c>
      <c r="K56" s="32">
        <f>'Raw Data Trent Ltd'!J75</f>
        <v>1416.92</v>
      </c>
      <c r="L56" s="32">
        <f>'Raw Data Trent Ltd'!K75</f>
        <v>1947.7899999999995</v>
      </c>
      <c r="N56" s="25"/>
    </row>
    <row r="57" spans="2:14" x14ac:dyDescent="0.3">
      <c r="B57" s="34" t="s">
        <v>111</v>
      </c>
      <c r="C57" s="31">
        <f>IFERROR(SUM(C53:C56),0)</f>
        <v>1876.69</v>
      </c>
      <c r="D57" s="31">
        <f t="shared" ref="D57:L57" si="20">IFERROR(SUM(D53:D56),0)</f>
        <v>1943.18</v>
      </c>
      <c r="E57" s="31">
        <f t="shared" si="20"/>
        <v>1990.98</v>
      </c>
      <c r="F57" s="31">
        <f t="shared" si="20"/>
        <v>4820.34</v>
      </c>
      <c r="G57" s="31">
        <f t="shared" si="20"/>
        <v>5193.1000000000004</v>
      </c>
      <c r="H57" s="31">
        <f t="shared" si="20"/>
        <v>6754.01</v>
      </c>
      <c r="I57" s="31">
        <f t="shared" si="20"/>
        <v>6599.6799999999994</v>
      </c>
      <c r="J57" s="31">
        <f t="shared" si="20"/>
        <v>5199.72</v>
      </c>
      <c r="K57" s="31">
        <f t="shared" si="20"/>
        <v>6971.8</v>
      </c>
      <c r="L57" s="31">
        <f t="shared" si="20"/>
        <v>9105.4299999999985</v>
      </c>
      <c r="N57" s="25"/>
    </row>
    <row r="58" spans="2:14" x14ac:dyDescent="0.3">
      <c r="B58" s="11"/>
      <c r="C58" s="32"/>
      <c r="D58" s="32"/>
      <c r="E58" s="32"/>
      <c r="F58" s="32"/>
      <c r="G58" s="32"/>
      <c r="H58" s="32"/>
      <c r="I58" s="32"/>
      <c r="J58" s="32"/>
      <c r="K58" s="32"/>
      <c r="L58" s="32"/>
      <c r="N58" s="25"/>
    </row>
    <row r="59" spans="2:14" x14ac:dyDescent="0.3">
      <c r="B59" s="12" t="s">
        <v>6</v>
      </c>
      <c r="C59" s="32">
        <f>IFERROR('Raw Data Trent Ltd'!B67,0)</f>
        <v>5.92</v>
      </c>
      <c r="D59" s="32">
        <f>IFERROR('Raw Data Trent Ltd'!C67,0)</f>
        <v>15.1</v>
      </c>
      <c r="E59" s="32">
        <f>IFERROR('Raw Data Trent Ltd'!D67,0)</f>
        <v>16.54</v>
      </c>
      <c r="F59" s="32">
        <f>IFERROR('Raw Data Trent Ltd'!E67,0)</f>
        <v>17.12</v>
      </c>
      <c r="G59" s="32">
        <f>IFERROR('Raw Data Trent Ltd'!F67,0)</f>
        <v>20.77</v>
      </c>
      <c r="H59" s="32">
        <f>IFERROR('Raw Data Trent Ltd'!G67,0)</f>
        <v>18.260000000000002</v>
      </c>
      <c r="I59" s="32">
        <f>IFERROR('Raw Data Trent Ltd'!H67,0)</f>
        <v>34.39</v>
      </c>
      <c r="J59" s="32">
        <f>IFERROR('Raw Data Trent Ltd'!I67,0)</f>
        <v>81.739999999999995</v>
      </c>
      <c r="K59" s="32">
        <f>IFERROR('Raw Data Trent Ltd'!J67,0)</f>
        <v>62.95</v>
      </c>
      <c r="L59" s="32">
        <f>IFERROR('Raw Data Trent Ltd'!K67,0)</f>
        <v>51.14</v>
      </c>
      <c r="N59" s="25"/>
    </row>
    <row r="60" spans="2:14" x14ac:dyDescent="0.3">
      <c r="B60" s="12" t="s">
        <v>7</v>
      </c>
      <c r="C60" s="32">
        <f>IFERROR('Raw Data Trent Ltd'!B68,0)</f>
        <v>305.36</v>
      </c>
      <c r="D60" s="32">
        <f>IFERROR('Raw Data Trent Ltd'!C68,0)</f>
        <v>344.77</v>
      </c>
      <c r="E60" s="32">
        <f>IFERROR('Raw Data Trent Ltd'!D68,0)</f>
        <v>497.01</v>
      </c>
      <c r="F60" s="32">
        <f>IFERROR('Raw Data Trent Ltd'!E68,0)</f>
        <v>607.80999999999995</v>
      </c>
      <c r="G60" s="32">
        <f>IFERROR('Raw Data Trent Ltd'!F68,0)</f>
        <v>428.39</v>
      </c>
      <c r="H60" s="32">
        <f>IFERROR('Raw Data Trent Ltd'!G68,0)</f>
        <v>867.78</v>
      </c>
      <c r="I60" s="32">
        <f>IFERROR('Raw Data Trent Ltd'!H68,0)</f>
        <v>1361.16</v>
      </c>
      <c r="J60" s="32">
        <f>IFERROR('Raw Data Trent Ltd'!I68,0)</f>
        <v>1582.73</v>
      </c>
      <c r="K60" s="32">
        <f>IFERROR('Raw Data Trent Ltd'!J68,0)</f>
        <v>2045.05</v>
      </c>
      <c r="L60" s="32">
        <f>IFERROR('Raw Data Trent Ltd'!K68,0)</f>
        <v>2289.0100000000002</v>
      </c>
      <c r="N60" s="25"/>
    </row>
    <row r="61" spans="2:14" x14ac:dyDescent="0.3">
      <c r="B61" s="12" t="s">
        <v>67</v>
      </c>
      <c r="C61" s="32">
        <f>IFERROR('Raw Data Trent Ltd'!B69,0)</f>
        <v>34.28</v>
      </c>
      <c r="D61" s="32">
        <f>IFERROR('Raw Data Trent Ltd'!C69,0)</f>
        <v>32.81</v>
      </c>
      <c r="E61" s="32">
        <f>IFERROR('Raw Data Trent Ltd'!D69,0)</f>
        <v>54.23</v>
      </c>
      <c r="F61" s="32">
        <f>IFERROR('Raw Data Trent Ltd'!E69,0)</f>
        <v>61.41</v>
      </c>
      <c r="G61" s="32">
        <f>IFERROR('Raw Data Trent Ltd'!F69,0)</f>
        <v>81.47</v>
      </c>
      <c r="H61" s="32">
        <f>IFERROR('Raw Data Trent Ltd'!G69,0)</f>
        <v>85.97</v>
      </c>
      <c r="I61" s="32">
        <f>IFERROR('Raw Data Trent Ltd'!H69,0)</f>
        <v>86.3</v>
      </c>
      <c r="J61" s="32">
        <f>IFERROR('Raw Data Trent Ltd'!I69,0)</f>
        <v>297.56</v>
      </c>
      <c r="K61" s="32">
        <f>IFERROR('Raw Data Trent Ltd'!J69,0)</f>
        <v>339.84</v>
      </c>
      <c r="L61" s="32">
        <f>IFERROR('Raw Data Trent Ltd'!K69,0)</f>
        <v>283</v>
      </c>
      <c r="N61" s="25"/>
    </row>
    <row r="62" spans="2:14" x14ac:dyDescent="0.3">
      <c r="B62" s="35" t="s">
        <v>28</v>
      </c>
      <c r="C62" s="31">
        <f>IFERROR(SUM(C59:C61),0)</f>
        <v>345.56000000000006</v>
      </c>
      <c r="D62" s="31">
        <f t="shared" ref="D62:L62" si="21">IFERROR(SUM(D59:D61),0)</f>
        <v>392.68</v>
      </c>
      <c r="E62" s="31">
        <f t="shared" si="21"/>
        <v>567.78</v>
      </c>
      <c r="F62" s="31">
        <f t="shared" si="21"/>
        <v>686.33999999999992</v>
      </c>
      <c r="G62" s="31">
        <f t="shared" si="21"/>
        <v>530.63</v>
      </c>
      <c r="H62" s="31">
        <f t="shared" si="21"/>
        <v>972.01</v>
      </c>
      <c r="I62" s="31">
        <f t="shared" si="21"/>
        <v>1481.8500000000001</v>
      </c>
      <c r="J62" s="31">
        <f t="shared" si="21"/>
        <v>1962.03</v>
      </c>
      <c r="K62" s="31">
        <f t="shared" si="21"/>
        <v>2447.84</v>
      </c>
      <c r="L62" s="31">
        <f t="shared" si="21"/>
        <v>2623.15</v>
      </c>
      <c r="N62" s="25"/>
    </row>
    <row r="63" spans="2:14" x14ac:dyDescent="0.3">
      <c r="C63" s="32"/>
      <c r="D63" s="32"/>
      <c r="E63" s="32"/>
      <c r="F63" s="32"/>
      <c r="G63" s="32"/>
      <c r="H63" s="32"/>
      <c r="I63" s="32"/>
      <c r="J63" s="32"/>
      <c r="K63" s="32"/>
      <c r="L63" s="32"/>
      <c r="N63" s="25"/>
    </row>
    <row r="64" spans="2:14" x14ac:dyDescent="0.3">
      <c r="B64" s="40" t="s">
        <v>112</v>
      </c>
      <c r="C64" s="41">
        <f>IFERROR(SUM(C62,C57),0)</f>
        <v>2222.25</v>
      </c>
      <c r="D64" s="41">
        <f t="shared" ref="D64:L64" si="22">IFERROR(SUM(D62,D57),0)</f>
        <v>2335.86</v>
      </c>
      <c r="E64" s="41">
        <f t="shared" si="22"/>
        <v>2558.7600000000002</v>
      </c>
      <c r="F64" s="41">
        <f t="shared" si="22"/>
        <v>5506.68</v>
      </c>
      <c r="G64" s="41">
        <f t="shared" si="22"/>
        <v>5723.7300000000005</v>
      </c>
      <c r="H64" s="41">
        <f t="shared" si="22"/>
        <v>7726.02</v>
      </c>
      <c r="I64" s="41">
        <f t="shared" si="22"/>
        <v>8081.53</v>
      </c>
      <c r="J64" s="41">
        <f t="shared" si="22"/>
        <v>7161.75</v>
      </c>
      <c r="K64" s="41">
        <f t="shared" si="22"/>
        <v>9419.64</v>
      </c>
      <c r="L64" s="41">
        <f t="shared" si="22"/>
        <v>11728.579999999998</v>
      </c>
      <c r="N64" s="25"/>
    </row>
    <row r="66" spans="1:14" x14ac:dyDescent="0.3">
      <c r="B66" s="36" t="s">
        <v>113</v>
      </c>
      <c r="C66" s="37" t="str">
        <f>IF(C64=C51,"OK","Fault")</f>
        <v>OK</v>
      </c>
      <c r="D66" s="37" t="str">
        <f t="shared" ref="D66:L66" si="23">IF(D64=D51,"OK","Fault")</f>
        <v>OK</v>
      </c>
      <c r="E66" s="37" t="str">
        <f t="shared" si="23"/>
        <v>OK</v>
      </c>
      <c r="F66" s="37" t="str">
        <f t="shared" si="23"/>
        <v>OK</v>
      </c>
      <c r="G66" s="37" t="str">
        <f t="shared" si="23"/>
        <v>OK</v>
      </c>
      <c r="H66" s="37" t="str">
        <f t="shared" si="23"/>
        <v>OK</v>
      </c>
      <c r="I66" s="37" t="str">
        <f t="shared" si="23"/>
        <v>OK</v>
      </c>
      <c r="J66" s="37" t="str">
        <f t="shared" si="23"/>
        <v>OK</v>
      </c>
      <c r="K66" s="37" t="str">
        <f t="shared" si="23"/>
        <v>OK</v>
      </c>
      <c r="L66" s="37" t="str">
        <f t="shared" si="23"/>
        <v>OK</v>
      </c>
    </row>
    <row r="68" spans="1:14" x14ac:dyDescent="0.3">
      <c r="A68" t="s">
        <v>29</v>
      </c>
      <c r="B68" s="259" t="s">
        <v>114</v>
      </c>
      <c r="C68" s="258"/>
      <c r="D68" s="258"/>
      <c r="E68" s="258"/>
      <c r="F68" s="258"/>
      <c r="G68" s="258"/>
      <c r="H68" s="258"/>
      <c r="I68" s="258"/>
      <c r="J68" s="258"/>
      <c r="K68" s="258"/>
      <c r="L68" s="258"/>
    </row>
    <row r="69" spans="1:14" x14ac:dyDescent="0.3">
      <c r="B69" s="4" t="s">
        <v>115</v>
      </c>
    </row>
    <row r="70" spans="1:14" x14ac:dyDescent="0.3">
      <c r="B70" t="str">
        <f>'Raw Data CF Trent Ltd'!B4</f>
        <v>Profit from operations</v>
      </c>
      <c r="C70" s="25">
        <f>IFERROR('Raw Data CF Trent Ltd'!E4,0)</f>
        <v>165</v>
      </c>
      <c r="D70" s="25">
        <f>IFERROR('Raw Data CF Trent Ltd'!F4,0)</f>
        <v>191</v>
      </c>
      <c r="E70" s="25">
        <f>IFERROR('Raw Data CF Trent Ltd'!G4,0)</f>
        <v>233</v>
      </c>
      <c r="F70" s="25">
        <f>IFERROR('Raw Data CF Trent Ltd'!H4,0)</f>
        <v>542</v>
      </c>
      <c r="G70" s="25">
        <f>IFERROR('Raw Data CF Trent Ltd'!I4,0)</f>
        <v>180</v>
      </c>
      <c r="H70" s="25">
        <f>IFERROR('Raw Data CF Trent Ltd'!J4,0)</f>
        <v>569</v>
      </c>
      <c r="I70" s="25">
        <f>IFERROR('Raw Data CF Trent Ltd'!K4,0)</f>
        <v>1079</v>
      </c>
      <c r="J70" s="25">
        <f>IFERROR('Raw Data CF Trent Ltd'!L4,0)</f>
        <v>1919</v>
      </c>
      <c r="K70" s="25">
        <f>IFERROR('Raw Data CF Trent Ltd'!M4,0)</f>
        <v>2723</v>
      </c>
      <c r="L70" s="25">
        <f>IFERROR('Raw Data CF Trent Ltd'!N4,0)</f>
        <v>3618</v>
      </c>
      <c r="N70" s="25"/>
    </row>
    <row r="71" spans="1:14" x14ac:dyDescent="0.3">
      <c r="B71" t="str">
        <f>'Raw Data CF Trent Ltd'!B5</f>
        <v>Receivables</v>
      </c>
      <c r="C71" s="25">
        <f>IFERROR('Raw Data CF Trent Ltd'!E5,0)</f>
        <v>24</v>
      </c>
      <c r="D71" s="25">
        <f>IFERROR('Raw Data CF Trent Ltd'!F5,0)</f>
        <v>-54</v>
      </c>
      <c r="E71" s="25">
        <f>IFERROR('Raw Data CF Trent Ltd'!G5,0)</f>
        <v>-11</v>
      </c>
      <c r="F71" s="25">
        <f>IFERROR('Raw Data CF Trent Ltd'!H5,0)</f>
        <v>-20</v>
      </c>
      <c r="G71" s="25">
        <f>IFERROR('Raw Data CF Trent Ltd'!I5,0)</f>
        <v>-39</v>
      </c>
      <c r="H71" s="25">
        <f>IFERROR('Raw Data CF Trent Ltd'!J5,0)</f>
        <v>-103</v>
      </c>
      <c r="I71" s="25">
        <f>IFERROR('Raw Data CF Trent Ltd'!K5,0)</f>
        <v>-101</v>
      </c>
      <c r="J71" s="25">
        <f>IFERROR('Raw Data CF Trent Ltd'!L5,0)</f>
        <v>-208</v>
      </c>
      <c r="K71" s="25">
        <f>IFERROR('Raw Data CF Trent Ltd'!M5,0)</f>
        <v>-203</v>
      </c>
      <c r="L71" s="25">
        <f>IFERROR('Raw Data CF Trent Ltd'!N5,0)</f>
        <v>-196</v>
      </c>
      <c r="N71" s="25"/>
    </row>
    <row r="72" spans="1:14" x14ac:dyDescent="0.3">
      <c r="B72" t="str">
        <f>'Raw Data CF Trent Ltd'!B6</f>
        <v>Inventory</v>
      </c>
      <c r="C72" s="25">
        <f>IFERROR('Raw Data CF Trent Ltd'!E6,0)</f>
        <v>-26</v>
      </c>
      <c r="D72" s="25">
        <f>IFERROR('Raw Data CF Trent Ltd'!F6,0)</f>
        <v>-39</v>
      </c>
      <c r="E72" s="25">
        <f>IFERROR('Raw Data CF Trent Ltd'!G6,0)</f>
        <v>-152</v>
      </c>
      <c r="F72" s="25">
        <f>IFERROR('Raw Data CF Trent Ltd'!H6,0)</f>
        <v>-89</v>
      </c>
      <c r="G72" s="25">
        <f>IFERROR('Raw Data CF Trent Ltd'!I6,0)</f>
        <v>179</v>
      </c>
      <c r="H72" s="25">
        <f>IFERROR('Raw Data CF Trent Ltd'!J6,0)</f>
        <v>-439</v>
      </c>
      <c r="I72" s="25">
        <f>IFERROR('Raw Data CF Trent Ltd'!K6,0)</f>
        <v>-494</v>
      </c>
      <c r="J72" s="25">
        <f>IFERROR('Raw Data CF Trent Ltd'!L6,0)</f>
        <v>-222</v>
      </c>
      <c r="K72" s="25">
        <f>IFERROR('Raw Data CF Trent Ltd'!M6,0)</f>
        <v>-462</v>
      </c>
      <c r="L72" s="25">
        <f>IFERROR('Raw Data CF Trent Ltd'!N6,0)</f>
        <v>-243</v>
      </c>
      <c r="N72" s="25"/>
    </row>
    <row r="73" spans="1:14" x14ac:dyDescent="0.3">
      <c r="B73" t="str">
        <f>'Raw Data CF Trent Ltd'!B7</f>
        <v>Payables</v>
      </c>
      <c r="C73" s="25">
        <f>IFERROR('Raw Data CF Trent Ltd'!E7,0)</f>
        <v>-9</v>
      </c>
      <c r="D73" s="25">
        <f>IFERROR('Raw Data CF Trent Ltd'!F7,0)</f>
        <v>43</v>
      </c>
      <c r="E73" s="25">
        <f>IFERROR('Raw Data CF Trent Ltd'!G7,0)</f>
        <v>49</v>
      </c>
      <c r="F73" s="25">
        <f>IFERROR('Raw Data CF Trent Ltd'!H7,0)</f>
        <v>26</v>
      </c>
      <c r="G73" s="25">
        <f>IFERROR('Raw Data CF Trent Ltd'!I7,0)</f>
        <v>-11</v>
      </c>
      <c r="H73" s="25">
        <f>IFERROR('Raw Data CF Trent Ltd'!J7,0)</f>
        <v>134</v>
      </c>
      <c r="I73" s="25">
        <f>IFERROR('Raw Data CF Trent Ltd'!K7,0)</f>
        <v>332</v>
      </c>
      <c r="J73" s="25">
        <f>IFERROR('Raw Data CF Trent Ltd'!L7,0)</f>
        <v>178</v>
      </c>
      <c r="K73" s="25">
        <f>IFERROR('Raw Data CF Trent Ltd'!M7,0)</f>
        <v>212</v>
      </c>
      <c r="L73" s="25">
        <f>IFERROR('Raw Data CF Trent Ltd'!N7,0)</f>
        <v>311</v>
      </c>
      <c r="N73" s="25"/>
    </row>
    <row r="74" spans="1:14" x14ac:dyDescent="0.3">
      <c r="B74" t="str">
        <f>'Raw Data CF Trent Ltd'!B8</f>
        <v>Loans Advances</v>
      </c>
      <c r="C74" s="25">
        <f>IFERROR('Raw Data CF Trent Ltd'!E8,0)</f>
        <v>0</v>
      </c>
      <c r="D74" s="25">
        <f>IFERROR('Raw Data CF Trent Ltd'!F8,0)</f>
        <v>0</v>
      </c>
      <c r="E74" s="25">
        <f>IFERROR('Raw Data CF Trent Ltd'!G8,0)</f>
        <v>0</v>
      </c>
      <c r="F74" s="25">
        <f>IFERROR('Raw Data CF Trent Ltd'!H8,0)</f>
        <v>0</v>
      </c>
      <c r="G74" s="25">
        <f>IFERROR('Raw Data CF Trent Ltd'!I8,0)</f>
        <v>0</v>
      </c>
      <c r="H74" s="25">
        <f>IFERROR('Raw Data CF Trent Ltd'!J8,0)</f>
        <v>0</v>
      </c>
      <c r="I74" s="25">
        <f>IFERROR('Raw Data CF Trent Ltd'!K8,0)</f>
        <v>0</v>
      </c>
      <c r="J74" s="25">
        <f>IFERROR('Raw Data CF Trent Ltd'!L8,0)</f>
        <v>0</v>
      </c>
      <c r="K74" s="25">
        <f>IFERROR('Raw Data CF Trent Ltd'!M8,0)</f>
        <v>0</v>
      </c>
      <c r="L74" s="25">
        <f>IFERROR('Raw Data CF Trent Ltd'!N8,0)</f>
        <v>-288</v>
      </c>
      <c r="N74" s="25"/>
    </row>
    <row r="75" spans="1:14" x14ac:dyDescent="0.3">
      <c r="B75" t="str">
        <f>'Raw Data CF Trent Ltd'!B9</f>
        <v>Other WC items</v>
      </c>
      <c r="C75" s="25">
        <f>IFERROR('Raw Data CF Trent Ltd'!E9,0)</f>
        <v>-12</v>
      </c>
      <c r="D75" s="25">
        <f>IFERROR('Raw Data CF Trent Ltd'!F9,0)</f>
        <v>-13</v>
      </c>
      <c r="E75" s="25">
        <f>IFERROR('Raw Data CF Trent Ltd'!G9,0)</f>
        <v>-21</v>
      </c>
      <c r="F75" s="25">
        <f>IFERROR('Raw Data CF Trent Ltd'!H9,0)</f>
        <v>-15</v>
      </c>
      <c r="G75" s="25">
        <f>IFERROR('Raw Data CF Trent Ltd'!I9,0)</f>
        <v>-23</v>
      </c>
      <c r="H75" s="25">
        <f>IFERROR('Raw Data CF Trent Ltd'!J9,0)</f>
        <v>-22</v>
      </c>
      <c r="I75" s="25">
        <f>IFERROR('Raw Data CF Trent Ltd'!K9,0)</f>
        <v>-30</v>
      </c>
      <c r="J75" s="25">
        <f>IFERROR('Raw Data CF Trent Ltd'!L9,0)</f>
        <v>-20</v>
      </c>
      <c r="K75" s="25">
        <f>IFERROR('Raw Data CF Trent Ltd'!M9,0)</f>
        <v>-115</v>
      </c>
      <c r="L75" s="25">
        <f>IFERROR('Raw Data CF Trent Ltd'!N9,0)</f>
        <v>17</v>
      </c>
      <c r="N75" s="25"/>
    </row>
    <row r="76" spans="1:14" ht="16.2" x14ac:dyDescent="0.3">
      <c r="B76" s="47" t="s">
        <v>163</v>
      </c>
      <c r="C76" s="48">
        <f>SUM(C71:C75)</f>
        <v>-23</v>
      </c>
      <c r="D76" s="48">
        <f t="shared" ref="D76:L76" si="24">SUM(D71:D75)</f>
        <v>-63</v>
      </c>
      <c r="E76" s="48">
        <f t="shared" si="24"/>
        <v>-135</v>
      </c>
      <c r="F76" s="48">
        <f t="shared" si="24"/>
        <v>-98</v>
      </c>
      <c r="G76" s="48">
        <f t="shared" si="24"/>
        <v>106</v>
      </c>
      <c r="H76" s="48">
        <f t="shared" si="24"/>
        <v>-430</v>
      </c>
      <c r="I76" s="48">
        <f t="shared" si="24"/>
        <v>-293</v>
      </c>
      <c r="J76" s="48">
        <f t="shared" si="24"/>
        <v>-272</v>
      </c>
      <c r="K76" s="48">
        <f t="shared" si="24"/>
        <v>-568</v>
      </c>
      <c r="L76" s="48">
        <f t="shared" si="24"/>
        <v>-399</v>
      </c>
      <c r="N76" s="25"/>
    </row>
    <row r="77" spans="1:14" x14ac:dyDescent="0.3">
      <c r="B77" t="str">
        <f>'Raw Data CF Trent Ltd'!B11</f>
        <v>Direct taxes</v>
      </c>
      <c r="C77" s="25">
        <f>IFERROR('Raw Data CF Trent Ltd'!E11,0)</f>
        <v>-38</v>
      </c>
      <c r="D77" s="25">
        <f>IFERROR('Raw Data CF Trent Ltd'!F11,0)</f>
        <v>-50</v>
      </c>
      <c r="E77" s="25">
        <f>IFERROR('Raw Data CF Trent Ltd'!G11,0)</f>
        <v>-77</v>
      </c>
      <c r="F77" s="25">
        <f>IFERROR('Raw Data CF Trent Ltd'!H11,0)</f>
        <v>-83</v>
      </c>
      <c r="G77" s="25">
        <f>IFERROR('Raw Data CF Trent Ltd'!I11,0)</f>
        <v>-1</v>
      </c>
      <c r="H77" s="25">
        <f>IFERROR('Raw Data CF Trent Ltd'!J11,0)</f>
        <v>-82</v>
      </c>
      <c r="I77" s="25">
        <f>IFERROR('Raw Data CF Trent Ltd'!K11,0)</f>
        <v>-191</v>
      </c>
      <c r="J77" s="25">
        <f>IFERROR('Raw Data CF Trent Ltd'!L11,0)</f>
        <v>-299</v>
      </c>
      <c r="K77" s="25">
        <f>IFERROR('Raw Data CF Trent Ltd'!M11,0)</f>
        <v>-494</v>
      </c>
      <c r="L77" s="25">
        <f>IFERROR('Raw Data CF Trent Ltd'!N11,0)</f>
        <v>-551</v>
      </c>
      <c r="N77" s="25"/>
    </row>
    <row r="78" spans="1:14" x14ac:dyDescent="0.3">
      <c r="B78" s="51" t="s">
        <v>117</v>
      </c>
      <c r="C78" s="52">
        <f>C70+C76+C77</f>
        <v>104</v>
      </c>
      <c r="D78" s="52">
        <f t="shared" ref="D78:L78" si="25">D70+D76+D77</f>
        <v>78</v>
      </c>
      <c r="E78" s="52">
        <f t="shared" si="25"/>
        <v>21</v>
      </c>
      <c r="F78" s="52">
        <f t="shared" si="25"/>
        <v>361</v>
      </c>
      <c r="G78" s="52">
        <f t="shared" si="25"/>
        <v>285</v>
      </c>
      <c r="H78" s="52">
        <f t="shared" si="25"/>
        <v>57</v>
      </c>
      <c r="I78" s="52">
        <f t="shared" si="25"/>
        <v>595</v>
      </c>
      <c r="J78" s="52">
        <f t="shared" si="25"/>
        <v>1348</v>
      </c>
      <c r="K78" s="52">
        <f t="shared" si="25"/>
        <v>1661</v>
      </c>
      <c r="L78" s="52">
        <f t="shared" si="25"/>
        <v>2668</v>
      </c>
      <c r="N78" s="25"/>
    </row>
    <row r="79" spans="1:14" x14ac:dyDescent="0.3">
      <c r="N79" s="25"/>
    </row>
    <row r="80" spans="1:14" x14ac:dyDescent="0.3">
      <c r="B80" s="4" t="s">
        <v>118</v>
      </c>
      <c r="N80" s="25"/>
    </row>
    <row r="81" spans="2:14" x14ac:dyDescent="0.3">
      <c r="B81" t="str">
        <f>'Raw Data CF Trent Ltd'!B13</f>
        <v>Fixed assets purchased</v>
      </c>
      <c r="C81" s="25">
        <f>IFERROR('Raw Data CF Trent Ltd'!E13,0)</f>
        <v>-71</v>
      </c>
      <c r="D81" s="25">
        <f>IFERROR('Raw Data CF Trent Ltd'!F13,0)</f>
        <v>-107</v>
      </c>
      <c r="E81" s="25">
        <f>IFERROR('Raw Data CF Trent Ltd'!G13,0)</f>
        <v>-203</v>
      </c>
      <c r="F81" s="25">
        <f>IFERROR('Raw Data CF Trent Ltd'!H13,0)</f>
        <v>-156</v>
      </c>
      <c r="G81" s="25">
        <f>IFERROR('Raw Data CF Trent Ltd'!I13,0)</f>
        <v>-113</v>
      </c>
      <c r="H81" s="25">
        <f>IFERROR('Raw Data CF Trent Ltd'!J13,0)</f>
        <v>-271</v>
      </c>
      <c r="I81" s="25">
        <f>IFERROR('Raw Data CF Trent Ltd'!K13,0)</f>
        <v>-503</v>
      </c>
      <c r="J81" s="25">
        <f>IFERROR('Raw Data CF Trent Ltd'!L13,0)</f>
        <v>-737</v>
      </c>
      <c r="K81" s="25">
        <f>IFERROR('Raw Data CF Trent Ltd'!M13,0)</f>
        <v>-1268</v>
      </c>
      <c r="L81" s="25">
        <f>IFERROR('Raw Data CF Trent Ltd'!N13,0)</f>
        <v>-1763</v>
      </c>
      <c r="N81" s="25"/>
    </row>
    <row r="82" spans="2:14" x14ac:dyDescent="0.3">
      <c r="B82" t="str">
        <f>'Raw Data CF Trent Ltd'!B14</f>
        <v>Fixed assets sold</v>
      </c>
      <c r="C82" s="25">
        <f>IFERROR('Raw Data CF Trent Ltd'!E14,0)</f>
        <v>2</v>
      </c>
      <c r="D82" s="25">
        <f>IFERROR('Raw Data CF Trent Ltd'!F14,0)</f>
        <v>1</v>
      </c>
      <c r="E82" s="25">
        <f>IFERROR('Raw Data CF Trent Ltd'!G14,0)</f>
        <v>7</v>
      </c>
      <c r="F82" s="25">
        <f>IFERROR('Raw Data CF Trent Ltd'!H14,0)</f>
        <v>42</v>
      </c>
      <c r="G82" s="25">
        <f>IFERROR('Raw Data CF Trent Ltd'!I14,0)</f>
        <v>22</v>
      </c>
      <c r="H82" s="25">
        <f>IFERROR('Raw Data CF Trent Ltd'!J14,0)</f>
        <v>61</v>
      </c>
      <c r="I82" s="25">
        <f>IFERROR('Raw Data CF Trent Ltd'!K14,0)</f>
        <v>280</v>
      </c>
      <c r="J82" s="25">
        <f>IFERROR('Raw Data CF Trent Ltd'!L14,0)</f>
        <v>343</v>
      </c>
      <c r="K82" s="25">
        <f>IFERROR('Raw Data CF Trent Ltd'!M14,0)</f>
        <v>407</v>
      </c>
      <c r="L82" s="25">
        <f>IFERROR('Raw Data CF Trent Ltd'!N14,0)</f>
        <v>26</v>
      </c>
      <c r="N82" s="25"/>
    </row>
    <row r="83" spans="2:14" x14ac:dyDescent="0.3">
      <c r="B83" t="str">
        <f>'Raw Data CF Trent Ltd'!B15</f>
        <v>Investments purchased</v>
      </c>
      <c r="C83" s="25">
        <f>IFERROR('Raw Data CF Trent Ltd'!E15,0)</f>
        <v>-937</v>
      </c>
      <c r="D83" s="25">
        <f>IFERROR('Raw Data CF Trent Ltd'!F15,0)</f>
        <v>-972</v>
      </c>
      <c r="E83" s="25">
        <f>IFERROR('Raw Data CF Trent Ltd'!G15,0)</f>
        <v>-1285</v>
      </c>
      <c r="F83" s="25">
        <f>IFERROR('Raw Data CF Trent Ltd'!H15,0)</f>
        <v>-2895</v>
      </c>
      <c r="G83" s="25">
        <f>IFERROR('Raw Data CF Trent Ltd'!I15,0)</f>
        <v>-591</v>
      </c>
      <c r="H83" s="25">
        <f>IFERROR('Raw Data CF Trent Ltd'!J15,0)</f>
        <v>-1322</v>
      </c>
      <c r="I83" s="25">
        <f>IFERROR('Raw Data CF Trent Ltd'!K15,0)</f>
        <v>-1610</v>
      </c>
      <c r="J83" s="25">
        <f>IFERROR('Raw Data CF Trent Ltd'!L15,0)</f>
        <v>-1938</v>
      </c>
      <c r="K83" s="25">
        <f>IFERROR('Raw Data CF Trent Ltd'!M15,0)</f>
        <v>-3885</v>
      </c>
      <c r="L83" s="25">
        <f>IFERROR('Raw Data CF Trent Ltd'!N15,0)</f>
        <v>-4825</v>
      </c>
      <c r="N83" s="25"/>
    </row>
    <row r="84" spans="2:14" x14ac:dyDescent="0.3">
      <c r="B84" t="str">
        <f>'Raw Data CF Trent Ltd'!B16</f>
        <v>Investments sold</v>
      </c>
      <c r="C84" s="25">
        <f>IFERROR('Raw Data CF Trent Ltd'!E16,0)</f>
        <v>951</v>
      </c>
      <c r="D84" s="25">
        <f>IFERROR('Raw Data CF Trent Ltd'!F16,0)</f>
        <v>1065</v>
      </c>
      <c r="E84" s="25">
        <f>IFERROR('Raw Data CF Trent Ltd'!G16,0)</f>
        <v>1510</v>
      </c>
      <c r="F84" s="25">
        <f>IFERROR('Raw Data CF Trent Ltd'!H16,0)</f>
        <v>2237</v>
      </c>
      <c r="G84" s="25">
        <f>IFERROR('Raw Data CF Trent Ltd'!I16,0)</f>
        <v>731</v>
      </c>
      <c r="H84" s="25">
        <f>IFERROR('Raw Data CF Trent Ltd'!J16,0)</f>
        <v>1530</v>
      </c>
      <c r="I84" s="25">
        <f>IFERROR('Raw Data CF Trent Ltd'!K16,0)</f>
        <v>1616</v>
      </c>
      <c r="J84" s="25">
        <f>IFERROR('Raw Data CF Trent Ltd'!L16,0)</f>
        <v>1808</v>
      </c>
      <c r="K84" s="25">
        <f>IFERROR('Raw Data CF Trent Ltd'!M16,0)</f>
        <v>3852</v>
      </c>
      <c r="L84" s="25">
        <f>IFERROR('Raw Data CF Trent Ltd'!N16,0)</f>
        <v>4863</v>
      </c>
      <c r="N84" s="25"/>
    </row>
    <row r="85" spans="2:14" x14ac:dyDescent="0.3">
      <c r="B85" t="str">
        <f>'Raw Data CF Trent Ltd'!B17</f>
        <v>Interest received</v>
      </c>
      <c r="C85" s="25">
        <f>IFERROR('Raw Data CF Trent Ltd'!E17,0)</f>
        <v>17</v>
      </c>
      <c r="D85" s="25">
        <f>IFERROR('Raw Data CF Trent Ltd'!F17,0)</f>
        <v>16</v>
      </c>
      <c r="E85" s="25">
        <f>IFERROR('Raw Data CF Trent Ltd'!G17,0)</f>
        <v>16</v>
      </c>
      <c r="F85" s="25">
        <f>IFERROR('Raw Data CF Trent Ltd'!H17,0)</f>
        <v>19</v>
      </c>
      <c r="G85" s="25">
        <f>IFERROR('Raw Data CF Trent Ltd'!I17,0)</f>
        <v>21</v>
      </c>
      <c r="H85" s="25">
        <f>IFERROR('Raw Data CF Trent Ltd'!J17,0)</f>
        <v>15</v>
      </c>
      <c r="I85" s="25">
        <f>IFERROR('Raw Data CF Trent Ltd'!K17,0)</f>
        <v>8</v>
      </c>
      <c r="J85" s="25">
        <f>IFERROR('Raw Data CF Trent Ltd'!L17,0)</f>
        <v>2</v>
      </c>
      <c r="K85" s="25">
        <f>IFERROR('Raw Data CF Trent Ltd'!M17,0)</f>
        <v>6</v>
      </c>
      <c r="L85" s="25">
        <f>IFERROR('Raw Data CF Trent Ltd'!N17,0)</f>
        <v>17</v>
      </c>
      <c r="N85" s="25"/>
    </row>
    <row r="86" spans="2:14" x14ac:dyDescent="0.3">
      <c r="B86" t="str">
        <f>'Raw Data CF Trent Ltd'!B18</f>
        <v>Dividends received</v>
      </c>
      <c r="C86" s="25">
        <f>IFERROR('Raw Data CF Trent Ltd'!E18,0)</f>
        <v>2</v>
      </c>
      <c r="D86" s="25">
        <f>IFERROR('Raw Data CF Trent Ltd'!F18,0)</f>
        <v>1</v>
      </c>
      <c r="E86" s="25">
        <f>IFERROR('Raw Data CF Trent Ltd'!G18,0)</f>
        <v>2</v>
      </c>
      <c r="F86" s="25">
        <f>IFERROR('Raw Data CF Trent Ltd'!H18,0)</f>
        <v>15</v>
      </c>
      <c r="G86" s="25">
        <f>IFERROR('Raw Data CF Trent Ltd'!I18,0)</f>
        <v>5</v>
      </c>
      <c r="H86" s="25">
        <f>IFERROR('Raw Data CF Trent Ltd'!J18,0)</f>
        <v>109</v>
      </c>
      <c r="I86" s="25">
        <f>IFERROR('Raw Data CF Trent Ltd'!K18,0)</f>
        <v>148</v>
      </c>
      <c r="J86" s="25">
        <f>IFERROR('Raw Data CF Trent Ltd'!L18,0)</f>
        <v>75</v>
      </c>
      <c r="K86" s="25">
        <f>IFERROR('Raw Data CF Trent Ltd'!M18,0)</f>
        <v>1</v>
      </c>
      <c r="L86" s="25">
        <f>IFERROR('Raw Data CF Trent Ltd'!N18,0)</f>
        <v>34</v>
      </c>
      <c r="N86" s="25"/>
    </row>
    <row r="87" spans="2:14" x14ac:dyDescent="0.3">
      <c r="B87" t="str">
        <f>'Raw Data CF Trent Ltd'!B19</f>
        <v>Invest in subsidiaries</v>
      </c>
      <c r="C87" s="25">
        <f>IFERROR('Raw Data CF Trent Ltd'!E19,0)</f>
        <v>0</v>
      </c>
      <c r="D87" s="25">
        <f>IFERROR('Raw Data CF Trent Ltd'!F19,0)</f>
        <v>0</v>
      </c>
      <c r="E87" s="25">
        <f>IFERROR('Raw Data CF Trent Ltd'!G19,0)</f>
        <v>0</v>
      </c>
      <c r="F87" s="25">
        <f>IFERROR('Raw Data CF Trent Ltd'!H19,0)</f>
        <v>0</v>
      </c>
      <c r="G87" s="25">
        <f>IFERROR('Raw Data CF Trent Ltd'!I19,0)</f>
        <v>0</v>
      </c>
      <c r="H87" s="25">
        <f>IFERROR('Raw Data CF Trent Ltd'!J19,0)</f>
        <v>0</v>
      </c>
      <c r="I87" s="25">
        <f>IFERROR('Raw Data CF Trent Ltd'!K19,0)</f>
        <v>0</v>
      </c>
      <c r="J87" s="25">
        <f>IFERROR('Raw Data CF Trent Ltd'!L19,0)</f>
        <v>0</v>
      </c>
      <c r="K87" s="25">
        <f>IFERROR('Raw Data CF Trent Ltd'!M19,0)</f>
        <v>0</v>
      </c>
      <c r="L87" s="25">
        <f>IFERROR('Raw Data CF Trent Ltd'!N19,0)</f>
        <v>-92</v>
      </c>
      <c r="N87" s="25"/>
    </row>
    <row r="88" spans="2:14" x14ac:dyDescent="0.3">
      <c r="B88" t="str">
        <f>'Raw Data CF Trent Ltd'!B20</f>
        <v>Redemp n Canc of Shares</v>
      </c>
      <c r="C88" s="25">
        <f>IFERROR('Raw Data CF Trent Ltd'!E20,0)</f>
        <v>0</v>
      </c>
      <c r="D88" s="25">
        <f>IFERROR('Raw Data CF Trent Ltd'!F20,0)</f>
        <v>0</v>
      </c>
      <c r="E88" s="25">
        <f>IFERROR('Raw Data CF Trent Ltd'!G20,0)</f>
        <v>0</v>
      </c>
      <c r="F88" s="25">
        <f>IFERROR('Raw Data CF Trent Ltd'!H20,0)</f>
        <v>0</v>
      </c>
      <c r="G88" s="25">
        <f>IFERROR('Raw Data CF Trent Ltd'!I20,0)</f>
        <v>0</v>
      </c>
      <c r="H88" s="25">
        <f>IFERROR('Raw Data CF Trent Ltd'!J20,0)</f>
        <v>0</v>
      </c>
      <c r="I88" s="25">
        <f>IFERROR('Raw Data CF Trent Ltd'!K20,0)</f>
        <v>0</v>
      </c>
      <c r="J88" s="25">
        <f>IFERROR('Raw Data CF Trent Ltd'!L20,0)</f>
        <v>0</v>
      </c>
      <c r="K88" s="25">
        <f>IFERROR('Raw Data CF Trent Ltd'!M20,0)</f>
        <v>0</v>
      </c>
      <c r="L88" s="25">
        <f>IFERROR('Raw Data CF Trent Ltd'!N20,0)</f>
        <v>146</v>
      </c>
      <c r="N88" s="25"/>
    </row>
    <row r="89" spans="2:14" x14ac:dyDescent="0.3">
      <c r="B89" t="str">
        <f>'Raw Data CF Trent Ltd'!B21</f>
        <v>Acquisition of companies</v>
      </c>
      <c r="C89" s="25">
        <f>IFERROR('Raw Data CF Trent Ltd'!E21,0)</f>
        <v>-8</v>
      </c>
      <c r="D89" s="25">
        <f>IFERROR('Raw Data CF Trent Ltd'!F21,0)</f>
        <v>-7</v>
      </c>
      <c r="E89" s="25">
        <f>IFERROR('Raw Data CF Trent Ltd'!G21,0)</f>
        <v>-85</v>
      </c>
      <c r="F89" s="25">
        <f>IFERROR('Raw Data CF Trent Ltd'!H21,0)</f>
        <v>-22</v>
      </c>
      <c r="G89" s="25">
        <f>IFERROR('Raw Data CF Trent Ltd'!I21,0)</f>
        <v>-45</v>
      </c>
      <c r="H89" s="25">
        <f>IFERROR('Raw Data CF Trent Ltd'!J21,0)</f>
        <v>-66</v>
      </c>
      <c r="I89" s="25">
        <f>IFERROR('Raw Data CF Trent Ltd'!K21,0)</f>
        <v>-52</v>
      </c>
      <c r="J89" s="25">
        <f>IFERROR('Raw Data CF Trent Ltd'!L21,0)</f>
        <v>-62</v>
      </c>
      <c r="K89" s="25">
        <f>IFERROR('Raw Data CF Trent Ltd'!M21,0)</f>
        <v>-37</v>
      </c>
      <c r="L89" s="25">
        <f>IFERROR('Raw Data CF Trent Ltd'!N21,0)</f>
        <v>0</v>
      </c>
      <c r="N89" s="25"/>
    </row>
    <row r="90" spans="2:14" x14ac:dyDescent="0.3">
      <c r="B90" t="str">
        <f>'Raw Data CF Trent Ltd'!B22</f>
        <v>Other investing items</v>
      </c>
      <c r="C90" s="25">
        <f>IFERROR('Raw Data CF Trent Ltd'!E22,0)</f>
        <v>0</v>
      </c>
      <c r="D90" s="25">
        <f>IFERROR('Raw Data CF Trent Ltd'!F22,0)</f>
        <v>0</v>
      </c>
      <c r="E90" s="25">
        <f>IFERROR('Raw Data CF Trent Ltd'!G22,0)</f>
        <v>0</v>
      </c>
      <c r="F90" s="25">
        <f>IFERROR('Raw Data CF Trent Ltd'!H22,0)</f>
        <v>-49</v>
      </c>
      <c r="G90" s="25">
        <f>IFERROR('Raw Data CF Trent Ltd'!I22,0)</f>
        <v>-12</v>
      </c>
      <c r="H90" s="25">
        <f>IFERROR('Raw Data CF Trent Ltd'!J22,0)</f>
        <v>0</v>
      </c>
      <c r="I90" s="25">
        <f>IFERROR('Raw Data CF Trent Ltd'!K22,0)</f>
        <v>10</v>
      </c>
      <c r="J90" s="25">
        <f>IFERROR('Raw Data CF Trent Ltd'!L22,0)</f>
        <v>0</v>
      </c>
      <c r="K90" s="25">
        <f>IFERROR('Raw Data CF Trent Ltd'!M22,0)</f>
        <v>0</v>
      </c>
      <c r="L90" s="25">
        <f>IFERROR('Raw Data CF Trent Ltd'!N22,0)</f>
        <v>15</v>
      </c>
      <c r="N90" s="25"/>
    </row>
    <row r="91" spans="2:14" x14ac:dyDescent="0.3">
      <c r="B91" s="51" t="s">
        <v>119</v>
      </c>
      <c r="C91" s="52">
        <f t="shared" ref="C91:L91" si="26">IFERROR(SUM(C81:C90),0)</f>
        <v>-44</v>
      </c>
      <c r="D91" s="52">
        <f t="shared" si="26"/>
        <v>-3</v>
      </c>
      <c r="E91" s="52">
        <f t="shared" si="26"/>
        <v>-38</v>
      </c>
      <c r="F91" s="52">
        <f t="shared" si="26"/>
        <v>-809</v>
      </c>
      <c r="G91" s="52">
        <f t="shared" si="26"/>
        <v>18</v>
      </c>
      <c r="H91" s="52">
        <f t="shared" si="26"/>
        <v>56</v>
      </c>
      <c r="I91" s="52">
        <f t="shared" si="26"/>
        <v>-103</v>
      </c>
      <c r="J91" s="52">
        <f t="shared" si="26"/>
        <v>-509</v>
      </c>
      <c r="K91" s="52">
        <f t="shared" si="26"/>
        <v>-924</v>
      </c>
      <c r="L91" s="52">
        <f t="shared" si="26"/>
        <v>-1579</v>
      </c>
      <c r="N91" s="25"/>
    </row>
    <row r="92" spans="2:14" x14ac:dyDescent="0.3">
      <c r="N92" s="25"/>
    </row>
    <row r="93" spans="2:14" x14ac:dyDescent="0.3">
      <c r="B93" s="4" t="s">
        <v>120</v>
      </c>
      <c r="N93" s="25"/>
    </row>
    <row r="94" spans="2:14" x14ac:dyDescent="0.3">
      <c r="B94" t="str">
        <f>'Raw Data CF Trent Ltd'!B24</f>
        <v>Proceeds from shares</v>
      </c>
      <c r="C94" s="25">
        <f>IFERROR('Raw Data CF Trent Ltd'!E24,0)</f>
        <v>100</v>
      </c>
      <c r="D94" s="25">
        <f>IFERROR('Raw Data CF Trent Ltd'!F24,0)</f>
        <v>0</v>
      </c>
      <c r="E94" s="25">
        <f>IFERROR('Raw Data CF Trent Ltd'!G24,0)</f>
        <v>0</v>
      </c>
      <c r="F94" s="25">
        <f>IFERROR('Raw Data CF Trent Ltd'!H24,0)</f>
        <v>1032</v>
      </c>
      <c r="G94" s="25">
        <f>IFERROR('Raw Data CF Trent Ltd'!I24,0)</f>
        <v>0</v>
      </c>
      <c r="H94" s="25">
        <f>IFERROR('Raw Data CF Trent Ltd'!J24,0)</f>
        <v>551</v>
      </c>
      <c r="I94" s="25">
        <f>IFERROR('Raw Data CF Trent Ltd'!K24,0)</f>
        <v>46</v>
      </c>
      <c r="J94" s="25">
        <f>IFERROR('Raw Data CF Trent Ltd'!L24,0)</f>
        <v>36</v>
      </c>
      <c r="K94" s="25">
        <f>IFERROR('Raw Data CF Trent Ltd'!M24,0)</f>
        <v>93</v>
      </c>
      <c r="L94" s="25">
        <f>IFERROR('Raw Data CF Trent Ltd'!N24,0)</f>
        <v>0</v>
      </c>
      <c r="N94" s="25"/>
    </row>
    <row r="95" spans="2:14" x14ac:dyDescent="0.3">
      <c r="B95" t="str">
        <f>'Raw Data CF Trent Ltd'!B25</f>
        <v>Proceeds from borrowings</v>
      </c>
      <c r="C95" s="25">
        <f>IFERROR('Raw Data CF Trent Ltd'!E25,0)</f>
        <v>238</v>
      </c>
      <c r="D95" s="25">
        <f>IFERROR('Raw Data CF Trent Ltd'!F25,0)</f>
        <v>382</v>
      </c>
      <c r="E95" s="25">
        <f>IFERROR('Raw Data CF Trent Ltd'!G25,0)</f>
        <v>392</v>
      </c>
      <c r="F95" s="25">
        <f>IFERROR('Raw Data CF Trent Ltd'!H25,0)</f>
        <v>93</v>
      </c>
      <c r="G95" s="25">
        <f>IFERROR('Raw Data CF Trent Ltd'!I25,0)</f>
        <v>0</v>
      </c>
      <c r="H95" s="25">
        <f>IFERROR('Raw Data CF Trent Ltd'!J25,0)</f>
        <v>0</v>
      </c>
      <c r="I95" s="25">
        <f>IFERROR('Raw Data CF Trent Ltd'!K25,0)</f>
        <v>173</v>
      </c>
      <c r="J95" s="25">
        <f>IFERROR('Raw Data CF Trent Ltd'!L25,0)</f>
        <v>0</v>
      </c>
      <c r="K95" s="25">
        <f>IFERROR('Raw Data CF Trent Ltd'!M25,0)</f>
        <v>0</v>
      </c>
      <c r="L95" s="25">
        <f>IFERROR('Raw Data CF Trent Ltd'!N25,0)</f>
        <v>0</v>
      </c>
      <c r="N95" s="25"/>
    </row>
    <row r="96" spans="2:14" x14ac:dyDescent="0.3">
      <c r="B96" t="str">
        <f>'Raw Data CF Trent Ltd'!B26</f>
        <v>Repayment of borrowings</v>
      </c>
      <c r="C96" s="25">
        <f>IFERROR('Raw Data CF Trent Ltd'!E26,0)</f>
        <v>-48</v>
      </c>
      <c r="D96" s="25">
        <f>IFERROR('Raw Data CF Trent Ltd'!F26,0)</f>
        <v>-282</v>
      </c>
      <c r="E96" s="25">
        <f>IFERROR('Raw Data CF Trent Ltd'!G26,0)</f>
        <v>-286</v>
      </c>
      <c r="F96" s="25">
        <f>IFERROR('Raw Data CF Trent Ltd'!H26,0)</f>
        <v>-186</v>
      </c>
      <c r="G96" s="25">
        <f>IFERROR('Raw Data CF Trent Ltd'!I26,0)</f>
        <v>0</v>
      </c>
      <c r="H96" s="25">
        <f>IFERROR('Raw Data CF Trent Ltd'!J26,0)</f>
        <v>-301</v>
      </c>
      <c r="I96" s="25">
        <f>IFERROR('Raw Data CF Trent Ltd'!K26,0)</f>
        <v>-173</v>
      </c>
      <c r="J96" s="25">
        <f>IFERROR('Raw Data CF Trent Ltd'!L26,0)</f>
        <v>0</v>
      </c>
      <c r="K96" s="25">
        <f>IFERROR('Raw Data CF Trent Ltd'!M26,0)</f>
        <v>0</v>
      </c>
      <c r="L96" s="25">
        <f>IFERROR('Raw Data CF Trent Ltd'!N26,0)</f>
        <v>0</v>
      </c>
      <c r="N96" s="25"/>
    </row>
    <row r="97" spans="1:14" x14ac:dyDescent="0.3">
      <c r="B97" t="str">
        <f>'Raw Data CF Trent Ltd'!B27</f>
        <v>Interest paid fin</v>
      </c>
      <c r="C97" s="25">
        <f>IFERROR('Raw Data CF Trent Ltd'!E27,0)</f>
        <v>-36</v>
      </c>
      <c r="D97" s="25">
        <f>IFERROR('Raw Data CF Trent Ltd'!F27,0)</f>
        <v>-32</v>
      </c>
      <c r="E97" s="25">
        <f>IFERROR('Raw Data CF Trent Ltd'!G27,0)</f>
        <v>-23</v>
      </c>
      <c r="F97" s="25">
        <f>IFERROR('Raw Data CF Trent Ltd'!H27,0)</f>
        <v>-251</v>
      </c>
      <c r="G97" s="25">
        <f>IFERROR('Raw Data CF Trent Ltd'!I27,0)</f>
        <v>-184</v>
      </c>
      <c r="H97" s="25">
        <f>IFERROR('Raw Data CF Trent Ltd'!J27,0)</f>
        <v>-246</v>
      </c>
      <c r="I97" s="25">
        <f>IFERROR('Raw Data CF Trent Ltd'!K27,0)</f>
        <v>-359</v>
      </c>
      <c r="J97" s="25">
        <f>IFERROR('Raw Data CF Trent Ltd'!L27,0)</f>
        <v>-309</v>
      </c>
      <c r="K97" s="25">
        <f>IFERROR('Raw Data CF Trent Ltd'!M27,0)</f>
        <v>-134</v>
      </c>
      <c r="L97" s="25">
        <f>IFERROR('Raw Data CF Trent Ltd'!N27,0)</f>
        <v>-173</v>
      </c>
      <c r="N97" s="25"/>
    </row>
    <row r="98" spans="1:14" x14ac:dyDescent="0.3">
      <c r="B98" t="str">
        <f>'Raw Data CF Trent Ltd'!B28</f>
        <v>Dividends paid</v>
      </c>
      <c r="C98" s="25">
        <f>IFERROR('Raw Data CF Trent Ltd'!E28,0)</f>
        <v>-1</v>
      </c>
      <c r="D98" s="25">
        <f>IFERROR('Raw Data CF Trent Ltd'!F28,0)</f>
        <v>-40</v>
      </c>
      <c r="E98" s="25">
        <f>IFERROR('Raw Data CF Trent Ltd'!G28,0)</f>
        <v>-46</v>
      </c>
      <c r="F98" s="25">
        <f>IFERROR('Raw Data CF Trent Ltd'!H28,0)</f>
        <v>-52</v>
      </c>
      <c r="G98" s="25">
        <f>IFERROR('Raw Data CF Trent Ltd'!I28,0)</f>
        <v>-36</v>
      </c>
      <c r="H98" s="25">
        <f>IFERROR('Raw Data CF Trent Ltd'!J28,0)</f>
        <v>-43</v>
      </c>
      <c r="I98" s="25">
        <f>IFERROR('Raw Data CF Trent Ltd'!K28,0)</f>
        <v>-39</v>
      </c>
      <c r="J98" s="25">
        <f>IFERROR('Raw Data CF Trent Ltd'!L28,0)</f>
        <v>-78</v>
      </c>
      <c r="K98" s="25">
        <f>IFERROR('Raw Data CF Trent Ltd'!M28,0)</f>
        <v>-114</v>
      </c>
      <c r="L98" s="25">
        <f>IFERROR('Raw Data CF Trent Ltd'!N28,0)</f>
        <v>-177</v>
      </c>
      <c r="N98" s="25"/>
    </row>
    <row r="99" spans="1:14" x14ac:dyDescent="0.3">
      <c r="B99" t="str">
        <f>'Raw Data CF Trent Ltd'!B29</f>
        <v>Financial liabilities</v>
      </c>
      <c r="C99" s="25">
        <f>IFERROR('Raw Data CF Trent Ltd'!E29,0)</f>
        <v>0</v>
      </c>
      <c r="D99" s="25">
        <f>IFERROR('Raw Data CF Trent Ltd'!F29,0)</f>
        <v>0</v>
      </c>
      <c r="E99" s="25">
        <f>IFERROR('Raw Data CF Trent Ltd'!G29,0)</f>
        <v>0</v>
      </c>
      <c r="F99" s="25">
        <f>IFERROR('Raw Data CF Trent Ltd'!H29,0)</f>
        <v>-84</v>
      </c>
      <c r="G99" s="25">
        <f>IFERROR('Raw Data CF Trent Ltd'!I29,0)</f>
        <v>-63</v>
      </c>
      <c r="H99" s="25">
        <f>IFERROR('Raw Data CF Trent Ltd'!J29,0)</f>
        <v>-69</v>
      </c>
      <c r="I99" s="25">
        <f>IFERROR('Raw Data CF Trent Ltd'!K29,0)</f>
        <v>-140</v>
      </c>
      <c r="J99" s="25">
        <f>IFERROR('Raw Data CF Trent Ltd'!L29,0)</f>
        <v>-277</v>
      </c>
      <c r="K99" s="25">
        <f>IFERROR('Raw Data CF Trent Ltd'!M29,0)</f>
        <v>-540</v>
      </c>
      <c r="L99" s="25">
        <f>IFERROR('Raw Data CF Trent Ltd'!N29,0)</f>
        <v>-797</v>
      </c>
      <c r="N99" s="25"/>
    </row>
    <row r="100" spans="1:14" x14ac:dyDescent="0.3">
      <c r="B100" t="str">
        <f>'Raw Data CF Trent Ltd'!B30</f>
        <v>Other financing items</v>
      </c>
      <c r="C100" s="25">
        <f>IFERROR('Raw Data CF Trent Ltd'!E30,0)</f>
        <v>-303</v>
      </c>
      <c r="D100" s="25">
        <f>IFERROR('Raw Data CF Trent Ltd'!F30,0)</f>
        <v>-102</v>
      </c>
      <c r="E100" s="25">
        <f>IFERROR('Raw Data CF Trent Ltd'!G30,0)</f>
        <v>0</v>
      </c>
      <c r="F100" s="25">
        <f>IFERROR('Raw Data CF Trent Ltd'!H30,0)</f>
        <v>-100</v>
      </c>
      <c r="G100" s="25">
        <f>IFERROR('Raw Data CF Trent Ltd'!I30,0)</f>
        <v>0</v>
      </c>
      <c r="H100" s="25">
        <f>IFERROR('Raw Data CF Trent Ltd'!J30,0)</f>
        <v>0</v>
      </c>
      <c r="I100" s="25">
        <f>IFERROR('Raw Data CF Trent Ltd'!K30,0)</f>
        <v>0</v>
      </c>
      <c r="J100" s="25">
        <f>IFERROR('Raw Data CF Trent Ltd'!L30,0)</f>
        <v>0</v>
      </c>
      <c r="K100" s="25">
        <f>IFERROR('Raw Data CF Trent Ltd'!M30,0)</f>
        <v>0</v>
      </c>
      <c r="L100" s="25">
        <f>IFERROR('Raw Data CF Trent Ltd'!N30,0)</f>
        <v>0</v>
      </c>
      <c r="N100" s="25"/>
    </row>
    <row r="101" spans="1:14" x14ac:dyDescent="0.3">
      <c r="B101" s="51" t="s">
        <v>122</v>
      </c>
      <c r="C101" s="52">
        <f t="shared" ref="C101:L101" si="27">IFERROR(SUM(C94:C100),0)</f>
        <v>-50</v>
      </c>
      <c r="D101" s="52">
        <f t="shared" si="27"/>
        <v>-74</v>
      </c>
      <c r="E101" s="52">
        <f t="shared" si="27"/>
        <v>37</v>
      </c>
      <c r="F101" s="52">
        <f t="shared" si="27"/>
        <v>452</v>
      </c>
      <c r="G101" s="52">
        <f t="shared" si="27"/>
        <v>-283</v>
      </c>
      <c r="H101" s="52">
        <f t="shared" si="27"/>
        <v>-108</v>
      </c>
      <c r="I101" s="52">
        <f t="shared" si="27"/>
        <v>-492</v>
      </c>
      <c r="J101" s="52">
        <f t="shared" si="27"/>
        <v>-628</v>
      </c>
      <c r="K101" s="52">
        <f t="shared" si="27"/>
        <v>-695</v>
      </c>
      <c r="L101" s="52">
        <f t="shared" si="27"/>
        <v>-1147</v>
      </c>
      <c r="N101" s="25"/>
    </row>
    <row r="102" spans="1:14" x14ac:dyDescent="0.3">
      <c r="N102" s="25"/>
    </row>
    <row r="103" spans="1:14" x14ac:dyDescent="0.3">
      <c r="B103" s="38" t="s">
        <v>123</v>
      </c>
      <c r="C103" s="33">
        <f t="shared" ref="C103:L103" si="28">IFERROR(SUM(C101,C91,C78),0)</f>
        <v>10</v>
      </c>
      <c r="D103" s="33">
        <f t="shared" si="28"/>
        <v>1</v>
      </c>
      <c r="E103" s="33">
        <f t="shared" si="28"/>
        <v>20</v>
      </c>
      <c r="F103" s="33">
        <f t="shared" si="28"/>
        <v>4</v>
      </c>
      <c r="G103" s="33">
        <f t="shared" si="28"/>
        <v>20</v>
      </c>
      <c r="H103" s="33">
        <f t="shared" si="28"/>
        <v>5</v>
      </c>
      <c r="I103" s="33">
        <f t="shared" si="28"/>
        <v>0</v>
      </c>
      <c r="J103" s="33">
        <f t="shared" si="28"/>
        <v>211</v>
      </c>
      <c r="K103" s="33">
        <f t="shared" si="28"/>
        <v>42</v>
      </c>
      <c r="L103" s="33">
        <f t="shared" si="28"/>
        <v>-58</v>
      </c>
      <c r="N103" s="25"/>
    </row>
    <row r="104" spans="1:14" x14ac:dyDescent="0.3">
      <c r="N104" s="25"/>
    </row>
    <row r="105" spans="1:14" x14ac:dyDescent="0.3">
      <c r="B105" s="53" t="s">
        <v>164</v>
      </c>
      <c r="C105" s="2"/>
      <c r="D105" s="2"/>
      <c r="E105" s="5"/>
    </row>
    <row r="106" spans="1:14" ht="14.4" customHeight="1" x14ac:dyDescent="0.3">
      <c r="A106" s="4"/>
      <c r="B106" s="231" t="str">
        <f>" 1."</f>
        <v xml:space="preserve"> 1.</v>
      </c>
      <c r="C106" s="227" t="s">
        <v>165</v>
      </c>
      <c r="D106" s="227"/>
      <c r="E106" s="228"/>
    </row>
    <row r="107" spans="1:14" x14ac:dyDescent="0.3">
      <c r="B107" s="231"/>
      <c r="C107" s="227"/>
      <c r="D107" s="227"/>
      <c r="E107" s="228"/>
    </row>
    <row r="108" spans="1:14" x14ac:dyDescent="0.3">
      <c r="B108" s="232"/>
      <c r="C108" s="229"/>
      <c r="D108" s="229"/>
      <c r="E108" s="230"/>
    </row>
    <row r="109" spans="1:14" x14ac:dyDescent="0.3">
      <c r="C109" s="50"/>
      <c r="D109" s="50"/>
      <c r="E109" s="50"/>
    </row>
  </sheetData>
  <mergeCells count="3">
    <mergeCell ref="B2:M2"/>
    <mergeCell ref="C106:E108"/>
    <mergeCell ref="B106:B108"/>
  </mergeCells>
  <pageMargins left="0.7" right="0.7" top="0.75" bottom="0.75" header="0.3" footer="0.3"/>
  <ignoredErrors>
    <ignoredError sqref="M6 C15"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4F987-BE78-48CA-BFB8-AD1E5EB1CDDC}">
  <sheetPr>
    <tabColor rgb="FF4DA42E"/>
  </sheetPr>
  <dimension ref="B2:O45"/>
  <sheetViews>
    <sheetView showGridLines="0" workbookViewId="0">
      <selection activeCell="B21" sqref="B21:L21"/>
    </sheetView>
  </sheetViews>
  <sheetFormatPr defaultRowHeight="14.4" x14ac:dyDescent="0.3"/>
  <cols>
    <col min="1" max="1" width="1.88671875" customWidth="1"/>
    <col min="2" max="2" width="18.109375" bestFit="1" customWidth="1"/>
  </cols>
  <sheetData>
    <row r="2" spans="2:15" x14ac:dyDescent="0.3">
      <c r="B2" s="242" t="str">
        <f>"Common Size Income Statement"&amp;" "&amp;"-"&amp;" "&amp;'Raw Data Trent Ltd'!B1</f>
        <v>Common Size Income Statement - TRENT LTD</v>
      </c>
      <c r="C2" s="242"/>
      <c r="D2" s="242"/>
      <c r="E2" s="242"/>
      <c r="F2" s="242"/>
      <c r="G2" s="242"/>
      <c r="H2" s="242"/>
      <c r="I2" s="242"/>
      <c r="J2" s="242"/>
      <c r="K2" s="242"/>
      <c r="L2" s="242"/>
    </row>
    <row r="3" spans="2:15" x14ac:dyDescent="0.3">
      <c r="B3" s="16" t="s">
        <v>1</v>
      </c>
      <c r="C3" s="17">
        <f>'Raw Data Trent Ltd'!$B$16</f>
        <v>42825</v>
      </c>
      <c r="D3" s="17">
        <f>C3+365</f>
        <v>43190</v>
      </c>
      <c r="E3" s="17">
        <f t="shared" ref="E3:L3" si="0">D3+365</f>
        <v>43555</v>
      </c>
      <c r="F3" s="17">
        <f t="shared" si="0"/>
        <v>43920</v>
      </c>
      <c r="G3" s="17">
        <f t="shared" si="0"/>
        <v>44285</v>
      </c>
      <c r="H3" s="17">
        <f t="shared" si="0"/>
        <v>44650</v>
      </c>
      <c r="I3" s="17">
        <f t="shared" si="0"/>
        <v>45015</v>
      </c>
      <c r="J3" s="17">
        <f t="shared" si="0"/>
        <v>45380</v>
      </c>
      <c r="K3" s="17">
        <f t="shared" si="0"/>
        <v>45745</v>
      </c>
      <c r="L3" s="17">
        <f t="shared" si="0"/>
        <v>46110</v>
      </c>
      <c r="M3" s="15"/>
      <c r="N3" s="15"/>
      <c r="O3" s="15"/>
    </row>
    <row r="4" spans="2:15" x14ac:dyDescent="0.3">
      <c r="B4" s="18" t="str">
        <f>'Raw Data Trent Ltd'!A17</f>
        <v>Sales</v>
      </c>
      <c r="C4" s="10">
        <f>'Raw Data Trent Ltd'!B17/'Raw Data Trent Ltd'!B$17</f>
        <v>1</v>
      </c>
      <c r="D4" s="10">
        <f>'Raw Data Trent Ltd'!C17/'Raw Data Trent Ltd'!C$17</f>
        <v>1</v>
      </c>
      <c r="E4" s="10">
        <f>'Raw Data Trent Ltd'!D17/'Raw Data Trent Ltd'!D$17</f>
        <v>1</v>
      </c>
      <c r="F4" s="10">
        <f>'Raw Data Trent Ltd'!E17/'Raw Data Trent Ltd'!E$17</f>
        <v>1</v>
      </c>
      <c r="G4" s="10">
        <f>'Raw Data Trent Ltd'!F17/'Raw Data Trent Ltd'!F$17</f>
        <v>1</v>
      </c>
      <c r="H4" s="10">
        <f>'Raw Data Trent Ltd'!G17/'Raw Data Trent Ltd'!G$17</f>
        <v>1</v>
      </c>
      <c r="I4" s="10">
        <f>'Raw Data Trent Ltd'!H17/'Raw Data Trent Ltd'!H$17</f>
        <v>1</v>
      </c>
      <c r="J4" s="10">
        <f>'Raw Data Trent Ltd'!I17/'Raw Data Trent Ltd'!I$17</f>
        <v>1</v>
      </c>
      <c r="K4" s="10">
        <f>'Raw Data Trent Ltd'!J17/'Raw Data Trent Ltd'!J$17</f>
        <v>1</v>
      </c>
      <c r="L4" s="10">
        <f>'Raw Data Trent Ltd'!K17/'Raw Data Trent Ltd'!K$17</f>
        <v>1</v>
      </c>
    </row>
    <row r="5" spans="2:15" x14ac:dyDescent="0.3">
      <c r="B5" s="18" t="str">
        <f>'Raw Data Trent Ltd'!A18</f>
        <v>Raw Material Cost</v>
      </c>
      <c r="C5" s="1">
        <f>'Raw Data Trent Ltd'!B18/'Raw Data Trent Ltd'!B$17</f>
        <v>0.50275871201253564</v>
      </c>
      <c r="D5" s="1">
        <f>'Raw Data Trent Ltd'!C18/'Raw Data Trent Ltd'!C$17</f>
        <v>0.49596284519759343</v>
      </c>
      <c r="E5" s="1">
        <f>'Raw Data Trent Ltd'!D18/'Raw Data Trent Ltd'!D$17</f>
        <v>0.55495696210231771</v>
      </c>
      <c r="F5" s="1">
        <f>'Raw Data Trent Ltd'!E18/'Raw Data Trent Ltd'!E$17</f>
        <v>0.55985404391304605</v>
      </c>
      <c r="G5" s="1">
        <f>'Raw Data Trent Ltd'!F18/'Raw Data Trent Ltd'!F$17</f>
        <v>0.52898617795878078</v>
      </c>
      <c r="H5" s="1">
        <f>'Raw Data Trent Ltd'!G18/'Raw Data Trent Ltd'!G$17</f>
        <v>0.64925900729654373</v>
      </c>
      <c r="I5" s="1">
        <f>'Raw Data Trent Ltd'!H18/'Raw Data Trent Ltd'!H$17</f>
        <v>0.63225398628006235</v>
      </c>
      <c r="J5" s="1">
        <f>'Raw Data Trent Ltd'!I18/'Raw Data Trent Ltd'!I$17</f>
        <v>0.57563932765042092</v>
      </c>
      <c r="K5" s="1">
        <f>'Raw Data Trent Ltd'!J18/'Raw Data Trent Ltd'!J$17</f>
        <v>0.59198254293503028</v>
      </c>
      <c r="L5" s="1">
        <f>'Raw Data Trent Ltd'!K18/'Raw Data Trent Ltd'!K$17</f>
        <v>0.57271942457511404</v>
      </c>
    </row>
    <row r="6" spans="2:15" x14ac:dyDescent="0.3">
      <c r="B6" s="18" t="str">
        <f>'Raw Data Trent Ltd'!A19</f>
        <v>Change in Inventory</v>
      </c>
      <c r="C6" s="1">
        <f>'Raw Data Trent Ltd'!B19/'Raw Data Trent Ltd'!B$17</f>
        <v>1.6475028138862528E-2</v>
      </c>
      <c r="D6" s="1">
        <f>'Raw Data Trent Ltd'!C19/'Raw Data Trent Ltd'!C$17</f>
        <v>1.7849693621202711E-2</v>
      </c>
      <c r="E6" s="1">
        <f>'Raw Data Trent Ltd'!D19/'Raw Data Trent Ltd'!D$17</f>
        <v>5.6356073970436162E-2</v>
      </c>
      <c r="F6" s="1">
        <f>'Raw Data Trent Ltd'!E19/'Raw Data Trent Ltd'!E$17</f>
        <v>2.0048881519687433E-2</v>
      </c>
      <c r="G6" s="1">
        <f>'Raw Data Trent Ltd'!F19/'Raw Data Trent Ltd'!F$17</f>
        <v>-6.2615697889670502E-2</v>
      </c>
      <c r="H6" s="1">
        <f>'Raw Data Trent Ltd'!G19/'Raw Data Trent Ltd'!G$17</f>
        <v>9.7562927688182782E-2</v>
      </c>
      <c r="I6" s="1">
        <f>'Raw Data Trent Ltd'!H19/'Raw Data Trent Ltd'!H$17</f>
        <v>5.961038677411605E-2</v>
      </c>
      <c r="J6" s="1">
        <f>'Raw Data Trent Ltd'!I19/'Raw Data Trent Ltd'!I$17</f>
        <v>1.3309780680737383E-2</v>
      </c>
      <c r="K6" s="1">
        <f>'Raw Data Trent Ltd'!J19/'Raw Data Trent Ltd'!J$17</f>
        <v>2.651067050840375E-2</v>
      </c>
      <c r="L6" s="1">
        <f>'Raw Data Trent Ltd'!K19/'Raw Data Trent Ltd'!K$17</f>
        <v>1.1566084045150469E-2</v>
      </c>
    </row>
    <row r="7" spans="2:15" x14ac:dyDescent="0.3">
      <c r="B7" s="18" t="str">
        <f>'Raw Data Trent Ltd'!A20</f>
        <v>Power and Fuel</v>
      </c>
      <c r="C7" s="1">
        <f>'Raw Data Trent Ltd'!B20/'Raw Data Trent Ltd'!B$17</f>
        <v>2.8293350400564982E-2</v>
      </c>
      <c r="D7" s="1">
        <f>'Raw Data Trent Ltd'!C20/'Raw Data Trent Ltd'!C$17</f>
        <v>2.4450047741325448E-2</v>
      </c>
      <c r="E7" s="1">
        <f>'Raw Data Trent Ltd'!D20/'Raw Data Trent Ltd'!D$17</f>
        <v>2.2499847922623033E-2</v>
      </c>
      <c r="F7" s="1">
        <f>'Raw Data Trent Ltd'!E20/'Raw Data Trent Ltd'!E$17</f>
        <v>1.9116575539733446E-2</v>
      </c>
      <c r="G7" s="1">
        <f>'Raw Data Trent Ltd'!F20/'Raw Data Trent Ltd'!F$17</f>
        <v>1.9055442428730099E-2</v>
      </c>
      <c r="H7" s="1">
        <f>'Raw Data Trent Ltd'!G20/'Raw Data Trent Ltd'!G$17</f>
        <v>1.5982587894229013E-2</v>
      </c>
      <c r="I7" s="1">
        <f>'Raw Data Trent Ltd'!H20/'Raw Data Trent Ltd'!H$17</f>
        <v>1.7505417361277937E-2</v>
      </c>
      <c r="J7" s="1">
        <f>'Raw Data Trent Ltd'!I20/'Raw Data Trent Ltd'!I$17</f>
        <v>1.8517815195178061E-2</v>
      </c>
      <c r="K7" s="1">
        <f>'Raw Data Trent Ltd'!J20/'Raw Data Trent Ltd'!J$17</f>
        <v>2.0418906528949302E-2</v>
      </c>
      <c r="L7" s="1">
        <f>'Raw Data Trent Ltd'!K20/'Raw Data Trent Ltd'!K$17</f>
        <v>0</v>
      </c>
    </row>
    <row r="8" spans="2:15" x14ac:dyDescent="0.3">
      <c r="B8" s="18" t="str">
        <f>'Raw Data Trent Ltd'!A21</f>
        <v>Other Mfr. Exp</v>
      </c>
      <c r="C8" s="1">
        <f>'Raw Data Trent Ltd'!B21/'Raw Data Trent Ltd'!B$17</f>
        <v>4.5193220189357987E-2</v>
      </c>
      <c r="D8" s="1">
        <f>'Raw Data Trent Ltd'!C21/'Raw Data Trent Ltd'!C$17</f>
        <v>4.2077257515782444E-2</v>
      </c>
      <c r="E8" s="1">
        <f>'Raw Data Trent Ltd'!D21/'Raw Data Trent Ltd'!D$17</f>
        <v>4.6417817385485741E-2</v>
      </c>
      <c r="F8" s="1">
        <f>'Raw Data Trent Ltd'!E21/'Raw Data Trent Ltd'!E$17</f>
        <v>2.7972048032404089E-2</v>
      </c>
      <c r="G8" s="1">
        <f>'Raw Data Trent Ltd'!F21/'Raw Data Trent Ltd'!F$17</f>
        <v>3.548068616561767E-2</v>
      </c>
      <c r="H8" s="1">
        <f>'Raw Data Trent Ltd'!G21/'Raw Data Trent Ltd'!G$17</f>
        <v>2.8265770272253122E-2</v>
      </c>
      <c r="I8" s="1">
        <f>'Raw Data Trent Ltd'!H21/'Raw Data Trent Ltd'!H$17</f>
        <v>2.572063644591981E-2</v>
      </c>
      <c r="J8" s="1">
        <f>'Raw Data Trent Ltd'!I21/'Raw Data Trent Ltd'!I$17</f>
        <v>2.1380820049276328E-2</v>
      </c>
      <c r="K8" s="1">
        <f>'Raw Data Trent Ltd'!J21/'Raw Data Trent Ltd'!J$17</f>
        <v>2.1581465816846723E-2</v>
      </c>
      <c r="L8" s="1">
        <f>'Raw Data Trent Ltd'!K21/'Raw Data Trent Ltd'!K$17</f>
        <v>0</v>
      </c>
    </row>
    <row r="9" spans="2:15" x14ac:dyDescent="0.3">
      <c r="B9" s="18" t="str">
        <f>'Raw Data Trent Ltd'!A22</f>
        <v>Employee Cost</v>
      </c>
      <c r="C9" s="1">
        <f>'Raw Data Trent Ltd'!B22/'Raw Data Trent Ltd'!B$17</f>
        <v>0.10743528061618592</v>
      </c>
      <c r="D9" s="1">
        <f>'Raw Data Trent Ltd'!C22/'Raw Data Trent Ltd'!C$17</f>
        <v>0.10800663743476124</v>
      </c>
      <c r="E9" s="1">
        <f>'Raw Data Trent Ltd'!D22/'Raw Data Trent Ltd'!D$17</f>
        <v>0.10983408358172639</v>
      </c>
      <c r="F9" s="1">
        <f>'Raw Data Trent Ltd'!E22/'Raw Data Trent Ltd'!E$17</f>
        <v>0.10356054825328889</v>
      </c>
      <c r="G9" s="1">
        <f>'Raw Data Trent Ltd'!F22/'Raw Data Trent Ltd'!F$17</f>
        <v>0.11700913242009131</v>
      </c>
      <c r="H9" s="1">
        <f>'Raw Data Trent Ltd'!G22/'Raw Data Trent Ltd'!G$17</f>
        <v>8.9577191742144319E-2</v>
      </c>
      <c r="I9" s="1">
        <f>'Raw Data Trent Ltd'!H22/'Raw Data Trent Ltd'!H$17</f>
        <v>7.9964620323658517E-2</v>
      </c>
      <c r="J9" s="1">
        <f>'Raw Data Trent Ltd'!I22/'Raw Data Trent Ltd'!I$17</f>
        <v>8.4180261832016032E-2</v>
      </c>
      <c r="K9" s="1">
        <f>'Raw Data Trent Ltd'!J22/'Raw Data Trent Ltd'!J$17</f>
        <v>7.6776769357458377E-2</v>
      </c>
      <c r="L9" s="1">
        <f>'Raw Data Trent Ltd'!K22/'Raw Data Trent Ltd'!K$17</f>
        <v>6.7523952374713633E-2</v>
      </c>
    </row>
    <row r="10" spans="2:15" x14ac:dyDescent="0.3">
      <c r="B10" s="18" t="str">
        <f>'Raw Data Trent Ltd'!A23</f>
        <v>Selling and admin</v>
      </c>
      <c r="C10" s="1">
        <f>'Raw Data Trent Ltd'!B23/'Raw Data Trent Ltd'!B$17</f>
        <v>0.22459777978857229</v>
      </c>
      <c r="D10" s="1">
        <f>'Raw Data Trent Ltd'!C23/'Raw Data Trent Ltd'!C$17</f>
        <v>0.20886134621267602</v>
      </c>
      <c r="E10" s="1">
        <f>'Raw Data Trent Ltd'!D23/'Raw Data Trent Ltd'!D$17</f>
        <v>0.19557530871707526</v>
      </c>
      <c r="F10" s="1">
        <f>'Raw Data Trent Ltd'!E23/'Raw Data Trent Ltd'!E$17</f>
        <v>0.1253076609733848</v>
      </c>
      <c r="G10" s="1">
        <f>'Raw Data Trent Ltd'!F23/'Raw Data Trent Ltd'!F$17</f>
        <v>0.14061921510551648</v>
      </c>
      <c r="H10" s="1">
        <f>'Raw Data Trent Ltd'!G23/'Raw Data Trent Ltd'!G$17</f>
        <v>0.15674229994530925</v>
      </c>
      <c r="I10" s="1">
        <f>'Raw Data Trent Ltd'!H23/'Raw Data Trent Ltd'!H$17</f>
        <v>0.15196881347048416</v>
      </c>
      <c r="J10" s="1">
        <f>'Raw Data Trent Ltd'!I23/'Raw Data Trent Ltd'!I$17</f>
        <v>0.13814422659677367</v>
      </c>
      <c r="K10" s="1">
        <f>'Raw Data Trent Ltd'!J23/'Raw Data Trent Ltd'!J$17</f>
        <v>0.13556363407162461</v>
      </c>
      <c r="L10" s="1">
        <f>'Raw Data Trent Ltd'!K23/'Raw Data Trent Ltd'!K$17</f>
        <v>7.7907922652996064E-2</v>
      </c>
    </row>
    <row r="11" spans="2:15" x14ac:dyDescent="0.3">
      <c r="B11" s="18" t="str">
        <f>'Raw Data Trent Ltd'!A24</f>
        <v>Other Expenses</v>
      </c>
      <c r="C11" s="1">
        <f>'Raw Data Trent Ltd'!B24/'Raw Data Trent Ltd'!B$17</f>
        <v>3.4522522124870336E-2</v>
      </c>
      <c r="D11" s="1">
        <f>'Raw Data Trent Ltd'!C24/'Raw Data Trent Ltd'!C$17</f>
        <v>4.1850138588896205E-2</v>
      </c>
      <c r="E11" s="1">
        <f>'Raw Data Trent Ltd'!D24/'Raw Data Trent Ltd'!D$17</f>
        <v>3.5582304276415844E-2</v>
      </c>
      <c r="F11" s="1">
        <f>'Raw Data Trent Ltd'!E24/'Raw Data Trent Ltd'!E$17</f>
        <v>3.2495883510519283E-2</v>
      </c>
      <c r="G11" s="1">
        <f>'Raw Data Trent Ltd'!F24/'Raw Data Trent Ltd'!F$17</f>
        <v>5.2318585708996668E-2</v>
      </c>
      <c r="H11" s="1">
        <f>'Raw Data Trent Ltd'!G24/'Raw Data Trent Ltd'!G$17</f>
        <v>2.5517894540264381E-2</v>
      </c>
      <c r="I11" s="1">
        <f>'Raw Data Trent Ltd'!H24/'Raw Data Trent Ltd'!H$17</f>
        <v>1.7017672852043551E-2</v>
      </c>
      <c r="J11" s="1">
        <f>'Raw Data Trent Ltd'!I24/'Raw Data Trent Ltd'!I$17</f>
        <v>1.6201068111717794E-2</v>
      </c>
      <c r="K11" s="1">
        <f>'Raw Data Trent Ltd'!J24/'Raw Data Trent Ltd'!J$17</f>
        <v>1.5610509956164746E-2</v>
      </c>
      <c r="L11" s="1">
        <f>'Raw Data Trent Ltd'!K24/'Raw Data Trent Ltd'!K$17</f>
        <v>0.11042427074340659</v>
      </c>
    </row>
    <row r="12" spans="2:15" x14ac:dyDescent="0.3">
      <c r="B12" s="18" t="str">
        <f>'Raw Data Trent Ltd'!A25</f>
        <v>Other Income</v>
      </c>
      <c r="C12" s="1">
        <f>'Raw Data Trent Ltd'!B25/'Raw Data Trent Ltd'!B$17</f>
        <v>4.4862174747853721E-2</v>
      </c>
      <c r="D12" s="1">
        <f>'Raw Data Trent Ltd'!C25/'Raw Data Trent Ltd'!C$17</f>
        <v>1.2732565146051374E-2</v>
      </c>
      <c r="E12" s="1">
        <f>'Raw Data Trent Ltd'!D25/'Raw Data Trent Ltd'!D$17</f>
        <v>1.1459030354644444E-2</v>
      </c>
      <c r="F12" s="1">
        <f>'Raw Data Trent Ltd'!E25/'Raw Data Trent Ltd'!E$17</f>
        <v>4.2062777181739425E-2</v>
      </c>
      <c r="G12" s="1">
        <f>'Raw Data Trent Ltd'!F25/'Raw Data Trent Ltd'!F$17</f>
        <v>7.6900530667653955E-2</v>
      </c>
      <c r="H12" s="1">
        <f>'Raw Data Trent Ltd'!G25/'Raw Data Trent Ltd'!G$17</f>
        <v>3.382821774914295E-2</v>
      </c>
      <c r="I12" s="1">
        <f>'Raw Data Trent Ltd'!H25/'Raw Data Trent Ltd'!H$17</f>
        <v>4.1324820857022916E-2</v>
      </c>
      <c r="J12" s="1">
        <f>'Raw Data Trent Ltd'!I25/'Raw Data Trent Ltd'!I$17</f>
        <v>7.9911208870062561E-2</v>
      </c>
      <c r="K12" s="1">
        <f>'Raw Data Trent Ltd'!J25/'Raw Data Trent Ltd'!J$17</f>
        <v>1.7803731745280459E-2</v>
      </c>
      <c r="L12" s="1">
        <f>'Raw Data Trent Ltd'!K25/'Raw Data Trent Ltd'!K$17</f>
        <v>4.6143783491355327E-3</v>
      </c>
    </row>
    <row r="13" spans="2:15" x14ac:dyDescent="0.3">
      <c r="B13" s="18" t="str">
        <f>'Raw Data Trent Ltd'!A26</f>
        <v>Depreciation</v>
      </c>
      <c r="C13" s="1">
        <f>'Raw Data Trent Ltd'!B26/'Raw Data Trent Ltd'!B$17</f>
        <v>2.278144379951888E-2</v>
      </c>
      <c r="D13" s="1">
        <f>'Raw Data Trent Ltd'!C26/'Raw Data Trent Ltd'!C$17</f>
        <v>2.1103519879858722E-2</v>
      </c>
      <c r="E13" s="1">
        <f>'Raw Data Trent Ltd'!D26/'Raw Data Trent Ltd'!D$17</f>
        <v>1.9644595170022511E-2</v>
      </c>
      <c r="F13" s="1">
        <f>'Raw Data Trent Ltd'!E26/'Raw Data Trent Ltd'!E$17</f>
        <v>7.092410168733039E-2</v>
      </c>
      <c r="G13" s="1">
        <f>'Raw Data Trent Ltd'!F26/'Raw Data Trent Ltd'!F$17</f>
        <v>9.9230223374058998E-2</v>
      </c>
      <c r="H13" s="1">
        <f>'Raw Data Trent Ltd'!G26/'Raw Data Trent Ltd'!G$17</f>
        <v>6.9101515778053443E-2</v>
      </c>
      <c r="I13" s="1">
        <f>'Raw Data Trent Ltd'!H26/'Raw Data Trent Ltd'!H$17</f>
        <v>5.9899150936299592E-2</v>
      </c>
      <c r="J13" s="1">
        <f>'Raw Data Trent Ltd'!I26/'Raw Data Trent Ltd'!I$17</f>
        <v>5.4230629061075009E-2</v>
      </c>
      <c r="K13" s="1">
        <f>'Raw Data Trent Ltd'!J26/'Raw Data Trent Ltd'!J$17</f>
        <v>5.2243967035141149E-2</v>
      </c>
      <c r="L13" s="1">
        <f>'Raw Data Trent Ltd'!K26/'Raw Data Trent Ltd'!K$17</f>
        <v>6.7807898791534024E-2</v>
      </c>
    </row>
    <row r="14" spans="2:15" x14ac:dyDescent="0.3">
      <c r="B14" s="18" t="str">
        <f>'Raw Data Trent Ltd'!A27</f>
        <v>Interest</v>
      </c>
      <c r="C14" s="1">
        <f>'Raw Data Trent Ltd'!B27/'Raw Data Trent Ltd'!B$17</f>
        <v>2.51318664341992E-2</v>
      </c>
      <c r="D14" s="1">
        <f>'Raw Data Trent Ltd'!C27/'Raw Data Trent Ltd'!C$17</f>
        <v>2.0292380855264986E-2</v>
      </c>
      <c r="E14" s="1">
        <f>'Raw Data Trent Ltd'!D27/'Raw Data Trent Ltd'!D$17</f>
        <v>1.9252995924326298E-2</v>
      </c>
      <c r="F14" s="1">
        <f>'Raw Data Trent Ltd'!E27/'Raw Data Trent Ltd'!E$17</f>
        <v>7.5551207981686644E-2</v>
      </c>
      <c r="G14" s="1">
        <f>'Raw Data Trent Ltd'!F27/'Raw Data Trent Ltd'!F$17</f>
        <v>0.10057617549055906</v>
      </c>
      <c r="H14" s="1">
        <f>'Raw Data Trent Ltd'!G27/'Raw Data Trent Ltd'!G$17</f>
        <v>7.2218442781490505E-2</v>
      </c>
      <c r="I14" s="1">
        <f>'Raw Data Trent Ltd'!H27/'Raw Data Trent Ltd'!H$17</f>
        <v>4.9622543988002941E-2</v>
      </c>
      <c r="J14" s="1">
        <f>'Raw Data Trent Ltd'!I27/'Raw Data Trent Ltd'!I$17</f>
        <v>2.9709634904255398E-2</v>
      </c>
      <c r="K14" s="1">
        <f>'Raw Data Trent Ltd'!J27/'Raw Data Trent Ltd'!J$17</f>
        <v>1.1678118148005703E-2</v>
      </c>
      <c r="L14" s="1">
        <f>'Raw Data Trent Ltd'!K27/'Raw Data Trent Ltd'!K$17</f>
        <v>8.3863823283705802E-3</v>
      </c>
    </row>
    <row r="15" spans="2:15" x14ac:dyDescent="0.3">
      <c r="B15" s="18" t="str">
        <f>'Raw Data Trent Ltd'!A28</f>
        <v>Profit before tax</v>
      </c>
      <c r="C15" s="1">
        <f>'Raw Data Trent Ltd'!B28/'Raw Data Trent Ltd'!B$17</f>
        <v>7.0623027520911041E-2</v>
      </c>
      <c r="D15" s="1">
        <f>'Raw Data Trent Ltd'!C28/'Raw Data Trent Ltd'!C$17</f>
        <v>6.7978085341095548E-2</v>
      </c>
      <c r="E15" s="1">
        <f>'Raw Data Trent Ltd'!D28/'Raw Data Trent Ltd'!D$17</f>
        <v>6.4051189245087903E-2</v>
      </c>
      <c r="F15" s="1">
        <f>'Raw Data Trent Ltd'!E28/'Raw Data Trent Ltd'!E$17</f>
        <v>4.7329588810033338E-2</v>
      </c>
      <c r="G15" s="1">
        <f>'Raw Data Trent Ltd'!F28/'Raw Data Trent Ltd'!F$17</f>
        <v>-7.899080587436752E-2</v>
      </c>
      <c r="H15" s="1">
        <f>'Raw Data Trent Ltd'!G28/'Raw Data Trent Ltd'!G$17</f>
        <v>2.4726435187037848E-2</v>
      </c>
      <c r="I15" s="1">
        <f>'Raw Data Trent Ltd'!H28/'Raw Data Trent Ltd'!H$17</f>
        <v>6.6982365973390023E-2</v>
      </c>
      <c r="J15" s="1">
        <f>'Raw Data Trent Ltd'!I28/'Raw Data Trent Ltd'!I$17</f>
        <v>0.15521720615008675</v>
      </c>
      <c r="K15" s="1">
        <f>'Raw Data Trent Ltd'!J28/'Raw Data Trent Ltd'!J$17</f>
        <v>0.11845848840446324</v>
      </c>
      <c r="L15" s="1">
        <f>'Raw Data Trent Ltd'!K28/'Raw Data Trent Ltd'!K$17</f>
        <v>0.1114106109281511</v>
      </c>
    </row>
    <row r="16" spans="2:15" x14ac:dyDescent="0.3">
      <c r="B16" s="18" t="str">
        <f>'Raw Data Trent Ltd'!A29</f>
        <v>Tax</v>
      </c>
      <c r="C16" s="1">
        <f>'Raw Data Trent Ltd'!B29/'Raw Data Trent Ltd'!B$17</f>
        <v>2.3752510427931407E-2</v>
      </c>
      <c r="D16" s="1">
        <f>'Raw Data Trent Ltd'!C29/'Raw Data Trent Ltd'!C$17</f>
        <v>2.7634347797873424E-2</v>
      </c>
      <c r="E16" s="1">
        <f>'Raw Data Trent Ltd'!D29/'Raw Data Trent Ltd'!D$17</f>
        <v>2.7986039296794211E-2</v>
      </c>
      <c r="F16" s="1">
        <f>'Raw Data Trent Ltd'!E29/'Raw Data Trent Ltd'!E$17</f>
        <v>1.6927807962179933E-2</v>
      </c>
      <c r="G16" s="1">
        <f>'Raw Data Trent Ltd'!F29/'Raw Data Trent Ltd'!F$17</f>
        <v>-9.1362766876465513E-3</v>
      </c>
      <c r="H16" s="1">
        <f>'Raw Data Trent Ltd'!G29/'Raw Data Trent Ltd'!G$17</f>
        <v>1.7034161697813705E-2</v>
      </c>
      <c r="I16" s="1">
        <f>'Raw Data Trent Ltd'!H29/'Raw Data Trent Ltd'!H$17</f>
        <v>1.9223442796790106E-2</v>
      </c>
      <c r="J16" s="1">
        <f>'Raw Data Trent Ltd'!I29/'Raw Data Trent Ltd'!I$17</f>
        <v>3.5827560320675939E-2</v>
      </c>
      <c r="K16" s="1">
        <f>'Raw Data Trent Ltd'!J29/'Raw Data Trent Ltd'!J$17</f>
        <v>2.8908157232642003E-2</v>
      </c>
      <c r="L16" s="1">
        <f>'Raw Data Trent Ltd'!K29/'Raw Data Trent Ltd'!K$17</f>
        <v>2.5662280109653133E-2</v>
      </c>
    </row>
    <row r="17" spans="2:12" x14ac:dyDescent="0.3">
      <c r="B17" s="18" t="str">
        <f>'Raw Data Trent Ltd'!A30</f>
        <v>Net profit</v>
      </c>
      <c r="C17" s="1">
        <f>'Raw Data Trent Ltd'!B30/'Raw Data Trent Ltd'!B$17</f>
        <v>4.6820860276753987E-2</v>
      </c>
      <c r="D17" s="1">
        <f>'Raw Data Trent Ltd'!C30/'Raw Data Trent Ltd'!C$17</f>
        <v>4.0311291982238373E-2</v>
      </c>
      <c r="E17" s="1">
        <f>'Raw Data Trent Ltd'!D30/'Raw Data Trent Ltd'!D$17</f>
        <v>3.6863556177383051E-2</v>
      </c>
      <c r="F17" s="1">
        <f>'Raw Data Trent Ltd'!E30/'Raw Data Trent Ltd'!E$17</f>
        <v>3.5241166042260713E-2</v>
      </c>
      <c r="G17" s="1">
        <f>'Raw Data Trent Ltd'!F30/'Raw Data Trent Ltd'!F$17</f>
        <v>-5.6371868443786249E-2</v>
      </c>
      <c r="H17" s="1">
        <f>'Raw Data Trent Ltd'!G30/'Raw Data Trent Ltd'!G$17</f>
        <v>2.3528130155045995E-2</v>
      </c>
      <c r="I17" s="1">
        <f>'Raw Data Trent Ltd'!H30/'Raw Data Trent Ltd'!H$17</f>
        <v>5.3946726651961527E-2</v>
      </c>
      <c r="J17" s="1">
        <f>'Raw Data Trent Ltd'!I30/'Raw Data Trent Ltd'!I$17</f>
        <v>0.12014438659535147</v>
      </c>
      <c r="K17" s="1">
        <f>'Raw Data Trent Ltd'!J30/'Raw Data Trent Ltd'!J$17</f>
        <v>9.0268760129352227E-2</v>
      </c>
      <c r="L17" s="1">
        <f>'Raw Data Trent Ltd'!K30/'Raw Data Trent Ltd'!K$17</f>
        <v>8.5664641348277226E-2</v>
      </c>
    </row>
    <row r="18" spans="2:12" x14ac:dyDescent="0.3">
      <c r="B18" s="18" t="str">
        <f>'Raw Data Trent Ltd'!A31</f>
        <v>Dividend Amount</v>
      </c>
      <c r="C18" s="1">
        <f>'Raw Data Trent Ltd'!B31/'Raw Data Trent Ltd'!B$17</f>
        <v>1.8334400035311511E-2</v>
      </c>
      <c r="D18" s="1">
        <f>'Raw Data Trent Ltd'!C31/'Raw Data Trent Ltd'!C$17</f>
        <v>1.7710641216986643E-2</v>
      </c>
      <c r="E18" s="1">
        <f>'Raw Data Trent Ltd'!D31/'Raw Data Trent Ltd'!D$17</f>
        <v>1.6424356712695421E-2</v>
      </c>
      <c r="F18" s="1">
        <f>'Raw Data Trent Ltd'!E31/'Raw Data Trent Ltd'!E$17</f>
        <v>1.0197993103804381E-2</v>
      </c>
      <c r="G18" s="1">
        <f>'Raw Data Trent Ltd'!F31/'Raw Data Trent Ltd'!F$17</f>
        <v>8.2261199555720092E-3</v>
      </c>
      <c r="H18" s="1">
        <f>'Raw Data Trent Ltd'!G31/'Raw Data Trent Ltd'!G$17</f>
        <v>1.3437023401407729E-2</v>
      </c>
      <c r="I18" s="1">
        <f>'Raw Data Trent Ltd'!H31/'Raw Data Trent Ltd'!H$17</f>
        <v>9.4891786236869103E-3</v>
      </c>
      <c r="J18" s="1">
        <f>'Raw Data Trent Ltd'!I31/'Raw Data Trent Ltd'!I$17</f>
        <v>9.1926455603222913E-3</v>
      </c>
      <c r="K18" s="1">
        <f>'Raw Data Trent Ltd'!J31/'Raw Data Trent Ltd'!J$17</f>
        <v>1.0373740633723207E-2</v>
      </c>
      <c r="L18" s="1">
        <f>'Raw Data Trent Ltd'!K31/'Raw Data Trent Ltd'!K$17</f>
        <v>1.0625573808383993E-2</v>
      </c>
    </row>
    <row r="19" spans="2:12" x14ac:dyDescent="0.3">
      <c r="B19" s="18" t="str">
        <f>'Raw Data Trent Ltd'!A34</f>
        <v>EBITDA</v>
      </c>
      <c r="C19" s="1">
        <f>'Raw Data Trent Ltd'!B34/'Raw Data Trent Ltd'!B$17</f>
        <v>0.11848668093840346</v>
      </c>
      <c r="D19" s="1">
        <f>'Raw Data Trent Ltd'!C34/'Raw Data Trent Ltd'!C$17</f>
        <v>0.10934154051523551</v>
      </c>
      <c r="E19" s="1">
        <f>'Raw Data Trent Ltd'!D34/'Raw Data Trent Ltd'!D$17</f>
        <v>0.10374718656852608</v>
      </c>
      <c r="F19" s="1">
        <f>'Raw Data Trent Ltd'!E34/'Raw Data Trent Ltd'!E$17</f>
        <v>0.19864428367345768</v>
      </c>
      <c r="G19" s="1">
        <f>'Raw Data Trent Ltd'!F34/'Raw Data Trent Ltd'!F$17</f>
        <v>0.13429825373318524</v>
      </c>
      <c r="H19" s="1">
        <f>'Raw Data Trent Ltd'!G34/'Raw Data Trent Ltd'!G$17</f>
        <v>0.18188225041240363</v>
      </c>
      <c r="I19" s="1">
        <f>'Raw Data Trent Ltd'!H34/'Raw Data Trent Ltd'!H$17</f>
        <v>0.18269186437305418</v>
      </c>
      <c r="J19" s="1">
        <f>'Raw Data Trent Ltd'!I34/'Raw Data Trent Ltd'!I$17</f>
        <v>0.23991221088135781</v>
      </c>
      <c r="K19" s="1">
        <f>'Raw Data Trent Ltd'!J34/'Raw Data Trent Ltd'!J$17</f>
        <v>0.18309900254514108</v>
      </c>
      <c r="L19" s="1">
        <f>'Raw Data Trent Ltd'!K34/'Raw Data Trent Ltd'!K$17</f>
        <v>0.18752120257783497</v>
      </c>
    </row>
    <row r="20" spans="2:12" x14ac:dyDescent="0.3">
      <c r="B20" s="18"/>
    </row>
    <row r="21" spans="2:12" x14ac:dyDescent="0.3">
      <c r="B21" s="242" t="str">
        <f>"Common Size Balance Sheet"&amp;" "&amp;"-"&amp;" "&amp;'Raw Data Trent Ltd'!B1</f>
        <v>Common Size Balance Sheet - TRENT LTD</v>
      </c>
      <c r="C21" s="242"/>
      <c r="D21" s="242"/>
      <c r="E21" s="242"/>
      <c r="F21" s="242"/>
      <c r="G21" s="242"/>
      <c r="H21" s="242"/>
      <c r="I21" s="242"/>
      <c r="J21" s="242"/>
      <c r="K21" s="242"/>
      <c r="L21" s="242"/>
    </row>
    <row r="22" spans="2:12" x14ac:dyDescent="0.3">
      <c r="B22" s="16" t="s">
        <v>1</v>
      </c>
      <c r="C22" s="17">
        <f>'Raw Data Trent Ltd'!$B$16</f>
        <v>42825</v>
      </c>
      <c r="D22" s="17">
        <f t="shared" ref="D22:L22" si="1">C22+365</f>
        <v>43190</v>
      </c>
      <c r="E22" s="17">
        <f t="shared" si="1"/>
        <v>43555</v>
      </c>
      <c r="F22" s="17">
        <f t="shared" si="1"/>
        <v>43920</v>
      </c>
      <c r="G22" s="17">
        <f t="shared" si="1"/>
        <v>44285</v>
      </c>
      <c r="H22" s="17">
        <f t="shared" si="1"/>
        <v>44650</v>
      </c>
      <c r="I22" s="17">
        <f t="shared" si="1"/>
        <v>45015</v>
      </c>
      <c r="J22" s="17">
        <f t="shared" si="1"/>
        <v>45380</v>
      </c>
      <c r="K22" s="17">
        <f t="shared" si="1"/>
        <v>45745</v>
      </c>
      <c r="L22" s="17">
        <f t="shared" si="1"/>
        <v>46110</v>
      </c>
    </row>
    <row r="23" spans="2:12" x14ac:dyDescent="0.3">
      <c r="B23" s="4" t="s">
        <v>81</v>
      </c>
      <c r="C23" s="19">
        <f>'Raw Data Trent Ltd'!B61/'Raw Data Trent Ltd'!B$61</f>
        <v>1</v>
      </c>
      <c r="D23" s="19">
        <f>'Raw Data Trent Ltd'!C61/'Raw Data Trent Ltd'!C$61</f>
        <v>1</v>
      </c>
      <c r="E23" s="19">
        <f>'Raw Data Trent Ltd'!D61/'Raw Data Trent Ltd'!D$61</f>
        <v>1</v>
      </c>
      <c r="F23" s="19">
        <f>'Raw Data Trent Ltd'!E61/'Raw Data Trent Ltd'!E$61</f>
        <v>1</v>
      </c>
      <c r="G23" s="19">
        <f>'Raw Data Trent Ltd'!F61/'Raw Data Trent Ltd'!F$61</f>
        <v>1</v>
      </c>
      <c r="H23" s="19">
        <f>'Raw Data Trent Ltd'!G61/'Raw Data Trent Ltd'!G$61</f>
        <v>1</v>
      </c>
      <c r="I23" s="19">
        <f>'Raw Data Trent Ltd'!H61/'Raw Data Trent Ltd'!H$61</f>
        <v>1</v>
      </c>
      <c r="J23" s="19">
        <f>'Raw Data Trent Ltd'!I61/'Raw Data Trent Ltd'!I$61</f>
        <v>1</v>
      </c>
      <c r="K23" s="19">
        <f>'Raw Data Trent Ltd'!J61/'Raw Data Trent Ltd'!J$61</f>
        <v>1</v>
      </c>
      <c r="L23" s="19">
        <f>'Raw Data Trent Ltd'!K61/'Raw Data Trent Ltd'!K$61</f>
        <v>1</v>
      </c>
    </row>
    <row r="24" spans="2:12" x14ac:dyDescent="0.3">
      <c r="B24" s="18" t="str">
        <f>'Raw Data Trent Ltd'!A57</f>
        <v>Equity Share Capital</v>
      </c>
      <c r="C24" s="20">
        <f>'Raw Data Trent Ltd'!B57/'Raw Data Trent Ltd'!B$61</f>
        <v>1.4953313083586453E-2</v>
      </c>
      <c r="D24" s="20">
        <f>'Raw Data Trent Ltd'!C57/'Raw Data Trent Ltd'!C$61</f>
        <v>1.4226023819920712E-2</v>
      </c>
      <c r="E24" s="20">
        <f>'Raw Data Trent Ltd'!D57/'Raw Data Trent Ltd'!D$61</f>
        <v>1.2986759211493065E-2</v>
      </c>
      <c r="F24" s="20">
        <f>'Raw Data Trent Ltd'!E57/'Raw Data Trent Ltd'!E$61</f>
        <v>6.4557955065484094E-3</v>
      </c>
      <c r="G24" s="20">
        <f>'Raw Data Trent Ltd'!F57/'Raw Data Trent Ltd'!F$61</f>
        <v>6.2109847948802616E-3</v>
      </c>
      <c r="H24" s="20">
        <f>'Raw Data Trent Ltd'!G57/'Raw Data Trent Ltd'!G$61</f>
        <v>4.6013341927667794E-3</v>
      </c>
      <c r="I24" s="20">
        <f>'Raw Data Trent Ltd'!H57/'Raw Data Trent Ltd'!H$61</f>
        <v>4.3989195115281387E-3</v>
      </c>
      <c r="J24" s="20">
        <f>'Raw Data Trent Ltd'!I57/'Raw Data Trent Ltd'!I$61</f>
        <v>4.9638705623625511E-3</v>
      </c>
      <c r="K24" s="20">
        <f>'Raw Data Trent Ltd'!J57/'Raw Data Trent Ltd'!J$61</f>
        <v>3.7740295807483087E-3</v>
      </c>
      <c r="L24" s="20">
        <f>'Raw Data Trent Ltd'!K57/'Raw Data Trent Ltd'!K$61</f>
        <v>3.0310574681675019E-3</v>
      </c>
    </row>
    <row r="25" spans="2:12" x14ac:dyDescent="0.3">
      <c r="B25" s="18" t="str">
        <f>'Raw Data Trent Ltd'!A58</f>
        <v>Reserves</v>
      </c>
      <c r="C25" s="20">
        <f>'Raw Data Trent Ltd'!B58/'Raw Data Trent Ltd'!B$61</f>
        <v>0.68149848126898416</v>
      </c>
      <c r="D25" s="20">
        <f>'Raw Data Trent Ltd'!C58/'Raw Data Trent Ltd'!C$61</f>
        <v>0.66876439512642027</v>
      </c>
      <c r="E25" s="20">
        <f>'Raw Data Trent Ltd'!D58/'Raw Data Trent Ltd'!D$61</f>
        <v>0.63049289499601358</v>
      </c>
      <c r="F25" s="20">
        <f>'Raw Data Trent Ltd'!E58/'Raw Data Trent Ltd'!E$61</f>
        <v>0.42715756136183686</v>
      </c>
      <c r="G25" s="20">
        <f>'Raw Data Trent Ltd'!F58/'Raw Data Trent Ltd'!F$61</f>
        <v>0.39790136851318986</v>
      </c>
      <c r="H25" s="20">
        <f>'Raw Data Trent Ltd'!G58/'Raw Data Trent Ltd'!G$61</f>
        <v>0.30137768217012117</v>
      </c>
      <c r="I25" s="20">
        <f>'Raw Data Trent Ltd'!H58/'Raw Data Trent Ltd'!H$61</f>
        <v>0.31676427607148649</v>
      </c>
      <c r="J25" s="20">
        <f>'Raw Data Trent Ltd'!I58/'Raw Data Trent Ltd'!I$61</f>
        <v>0.56301741892693824</v>
      </c>
      <c r="K25" s="20">
        <f>'Raw Data Trent Ltd'!J58/'Raw Data Trent Ltd'!J$61</f>
        <v>0.57605067709593993</v>
      </c>
      <c r="L25" s="20">
        <f>'Raw Data Trent Ltd'!K58/'Raw Data Trent Ltd'!K$61</f>
        <v>0.59249542570370839</v>
      </c>
    </row>
    <row r="26" spans="2:12" x14ac:dyDescent="0.3">
      <c r="B26" s="18" t="str">
        <f>'Raw Data Trent Ltd'!A59</f>
        <v>Borrowings</v>
      </c>
      <c r="C26" s="20">
        <f>'Raw Data Trent Ltd'!B59/'Raw Data Trent Ltd'!B$61</f>
        <v>0.17628079649004388</v>
      </c>
      <c r="D26" s="20">
        <f>'Raw Data Trent Ltd'!C59/'Raw Data Trent Ltd'!C$61</f>
        <v>0.16757425530639677</v>
      </c>
      <c r="E26" s="20">
        <f>'Raw Data Trent Ltd'!D59/'Raw Data Trent Ltd'!D$61</f>
        <v>0.19311697853647858</v>
      </c>
      <c r="F26" s="20">
        <f>'Raw Data Trent Ltd'!E59/'Raw Data Trent Ltd'!E$61</f>
        <v>5.4432071593046992E-2</v>
      </c>
      <c r="G26" s="20">
        <f>'Raw Data Trent Ltd'!F59/'Raw Data Trent Ltd'!F$61</f>
        <v>0.5177794899479885</v>
      </c>
      <c r="H26" s="20">
        <f>'Raw Data Trent Ltd'!G59/'Raw Data Trent Ltd'!G$61</f>
        <v>0.61161633027095441</v>
      </c>
      <c r="I26" s="20">
        <f>'Raw Data Trent Ltd'!H59/'Raw Data Trent Ltd'!H$61</f>
        <v>0.55238797603919065</v>
      </c>
      <c r="J26" s="20">
        <f>'Raw Data Trent Ltd'!I59/'Raw Data Trent Ltd'!I$61</f>
        <v>0.24477118022829616</v>
      </c>
      <c r="K26" s="20">
        <f>'Raw Data Trent Ltd'!J59/'Raw Data Trent Ltd'!J$61</f>
        <v>0.23750270710982588</v>
      </c>
      <c r="L26" s="20">
        <f>'Raw Data Trent Ltd'!K59/'Raw Data Trent Ltd'!K$61</f>
        <v>0.21837681970025358</v>
      </c>
    </row>
    <row r="27" spans="2:12" x14ac:dyDescent="0.3">
      <c r="B27" s="18" t="str">
        <f>'Raw Data Trent Ltd'!A60</f>
        <v>Other Liabilities</v>
      </c>
      <c r="C27" s="20">
        <f>'Raw Data Trent Ltd'!B60/'Raw Data Trent Ltd'!B$61</f>
        <v>0.12726740915738552</v>
      </c>
      <c r="D27" s="20">
        <f>'Raw Data Trent Ltd'!C60/'Raw Data Trent Ltd'!C$61</f>
        <v>0.14943532574726223</v>
      </c>
      <c r="E27" s="20">
        <f>'Raw Data Trent Ltd'!D60/'Raw Data Trent Ltd'!D$61</f>
        <v>0.16340336725601462</v>
      </c>
      <c r="F27" s="20">
        <f>'Raw Data Trent Ltd'!E60/'Raw Data Trent Ltd'!E$61</f>
        <v>0.51195457153856772</v>
      </c>
      <c r="G27" s="20">
        <f>'Raw Data Trent Ltd'!F60/'Raw Data Trent Ltd'!F$61</f>
        <v>7.8108156743941462E-2</v>
      </c>
      <c r="H27" s="20">
        <f>'Raw Data Trent Ltd'!G60/'Raw Data Trent Ltd'!G$61</f>
        <v>8.2404653366157474E-2</v>
      </c>
      <c r="I27" s="20">
        <f>'Raw Data Trent Ltd'!H60/'Raw Data Trent Ltd'!H$61</f>
        <v>0.12644882837779481</v>
      </c>
      <c r="J27" s="20">
        <f>'Raw Data Trent Ltd'!I60/'Raw Data Trent Ltd'!I$61</f>
        <v>0.18724753028240304</v>
      </c>
      <c r="K27" s="20">
        <f>'Raw Data Trent Ltd'!J60/'Raw Data Trent Ltd'!J$61</f>
        <v>0.18267258621348589</v>
      </c>
      <c r="L27" s="20">
        <f>'Raw Data Trent Ltd'!K60/'Raw Data Trent Ltd'!K$61</f>
        <v>0.18609669712787055</v>
      </c>
    </row>
    <row r="28" spans="2:12" x14ac:dyDescent="0.3">
      <c r="B28" s="18"/>
      <c r="C28" s="3"/>
    </row>
    <row r="29" spans="2:12" x14ac:dyDescent="0.3">
      <c r="B29" s="21" t="s">
        <v>71</v>
      </c>
      <c r="C29" s="19">
        <f>'Raw Data Trent Ltd'!B77/'Raw Data Trent Ltd'!B$77</f>
        <v>1</v>
      </c>
      <c r="D29" s="19">
        <f>'Raw Data Trent Ltd'!C77/'Raw Data Trent Ltd'!C$77</f>
        <v>1</v>
      </c>
      <c r="E29" s="19">
        <f>'Raw Data Trent Ltd'!D77/'Raw Data Trent Ltd'!D$77</f>
        <v>1</v>
      </c>
      <c r="F29" s="19">
        <f>'Raw Data Trent Ltd'!E77/'Raw Data Trent Ltd'!E$77</f>
        <v>1</v>
      </c>
      <c r="G29" s="19">
        <f>'Raw Data Trent Ltd'!F77/'Raw Data Trent Ltd'!F$77</f>
        <v>1</v>
      </c>
      <c r="H29" s="19">
        <f>'Raw Data Trent Ltd'!G77/'Raw Data Trent Ltd'!G$77</f>
        <v>1</v>
      </c>
      <c r="I29" s="19">
        <f>'Raw Data Trent Ltd'!H77/'Raw Data Trent Ltd'!H$77</f>
        <v>1</v>
      </c>
      <c r="J29" s="19">
        <f>'Raw Data Trent Ltd'!I77/'Raw Data Trent Ltd'!I$77</f>
        <v>1</v>
      </c>
      <c r="K29" s="19">
        <f>'Raw Data Trent Ltd'!J77/'Raw Data Trent Ltd'!J$77</f>
        <v>1</v>
      </c>
      <c r="L29" s="19">
        <f>'Raw Data Trent Ltd'!K77/'Raw Data Trent Ltd'!K$77</f>
        <v>1</v>
      </c>
    </row>
    <row r="30" spans="2:12" x14ac:dyDescent="0.3">
      <c r="B30" s="18" t="str">
        <f>'Raw Data Trent Ltd'!A62</f>
        <v>Net Block</v>
      </c>
      <c r="C30" s="20">
        <f>'Raw Data Trent Ltd'!B62/'Raw Data Trent Ltd'!B$77</f>
        <v>0.24691641354483071</v>
      </c>
      <c r="D30" s="20">
        <f>'Raw Data Trent Ltd'!C62/'Raw Data Trent Ltd'!C$77</f>
        <v>0.26222890070466548</v>
      </c>
      <c r="E30" s="20">
        <f>'Raw Data Trent Ltd'!D62/'Raw Data Trent Ltd'!D$77</f>
        <v>0.25878941362222324</v>
      </c>
      <c r="F30" s="20">
        <f>'Raw Data Trent Ltd'!E62/'Raw Data Trent Ltd'!E$77</f>
        <v>0.49729237943733789</v>
      </c>
      <c r="G30" s="20">
        <f>'Raw Data Trent Ltd'!F62/'Raw Data Trent Ltd'!F$77</f>
        <v>0.5335366972236637</v>
      </c>
      <c r="H30" s="20">
        <f>'Raw Data Trent Ltd'!G62/'Raw Data Trent Ltd'!G$77</f>
        <v>0.60661375455926847</v>
      </c>
      <c r="I30" s="20">
        <f>'Raw Data Trent Ltd'!H62/'Raw Data Trent Ltd'!H$77</f>
        <v>0.56016001920428438</v>
      </c>
      <c r="J30" s="20">
        <f>'Raw Data Trent Ltd'!I62/'Raw Data Trent Ltd'!I$77</f>
        <v>0.34208398785213112</v>
      </c>
      <c r="K30" s="20">
        <f>'Raw Data Trent Ltd'!J62/'Raw Data Trent Ltd'!J$77</f>
        <v>0.41351155670492717</v>
      </c>
      <c r="L30" s="20">
        <f>'Raw Data Trent Ltd'!K62/'Raw Data Trent Ltd'!K$77</f>
        <v>0.47053778036215804</v>
      </c>
    </row>
    <row r="31" spans="2:12" x14ac:dyDescent="0.3">
      <c r="B31" s="18" t="str">
        <f>'Raw Data Trent Ltd'!A63</f>
        <v>Capital Work in Progress</v>
      </c>
      <c r="C31" s="20">
        <f>'Raw Data Trent Ltd'!B63/'Raw Data Trent Ltd'!B$77</f>
        <v>2.465969175385308E-3</v>
      </c>
      <c r="D31" s="20">
        <f>'Raw Data Trent Ltd'!C63/'Raw Data Trent Ltd'!C$77</f>
        <v>4.1055542712320082E-3</v>
      </c>
      <c r="E31" s="20">
        <f>'Raw Data Trent Ltd'!D63/'Raw Data Trent Ltd'!D$77</f>
        <v>3.4071190733011299E-2</v>
      </c>
      <c r="F31" s="20">
        <f>'Raw Data Trent Ltd'!E63/'Raw Data Trent Ltd'!E$77</f>
        <v>4.2348565741971564E-3</v>
      </c>
      <c r="G31" s="20">
        <f>'Raw Data Trent Ltd'!F63/'Raw Data Trent Ltd'!F$77</f>
        <v>1.8865320341805082E-2</v>
      </c>
      <c r="H31" s="20">
        <f>'Raw Data Trent Ltd'!G63/'Raw Data Trent Ltd'!G$77</f>
        <v>1.3554197374586139E-2</v>
      </c>
      <c r="I31" s="20">
        <f>'Raw Data Trent Ltd'!H63/'Raw Data Trent Ltd'!H$77</f>
        <v>1.258672553340766E-2</v>
      </c>
      <c r="J31" s="20">
        <f>'Raw Data Trent Ltd'!I63/'Raw Data Trent Ltd'!I$77</f>
        <v>3.1246552867665027E-2</v>
      </c>
      <c r="K31" s="20">
        <f>'Raw Data Trent Ltd'!J63/'Raw Data Trent Ltd'!J$77</f>
        <v>1.9055929950613826E-2</v>
      </c>
      <c r="L31" s="20">
        <f>'Raw Data Trent Ltd'!K63/'Raw Data Trent Ltd'!K$77</f>
        <v>2.1655647998308408E-2</v>
      </c>
    </row>
    <row r="32" spans="2:12" x14ac:dyDescent="0.3">
      <c r="B32" s="18" t="str">
        <f>'Raw Data Trent Ltd'!A64</f>
        <v>Investments</v>
      </c>
      <c r="C32" s="20">
        <f>'Raw Data Trent Ltd'!B64/'Raw Data Trent Ltd'!B$77</f>
        <v>0.48597592530093375</v>
      </c>
      <c r="D32" s="20">
        <f>'Raw Data Trent Ltd'!C64/'Raw Data Trent Ltd'!C$77</f>
        <v>0.4379029565128047</v>
      </c>
      <c r="E32" s="20">
        <f>'Raw Data Trent Ltd'!D64/'Raw Data Trent Ltd'!D$77</f>
        <v>0.34502258906657912</v>
      </c>
      <c r="F32" s="20">
        <f>'Raw Data Trent Ltd'!E64/'Raw Data Trent Ltd'!E$77</f>
        <v>0.27508044774709989</v>
      </c>
      <c r="G32" s="20">
        <f>'Raw Data Trent Ltd'!F64/'Raw Data Trent Ltd'!F$77</f>
        <v>0.25984628904577961</v>
      </c>
      <c r="H32" s="20">
        <f>'Raw Data Trent Ltd'!G64/'Raw Data Trent Ltd'!G$77</f>
        <v>0.1661554073119148</v>
      </c>
      <c r="I32" s="20">
        <f>'Raw Data Trent Ltd'!H64/'Raw Data Trent Ltd'!H$77</f>
        <v>0.13733414341096301</v>
      </c>
      <c r="J32" s="20">
        <f>'Raw Data Trent Ltd'!I64/'Raw Data Trent Ltd'!I$77</f>
        <v>0.19772122735364958</v>
      </c>
      <c r="K32" s="20">
        <f>'Raw Data Trent Ltd'!J64/'Raw Data Trent Ltd'!J$77</f>
        <v>0.15714507136153824</v>
      </c>
      <c r="L32" s="20">
        <f>'Raw Data Trent Ltd'!K64/'Raw Data Trent Ltd'!K$77</f>
        <v>0.11807993806581872</v>
      </c>
    </row>
    <row r="33" spans="2:12" x14ac:dyDescent="0.3">
      <c r="B33" s="18" t="str">
        <f>'Raw Data Trent Ltd'!A65</f>
        <v>Other Assets</v>
      </c>
      <c r="C33" s="20">
        <f>'Raw Data Trent Ltd'!B75/'Raw Data Trent Ltd'!B$77</f>
        <v>0.10914163572955336</v>
      </c>
      <c r="D33" s="20">
        <f>'Raw Data Trent Ltd'!C75/'Raw Data Trent Ltd'!C$77</f>
        <v>0.12765319839373934</v>
      </c>
      <c r="E33" s="20">
        <f>'Raw Data Trent Ltd'!D75/'Raw Data Trent Ltd'!D$77</f>
        <v>0.14022026293986151</v>
      </c>
      <c r="F33" s="20">
        <f>'Raw Data Trent Ltd'!E75/'Raw Data Trent Ltd'!E$77</f>
        <v>9.8754603499749419E-2</v>
      </c>
      <c r="G33" s="20">
        <f>'Raw Data Trent Ltd'!F75/'Raw Data Trent Ltd'!F$77</f>
        <v>9.504466493003691E-2</v>
      </c>
      <c r="H33" s="20">
        <f>'Raw Data Trent Ltd'!G75/'Raw Data Trent Ltd'!G$77</f>
        <v>8.7866715333379905E-2</v>
      </c>
      <c r="I33" s="20">
        <f>'Raw Data Trent Ltd'!H75/'Raw Data Trent Ltd'!H$77</f>
        <v>0.10655655550372264</v>
      </c>
      <c r="J33" s="20">
        <f>'Raw Data Trent Ltd'!I75/'Raw Data Trent Ltd'!I$77</f>
        <v>0.15498865500750514</v>
      </c>
      <c r="K33" s="20">
        <f>'Raw Data Trent Ltd'!J75/'Raw Data Trent Ltd'!J$77</f>
        <v>0.15042188448815455</v>
      </c>
      <c r="L33" s="20">
        <f>'Raw Data Trent Ltd'!K75/'Raw Data Trent Ltd'!K$77</f>
        <v>0.16607210762087138</v>
      </c>
    </row>
    <row r="34" spans="2:12" x14ac:dyDescent="0.3">
      <c r="B34" s="18" t="str">
        <f>'Raw Data Trent Ltd'!A67</f>
        <v>Receivables</v>
      </c>
      <c r="C34" s="20">
        <f>'Raw Data Trent Ltd'!B67/'Raw Data Trent Ltd'!B$77</f>
        <v>2.6639667004162448E-3</v>
      </c>
      <c r="D34" s="20">
        <f>'Raw Data Trent Ltd'!C67/'Raw Data Trent Ltd'!C$77</f>
        <v>6.4644285188324635E-3</v>
      </c>
      <c r="E34" s="20">
        <f>'Raw Data Trent Ltd'!D67/'Raw Data Trent Ltd'!D$77</f>
        <v>6.4640685331957661E-3</v>
      </c>
      <c r="F34" s="20">
        <f>'Raw Data Trent Ltd'!E67/'Raw Data Trent Ltd'!E$77</f>
        <v>3.1089513100452542E-3</v>
      </c>
      <c r="G34" s="20">
        <f>'Raw Data Trent Ltd'!F67/'Raw Data Trent Ltd'!F$77</f>
        <v>3.6287525791747692E-3</v>
      </c>
      <c r="H34" s="20">
        <f>'Raw Data Trent Ltd'!G67/'Raw Data Trent Ltd'!G$77</f>
        <v>2.3634419791820371E-3</v>
      </c>
      <c r="I34" s="20">
        <f>'Raw Data Trent Ltd'!H67/'Raw Data Trent Ltd'!H$77</f>
        <v>4.255382334780667E-3</v>
      </c>
      <c r="J34" s="20">
        <f>'Raw Data Trent Ltd'!I67/'Raw Data Trent Ltd'!I$77</f>
        <v>1.1413411526512374E-2</v>
      </c>
      <c r="K34" s="20">
        <f>'Raw Data Trent Ltd'!J67/'Raw Data Trent Ltd'!J$77</f>
        <v>6.6828456289200018E-3</v>
      </c>
      <c r="L34" s="20">
        <f>'Raw Data Trent Ltd'!K67/'Raw Data Trent Ltd'!K$77</f>
        <v>4.3602891398617739E-3</v>
      </c>
    </row>
    <row r="35" spans="2:12" x14ac:dyDescent="0.3">
      <c r="B35" s="18" t="str">
        <f>'Raw Data Trent Ltd'!A68</f>
        <v>Inventory</v>
      </c>
      <c r="C35" s="20">
        <f>'Raw Data Trent Ltd'!B68/'Raw Data Trent Ltd'!B$77</f>
        <v>0.13741028237147035</v>
      </c>
      <c r="D35" s="20">
        <f>'Raw Data Trent Ltd'!C68/'Raw Data Trent Ltd'!C$77</f>
        <v>0.14759874307535553</v>
      </c>
      <c r="E35" s="20">
        <f>'Raw Data Trent Ltd'!D68/'Raw Data Trent Ltd'!D$77</f>
        <v>0.19423861557942126</v>
      </c>
      <c r="F35" s="20">
        <f>'Raw Data Trent Ltd'!E68/'Raw Data Trent Ltd'!E$77</f>
        <v>0.11037685138776902</v>
      </c>
      <c r="G35" s="20">
        <f>'Raw Data Trent Ltd'!F68/'Raw Data Trent Ltd'!F$77</f>
        <v>7.4844550668882015E-2</v>
      </c>
      <c r="H35" s="20">
        <f>'Raw Data Trent Ltd'!G68/'Raw Data Trent Ltd'!G$77</f>
        <v>0.11231915009280327</v>
      </c>
      <c r="I35" s="20">
        <f>'Raw Data Trent Ltd'!H68/'Raw Data Trent Ltd'!H$77</f>
        <v>0.16842850301861159</v>
      </c>
      <c r="J35" s="20">
        <f>'Raw Data Trent Ltd'!I68/'Raw Data Trent Ltd'!I$77</f>
        <v>0.2209976611861626</v>
      </c>
      <c r="K35" s="20">
        <f>'Raw Data Trent Ltd'!J68/'Raw Data Trent Ltd'!J$77</f>
        <v>0.21710489997494598</v>
      </c>
      <c r="L35" s="20">
        <f>'Raw Data Trent Ltd'!K68/'Raw Data Trent Ltd'!K$77</f>
        <v>0.19516514360647241</v>
      </c>
    </row>
    <row r="36" spans="2:12" x14ac:dyDescent="0.3">
      <c r="B36" s="18" t="str">
        <f>'Raw Data Trent Ltd'!A69</f>
        <v>Cash &amp; Bank</v>
      </c>
      <c r="C36" s="20">
        <f>'Raw Data Trent Ltd'!B69/'Raw Data Trent Ltd'!B$77</f>
        <v>1.5425807177410282E-2</v>
      </c>
      <c r="D36" s="20">
        <f>'Raw Data Trent Ltd'!C69/'Raw Data Trent Ltd'!C$77</f>
        <v>1.4046218523370407E-2</v>
      </c>
      <c r="E36" s="20">
        <f>'Raw Data Trent Ltd'!D69/'Raw Data Trent Ltd'!D$77</f>
        <v>2.1193859525707761E-2</v>
      </c>
      <c r="F36" s="20">
        <f>'Raw Data Trent Ltd'!E69/'Raw Data Trent Ltd'!E$77</f>
        <v>1.1151910043801345E-2</v>
      </c>
      <c r="G36" s="20">
        <f>'Raw Data Trent Ltd'!F69/'Raw Data Trent Ltd'!F$77</f>
        <v>1.4233725210658086E-2</v>
      </c>
      <c r="H36" s="20">
        <f>'Raw Data Trent Ltd'!G69/'Raw Data Trent Ltd'!G$77</f>
        <v>1.1127333348865263E-2</v>
      </c>
      <c r="I36" s="20">
        <f>'Raw Data Trent Ltd'!H69/'Raw Data Trent Ltd'!H$77</f>
        <v>1.0678670994230054E-2</v>
      </c>
      <c r="J36" s="20">
        <f>'Raw Data Trent Ltd'!I69/'Raw Data Trent Ltd'!I$77</f>
        <v>4.154850420637414E-2</v>
      </c>
      <c r="K36" s="20">
        <f>'Raw Data Trent Ltd'!J69/'Raw Data Trent Ltd'!J$77</f>
        <v>3.6077811890900285E-2</v>
      </c>
      <c r="L36" s="20">
        <f>'Raw Data Trent Ltd'!K69/'Raw Data Trent Ltd'!K$77</f>
        <v>2.4129093206509227E-2</v>
      </c>
    </row>
    <row r="37" spans="2:12" x14ac:dyDescent="0.3">
      <c r="B37" s="18"/>
      <c r="C37" s="3"/>
    </row>
    <row r="38" spans="2:12" x14ac:dyDescent="0.3">
      <c r="B38" s="18"/>
    </row>
    <row r="39" spans="2:12" x14ac:dyDescent="0.3">
      <c r="B39" s="18"/>
    </row>
    <row r="40" spans="2:12" x14ac:dyDescent="0.3">
      <c r="B40" s="18"/>
    </row>
    <row r="41" spans="2:12" x14ac:dyDescent="0.3">
      <c r="B41" s="18"/>
    </row>
    <row r="42" spans="2:12" x14ac:dyDescent="0.3">
      <c r="B42" s="18"/>
    </row>
    <row r="43" spans="2:12" x14ac:dyDescent="0.3">
      <c r="B43" s="18"/>
    </row>
    <row r="44" spans="2:12" x14ac:dyDescent="0.3">
      <c r="B44" s="18"/>
    </row>
    <row r="45" spans="2:12" x14ac:dyDescent="0.3">
      <c r="B45" s="18"/>
    </row>
  </sheetData>
  <mergeCells count="2">
    <mergeCell ref="B2:L2"/>
    <mergeCell ref="B21:L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42B74-A434-4062-9BB9-7214986A5EF6}">
  <sheetPr>
    <tabColor rgb="FF4DA42E"/>
  </sheetPr>
  <dimension ref="A2:O41"/>
  <sheetViews>
    <sheetView showGridLines="0" workbookViewId="0">
      <pane xSplit="1" ySplit="3" topLeftCell="B4" activePane="bottomRight" state="frozen"/>
      <selection pane="topRight" activeCell="B1" sqref="B1"/>
      <selection pane="bottomLeft" activeCell="A4" sqref="A4"/>
      <selection pane="bottomRight" activeCell="N3" sqref="N3:O3"/>
    </sheetView>
  </sheetViews>
  <sheetFormatPr defaultRowHeight="14.4" x14ac:dyDescent="0.3"/>
  <cols>
    <col min="1" max="1" width="1.88671875" customWidth="1"/>
    <col min="2" max="2" width="24" bestFit="1" customWidth="1"/>
    <col min="3" max="6" width="9" bestFit="1" customWidth="1"/>
    <col min="7" max="7" width="9.6640625" bestFit="1" customWidth="1"/>
    <col min="8" max="10" width="9" bestFit="1" customWidth="1"/>
    <col min="11" max="12" width="9.6640625" bestFit="1" customWidth="1"/>
    <col min="13" max="13" width="9.6640625" customWidth="1"/>
    <col min="14" max="15" width="10.6640625" bestFit="1" customWidth="1"/>
  </cols>
  <sheetData>
    <row r="2" spans="1:15" x14ac:dyDescent="0.3">
      <c r="B2" s="246" t="str">
        <f>"Ratio Analysis of - "&amp;'Raw Data Trent Ltd'!B1</f>
        <v>Ratio Analysis of - TRENT LTD</v>
      </c>
      <c r="C2" s="246"/>
      <c r="D2" s="246"/>
      <c r="E2" s="246"/>
      <c r="F2" s="246"/>
      <c r="G2" s="246"/>
      <c r="H2" s="246"/>
      <c r="I2" s="246"/>
      <c r="J2" s="246"/>
      <c r="K2" s="246"/>
      <c r="L2" s="246"/>
      <c r="M2" s="252"/>
      <c r="N2" s="253"/>
      <c r="O2" s="253"/>
    </row>
    <row r="3" spans="1:15" x14ac:dyDescent="0.3">
      <c r="B3" s="250" t="s">
        <v>82</v>
      </c>
      <c r="C3" s="251">
        <f>'Raw Data Trent Ltd'!B16</f>
        <v>42825</v>
      </c>
      <c r="D3" s="251">
        <f>C3+365</f>
        <v>43190</v>
      </c>
      <c r="E3" s="251">
        <f t="shared" ref="E3:L3" si="0">D3+365</f>
        <v>43555</v>
      </c>
      <c r="F3" s="251">
        <f t="shared" si="0"/>
        <v>43920</v>
      </c>
      <c r="G3" s="251">
        <f t="shared" si="0"/>
        <v>44285</v>
      </c>
      <c r="H3" s="251">
        <f t="shared" si="0"/>
        <v>44650</v>
      </c>
      <c r="I3" s="251">
        <f t="shared" si="0"/>
        <v>45015</v>
      </c>
      <c r="J3" s="251">
        <f t="shared" si="0"/>
        <v>45380</v>
      </c>
      <c r="K3" s="251">
        <f t="shared" si="0"/>
        <v>45745</v>
      </c>
      <c r="L3" s="251">
        <f t="shared" si="0"/>
        <v>46110</v>
      </c>
      <c r="M3" s="39" t="s">
        <v>127</v>
      </c>
      <c r="N3" s="254" t="s">
        <v>80</v>
      </c>
      <c r="O3" s="254" t="s">
        <v>128</v>
      </c>
    </row>
    <row r="4" spans="1:15" x14ac:dyDescent="0.3">
      <c r="B4" s="9"/>
      <c r="C4" s="9"/>
      <c r="D4" s="9"/>
      <c r="E4" s="9"/>
      <c r="F4" s="9"/>
      <c r="G4" s="9"/>
      <c r="H4" s="9"/>
      <c r="I4" s="9"/>
      <c r="J4" s="9"/>
      <c r="K4" s="9"/>
      <c r="L4" s="9"/>
      <c r="M4" s="9"/>
      <c r="N4" s="9"/>
      <c r="O4" s="9"/>
    </row>
    <row r="5" spans="1:15" s="78" customFormat="1" x14ac:dyDescent="0.3">
      <c r="A5"/>
      <c r="B5" s="212" t="s">
        <v>129</v>
      </c>
      <c r="C5" s="193"/>
      <c r="D5" s="194">
        <f>IFERROR('Historical IFS Trent Ltd'!D7,0)</f>
        <v>0.19036216371300574</v>
      </c>
      <c r="E5" s="194">
        <f>IFERROR('Historical IFS Trent Ltd'!E7,0)</f>
        <v>0.21913731888424337</v>
      </c>
      <c r="F5" s="194">
        <f>IFERROR('Historical IFS Trent Ltd'!F7,0)</f>
        <v>0.32534673641949041</v>
      </c>
      <c r="G5" s="194">
        <f>IFERROR('Historical IFS Trent Ltd'!G7,0)</f>
        <v>-0.25617473422107984</v>
      </c>
      <c r="H5" s="194">
        <f>IFERROR('Historical IFS Trent Ltd'!H7,0)</f>
        <v>0.73470473898556099</v>
      </c>
      <c r="I5" s="194">
        <f>IFERROR('Historical IFS Trent Ltd'!I7,0)</f>
        <v>0.83236624114610414</v>
      </c>
      <c r="J5" s="194">
        <f>IFERROR('Historical IFS Trent Ltd'!J7,0)</f>
        <v>0.50146566011730132</v>
      </c>
      <c r="K5" s="194">
        <f>IFERROR('Historical IFS Trent Ltd'!K7,0)</f>
        <v>0.38460264191591031</v>
      </c>
      <c r="L5" s="194">
        <f>IFERROR('Historical IFS Trent Ltd'!L7,0)</f>
        <v>0.17155920093891819</v>
      </c>
      <c r="M5" s="194"/>
      <c r="N5" s="195">
        <f>IFERROR(AVERAGE(D5:L5),0)</f>
        <v>0.34481888532216165</v>
      </c>
      <c r="O5" s="195">
        <f>IFERROR(MEDIAN(D5:L5),0)</f>
        <v>0.32534673641949041</v>
      </c>
    </row>
    <row r="6" spans="1:15" s="78" customFormat="1" x14ac:dyDescent="0.3">
      <c r="A6"/>
      <c r="B6" s="153" t="s">
        <v>130</v>
      </c>
      <c r="D6" s="166">
        <f>IFERROR(('Historical IFS Trent Ltd'!D18/'Historical IFS Trent Ltd'!C18)-1,0)</f>
        <v>0.56144686587283998</v>
      </c>
      <c r="E6" s="166">
        <f>IFERROR(('Historical IFS Trent Ltd'!E18/'Historical IFS Trent Ltd'!D18)-1,0)</f>
        <v>0.15414868105515467</v>
      </c>
      <c r="F6" s="166">
        <f>IFERROR(('Historical IFS Trent Ltd'!F18/'Historical IFS Trent Ltd'!E18)-1,0)</f>
        <v>1.1981798537234041</v>
      </c>
      <c r="G6" s="166">
        <f>IFERROR(('Historical IFS Trent Ltd'!G18/'Historical IFS Trent Ltd'!F18)-1,0)</f>
        <v>-0.78473259353082458</v>
      </c>
      <c r="H6" s="166">
        <f>IFERROR(('Historical IFS Trent Ltd'!H18/'Historical IFS Trent Ltd'!G18)-1,0)</f>
        <v>4.222797927461162</v>
      </c>
      <c r="I6" s="166">
        <f>IFERROR(('Historical IFS Trent Ltd'!I18/'Historical IFS Trent Ltd'!H18)-1,0)</f>
        <v>0.87340260963142335</v>
      </c>
      <c r="J6" s="166">
        <f>IFERROR(('Historical IFS Trent Ltd'!J18/'Historical IFS Trent Ltd'!I18)-1,0)</f>
        <v>0.76878337746263692</v>
      </c>
      <c r="K6" s="166">
        <f>IFERROR(('Historical IFS Trent Ltd'!K18/'Historical IFS Trent Ltd'!J18)-1,0)</f>
        <v>0.43095058076105386</v>
      </c>
      <c r="L6" s="166">
        <f>IFERROR(('Historical IFS Trent Ltd'!L18/'Historical IFS Trent Ltd'!K18)-1,0)</f>
        <v>0.30263904452545409</v>
      </c>
      <c r="M6" s="166"/>
      <c r="N6" s="196">
        <f t="shared" ref="N6:N9" si="1">IFERROR(AVERAGE(D6:L6),0)</f>
        <v>0.85862403855136704</v>
      </c>
      <c r="O6" s="196">
        <f t="shared" ref="O6:O9" si="2">IFERROR(MEDIAN(D6:L6),0)</f>
        <v>0.56144686587283998</v>
      </c>
    </row>
    <row r="7" spans="1:15" s="78" customFormat="1" x14ac:dyDescent="0.3">
      <c r="A7"/>
      <c r="B7" s="153" t="s">
        <v>131</v>
      </c>
      <c r="D7" s="166">
        <f>IFERROR(('Historical IFS Trent Ltd'!D27/'Historical IFS Trent Ltd'!C27)-1,0)</f>
        <v>1.5527950310559109</v>
      </c>
      <c r="E7" s="166">
        <f>IFERROR(('Historical IFS Trent Ltd'!E27/'Historical IFS Trent Ltd'!D27)-1,0)</f>
        <v>0.16058394160583722</v>
      </c>
      <c r="F7" s="166">
        <f>IFERROR(('Historical IFS Trent Ltd'!F27/'Historical IFS Trent Ltd'!E27)-1,0)</f>
        <v>-0.86727391021470623</v>
      </c>
      <c r="G7" s="166">
        <f>IFERROR(('Historical IFS Trent Ltd'!G27/'Historical IFS Trent Ltd'!F27)-1,0)</f>
        <v>-23.01633986928146</v>
      </c>
      <c r="H7" s="166">
        <f>IFERROR(('Historical IFS Trent Ltd'!H27/'Historical IFS Trent Ltd'!G27)-1,0)</f>
        <v>-0.89871851961803173</v>
      </c>
      <c r="I7" s="166">
        <f>IFERROR(('Historical IFS Trent Ltd'!I27/'Historical IFS Trent Ltd'!H27)-1,0)</f>
        <v>-6.1653639472399906</v>
      </c>
      <c r="J7" s="166">
        <f>IFERROR(('Historical IFS Trent Ltd'!J27/'Historical IFS Trent Ltd'!I27)-1,0)</f>
        <v>3.4068662221591408</v>
      </c>
      <c r="K7" s="166">
        <f>IFERROR(('Historical IFS Trent Ltd'!K27/'Historical IFS Trent Ltd'!J27)-1,0)</f>
        <v>0.85067387758606028</v>
      </c>
      <c r="L7" s="166">
        <f>IFERROR(('Historical IFS Trent Ltd'!L27/'Historical IFS Trent Ltd'!K27)-1,0)</f>
        <v>0.24304218753623852</v>
      </c>
      <c r="M7" s="166"/>
      <c r="N7" s="196">
        <f t="shared" si="1"/>
        <v>-2.7481927762678886</v>
      </c>
      <c r="O7" s="196">
        <f t="shared" si="2"/>
        <v>0.16058394160583722</v>
      </c>
    </row>
    <row r="8" spans="1:15" s="78" customFormat="1" x14ac:dyDescent="0.3">
      <c r="A8"/>
      <c r="B8" s="153" t="s">
        <v>132</v>
      </c>
      <c r="D8" s="166">
        <f>IFERROR(('Historical IFS Trent Ltd'!D33/'Historical IFS Trent Ltd'!C33)-1,0)</f>
        <v>15.365384615385285</v>
      </c>
      <c r="E8" s="166">
        <f>IFERROR(('Historical IFS Trent Ltd'!E33/'Historical IFS Trent Ltd'!D33)-1,0)</f>
        <v>8.6452912539864757E-2</v>
      </c>
      <c r="F8" s="166">
        <f>IFERROR(('Historical IFS Trent Ltd'!F33/'Historical IFS Trent Ltd'!E33)-1,0)</f>
        <v>-1.6280902348578554</v>
      </c>
      <c r="G8" s="166">
        <f>IFERROR(('Historical IFS Trent Ltd'!G33/'Historical IFS Trent Ltd'!F33)-1,0)</f>
        <v>8.361131611316047</v>
      </c>
      <c r="H8" s="166">
        <f>IFERROR(('Historical IFS Trent Ltd'!H33/'Historical IFS Trent Ltd'!G33)-1,0)</f>
        <v>-0.69106246550863493</v>
      </c>
      <c r="I8" s="166">
        <f>IFERROR(('Historical IFS Trent Ltd'!I33/'Historical IFS Trent Ltd'!H33)-1,0)</f>
        <v>-1.4510888057162448</v>
      </c>
      <c r="J8" s="166">
        <f>IFERROR(('Historical IFS Trent Ltd'!J33/'Historical IFS Trent Ltd'!I33)-1,0)</f>
        <v>8.2127097869128178</v>
      </c>
      <c r="K8" s="166">
        <f>IFERROR(('Historical IFS Trent Ltd'!K33/'Historical IFS Trent Ltd'!J33)-1,0)</f>
        <v>1.5163238153720227</v>
      </c>
      <c r="L8" s="166">
        <f>IFERROR(('Historical IFS Trent Ltd'!L33/'Historical IFS Trent Ltd'!K33)-1,0)</f>
        <v>0.32484646357831326</v>
      </c>
      <c r="M8" s="166"/>
      <c r="N8" s="196">
        <f t="shared" si="1"/>
        <v>3.3440675221135123</v>
      </c>
      <c r="O8" s="196">
        <f t="shared" si="2"/>
        <v>0.32484646357831326</v>
      </c>
    </row>
    <row r="9" spans="1:15" s="78" customFormat="1" x14ac:dyDescent="0.3">
      <c r="A9"/>
      <c r="B9" s="213" t="s">
        <v>133</v>
      </c>
      <c r="C9" s="197"/>
      <c r="D9" s="198">
        <f>IFERROR(('Historical IFS Trent Ltd'!D41/'Historical IFS Trent Ltd'!C41)-1,0)</f>
        <v>0.14986458019861582</v>
      </c>
      <c r="E9" s="198">
        <f>IFERROR(('Historical IFS Trent Ltd'!E41/'Historical IFS Trent Ltd'!D41)-1,0)</f>
        <v>0.13059408531797967</v>
      </c>
      <c r="F9" s="198">
        <f>IFERROR(('Historical IFS Trent Ltd'!F41/'Historical IFS Trent Ltd'!E41)-1,0)</f>
        <v>-0.23078703703703707</v>
      </c>
      <c r="G9" s="198">
        <f>IFERROR(('Historical IFS Trent Ltd'!G41/'Historical IFS Trent Ltd'!F41)-1,0)</f>
        <v>-0.4</v>
      </c>
      <c r="H9" s="198">
        <f>IFERROR(('Historical IFS Trent Ltd'!H41/'Historical IFS Trent Ltd'!G41)-1,0)</f>
        <v>1.83356774496015</v>
      </c>
      <c r="I9" s="198">
        <f>IFERROR(('Historical IFS Trent Ltd'!I41/'Historical IFS Trent Ltd'!H41)-1,0)</f>
        <v>0.2940105890138982</v>
      </c>
      <c r="J9" s="198">
        <f>IFERROR(('Historical IFS Trent Ltd'!J41/'Historical IFS Trent Ltd'!I41)-1,0)</f>
        <v>0.45454545454545459</v>
      </c>
      <c r="K9" s="198">
        <f>IFERROR(('Historical IFS Trent Ltd'!K41/'Historical IFS Trent Ltd'!J41)-1,0)</f>
        <v>0.5625</v>
      </c>
      <c r="L9" s="198">
        <f>IFERROR(('Historical IFS Trent Ltd'!L41/'Historical IFS Trent Ltd'!K41)-1,0)</f>
        <v>0.20000000000000018</v>
      </c>
      <c r="M9" s="198"/>
      <c r="N9" s="199">
        <f t="shared" si="1"/>
        <v>0.33269949077767347</v>
      </c>
      <c r="O9" s="199">
        <f t="shared" si="2"/>
        <v>0.20000000000000018</v>
      </c>
    </row>
    <row r="10" spans="1:15" s="78" customFormat="1" x14ac:dyDescent="0.3">
      <c r="A10"/>
      <c r="B10" s="233"/>
      <c r="C10" s="233"/>
      <c r="D10" s="233"/>
      <c r="E10" s="233"/>
      <c r="F10" s="233"/>
      <c r="G10" s="233"/>
      <c r="H10" s="233"/>
      <c r="I10" s="233"/>
      <c r="J10" s="233"/>
      <c r="K10" s="233"/>
      <c r="L10" s="233"/>
      <c r="M10" s="233"/>
      <c r="N10" s="233"/>
      <c r="O10" s="233"/>
    </row>
    <row r="11" spans="1:15" s="78" customFormat="1" x14ac:dyDescent="0.3">
      <c r="A11"/>
      <c r="B11" s="212" t="s">
        <v>134</v>
      </c>
      <c r="C11" s="215">
        <f>IFERROR('Historical IFS Trent Ltd'!C13,0)</f>
        <v>0.33279446492021797</v>
      </c>
      <c r="D11" s="194">
        <f>IFERROR('Historical IFS Trent Ltd'!D13,0)</f>
        <v>0.34735290573174016</v>
      </c>
      <c r="E11" s="194">
        <f>IFERROR('Historical IFS Trent Ltd'!E13,0)</f>
        <v>0.32264736297828334</v>
      </c>
      <c r="F11" s="194">
        <f>IFERROR('Historical IFS Trent Ltd'!F13,0)</f>
        <v>0.30954566578121495</v>
      </c>
      <c r="G11" s="194">
        <f>IFERROR('Historical IFS Trent Ltd'!G13,0)</f>
        <v>0.23685286313710957</v>
      </c>
      <c r="H11" s="194">
        <f>IFERROR('Historical IFS Trent Ltd'!H13,0)</f>
        <v>0.31447837048301264</v>
      </c>
      <c r="I11" s="194">
        <f>IFERROR('Historical IFS Trent Ltd'!I13,0)</f>
        <v>0.30416572636319755</v>
      </c>
      <c r="J11" s="194">
        <f>IFERROR('Historical IFS Trent Ltd'!J13,0)</f>
        <v>0.31359155595384602</v>
      </c>
      <c r="K11" s="194">
        <f>IFERROR('Historical IFS Trent Ltd'!K13,0)</f>
        <v>0.31575098587011902</v>
      </c>
      <c r="L11" s="194">
        <f>IFERROR('Historical IFS Trent Ltd'!L13,0)</f>
        <v>0.37132270709532283</v>
      </c>
      <c r="M11" s="194"/>
      <c r="N11" s="195">
        <f>IFERROR(AVERAGE(C11:L11),0)</f>
        <v>0.31685026083140638</v>
      </c>
      <c r="O11" s="195">
        <f>IFERROR(AVERAGE(D11:M11),0)</f>
        <v>0.31507868259931621</v>
      </c>
    </row>
    <row r="12" spans="1:15" s="78" customFormat="1" x14ac:dyDescent="0.3">
      <c r="A12"/>
      <c r="B12" s="153" t="s">
        <v>135</v>
      </c>
      <c r="C12" s="216">
        <f>IFERROR('Historical IFS Trent Ltd'!C19,0)</f>
        <v>7.3674163006775317E-2</v>
      </c>
      <c r="D12" s="166">
        <f>IFERROR('Historical IFS Trent Ltd'!D19,0)</f>
        <v>9.6641420930167934E-2</v>
      </c>
      <c r="E12" s="166">
        <f>IFERROR('Historical IFS Trent Ltd'!E19,0)</f>
        <v>9.1489749984792215E-2</v>
      </c>
      <c r="F12" s="166">
        <f>IFERROR('Historical IFS Trent Ltd'!F19,0)</f>
        <v>0.15174212129731085</v>
      </c>
      <c r="G12" s="166">
        <f>IFERROR('Historical IFS Trent Ltd'!G19,0)</f>
        <v>4.391506232259644E-2</v>
      </c>
      <c r="H12" s="166">
        <f>IFERROR('Historical IFS Trent Ltd'!H19,0)</f>
        <v>0.13221817599743901</v>
      </c>
      <c r="I12" s="166">
        <f>IFERROR('Historical IFS Trent Ltd'!I19,0)</f>
        <v>0.13517924004066981</v>
      </c>
      <c r="J12" s="166">
        <f>IFERROR('Historical IFS Trent Ltd'!J19,0)</f>
        <v>0.15924626124535454</v>
      </c>
      <c r="K12" s="166">
        <f>IFERROR('Historical IFS Trent Ltd'!K19,0)</f>
        <v>0.16457684184232968</v>
      </c>
      <c r="L12" s="166">
        <f>IFERROR('Historical IFS Trent Ltd'!L19,0)</f>
        <v>0.18299051369892019</v>
      </c>
      <c r="M12" s="166"/>
      <c r="N12" s="196">
        <f t="shared" ref="N12:O25" si="3">IFERROR(AVERAGE(C12:L12),0)</f>
        <v>0.1231673550366356</v>
      </c>
      <c r="O12" s="196">
        <f t="shared" si="3"/>
        <v>0.128666598595509</v>
      </c>
    </row>
    <row r="13" spans="1:15" s="78" customFormat="1" x14ac:dyDescent="0.3">
      <c r="A13"/>
      <c r="B13" s="153" t="s">
        <v>136</v>
      </c>
      <c r="C13" s="216">
        <f>IFERROR(('Historical IFS Trent Ltd'!C27+'Historical IFS Trent Ltd'!C21)/'Historical IFS Trent Ltd'!C6,0)</f>
        <v>5.089271920725643E-2</v>
      </c>
      <c r="D13" s="166">
        <f>IFERROR(('Historical IFS Trent Ltd'!D27+'Historical IFS Trent Ltd'!D21)/'Historical IFS Trent Ltd'!D6,0)</f>
        <v>7.5537901050309206E-2</v>
      </c>
      <c r="E13" s="166">
        <f>IFERROR(('Historical IFS Trent Ltd'!E27+'Historical IFS Trent Ltd'!E21)/'Historical IFS Trent Ltd'!E6,0)</f>
        <v>7.1845154814769704E-2</v>
      </c>
      <c r="F13" s="166">
        <f>IFERROR(('Historical IFS Trent Ltd'!F27+'Historical IFS Trent Ltd'!F21)/'Historical IFS Trent Ltd'!F6,0)</f>
        <v>8.081801960998046E-2</v>
      </c>
      <c r="G13" s="166">
        <f>IFERROR(('Historical IFS Trent Ltd'!G27+'Historical IFS Trent Ltd'!G21)/'Historical IFS Trent Ltd'!G6,0)</f>
        <v>-5.5315161051462558E-2</v>
      </c>
      <c r="H13" s="166">
        <f>IFERROR(('Historical IFS Trent Ltd'!H27+'Historical IFS Trent Ltd'!H21)/'Historical IFS Trent Ltd'!H6,0)</f>
        <v>6.311666021938557E-2</v>
      </c>
      <c r="I13" s="166">
        <f>IFERROR(('Historical IFS Trent Ltd'!I27+'Historical IFS Trent Ltd'!I21)/'Historical IFS Trent Ltd'!I6,0)</f>
        <v>7.5280089104370215E-2</v>
      </c>
      <c r="J13" s="166">
        <f>IFERROR(('Historical IFS Trent Ltd'!J27+'Historical IFS Trent Ltd'!J21)/'Historical IFS Trent Ltd'!J6,0)</f>
        <v>0.10501563218427955</v>
      </c>
      <c r="K13" s="166">
        <f>IFERROR(('Historical IFS Trent Ltd'!K27+'Historical IFS Trent Ltd'!K21)/'Historical IFS Trent Ltd'!K6,0)</f>
        <v>0.11233287480718851</v>
      </c>
      <c r="L13" s="166">
        <f>IFERROR(('Historical IFS Trent Ltd'!L27+'Historical IFS Trent Ltd'!L21)/'Historical IFS Trent Ltd'!L6,0)</f>
        <v>0.11518261490738617</v>
      </c>
      <c r="M13" s="166"/>
      <c r="N13" s="196">
        <f t="shared" si="3"/>
        <v>6.9470650485346314E-2</v>
      </c>
      <c r="O13" s="196">
        <f t="shared" si="3"/>
        <v>7.1534865071800763E-2</v>
      </c>
    </row>
    <row r="14" spans="1:15" s="78" customFormat="1" x14ac:dyDescent="0.3">
      <c r="A14"/>
      <c r="B14" s="153" t="s">
        <v>137</v>
      </c>
      <c r="C14" s="216">
        <f>IFERROR('Historical IFS Trent Ltd'!C28,0)</f>
        <v>2.5760852773057234E-2</v>
      </c>
      <c r="D14" s="166">
        <f>IFERROR('Historical IFS Trent Ltd'!D28,0)</f>
        <v>5.5245520195044223E-2</v>
      </c>
      <c r="E14" s="166">
        <f>IFERROR('Historical IFS Trent Ltd'!E28,0)</f>
        <v>5.2592158890443413E-2</v>
      </c>
      <c r="F14" s="166">
        <f>IFERROR('Historical IFS Trent Ltd'!F28,0)</f>
        <v>5.2668116282938151E-3</v>
      </c>
      <c r="G14" s="166">
        <f>IFERROR('Historical IFS Trent Ltd'!G28,0)</f>
        <v>-0.15589133654202161</v>
      </c>
      <c r="H14" s="166">
        <f>IFERROR('Historical IFS Trent Ltd'!H28,0)</f>
        <v>-9.1017825621049382E-3</v>
      </c>
      <c r="I14" s="166">
        <f>IFERROR('Historical IFS Trent Ltd'!I28,0)</f>
        <v>2.565754511636727E-2</v>
      </c>
      <c r="J14" s="166">
        <f>IFERROR('Historical IFS Trent Ltd'!J28,0)</f>
        <v>7.5305997280024142E-2</v>
      </c>
      <c r="K14" s="166">
        <f>IFERROR('Historical IFS Trent Ltd'!K28,0)</f>
        <v>0.10065475665918282</v>
      </c>
      <c r="L14" s="166">
        <f>IFERROR('Historical IFS Trent Ltd'!L28,0)</f>
        <v>0.10679623257901559</v>
      </c>
      <c r="M14" s="166"/>
      <c r="N14" s="196">
        <f t="shared" si="3"/>
        <v>2.8228675601730195E-2</v>
      </c>
      <c r="O14" s="196">
        <f t="shared" si="3"/>
        <v>2.8502878138249414E-2</v>
      </c>
    </row>
    <row r="15" spans="1:15" s="78" customFormat="1" x14ac:dyDescent="0.3">
      <c r="A15"/>
      <c r="B15" s="213" t="s">
        <v>138</v>
      </c>
      <c r="C15" s="217">
        <f>IFERROR('Historical IFS Trent Ltd'!C34,0)</f>
        <v>2.0083423451258296E-3</v>
      </c>
      <c r="D15" s="198">
        <f>IFERROR('Historical IFS Trent Ltd'!D34,0)</f>
        <v>2.76111723971708E-2</v>
      </c>
      <c r="E15" s="198">
        <f>IFERROR('Historical IFS Trent Ltd'!E34,0)</f>
        <v>2.4606119593649202E-2</v>
      </c>
      <c r="F15" s="198">
        <f>IFERROR('Historical IFS Trent Ltd'!F34,0)</f>
        <v>-1.1660996333886117E-2</v>
      </c>
      <c r="G15" s="198">
        <f>IFERROR('Historical IFS Trent Ltd'!G34,0)</f>
        <v>-0.14675505985437506</v>
      </c>
      <c r="H15" s="198">
        <f>IFERROR('Historical IFS Trent Ltd'!H34,0)</f>
        <v>-2.6135944259918643E-2</v>
      </c>
      <c r="I15" s="198">
        <f>IFERROR('Historical IFS Trent Ltd'!I34,0)</f>
        <v>6.4341023195771656E-3</v>
      </c>
      <c r="J15" s="198">
        <f>IFERROR('Historical IFS Trent Ltd'!J34,0)</f>
        <v>3.9478436959348204E-2</v>
      </c>
      <c r="K15" s="198">
        <f>IFERROR('Historical IFS Trent Ltd'!K34,0)</f>
        <v>7.1746599426540811E-2</v>
      </c>
      <c r="L15" s="198">
        <f>IFERROR('Historical IFS Trent Ltd'!L34,0)</f>
        <v>8.1133952469362447E-2</v>
      </c>
      <c r="M15" s="198"/>
      <c r="N15" s="199">
        <f t="shared" si="3"/>
        <v>6.846672506259463E-3</v>
      </c>
      <c r="O15" s="199">
        <f t="shared" si="3"/>
        <v>7.3842647463854237E-3</v>
      </c>
    </row>
    <row r="16" spans="1:15" s="78" customFormat="1" x14ac:dyDescent="0.3">
      <c r="A16"/>
      <c r="B16" s="214"/>
      <c r="C16" s="200"/>
      <c r="D16" s="200"/>
      <c r="E16" s="200"/>
      <c r="F16" s="200"/>
      <c r="G16" s="200"/>
      <c r="H16" s="200"/>
      <c r="I16" s="200"/>
      <c r="J16" s="200"/>
      <c r="K16" s="200"/>
      <c r="L16" s="200"/>
      <c r="M16" s="200"/>
      <c r="N16" s="201"/>
      <c r="O16" s="201"/>
    </row>
    <row r="17" spans="1:15" s="78" customFormat="1" x14ac:dyDescent="0.3">
      <c r="A17"/>
      <c r="B17" s="212" t="s">
        <v>139</v>
      </c>
      <c r="C17" s="215">
        <f>IFERROR('Historical IFS Trent Ltd'!C16,0)</f>
        <v>0.25912030191344265</v>
      </c>
      <c r="D17" s="194">
        <f>IFERROR('Historical IFS Trent Ltd'!D16,0)</f>
        <v>0.25071148480157218</v>
      </c>
      <c r="E17" s="194">
        <f>IFERROR('Historical IFS Trent Ltd'!E16,0)</f>
        <v>0.23115761299349111</v>
      </c>
      <c r="F17" s="194">
        <f>IFERROR('Historical IFS Trent Ltd'!F16,0)</f>
        <v>0.1578035444839041</v>
      </c>
      <c r="G17" s="194">
        <f>IFERROR('Historical IFS Trent Ltd'!G16,0)</f>
        <v>0.19293780081451312</v>
      </c>
      <c r="H17" s="194">
        <f>IFERROR('Historical IFS Trent Ltd'!H16,0)</f>
        <v>0.18226019448557362</v>
      </c>
      <c r="I17" s="194">
        <f>IFERROR('Historical IFS Trent Ltd'!I16,0)</f>
        <v>0.16898648632252772</v>
      </c>
      <c r="J17" s="194">
        <f>IFERROR('Historical IFS Trent Ltd'!J16,0)</f>
        <v>0.15434529470849148</v>
      </c>
      <c r="K17" s="194">
        <f>IFERROR('Historical IFS Trent Ltd'!K16,0)</f>
        <v>0.15117414402778936</v>
      </c>
      <c r="L17" s="194">
        <f>IFERROR('Historical IFS Trent Ltd'!L16,0)</f>
        <v>0.18833219339640264</v>
      </c>
      <c r="M17" s="194"/>
      <c r="N17" s="195">
        <f t="shared" si="3"/>
        <v>0.19368290579477079</v>
      </c>
      <c r="O17" s="195">
        <f t="shared" si="3"/>
        <v>0.18641208400380727</v>
      </c>
    </row>
    <row r="18" spans="1:15" s="78" customFormat="1" x14ac:dyDescent="0.3">
      <c r="A18"/>
      <c r="B18" s="153" t="s">
        <v>140</v>
      </c>
      <c r="C18" s="216">
        <f>IFERROR('Historical IFS Trent Ltd'!C25,0)</f>
        <v>2.278144379951888E-2</v>
      </c>
      <c r="D18" s="166">
        <f>IFERROR('Historical IFS Trent Ltd'!D25,0)</f>
        <v>2.1103519879858722E-2</v>
      </c>
      <c r="E18" s="166">
        <f>IFERROR('Historical IFS Trent Ltd'!E25,0)</f>
        <v>1.9644595170022511E-2</v>
      </c>
      <c r="F18" s="166">
        <f>IFERROR('Historical IFS Trent Ltd'!F25,0)</f>
        <v>7.092410168733039E-2</v>
      </c>
      <c r="G18" s="166">
        <f>IFERROR('Historical IFS Trent Ltd'!G25,0)</f>
        <v>9.9230223374058998E-2</v>
      </c>
      <c r="H18" s="166">
        <f>IFERROR('Historical IFS Trent Ltd'!H25,0)</f>
        <v>6.9101515778053443E-2</v>
      </c>
      <c r="I18" s="166">
        <f>IFERROR('Historical IFS Trent Ltd'!I25,0)</f>
        <v>5.9899150936299592E-2</v>
      </c>
      <c r="J18" s="166">
        <f>IFERROR('Historical IFS Trent Ltd'!J25,0)</f>
        <v>5.4230629061075009E-2</v>
      </c>
      <c r="K18" s="166">
        <f>IFERROR('Historical IFS Trent Ltd'!K25,0)</f>
        <v>5.2243967035141149E-2</v>
      </c>
      <c r="L18" s="166">
        <f>IFERROR('Historical IFS Trent Ltd'!L25,0)</f>
        <v>6.7807898791534024E-2</v>
      </c>
      <c r="M18" s="166"/>
      <c r="N18" s="196">
        <f t="shared" si="3"/>
        <v>5.3696704551289276E-2</v>
      </c>
      <c r="O18" s="196">
        <f t="shared" si="3"/>
        <v>5.7131733523708213E-2</v>
      </c>
    </row>
    <row r="19" spans="1:15" s="78" customFormat="1" x14ac:dyDescent="0.3">
      <c r="A19"/>
      <c r="B19" s="213" t="s">
        <v>141</v>
      </c>
      <c r="C19" s="217">
        <f>C13</f>
        <v>5.089271920725643E-2</v>
      </c>
      <c r="D19" s="198">
        <f t="shared" ref="D19:L19" si="4">D13</f>
        <v>7.5537901050309206E-2</v>
      </c>
      <c r="E19" s="198">
        <f t="shared" si="4"/>
        <v>7.1845154814769704E-2</v>
      </c>
      <c r="F19" s="198">
        <f t="shared" si="4"/>
        <v>8.081801960998046E-2</v>
      </c>
      <c r="G19" s="198">
        <f t="shared" si="4"/>
        <v>-5.5315161051462558E-2</v>
      </c>
      <c r="H19" s="198">
        <f t="shared" si="4"/>
        <v>6.311666021938557E-2</v>
      </c>
      <c r="I19" s="198">
        <f t="shared" si="4"/>
        <v>7.5280089104370215E-2</v>
      </c>
      <c r="J19" s="198">
        <f t="shared" si="4"/>
        <v>0.10501563218427955</v>
      </c>
      <c r="K19" s="198">
        <f t="shared" si="4"/>
        <v>0.11233287480718851</v>
      </c>
      <c r="L19" s="198">
        <f t="shared" si="4"/>
        <v>0.11518261490738617</v>
      </c>
      <c r="M19" s="198"/>
      <c r="N19" s="199">
        <f t="shared" si="3"/>
        <v>6.9470650485346314E-2</v>
      </c>
      <c r="O19" s="199">
        <f t="shared" si="3"/>
        <v>7.1534865071800763E-2</v>
      </c>
    </row>
    <row r="20" spans="1:15" s="78" customFormat="1" x14ac:dyDescent="0.3">
      <c r="A20"/>
      <c r="B20" s="214"/>
      <c r="C20" s="218"/>
      <c r="D20" s="200"/>
      <c r="E20" s="200"/>
      <c r="F20" s="200"/>
      <c r="G20" s="200"/>
      <c r="H20" s="200"/>
      <c r="I20" s="200"/>
      <c r="J20" s="200"/>
      <c r="K20" s="200"/>
      <c r="L20" s="200"/>
      <c r="M20" s="200"/>
      <c r="N20" s="201"/>
      <c r="O20" s="201"/>
    </row>
    <row r="21" spans="1:15" s="78" customFormat="1" x14ac:dyDescent="0.3">
      <c r="A21"/>
      <c r="B21" s="212" t="s">
        <v>142</v>
      </c>
      <c r="C21" s="215">
        <f>IFERROR(('Historical IFS Trent Ltd'!C27+'Historical IFS Trent Ltd'!C21)/SUM('Historical IFS Trent Ltd'!C47:C49),0)</f>
        <v>4.7560365674450662E-2</v>
      </c>
      <c r="D21" s="194">
        <f>IFERROR(('Historical IFS Trent Ltd'!D27+'Historical IFS Trent Ltd'!D21)/SUM('Historical IFS Trent Ltd'!D47:D49),0)</f>
        <v>8.2026374068854491E-2</v>
      </c>
      <c r="E21" s="194">
        <f>IFERROR(('Historical IFS Trent Ltd'!E27+'Historical IFS Trent Ltd'!E21)/SUM('Historical IFS Trent Ltd'!E47:E49),0)</f>
        <v>8.8276925232989911E-2</v>
      </c>
      <c r="F21" s="194">
        <f>IFERROR(('Historical IFS Trent Ltd'!F27+'Historical IFS Trent Ltd'!F21)/SUM('Historical IFS Trent Ltd'!F47:F49),0)</f>
        <v>0.10482937737906078</v>
      </c>
      <c r="G21" s="194">
        <f>IFERROR(('Historical IFS Trent Ltd'!G27+'Historical IFS Trent Ltd'!G21)/SUM('Historical IFS Trent Ltd'!G47:G49),0)</f>
        <v>-2.7181967380881154E-2</v>
      </c>
      <c r="H21" s="194">
        <f>IFERROR(('Historical IFS Trent Ltd'!H27+'Historical IFS Trent Ltd'!H21)/SUM('Historical IFS Trent Ltd'!H47:H49),0)</f>
        <v>4.0045927982215707E-2</v>
      </c>
      <c r="I21" s="194">
        <f>IFERROR(('Historical IFS Trent Ltd'!I27+'Historical IFS Trent Ltd'!I21)/SUM('Historical IFS Trent Ltd'!I47:I49),0)</f>
        <v>8.7888458743588735E-2</v>
      </c>
      <c r="J21" s="194">
        <f>IFERROR(('Historical IFS Trent Ltd'!J27+'Historical IFS Trent Ltd'!J21)/SUM('Historical IFS Trent Ltd'!J47:J49),0)</f>
        <v>0.22326752829971491</v>
      </c>
      <c r="K21" s="194">
        <f>IFERROR(('Historical IFS Trent Ltd'!K27+'Historical IFS Trent Ltd'!K21)/SUM('Historical IFS Trent Ltd'!K47:K49),0)</f>
        <v>0.25000616968851519</v>
      </c>
      <c r="L21" s="194">
        <f>IFERROR(('Historical IFS Trent Ltd'!L27+'Historical IFS Trent Ltd'!L21)/SUM('Historical IFS Trent Ltd'!L47:L49),0)</f>
        <v>0.24221841140674613</v>
      </c>
      <c r="M21" s="194"/>
      <c r="N21" s="195">
        <f t="shared" si="3"/>
        <v>0.11389375710952554</v>
      </c>
      <c r="O21" s="195">
        <f t="shared" si="3"/>
        <v>0.12126413393564496</v>
      </c>
    </row>
    <row r="22" spans="1:15" s="78" customFormat="1" x14ac:dyDescent="0.3">
      <c r="A22"/>
      <c r="B22" s="153" t="s">
        <v>143</v>
      </c>
      <c r="C22" s="216">
        <f>IFERROR('Historical IFS Trent Ltd'!C44,0)</f>
        <v>0</v>
      </c>
      <c r="D22" s="166">
        <f>IFERROR('Historical IFS Trent Ltd'!D44,0)</f>
        <v>0.35856974987409895</v>
      </c>
      <c r="E22" s="166">
        <f>IFERROR('Historical IFS Trent Ltd'!E44,0)</f>
        <v>0.33250927070457226</v>
      </c>
      <c r="F22" s="166">
        <f>IFERROR('Historical IFS Trent Ltd'!F44,0)</f>
        <v>0</v>
      </c>
      <c r="G22" s="166">
        <f>IFERROR('Historical IFS Trent Ltd'!G44,0)</f>
        <v>0</v>
      </c>
      <c r="H22" s="166">
        <f>IFERROR('Historical IFS Trent Ltd'!H44,0)</f>
        <v>0</v>
      </c>
      <c r="I22" s="166">
        <f>IFERROR('Historical IFS Trent Ltd'!I44,0)</f>
        <v>0</v>
      </c>
      <c r="J22" s="166">
        <f>IFERROR('Historical IFS Trent Ltd'!J44,0)</f>
        <v>0.76714768191587335</v>
      </c>
      <c r="K22" s="166">
        <f>IFERROR('Historical IFS Trent Ltd'!K44,0)</f>
        <v>0.85541139626631968</v>
      </c>
      <c r="L22" s="166">
        <f>IFERROR('Historical IFS Trent Ltd'!L44,0)</f>
        <v>0.86903665500092098</v>
      </c>
      <c r="M22" s="166"/>
      <c r="N22" s="196">
        <f t="shared" si="3"/>
        <v>0.31826747537617855</v>
      </c>
      <c r="O22" s="196">
        <f t="shared" si="3"/>
        <v>0.35363052819575391</v>
      </c>
    </row>
    <row r="23" spans="1:15" s="78" customFormat="1" x14ac:dyDescent="0.3">
      <c r="A23"/>
      <c r="B23" s="153" t="s">
        <v>144</v>
      </c>
      <c r="C23" s="216">
        <f>IFERROR('Historical IFS Trent Ltd'!C33/SUM('Historical IFS Trent Ltd'!C47:C48),0)</f>
        <v>2.3518921747894333E-3</v>
      </c>
      <c r="D23" s="166">
        <f>IFERROR('Historical IFS Trent Ltd'!D33/SUM('Historical IFS Trent Ltd'!D47:D48),0)</f>
        <v>3.7339300601114546E-2</v>
      </c>
      <c r="E23" s="166">
        <f>IFERROR('Historical IFS Trent Ltd'!E33/SUM('Historical IFS Trent Ltd'!E47:E48),0)</f>
        <v>3.9307383496000554E-2</v>
      </c>
      <c r="F23" s="166">
        <f>IFERROR('Historical IFS Trent Ltd'!F33/SUM('Historical IFS Trent Ltd'!F47:F48),0)</f>
        <v>-1.7024252754662437E-2</v>
      </c>
      <c r="G23" s="166">
        <f>IFERROR('Historical IFS Trent Ltd'!G33/SUM('Historical IFS Trent Ltd'!G47:G48),0)</f>
        <v>-0.16451580826880774</v>
      </c>
      <c r="H23" s="166">
        <f>IFERROR('Historical IFS Trent Ltd'!H33/SUM('Historical IFS Trent Ltd'!H47:H48),0)</f>
        <v>-4.9729272419627435E-2</v>
      </c>
      <c r="I23" s="166">
        <f>IFERROR('Historical IFS Trent Ltd'!I33/SUM('Historical IFS Trent Ltd'!I47:I48),0)</f>
        <v>2.0431594804835074E-2</v>
      </c>
      <c r="J23" s="166">
        <f>IFERROR('Historical IFS Trent Ltd'!J33/SUM('Historical IFS Trent Ltd'!J47:J48),0)</f>
        <v>0.1201035464410212</v>
      </c>
      <c r="K23" s="166">
        <f>IFERROR('Historical IFS Trent Ltd'!K33/SUM('Historical IFS Trent Ltd'!K47:K48),0)</f>
        <v>0.22508394760644054</v>
      </c>
      <c r="L23" s="166">
        <f>IFERROR('Historical IFS Trent Ltd'!L33/SUM('Historical IFS Trent Ltd'!L47:L48),0)</f>
        <v>0.2331817635167252</v>
      </c>
      <c r="M23" s="166"/>
      <c r="N23" s="196">
        <f t="shared" si="3"/>
        <v>4.4653009519782891E-2</v>
      </c>
      <c r="O23" s="196">
        <f t="shared" si="3"/>
        <v>4.9353133669226612E-2</v>
      </c>
    </row>
    <row r="24" spans="1:15" s="78" customFormat="1" x14ac:dyDescent="0.3">
      <c r="A24"/>
      <c r="B24" s="153" t="s">
        <v>145</v>
      </c>
      <c r="C24" s="216">
        <f>IFERROR(C22*C23,0)</f>
        <v>0</v>
      </c>
      <c r="D24" s="166">
        <f t="shared" ref="D24:L24" si="5">IFERROR(D22*D23,0)</f>
        <v>1.3388743677015435E-2</v>
      </c>
      <c r="E24" s="166">
        <f t="shared" si="5"/>
        <v>1.3070069419560085E-2</v>
      </c>
      <c r="F24" s="166">
        <f t="shared" si="5"/>
        <v>0</v>
      </c>
      <c r="G24" s="166">
        <f t="shared" si="5"/>
        <v>0</v>
      </c>
      <c r="H24" s="166">
        <f t="shared" si="5"/>
        <v>0</v>
      </c>
      <c r="I24" s="166">
        <f t="shared" si="5"/>
        <v>0</v>
      </c>
      <c r="J24" s="166">
        <f t="shared" si="5"/>
        <v>9.2137157242104847E-2</v>
      </c>
      <c r="K24" s="166">
        <f t="shared" si="5"/>
        <v>0.19253937389916045</v>
      </c>
      <c r="L24" s="166">
        <f t="shared" si="5"/>
        <v>0.20264349977379068</v>
      </c>
      <c r="M24" s="166"/>
      <c r="N24" s="196">
        <f t="shared" si="3"/>
        <v>5.1377884401163157E-2</v>
      </c>
      <c r="O24" s="196">
        <f t="shared" si="3"/>
        <v>5.7086538223514616E-2</v>
      </c>
    </row>
    <row r="25" spans="1:15" s="78" customFormat="1" x14ac:dyDescent="0.3">
      <c r="A25"/>
      <c r="B25" s="213" t="s">
        <v>146</v>
      </c>
      <c r="C25" s="219">
        <f>IFERROR(('Historical IFS Trent Ltd'!C27+'Historical IFS Trent Ltd'!C21)/'Historical IFS Trent Ltd'!C21,0)</f>
        <v>2.0250274423710177</v>
      </c>
      <c r="D25" s="202">
        <f>IFERROR(('Historical IFS Trent Ltd'!D27+'Historical IFS Trent Ltd'!D21)/'Historical IFS Trent Ltd'!D21,0)</f>
        <v>3.7224760164458681</v>
      </c>
      <c r="E25" s="202">
        <f>IFERROR(('Historical IFS Trent Ltd'!E27+'Historical IFS Trent Ltd'!E21)/'Historical IFS Trent Ltd'!E21,0)</f>
        <v>3.7316350710900443</v>
      </c>
      <c r="F25" s="202">
        <f>IFERROR(('Historical IFS Trent Ltd'!F27+'Historical IFS Trent Ltd'!F21)/'Historical IFS Trent Ltd'!F21,0)</f>
        <v>1.0697118122793017</v>
      </c>
      <c r="G25" s="202">
        <f>IFERROR(('Historical IFS Trent Ltd'!G27+'Historical IFS Trent Ltd'!G21)/'Historical IFS Trent Ltd'!G21,0)</f>
        <v>-0.54998274473714615</v>
      </c>
      <c r="H25" s="202">
        <f>IFERROR(('Historical IFS Trent Ltd'!H27+'Historical IFS Trent Ltd'!H21)/'Historical IFS Trent Ltd'!H21,0)</f>
        <v>0.87396872306366435</v>
      </c>
      <c r="I25" s="202">
        <f>IFERROR(('Historical IFS Trent Ltd'!I27+'Historical IFS Trent Ltd'!I21)/'Historical IFS Trent Ltd'!I21,0)</f>
        <v>1.5170542067043238</v>
      </c>
      <c r="J25" s="202">
        <f>IFERROR(('Historical IFS Trent Ltd'!J27+'Historical IFS Trent Ltd'!J21)/'Historical IFS Trent Ltd'!J21,0)</f>
        <v>3.5347331773921549</v>
      </c>
      <c r="K25" s="202">
        <f>IFERROR(('Historical IFS Trent Ltd'!K27+'Historical IFS Trent Ltd'!K21)/'Historical IFS Trent Ltd'!K21,0)</f>
        <v>9.6190904547726159</v>
      </c>
      <c r="L25" s="202">
        <f>IFERROR(('Historical IFS Trent Ltd'!L27+'Historical IFS Trent Ltd'!L21)/'Historical IFS Trent Ltd'!L21,0)</f>
        <v>13.734481734481736</v>
      </c>
      <c r="M25" s="198"/>
      <c r="N25" s="202">
        <f t="shared" si="3"/>
        <v>3.9278195893863583</v>
      </c>
      <c r="O25" s="202">
        <f t="shared" si="3"/>
        <v>4.1392409390547282</v>
      </c>
    </row>
    <row r="26" spans="1:15" s="78" customFormat="1" x14ac:dyDescent="0.3">
      <c r="A26"/>
      <c r="B26" s="214"/>
      <c r="C26" s="218"/>
      <c r="D26" s="200"/>
      <c r="E26" s="200"/>
      <c r="F26" s="200"/>
      <c r="G26" s="200"/>
      <c r="H26" s="200"/>
      <c r="I26" s="200"/>
      <c r="J26" s="200"/>
      <c r="K26" s="200"/>
      <c r="L26" s="200"/>
      <c r="M26" s="200"/>
      <c r="N26" s="201"/>
      <c r="O26" s="201"/>
    </row>
    <row r="27" spans="1:15" s="78" customFormat="1" x14ac:dyDescent="0.3">
      <c r="A27"/>
      <c r="B27" s="212" t="s">
        <v>147</v>
      </c>
      <c r="C27" s="220">
        <f>IFERROR('Historical IFS Trent Ltd'!C6/'Historical IFS Trent Ltd'!C59,0)</f>
        <v>306.15540540540542</v>
      </c>
      <c r="D27" s="203">
        <f>IFERROR('Historical IFS Trent Ltd'!D6/'Historical IFS Trent Ltd'!D59,0)</f>
        <v>142.87814569536425</v>
      </c>
      <c r="E27" s="203">
        <f>IFERROR('Historical IFS Trent Ltd'!E6/'Historical IFS Trent Ltd'!E59,0)</f>
        <v>159.02297460701328</v>
      </c>
      <c r="F27" s="203">
        <f>IFERROR('Historical IFS Trent Ltd'!F6/'Historical IFS Trent Ltd'!F59,0)</f>
        <v>203.62032710280371</v>
      </c>
      <c r="G27" s="203">
        <f>IFERROR('Historical IFS Trent Ltd'!G6/'Historical IFS Trent Ltd'!G59,0)</f>
        <v>124.84159845931633</v>
      </c>
      <c r="H27" s="203">
        <f>IFERROR('Historical IFS Trent Ltd'!H6/'Historical IFS Trent Ltd'!H59,0)</f>
        <v>246.33187294633078</v>
      </c>
      <c r="I27" s="203">
        <f>IFERROR('Historical IFS Trent Ltd'!I6/'Historical IFS Trent Ltd'!I59,0)</f>
        <v>239.66327420761851</v>
      </c>
      <c r="J27" s="203">
        <f>IFERROR('Historical IFS Trent Ltd'!J6/'Historical IFS Trent Ltd'!J59,0)</f>
        <v>151.39601174455592</v>
      </c>
      <c r="K27" s="203">
        <f>IFERROR('Historical IFS Trent Ltd'!K6/'Historical IFS Trent Ltd'!K59,0)</f>
        <v>272.19396346306593</v>
      </c>
      <c r="L27" s="203">
        <f>IFERROR('Historical IFS Trent Ltd'!L6/'Historical IFS Trent Ltd'!L59,0)</f>
        <v>392.53441533046538</v>
      </c>
      <c r="M27" s="194"/>
      <c r="N27" s="203">
        <f t="shared" ref="N27:O31" si="6">IFERROR(AVERAGE(C27:L27),0)</f>
        <v>223.86379889619394</v>
      </c>
      <c r="O27" s="203">
        <f t="shared" si="6"/>
        <v>214.72028706183713</v>
      </c>
    </row>
    <row r="28" spans="1:15" s="78" customFormat="1" x14ac:dyDescent="0.3">
      <c r="A28"/>
      <c r="B28" s="153" t="s">
        <v>148</v>
      </c>
      <c r="C28" s="221">
        <f>IFERROR('Historical IFS Trent Ltd'!C6/'Historical IFS Trent Ltd'!C50,0)</f>
        <v>6.408457676260519</v>
      </c>
      <c r="D28" s="204">
        <f>IFERROR('Historical IFS Trent Ltd'!D6/'Historical IFS Trent Ltd'!D50,0)</f>
        <v>6.1807712141179172</v>
      </c>
      <c r="E28" s="204">
        <f>IFERROR('Historical IFS Trent Ltd'!E6/'Historical IFS Trent Ltd'!E50,0)</f>
        <v>6.2907847217239476</v>
      </c>
      <c r="F28" s="204">
        <f>IFERROR('Historical IFS Trent Ltd'!F6/'Historical IFS Trent Ltd'!F50,0)</f>
        <v>1.2365270629298695</v>
      </c>
      <c r="G28" s="204">
        <f>IFERROR('Historical IFS Trent Ltd'!G6/'Historical IFS Trent Ltd'!G50,0)</f>
        <v>5.799897107835462</v>
      </c>
      <c r="H28" s="204">
        <f>IFERROR('Historical IFS Trent Ltd'!H6/'Historical IFS Trent Ltd'!H50,0)</f>
        <v>7.0650268589199898</v>
      </c>
      <c r="I28" s="204">
        <f>IFERROR('Historical IFS Trent Ltd'!I6/'Historical IFS Trent Ltd'!I50,0)</f>
        <v>8.0653880027399953</v>
      </c>
      <c r="J28" s="204">
        <f>IFERROR('Historical IFS Trent Ltd'!J6/'Historical IFS Trent Ltd'!J50,0)</f>
        <v>9.2281323171913918</v>
      </c>
      <c r="K28" s="204">
        <f>IFERROR('Historical IFS Trent Ltd'!K6/'Historical IFS Trent Ltd'!K50,0)</f>
        <v>9.9578720411922994</v>
      </c>
      <c r="L28" s="204">
        <f>IFERROR('Historical IFS Trent Ltd'!L6/'Historical IFS Trent Ltd'!L50,0)</f>
        <v>9.1971731610656757</v>
      </c>
      <c r="M28" s="166"/>
      <c r="N28" s="204">
        <f t="shared" si="6"/>
        <v>6.9430030163977081</v>
      </c>
      <c r="O28" s="204">
        <f t="shared" si="6"/>
        <v>7.0023969430796171</v>
      </c>
    </row>
    <row r="29" spans="1:15" s="78" customFormat="1" x14ac:dyDescent="0.3">
      <c r="A29"/>
      <c r="B29" s="153" t="s">
        <v>149</v>
      </c>
      <c r="C29" s="221">
        <f>IFERROR('Historical IFS Trent Ltd'!C6/'Historical IFS Trent Ltd'!C60,0)</f>
        <v>5.935420487293686</v>
      </c>
      <c r="D29" s="204">
        <f>IFERROR('Historical IFS Trent Ltd'!D6/'Historical IFS Trent Ltd'!D60,0)</f>
        <v>6.2576790323984106</v>
      </c>
      <c r="E29" s="204">
        <f>IFERROR('Historical IFS Trent Ltd'!E6/'Historical IFS Trent Ltd'!E60,0)</f>
        <v>5.2921269189754732</v>
      </c>
      <c r="F29" s="204">
        <f>IFERROR('Historical IFS Trent Ltd'!F6/'Historical IFS Trent Ltd'!F60,0)</f>
        <v>5.7353120218489337</v>
      </c>
      <c r="G29" s="204">
        <f>IFERROR('Historical IFS Trent Ltd'!G6/'Historical IFS Trent Ltd'!G60,0)</f>
        <v>6.0528023529961024</v>
      </c>
      <c r="H29" s="204">
        <f>IFERROR('Historical IFS Trent Ltd'!H6/'Historical IFS Trent Ltd'!H60,0)</f>
        <v>5.1833644472101232</v>
      </c>
      <c r="I29" s="204">
        <f>IFERROR('Historical IFS Trent Ltd'!I6/'Historical IFS Trent Ltd'!I60,0)</f>
        <v>6.0551441417614384</v>
      </c>
      <c r="J29" s="204">
        <f>IFERROR('Historical IFS Trent Ltd'!J6/'Historical IFS Trent Ltd'!J60,0)</f>
        <v>7.8188383362923561</v>
      </c>
      <c r="K29" s="204">
        <f>IFERROR('Historical IFS Trent Ltd'!K6/'Historical IFS Trent Ltd'!K60,0)</f>
        <v>8.3785775408914205</v>
      </c>
      <c r="L29" s="204">
        <f>IFERROR('Historical IFS Trent Ltd'!L6/'Historical IFS Trent Ltd'!L60,0)</f>
        <v>8.7698218880651453</v>
      </c>
      <c r="M29" s="166"/>
      <c r="N29" s="204">
        <f t="shared" si="6"/>
        <v>6.5479087167733097</v>
      </c>
      <c r="O29" s="204">
        <f t="shared" si="6"/>
        <v>6.6159629644932672</v>
      </c>
    </row>
    <row r="30" spans="1:15" s="78" customFormat="1" x14ac:dyDescent="0.3">
      <c r="A30"/>
      <c r="B30" s="153" t="s">
        <v>150</v>
      </c>
      <c r="C30" s="221">
        <f>IFERROR('Historical IFS Trent Ltd'!C6/'Historical IFS Trent Ltd'!C53,0)</f>
        <v>3.3030927083523172</v>
      </c>
      <c r="D30" s="204">
        <f>IFERROR('Historical IFS Trent Ltd'!D6/'Historical IFS Trent Ltd'!D53,0)</f>
        <v>3.5222111570045551</v>
      </c>
      <c r="E30" s="204">
        <f>IFERROR('Historical IFS Trent Ltd'!E6/'Historical IFS Trent Ltd'!E53,0)</f>
        <v>3.9720921803739166</v>
      </c>
      <c r="F30" s="204">
        <f>IFERROR('Historical IFS Trent Ltd'!F6/'Historical IFS Trent Ltd'!F53,0)</f>
        <v>1.2729848855000858</v>
      </c>
      <c r="G30" s="204">
        <f>IFERROR('Historical IFS Trent Ltd'!G6/'Historical IFS Trent Ltd'!G53,0)</f>
        <v>0.84908737253669175</v>
      </c>
      <c r="H30" s="204">
        <f>IFERROR('Historical IFS Trent Ltd'!H6/'Historical IFS Trent Ltd'!H53,0)</f>
        <v>0.95973934807146177</v>
      </c>
      <c r="I30" s="204">
        <f>IFERROR('Historical IFS Trent Ltd'!I6/'Historical IFS Trent Ltd'!I53,0)</f>
        <v>1.8206562917637705</v>
      </c>
      <c r="J30" s="204">
        <f>IFERROR('Historical IFS Trent Ltd'!J6/'Historical IFS Trent Ltd'!J53,0)</f>
        <v>5.0512302442528734</v>
      </c>
      <c r="K30" s="204">
        <f>IFERROR('Historical IFS Trent Ltd'!K6/'Historical IFS Trent Ltd'!K53,0)</f>
        <v>4.3989828324086746</v>
      </c>
      <c r="L30" s="204">
        <f>IFERROR('Historical IFS Trent Ltd'!L6/'Historical IFS Trent Ltd'!L53,0)</f>
        <v>3.6374625367384583</v>
      </c>
      <c r="M30" s="166"/>
      <c r="N30" s="204">
        <f t="shared" si="6"/>
        <v>2.8787539557002804</v>
      </c>
      <c r="O30" s="204">
        <f t="shared" si="6"/>
        <v>2.83160520540561</v>
      </c>
    </row>
    <row r="31" spans="1:15" s="78" customFormat="1" x14ac:dyDescent="0.3">
      <c r="A31"/>
      <c r="B31" s="213" t="s">
        <v>151</v>
      </c>
      <c r="C31" s="219">
        <f>IFERROR('Historical IFS Trent Ltd'!C6/SUM('Historical IFS Trent Ltd'!C47:C48),0)</f>
        <v>1.1710613882625074</v>
      </c>
      <c r="D31" s="202">
        <f>IFERROR('Historical IFS Trent Ltd'!D6/SUM('Historical IFS Trent Ltd'!D47:D48),0)</f>
        <v>1.3523257927628074</v>
      </c>
      <c r="E31" s="202">
        <f>IFERROR('Historical IFS Trent Ltd'!E6/SUM('Historical IFS Trent Ltd'!E47:E48),0)</f>
        <v>1.5974637263059439</v>
      </c>
      <c r="F31" s="202">
        <f>IFERROR('Historical IFS Trent Ltd'!F6/SUM('Historical IFS Trent Ltd'!F47:F48),0)</f>
        <v>1.4599312329076921</v>
      </c>
      <c r="G31" s="202">
        <f>IFERROR('Historical IFS Trent Ltd'!G6/SUM('Historical IFS Trent Ltd'!G47:G48),0)</f>
        <v>1.1210230736306921</v>
      </c>
      <c r="H31" s="202">
        <f>IFERROR('Historical IFS Trent Ltd'!H6/SUM('Historical IFS Trent Ltd'!H47:H48),0)</f>
        <v>1.9027157360406093</v>
      </c>
      <c r="I31" s="202">
        <f>IFERROR('Historical IFS Trent Ltd'!I6/SUM('Historical IFS Trent Ltd'!I47:I48),0)</f>
        <v>3.1755159912001201</v>
      </c>
      <c r="J31" s="202">
        <f>IFERROR('Historical IFS Trent Ltd'!J6/SUM('Historical IFS Trent Ltd'!J47:J48),0)</f>
        <v>3.0422568797415765</v>
      </c>
      <c r="K31" s="202">
        <f>IFERROR('Historical IFS Trent Ltd'!K6/SUM('Historical IFS Trent Ltd'!K47:K48),0)</f>
        <v>3.1372071903825525</v>
      </c>
      <c r="L31" s="202">
        <f>IFERROR('Historical IFS Trent Ltd'!L6/SUM('Historical IFS Trent Ltd'!L47:L48),0)</f>
        <v>2.8740343151010497</v>
      </c>
      <c r="M31" s="198"/>
      <c r="N31" s="202">
        <f t="shared" si="6"/>
        <v>2.0833535326335548</v>
      </c>
      <c r="O31" s="202">
        <f t="shared" si="6"/>
        <v>2.1847193264525604</v>
      </c>
    </row>
    <row r="32" spans="1:15" s="78" customFormat="1" x14ac:dyDescent="0.3">
      <c r="A32"/>
      <c r="B32" s="214"/>
      <c r="C32" s="218"/>
      <c r="D32" s="200"/>
      <c r="E32" s="200"/>
      <c r="F32" s="200"/>
      <c r="G32" s="200"/>
      <c r="H32" s="200"/>
      <c r="I32" s="200"/>
      <c r="J32" s="200"/>
      <c r="K32" s="200"/>
      <c r="L32" s="200"/>
      <c r="M32" s="200"/>
      <c r="N32" s="201"/>
      <c r="O32" s="201"/>
    </row>
    <row r="33" spans="1:15" s="78" customFormat="1" x14ac:dyDescent="0.3">
      <c r="A33"/>
      <c r="B33" s="212" t="s">
        <v>152</v>
      </c>
      <c r="C33" s="222">
        <f>IFERROR(365/C27,0)</f>
        <v>1.1922049833373793</v>
      </c>
      <c r="D33" s="205">
        <f t="shared" ref="D33:L35" si="7">IFERROR(365/D27,0)</f>
        <v>2.554624419456212</v>
      </c>
      <c r="E33" s="205">
        <f t="shared" si="7"/>
        <v>2.2952658312549428</v>
      </c>
      <c r="F33" s="205">
        <f t="shared" si="7"/>
        <v>1.7925518792419923</v>
      </c>
      <c r="G33" s="205">
        <f t="shared" si="7"/>
        <v>2.923704954954955</v>
      </c>
      <c r="H33" s="205">
        <f t="shared" si="7"/>
        <v>1.4817408548650295</v>
      </c>
      <c r="I33" s="205">
        <f t="shared" si="7"/>
        <v>1.5229700971363815</v>
      </c>
      <c r="J33" s="205">
        <f t="shared" si="7"/>
        <v>2.4108957415328023</v>
      </c>
      <c r="K33" s="205">
        <f t="shared" si="7"/>
        <v>1.3409555280219392</v>
      </c>
      <c r="L33" s="205">
        <f t="shared" si="7"/>
        <v>0.92985477386158666</v>
      </c>
      <c r="M33" s="194"/>
      <c r="N33" s="205">
        <f t="shared" ref="N33:O36" si="8">IFERROR(AVERAGE(C33:L33),0)</f>
        <v>1.844476906366322</v>
      </c>
      <c r="O33" s="205">
        <f t="shared" si="8"/>
        <v>1.916951564480649</v>
      </c>
    </row>
    <row r="34" spans="1:15" s="78" customFormat="1" x14ac:dyDescent="0.3">
      <c r="A34"/>
      <c r="B34" s="153" t="s">
        <v>153</v>
      </c>
      <c r="C34" s="223">
        <f>IFERROR(365/C28,0)</f>
        <v>56.955981991127985</v>
      </c>
      <c r="D34" s="206">
        <f t="shared" si="7"/>
        <v>59.054119195720887</v>
      </c>
      <c r="E34" s="206">
        <f t="shared" si="7"/>
        <v>58.02137827726748</v>
      </c>
      <c r="F34" s="206">
        <f t="shared" si="7"/>
        <v>295.18157017538829</v>
      </c>
      <c r="G34" s="206">
        <f t="shared" si="7"/>
        <v>62.932150900900901</v>
      </c>
      <c r="H34" s="206">
        <f t="shared" si="7"/>
        <v>51.662931689943569</v>
      </c>
      <c r="I34" s="206">
        <f t="shared" si="7"/>
        <v>45.255107364456762</v>
      </c>
      <c r="J34" s="206">
        <f t="shared" si="7"/>
        <v>39.55296558980082</v>
      </c>
      <c r="K34" s="206">
        <f t="shared" si="7"/>
        <v>36.654417579390483</v>
      </c>
      <c r="L34" s="206">
        <f t="shared" si="7"/>
        <v>39.686107199237235</v>
      </c>
      <c r="M34" s="166"/>
      <c r="N34" s="206">
        <f t="shared" si="8"/>
        <v>74.495672996323435</v>
      </c>
      <c r="O34" s="206">
        <f t="shared" si="8"/>
        <v>76.444527552456265</v>
      </c>
    </row>
    <row r="35" spans="1:15" s="78" customFormat="1" x14ac:dyDescent="0.3">
      <c r="A35"/>
      <c r="B35" s="153" t="s">
        <v>154</v>
      </c>
      <c r="C35" s="223">
        <f>IFERROR(365/C29,0)</f>
        <v>61.495221910794292</v>
      </c>
      <c r="D35" s="206">
        <f t="shared" si="7"/>
        <v>58.328335171915121</v>
      </c>
      <c r="E35" s="206">
        <f t="shared" si="7"/>
        <v>68.970379128900788</v>
      </c>
      <c r="F35" s="206">
        <f t="shared" si="7"/>
        <v>63.64082696974738</v>
      </c>
      <c r="G35" s="206">
        <f t="shared" si="7"/>
        <v>60.302646396396391</v>
      </c>
      <c r="H35" s="206">
        <f t="shared" si="7"/>
        <v>70.417583736844193</v>
      </c>
      <c r="I35" s="206">
        <f t="shared" si="7"/>
        <v>60.279324728646621</v>
      </c>
      <c r="J35" s="206">
        <f t="shared" si="7"/>
        <v>46.682126461906194</v>
      </c>
      <c r="K35" s="206">
        <f t="shared" si="7"/>
        <v>43.563480581116231</v>
      </c>
      <c r="L35" s="206">
        <f t="shared" si="7"/>
        <v>41.620001484491794</v>
      </c>
      <c r="M35" s="166"/>
      <c r="N35" s="206">
        <f t="shared" si="8"/>
        <v>57.529992657075901</v>
      </c>
      <c r="O35" s="206">
        <f t="shared" si="8"/>
        <v>57.08941162888496</v>
      </c>
    </row>
    <row r="36" spans="1:15" s="78" customFormat="1" x14ac:dyDescent="0.3">
      <c r="A36"/>
      <c r="B36" s="213" t="s">
        <v>155</v>
      </c>
      <c r="C36" s="224">
        <f>IFERROR(SUM(C33,C35)-C34,0)</f>
        <v>5.731444903003684</v>
      </c>
      <c r="D36" s="207">
        <f t="shared" ref="D36:L36" si="9">IFERROR(SUM(D33,D35)-D34,0)</f>
        <v>1.8288403956504453</v>
      </c>
      <c r="E36" s="207">
        <f t="shared" si="9"/>
        <v>13.244266682888245</v>
      </c>
      <c r="F36" s="207">
        <f t="shared" si="9"/>
        <v>-229.74819132639891</v>
      </c>
      <c r="G36" s="207">
        <f t="shared" si="9"/>
        <v>0.29420045045044674</v>
      </c>
      <c r="H36" s="207">
        <f t="shared" si="9"/>
        <v>20.236392901765647</v>
      </c>
      <c r="I36" s="207">
        <f t="shared" si="9"/>
        <v>16.547187461326239</v>
      </c>
      <c r="J36" s="207">
        <f t="shared" si="9"/>
        <v>9.5400566136381784</v>
      </c>
      <c r="K36" s="207">
        <f t="shared" si="9"/>
        <v>8.2500185297476847</v>
      </c>
      <c r="L36" s="207">
        <f t="shared" si="9"/>
        <v>2.8637490591161452</v>
      </c>
      <c r="M36" s="198"/>
      <c r="N36" s="207">
        <f t="shared" si="8"/>
        <v>-15.121203432881222</v>
      </c>
      <c r="O36" s="207">
        <f t="shared" si="8"/>
        <v>-17.438164359090653</v>
      </c>
    </row>
    <row r="37" spans="1:15" s="78" customFormat="1" x14ac:dyDescent="0.3">
      <c r="A37"/>
      <c r="B37" s="214"/>
      <c r="C37" s="218"/>
      <c r="D37" s="200"/>
      <c r="E37" s="200"/>
      <c r="F37" s="200"/>
      <c r="G37" s="200"/>
      <c r="H37" s="200"/>
      <c r="I37" s="200"/>
      <c r="J37" s="200"/>
      <c r="K37" s="200"/>
      <c r="L37" s="200"/>
      <c r="M37" s="200"/>
      <c r="N37" s="201"/>
      <c r="O37" s="201"/>
    </row>
    <row r="38" spans="1:15" s="78" customFormat="1" x14ac:dyDescent="0.3">
      <c r="A38"/>
      <c r="B38" s="212" t="s">
        <v>156</v>
      </c>
      <c r="C38" s="215">
        <f>IFERROR('Historical IFS Trent Ltd'!C78/'Historical IFS Trent Ltd'!C6,0)</f>
        <v>5.7381209860740218E-2</v>
      </c>
      <c r="D38" s="194">
        <f>IFERROR('Historical IFS Trent Ltd'!D78/'Historical IFS Trent Ltd'!D6,0)</f>
        <v>3.6153625096177915E-2</v>
      </c>
      <c r="E38" s="194">
        <f>IFERROR('Historical IFS Trent Ltd'!E78/'Historical IFS Trent Ltd'!E6,0)</f>
        <v>7.9840622908936079E-3</v>
      </c>
      <c r="F38" s="194">
        <f>IFERROR('Historical IFS Trent Ltd'!F78/'Historical IFS Trent Ltd'!F6,0)</f>
        <v>0.10355767961950442</v>
      </c>
      <c r="G38" s="194">
        <f>IFERROR('Historical IFS Trent Ltd'!G78/'Historical IFS Trent Ltd'!G6,0)</f>
        <v>0.10991299518696779</v>
      </c>
      <c r="H38" s="194">
        <f>IFERROR('Historical IFS Trent Ltd'!H78/'Historical IFS Trent Ltd'!H6,0)</f>
        <v>1.2672242453346137E-2</v>
      </c>
      <c r="I38" s="194">
        <f>IFERROR('Historical IFS Trent Ltd'!I78/'Historical IFS Trent Ltd'!I6,0)</f>
        <v>7.2191040545885599E-2</v>
      </c>
      <c r="J38" s="194">
        <f>IFERROR('Historical IFS Trent Ltd'!J78/'Historical IFS Trent Ltd'!J6,0)</f>
        <v>0.10892832467751801</v>
      </c>
      <c r="K38" s="194">
        <f>IFERROR('Historical IFS Trent Ltd'!K78/'Historical IFS Trent Ltd'!K6,0)</f>
        <v>9.6938302068153279E-2</v>
      </c>
      <c r="L38" s="194">
        <f>IFERROR('Historical IFS Trent Ltd'!L78/'Historical IFS Trent Ltd'!L6,0)</f>
        <v>0.13290684913627984</v>
      </c>
      <c r="M38" s="194"/>
      <c r="N38" s="195">
        <f t="shared" ref="N38:O40" si="10">IFERROR(AVERAGE(C38:L38),0)</f>
        <v>7.3862633093546681E-2</v>
      </c>
      <c r="O38" s="195">
        <f t="shared" si="10"/>
        <v>7.5693902341636282E-2</v>
      </c>
    </row>
    <row r="39" spans="1:15" s="78" customFormat="1" x14ac:dyDescent="0.3">
      <c r="A39"/>
      <c r="B39" s="153" t="s">
        <v>157</v>
      </c>
      <c r="C39" s="216">
        <f>IFERROR('Historical IFS Trent Ltd'!C78/'Historical IFS Trent Ltd'!C64,0)</f>
        <v>4.6799415007312412E-2</v>
      </c>
      <c r="D39" s="166">
        <f>IFERROR('Historical IFS Trent Ltd'!D78/'Historical IFS Trent Ltd'!D64,0)</f>
        <v>3.3392412216485576E-2</v>
      </c>
      <c r="E39" s="166">
        <f>IFERROR('Historical IFS Trent Ltd'!E78/'Historical IFS Trent Ltd'!E64,0)</f>
        <v>8.2071003142146978E-3</v>
      </c>
      <c r="F39" s="166">
        <f>IFERROR('Historical IFS Trent Ltd'!F78/'Historical IFS Trent Ltd'!F64,0)</f>
        <v>6.5556741993360784E-2</v>
      </c>
      <c r="G39" s="166">
        <f>IFERROR('Historical IFS Trent Ltd'!G78/'Historical IFS Trent Ltd'!G64,0)</f>
        <v>4.9792705106635006E-2</v>
      </c>
      <c r="H39" s="166">
        <f>IFERROR('Historical IFS Trent Ltd'!H78/'Historical IFS Trent Ltd'!H64,0)</f>
        <v>7.3776666381914621E-3</v>
      </c>
      <c r="I39" s="166">
        <f>IFERROR('Historical IFS Trent Ltd'!I78/'Historical IFS Trent Ltd'!I64,0)</f>
        <v>7.3624672555815548E-2</v>
      </c>
      <c r="J39" s="166">
        <f>IFERROR('Historical IFS Trent Ltd'!J78/'Historical IFS Trent Ltd'!J64,0)</f>
        <v>0.18822215240688378</v>
      </c>
      <c r="K39" s="166">
        <f>IFERROR('Historical IFS Trent Ltd'!K78/'Historical IFS Trent Ltd'!K64,0)</f>
        <v>0.17633370277420368</v>
      </c>
      <c r="L39" s="166">
        <f>IFERROR('Historical IFS Trent Ltd'!L78/'Historical IFS Trent Ltd'!L64,0)</f>
        <v>0.22747851828610116</v>
      </c>
      <c r="M39" s="166"/>
      <c r="N39" s="196">
        <f t="shared" si="10"/>
        <v>8.7678508729920404E-2</v>
      </c>
      <c r="O39" s="196">
        <f t="shared" si="10"/>
        <v>9.2220630254654629E-2</v>
      </c>
    </row>
    <row r="40" spans="1:15" s="78" customFormat="1" x14ac:dyDescent="0.3">
      <c r="A40"/>
      <c r="B40" s="213" t="s">
        <v>158</v>
      </c>
      <c r="C40" s="217">
        <f>IFERROR('Historical IFS Trent Ltd'!C78/'Historical IFS Trent Ltd'!C49,0)</f>
        <v>0.26548220758666463</v>
      </c>
      <c r="D40" s="198">
        <f>IFERROR('Historical IFS Trent Ltd'!D78/'Historical IFS Trent Ltd'!D49,0)</f>
        <v>0.19926934573231483</v>
      </c>
      <c r="E40" s="198">
        <f>IFERROR('Historical IFS Trent Ltd'!E78/'Historical IFS Trent Ltd'!E49,0)</f>
        <v>4.249807746792407E-2</v>
      </c>
      <c r="F40" s="198">
        <f>IFERROR('Historical IFS Trent Ltd'!F78/'Historical IFS Trent Ltd'!F49,0)</f>
        <v>1.2043771268432641</v>
      </c>
      <c r="G40" s="198">
        <f>IFERROR('Historical IFS Trent Ltd'!G78/'Historical IFS Trent Ltd'!G49,0)</f>
        <v>9.616585066286952E-2</v>
      </c>
      <c r="H40" s="198">
        <f>IFERROR('Historical IFS Trent Ltd'!H78/'Historical IFS Trent Ltd'!H49,0)</f>
        <v>1.2062573010310326E-2</v>
      </c>
      <c r="I40" s="198">
        <f>IFERROR('Historical IFS Trent Ltd'!I78/'Historical IFS Trent Ltd'!I49,0)</f>
        <v>0.13328435040119707</v>
      </c>
      <c r="J40" s="198">
        <f>IFERROR('Historical IFS Trent Ltd'!J78/'Historical IFS Trent Ltd'!J49,0)</f>
        <v>0.76897187091768915</v>
      </c>
      <c r="K40" s="198">
        <f>IFERROR('Historical IFS Trent Ltd'!K78/'Historical IFS Trent Ltd'!K49,0)</f>
        <v>0.74244923318984979</v>
      </c>
      <c r="L40" s="198">
        <f>IFERROR('Historical IFS Trent Ltd'!L78/'Historical IFS Trent Ltd'!L49,0)</f>
        <v>1.0416788677403612</v>
      </c>
      <c r="M40" s="198"/>
      <c r="N40" s="199">
        <f t="shared" si="10"/>
        <v>0.4506239503552445</v>
      </c>
      <c r="O40" s="199">
        <f t="shared" si="10"/>
        <v>0.47119525510730892</v>
      </c>
    </row>
    <row r="41" spans="1:15" s="78" customFormat="1" x14ac:dyDescent="0.3">
      <c r="A41"/>
      <c r="B41" s="214"/>
      <c r="C41" s="200"/>
      <c r="D41" s="200"/>
      <c r="E41" s="200"/>
      <c r="F41" s="200"/>
      <c r="G41" s="200"/>
      <c r="H41" s="200"/>
      <c r="I41" s="200"/>
      <c r="J41" s="200"/>
      <c r="K41" s="200"/>
      <c r="L41" s="200"/>
      <c r="M41" s="200"/>
      <c r="N41" s="200"/>
      <c r="O41" s="200"/>
    </row>
  </sheetData>
  <mergeCells count="2">
    <mergeCell ref="B2:L2"/>
    <mergeCell ref="B10:O10"/>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xr2:uid="{D9F17A2C-34AA-4F10-B87E-D95E8DE18003}">
          <x14:colorSeries rgb="FFFF0000"/>
          <x14:colorNegative rgb="FFD00000"/>
          <x14:colorAxis rgb="FF000000"/>
          <x14:colorMarkers rgb="FFD00000"/>
          <x14:colorFirst rgb="FFD00000"/>
          <x14:colorLast rgb="FFD00000"/>
          <x14:colorHigh rgb="FFD00000"/>
          <x14:colorLow rgb="FFD00000"/>
          <x14:sparklines>
            <x14:sparkline>
              <xm:f>'Ratio Analysis Trent Ltd'!C36:L36</xm:f>
              <xm:sqref>M36</xm:sqref>
            </x14:sparkline>
          </x14:sparklines>
        </x14:sparklineGroup>
        <x14:sparklineGroup displayEmptyCellsAs="gap" markers="1" xr2:uid="{25D1A99A-AA2F-4505-943A-AB4962DC59DA}">
          <x14:colorSeries rgb="FFFF0000"/>
          <x14:colorNegative rgb="FFD00000"/>
          <x14:colorAxis rgb="FF000000"/>
          <x14:colorMarkers rgb="FFD00000"/>
          <x14:colorFirst rgb="FFD00000"/>
          <x14:colorLast rgb="FFD00000"/>
          <x14:colorHigh rgb="FFD00000"/>
          <x14:colorLow rgb="FFD00000"/>
          <x14:sparklines>
            <x14:sparkline>
              <xm:f>'Ratio Analysis Trent Ltd'!C38:L38</xm:f>
              <xm:sqref>M38</xm:sqref>
            </x14:sparkline>
          </x14:sparklines>
        </x14:sparklineGroup>
        <x14:sparklineGroup displayEmptyCellsAs="gap" markers="1" xr2:uid="{564259FE-AAC0-4464-915D-DCB9F6442BBB}">
          <x14:colorSeries rgb="FFFF0000"/>
          <x14:colorNegative rgb="FFD00000"/>
          <x14:colorAxis rgb="FF000000"/>
          <x14:colorMarkers rgb="FFD00000"/>
          <x14:colorFirst rgb="FFD00000"/>
          <x14:colorLast rgb="FFD00000"/>
          <x14:colorHigh rgb="FFD00000"/>
          <x14:colorLow rgb="FFD00000"/>
          <x14:sparklines>
            <x14:sparkline>
              <xm:f>'Ratio Analysis Trent Ltd'!C39:L39</xm:f>
              <xm:sqref>M39</xm:sqref>
            </x14:sparkline>
          </x14:sparklines>
        </x14:sparklineGroup>
        <x14:sparklineGroup displayEmptyCellsAs="gap" markers="1" xr2:uid="{7C8679AB-7BF4-4AB5-958C-05E8F3D127BE}">
          <x14:colorSeries rgb="FFFF0000"/>
          <x14:colorNegative rgb="FFD00000"/>
          <x14:colorAxis rgb="FF000000"/>
          <x14:colorMarkers rgb="FFD00000"/>
          <x14:colorFirst rgb="FFD00000"/>
          <x14:colorLast rgb="FFD00000"/>
          <x14:colorHigh rgb="FFD00000"/>
          <x14:colorLow rgb="FFD00000"/>
          <x14:sparklines>
            <x14:sparkline>
              <xm:f>'Ratio Analysis Trent Ltd'!C40:L40</xm:f>
              <xm:sqref>M40</xm:sqref>
            </x14:sparkline>
          </x14:sparklines>
        </x14:sparklineGroup>
        <x14:sparklineGroup displayEmptyCellsAs="gap" markers="1" xr2:uid="{027BF44B-DA93-451E-86A4-96AA4CB55873}">
          <x14:colorSeries rgb="FFFF0000"/>
          <x14:colorNegative rgb="FFD00000"/>
          <x14:colorAxis rgb="FF000000"/>
          <x14:colorMarkers rgb="FFD00000"/>
          <x14:colorFirst rgb="FFD00000"/>
          <x14:colorLast rgb="FFD00000"/>
          <x14:colorHigh rgb="FFD00000"/>
          <x14:colorLow rgb="FFD00000"/>
          <x14:sparklines>
            <x14:sparkline>
              <xm:f>'Ratio Analysis Trent Ltd'!C35:L35</xm:f>
              <xm:sqref>M35</xm:sqref>
            </x14:sparkline>
          </x14:sparklines>
        </x14:sparklineGroup>
        <x14:sparklineGroup displayEmptyCellsAs="gap" markers="1" xr2:uid="{72B32B8C-4C23-4995-864D-1E8B277EE2FC}">
          <x14:colorSeries rgb="FFFF0000"/>
          <x14:colorNegative rgb="FFD00000"/>
          <x14:colorAxis rgb="FF000000"/>
          <x14:colorMarkers rgb="FFD00000"/>
          <x14:colorFirst rgb="FFD00000"/>
          <x14:colorLast rgb="FFD00000"/>
          <x14:colorHigh rgb="FFD00000"/>
          <x14:colorLow rgb="FFD00000"/>
          <x14:sparklines>
            <x14:sparkline>
              <xm:f>'Ratio Analysis Trent Ltd'!C34:L34</xm:f>
              <xm:sqref>M34</xm:sqref>
            </x14:sparkline>
          </x14:sparklines>
        </x14:sparklineGroup>
        <x14:sparklineGroup displayEmptyCellsAs="gap" markers="1" xr2:uid="{A859F632-BB10-4FFB-9E4D-E4C7C812A483}">
          <x14:colorSeries rgb="FFFF0000"/>
          <x14:colorNegative rgb="FFD00000"/>
          <x14:colorAxis rgb="FF000000"/>
          <x14:colorMarkers rgb="FFD00000"/>
          <x14:colorFirst rgb="FFD00000"/>
          <x14:colorLast rgb="FFD00000"/>
          <x14:colorHigh rgb="FFD00000"/>
          <x14:colorLow rgb="FFD00000"/>
          <x14:sparklines>
            <x14:sparkline>
              <xm:f>'Ratio Analysis Trent Ltd'!C33:L33</xm:f>
              <xm:sqref>M33</xm:sqref>
            </x14:sparkline>
          </x14:sparklines>
        </x14:sparklineGroup>
        <x14:sparklineGroup displayEmptyCellsAs="gap" markers="1" xr2:uid="{0398B93C-0840-4FF5-895F-5BDFDC304203}">
          <x14:colorSeries rgb="FFFF0000"/>
          <x14:colorNegative rgb="FFD00000"/>
          <x14:colorAxis rgb="FF000000"/>
          <x14:colorMarkers rgb="FFD00000"/>
          <x14:colorFirst rgb="FFD00000"/>
          <x14:colorLast rgb="FFD00000"/>
          <x14:colorHigh rgb="FFD00000"/>
          <x14:colorLow rgb="FFD00000"/>
          <x14:sparklines>
            <x14:sparkline>
              <xm:f>'Ratio Analysis Trent Ltd'!C31:L31</xm:f>
              <xm:sqref>M31</xm:sqref>
            </x14:sparkline>
          </x14:sparklines>
        </x14:sparklineGroup>
        <x14:sparklineGroup displayEmptyCellsAs="gap" markers="1" xr2:uid="{3A67298D-5322-45A1-9D9B-0832B9217B89}">
          <x14:colorSeries rgb="FFFF0000"/>
          <x14:colorNegative rgb="FFD00000"/>
          <x14:colorAxis rgb="FF000000"/>
          <x14:colorMarkers rgb="FFD00000"/>
          <x14:colorFirst rgb="FFD00000"/>
          <x14:colorLast rgb="FFD00000"/>
          <x14:colorHigh rgb="FFD00000"/>
          <x14:colorLow rgb="FFD00000"/>
          <x14:sparklines>
            <x14:sparkline>
              <xm:f>'Ratio Analysis Trent Ltd'!C30:L30</xm:f>
              <xm:sqref>M30</xm:sqref>
            </x14:sparkline>
          </x14:sparklines>
        </x14:sparklineGroup>
        <x14:sparklineGroup displayEmptyCellsAs="gap" markers="1" xr2:uid="{B9EFBD09-BAD2-4FF6-957E-7FEB407E6E0F}">
          <x14:colorSeries rgb="FFFF0000"/>
          <x14:colorNegative rgb="FFD00000"/>
          <x14:colorAxis rgb="FF000000"/>
          <x14:colorMarkers rgb="FFD00000"/>
          <x14:colorFirst rgb="FFD00000"/>
          <x14:colorLast rgb="FFD00000"/>
          <x14:colorHigh rgb="FFD00000"/>
          <x14:colorLow rgb="FFD00000"/>
          <x14:sparklines>
            <x14:sparkline>
              <xm:f>'Ratio Analysis Trent Ltd'!C29:L29</xm:f>
              <xm:sqref>M29</xm:sqref>
            </x14:sparkline>
          </x14:sparklines>
        </x14:sparklineGroup>
        <x14:sparklineGroup displayEmptyCellsAs="gap" markers="1" xr2:uid="{56EA8E9A-A8C5-4191-9D18-09EF950F2170}">
          <x14:colorSeries rgb="FFFF0000"/>
          <x14:colorNegative rgb="FFD00000"/>
          <x14:colorAxis rgb="FF000000"/>
          <x14:colorMarkers rgb="FFD00000"/>
          <x14:colorFirst rgb="FFD00000"/>
          <x14:colorLast rgb="FFD00000"/>
          <x14:colorHigh rgb="FFD00000"/>
          <x14:colorLow rgb="FFD00000"/>
          <x14:sparklines>
            <x14:sparkline>
              <xm:f>'Ratio Analysis Trent Ltd'!C28:L28</xm:f>
              <xm:sqref>M28</xm:sqref>
            </x14:sparkline>
          </x14:sparklines>
        </x14:sparklineGroup>
        <x14:sparklineGroup displayEmptyCellsAs="gap" markers="1" xr2:uid="{4581855E-D5D3-4898-B92E-C2C40DAB4E94}">
          <x14:colorSeries rgb="FFFF0000"/>
          <x14:colorNegative rgb="FFD00000"/>
          <x14:colorAxis rgb="FF000000"/>
          <x14:colorMarkers rgb="FFD00000"/>
          <x14:colorFirst rgb="FFD00000"/>
          <x14:colorLast rgb="FFD00000"/>
          <x14:colorHigh rgb="FFD00000"/>
          <x14:colorLow rgb="FFD00000"/>
          <x14:sparklines>
            <x14:sparkline>
              <xm:f>'Ratio Analysis Trent Ltd'!C27:L27</xm:f>
              <xm:sqref>M27</xm:sqref>
            </x14:sparkline>
          </x14:sparklines>
        </x14:sparklineGroup>
        <x14:sparklineGroup displayEmptyCellsAs="gap" markers="1" xr2:uid="{489C5F6F-4EEF-4638-9914-65E6E45F47B7}">
          <x14:colorSeries rgb="FFFF0000"/>
          <x14:colorNegative rgb="FFD00000"/>
          <x14:colorAxis rgb="FF000000"/>
          <x14:colorMarkers rgb="FFD00000"/>
          <x14:colorFirst rgb="FFD00000"/>
          <x14:colorLast rgb="FFD00000"/>
          <x14:colorHigh rgb="FFD00000"/>
          <x14:colorLow rgb="FFD00000"/>
          <x14:sparklines>
            <x14:sparkline>
              <xm:f>'Ratio Analysis Trent Ltd'!C25:L25</xm:f>
              <xm:sqref>M25</xm:sqref>
            </x14:sparkline>
          </x14:sparklines>
        </x14:sparklineGroup>
        <x14:sparklineGroup displayEmptyCellsAs="gap" markers="1" xr2:uid="{B7514C59-FE70-498F-8C21-9A7B9BA6CC36}">
          <x14:colorSeries rgb="FFFF0000"/>
          <x14:colorNegative rgb="FFD00000"/>
          <x14:colorAxis rgb="FF000000"/>
          <x14:colorMarkers rgb="FFD00000"/>
          <x14:colorFirst rgb="FFD00000"/>
          <x14:colorLast rgb="FFD00000"/>
          <x14:colorHigh rgb="FFD00000"/>
          <x14:colorLow rgb="FFD00000"/>
          <x14:sparklines>
            <x14:sparkline>
              <xm:f>'Ratio Analysis Trent Ltd'!C24:L24</xm:f>
              <xm:sqref>M24</xm:sqref>
            </x14:sparkline>
          </x14:sparklines>
        </x14:sparklineGroup>
        <x14:sparklineGroup displayEmptyCellsAs="gap" markers="1" xr2:uid="{5FEEF8CB-1F86-42A1-844B-0B7161C36FAD}">
          <x14:colorSeries rgb="FFFF0000"/>
          <x14:colorNegative rgb="FFD00000"/>
          <x14:colorAxis rgb="FF000000"/>
          <x14:colorMarkers rgb="FFD00000"/>
          <x14:colorFirst rgb="FFD00000"/>
          <x14:colorLast rgb="FFD00000"/>
          <x14:colorHigh rgb="FFD00000"/>
          <x14:colorLow rgb="FFD00000"/>
          <x14:sparklines>
            <x14:sparkline>
              <xm:f>'Ratio Analysis Trent Ltd'!C23:L23</xm:f>
              <xm:sqref>M23</xm:sqref>
            </x14:sparkline>
          </x14:sparklines>
        </x14:sparklineGroup>
        <x14:sparklineGroup displayEmptyCellsAs="gap" markers="1" xr2:uid="{A0450336-4714-4D4B-BAB8-2F7574257138}">
          <x14:colorSeries rgb="FFFF0000"/>
          <x14:colorNegative rgb="FFD00000"/>
          <x14:colorAxis rgb="FF000000"/>
          <x14:colorMarkers rgb="FFD00000"/>
          <x14:colorFirst rgb="FFD00000"/>
          <x14:colorLast rgb="FFD00000"/>
          <x14:colorHigh rgb="FFD00000"/>
          <x14:colorLow rgb="FFD00000"/>
          <x14:sparklines>
            <x14:sparkline>
              <xm:f>'Ratio Analysis Trent Ltd'!C22:L22</xm:f>
              <xm:sqref>M22</xm:sqref>
            </x14:sparkline>
          </x14:sparklines>
        </x14:sparklineGroup>
        <x14:sparklineGroup displayEmptyCellsAs="gap" markers="1" xr2:uid="{62AFE766-8D0E-4FB6-AD47-0C1BDE937B07}">
          <x14:colorSeries rgb="FFFF0000"/>
          <x14:colorNegative rgb="FFD00000"/>
          <x14:colorAxis rgb="FF000000"/>
          <x14:colorMarkers rgb="FFD00000"/>
          <x14:colorFirst rgb="FFD00000"/>
          <x14:colorLast rgb="FFD00000"/>
          <x14:colorHigh rgb="FFD00000"/>
          <x14:colorLow rgb="FFD00000"/>
          <x14:sparklines>
            <x14:sparkline>
              <xm:f>'Ratio Analysis Trent Ltd'!C21:L21</xm:f>
              <xm:sqref>M21</xm:sqref>
            </x14:sparkline>
          </x14:sparklines>
        </x14:sparklineGroup>
        <x14:sparklineGroup displayEmptyCellsAs="gap" markers="1" xr2:uid="{C767A9E1-F365-40D5-92E0-CD5C38848AFA}">
          <x14:colorSeries rgb="FFFF0000"/>
          <x14:colorNegative rgb="FFD00000"/>
          <x14:colorAxis rgb="FF000000"/>
          <x14:colorMarkers rgb="FFD00000"/>
          <x14:colorFirst rgb="FFD00000"/>
          <x14:colorLast rgb="FFD00000"/>
          <x14:colorHigh rgb="FFD00000"/>
          <x14:colorLow rgb="FFD00000"/>
          <x14:sparklines>
            <x14:sparkline>
              <xm:f>'Ratio Analysis Trent Ltd'!C19:L19</xm:f>
              <xm:sqref>M19</xm:sqref>
            </x14:sparkline>
          </x14:sparklines>
        </x14:sparklineGroup>
        <x14:sparklineGroup displayEmptyCellsAs="gap" markers="1" xr2:uid="{A81F320D-8C8D-435E-B433-7C73A8101193}">
          <x14:colorSeries rgb="FFFF0000"/>
          <x14:colorNegative rgb="FFD00000"/>
          <x14:colorAxis rgb="FF000000"/>
          <x14:colorMarkers rgb="FFD00000"/>
          <x14:colorFirst rgb="FFD00000"/>
          <x14:colorLast rgb="FFD00000"/>
          <x14:colorHigh rgb="FFD00000"/>
          <x14:colorLow rgb="FFD00000"/>
          <x14:sparklines>
            <x14:sparkline>
              <xm:f>'Ratio Analysis Trent Ltd'!C18:L18</xm:f>
              <xm:sqref>M18</xm:sqref>
            </x14:sparkline>
          </x14:sparklines>
        </x14:sparklineGroup>
        <x14:sparklineGroup displayEmptyCellsAs="gap" markers="1" xr2:uid="{19BC6D8D-DDEE-47F5-AC21-FC5C4FFA3D24}">
          <x14:colorSeries rgb="FFFF0000"/>
          <x14:colorNegative rgb="FFD00000"/>
          <x14:colorAxis rgb="FF000000"/>
          <x14:colorMarkers rgb="FFD00000"/>
          <x14:colorFirst rgb="FFD00000"/>
          <x14:colorLast rgb="FFD00000"/>
          <x14:colorHigh rgb="FFD00000"/>
          <x14:colorLow rgb="FFD00000"/>
          <x14:sparklines>
            <x14:sparkline>
              <xm:f>'Ratio Analysis Trent Ltd'!C17:L17</xm:f>
              <xm:sqref>M17</xm:sqref>
            </x14:sparkline>
          </x14:sparklines>
        </x14:sparklineGroup>
        <x14:sparklineGroup displayEmptyCellsAs="gap" markers="1" xr2:uid="{83D66E7D-A4FC-42DE-AC14-A38C8EF8355C}">
          <x14:colorSeries rgb="FFFF0000"/>
          <x14:colorNegative rgb="FFD00000"/>
          <x14:colorAxis rgb="FF000000"/>
          <x14:colorMarkers rgb="FFD00000"/>
          <x14:colorFirst rgb="FFD00000"/>
          <x14:colorLast rgb="FFD00000"/>
          <x14:colorHigh rgb="FFD00000"/>
          <x14:colorLow rgb="FFD00000"/>
          <x14:sparklines>
            <x14:sparkline>
              <xm:f>'Ratio Analysis Trent Ltd'!C15:L15</xm:f>
              <xm:sqref>M15</xm:sqref>
            </x14:sparkline>
          </x14:sparklines>
        </x14:sparklineGroup>
        <x14:sparklineGroup displayEmptyCellsAs="gap" markers="1" xr2:uid="{FFA5A38B-F246-482B-8DDC-E0EBA37CE18E}">
          <x14:colorSeries rgb="FFFF0000"/>
          <x14:colorNegative rgb="FFD00000"/>
          <x14:colorAxis rgb="FF000000"/>
          <x14:colorMarkers rgb="FFD00000"/>
          <x14:colorFirst rgb="FFD00000"/>
          <x14:colorLast rgb="FFD00000"/>
          <x14:colorHigh rgb="FFD00000"/>
          <x14:colorLow rgb="FFD00000"/>
          <x14:sparklines>
            <x14:sparkline>
              <xm:f>'Ratio Analysis Trent Ltd'!C14:L14</xm:f>
              <xm:sqref>M14</xm:sqref>
            </x14:sparkline>
          </x14:sparklines>
        </x14:sparklineGroup>
        <x14:sparklineGroup displayEmptyCellsAs="gap" markers="1" xr2:uid="{78BAC314-CA05-4E6E-97BB-DB9A0636FEC5}">
          <x14:colorSeries rgb="FFFF0000"/>
          <x14:colorNegative rgb="FFD00000"/>
          <x14:colorAxis rgb="FF000000"/>
          <x14:colorMarkers rgb="FFD00000"/>
          <x14:colorFirst rgb="FFD00000"/>
          <x14:colorLast rgb="FFD00000"/>
          <x14:colorHigh rgb="FFD00000"/>
          <x14:colorLow rgb="FFD00000"/>
          <x14:sparklines>
            <x14:sparkline>
              <xm:f>'Ratio Analysis Trent Ltd'!C13:L13</xm:f>
              <xm:sqref>M13</xm:sqref>
            </x14:sparkline>
          </x14:sparklines>
        </x14:sparklineGroup>
        <x14:sparklineGroup displayEmptyCellsAs="gap" markers="1" xr2:uid="{DAA6CB73-4F07-4CA7-9A43-387F9892D961}">
          <x14:colorSeries rgb="FFFF0000"/>
          <x14:colorNegative rgb="FFD00000"/>
          <x14:colorAxis rgb="FF000000"/>
          <x14:colorMarkers rgb="FFD00000"/>
          <x14:colorFirst rgb="FFD00000"/>
          <x14:colorLast rgb="FFD00000"/>
          <x14:colorHigh rgb="FFD00000"/>
          <x14:colorLow rgb="FFD00000"/>
          <x14:sparklines>
            <x14:sparkline>
              <xm:f>'Ratio Analysis Trent Ltd'!C12:L12</xm:f>
              <xm:sqref>M12</xm:sqref>
            </x14:sparkline>
          </x14:sparklines>
        </x14:sparklineGroup>
        <x14:sparklineGroup displayEmptyCellsAs="gap" markers="1" xr2:uid="{95B602B6-7D19-4C53-A01C-5B29C2A29441}">
          <x14:colorSeries rgb="FFFF0000"/>
          <x14:colorNegative rgb="FFD00000"/>
          <x14:colorAxis rgb="FF000000"/>
          <x14:colorMarkers rgb="FFD00000"/>
          <x14:colorFirst rgb="FFD00000"/>
          <x14:colorLast rgb="FFD00000"/>
          <x14:colorHigh rgb="FFD00000"/>
          <x14:colorLow rgb="FFD00000"/>
          <x14:sparklines>
            <x14:sparkline>
              <xm:f>'Ratio Analysis Trent Ltd'!D5:L5</xm:f>
              <xm:sqref>M5</xm:sqref>
            </x14:sparkline>
            <x14:sparkline>
              <xm:f>'Ratio Analysis Trent Ltd'!D6:L6</xm:f>
              <xm:sqref>M6</xm:sqref>
            </x14:sparkline>
            <x14:sparkline>
              <xm:f>'Ratio Analysis Trent Ltd'!D7:L7</xm:f>
              <xm:sqref>M7</xm:sqref>
            </x14:sparkline>
            <x14:sparkline>
              <xm:f>'Ratio Analysis Trent Ltd'!D8:L8</xm:f>
              <xm:sqref>M8</xm:sqref>
            </x14:sparkline>
            <x14:sparkline>
              <xm:f>'Ratio Analysis Trent Ltd'!D9:L9</xm:f>
              <xm:sqref>M9</xm:sqref>
            </x14:sparkline>
          </x14:sparklines>
        </x14:sparklineGroup>
        <x14:sparklineGroup displayEmptyCellsAs="gap" markers="1" xr2:uid="{D51CA142-1E71-4C72-8CB3-35D3F922B9EF}">
          <x14:colorSeries rgb="FFFF0000"/>
          <x14:colorNegative rgb="FFD00000"/>
          <x14:colorAxis rgb="FF000000"/>
          <x14:colorMarkers rgb="FFD00000"/>
          <x14:colorFirst rgb="FFD00000"/>
          <x14:colorLast rgb="FFD00000"/>
          <x14:colorHigh rgb="FFD00000"/>
          <x14:colorLow rgb="FFD00000"/>
          <x14:sparklines>
            <x14:sparkline>
              <xm:f>'Ratio Analysis Trent Ltd'!C11:L11</xm:f>
              <xm:sqref>M11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446D8-D394-4F40-9DCD-42A264179377}">
  <sheetPr>
    <tabColor rgb="FF4DA42E"/>
  </sheetPr>
  <dimension ref="B1:K118"/>
  <sheetViews>
    <sheetView showGridLines="0" view="pageLayout" zoomScaleNormal="100" workbookViewId="0">
      <selection activeCell="B3" sqref="B3"/>
    </sheetView>
  </sheetViews>
  <sheetFormatPr defaultRowHeight="14.4" x14ac:dyDescent="0.3"/>
  <cols>
    <col min="1" max="1" width="1.88671875" customWidth="1"/>
    <col min="2" max="2" width="29.77734375" customWidth="1"/>
    <col min="3" max="6" width="9" bestFit="1" customWidth="1"/>
    <col min="7" max="8" width="9.5546875" bestFit="1" customWidth="1"/>
    <col min="9" max="9" width="9.44140625" customWidth="1"/>
  </cols>
  <sheetData>
    <row r="1" spans="2:11" x14ac:dyDescent="0.3">
      <c r="B1" s="235"/>
      <c r="C1" s="235"/>
      <c r="D1" s="235"/>
      <c r="E1" s="235"/>
      <c r="F1" s="235"/>
      <c r="G1" s="235"/>
      <c r="H1" s="235"/>
      <c r="I1" s="235"/>
      <c r="J1" s="235"/>
      <c r="K1" s="235"/>
    </row>
    <row r="2" spans="2:11" ht="33.6" customHeight="1" x14ac:dyDescent="0.55000000000000004">
      <c r="B2" s="65" t="str">
        <f>'Raw Data Trent Ltd'!B1</f>
        <v>TRENT LTD</v>
      </c>
    </row>
    <row r="3" spans="2:11" x14ac:dyDescent="0.3">
      <c r="B3" t="str">
        <f>CONCATENATE("   (",VLOOKUP(B2,'[1]List of Stocks'!A2:C5442,3,1)," | ","BSE Code: ",VLOOKUP(B2,'[1]List of Stocks'!A2:B5442,2,1),")")</f>
        <v xml:space="preserve">   (TRENT | BSE Code: 500251)</v>
      </c>
    </row>
    <row r="4" spans="2:11" ht="18" x14ac:dyDescent="0.35">
      <c r="B4" s="66" t="s">
        <v>286</v>
      </c>
    </row>
    <row r="5" spans="2:11" x14ac:dyDescent="0.3">
      <c r="B5" t="s">
        <v>285</v>
      </c>
    </row>
    <row r="6" spans="2:11" ht="6" customHeight="1" thickBot="1" x14ac:dyDescent="0.35">
      <c r="B6" s="237" t="s">
        <v>169</v>
      </c>
      <c r="C6" s="237"/>
      <c r="D6" s="237"/>
      <c r="E6" s="237"/>
      <c r="F6" s="237"/>
      <c r="G6" s="237"/>
      <c r="H6" s="237"/>
      <c r="I6" s="237"/>
      <c r="J6" s="237"/>
      <c r="K6" s="237"/>
    </row>
    <row r="7" spans="2:11" x14ac:dyDescent="0.3">
      <c r="B7" s="67" t="s">
        <v>170</v>
      </c>
    </row>
    <row r="8" spans="2:11" ht="26.4" customHeight="1" x14ac:dyDescent="0.3">
      <c r="B8" s="238" t="s">
        <v>188</v>
      </c>
      <c r="C8" s="238"/>
      <c r="D8" s="238"/>
      <c r="E8" s="238"/>
      <c r="F8" s="238"/>
      <c r="G8" s="238"/>
      <c r="H8" s="238"/>
      <c r="I8" s="238"/>
      <c r="J8" s="238"/>
      <c r="K8" s="238"/>
    </row>
    <row r="9" spans="2:11" ht="21" customHeight="1" x14ac:dyDescent="0.3">
      <c r="B9" s="238"/>
      <c r="C9" s="238"/>
      <c r="D9" s="238"/>
      <c r="E9" s="238"/>
      <c r="F9" s="238"/>
      <c r="G9" s="238"/>
      <c r="H9" s="238"/>
      <c r="I9" s="238"/>
      <c r="J9" s="238"/>
      <c r="K9" s="238"/>
    </row>
    <row r="10" spans="2:11" ht="23.4" customHeight="1" x14ac:dyDescent="0.3">
      <c r="B10" s="238"/>
      <c r="C10" s="238"/>
      <c r="D10" s="238"/>
      <c r="E10" s="238"/>
      <c r="F10" s="238"/>
      <c r="G10" s="238"/>
      <c r="H10" s="238"/>
      <c r="I10" s="238"/>
      <c r="J10" s="238"/>
      <c r="K10" s="238"/>
    </row>
    <row r="11" spans="2:11" ht="21.6" customHeight="1" x14ac:dyDescent="0.3">
      <c r="B11" s="238"/>
      <c r="C11" s="238"/>
      <c r="D11" s="238"/>
      <c r="E11" s="238"/>
      <c r="F11" s="238"/>
      <c r="G11" s="238"/>
      <c r="H11" s="238"/>
      <c r="I11" s="238"/>
      <c r="J11" s="238"/>
      <c r="K11" s="238"/>
    </row>
    <row r="12" spans="2:11" ht="5.4" customHeight="1" x14ac:dyDescent="0.3">
      <c r="B12" s="236"/>
      <c r="C12" s="236"/>
      <c r="D12" s="236"/>
      <c r="E12" s="236"/>
      <c r="F12" s="236"/>
      <c r="G12" s="236"/>
      <c r="H12" s="236"/>
      <c r="I12" s="236"/>
    </row>
    <row r="13" spans="2:11" x14ac:dyDescent="0.3">
      <c r="B13" s="67" t="s">
        <v>171</v>
      </c>
    </row>
    <row r="14" spans="2:11" x14ac:dyDescent="0.3">
      <c r="B14" s="4"/>
    </row>
    <row r="15" spans="2:11" x14ac:dyDescent="0.3">
      <c r="B15" s="4"/>
    </row>
    <row r="16" spans="2:11" x14ac:dyDescent="0.3">
      <c r="B16" s="4"/>
    </row>
    <row r="17" spans="2:4" x14ac:dyDescent="0.3">
      <c r="B17" s="4"/>
    </row>
    <row r="18" spans="2:4" x14ac:dyDescent="0.3">
      <c r="B18" s="4"/>
    </row>
    <row r="19" spans="2:4" x14ac:dyDescent="0.3">
      <c r="B19" s="4"/>
    </row>
    <row r="20" spans="2:4" x14ac:dyDescent="0.3">
      <c r="B20" s="4"/>
    </row>
    <row r="21" spans="2:4" x14ac:dyDescent="0.3">
      <c r="B21" s="4"/>
      <c r="D21" t="s">
        <v>172</v>
      </c>
    </row>
    <row r="22" spans="2:4" x14ac:dyDescent="0.3">
      <c r="B22" s="4"/>
    </row>
    <row r="23" spans="2:4" x14ac:dyDescent="0.3">
      <c r="B23" s="4"/>
    </row>
    <row r="24" spans="2:4" x14ac:dyDescent="0.3">
      <c r="B24" s="4"/>
    </row>
    <row r="25" spans="2:4" x14ac:dyDescent="0.3">
      <c r="B25" s="4"/>
    </row>
    <row r="26" spans="2:4" x14ac:dyDescent="0.3">
      <c r="B26" s="4"/>
    </row>
    <row r="27" spans="2:4" x14ac:dyDescent="0.3">
      <c r="B27" s="4"/>
    </row>
    <row r="57" spans="2:11" x14ac:dyDescent="0.3">
      <c r="B57" s="235"/>
      <c r="C57" s="235"/>
      <c r="D57" s="235"/>
      <c r="E57" s="235"/>
      <c r="F57" s="235"/>
      <c r="G57" s="235"/>
      <c r="H57" s="235"/>
      <c r="I57" s="235"/>
      <c r="J57" s="235"/>
      <c r="K57" s="235"/>
    </row>
    <row r="58" spans="2:11" x14ac:dyDescent="0.3">
      <c r="B58" s="68"/>
      <c r="C58" s="68"/>
      <c r="D58" s="68"/>
      <c r="E58" s="68"/>
      <c r="F58" s="68"/>
      <c r="G58" s="68"/>
      <c r="H58" s="68"/>
      <c r="I58" s="68"/>
      <c r="J58" s="68"/>
      <c r="K58" s="68"/>
    </row>
    <row r="65" spans="2:11" ht="15.6" x14ac:dyDescent="0.3">
      <c r="B65" s="234" t="s">
        <v>173</v>
      </c>
      <c r="C65" s="234"/>
      <c r="D65" s="234"/>
      <c r="E65" s="234"/>
      <c r="F65" s="234"/>
      <c r="G65" s="234"/>
      <c r="H65" s="234"/>
      <c r="I65" s="234"/>
      <c r="J65" s="234"/>
      <c r="K65" s="234"/>
    </row>
    <row r="66" spans="2:11" x14ac:dyDescent="0.3">
      <c r="B66" s="15"/>
      <c r="C66" s="60">
        <f>'Raw Data Trent Ltd'!C16</f>
        <v>43190</v>
      </c>
      <c r="D66" s="60">
        <f>'Raw Data Trent Ltd'!D16</f>
        <v>43555</v>
      </c>
      <c r="E66" s="60">
        <f>'Raw Data Trent Ltd'!E16</f>
        <v>43921</v>
      </c>
      <c r="F66" s="60">
        <f>'Raw Data Trent Ltd'!F16</f>
        <v>44286</v>
      </c>
      <c r="G66" s="60">
        <f>'Raw Data Trent Ltd'!G16</f>
        <v>44651</v>
      </c>
      <c r="H66" s="60">
        <f>'Raw Data Trent Ltd'!H16</f>
        <v>45016</v>
      </c>
      <c r="I66" s="60">
        <f>'Raw Data Trent Ltd'!I16</f>
        <v>45382</v>
      </c>
      <c r="J66" s="60">
        <f>'Raw Data Trent Ltd'!J16</f>
        <v>45747</v>
      </c>
      <c r="K66" s="60">
        <f>'Raw Data Trent Ltd'!K16</f>
        <v>46112</v>
      </c>
    </row>
    <row r="67" spans="2:11" x14ac:dyDescent="0.3">
      <c r="B67" t="s">
        <v>79</v>
      </c>
      <c r="C67" s="61">
        <f>'Raw Data Trent Ltd'!C30</f>
        <v>86.97</v>
      </c>
      <c r="D67" s="61">
        <f>'Raw Data Trent Ltd'!D30</f>
        <v>96.96</v>
      </c>
      <c r="E67" s="61">
        <f>'Raw Data Trent Ltd'!E30</f>
        <v>122.85</v>
      </c>
      <c r="F67" s="61">
        <f>'Raw Data Trent Ltd'!F30</f>
        <v>-146.16999999999999</v>
      </c>
      <c r="G67" s="61">
        <f>'Raw Data Trent Ltd'!G30</f>
        <v>105.83</v>
      </c>
      <c r="H67" s="61">
        <f>'Raw Data Trent Ltd'!H30</f>
        <v>444.63</v>
      </c>
      <c r="I67" s="61">
        <f>'Raw Data Trent Ltd'!I30</f>
        <v>1486.8</v>
      </c>
      <c r="J67" s="61">
        <f>'Raw Data Trent Ltd'!J30</f>
        <v>1546.72</v>
      </c>
      <c r="K67" s="61">
        <f>'Raw Data Trent Ltd'!K30</f>
        <v>1719.65</v>
      </c>
    </row>
    <row r="68" spans="2:11" x14ac:dyDescent="0.3">
      <c r="B68" t="s">
        <v>174</v>
      </c>
      <c r="C68" s="61">
        <f>(('Raw Data Trent Ltd'!D57+'Raw Data Trent Ltd'!D58)+('Raw Data Trent Ltd'!C57+'Raw Data Trent Ltd'!C58))/2</f>
        <v>1620.94</v>
      </c>
      <c r="D68" s="61">
        <f>(('Raw Data Trent Ltd'!E57+'Raw Data Trent Ltd'!E58)+('Raw Data Trent Ltd'!D57+'Raw Data Trent Ltd'!D58))/2</f>
        <v>2017.1399999999999</v>
      </c>
      <c r="E68" s="61">
        <f>(('Raw Data Trent Ltd'!F57+'Raw Data Trent Ltd'!F58)+('Raw Data Trent Ltd'!E57+'Raw Data Trent Ltd'!E58))/2</f>
        <v>2350.4</v>
      </c>
      <c r="F68" s="61">
        <f>(('Raw Data Trent Ltd'!G57+'Raw Data Trent Ltd'!G58)+('Raw Data Trent Ltd'!F57+'Raw Data Trent Ltd'!F58))/2</f>
        <v>2338.5150000000003</v>
      </c>
      <c r="G68" s="61">
        <f>(('Raw Data Trent Ltd'!H57+'Raw Data Trent Ltd'!H58)+('Raw Data Trent Ltd'!G57+'Raw Data Trent Ltd'!G58))/2</f>
        <v>2479.7449999999999</v>
      </c>
      <c r="H68" s="61">
        <f>(('Raw Data Trent Ltd'!I57+'Raw Data Trent Ltd'!I58)+('Raw Data Trent Ltd'!H57+'Raw Data Trent Ltd'!H58))/2</f>
        <v>3331.6150000000002</v>
      </c>
      <c r="I68" s="61">
        <f>(('Raw Data Trent Ltd'!J57+'Raw Data Trent Ltd'!J58)+('Raw Data Trent Ltd'!I57+'Raw Data Trent Ltd'!I58))/2</f>
        <v>4764.74</v>
      </c>
      <c r="J68" s="61">
        <f>(('Raw Data Trent Ltd'!K57+'Raw Data Trent Ltd'!K58)+('Raw Data Trent Ltd'!J57+'Raw Data Trent Ltd'!J58))/2</f>
        <v>6223.21</v>
      </c>
      <c r="K68" s="61">
        <f>(('Raw Data Trent Ltd'!L57+'Raw Data Trent Ltd'!L58)+('Raw Data Trent Ltd'!K57+'Raw Data Trent Ltd'!K58))/2</f>
        <v>3492.34</v>
      </c>
    </row>
    <row r="69" spans="2:11" x14ac:dyDescent="0.3">
      <c r="B69" s="62" t="s">
        <v>175</v>
      </c>
      <c r="C69" s="63">
        <f t="shared" ref="C69:H69" si="0">C67/C68</f>
        <v>5.365405258677064E-2</v>
      </c>
      <c r="D69" s="63">
        <f t="shared" si="0"/>
        <v>4.8068056753621462E-2</v>
      </c>
      <c r="E69" s="63">
        <f t="shared" si="0"/>
        <v>5.2267699115044246E-2</v>
      </c>
      <c r="F69" s="63">
        <f t="shared" si="0"/>
        <v>-6.2505478904347406E-2</v>
      </c>
      <c r="G69" s="63">
        <f t="shared" si="0"/>
        <v>4.2677775335770413E-2</v>
      </c>
      <c r="H69" s="63">
        <f t="shared" si="0"/>
        <v>0.13345779749460845</v>
      </c>
      <c r="I69" s="63">
        <f t="shared" ref="I69:J69" si="1">I67/I68</f>
        <v>0.31204221006812544</v>
      </c>
      <c r="J69" s="63">
        <f t="shared" si="1"/>
        <v>0.24854054418861007</v>
      </c>
      <c r="K69" s="63">
        <f t="shared" ref="K69" si="2">K67/K68</f>
        <v>0.49240623765154595</v>
      </c>
    </row>
    <row r="71" spans="2:11" ht="15.6" x14ac:dyDescent="0.3">
      <c r="B71" s="234" t="s">
        <v>176</v>
      </c>
      <c r="C71" s="234"/>
      <c r="D71" s="234"/>
      <c r="E71" s="234"/>
      <c r="F71" s="234"/>
      <c r="G71" s="234"/>
      <c r="H71" s="234"/>
      <c r="I71" s="234"/>
      <c r="J71" s="234"/>
      <c r="K71" s="234"/>
    </row>
    <row r="72" spans="2:11" x14ac:dyDescent="0.3">
      <c r="B72" s="15"/>
      <c r="C72" s="60">
        <f t="shared" ref="C72:K72" si="3">C66</f>
        <v>43190</v>
      </c>
      <c r="D72" s="60">
        <f t="shared" si="3"/>
        <v>43555</v>
      </c>
      <c r="E72" s="60">
        <f t="shared" si="3"/>
        <v>43921</v>
      </c>
      <c r="F72" s="60">
        <f t="shared" si="3"/>
        <v>44286</v>
      </c>
      <c r="G72" s="60">
        <f t="shared" si="3"/>
        <v>44651</v>
      </c>
      <c r="H72" s="60">
        <f t="shared" si="3"/>
        <v>45016</v>
      </c>
      <c r="I72" s="60">
        <f t="shared" si="3"/>
        <v>45382</v>
      </c>
      <c r="J72" s="60">
        <f t="shared" si="3"/>
        <v>45747</v>
      </c>
      <c r="K72" s="60">
        <f t="shared" si="3"/>
        <v>46112</v>
      </c>
    </row>
    <row r="73" spans="2:11" x14ac:dyDescent="0.3">
      <c r="B73" t="str">
        <f>B67</f>
        <v xml:space="preserve">Net Profit </v>
      </c>
      <c r="C73" s="61">
        <f t="shared" ref="C73:K73" si="4">C67</f>
        <v>86.97</v>
      </c>
      <c r="D73" s="61">
        <f t="shared" si="4"/>
        <v>96.96</v>
      </c>
      <c r="E73" s="61">
        <f t="shared" si="4"/>
        <v>122.85</v>
      </c>
      <c r="F73" s="61">
        <f t="shared" si="4"/>
        <v>-146.16999999999999</v>
      </c>
      <c r="G73" s="61">
        <f t="shared" si="4"/>
        <v>105.83</v>
      </c>
      <c r="H73" s="61">
        <f t="shared" si="4"/>
        <v>444.63</v>
      </c>
      <c r="I73" s="61">
        <f t="shared" si="4"/>
        <v>1486.8</v>
      </c>
      <c r="J73" s="61">
        <f t="shared" si="4"/>
        <v>1546.72</v>
      </c>
      <c r="K73" s="61">
        <f t="shared" si="4"/>
        <v>1719.65</v>
      </c>
    </row>
    <row r="74" spans="2:11" x14ac:dyDescent="0.3">
      <c r="B74" t="s">
        <v>177</v>
      </c>
      <c r="C74" s="61">
        <f>'Raw Data Trent Ltd'!C17</f>
        <v>2157.46</v>
      </c>
      <c r="D74" s="61">
        <f>'Raw Data Trent Ltd'!D17</f>
        <v>2630.24</v>
      </c>
      <c r="E74" s="61">
        <f>'Raw Data Trent Ltd'!E17</f>
        <v>3485.98</v>
      </c>
      <c r="F74" s="61">
        <f>'Raw Data Trent Ltd'!F17</f>
        <v>2592.96</v>
      </c>
      <c r="G74" s="61">
        <f>'Raw Data Trent Ltd'!G17</f>
        <v>4498.0200000000004</v>
      </c>
      <c r="H74" s="61">
        <f>'Raw Data Trent Ltd'!H17</f>
        <v>8242.02</v>
      </c>
      <c r="I74" s="61">
        <f>'Raw Data Trent Ltd'!I17</f>
        <v>12375.11</v>
      </c>
      <c r="J74" s="61">
        <f>'Raw Data Trent Ltd'!J17</f>
        <v>17134.61</v>
      </c>
      <c r="K74" s="61">
        <f>'Raw Data Trent Ltd'!K17</f>
        <v>20074.21</v>
      </c>
    </row>
    <row r="75" spans="2:11" x14ac:dyDescent="0.3">
      <c r="B75" s="62" t="s">
        <v>178</v>
      </c>
      <c r="C75" s="63">
        <f t="shared" ref="C75:H75" si="5">C73/C74</f>
        <v>4.0311291982238373E-2</v>
      </c>
      <c r="D75" s="63">
        <f t="shared" si="5"/>
        <v>3.6863556177383051E-2</v>
      </c>
      <c r="E75" s="63">
        <f t="shared" si="5"/>
        <v>3.5241166042260713E-2</v>
      </c>
      <c r="F75" s="63">
        <f t="shared" si="5"/>
        <v>-5.6371868443786249E-2</v>
      </c>
      <c r="G75" s="63">
        <f t="shared" si="5"/>
        <v>2.3528130155045995E-2</v>
      </c>
      <c r="H75" s="63">
        <f t="shared" si="5"/>
        <v>5.3946726651961527E-2</v>
      </c>
      <c r="I75" s="63">
        <f t="shared" ref="I75:K75" si="6">I73/I74</f>
        <v>0.12014438659535147</v>
      </c>
      <c r="J75" s="63">
        <f t="shared" si="6"/>
        <v>9.0268760129352227E-2</v>
      </c>
      <c r="K75" s="63">
        <f t="shared" si="6"/>
        <v>8.5664641348277226E-2</v>
      </c>
    </row>
    <row r="77" spans="2:11" x14ac:dyDescent="0.3">
      <c r="B77" t="s">
        <v>179</v>
      </c>
      <c r="C77" s="61">
        <f t="shared" ref="C77:H77" si="7">C74</f>
        <v>2157.46</v>
      </c>
      <c r="D77" s="61">
        <f t="shared" si="7"/>
        <v>2630.24</v>
      </c>
      <c r="E77" s="61">
        <f t="shared" si="7"/>
        <v>3485.98</v>
      </c>
      <c r="F77" s="61">
        <f t="shared" si="7"/>
        <v>2592.96</v>
      </c>
      <c r="G77" s="61">
        <f t="shared" si="7"/>
        <v>4498.0200000000004</v>
      </c>
      <c r="H77" s="61">
        <f t="shared" si="7"/>
        <v>8242.02</v>
      </c>
      <c r="I77" s="61">
        <f t="shared" ref="I77:J77" si="8">I74</f>
        <v>12375.11</v>
      </c>
      <c r="J77" s="61">
        <f t="shared" si="8"/>
        <v>17134.61</v>
      </c>
      <c r="K77" s="61">
        <f t="shared" ref="K77" si="9">K74</f>
        <v>20074.21</v>
      </c>
    </row>
    <row r="78" spans="2:11" x14ac:dyDescent="0.3">
      <c r="B78" t="s">
        <v>180</v>
      </c>
      <c r="C78" s="61">
        <f>('Raw Data Trent Ltd'!D66+'Raw Data Trent Ltd'!C66)/2</f>
        <v>2447.3100000000004</v>
      </c>
      <c r="D78" s="61">
        <f>('Raw Data Trent Ltd'!E66+'Raw Data Trent Ltd'!D66)/2</f>
        <v>4032.7200000000003</v>
      </c>
      <c r="E78" s="61">
        <f>('Raw Data Trent Ltd'!F66+'Raw Data Trent Ltd'!E66)/2</f>
        <v>5615.2049999999999</v>
      </c>
      <c r="F78" s="61">
        <f>('Raw Data Trent Ltd'!G66+'Raw Data Trent Ltd'!F66)/2</f>
        <v>6724.875</v>
      </c>
      <c r="G78" s="61">
        <f>('Raw Data Trent Ltd'!H66+'Raw Data Trent Ltd'!G66)/2</f>
        <v>7903.7749999999996</v>
      </c>
      <c r="H78" s="61">
        <f>('Raw Data Trent Ltd'!I66+'Raw Data Trent Ltd'!H66)/2</f>
        <v>7621.6399999999994</v>
      </c>
      <c r="I78" s="61">
        <f>('Raw Data Trent Ltd'!J66+'Raw Data Trent Ltd'!I66)/2</f>
        <v>8290.6949999999997</v>
      </c>
      <c r="J78" s="61">
        <f>('Raw Data Trent Ltd'!K66+'Raw Data Trent Ltd'!J66)/2</f>
        <v>10574.11</v>
      </c>
      <c r="K78" s="61">
        <f>('Raw Data Trent Ltd'!L66+'Raw Data Trent Ltd'!K66)/2</f>
        <v>5864.29</v>
      </c>
    </row>
    <row r="79" spans="2:11" x14ac:dyDescent="0.3">
      <c r="B79" s="62" t="s">
        <v>181</v>
      </c>
      <c r="C79" s="64">
        <f t="shared" ref="C79:H79" si="10">C77/C78</f>
        <v>0.88156383948089934</v>
      </c>
      <c r="D79" s="64">
        <f t="shared" si="10"/>
        <v>0.65222480112678283</v>
      </c>
      <c r="E79" s="64">
        <f t="shared" si="10"/>
        <v>0.6208108163459749</v>
      </c>
      <c r="F79" s="64">
        <f t="shared" si="10"/>
        <v>0.38557742708972287</v>
      </c>
      <c r="G79" s="64">
        <f t="shared" si="10"/>
        <v>0.56909767800829358</v>
      </c>
      <c r="H79" s="64">
        <f t="shared" si="10"/>
        <v>1.081397179609638</v>
      </c>
      <c r="I79" s="64">
        <f t="shared" ref="I79:K79" si="11">I77/I78</f>
        <v>1.4926504955254054</v>
      </c>
      <c r="J79" s="64">
        <f t="shared" si="11"/>
        <v>1.6204304664884326</v>
      </c>
      <c r="K79" s="64">
        <f t="shared" si="11"/>
        <v>3.4231270963748379</v>
      </c>
    </row>
    <row r="81" spans="2:11" x14ac:dyDescent="0.3">
      <c r="B81" t="s">
        <v>180</v>
      </c>
      <c r="C81" s="61">
        <f t="shared" ref="C81:H81" si="12">C78</f>
        <v>2447.3100000000004</v>
      </c>
      <c r="D81" s="61">
        <f t="shared" si="12"/>
        <v>4032.7200000000003</v>
      </c>
      <c r="E81" s="61">
        <f t="shared" si="12"/>
        <v>5615.2049999999999</v>
      </c>
      <c r="F81" s="61">
        <f t="shared" si="12"/>
        <v>6724.875</v>
      </c>
      <c r="G81" s="61">
        <f t="shared" si="12"/>
        <v>7903.7749999999996</v>
      </c>
      <c r="H81" s="61">
        <f t="shared" si="12"/>
        <v>7621.6399999999994</v>
      </c>
      <c r="I81" s="61">
        <f t="shared" ref="I81:J81" si="13">I78</f>
        <v>8290.6949999999997</v>
      </c>
      <c r="J81" s="61">
        <f t="shared" si="13"/>
        <v>10574.11</v>
      </c>
      <c r="K81" s="61">
        <f t="shared" ref="K81" si="14">K78</f>
        <v>5864.29</v>
      </c>
    </row>
    <row r="82" spans="2:11" x14ac:dyDescent="0.3">
      <c r="B82" t="s">
        <v>174</v>
      </c>
      <c r="C82" s="61">
        <f t="shared" ref="C82:K82" si="15">C68</f>
        <v>1620.94</v>
      </c>
      <c r="D82" s="61">
        <f t="shared" si="15"/>
        <v>2017.1399999999999</v>
      </c>
      <c r="E82" s="61">
        <f t="shared" si="15"/>
        <v>2350.4</v>
      </c>
      <c r="F82" s="61">
        <f t="shared" si="15"/>
        <v>2338.5150000000003</v>
      </c>
      <c r="G82" s="61">
        <f t="shared" si="15"/>
        <v>2479.7449999999999</v>
      </c>
      <c r="H82" s="61">
        <f t="shared" si="15"/>
        <v>3331.6150000000002</v>
      </c>
      <c r="I82" s="61">
        <f t="shared" si="15"/>
        <v>4764.74</v>
      </c>
      <c r="J82" s="61">
        <f t="shared" si="15"/>
        <v>6223.21</v>
      </c>
      <c r="K82" s="61">
        <f t="shared" si="15"/>
        <v>3492.34</v>
      </c>
    </row>
    <row r="83" spans="2:11" x14ac:dyDescent="0.3">
      <c r="B83" s="62" t="s">
        <v>182</v>
      </c>
      <c r="C83" s="64">
        <f t="shared" ref="C83:H83" si="16">C81/C82</f>
        <v>1.5098091231014106</v>
      </c>
      <c r="D83" s="64">
        <f t="shared" si="16"/>
        <v>1.9992266277997564</v>
      </c>
      <c r="E83" s="64">
        <f t="shared" si="16"/>
        <v>2.3890422906739279</v>
      </c>
      <c r="F83" s="64">
        <f t="shared" si="16"/>
        <v>2.8757031706018559</v>
      </c>
      <c r="G83" s="64">
        <f t="shared" si="16"/>
        <v>3.1873337782715563</v>
      </c>
      <c r="H83" s="64">
        <f t="shared" si="16"/>
        <v>2.2876712945523412</v>
      </c>
      <c r="I83" s="64">
        <f t="shared" ref="I83:K83" si="17">I81/I82</f>
        <v>1.7400099480769151</v>
      </c>
      <c r="J83" s="64">
        <f t="shared" si="17"/>
        <v>1.6991407971127441</v>
      </c>
      <c r="K83" s="64">
        <f t="shared" si="17"/>
        <v>1.6791864480548857</v>
      </c>
    </row>
    <row r="85" spans="2:11" x14ac:dyDescent="0.3">
      <c r="B85" s="62" t="s">
        <v>183</v>
      </c>
      <c r="C85" s="63">
        <f t="shared" ref="C85:H85" si="18">C83*C79*C75</f>
        <v>5.365405258677064E-2</v>
      </c>
      <c r="D85" s="63">
        <f t="shared" si="18"/>
        <v>4.8068056753621462E-2</v>
      </c>
      <c r="E85" s="63">
        <f t="shared" si="18"/>
        <v>5.2267699115044253E-2</v>
      </c>
      <c r="F85" s="63">
        <f t="shared" si="18"/>
        <v>-6.2505478904347406E-2</v>
      </c>
      <c r="G85" s="63">
        <f t="shared" si="18"/>
        <v>4.2677775335770413E-2</v>
      </c>
      <c r="H85" s="63">
        <f t="shared" si="18"/>
        <v>0.13345779749460845</v>
      </c>
      <c r="I85" s="63">
        <f t="shared" ref="I85:J85" si="19">I83*I79*I75</f>
        <v>0.31204221006812549</v>
      </c>
      <c r="J85" s="63">
        <f t="shared" si="19"/>
        <v>0.24854054418861005</v>
      </c>
      <c r="K85" s="63">
        <f t="shared" ref="K85" si="20">K83*K79*K75</f>
        <v>0.4924062376515459</v>
      </c>
    </row>
    <row r="87" spans="2:11" ht="15.6" x14ac:dyDescent="0.3">
      <c r="B87" s="234" t="s">
        <v>184</v>
      </c>
      <c r="C87" s="234"/>
      <c r="D87" s="234"/>
      <c r="E87" s="234"/>
      <c r="F87" s="234"/>
      <c r="G87" s="234"/>
      <c r="H87" s="234"/>
      <c r="I87" s="234"/>
      <c r="J87" s="234"/>
      <c r="K87" s="234"/>
    </row>
    <row r="88" spans="2:11" x14ac:dyDescent="0.3">
      <c r="B88" s="15"/>
      <c r="C88" s="60">
        <f t="shared" ref="C88:K88" si="21">C66</f>
        <v>43190</v>
      </c>
      <c r="D88" s="60">
        <f t="shared" si="21"/>
        <v>43555</v>
      </c>
      <c r="E88" s="60">
        <f t="shared" si="21"/>
        <v>43921</v>
      </c>
      <c r="F88" s="60">
        <f t="shared" si="21"/>
        <v>44286</v>
      </c>
      <c r="G88" s="60">
        <f t="shared" si="21"/>
        <v>44651</v>
      </c>
      <c r="H88" s="60">
        <f t="shared" si="21"/>
        <v>45016</v>
      </c>
      <c r="I88" s="60">
        <f t="shared" si="21"/>
        <v>45382</v>
      </c>
      <c r="J88" s="60">
        <f t="shared" si="21"/>
        <v>45747</v>
      </c>
      <c r="K88" s="60">
        <f t="shared" si="21"/>
        <v>46112</v>
      </c>
    </row>
    <row r="89" spans="2:11" x14ac:dyDescent="0.3">
      <c r="B89" t="s">
        <v>79</v>
      </c>
      <c r="C89" s="61">
        <f t="shared" ref="C89:K89" si="22">C73</f>
        <v>86.97</v>
      </c>
      <c r="D89" s="61">
        <f t="shared" si="22"/>
        <v>96.96</v>
      </c>
      <c r="E89" s="61">
        <f t="shared" si="22"/>
        <v>122.85</v>
      </c>
      <c r="F89" s="61">
        <f t="shared" si="22"/>
        <v>-146.16999999999999</v>
      </c>
      <c r="G89" s="61">
        <f t="shared" si="22"/>
        <v>105.83</v>
      </c>
      <c r="H89" s="61">
        <f t="shared" si="22"/>
        <v>444.63</v>
      </c>
      <c r="I89" s="61">
        <f t="shared" si="22"/>
        <v>1486.8</v>
      </c>
      <c r="J89" s="61">
        <f t="shared" si="22"/>
        <v>1546.72</v>
      </c>
      <c r="K89" s="61">
        <f t="shared" si="22"/>
        <v>1719.65</v>
      </c>
    </row>
    <row r="90" spans="2:11" x14ac:dyDescent="0.3">
      <c r="B90" t="s">
        <v>185</v>
      </c>
      <c r="C90" s="61">
        <f t="shared" ref="C90:K90" si="23">C78</f>
        <v>2447.3100000000004</v>
      </c>
      <c r="D90" s="61">
        <f t="shared" si="23"/>
        <v>4032.7200000000003</v>
      </c>
      <c r="E90" s="61">
        <f t="shared" si="23"/>
        <v>5615.2049999999999</v>
      </c>
      <c r="F90" s="61">
        <f t="shared" si="23"/>
        <v>6724.875</v>
      </c>
      <c r="G90" s="61">
        <f t="shared" si="23"/>
        <v>7903.7749999999996</v>
      </c>
      <c r="H90" s="61">
        <f t="shared" si="23"/>
        <v>7621.6399999999994</v>
      </c>
      <c r="I90" s="61">
        <f t="shared" si="23"/>
        <v>8290.6949999999997</v>
      </c>
      <c r="J90" s="61">
        <f t="shared" si="23"/>
        <v>10574.11</v>
      </c>
      <c r="K90" s="61">
        <f t="shared" si="23"/>
        <v>5864.29</v>
      </c>
    </row>
    <row r="91" spans="2:11" x14ac:dyDescent="0.3">
      <c r="B91" s="62" t="s">
        <v>175</v>
      </c>
      <c r="C91" s="63">
        <f t="shared" ref="C91:H91" si="24">C89/C90</f>
        <v>3.5536977334297649E-2</v>
      </c>
      <c r="D91" s="63">
        <f t="shared" si="24"/>
        <v>2.4043325596619647E-2</v>
      </c>
      <c r="E91" s="63">
        <f t="shared" si="24"/>
        <v>2.1878097059679923E-2</v>
      </c>
      <c r="F91" s="63">
        <f t="shared" si="24"/>
        <v>-2.1735719994795441E-2</v>
      </c>
      <c r="G91" s="63">
        <f t="shared" si="24"/>
        <v>1.3389804239113588E-2</v>
      </c>
      <c r="H91" s="63">
        <f t="shared" si="24"/>
        <v>5.8337838050603288E-2</v>
      </c>
      <c r="I91" s="63">
        <f t="shared" ref="I91:J91" si="25">I89/I90</f>
        <v>0.17933357818614723</v>
      </c>
      <c r="J91" s="63">
        <f t="shared" si="25"/>
        <v>0.14627424908573866</v>
      </c>
      <c r="K91" s="63">
        <f t="shared" ref="K91" si="26">K89/K90</f>
        <v>0.29324095500052011</v>
      </c>
    </row>
    <row r="93" spans="2:11" ht="15.6" x14ac:dyDescent="0.3">
      <c r="B93" s="234" t="s">
        <v>186</v>
      </c>
      <c r="C93" s="234"/>
      <c r="D93" s="234"/>
      <c r="E93" s="234"/>
      <c r="F93" s="234"/>
      <c r="G93" s="234"/>
      <c r="H93" s="234"/>
      <c r="I93" s="234"/>
      <c r="J93" s="234"/>
      <c r="K93" s="234"/>
    </row>
    <row r="94" spans="2:11" x14ac:dyDescent="0.3">
      <c r="B94" s="15"/>
      <c r="C94" s="60">
        <f t="shared" ref="C94:K94" si="27">C88</f>
        <v>43190</v>
      </c>
      <c r="D94" s="60">
        <f t="shared" si="27"/>
        <v>43555</v>
      </c>
      <c r="E94" s="60">
        <f t="shared" si="27"/>
        <v>43921</v>
      </c>
      <c r="F94" s="60">
        <f t="shared" si="27"/>
        <v>44286</v>
      </c>
      <c r="G94" s="60">
        <f t="shared" si="27"/>
        <v>44651</v>
      </c>
      <c r="H94" s="60">
        <f t="shared" si="27"/>
        <v>45016</v>
      </c>
      <c r="I94" s="60">
        <f t="shared" si="27"/>
        <v>45382</v>
      </c>
      <c r="J94" s="60">
        <f t="shared" si="27"/>
        <v>45747</v>
      </c>
      <c r="K94" s="60">
        <f t="shared" si="27"/>
        <v>46112</v>
      </c>
    </row>
    <row r="95" spans="2:11" x14ac:dyDescent="0.3">
      <c r="B95" t="str">
        <f>B89</f>
        <v xml:space="preserve">Net Profit </v>
      </c>
      <c r="C95" s="61">
        <f t="shared" ref="C95:K95" si="28">C73</f>
        <v>86.97</v>
      </c>
      <c r="D95" s="61">
        <f t="shared" si="28"/>
        <v>96.96</v>
      </c>
      <c r="E95" s="61">
        <f t="shared" si="28"/>
        <v>122.85</v>
      </c>
      <c r="F95" s="61">
        <f t="shared" si="28"/>
        <v>-146.16999999999999</v>
      </c>
      <c r="G95" s="61">
        <f t="shared" si="28"/>
        <v>105.83</v>
      </c>
      <c r="H95" s="61">
        <f t="shared" si="28"/>
        <v>444.63</v>
      </c>
      <c r="I95" s="61">
        <f t="shared" si="28"/>
        <v>1486.8</v>
      </c>
      <c r="J95" s="61">
        <f t="shared" si="28"/>
        <v>1546.72</v>
      </c>
      <c r="K95" s="61">
        <f t="shared" si="28"/>
        <v>1719.65</v>
      </c>
    </row>
    <row r="96" spans="2:11" x14ac:dyDescent="0.3">
      <c r="B96" t="s">
        <v>177</v>
      </c>
      <c r="C96" s="61">
        <f t="shared" ref="C96:K96" si="29">C74</f>
        <v>2157.46</v>
      </c>
      <c r="D96" s="61">
        <f t="shared" si="29"/>
        <v>2630.24</v>
      </c>
      <c r="E96" s="61">
        <f t="shared" si="29"/>
        <v>3485.98</v>
      </c>
      <c r="F96" s="61">
        <f t="shared" si="29"/>
        <v>2592.96</v>
      </c>
      <c r="G96" s="61">
        <f t="shared" si="29"/>
        <v>4498.0200000000004</v>
      </c>
      <c r="H96" s="61">
        <f t="shared" si="29"/>
        <v>8242.02</v>
      </c>
      <c r="I96" s="61">
        <f t="shared" si="29"/>
        <v>12375.11</v>
      </c>
      <c r="J96" s="61">
        <f t="shared" si="29"/>
        <v>17134.61</v>
      </c>
      <c r="K96" s="61">
        <f t="shared" si="29"/>
        <v>20074.21</v>
      </c>
    </row>
    <row r="97" spans="2:11" x14ac:dyDescent="0.3">
      <c r="B97" s="62" t="s">
        <v>178</v>
      </c>
      <c r="C97" s="63">
        <f t="shared" ref="C97:H97" si="30">C95/C96</f>
        <v>4.0311291982238373E-2</v>
      </c>
      <c r="D97" s="63">
        <f t="shared" si="30"/>
        <v>3.6863556177383051E-2</v>
      </c>
      <c r="E97" s="63">
        <f t="shared" si="30"/>
        <v>3.5241166042260713E-2</v>
      </c>
      <c r="F97" s="63">
        <f t="shared" si="30"/>
        <v>-5.6371868443786249E-2</v>
      </c>
      <c r="G97" s="63">
        <f t="shared" si="30"/>
        <v>2.3528130155045995E-2</v>
      </c>
      <c r="H97" s="63">
        <f t="shared" si="30"/>
        <v>5.3946726651961527E-2</v>
      </c>
      <c r="I97" s="63">
        <f t="shared" ref="I97:K97" si="31">I95/I96</f>
        <v>0.12014438659535147</v>
      </c>
      <c r="J97" s="63">
        <f t="shared" si="31"/>
        <v>9.0268760129352227E-2</v>
      </c>
      <c r="K97" s="63">
        <f t="shared" si="31"/>
        <v>8.5664641348277226E-2</v>
      </c>
    </row>
    <row r="99" spans="2:11" x14ac:dyDescent="0.3">
      <c r="B99" t="s">
        <v>179</v>
      </c>
      <c r="C99" s="61">
        <f t="shared" ref="C99:K99" si="32">C77</f>
        <v>2157.46</v>
      </c>
      <c r="D99" s="61">
        <f t="shared" si="32"/>
        <v>2630.24</v>
      </c>
      <c r="E99" s="61">
        <f t="shared" si="32"/>
        <v>3485.98</v>
      </c>
      <c r="F99" s="61">
        <f t="shared" si="32"/>
        <v>2592.96</v>
      </c>
      <c r="G99" s="61">
        <f t="shared" si="32"/>
        <v>4498.0200000000004</v>
      </c>
      <c r="H99" s="61">
        <f t="shared" si="32"/>
        <v>8242.02</v>
      </c>
      <c r="I99" s="61">
        <f t="shared" si="32"/>
        <v>12375.11</v>
      </c>
      <c r="J99" s="61">
        <f t="shared" si="32"/>
        <v>17134.61</v>
      </c>
      <c r="K99" s="61">
        <f t="shared" si="32"/>
        <v>20074.21</v>
      </c>
    </row>
    <row r="100" spans="2:11" x14ac:dyDescent="0.3">
      <c r="B100" t="s">
        <v>180</v>
      </c>
      <c r="C100" s="61">
        <f t="shared" ref="C100:K100" si="33">C78</f>
        <v>2447.3100000000004</v>
      </c>
      <c r="D100" s="61">
        <f t="shared" si="33"/>
        <v>4032.7200000000003</v>
      </c>
      <c r="E100" s="61">
        <f t="shared" si="33"/>
        <v>5615.2049999999999</v>
      </c>
      <c r="F100" s="61">
        <f t="shared" si="33"/>
        <v>6724.875</v>
      </c>
      <c r="G100" s="61">
        <f t="shared" si="33"/>
        <v>7903.7749999999996</v>
      </c>
      <c r="H100" s="61">
        <f t="shared" si="33"/>
        <v>7621.6399999999994</v>
      </c>
      <c r="I100" s="61">
        <f t="shared" si="33"/>
        <v>8290.6949999999997</v>
      </c>
      <c r="J100" s="61">
        <f t="shared" si="33"/>
        <v>10574.11</v>
      </c>
      <c r="K100" s="61">
        <f t="shared" si="33"/>
        <v>5864.29</v>
      </c>
    </row>
    <row r="101" spans="2:11" x14ac:dyDescent="0.3">
      <c r="B101" s="62" t="s">
        <v>181</v>
      </c>
      <c r="C101" s="64">
        <f t="shared" ref="C101:H101" si="34">C99/C100</f>
        <v>0.88156383948089934</v>
      </c>
      <c r="D101" s="64">
        <f t="shared" si="34"/>
        <v>0.65222480112678283</v>
      </c>
      <c r="E101" s="64">
        <f t="shared" si="34"/>
        <v>0.6208108163459749</v>
      </c>
      <c r="F101" s="64">
        <f t="shared" si="34"/>
        <v>0.38557742708972287</v>
      </c>
      <c r="G101" s="64">
        <f t="shared" si="34"/>
        <v>0.56909767800829358</v>
      </c>
      <c r="H101" s="64">
        <f t="shared" si="34"/>
        <v>1.081397179609638</v>
      </c>
      <c r="I101" s="64">
        <f t="shared" ref="I101:K101" si="35">I99/I100</f>
        <v>1.4926504955254054</v>
      </c>
      <c r="J101" s="64">
        <f t="shared" si="35"/>
        <v>1.6204304664884326</v>
      </c>
      <c r="K101" s="64">
        <f t="shared" si="35"/>
        <v>3.4231270963748379</v>
      </c>
    </row>
    <row r="103" spans="2:11" x14ac:dyDescent="0.3">
      <c r="B103" s="62" t="s">
        <v>187</v>
      </c>
      <c r="C103" s="63">
        <f t="shared" ref="C103:K103" si="36">C97*C101</f>
        <v>3.5536977334297656E-2</v>
      </c>
      <c r="D103" s="63">
        <f t="shared" si="36"/>
        <v>2.4043325596619647E-2</v>
      </c>
      <c r="E103" s="63">
        <f t="shared" si="36"/>
        <v>2.1878097059679923E-2</v>
      </c>
      <c r="F103" s="63">
        <f t="shared" si="36"/>
        <v>-2.1735719994795441E-2</v>
      </c>
      <c r="G103" s="63">
        <f t="shared" si="36"/>
        <v>1.3389804239113588E-2</v>
      </c>
      <c r="H103" s="63">
        <f t="shared" si="36"/>
        <v>5.8337838050603281E-2</v>
      </c>
      <c r="I103" s="63">
        <f t="shared" si="36"/>
        <v>0.17933357818614726</v>
      </c>
      <c r="J103" s="63">
        <f t="shared" si="36"/>
        <v>0.14627424908573866</v>
      </c>
      <c r="K103" s="63">
        <f t="shared" si="36"/>
        <v>0.29324095500052011</v>
      </c>
    </row>
    <row r="118" spans="2:11" ht="15.6" customHeight="1" x14ac:dyDescent="0.3">
      <c r="B118" s="235"/>
      <c r="C118" s="235"/>
      <c r="D118" s="235"/>
      <c r="E118" s="235"/>
      <c r="F118" s="235"/>
      <c r="G118" s="235"/>
      <c r="H118" s="235"/>
      <c r="I118" s="235"/>
      <c r="J118" s="235"/>
      <c r="K118" s="235"/>
    </row>
  </sheetData>
  <mergeCells count="10">
    <mergeCell ref="B1:K1"/>
    <mergeCell ref="B6:K6"/>
    <mergeCell ref="B8:K11"/>
    <mergeCell ref="B57:K57"/>
    <mergeCell ref="B65:K65"/>
    <mergeCell ref="B71:K71"/>
    <mergeCell ref="B93:K93"/>
    <mergeCell ref="B87:K87"/>
    <mergeCell ref="B118:K118"/>
    <mergeCell ref="B12:I12"/>
  </mergeCells>
  <pageMargins left="0.7" right="0.7" top="0.75" bottom="0.75" header="0.3" footer="0.3"/>
  <pageSetup paperSize="9" scale="76" orientation="portrait" r:id="rId1"/>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42D9E-822C-41CE-832C-182976B09FC2}">
  <sheetPr>
    <tabColor rgb="FF4DA42E"/>
  </sheetPr>
  <dimension ref="A2:N10003"/>
  <sheetViews>
    <sheetView showGridLines="0" topLeftCell="A9" workbookViewId="0">
      <selection activeCell="S32" sqref="S32"/>
    </sheetView>
  </sheetViews>
  <sheetFormatPr defaultRowHeight="14.4" x14ac:dyDescent="0.3"/>
  <cols>
    <col min="1" max="1" width="2" bestFit="1" customWidth="1"/>
    <col min="2" max="2" width="10.33203125" bestFit="1" customWidth="1"/>
    <col min="3" max="3" width="8.77734375" bestFit="1" customWidth="1"/>
    <col min="4" max="4" width="12.5546875" bestFit="1" customWidth="1"/>
    <col min="5" max="5" width="13.5546875" bestFit="1" customWidth="1"/>
    <col min="6" max="6" width="1.21875" customWidth="1"/>
    <col min="7" max="7" width="10.44140625" bestFit="1" customWidth="1"/>
    <col min="8" max="8" width="16.21875" bestFit="1" customWidth="1"/>
    <col min="9" max="9" width="2.109375" customWidth="1"/>
    <col min="10" max="10" width="42.33203125" bestFit="1" customWidth="1"/>
    <col min="11" max="11" width="10.44140625" bestFit="1" customWidth="1"/>
    <col min="12" max="12" width="6.6640625" bestFit="1" customWidth="1"/>
    <col min="13" max="13" width="10.6640625" bestFit="1" customWidth="1"/>
    <col min="14" max="14" width="9.77734375" bestFit="1" customWidth="1"/>
  </cols>
  <sheetData>
    <row r="2" spans="1:14" x14ac:dyDescent="0.3">
      <c r="A2" t="s">
        <v>29</v>
      </c>
      <c r="B2" s="247" t="s">
        <v>189</v>
      </c>
      <c r="C2" s="248" t="s">
        <v>190</v>
      </c>
      <c r="D2" s="249" t="s">
        <v>191</v>
      </c>
      <c r="E2" s="247" t="s">
        <v>192</v>
      </c>
      <c r="F2" s="247"/>
      <c r="G2" s="247" t="s">
        <v>202</v>
      </c>
      <c r="H2" s="247" t="s">
        <v>203</v>
      </c>
      <c r="I2" s="247"/>
      <c r="J2" s="242" t="str">
        <f>"Calculation of VAR - "&amp;'Raw Data Trent Ltd'!$B$1&amp;" (Historical Approach)"</f>
        <v>Calculation of VAR - TRENT LTD (Historical Approach)</v>
      </c>
      <c r="K2" s="242"/>
      <c r="L2" s="242"/>
      <c r="M2" s="242"/>
      <c r="N2" s="242"/>
    </row>
    <row r="3" spans="1:14" ht="15" thickBot="1" x14ac:dyDescent="0.35">
      <c r="B3" s="69">
        <v>45330</v>
      </c>
      <c r="C3" s="55">
        <v>3778.5250000000001</v>
      </c>
      <c r="D3" s="179">
        <f t="shared" ref="D3:D66" si="0">(C3-C4)/C4</f>
        <v>15.208150134048259</v>
      </c>
      <c r="E3" s="180">
        <v>0.14679727453450087</v>
      </c>
      <c r="G3" s="78">
        <v>1</v>
      </c>
      <c r="H3" s="180">
        <f ca="1">_xlfn.NORM.INV(RAND(),$N$4,$N$5)</f>
        <v>2.3878556557584005E-2</v>
      </c>
      <c r="J3" s="73" t="s">
        <v>204</v>
      </c>
      <c r="K3" s="73"/>
      <c r="L3" s="79"/>
      <c r="M3" s="79"/>
      <c r="N3" s="79"/>
    </row>
    <row r="4" spans="1:14" ht="15" thickTop="1" x14ac:dyDescent="0.3">
      <c r="B4" s="69">
        <v>42759</v>
      </c>
      <c r="C4" s="55">
        <v>233.125</v>
      </c>
      <c r="D4" s="70">
        <f t="shared" si="0"/>
        <v>-0.63165586980565658</v>
      </c>
      <c r="E4" s="180">
        <v>0.11770346398178119</v>
      </c>
      <c r="G4" s="78">
        <v>2</v>
      </c>
      <c r="H4" s="180">
        <f t="shared" ref="H4:H67" ca="1" si="1">_xlfn.NORM.INV(RAND(),$N$4,$N$5)</f>
        <v>-1.3615940128092351E-3</v>
      </c>
      <c r="J4" s="71" t="s">
        <v>80</v>
      </c>
      <c r="K4" s="71"/>
      <c r="L4" s="71"/>
      <c r="M4" s="71"/>
      <c r="N4" s="72">
        <f>AVERAGE(E3:E2320)</f>
        <v>1.4988706448593955E-3</v>
      </c>
    </row>
    <row r="5" spans="1:14" x14ac:dyDescent="0.3">
      <c r="B5" s="69">
        <v>44005</v>
      </c>
      <c r="C5" s="55">
        <v>632.90000000000009</v>
      </c>
      <c r="D5" s="70">
        <f t="shared" si="0"/>
        <v>-2.5107825015403502E-2</v>
      </c>
      <c r="E5" s="180">
        <v>9.5646152514498595E-2</v>
      </c>
      <c r="G5" s="78">
        <v>3</v>
      </c>
      <c r="H5" s="180">
        <f t="shared" ca="1" si="1"/>
        <v>-1.0738577425219551E-2</v>
      </c>
      <c r="J5" s="71" t="s">
        <v>193</v>
      </c>
      <c r="K5" s="71"/>
      <c r="L5" s="71"/>
      <c r="M5" s="71"/>
      <c r="N5" s="72">
        <f>_xlfn.STDEV.S(E3:E2320)</f>
        <v>1.9995720956110623E-2</v>
      </c>
    </row>
    <row r="6" spans="1:14" x14ac:dyDescent="0.3">
      <c r="B6" s="69">
        <v>43868</v>
      </c>
      <c r="C6" s="55">
        <v>649.20000000000005</v>
      </c>
      <c r="D6" s="70">
        <f t="shared" si="0"/>
        <v>0.50924096245495776</v>
      </c>
      <c r="E6" s="180">
        <v>9.1918257505676726E-2</v>
      </c>
      <c r="G6" s="78">
        <v>4</v>
      </c>
      <c r="H6" s="180">
        <f t="shared" ca="1" si="1"/>
        <v>2.9447754140788995E-2</v>
      </c>
      <c r="J6" s="71" t="s">
        <v>194</v>
      </c>
      <c r="K6" s="71"/>
      <c r="L6" s="71"/>
      <c r="M6" s="71"/>
      <c r="N6" s="72">
        <f>MIN(E3:E2320)</f>
        <v>-0.15471315124105262</v>
      </c>
    </row>
    <row r="7" spans="1:14" x14ac:dyDescent="0.3">
      <c r="B7" s="69">
        <v>43915</v>
      </c>
      <c r="C7" s="55">
        <v>430.15</v>
      </c>
      <c r="D7" s="70">
        <f t="shared" si="0"/>
        <v>-0.14111715669145911</v>
      </c>
      <c r="E7" s="180">
        <v>8.898734177215184E-2</v>
      </c>
      <c r="G7" s="78">
        <v>5</v>
      </c>
      <c r="H7" s="180">
        <f t="shared" ca="1" si="1"/>
        <v>-3.0403713089105472E-2</v>
      </c>
      <c r="J7" s="71" t="s">
        <v>195</v>
      </c>
      <c r="K7" s="71"/>
      <c r="L7" s="71"/>
      <c r="M7" s="71"/>
      <c r="N7" s="72">
        <f>MAX(E3:E2320)</f>
        <v>0.14679727453450087</v>
      </c>
    </row>
    <row r="8" spans="1:14" x14ac:dyDescent="0.3">
      <c r="B8" s="69">
        <v>43917</v>
      </c>
      <c r="C8" s="55">
        <v>500.82499999999999</v>
      </c>
      <c r="D8" s="70">
        <f t="shared" si="0"/>
        <v>0.75666432830585739</v>
      </c>
      <c r="E8" s="180">
        <v>8.4917411318711056E-2</v>
      </c>
      <c r="G8" s="78">
        <v>6</v>
      </c>
      <c r="H8" s="180">
        <f t="shared" ca="1" si="1"/>
        <v>-7.5561028576622584E-3</v>
      </c>
      <c r="J8" s="71" t="s">
        <v>196</v>
      </c>
      <c r="K8" s="71"/>
      <c r="L8" s="71"/>
      <c r="M8" s="71"/>
      <c r="N8" s="188">
        <v>4101.3</v>
      </c>
    </row>
    <row r="9" spans="1:14" x14ac:dyDescent="0.3">
      <c r="B9" s="69">
        <v>42948</v>
      </c>
      <c r="C9" s="55">
        <v>285.10000000000002</v>
      </c>
      <c r="D9" s="70">
        <f t="shared" si="0"/>
        <v>-0.92401790949309737</v>
      </c>
      <c r="E9" s="180">
        <v>8.3824367990876295E-2</v>
      </c>
      <c r="G9" s="78">
        <v>7</v>
      </c>
      <c r="H9" s="180">
        <f t="shared" ca="1" si="1"/>
        <v>-1.4396189772120991E-2</v>
      </c>
      <c r="J9" s="82"/>
      <c r="K9" s="82"/>
      <c r="L9" s="83"/>
      <c r="M9" s="83"/>
      <c r="N9" s="82"/>
    </row>
    <row r="10" spans="1:14" ht="15" thickBot="1" x14ac:dyDescent="0.35">
      <c r="B10" s="69">
        <v>46118</v>
      </c>
      <c r="C10" s="55">
        <v>3752.2</v>
      </c>
      <c r="D10" s="70">
        <f t="shared" si="0"/>
        <v>6.7154166452475197</v>
      </c>
      <c r="E10" s="180">
        <v>7.7042310121131982E-2</v>
      </c>
      <c r="G10" s="78">
        <v>8</v>
      </c>
      <c r="H10" s="180">
        <f t="shared" ca="1" si="1"/>
        <v>-7.6468711103784099E-3</v>
      </c>
      <c r="J10" s="79" t="s">
        <v>197</v>
      </c>
      <c r="K10" s="80" t="s">
        <v>198</v>
      </c>
      <c r="L10" s="81" t="s">
        <v>199</v>
      </c>
      <c r="M10" s="80" t="s">
        <v>200</v>
      </c>
      <c r="N10" s="80" t="s">
        <v>201</v>
      </c>
    </row>
    <row r="11" spans="1:14" ht="15" thickTop="1" x14ac:dyDescent="0.3">
      <c r="B11" s="69">
        <v>43910</v>
      </c>
      <c r="C11" s="55">
        <v>486.32499999999999</v>
      </c>
      <c r="D11" s="70">
        <f t="shared" si="0"/>
        <v>-0.14285084820445035</v>
      </c>
      <c r="E11" s="180">
        <v>7.4157923799006042E-2</v>
      </c>
      <c r="G11" s="78">
        <v>9</v>
      </c>
      <c r="H11" s="180">
        <f t="shared" ca="1" si="1"/>
        <v>-2.6436820410300444E-3</v>
      </c>
      <c r="J11" s="74">
        <v>0.05</v>
      </c>
      <c r="K11" s="75">
        <f>100%-J11</f>
        <v>0.95</v>
      </c>
      <c r="L11" s="75">
        <f>_xlfn.PERCENTILE.INC($E$3:$E$2120,J11)</f>
        <v>-1.6036082281332381E-2</v>
      </c>
      <c r="M11" s="191">
        <f>$N$8*(1+L11)</f>
        <v>4035.531215739572</v>
      </c>
      <c r="N11" s="191">
        <f>M11-$N$8</f>
        <v>-65.76878426042822</v>
      </c>
    </row>
    <row r="12" spans="1:14" x14ac:dyDescent="0.3">
      <c r="B12" s="69">
        <v>43985</v>
      </c>
      <c r="C12" s="55">
        <v>567.375</v>
      </c>
      <c r="D12" s="70">
        <f t="shared" si="0"/>
        <v>0.22908204711616573</v>
      </c>
      <c r="E12" s="180">
        <v>7.3557237464522238E-2</v>
      </c>
      <c r="G12" s="78">
        <v>10</v>
      </c>
      <c r="H12" s="180">
        <f t="shared" ca="1" si="1"/>
        <v>1.4828983816187006E-2</v>
      </c>
      <c r="J12" s="76">
        <v>0.01</v>
      </c>
      <c r="K12" s="77">
        <f>100%-J12</f>
        <v>0.99</v>
      </c>
      <c r="L12" s="75">
        <f>_xlfn.PERCENTILE.INC($E$3:$E$2120,J12)</f>
        <v>-2.0064022038567549E-2</v>
      </c>
      <c r="M12" s="192">
        <f>$N$8*(1+L12)</f>
        <v>4019.0114264132235</v>
      </c>
      <c r="N12" s="192">
        <f>M12-$N$8</f>
        <v>-82.288573586776693</v>
      </c>
    </row>
    <row r="13" spans="1:14" x14ac:dyDescent="0.3">
      <c r="B13" s="69">
        <v>43916</v>
      </c>
      <c r="C13" s="55">
        <v>461.625</v>
      </c>
      <c r="D13" s="70">
        <f t="shared" si="0"/>
        <v>-0.85989498763221395</v>
      </c>
      <c r="E13" s="180">
        <v>7.3172149250261595E-2</v>
      </c>
      <c r="G13" s="78">
        <v>11</v>
      </c>
      <c r="H13" s="180">
        <f t="shared" ca="1" si="1"/>
        <v>-1.216522220284663E-3</v>
      </c>
      <c r="J13" s="76">
        <v>5.0000000000000001E-3</v>
      </c>
      <c r="K13" s="77">
        <f>100%-J13</f>
        <v>0.995</v>
      </c>
      <c r="L13" s="75">
        <f>_xlfn.PERCENTILE.INC($E$3:$E$2120,J13)</f>
        <v>-2.0388352914668149E-2</v>
      </c>
      <c r="M13" s="192">
        <f>$N$8*(1+L13)</f>
        <v>4017.681248191072</v>
      </c>
      <c r="N13" s="192">
        <f>M13-$N$8</f>
        <v>-83.618751808928209</v>
      </c>
    </row>
    <row r="14" spans="1:14" x14ac:dyDescent="0.3">
      <c r="B14" s="69">
        <v>45329</v>
      </c>
      <c r="C14" s="55">
        <v>3294.85</v>
      </c>
      <c r="D14" s="70">
        <f t="shared" si="0"/>
        <v>5.6294768611670021</v>
      </c>
      <c r="E14" s="180">
        <v>7.2708182417528688E-2</v>
      </c>
      <c r="G14" s="78">
        <v>12</v>
      </c>
      <c r="H14" s="180">
        <f t="shared" ca="1" si="1"/>
        <v>3.318321440703087E-2</v>
      </c>
      <c r="J14" s="76">
        <v>0.1</v>
      </c>
      <c r="K14" s="77">
        <f>100%-J14</f>
        <v>0.9</v>
      </c>
      <c r="L14" s="75">
        <f>_xlfn.PERCENTILE.INC($E$3:$E$2120,J14)</f>
        <v>-1.3205805610474896E-2</v>
      </c>
      <c r="M14" s="192">
        <f>$N$8*(1+L14)</f>
        <v>4047.1390294497596</v>
      </c>
      <c r="N14" s="192">
        <f>M14-$N$8</f>
        <v>-54.160970550240563</v>
      </c>
    </row>
    <row r="15" spans="1:14" x14ac:dyDescent="0.3">
      <c r="B15" s="69">
        <v>43983</v>
      </c>
      <c r="C15" s="55">
        <v>497</v>
      </c>
      <c r="D15" s="70">
        <f t="shared" si="0"/>
        <v>-0.91716977280018663</v>
      </c>
      <c r="E15" s="180">
        <v>7.2160500485384513E-2</v>
      </c>
      <c r="G15" s="78">
        <v>13</v>
      </c>
      <c r="H15" s="180">
        <f t="shared" ca="1" si="1"/>
        <v>1.4254639749811374E-2</v>
      </c>
      <c r="J15" s="8"/>
      <c r="K15" s="8"/>
      <c r="L15" s="8"/>
      <c r="M15" s="8"/>
      <c r="N15" s="8"/>
    </row>
    <row r="16" spans="1:14" x14ac:dyDescent="0.3">
      <c r="B16" s="69">
        <v>45513</v>
      </c>
      <c r="C16" s="55">
        <v>6000.2250000000004</v>
      </c>
      <c r="D16" s="70">
        <f t="shared" si="0"/>
        <v>23.123932053472711</v>
      </c>
      <c r="E16" s="180">
        <v>6.9806728831993251E-2</v>
      </c>
      <c r="G16" s="78">
        <v>14</v>
      </c>
      <c r="H16" s="180">
        <f t="shared" ca="1" si="1"/>
        <v>-1.0916203195011839E-2</v>
      </c>
    </row>
    <row r="17" spans="2:14" x14ac:dyDescent="0.3">
      <c r="B17" s="69">
        <v>42760</v>
      </c>
      <c r="C17" s="55">
        <v>248.72499999999999</v>
      </c>
      <c r="D17" s="70">
        <f t="shared" si="0"/>
        <v>-0.80946453194423174</v>
      </c>
      <c r="E17" s="180">
        <v>6.6916890080428934E-2</v>
      </c>
      <c r="G17" s="78">
        <v>15</v>
      </c>
      <c r="H17" s="180">
        <f t="shared" ca="1" si="1"/>
        <v>1.8484124862447653E-2</v>
      </c>
      <c r="J17" s="242" t="str">
        <f>"Calculation of VAR - "&amp;'Raw Data Trent Ltd'!$B$1&amp;" (Monte Carlo Approach)"</f>
        <v>Calculation of VAR - TRENT LTD (Monte Carlo Approach)</v>
      </c>
      <c r="K17" s="242"/>
      <c r="L17" s="242"/>
      <c r="M17" s="242"/>
      <c r="N17" s="242"/>
    </row>
    <row r="18" spans="2:14" ht="15" thickBot="1" x14ac:dyDescent="0.35">
      <c r="B18" s="69">
        <v>44966</v>
      </c>
      <c r="C18" s="55">
        <v>1305.4000000000001</v>
      </c>
      <c r="D18" s="70">
        <f t="shared" si="0"/>
        <v>0.77376180447041243</v>
      </c>
      <c r="E18" s="180">
        <v>6.5632653061224566E-2</v>
      </c>
      <c r="G18" s="78">
        <v>16</v>
      </c>
      <c r="H18" s="180">
        <f t="shared" ca="1" si="1"/>
        <v>4.5264126492080461E-2</v>
      </c>
      <c r="J18" s="73" t="s">
        <v>205</v>
      </c>
      <c r="K18" s="73"/>
      <c r="L18" s="73"/>
      <c r="M18" s="73"/>
      <c r="N18" s="73"/>
    </row>
    <row r="19" spans="2:14" ht="15" thickTop="1" x14ac:dyDescent="0.3">
      <c r="B19" s="69">
        <v>44146</v>
      </c>
      <c r="C19" s="55">
        <v>735.95</v>
      </c>
      <c r="D19" s="70">
        <f t="shared" si="0"/>
        <v>-0.84434715480684841</v>
      </c>
      <c r="E19" s="180">
        <v>6.5281899109792485E-2</v>
      </c>
      <c r="G19" s="78">
        <v>17</v>
      </c>
      <c r="H19" s="180">
        <f t="shared" ca="1" si="1"/>
        <v>-1.5500478410555777E-2</v>
      </c>
      <c r="J19" s="71" t="s">
        <v>80</v>
      </c>
      <c r="K19" s="71"/>
      <c r="L19" s="71"/>
      <c r="M19" s="71"/>
      <c r="N19" s="72">
        <f ca="1">AVERAGE($H$3:$H$2120)</f>
        <v>1.6053987125564345E-3</v>
      </c>
    </row>
    <row r="20" spans="2:14" x14ac:dyDescent="0.3">
      <c r="B20" s="69">
        <v>45448</v>
      </c>
      <c r="C20" s="55">
        <v>4728.1499999999996</v>
      </c>
      <c r="D20" s="70">
        <f t="shared" si="0"/>
        <v>4.3974315068493146</v>
      </c>
      <c r="E20" s="180">
        <v>6.4778741132755238E-2</v>
      </c>
      <c r="G20" s="78">
        <v>18</v>
      </c>
      <c r="H20" s="180">
        <f t="shared" ca="1" si="1"/>
        <v>2.6794593522555418E-2</v>
      </c>
      <c r="J20" s="71" t="s">
        <v>193</v>
      </c>
      <c r="K20" s="71"/>
      <c r="L20" s="71"/>
      <c r="M20" s="71"/>
      <c r="N20" s="72">
        <f ca="1">_xlfn.STDEV.S($H$3:$H$2120)</f>
        <v>1.9873108860113529E-2</v>
      </c>
    </row>
    <row r="21" spans="2:14" x14ac:dyDescent="0.3">
      <c r="B21" s="69">
        <v>44257</v>
      </c>
      <c r="C21" s="55">
        <v>876</v>
      </c>
      <c r="D21" s="70">
        <f t="shared" si="0"/>
        <v>0.65752128666035947</v>
      </c>
      <c r="E21" s="180">
        <v>6.4042998997904735E-2</v>
      </c>
      <c r="G21" s="78">
        <v>19</v>
      </c>
      <c r="H21" s="180">
        <f t="shared" ca="1" si="1"/>
        <v>2.3965169433626192E-2</v>
      </c>
      <c r="J21" s="71" t="s">
        <v>194</v>
      </c>
      <c r="K21" s="71"/>
      <c r="L21" s="71"/>
      <c r="M21" s="71"/>
      <c r="N21" s="72">
        <f ca="1">MIN($H$3:$H$2120)</f>
        <v>-7.251285233421953E-2</v>
      </c>
    </row>
    <row r="22" spans="2:14" x14ac:dyDescent="0.3">
      <c r="B22" s="69">
        <v>43984</v>
      </c>
      <c r="C22" s="55">
        <v>528.5</v>
      </c>
      <c r="D22" s="70">
        <f t="shared" si="0"/>
        <v>0.57291666666666663</v>
      </c>
      <c r="E22" s="180">
        <v>6.3380281690140844E-2</v>
      </c>
      <c r="G22" s="78">
        <v>20</v>
      </c>
      <c r="H22" s="180">
        <f t="shared" ca="1" si="1"/>
        <v>-2.5242299764327635E-2</v>
      </c>
      <c r="J22" s="71" t="s">
        <v>195</v>
      </c>
      <c r="K22" s="71"/>
      <c r="L22" s="71"/>
      <c r="M22" s="71"/>
      <c r="N22" s="72">
        <f ca="1">MAX($H$3:$H$2120)</f>
        <v>6.8463723302691029E-2</v>
      </c>
    </row>
    <row r="23" spans="2:14" x14ac:dyDescent="0.3">
      <c r="B23" s="69">
        <v>43291</v>
      </c>
      <c r="C23" s="55">
        <v>336</v>
      </c>
      <c r="D23" s="70">
        <f t="shared" si="0"/>
        <v>0.31442542787286065</v>
      </c>
      <c r="E23" s="180">
        <v>6.2870699881376044E-2</v>
      </c>
      <c r="G23" s="78">
        <v>21</v>
      </c>
      <c r="H23" s="180">
        <f t="shared" ca="1" si="1"/>
        <v>-8.4223952057225857E-3</v>
      </c>
      <c r="J23" s="71" t="s">
        <v>196</v>
      </c>
      <c r="K23" s="71"/>
      <c r="L23" s="71"/>
      <c r="M23" s="71"/>
      <c r="N23" s="189">
        <f>N8</f>
        <v>4101.3</v>
      </c>
    </row>
    <row r="24" spans="2:14" x14ac:dyDescent="0.3">
      <c r="B24" s="69">
        <v>42923</v>
      </c>
      <c r="C24" s="55">
        <v>255.625</v>
      </c>
      <c r="D24" s="70">
        <f t="shared" si="0"/>
        <v>-0.41890202318708797</v>
      </c>
      <c r="E24" s="180">
        <v>6.1675838438376054E-2</v>
      </c>
      <c r="G24" s="78">
        <v>22</v>
      </c>
      <c r="H24" s="180">
        <f t="shared" ca="1" si="1"/>
        <v>4.4114541217091328E-4</v>
      </c>
      <c r="J24" s="82"/>
      <c r="K24" s="82"/>
      <c r="L24" s="82"/>
      <c r="M24" s="82"/>
      <c r="N24" s="82"/>
    </row>
    <row r="25" spans="2:14" ht="15" thickBot="1" x14ac:dyDescent="0.35">
      <c r="B25" s="69">
        <v>43972</v>
      </c>
      <c r="C25" s="55">
        <v>439.9</v>
      </c>
      <c r="D25" s="70">
        <f t="shared" si="0"/>
        <v>-9.0692987442509435E-2</v>
      </c>
      <c r="E25" s="180">
        <v>5.9617005901481397E-2</v>
      </c>
      <c r="G25" s="78">
        <v>23</v>
      </c>
      <c r="H25" s="180">
        <f t="shared" ca="1" si="1"/>
        <v>7.5651476462402197E-3</v>
      </c>
      <c r="J25" s="79" t="s">
        <v>197</v>
      </c>
      <c r="K25" s="80" t="s">
        <v>198</v>
      </c>
      <c r="L25" s="81" t="s">
        <v>199</v>
      </c>
      <c r="M25" s="80" t="s">
        <v>200</v>
      </c>
      <c r="N25" s="80" t="s">
        <v>201</v>
      </c>
    </row>
    <row r="26" spans="2:14" ht="15" thickTop="1" x14ac:dyDescent="0.3">
      <c r="B26" s="69">
        <v>43938</v>
      </c>
      <c r="C26" s="55">
        <v>483.77499999999998</v>
      </c>
      <c r="D26" s="70">
        <f t="shared" si="0"/>
        <v>-0.92388089056722533</v>
      </c>
      <c r="E26" s="180">
        <v>5.9226011275931807E-2</v>
      </c>
      <c r="G26" s="78">
        <v>24</v>
      </c>
      <c r="H26" s="180">
        <f t="shared" ca="1" si="1"/>
        <v>3.1474120148684684E-2</v>
      </c>
      <c r="J26" s="74">
        <v>0.05</v>
      </c>
      <c r="K26" s="75">
        <f>100%-J26</f>
        <v>0.95</v>
      </c>
      <c r="L26" s="75">
        <f ca="1">_xlfn.PERCENTILE.INC($H$3:$H$2120,J26)</f>
        <v>-3.0284111782449732E-2</v>
      </c>
      <c r="M26" s="190">
        <f ca="1">$N$8*(1+L26)</f>
        <v>3977.095772346639</v>
      </c>
      <c r="N26" s="191">
        <f ca="1">M26-$N$8</f>
        <v>-124.20422765336116</v>
      </c>
    </row>
    <row r="27" spans="2:14" x14ac:dyDescent="0.3">
      <c r="B27" s="69">
        <v>45516</v>
      </c>
      <c r="C27" s="55">
        <v>6355.5</v>
      </c>
      <c r="D27" s="70">
        <f t="shared" si="0"/>
        <v>1.5967844082616602</v>
      </c>
      <c r="E27" s="180">
        <v>5.9210279614514388E-2</v>
      </c>
      <c r="G27" s="78">
        <v>25</v>
      </c>
      <c r="H27" s="180">
        <f t="shared" ca="1" si="1"/>
        <v>-1.4857539728945561E-2</v>
      </c>
      <c r="J27" s="76">
        <v>0.01</v>
      </c>
      <c r="K27" s="77">
        <f>100%-J27</f>
        <v>0.99</v>
      </c>
      <c r="L27" s="75">
        <f t="shared" ref="L27:L29" ca="1" si="2">_xlfn.PERCENTILE.INC($H$3:$H$2120,J27)</f>
        <v>-4.0508043118811336E-2</v>
      </c>
      <c r="M27" s="189">
        <f ca="1">$N$8*(1+L27)</f>
        <v>3935.1643627568196</v>
      </c>
      <c r="N27" s="192">
        <f ca="1">M27-$N$8</f>
        <v>-166.13563724318055</v>
      </c>
    </row>
    <row r="28" spans="2:14" x14ac:dyDescent="0.3">
      <c r="B28" s="69">
        <v>45238</v>
      </c>
      <c r="C28" s="55">
        <v>2447.4499999999998</v>
      </c>
      <c r="D28" s="70">
        <f t="shared" si="0"/>
        <v>-0.4591300600549168</v>
      </c>
      <c r="E28" s="180">
        <v>5.6825787507826464E-2</v>
      </c>
      <c r="G28" s="78">
        <v>26</v>
      </c>
      <c r="H28" s="180">
        <f t="shared" ca="1" si="1"/>
        <v>4.2936675924689924E-3</v>
      </c>
      <c r="J28" s="76">
        <v>5.0000000000000001E-3</v>
      </c>
      <c r="K28" s="77">
        <f>100%-J28</f>
        <v>0.995</v>
      </c>
      <c r="L28" s="75">
        <f t="shared" ca="1" si="2"/>
        <v>-4.7526374828181527E-2</v>
      </c>
      <c r="M28" s="189">
        <f ca="1">$N$8*(1+L28)</f>
        <v>3906.3800789171792</v>
      </c>
      <c r="N28" s="192">
        <f ca="1">M28-$N$8</f>
        <v>-194.91992108282102</v>
      </c>
    </row>
    <row r="29" spans="2:14" x14ac:dyDescent="0.3">
      <c r="B29" s="69">
        <v>45412</v>
      </c>
      <c r="C29" s="55">
        <v>4525.0249999999996</v>
      </c>
      <c r="D29" s="70">
        <f t="shared" si="0"/>
        <v>1.4426585695006746</v>
      </c>
      <c r="E29" s="180">
        <v>5.6335644419543814E-2</v>
      </c>
      <c r="G29" s="78">
        <v>27</v>
      </c>
      <c r="H29" s="180">
        <f t="shared" ca="1" si="1"/>
        <v>1.6641268963213586E-2</v>
      </c>
      <c r="J29" s="76">
        <v>0.1</v>
      </c>
      <c r="K29" s="77">
        <f>100%-J29</f>
        <v>0.9</v>
      </c>
      <c r="L29" s="75">
        <f t="shared" ca="1" si="2"/>
        <v>-2.4078856410687164E-2</v>
      </c>
      <c r="M29" s="189">
        <f ca="1">$N$8*(1+L29)</f>
        <v>4002.5453862028489</v>
      </c>
      <c r="N29" s="192">
        <f ca="1">M29-$N$8</f>
        <v>-98.754613797151251</v>
      </c>
    </row>
    <row r="30" spans="2:14" x14ac:dyDescent="0.3">
      <c r="B30" s="69">
        <v>45148</v>
      </c>
      <c r="C30" s="55">
        <v>1852.5</v>
      </c>
      <c r="D30" s="70">
        <f t="shared" si="0"/>
        <v>5.0038891589693728</v>
      </c>
      <c r="E30" s="180">
        <v>5.5720981920243967E-2</v>
      </c>
      <c r="G30" s="78">
        <v>28</v>
      </c>
      <c r="H30" s="180">
        <f t="shared" ca="1" si="1"/>
        <v>4.9562978094578811E-3</v>
      </c>
    </row>
    <row r="31" spans="2:14" x14ac:dyDescent="0.3">
      <c r="B31" s="69">
        <v>42997</v>
      </c>
      <c r="C31" s="55">
        <v>308.55</v>
      </c>
      <c r="D31" s="70">
        <f t="shared" si="0"/>
        <v>-0.75026305139619587</v>
      </c>
      <c r="E31" s="180">
        <v>5.5322787516032534E-2</v>
      </c>
      <c r="G31" s="78">
        <v>29</v>
      </c>
      <c r="H31" s="180">
        <f t="shared" ca="1" si="1"/>
        <v>-4.838175188875346E-3</v>
      </c>
    </row>
    <row r="32" spans="2:14" x14ac:dyDescent="0.3">
      <c r="B32" s="69">
        <v>44637</v>
      </c>
      <c r="C32" s="55">
        <v>1235.5</v>
      </c>
      <c r="D32" s="70">
        <f t="shared" si="0"/>
        <v>-0.84893502555449585</v>
      </c>
      <c r="E32" s="180">
        <v>5.3978545074537823E-2</v>
      </c>
      <c r="G32" s="78">
        <v>30</v>
      </c>
      <c r="H32" s="180">
        <f t="shared" ca="1" si="1"/>
        <v>-1.9978463076644085E-2</v>
      </c>
    </row>
    <row r="33" spans="2:8" x14ac:dyDescent="0.3">
      <c r="B33" s="69">
        <v>45574</v>
      </c>
      <c r="C33" s="55">
        <v>8178.6</v>
      </c>
      <c r="D33" s="70">
        <f t="shared" si="0"/>
        <v>11.182319207566843</v>
      </c>
      <c r="E33" s="180">
        <v>5.3644585297982605E-2</v>
      </c>
      <c r="G33" s="78">
        <v>31</v>
      </c>
      <c r="H33" s="180">
        <f t="shared" ca="1" si="1"/>
        <v>1.590090103390613E-2</v>
      </c>
    </row>
    <row r="34" spans="2:8" x14ac:dyDescent="0.3">
      <c r="B34" s="69">
        <v>44131</v>
      </c>
      <c r="C34" s="55">
        <v>671.35</v>
      </c>
      <c r="D34" s="70">
        <f t="shared" si="0"/>
        <v>-8.5354223433242477E-2</v>
      </c>
      <c r="E34" s="180">
        <v>5.3304569523436006E-2</v>
      </c>
      <c r="G34" s="78">
        <v>32</v>
      </c>
      <c r="H34" s="180">
        <f t="shared" ca="1" si="1"/>
        <v>1.4277519785802662E-3</v>
      </c>
    </row>
    <row r="35" spans="2:8" x14ac:dyDescent="0.3">
      <c r="B35" s="69">
        <v>44243</v>
      </c>
      <c r="C35" s="55">
        <v>734</v>
      </c>
      <c r="D35" s="70">
        <f t="shared" si="0"/>
        <v>-0.87712859229375306</v>
      </c>
      <c r="E35" s="180">
        <v>5.3160198005595745E-2</v>
      </c>
      <c r="G35" s="78">
        <v>33</v>
      </c>
      <c r="H35" s="180">
        <f t="shared" ca="1" si="1"/>
        <v>-6.9578460405260402E-3</v>
      </c>
    </row>
    <row r="36" spans="2:8" x14ac:dyDescent="0.3">
      <c r="B36" s="69">
        <v>45689</v>
      </c>
      <c r="C36" s="55">
        <v>5973.7250000000004</v>
      </c>
      <c r="D36" s="70">
        <f t="shared" si="0"/>
        <v>4.4123309701238993</v>
      </c>
      <c r="E36" s="180">
        <v>5.3065559610062325E-2</v>
      </c>
      <c r="G36" s="78">
        <v>34</v>
      </c>
      <c r="H36" s="180">
        <f t="shared" ca="1" si="1"/>
        <v>5.0671282667347217E-3</v>
      </c>
    </row>
    <row r="37" spans="2:8" x14ac:dyDescent="0.3">
      <c r="B37" s="69">
        <v>44503</v>
      </c>
      <c r="C37" s="55">
        <v>1103.7249999999999</v>
      </c>
      <c r="D37" s="70">
        <f t="shared" si="0"/>
        <v>1.2263741805345434</v>
      </c>
      <c r="E37" s="180">
        <v>5.216873212583404E-2</v>
      </c>
      <c r="G37" s="78">
        <v>35</v>
      </c>
      <c r="H37" s="180">
        <f t="shared" ca="1" si="1"/>
        <v>2.7227640114065137E-3</v>
      </c>
    </row>
    <row r="38" spans="2:8" x14ac:dyDescent="0.3">
      <c r="B38" s="69">
        <v>43731</v>
      </c>
      <c r="C38" s="55">
        <v>495.75</v>
      </c>
      <c r="D38" s="70">
        <f t="shared" si="0"/>
        <v>0.36947513812154698</v>
      </c>
      <c r="E38" s="180">
        <v>5.1877784850413722E-2</v>
      </c>
      <c r="G38" s="78">
        <v>36</v>
      </c>
      <c r="H38" s="180">
        <f t="shared" ca="1" si="1"/>
        <v>3.6012152763646485E-2</v>
      </c>
    </row>
    <row r="39" spans="2:8" x14ac:dyDescent="0.3">
      <c r="B39" s="69">
        <v>43313</v>
      </c>
      <c r="C39" s="55">
        <v>362</v>
      </c>
      <c r="D39" s="70">
        <f t="shared" si="0"/>
        <v>-0.95336373708484712</v>
      </c>
      <c r="E39" s="180">
        <v>5.0036258158085573E-2</v>
      </c>
      <c r="G39" s="78">
        <v>37</v>
      </c>
      <c r="H39" s="180">
        <f t="shared" ca="1" si="1"/>
        <v>-5.6275578589117858E-2</v>
      </c>
    </row>
    <row r="40" spans="2:8" x14ac:dyDescent="0.3">
      <c r="B40" s="69">
        <v>45573</v>
      </c>
      <c r="C40" s="55">
        <v>7762.2</v>
      </c>
      <c r="D40" s="70">
        <f t="shared" si="0"/>
        <v>9.7842033968948634</v>
      </c>
      <c r="E40" s="180">
        <v>4.9804231838192034E-2</v>
      </c>
      <c r="G40" s="78">
        <v>38</v>
      </c>
      <c r="H40" s="180">
        <f t="shared" ca="1" si="1"/>
        <v>-2.2401943296741125E-2</v>
      </c>
    </row>
    <row r="41" spans="2:8" x14ac:dyDescent="0.3">
      <c r="B41" s="69">
        <v>44088</v>
      </c>
      <c r="C41" s="55">
        <v>719.77499999999998</v>
      </c>
      <c r="D41" s="70">
        <f t="shared" si="0"/>
        <v>2.4571325648414986</v>
      </c>
      <c r="E41" s="180">
        <v>4.8967100229533315E-2</v>
      </c>
      <c r="G41" s="78">
        <v>39</v>
      </c>
      <c r="H41" s="180">
        <f t="shared" ca="1" si="1"/>
        <v>-1.3172623739302655E-2</v>
      </c>
    </row>
    <row r="42" spans="2:8" x14ac:dyDescent="0.3">
      <c r="B42" s="69">
        <v>42748</v>
      </c>
      <c r="C42" s="55">
        <v>208.2</v>
      </c>
      <c r="D42" s="70">
        <f t="shared" si="0"/>
        <v>-0.76738079941901072</v>
      </c>
      <c r="E42" s="180">
        <v>4.8734416320362739E-2</v>
      </c>
      <c r="G42" s="78">
        <v>40</v>
      </c>
      <c r="H42" s="180">
        <f t="shared" ca="1" si="1"/>
        <v>1.5097772390989609E-2</v>
      </c>
    </row>
    <row r="43" spans="2:8" x14ac:dyDescent="0.3">
      <c r="B43" s="69">
        <v>44399</v>
      </c>
      <c r="C43" s="55">
        <v>895.02499999999998</v>
      </c>
      <c r="D43" s="70">
        <f t="shared" si="0"/>
        <v>0.47852482035186245</v>
      </c>
      <c r="E43" s="180">
        <v>4.8100005855143659E-2</v>
      </c>
      <c r="G43" s="78">
        <v>41</v>
      </c>
      <c r="H43" s="180">
        <f t="shared" ca="1" si="1"/>
        <v>4.9938498967105754E-2</v>
      </c>
    </row>
    <row r="44" spans="2:8" x14ac:dyDescent="0.3">
      <c r="B44" s="69">
        <v>44062</v>
      </c>
      <c r="C44" s="55">
        <v>605.35</v>
      </c>
      <c r="D44" s="70">
        <f t="shared" si="0"/>
        <v>-0.56884670857000408</v>
      </c>
      <c r="E44" s="180">
        <v>4.7408945410502598E-2</v>
      </c>
      <c r="G44" s="78">
        <v>42</v>
      </c>
      <c r="H44" s="180">
        <f t="shared" ca="1" si="1"/>
        <v>-1.8833688428003096E-2</v>
      </c>
    </row>
    <row r="45" spans="2:8" x14ac:dyDescent="0.3">
      <c r="B45" s="69">
        <v>45048</v>
      </c>
      <c r="C45" s="55">
        <v>1404.0250000000001</v>
      </c>
      <c r="D45" s="70">
        <f t="shared" si="0"/>
        <v>-0.32726815361395273</v>
      </c>
      <c r="E45" s="180">
        <v>4.7310905564672677E-2</v>
      </c>
      <c r="G45" s="78">
        <v>43</v>
      </c>
      <c r="H45" s="180">
        <f t="shared" ca="1" si="1"/>
        <v>6.2414181888345794E-4</v>
      </c>
    </row>
    <row r="46" spans="2:8" x14ac:dyDescent="0.3">
      <c r="B46" s="69">
        <v>45226</v>
      </c>
      <c r="C46" s="55">
        <v>2087.0500000000002</v>
      </c>
      <c r="D46" s="70">
        <f t="shared" si="0"/>
        <v>2.6130009521336452</v>
      </c>
      <c r="E46" s="180">
        <v>4.7203301596859107E-2</v>
      </c>
      <c r="G46" s="78">
        <v>44</v>
      </c>
      <c r="H46" s="180">
        <f t="shared" ca="1" si="1"/>
        <v>-1.9603924453855056E-2</v>
      </c>
    </row>
    <row r="47" spans="2:8" x14ac:dyDescent="0.3">
      <c r="B47" s="69">
        <v>44004</v>
      </c>
      <c r="C47" s="55">
        <v>577.65</v>
      </c>
      <c r="D47" s="70">
        <f t="shared" si="0"/>
        <v>0.32503727491684825</v>
      </c>
      <c r="E47" s="180">
        <v>4.6751834737700379E-2</v>
      </c>
      <c r="G47" s="78">
        <v>45</v>
      </c>
      <c r="H47" s="180">
        <f t="shared" ca="1" si="1"/>
        <v>3.1945933840429375E-2</v>
      </c>
    </row>
    <row r="48" spans="2:8" x14ac:dyDescent="0.3">
      <c r="B48" s="69">
        <v>43641</v>
      </c>
      <c r="C48" s="55">
        <v>435.95</v>
      </c>
      <c r="D48" s="70">
        <f t="shared" si="0"/>
        <v>-0.81175378370792584</v>
      </c>
      <c r="E48" s="180">
        <v>4.49424736337488E-2</v>
      </c>
      <c r="G48" s="78">
        <v>46</v>
      </c>
      <c r="H48" s="180">
        <f t="shared" ca="1" si="1"/>
        <v>3.6017983025615321E-3</v>
      </c>
    </row>
    <row r="49" spans="2:8" x14ac:dyDescent="0.3">
      <c r="B49" s="69">
        <v>45237</v>
      </c>
      <c r="C49" s="55">
        <v>2315.85</v>
      </c>
      <c r="D49" s="70">
        <f t="shared" si="0"/>
        <v>0.62855786642288269</v>
      </c>
      <c r="E49" s="180">
        <v>4.4551943438990604E-2</v>
      </c>
      <c r="G49" s="78">
        <v>47</v>
      </c>
      <c r="H49" s="180">
        <f t="shared" ca="1" si="1"/>
        <v>9.6778544643782247E-3</v>
      </c>
    </row>
    <row r="50" spans="2:8" x14ac:dyDescent="0.3">
      <c r="B50" s="69">
        <v>44789</v>
      </c>
      <c r="C50" s="55">
        <v>1422.0250000000001</v>
      </c>
      <c r="D50" s="70">
        <f t="shared" si="0"/>
        <v>1.903276847692936</v>
      </c>
      <c r="E50" s="180">
        <v>4.4358762508032751E-2</v>
      </c>
      <c r="G50" s="78">
        <v>48</v>
      </c>
      <c r="H50" s="180">
        <f t="shared" ca="1" si="1"/>
        <v>-1.7740445527954077E-2</v>
      </c>
    </row>
    <row r="51" spans="2:8" x14ac:dyDescent="0.3">
      <c r="B51" s="69">
        <v>43944</v>
      </c>
      <c r="C51" s="55">
        <v>489.8</v>
      </c>
      <c r="D51" s="70">
        <f t="shared" si="0"/>
        <v>-0.26936416184971096</v>
      </c>
      <c r="E51" s="180">
        <v>4.4349680170575716E-2</v>
      </c>
      <c r="G51" s="78">
        <v>49</v>
      </c>
      <c r="H51" s="180">
        <f t="shared" ca="1" si="1"/>
        <v>-2.9681999365875438E-2</v>
      </c>
    </row>
    <row r="52" spans="2:8" x14ac:dyDescent="0.3">
      <c r="B52" s="69">
        <v>44084</v>
      </c>
      <c r="C52" s="55">
        <v>670.375</v>
      </c>
      <c r="D52" s="70">
        <f t="shared" si="0"/>
        <v>-0.36288253183805363</v>
      </c>
      <c r="E52" s="180">
        <v>4.3547633872976374E-2</v>
      </c>
      <c r="G52" s="78">
        <v>50</v>
      </c>
      <c r="H52" s="180">
        <f t="shared" ca="1" si="1"/>
        <v>1.811115966815021E-2</v>
      </c>
    </row>
    <row r="53" spans="2:8" x14ac:dyDescent="0.3">
      <c r="B53" s="69">
        <v>44617</v>
      </c>
      <c r="C53" s="55">
        <v>1052.2</v>
      </c>
      <c r="D53" s="70">
        <f t="shared" si="0"/>
        <v>0.90667753918637306</v>
      </c>
      <c r="E53" s="180">
        <v>4.3228237160420409E-2</v>
      </c>
      <c r="G53" s="78">
        <v>51</v>
      </c>
      <c r="H53" s="180">
        <f t="shared" ca="1" si="1"/>
        <v>3.977611100714735E-3</v>
      </c>
    </row>
    <row r="54" spans="2:8" x14ac:dyDescent="0.3">
      <c r="B54" s="69">
        <v>44001</v>
      </c>
      <c r="C54" s="55">
        <v>551.85</v>
      </c>
      <c r="D54" s="70">
        <f t="shared" si="0"/>
        <v>-0.85649833576034951</v>
      </c>
      <c r="E54" s="180">
        <v>4.3194706994328966E-2</v>
      </c>
      <c r="G54" s="78">
        <v>52</v>
      </c>
      <c r="H54" s="180">
        <f t="shared" ca="1" si="1"/>
        <v>-2.7791247076750472E-2</v>
      </c>
    </row>
    <row r="55" spans="2:8" x14ac:dyDescent="0.3">
      <c r="B55" s="69">
        <v>46056</v>
      </c>
      <c r="C55" s="55">
        <v>3845.6</v>
      </c>
      <c r="D55" s="70">
        <f t="shared" si="0"/>
        <v>4.6385029874271471</v>
      </c>
      <c r="E55" s="180">
        <v>4.2888717135147622E-2</v>
      </c>
      <c r="G55" s="78">
        <v>53</v>
      </c>
      <c r="H55" s="180">
        <f t="shared" ca="1" si="1"/>
        <v>6.3260665806614592E-4</v>
      </c>
    </row>
    <row r="56" spans="2:8" x14ac:dyDescent="0.3">
      <c r="B56" s="69">
        <v>44144</v>
      </c>
      <c r="C56" s="55">
        <v>682.02499999999998</v>
      </c>
      <c r="D56" s="70">
        <f t="shared" si="0"/>
        <v>-0.12831900821164965</v>
      </c>
      <c r="E56" s="180">
        <v>4.2851681957186506E-2</v>
      </c>
      <c r="G56" s="78">
        <v>54</v>
      </c>
      <c r="H56" s="180">
        <f t="shared" ca="1" si="1"/>
        <v>1.6710877426398596E-2</v>
      </c>
    </row>
    <row r="57" spans="2:8" x14ac:dyDescent="0.3">
      <c r="B57" s="69">
        <v>44158</v>
      </c>
      <c r="C57" s="55">
        <v>782.42499999999995</v>
      </c>
      <c r="D57" s="70">
        <f t="shared" si="0"/>
        <v>4.2434133830729651E-2</v>
      </c>
      <c r="E57" s="180">
        <v>4.2503580826754574E-2</v>
      </c>
      <c r="G57" s="78">
        <v>55</v>
      </c>
      <c r="H57" s="180">
        <f t="shared" ca="1" si="1"/>
        <v>-1.4957307594682353E-3</v>
      </c>
    </row>
    <row r="58" spans="2:8" x14ac:dyDescent="0.3">
      <c r="B58" s="69">
        <v>43892</v>
      </c>
      <c r="C58" s="55">
        <v>750.57500000000005</v>
      </c>
      <c r="D58" s="70">
        <f t="shared" si="0"/>
        <v>8.2299927901946707E-2</v>
      </c>
      <c r="E58" s="180">
        <v>4.2465277777777838E-2</v>
      </c>
      <c r="G58" s="78">
        <v>56</v>
      </c>
      <c r="H58" s="180">
        <f t="shared" ca="1" si="1"/>
        <v>2.5828351664773493E-2</v>
      </c>
    </row>
    <row r="59" spans="2:8" x14ac:dyDescent="0.3">
      <c r="B59" s="69">
        <v>44008</v>
      </c>
      <c r="C59" s="55">
        <v>693.5</v>
      </c>
      <c r="D59" s="70">
        <f t="shared" si="0"/>
        <v>1.0319367125695869</v>
      </c>
      <c r="E59" s="180">
        <v>4.2386893130918452E-2</v>
      </c>
      <c r="G59" s="78">
        <v>57</v>
      </c>
      <c r="H59" s="180">
        <f t="shared" ca="1" si="1"/>
        <v>-1.729374593601361E-2</v>
      </c>
    </row>
    <row r="60" spans="2:8" x14ac:dyDescent="0.3">
      <c r="B60" s="69">
        <v>43172</v>
      </c>
      <c r="C60" s="55">
        <v>341.3</v>
      </c>
      <c r="D60" s="70">
        <f t="shared" si="0"/>
        <v>-0.15551156748731898</v>
      </c>
      <c r="E60" s="180">
        <v>4.2296533821957624E-2</v>
      </c>
      <c r="G60" s="78">
        <v>58</v>
      </c>
      <c r="H60" s="180">
        <f t="shared" ca="1" si="1"/>
        <v>4.4880160258608855E-3</v>
      </c>
    </row>
    <row r="61" spans="2:8" x14ac:dyDescent="0.3">
      <c r="B61" s="69">
        <v>43619</v>
      </c>
      <c r="C61" s="55">
        <v>404.15</v>
      </c>
      <c r="D61" s="70">
        <f t="shared" si="0"/>
        <v>-0.50620074531125914</v>
      </c>
      <c r="E61" s="180">
        <v>4.229529335912309E-2</v>
      </c>
      <c r="G61" s="78">
        <v>59</v>
      </c>
      <c r="H61" s="180">
        <f t="shared" ca="1" si="1"/>
        <v>9.7728393506552273E-3</v>
      </c>
    </row>
    <row r="62" spans="2:8" x14ac:dyDescent="0.3">
      <c r="B62" s="69">
        <v>44249</v>
      </c>
      <c r="C62" s="55">
        <v>818.45</v>
      </c>
      <c r="D62" s="70">
        <f t="shared" si="0"/>
        <v>-0.84706157152200323</v>
      </c>
      <c r="E62" s="180">
        <v>4.224634682117738E-2</v>
      </c>
      <c r="G62" s="78">
        <v>60</v>
      </c>
      <c r="H62" s="180">
        <f t="shared" ca="1" si="1"/>
        <v>-2.8054884429535822E-2</v>
      </c>
    </row>
    <row r="63" spans="2:8" x14ac:dyDescent="0.3">
      <c r="B63" s="69">
        <v>45789</v>
      </c>
      <c r="C63" s="55">
        <v>5351.5</v>
      </c>
      <c r="D63" s="70">
        <f t="shared" si="0"/>
        <v>0.54268582712348123</v>
      </c>
      <c r="E63" s="180">
        <v>4.2060169409015677E-2</v>
      </c>
      <c r="G63" s="78">
        <v>61</v>
      </c>
      <c r="H63" s="180">
        <f t="shared" ca="1" si="1"/>
        <v>3.2073640354244405E-2</v>
      </c>
    </row>
    <row r="64" spans="2:8" x14ac:dyDescent="0.3">
      <c r="B64" s="69">
        <v>46113</v>
      </c>
      <c r="C64" s="55">
        <v>3468.95</v>
      </c>
      <c r="D64" s="70">
        <f t="shared" si="0"/>
        <v>-0.14810198856834128</v>
      </c>
      <c r="E64" s="180">
        <v>4.1867519634785369E-2</v>
      </c>
      <c r="G64" s="78">
        <v>62</v>
      </c>
      <c r="H64" s="180">
        <f t="shared" ca="1" si="1"/>
        <v>5.3694529803404219E-3</v>
      </c>
    </row>
    <row r="65" spans="2:8" x14ac:dyDescent="0.3">
      <c r="B65" s="69">
        <v>45362</v>
      </c>
      <c r="C65" s="55">
        <v>4072.0249999999996</v>
      </c>
      <c r="D65" s="70">
        <f t="shared" si="0"/>
        <v>4.5066432266134751</v>
      </c>
      <c r="E65" s="180">
        <v>4.1665067853625351E-2</v>
      </c>
      <c r="G65" s="78">
        <v>63</v>
      </c>
      <c r="H65" s="180">
        <f t="shared" ca="1" si="1"/>
        <v>1.3312530697766721E-2</v>
      </c>
    </row>
    <row r="66" spans="2:8" x14ac:dyDescent="0.3">
      <c r="B66" s="69">
        <v>44148</v>
      </c>
      <c r="C66" s="55">
        <v>739.47500000000002</v>
      </c>
      <c r="D66" s="70">
        <f t="shared" si="0"/>
        <v>1.0212518791854586</v>
      </c>
      <c r="E66" s="180">
        <v>4.1660797295393785E-2</v>
      </c>
      <c r="G66" s="78">
        <v>64</v>
      </c>
      <c r="H66" s="180">
        <f t="shared" ca="1" si="1"/>
        <v>-7.240589082142518E-3</v>
      </c>
    </row>
    <row r="67" spans="2:8" x14ac:dyDescent="0.3">
      <c r="B67" s="69">
        <v>43537</v>
      </c>
      <c r="C67" s="55">
        <v>365.85</v>
      </c>
      <c r="D67" s="70">
        <f t="shared" ref="D67:D130" si="3">(C67-C68)/C68</f>
        <v>-0.36698676356086168</v>
      </c>
      <c r="E67" s="180">
        <v>4.1639974375400381E-2</v>
      </c>
      <c r="G67" s="78">
        <v>65</v>
      </c>
      <c r="H67" s="180">
        <f t="shared" ca="1" si="1"/>
        <v>-3.9328301954787053E-3</v>
      </c>
    </row>
    <row r="68" spans="2:8" x14ac:dyDescent="0.3">
      <c r="B68" s="69">
        <v>44050</v>
      </c>
      <c r="C68" s="55">
        <v>577.95000000000005</v>
      </c>
      <c r="D68" s="70">
        <f t="shared" si="3"/>
        <v>0.67533879266613528</v>
      </c>
      <c r="E68" s="180">
        <v>4.1632873749662111E-2</v>
      </c>
      <c r="G68" s="78">
        <v>66</v>
      </c>
      <c r="H68" s="180">
        <f t="shared" ref="H68:H131" ca="1" si="4">_xlfn.NORM.INV(RAND(),$N$4,$N$5)</f>
        <v>1.9296662270850168E-2</v>
      </c>
    </row>
    <row r="69" spans="2:8" x14ac:dyDescent="0.3">
      <c r="B69" s="69">
        <v>43529</v>
      </c>
      <c r="C69" s="55">
        <v>344.97500000000002</v>
      </c>
      <c r="D69" s="70">
        <f t="shared" si="3"/>
        <v>-0.33179991283715066</v>
      </c>
      <c r="E69" s="180">
        <v>4.1591183574879328E-2</v>
      </c>
      <c r="G69" s="78">
        <v>67</v>
      </c>
      <c r="H69" s="180">
        <f t="shared" ca="1" si="4"/>
        <v>1.8460204229343316E-2</v>
      </c>
    </row>
    <row r="70" spans="2:8" x14ac:dyDescent="0.3">
      <c r="B70" s="69">
        <v>43732</v>
      </c>
      <c r="C70" s="55">
        <v>516.27499999999998</v>
      </c>
      <c r="D70" s="70">
        <f t="shared" si="3"/>
        <v>-0.90795104034803076</v>
      </c>
      <c r="E70" s="180">
        <v>4.1401916288451794E-2</v>
      </c>
      <c r="G70" s="78">
        <v>68</v>
      </c>
      <c r="H70" s="180">
        <f t="shared" ca="1" si="4"/>
        <v>-2.2881068497346477E-2</v>
      </c>
    </row>
    <row r="71" spans="2:8" x14ac:dyDescent="0.3">
      <c r="B71" s="69">
        <v>45512</v>
      </c>
      <c r="C71" s="55">
        <v>5608.7</v>
      </c>
      <c r="D71" s="70">
        <f t="shared" si="3"/>
        <v>18.345347934810725</v>
      </c>
      <c r="E71" s="180">
        <v>4.1115978615978439E-2</v>
      </c>
      <c r="G71" s="78">
        <v>69</v>
      </c>
      <c r="H71" s="180">
        <f t="shared" ca="1" si="4"/>
        <v>1.0671810813924577E-2</v>
      </c>
    </row>
    <row r="72" spans="2:8" x14ac:dyDescent="0.3">
      <c r="B72" s="69">
        <v>42970</v>
      </c>
      <c r="C72" s="55">
        <v>289.92500000000001</v>
      </c>
      <c r="D72" s="70">
        <f t="shared" si="3"/>
        <v>-0.22902539555910117</v>
      </c>
      <c r="E72" s="180">
        <v>4.1023339317773827E-2</v>
      </c>
      <c r="G72" s="78">
        <v>70</v>
      </c>
      <c r="H72" s="180">
        <f t="shared" ca="1" si="4"/>
        <v>4.1216575181136382E-2</v>
      </c>
    </row>
    <row r="73" spans="2:8" x14ac:dyDescent="0.3">
      <c r="B73" s="69">
        <v>43588</v>
      </c>
      <c r="C73" s="55">
        <v>376.05</v>
      </c>
      <c r="D73" s="70">
        <f t="shared" si="3"/>
        <v>0.51480362537764357</v>
      </c>
      <c r="E73" s="180">
        <v>4.0968858131487922E-2</v>
      </c>
      <c r="G73" s="78">
        <v>71</v>
      </c>
      <c r="H73" s="180">
        <f t="shared" ca="1" si="4"/>
        <v>3.9972490985571749E-2</v>
      </c>
    </row>
    <row r="74" spans="2:8" x14ac:dyDescent="0.3">
      <c r="B74" s="69">
        <v>42768</v>
      </c>
      <c r="C74" s="55">
        <v>248.25</v>
      </c>
      <c r="D74" s="70">
        <f t="shared" si="3"/>
        <v>-0.2931881272688448</v>
      </c>
      <c r="E74" s="180">
        <v>4.0662334940264049E-2</v>
      </c>
      <c r="G74" s="78">
        <v>72</v>
      </c>
      <c r="H74" s="180">
        <f t="shared" ca="1" si="4"/>
        <v>2.1789109362981333E-2</v>
      </c>
    </row>
    <row r="75" spans="2:8" x14ac:dyDescent="0.3">
      <c r="B75" s="69">
        <v>43536</v>
      </c>
      <c r="C75" s="55">
        <v>351.22500000000002</v>
      </c>
      <c r="D75" s="70">
        <f t="shared" si="3"/>
        <v>-0.68429922923080377</v>
      </c>
      <c r="E75" s="180">
        <v>4.0589585956595946E-2</v>
      </c>
      <c r="G75" s="78">
        <v>73</v>
      </c>
      <c r="H75" s="180">
        <f t="shared" ca="1" si="4"/>
        <v>-3.7918914728580578E-3</v>
      </c>
    </row>
    <row r="76" spans="2:8" x14ac:dyDescent="0.3">
      <c r="B76" s="69">
        <v>44629</v>
      </c>
      <c r="C76" s="55">
        <v>1112.5250000000001</v>
      </c>
      <c r="D76" s="70">
        <f t="shared" si="3"/>
        <v>-0.78810056663968386</v>
      </c>
      <c r="E76" s="180">
        <v>3.9913069894609195E-2</v>
      </c>
      <c r="G76" s="78">
        <v>74</v>
      </c>
      <c r="H76" s="180">
        <f t="shared" ca="1" si="4"/>
        <v>-2.4950318133997746E-3</v>
      </c>
    </row>
    <row r="77" spans="2:8" x14ac:dyDescent="0.3">
      <c r="B77" s="69">
        <v>45768</v>
      </c>
      <c r="C77" s="55">
        <v>5250.25</v>
      </c>
      <c r="D77" s="70">
        <f t="shared" si="3"/>
        <v>13.964372238848508</v>
      </c>
      <c r="E77" s="180">
        <v>3.9859378094672215E-2</v>
      </c>
      <c r="G77" s="78">
        <v>75</v>
      </c>
      <c r="H77" s="180">
        <f t="shared" ca="1" si="4"/>
        <v>5.7329714558509784E-3</v>
      </c>
    </row>
    <row r="78" spans="2:8" x14ac:dyDescent="0.3">
      <c r="B78" s="69">
        <v>43447</v>
      </c>
      <c r="C78" s="55">
        <v>350.85</v>
      </c>
      <c r="D78" s="70">
        <f t="shared" si="3"/>
        <v>8.0036940126212097E-2</v>
      </c>
      <c r="E78" s="180">
        <v>3.9555555555555622E-2</v>
      </c>
      <c r="G78" s="78">
        <v>76</v>
      </c>
      <c r="H78" s="180">
        <f t="shared" ca="1" si="4"/>
        <v>1.9428559452147116E-2</v>
      </c>
    </row>
    <row r="79" spans="2:8" x14ac:dyDescent="0.3">
      <c r="B79" s="69">
        <v>43167</v>
      </c>
      <c r="C79" s="55">
        <v>324.85000000000002</v>
      </c>
      <c r="D79" s="70">
        <f t="shared" si="3"/>
        <v>-0.48922955974842763</v>
      </c>
      <c r="E79" s="180">
        <v>3.9520000000000076E-2</v>
      </c>
      <c r="G79" s="78">
        <v>77</v>
      </c>
      <c r="H79" s="180">
        <f t="shared" ca="1" si="4"/>
        <v>7.9755192721488958E-3</v>
      </c>
    </row>
    <row r="80" spans="2:8" x14ac:dyDescent="0.3">
      <c r="B80" s="69">
        <v>44067</v>
      </c>
      <c r="C80" s="55">
        <v>636</v>
      </c>
      <c r="D80" s="70">
        <f t="shared" si="3"/>
        <v>0.88668051023435168</v>
      </c>
      <c r="E80" s="180">
        <v>3.9385520509887278E-2</v>
      </c>
      <c r="G80" s="78">
        <v>78</v>
      </c>
      <c r="H80" s="180">
        <f t="shared" ca="1" si="4"/>
        <v>1.0292309391241304E-2</v>
      </c>
    </row>
    <row r="81" spans="2:8" x14ac:dyDescent="0.3">
      <c r="B81" s="69">
        <v>43305</v>
      </c>
      <c r="C81" s="55">
        <v>337.1</v>
      </c>
      <c r="D81" s="70">
        <f t="shared" si="3"/>
        <v>-0.6421633671248872</v>
      </c>
      <c r="E81" s="180">
        <v>3.930938800678279E-2</v>
      </c>
      <c r="G81" s="78">
        <v>79</v>
      </c>
      <c r="H81" s="180">
        <f t="shared" ca="1" si="4"/>
        <v>2.4768703251518448E-2</v>
      </c>
    </row>
    <row r="82" spans="2:8" x14ac:dyDescent="0.3">
      <c r="B82" s="69">
        <v>44434</v>
      </c>
      <c r="C82" s="55">
        <v>942.05</v>
      </c>
      <c r="D82" s="70">
        <f t="shared" si="3"/>
        <v>2.4592857798586238</v>
      </c>
      <c r="E82" s="180">
        <v>3.9274091235037681E-2</v>
      </c>
      <c r="G82" s="78">
        <v>80</v>
      </c>
      <c r="H82" s="180">
        <f t="shared" ca="1" si="4"/>
        <v>2.9721805224028144E-2</v>
      </c>
    </row>
    <row r="83" spans="2:8" x14ac:dyDescent="0.3">
      <c r="B83" s="69">
        <v>42828</v>
      </c>
      <c r="C83" s="55">
        <v>272.32500000000005</v>
      </c>
      <c r="D83" s="70">
        <f t="shared" si="3"/>
        <v>-0.19305133713608408</v>
      </c>
      <c r="E83" s="180">
        <v>3.921007441328004E-2</v>
      </c>
      <c r="G83" s="78">
        <v>81</v>
      </c>
      <c r="H83" s="180">
        <f t="shared" ca="1" si="4"/>
        <v>-5.029458062091677E-3</v>
      </c>
    </row>
    <row r="84" spans="2:8" x14ac:dyDescent="0.3">
      <c r="B84" s="69">
        <v>43168</v>
      </c>
      <c r="C84" s="55">
        <v>337.47500000000002</v>
      </c>
      <c r="D84" s="70">
        <f t="shared" si="3"/>
        <v>0.27734670704012127</v>
      </c>
      <c r="E84" s="180">
        <v>3.8864091118977991E-2</v>
      </c>
      <c r="G84" s="78">
        <v>82</v>
      </c>
      <c r="H84" s="180">
        <f t="shared" ca="1" si="4"/>
        <v>4.1629982595074739E-3</v>
      </c>
    </row>
    <row r="85" spans="2:8" x14ac:dyDescent="0.3">
      <c r="B85" s="69">
        <v>42774</v>
      </c>
      <c r="C85" s="55">
        <v>264.2</v>
      </c>
      <c r="D85" s="70">
        <f t="shared" si="3"/>
        <v>-0.96298488642930946</v>
      </c>
      <c r="E85" s="180">
        <v>3.8113948919449858E-2</v>
      </c>
      <c r="G85" s="78">
        <v>83</v>
      </c>
      <c r="H85" s="180">
        <f t="shared" ca="1" si="4"/>
        <v>-1.8159139132822959E-2</v>
      </c>
    </row>
    <row r="86" spans="2:8" x14ac:dyDescent="0.3">
      <c r="B86" s="69">
        <v>45532</v>
      </c>
      <c r="C86" s="55">
        <v>7137.625</v>
      </c>
      <c r="D86" s="70">
        <f t="shared" si="3"/>
        <v>9.7888372444545215</v>
      </c>
      <c r="E86" s="180">
        <v>3.8030140522459961E-2</v>
      </c>
      <c r="G86" s="78">
        <v>84</v>
      </c>
      <c r="H86" s="180">
        <f t="shared" ca="1" si="4"/>
        <v>3.57615799074434E-2</v>
      </c>
    </row>
    <row r="87" spans="2:8" x14ac:dyDescent="0.3">
      <c r="B87" s="69">
        <v>44229</v>
      </c>
      <c r="C87" s="55">
        <v>661.57500000000005</v>
      </c>
      <c r="D87" s="70">
        <f t="shared" si="3"/>
        <v>-0.39862285246795737</v>
      </c>
      <c r="E87" s="180">
        <v>3.7683318955376195E-2</v>
      </c>
      <c r="G87" s="78">
        <v>85</v>
      </c>
      <c r="H87" s="180">
        <f t="shared" ca="1" si="4"/>
        <v>1.2786888758542588E-2</v>
      </c>
    </row>
    <row r="88" spans="2:8" x14ac:dyDescent="0.3">
      <c r="B88" s="69">
        <v>44711</v>
      </c>
      <c r="C88" s="55">
        <v>1100.0999999999999</v>
      </c>
      <c r="D88" s="70">
        <f t="shared" si="3"/>
        <v>0.98305543037404219</v>
      </c>
      <c r="E88" s="180">
        <v>3.7634408602150407E-2</v>
      </c>
      <c r="G88" s="78">
        <v>86</v>
      </c>
      <c r="H88" s="180">
        <f t="shared" ca="1" si="4"/>
        <v>1.5254307560659189E-2</v>
      </c>
    </row>
    <row r="89" spans="2:8" x14ac:dyDescent="0.3">
      <c r="B89" s="69">
        <v>43829</v>
      </c>
      <c r="C89" s="55">
        <v>554.75</v>
      </c>
      <c r="D89" s="70">
        <f t="shared" si="3"/>
        <v>-0.89235471039099645</v>
      </c>
      <c r="E89" s="180">
        <v>3.744915610827991E-2</v>
      </c>
      <c r="G89" s="78">
        <v>87</v>
      </c>
      <c r="H89" s="180">
        <f t="shared" ca="1" si="4"/>
        <v>-1.6981816033553136E-2</v>
      </c>
    </row>
    <row r="90" spans="2:8" x14ac:dyDescent="0.3">
      <c r="B90" s="69">
        <v>45721</v>
      </c>
      <c r="C90" s="55">
        <v>5153.5</v>
      </c>
      <c r="D90" s="70">
        <f t="shared" si="3"/>
        <v>5.7368214647537492</v>
      </c>
      <c r="E90" s="180">
        <v>3.7380731913523244E-2</v>
      </c>
      <c r="G90" s="78">
        <v>88</v>
      </c>
      <c r="H90" s="180">
        <f t="shared" ca="1" si="4"/>
        <v>3.5889832946591524E-2</v>
      </c>
    </row>
    <row r="91" spans="2:8" x14ac:dyDescent="0.3">
      <c r="B91" s="69">
        <v>44309</v>
      </c>
      <c r="C91" s="55">
        <v>764.97500000000002</v>
      </c>
      <c r="D91" s="70">
        <f t="shared" si="3"/>
        <v>1.328336630649825</v>
      </c>
      <c r="E91" s="180">
        <v>3.7254237288135622E-2</v>
      </c>
      <c r="G91" s="78">
        <v>89</v>
      </c>
      <c r="H91" s="180">
        <f t="shared" ca="1" si="4"/>
        <v>1.1185141213771791E-2</v>
      </c>
    </row>
    <row r="92" spans="2:8" x14ac:dyDescent="0.3">
      <c r="B92" s="69">
        <v>43060</v>
      </c>
      <c r="C92" s="55">
        <v>328.55</v>
      </c>
      <c r="D92" s="70">
        <f t="shared" si="3"/>
        <v>-0.44501689189189186</v>
      </c>
      <c r="E92" s="180">
        <v>3.7253354380426242E-2</v>
      </c>
      <c r="G92" s="78">
        <v>90</v>
      </c>
      <c r="H92" s="180">
        <f t="shared" ca="1" si="4"/>
        <v>6.0471405361179169E-3</v>
      </c>
    </row>
    <row r="93" spans="2:8" x14ac:dyDescent="0.3">
      <c r="B93" s="69">
        <v>43846</v>
      </c>
      <c r="C93" s="55">
        <v>592</v>
      </c>
      <c r="D93" s="70">
        <f t="shared" si="3"/>
        <v>0.64125311893540349</v>
      </c>
      <c r="E93" s="180">
        <v>3.7231712658782307E-2</v>
      </c>
      <c r="G93" s="78">
        <v>91</v>
      </c>
      <c r="H93" s="180">
        <f t="shared" ca="1" si="4"/>
        <v>1.6104100515186234E-2</v>
      </c>
    </row>
    <row r="94" spans="2:8" x14ac:dyDescent="0.3">
      <c r="B94" s="69">
        <v>43196</v>
      </c>
      <c r="C94" s="55">
        <v>360.7</v>
      </c>
      <c r="D94" s="70">
        <f t="shared" si="3"/>
        <v>-0.9322189963450499</v>
      </c>
      <c r="E94" s="180">
        <v>3.6792181661396986E-2</v>
      </c>
      <c r="G94" s="78">
        <v>92</v>
      </c>
      <c r="H94" s="180">
        <f t="shared" ca="1" si="4"/>
        <v>-1.5891138086821108E-2</v>
      </c>
    </row>
    <row r="95" spans="2:8" x14ac:dyDescent="0.3">
      <c r="B95" s="69">
        <v>45497</v>
      </c>
      <c r="C95" s="55">
        <v>5321.55</v>
      </c>
      <c r="D95" s="70">
        <f t="shared" si="3"/>
        <v>5.5209080047789723</v>
      </c>
      <c r="E95" s="180">
        <v>3.6743003535978411E-2</v>
      </c>
      <c r="G95" s="78">
        <v>93</v>
      </c>
      <c r="H95" s="180">
        <f t="shared" ca="1" si="4"/>
        <v>1.917687589063E-2</v>
      </c>
    </row>
    <row r="96" spans="2:8" x14ac:dyDescent="0.3">
      <c r="B96" s="69">
        <v>44334</v>
      </c>
      <c r="C96" s="55">
        <v>816.07500000000005</v>
      </c>
      <c r="D96" s="70">
        <f t="shared" si="3"/>
        <v>0.24330603694534381</v>
      </c>
      <c r="E96" s="180">
        <v>3.6581880537296309E-2</v>
      </c>
      <c r="G96" s="78">
        <v>94</v>
      </c>
      <c r="H96" s="180">
        <f t="shared" ca="1" si="4"/>
        <v>1.4449118446416043E-2</v>
      </c>
    </row>
    <row r="97" spans="2:8" x14ac:dyDescent="0.3">
      <c r="B97" s="69">
        <v>44102</v>
      </c>
      <c r="C97" s="55">
        <v>656.375</v>
      </c>
      <c r="D97" s="70">
        <f t="shared" si="3"/>
        <v>-0.51825688073394494</v>
      </c>
      <c r="E97" s="180">
        <v>3.6558885072446569E-2</v>
      </c>
      <c r="G97" s="78">
        <v>95</v>
      </c>
      <c r="H97" s="180">
        <f t="shared" ca="1" si="4"/>
        <v>7.5428252697495157E-3</v>
      </c>
    </row>
    <row r="98" spans="2:8" x14ac:dyDescent="0.3">
      <c r="B98" s="69">
        <v>45016</v>
      </c>
      <c r="C98" s="55">
        <v>1362.5</v>
      </c>
      <c r="D98" s="70">
        <f t="shared" si="3"/>
        <v>0.28695570038726737</v>
      </c>
      <c r="E98" s="180">
        <v>3.6515785469760365E-2</v>
      </c>
      <c r="G98" s="78">
        <v>96</v>
      </c>
      <c r="H98" s="180">
        <f t="shared" ca="1" si="4"/>
        <v>7.3265131165733775E-3</v>
      </c>
    </row>
    <row r="99" spans="2:8" x14ac:dyDescent="0.3">
      <c r="B99" s="69">
        <v>44545</v>
      </c>
      <c r="C99" s="55">
        <v>1058.7</v>
      </c>
      <c r="D99" s="70">
        <f t="shared" si="3"/>
        <v>9.2469018112488512E-3</v>
      </c>
      <c r="E99" s="180">
        <v>3.6239508650011104E-2</v>
      </c>
      <c r="G99" s="78">
        <v>97</v>
      </c>
      <c r="H99" s="180">
        <f t="shared" ca="1" si="4"/>
        <v>-5.9786903996089276E-3</v>
      </c>
    </row>
    <row r="100" spans="2:8" x14ac:dyDescent="0.3">
      <c r="B100" s="69">
        <v>44502</v>
      </c>
      <c r="C100" s="55">
        <v>1049</v>
      </c>
      <c r="D100" s="70">
        <f t="shared" si="3"/>
        <v>1.4420905598882552</v>
      </c>
      <c r="E100" s="180">
        <v>3.6151718688265416E-2</v>
      </c>
      <c r="G100" s="78">
        <v>98</v>
      </c>
      <c r="H100" s="180">
        <f t="shared" ca="1" si="4"/>
        <v>-2.8239539350346319E-2</v>
      </c>
    </row>
    <row r="101" spans="2:8" x14ac:dyDescent="0.3">
      <c r="B101" s="69">
        <v>43679</v>
      </c>
      <c r="C101" s="55">
        <v>429.55</v>
      </c>
      <c r="D101" s="70">
        <f t="shared" si="3"/>
        <v>0.35504731861198741</v>
      </c>
      <c r="E101" s="180">
        <v>3.6058851905451009E-2</v>
      </c>
      <c r="G101" s="78">
        <v>99</v>
      </c>
      <c r="H101" s="180">
        <f t="shared" ca="1" si="4"/>
        <v>2.7562367974355638E-4</v>
      </c>
    </row>
    <row r="102" spans="2:8" x14ac:dyDescent="0.3">
      <c r="B102" s="69">
        <v>43049</v>
      </c>
      <c r="C102" s="55">
        <v>317</v>
      </c>
      <c r="D102" s="70">
        <f t="shared" si="3"/>
        <v>2.5972975159802496E-2</v>
      </c>
      <c r="E102" s="180">
        <v>3.6032355584606511E-2</v>
      </c>
      <c r="G102" s="78">
        <v>100</v>
      </c>
      <c r="H102" s="180">
        <f t="shared" ca="1" si="4"/>
        <v>-1.1215475164771272E-2</v>
      </c>
    </row>
    <row r="103" spans="2:8" x14ac:dyDescent="0.3">
      <c r="B103" s="69">
        <v>43014</v>
      </c>
      <c r="C103" s="55">
        <v>308.97500000000002</v>
      </c>
      <c r="D103" s="70">
        <f t="shared" si="3"/>
        <v>-0.8188361184403401</v>
      </c>
      <c r="E103" s="180">
        <v>3.587293604894827E-2</v>
      </c>
      <c r="G103" s="78">
        <v>101</v>
      </c>
      <c r="H103" s="180">
        <f t="shared" ca="1" si="4"/>
        <v>1.810356088271101E-2</v>
      </c>
    </row>
    <row r="104" spans="2:8" x14ac:dyDescent="0.3">
      <c r="B104" s="69">
        <v>45091</v>
      </c>
      <c r="C104" s="55">
        <v>1705.5</v>
      </c>
      <c r="D104" s="70">
        <f t="shared" si="3"/>
        <v>0.59840674789128401</v>
      </c>
      <c r="E104" s="180">
        <v>3.5817858823886613E-2</v>
      </c>
      <c r="G104" s="78">
        <v>102</v>
      </c>
      <c r="H104" s="180">
        <f t="shared" ca="1" si="4"/>
        <v>-9.01665049921563E-3</v>
      </c>
    </row>
    <row r="105" spans="2:8" x14ac:dyDescent="0.3">
      <c r="B105" s="69">
        <v>44615</v>
      </c>
      <c r="C105" s="55">
        <v>1067</v>
      </c>
      <c r="D105" s="70">
        <f t="shared" si="3"/>
        <v>0.17640573318632854</v>
      </c>
      <c r="E105" s="180">
        <v>3.5721219180741559E-2</v>
      </c>
      <c r="G105" s="78">
        <v>103</v>
      </c>
      <c r="H105" s="180">
        <f t="shared" ca="1" si="4"/>
        <v>2.1213774277969281E-2</v>
      </c>
    </row>
    <row r="106" spans="2:8" x14ac:dyDescent="0.3">
      <c r="B106" s="69">
        <v>44258</v>
      </c>
      <c r="C106" s="55">
        <v>907</v>
      </c>
      <c r="D106" s="70">
        <f t="shared" si="3"/>
        <v>-0.26174633213275544</v>
      </c>
      <c r="E106" s="180">
        <v>3.5388127853881277E-2</v>
      </c>
      <c r="G106" s="78">
        <v>104</v>
      </c>
      <c r="H106" s="180">
        <f t="shared" ca="1" si="4"/>
        <v>-3.9907127074268543E-2</v>
      </c>
    </row>
    <row r="107" spans="2:8" x14ac:dyDescent="0.3">
      <c r="B107" s="69">
        <v>44958</v>
      </c>
      <c r="C107" s="55">
        <v>1228.575</v>
      </c>
      <c r="D107" s="70">
        <f t="shared" si="3"/>
        <v>2.6126589722855251</v>
      </c>
      <c r="E107" s="180">
        <v>3.5199696663296136E-2</v>
      </c>
      <c r="G107" s="78">
        <v>105</v>
      </c>
      <c r="H107" s="180">
        <f t="shared" ca="1" si="4"/>
        <v>-2.7462281582693624E-2</v>
      </c>
    </row>
    <row r="108" spans="2:8" x14ac:dyDescent="0.3">
      <c r="B108" s="69">
        <v>43061</v>
      </c>
      <c r="C108" s="55">
        <v>340.07499999999999</v>
      </c>
      <c r="D108" s="70">
        <f t="shared" si="3"/>
        <v>-0.43621518567639261</v>
      </c>
      <c r="E108" s="180">
        <v>3.5078374676609271E-2</v>
      </c>
      <c r="G108" s="78">
        <v>106</v>
      </c>
      <c r="H108" s="180">
        <f t="shared" ca="1" si="4"/>
        <v>-1.4140016116276159E-2</v>
      </c>
    </row>
    <row r="109" spans="2:8" x14ac:dyDescent="0.3">
      <c r="B109" s="69">
        <v>43850</v>
      </c>
      <c r="C109" s="55">
        <v>603.20000000000005</v>
      </c>
      <c r="D109" s="70">
        <f t="shared" si="3"/>
        <v>-0.47613878153632366</v>
      </c>
      <c r="E109" s="180">
        <v>3.5003431708991235E-2</v>
      </c>
      <c r="G109" s="78">
        <v>107</v>
      </c>
      <c r="H109" s="180">
        <f t="shared" ca="1" si="4"/>
        <v>5.7132333650545099E-3</v>
      </c>
    </row>
    <row r="110" spans="2:8" x14ac:dyDescent="0.3">
      <c r="B110" s="69">
        <v>44630</v>
      </c>
      <c r="C110" s="55">
        <v>1151.4499999999998</v>
      </c>
      <c r="D110" s="70">
        <f t="shared" si="3"/>
        <v>0.71372228010120531</v>
      </c>
      <c r="E110" s="180">
        <v>3.4987977798251475E-2</v>
      </c>
      <c r="G110" s="78">
        <v>108</v>
      </c>
      <c r="H110" s="180">
        <f t="shared" ca="1" si="4"/>
        <v>-7.251285233421953E-2</v>
      </c>
    </row>
    <row r="111" spans="2:8" x14ac:dyDescent="0.3">
      <c r="B111" s="69">
        <v>43871</v>
      </c>
      <c r="C111" s="55">
        <v>671.9</v>
      </c>
      <c r="D111" s="70">
        <f t="shared" si="3"/>
        <v>-0.84040000950141325</v>
      </c>
      <c r="E111" s="180">
        <v>3.4966112138015912E-2</v>
      </c>
      <c r="G111" s="78">
        <v>109</v>
      </c>
      <c r="H111" s="180">
        <f t="shared" ca="1" si="4"/>
        <v>-3.0223986412788208E-3</v>
      </c>
    </row>
    <row r="112" spans="2:8" x14ac:dyDescent="0.3">
      <c r="B112" s="69">
        <v>45404</v>
      </c>
      <c r="C112" s="55">
        <v>4209.8999999999996</v>
      </c>
      <c r="D112" s="70">
        <f t="shared" si="3"/>
        <v>-0.1421934695125058</v>
      </c>
      <c r="E112" s="180">
        <v>3.452597434511219E-2</v>
      </c>
      <c r="G112" s="78">
        <v>110</v>
      </c>
      <c r="H112" s="180">
        <f t="shared" ca="1" si="4"/>
        <v>-8.7850279683601012E-3</v>
      </c>
    </row>
    <row r="113" spans="2:8" x14ac:dyDescent="0.3">
      <c r="B113" s="69">
        <v>45762</v>
      </c>
      <c r="C113" s="55">
        <v>4907.75</v>
      </c>
      <c r="D113" s="70">
        <f t="shared" si="3"/>
        <v>17.728296126693376</v>
      </c>
      <c r="E113" s="180">
        <v>3.4217527592656005E-2</v>
      </c>
      <c r="G113" s="78">
        <v>111</v>
      </c>
      <c r="H113" s="180">
        <f t="shared" ca="1" si="4"/>
        <v>1.0291148963036241E-2</v>
      </c>
    </row>
    <row r="114" spans="2:8" x14ac:dyDescent="0.3">
      <c r="B114" s="69">
        <v>42825</v>
      </c>
      <c r="C114" s="55">
        <v>262.05</v>
      </c>
      <c r="D114" s="70">
        <f t="shared" si="3"/>
        <v>-0.85066035988545219</v>
      </c>
      <c r="E114" s="180">
        <v>3.4033737792246228E-2</v>
      </c>
      <c r="G114" s="78">
        <v>112</v>
      </c>
      <c r="H114" s="180">
        <f t="shared" ca="1" si="4"/>
        <v>3.2152607837499951E-2</v>
      </c>
    </row>
    <row r="115" spans="2:8" x14ac:dyDescent="0.3">
      <c r="B115" s="69">
        <v>45147</v>
      </c>
      <c r="C115" s="55">
        <v>1754.7249999999999</v>
      </c>
      <c r="D115" s="70">
        <f t="shared" si="3"/>
        <v>0.51691124030170066</v>
      </c>
      <c r="E115" s="180">
        <v>3.3985445331604677E-2</v>
      </c>
      <c r="G115" s="78">
        <v>113</v>
      </c>
      <c r="H115" s="180">
        <f t="shared" ca="1" si="4"/>
        <v>4.5694735980861398E-3</v>
      </c>
    </row>
    <row r="116" spans="2:8" x14ac:dyDescent="0.3">
      <c r="B116" s="69">
        <v>44482</v>
      </c>
      <c r="C116" s="55">
        <v>1156.7750000000001</v>
      </c>
      <c r="D116" s="70">
        <f t="shared" si="3"/>
        <v>2.235734265734266</v>
      </c>
      <c r="E116" s="180">
        <v>3.3757819481680156E-2</v>
      </c>
      <c r="G116" s="78">
        <v>114</v>
      </c>
      <c r="H116" s="180">
        <f t="shared" ca="1" si="4"/>
        <v>-2.9463072738684318E-4</v>
      </c>
    </row>
    <row r="117" spans="2:8" x14ac:dyDescent="0.3">
      <c r="B117" s="69">
        <v>43293</v>
      </c>
      <c r="C117" s="55">
        <v>357.5</v>
      </c>
      <c r="D117" s="70">
        <f t="shared" si="3"/>
        <v>-0.91769594695705226</v>
      </c>
      <c r="E117" s="180">
        <v>3.3685123608500726E-2</v>
      </c>
      <c r="G117" s="78">
        <v>115</v>
      </c>
      <c r="H117" s="180">
        <f t="shared" ca="1" si="4"/>
        <v>1.6396360824065918E-2</v>
      </c>
    </row>
    <row r="118" spans="2:8" x14ac:dyDescent="0.3">
      <c r="B118" s="69">
        <v>46133</v>
      </c>
      <c r="C118" s="55">
        <v>4343.6499999999996</v>
      </c>
      <c r="D118" s="70">
        <f t="shared" si="3"/>
        <v>3.9155774345046113</v>
      </c>
      <c r="E118" s="180">
        <v>3.3624043689840032E-2</v>
      </c>
      <c r="G118" s="78">
        <v>116</v>
      </c>
      <c r="H118" s="180">
        <f t="shared" ca="1" si="4"/>
        <v>1.2561639017251361E-2</v>
      </c>
    </row>
    <row r="119" spans="2:8" x14ac:dyDescent="0.3">
      <c r="B119" s="69">
        <v>44379</v>
      </c>
      <c r="C119" s="55">
        <v>883.65</v>
      </c>
      <c r="D119" s="70">
        <f t="shared" si="3"/>
        <v>0.1748321478428505</v>
      </c>
      <c r="E119" s="180">
        <v>3.3508771929824537E-2</v>
      </c>
      <c r="G119" s="78">
        <v>117</v>
      </c>
      <c r="H119" s="180">
        <f t="shared" ca="1" si="4"/>
        <v>9.9935725439253848E-3</v>
      </c>
    </row>
    <row r="120" spans="2:8" x14ac:dyDescent="0.3">
      <c r="B120" s="69">
        <v>44090</v>
      </c>
      <c r="C120" s="55">
        <v>752.15</v>
      </c>
      <c r="D120" s="70">
        <f t="shared" si="3"/>
        <v>-0.41088701781868026</v>
      </c>
      <c r="E120" s="180">
        <v>3.3421495551815242E-2</v>
      </c>
      <c r="G120" s="78">
        <v>118</v>
      </c>
      <c r="H120" s="180">
        <f t="shared" ca="1" si="4"/>
        <v>4.5489178225688685E-3</v>
      </c>
    </row>
    <row r="121" spans="2:8" x14ac:dyDescent="0.3">
      <c r="B121" s="69">
        <v>44641</v>
      </c>
      <c r="C121" s="55">
        <v>1276.75</v>
      </c>
      <c r="D121" s="70">
        <f t="shared" si="3"/>
        <v>0.952217125382263</v>
      </c>
      <c r="E121" s="180">
        <v>3.3387292594091462E-2</v>
      </c>
      <c r="G121" s="78">
        <v>119</v>
      </c>
      <c r="H121" s="180">
        <f t="shared" ca="1" si="4"/>
        <v>-8.1650758567442319E-3</v>
      </c>
    </row>
    <row r="122" spans="2:8" x14ac:dyDescent="0.3">
      <c r="B122" s="69">
        <v>44006</v>
      </c>
      <c r="C122" s="55">
        <v>654</v>
      </c>
      <c r="D122" s="70">
        <f t="shared" si="3"/>
        <v>0.90990727896619694</v>
      </c>
      <c r="E122" s="180">
        <v>3.3338600094801558E-2</v>
      </c>
      <c r="G122" s="78">
        <v>120</v>
      </c>
      <c r="H122" s="180">
        <f t="shared" ca="1" si="4"/>
        <v>1.0621639243834248E-2</v>
      </c>
    </row>
    <row r="123" spans="2:8" x14ac:dyDescent="0.3">
      <c r="B123" s="69">
        <v>43105</v>
      </c>
      <c r="C123" s="55">
        <v>342.42500000000001</v>
      </c>
      <c r="D123" s="70">
        <f t="shared" si="3"/>
        <v>-0.67542654028436022</v>
      </c>
      <c r="E123" s="180">
        <v>3.3267954133977172E-2</v>
      </c>
      <c r="G123" s="78">
        <v>121</v>
      </c>
      <c r="H123" s="180">
        <f t="shared" ca="1" si="4"/>
        <v>1.8887159185613376E-2</v>
      </c>
    </row>
    <row r="124" spans="2:8" x14ac:dyDescent="0.3">
      <c r="B124" s="69">
        <v>44470</v>
      </c>
      <c r="C124" s="55">
        <v>1055</v>
      </c>
      <c r="D124" s="70">
        <f t="shared" si="3"/>
        <v>0.30751355538342368</v>
      </c>
      <c r="E124" s="180">
        <v>3.2870744303301808E-2</v>
      </c>
      <c r="G124" s="78">
        <v>122</v>
      </c>
      <c r="H124" s="180">
        <f t="shared" ca="1" si="4"/>
        <v>2.4708063691179623E-2</v>
      </c>
    </row>
    <row r="125" spans="2:8" x14ac:dyDescent="0.3">
      <c r="B125" s="69">
        <v>44252</v>
      </c>
      <c r="C125" s="55">
        <v>806.875</v>
      </c>
      <c r="D125" s="70">
        <f t="shared" si="3"/>
        <v>0.94615291847563909</v>
      </c>
      <c r="E125" s="180">
        <v>3.2766951457553387E-2</v>
      </c>
      <c r="G125" s="78">
        <v>123</v>
      </c>
      <c r="H125" s="180">
        <f t="shared" ca="1" si="4"/>
        <v>-5.3899456177244162E-2</v>
      </c>
    </row>
    <row r="126" spans="2:8" x14ac:dyDescent="0.3">
      <c r="B126" s="69">
        <v>43678</v>
      </c>
      <c r="C126" s="55">
        <v>414.6</v>
      </c>
      <c r="D126" s="70">
        <f t="shared" si="3"/>
        <v>-0.10790747713824632</v>
      </c>
      <c r="E126" s="180">
        <v>3.2756258562710264E-2</v>
      </c>
      <c r="G126" s="78">
        <v>124</v>
      </c>
      <c r="H126" s="180">
        <f t="shared" ca="1" si="4"/>
        <v>-5.6277824709265525E-2</v>
      </c>
    </row>
    <row r="127" spans="2:8" x14ac:dyDescent="0.3">
      <c r="B127" s="69">
        <v>43978</v>
      </c>
      <c r="C127" s="55">
        <v>464.75</v>
      </c>
      <c r="D127" s="70">
        <f t="shared" si="3"/>
        <v>-0.91948442311606982</v>
      </c>
      <c r="E127" s="180">
        <v>3.2720404421976608E-2</v>
      </c>
      <c r="G127" s="78">
        <v>125</v>
      </c>
      <c r="H127" s="180">
        <f t="shared" ca="1" si="4"/>
        <v>1.3963333000031743E-2</v>
      </c>
    </row>
    <row r="128" spans="2:8" x14ac:dyDescent="0.3">
      <c r="B128" s="69">
        <v>45504</v>
      </c>
      <c r="C128" s="55">
        <v>5772.1750000000002</v>
      </c>
      <c r="D128" s="70">
        <f t="shared" si="3"/>
        <v>6.9947022160664822</v>
      </c>
      <c r="E128" s="180">
        <v>3.2589445438282683E-2</v>
      </c>
      <c r="G128" s="78">
        <v>126</v>
      </c>
      <c r="H128" s="180">
        <f t="shared" ca="1" si="4"/>
        <v>-3.672256152158259E-2</v>
      </c>
    </row>
    <row r="129" spans="2:8" x14ac:dyDescent="0.3">
      <c r="B129" s="69">
        <v>43874</v>
      </c>
      <c r="C129" s="55">
        <v>722</v>
      </c>
      <c r="D129" s="70">
        <f t="shared" si="3"/>
        <v>1.59245960502693</v>
      </c>
      <c r="E129" s="180">
        <v>3.2534858777261352E-2</v>
      </c>
      <c r="G129" s="78">
        <v>127</v>
      </c>
      <c r="H129" s="180">
        <f t="shared" ca="1" si="4"/>
        <v>3.3699270851120643E-2</v>
      </c>
    </row>
    <row r="130" spans="2:8" x14ac:dyDescent="0.3">
      <c r="B130" s="69">
        <v>42969</v>
      </c>
      <c r="C130" s="55">
        <v>278.5</v>
      </c>
      <c r="D130" s="70">
        <f t="shared" si="3"/>
        <v>-0.17481481481481481</v>
      </c>
      <c r="E130" s="180">
        <v>3.2437442075996289E-2</v>
      </c>
      <c r="G130" s="78">
        <v>128</v>
      </c>
      <c r="H130" s="180">
        <f t="shared" ca="1" si="4"/>
        <v>1.9854156209230533E-2</v>
      </c>
    </row>
    <row r="131" spans="2:8" x14ac:dyDescent="0.3">
      <c r="B131" s="69">
        <v>43446</v>
      </c>
      <c r="C131" s="55">
        <v>337.5</v>
      </c>
      <c r="D131" s="70">
        <f t="shared" ref="D131:D194" si="5">(C131-C132)/C132</f>
        <v>0.31017080745341602</v>
      </c>
      <c r="E131" s="180">
        <v>3.2267930876280632E-2</v>
      </c>
      <c r="G131" s="78">
        <v>129</v>
      </c>
      <c r="H131" s="180">
        <f t="shared" ca="1" si="4"/>
        <v>4.3526579505692629E-2</v>
      </c>
    </row>
    <row r="132" spans="2:8" x14ac:dyDescent="0.3">
      <c r="B132" s="69">
        <v>42930</v>
      </c>
      <c r="C132" s="55">
        <v>257.60000000000002</v>
      </c>
      <c r="D132" s="70">
        <f t="shared" si="5"/>
        <v>-0.61642407772772956</v>
      </c>
      <c r="E132" s="180">
        <v>3.2258064516129073E-2</v>
      </c>
      <c r="G132" s="78">
        <v>130</v>
      </c>
      <c r="H132" s="180">
        <f t="shared" ref="H132:H195" ca="1" si="6">_xlfn.NORM.INV(RAND(),$N$4,$N$5)</f>
        <v>-1.8799120497695939E-2</v>
      </c>
    </row>
    <row r="133" spans="2:8" x14ac:dyDescent="0.3">
      <c r="B133" s="69">
        <v>43901</v>
      </c>
      <c r="C133" s="55">
        <v>671.57500000000005</v>
      </c>
      <c r="D133" s="70">
        <f t="shared" si="5"/>
        <v>1.0108541058462459</v>
      </c>
      <c r="E133" s="180">
        <v>3.2199807877041374E-2</v>
      </c>
      <c r="G133" s="78">
        <v>131</v>
      </c>
      <c r="H133" s="180">
        <f t="shared" ca="1" si="6"/>
        <v>-1.418217352066246E-3</v>
      </c>
    </row>
    <row r="134" spans="2:8" x14ac:dyDescent="0.3">
      <c r="B134" s="69">
        <v>43385</v>
      </c>
      <c r="C134" s="55">
        <v>333.97500000000002</v>
      </c>
      <c r="D134" s="70">
        <f t="shared" si="5"/>
        <v>-0.38711749323301364</v>
      </c>
      <c r="E134" s="180">
        <v>3.2140925596847641E-2</v>
      </c>
      <c r="G134" s="78">
        <v>132</v>
      </c>
      <c r="H134" s="180">
        <f t="shared" ca="1" si="6"/>
        <v>-1.1193198239588175E-2</v>
      </c>
    </row>
    <row r="135" spans="2:8" x14ac:dyDescent="0.3">
      <c r="B135" s="69">
        <v>43839</v>
      </c>
      <c r="C135" s="55">
        <v>544.92499999999995</v>
      </c>
      <c r="D135" s="70">
        <f t="shared" si="5"/>
        <v>-0.91944103602737903</v>
      </c>
      <c r="E135" s="180">
        <v>3.2103792793219468E-2</v>
      </c>
      <c r="G135" s="78">
        <v>133</v>
      </c>
      <c r="H135" s="180">
        <f t="shared" ca="1" si="6"/>
        <v>-3.1506448496426462E-2</v>
      </c>
    </row>
    <row r="136" spans="2:8" x14ac:dyDescent="0.3">
      <c r="B136" s="69">
        <v>45621</v>
      </c>
      <c r="C136" s="55">
        <v>6764.3</v>
      </c>
      <c r="D136" s="70">
        <f t="shared" si="5"/>
        <v>5.393931516884467</v>
      </c>
      <c r="E136" s="180">
        <v>3.2087274946597528E-2</v>
      </c>
      <c r="G136" s="78">
        <v>134</v>
      </c>
      <c r="H136" s="180">
        <f t="shared" ca="1" si="6"/>
        <v>-3.328971087878356E-2</v>
      </c>
    </row>
    <row r="137" spans="2:8" x14ac:dyDescent="0.3">
      <c r="B137" s="69">
        <v>44698</v>
      </c>
      <c r="C137" s="55">
        <v>1057.925</v>
      </c>
      <c r="D137" s="70">
        <f t="shared" si="5"/>
        <v>1.7772527400406906</v>
      </c>
      <c r="E137" s="180">
        <v>3.2046435626661374E-2</v>
      </c>
      <c r="G137" s="78">
        <v>135</v>
      </c>
      <c r="H137" s="180">
        <f t="shared" ca="1" si="6"/>
        <v>-1.8455627594479801E-2</v>
      </c>
    </row>
    <row r="138" spans="2:8" x14ac:dyDescent="0.3">
      <c r="B138" s="69">
        <v>43340</v>
      </c>
      <c r="C138" s="55">
        <v>380.92499999999995</v>
      </c>
      <c r="D138" s="70">
        <f t="shared" si="5"/>
        <v>-0.5113213598460552</v>
      </c>
      <c r="E138" s="180">
        <v>3.196749068743638E-2</v>
      </c>
      <c r="G138" s="78">
        <v>136</v>
      </c>
      <c r="H138" s="180">
        <f t="shared" ca="1" si="6"/>
        <v>-9.337267096694885E-4</v>
      </c>
    </row>
    <row r="139" spans="2:8" x14ac:dyDescent="0.3">
      <c r="B139" s="69">
        <v>43881</v>
      </c>
      <c r="C139" s="55">
        <v>779.5</v>
      </c>
      <c r="D139" s="70">
        <f t="shared" si="5"/>
        <v>0.65393592191809879</v>
      </c>
      <c r="E139" s="180">
        <v>3.186947744647059E-2</v>
      </c>
      <c r="G139" s="78">
        <v>137</v>
      </c>
      <c r="H139" s="180">
        <f t="shared" ca="1" si="6"/>
        <v>-2.5663795624257586E-2</v>
      </c>
    </row>
    <row r="140" spans="2:8" x14ac:dyDescent="0.3">
      <c r="B140" s="69">
        <v>43728</v>
      </c>
      <c r="C140" s="55">
        <v>471.3</v>
      </c>
      <c r="D140" s="70">
        <f t="shared" si="5"/>
        <v>-0.29170423805229934</v>
      </c>
      <c r="E140" s="180">
        <v>3.1742556917688264E-2</v>
      </c>
      <c r="G140" s="78">
        <v>138</v>
      </c>
      <c r="H140" s="180">
        <f t="shared" ca="1" si="6"/>
        <v>2.5626818670257071E-2</v>
      </c>
    </row>
    <row r="141" spans="2:8" x14ac:dyDescent="0.3">
      <c r="B141" s="69">
        <v>44069</v>
      </c>
      <c r="C141" s="55">
        <v>665.4</v>
      </c>
      <c r="D141" s="70">
        <f t="shared" si="5"/>
        <v>0.5958748051325099</v>
      </c>
      <c r="E141" s="180">
        <v>3.1707884332118658E-2</v>
      </c>
      <c r="G141" s="78">
        <v>139</v>
      </c>
      <c r="H141" s="180">
        <f t="shared" ca="1" si="6"/>
        <v>3.2517662376792167E-3</v>
      </c>
    </row>
    <row r="142" spans="2:8" x14ac:dyDescent="0.3">
      <c r="B142" s="69">
        <v>43620</v>
      </c>
      <c r="C142" s="55">
        <v>416.95</v>
      </c>
      <c r="D142" s="70">
        <f t="shared" si="5"/>
        <v>-0.57410623084780388</v>
      </c>
      <c r="E142" s="180">
        <v>3.1671409130273442E-2</v>
      </c>
      <c r="G142" s="78">
        <v>140</v>
      </c>
      <c r="H142" s="180">
        <f t="shared" ca="1" si="6"/>
        <v>1.7708303248193294E-2</v>
      </c>
    </row>
    <row r="143" spans="2:8" x14ac:dyDescent="0.3">
      <c r="B143" s="69">
        <v>44438</v>
      </c>
      <c r="C143" s="55">
        <v>979</v>
      </c>
      <c r="D143" s="70">
        <f t="shared" si="5"/>
        <v>0.24633991088478677</v>
      </c>
      <c r="E143" s="180">
        <v>3.1612223393045313E-2</v>
      </c>
      <c r="G143" s="78">
        <v>141</v>
      </c>
      <c r="H143" s="180">
        <f t="shared" ca="1" si="6"/>
        <v>3.4394213891688636E-3</v>
      </c>
    </row>
    <row r="144" spans="2:8" x14ac:dyDescent="0.3">
      <c r="B144" s="69">
        <v>44320</v>
      </c>
      <c r="C144" s="55">
        <v>785.5</v>
      </c>
      <c r="D144" s="70">
        <f t="shared" si="5"/>
        <v>-0.85258515529698786</v>
      </c>
      <c r="E144" s="180">
        <v>3.144901844921548E-2</v>
      </c>
      <c r="G144" s="78">
        <v>142</v>
      </c>
      <c r="H144" s="180">
        <f t="shared" ca="1" si="6"/>
        <v>1.2415831750909731E-2</v>
      </c>
    </row>
    <row r="145" spans="2:8" x14ac:dyDescent="0.3">
      <c r="B145" s="69">
        <v>45461</v>
      </c>
      <c r="C145" s="55">
        <v>5328.5</v>
      </c>
      <c r="D145" s="70">
        <f t="shared" si="5"/>
        <v>2.2362095929305656</v>
      </c>
      <c r="E145" s="180">
        <v>3.1256047996903423E-2</v>
      </c>
      <c r="G145" s="78">
        <v>143</v>
      </c>
      <c r="H145" s="180">
        <f t="shared" ca="1" si="6"/>
        <v>-8.126921669191732E-3</v>
      </c>
    </row>
    <row r="146" spans="2:8" x14ac:dyDescent="0.3">
      <c r="B146" s="69">
        <v>45090</v>
      </c>
      <c r="C146" s="55">
        <v>1646.5250000000001</v>
      </c>
      <c r="D146" s="70">
        <f t="shared" si="5"/>
        <v>3.4482642172092399</v>
      </c>
      <c r="E146" s="180">
        <v>3.1156549920934383E-2</v>
      </c>
      <c r="G146" s="78">
        <v>144</v>
      </c>
      <c r="H146" s="180">
        <f t="shared" ca="1" si="6"/>
        <v>-1.3073652891837028E-2</v>
      </c>
    </row>
    <row r="147" spans="2:8" x14ac:dyDescent="0.3">
      <c r="B147" s="69">
        <v>43550</v>
      </c>
      <c r="C147" s="55">
        <v>370.15</v>
      </c>
      <c r="D147" s="70">
        <f t="shared" si="5"/>
        <v>-0.92406906914607201</v>
      </c>
      <c r="E147" s="180">
        <v>3.1130301553032813E-2</v>
      </c>
      <c r="G147" s="78">
        <v>145</v>
      </c>
      <c r="H147" s="180">
        <f t="shared" ca="1" si="6"/>
        <v>1.6298765345319498E-2</v>
      </c>
    </row>
    <row r="148" spans="2:8" x14ac:dyDescent="0.3">
      <c r="B148" s="69">
        <v>45449</v>
      </c>
      <c r="C148" s="55">
        <v>4874.8250000000007</v>
      </c>
      <c r="D148" s="70">
        <f t="shared" si="5"/>
        <v>7.5410862899693401</v>
      </c>
      <c r="E148" s="180">
        <v>3.1021646944365367E-2</v>
      </c>
      <c r="G148" s="78">
        <v>146</v>
      </c>
      <c r="H148" s="180">
        <f t="shared" ca="1" si="6"/>
        <v>1.3052171713878038E-2</v>
      </c>
    </row>
    <row r="149" spans="2:8" x14ac:dyDescent="0.3">
      <c r="B149" s="69">
        <v>43845</v>
      </c>
      <c r="C149" s="55">
        <v>570.75</v>
      </c>
      <c r="D149" s="70">
        <f t="shared" si="5"/>
        <v>0.55401266081274259</v>
      </c>
      <c r="E149" s="180">
        <v>3.0979046242774526E-2</v>
      </c>
      <c r="G149" s="78">
        <v>147</v>
      </c>
      <c r="H149" s="180">
        <f t="shared" ca="1" si="6"/>
        <v>-3.5794547937884127E-2</v>
      </c>
    </row>
    <row r="150" spans="2:8" x14ac:dyDescent="0.3">
      <c r="B150" s="69">
        <v>43486</v>
      </c>
      <c r="C150" s="55">
        <v>367.27499999999998</v>
      </c>
      <c r="D150" s="70">
        <f t="shared" si="5"/>
        <v>-0.93125409452503516</v>
      </c>
      <c r="E150" s="180">
        <v>3.0947368421052567E-2</v>
      </c>
      <c r="G150" s="78">
        <v>148</v>
      </c>
      <c r="H150" s="180">
        <f t="shared" ca="1" si="6"/>
        <v>1.5892508843441275E-2</v>
      </c>
    </row>
    <row r="151" spans="2:8" x14ac:dyDescent="0.3">
      <c r="B151" s="69">
        <v>45776</v>
      </c>
      <c r="C151" s="55">
        <v>5342.5</v>
      </c>
      <c r="D151" s="70">
        <f t="shared" si="5"/>
        <v>6.2421038362477974</v>
      </c>
      <c r="E151" s="180">
        <v>3.0674254847111025E-2</v>
      </c>
      <c r="G151" s="78">
        <v>149</v>
      </c>
      <c r="H151" s="180">
        <f t="shared" ca="1" si="6"/>
        <v>3.5619308833359842E-2</v>
      </c>
    </row>
    <row r="152" spans="2:8" x14ac:dyDescent="0.3">
      <c r="B152" s="69">
        <v>44306</v>
      </c>
      <c r="C152" s="55">
        <v>737.7</v>
      </c>
      <c r="D152" s="70">
        <f t="shared" si="5"/>
        <v>-0.85341281669150526</v>
      </c>
      <c r="E152" s="180">
        <v>3.0487166055526517E-2</v>
      </c>
      <c r="G152" s="78">
        <v>150</v>
      </c>
      <c r="H152" s="180">
        <f t="shared" ca="1" si="6"/>
        <v>-3.0319851374246858E-2</v>
      </c>
    </row>
    <row r="153" spans="2:8" x14ac:dyDescent="0.3">
      <c r="B153" s="69">
        <v>45728</v>
      </c>
      <c r="C153" s="55">
        <v>5032.5</v>
      </c>
      <c r="D153" s="70">
        <f t="shared" si="5"/>
        <v>6.2697724810400866</v>
      </c>
      <c r="E153" s="180">
        <v>3.0410679825347106E-2</v>
      </c>
      <c r="G153" s="78">
        <v>151</v>
      </c>
      <c r="H153" s="180">
        <f t="shared" ca="1" si="6"/>
        <v>2.1922783456704398E-2</v>
      </c>
    </row>
    <row r="154" spans="2:8" x14ac:dyDescent="0.3">
      <c r="B154" s="69">
        <v>43872</v>
      </c>
      <c r="C154" s="55">
        <v>692.25</v>
      </c>
      <c r="D154" s="70">
        <f t="shared" si="5"/>
        <v>-0.87612955175807461</v>
      </c>
      <c r="E154" s="180">
        <v>3.0287245125762797E-2</v>
      </c>
      <c r="G154" s="78">
        <v>152</v>
      </c>
      <c r="H154" s="180">
        <f t="shared" ca="1" si="6"/>
        <v>-6.6731964660115403E-3</v>
      </c>
    </row>
    <row r="155" spans="2:8" x14ac:dyDescent="0.3">
      <c r="B155" s="69">
        <v>45904</v>
      </c>
      <c r="C155" s="55">
        <v>5588.5</v>
      </c>
      <c r="D155" s="70">
        <f t="shared" si="5"/>
        <v>-0.15440425483624476</v>
      </c>
      <c r="E155" s="180">
        <v>3.0138248847926267E-2</v>
      </c>
      <c r="G155" s="78">
        <v>153</v>
      </c>
      <c r="H155" s="180">
        <f t="shared" ca="1" si="6"/>
        <v>7.6687568606334652E-3</v>
      </c>
    </row>
    <row r="156" spans="2:8" x14ac:dyDescent="0.3">
      <c r="B156" s="69">
        <v>45608</v>
      </c>
      <c r="C156" s="55">
        <v>6608.95</v>
      </c>
      <c r="D156" s="70">
        <f t="shared" si="5"/>
        <v>3.7556666906526592</v>
      </c>
      <c r="E156" s="180">
        <v>3.0069240690302826E-2</v>
      </c>
      <c r="G156" s="78">
        <v>154</v>
      </c>
      <c r="H156" s="180">
        <f t="shared" ca="1" si="6"/>
        <v>3.8902710082307935E-3</v>
      </c>
    </row>
    <row r="157" spans="2:8" x14ac:dyDescent="0.3">
      <c r="B157" s="69">
        <v>44803</v>
      </c>
      <c r="C157" s="55">
        <v>1389.6999999999998</v>
      </c>
      <c r="D157" s="70">
        <f t="shared" si="5"/>
        <v>-0.75014383315354194</v>
      </c>
      <c r="E157" s="180">
        <v>3.0017788319003685E-2</v>
      </c>
      <c r="G157" s="78">
        <v>155</v>
      </c>
      <c r="H157" s="180">
        <f t="shared" ca="1" si="6"/>
        <v>1.339056761254021E-2</v>
      </c>
    </row>
    <row r="158" spans="2:8" x14ac:dyDescent="0.3">
      <c r="B158" s="69">
        <v>45887</v>
      </c>
      <c r="C158" s="55">
        <v>5562</v>
      </c>
      <c r="D158" s="70">
        <f t="shared" si="5"/>
        <v>0.31163777856384861</v>
      </c>
      <c r="E158" s="180">
        <v>0.03</v>
      </c>
      <c r="G158" s="78">
        <v>156</v>
      </c>
      <c r="H158" s="180">
        <f t="shared" ca="1" si="6"/>
        <v>2.0121668866292179E-2</v>
      </c>
    </row>
    <row r="159" spans="2:8" x14ac:dyDescent="0.3">
      <c r="B159" s="69">
        <v>46148</v>
      </c>
      <c r="C159" s="55">
        <v>4240.5</v>
      </c>
      <c r="D159" s="70">
        <f t="shared" si="5"/>
        <v>2.9997170345217885</v>
      </c>
      <c r="E159" s="180">
        <v>2.9985062119721601E-2</v>
      </c>
      <c r="G159" s="78">
        <v>157</v>
      </c>
      <c r="H159" s="180">
        <f t="shared" ca="1" si="6"/>
        <v>1.5245839211293997E-2</v>
      </c>
    </row>
    <row r="160" spans="2:8" x14ac:dyDescent="0.3">
      <c r="B160" s="69">
        <v>44708</v>
      </c>
      <c r="C160" s="55">
        <v>1060.2</v>
      </c>
      <c r="D160" s="70">
        <f t="shared" si="5"/>
        <v>1.6042741341193809</v>
      </c>
      <c r="E160" s="180">
        <v>2.997036965075061E-2</v>
      </c>
      <c r="G160" s="78">
        <v>158</v>
      </c>
      <c r="H160" s="180">
        <f t="shared" ca="1" si="6"/>
        <v>3.2640486804715436E-2</v>
      </c>
    </row>
    <row r="161" spans="2:8" x14ac:dyDescent="0.3">
      <c r="B161" s="69">
        <v>43635</v>
      </c>
      <c r="C161" s="55">
        <v>407.1</v>
      </c>
      <c r="D161" s="70">
        <f t="shared" si="5"/>
        <v>-0.60143916587120927</v>
      </c>
      <c r="E161" s="180">
        <v>2.9720500822056403E-2</v>
      </c>
      <c r="G161" s="78">
        <v>159</v>
      </c>
      <c r="H161" s="180">
        <f t="shared" ca="1" si="6"/>
        <v>-1.3662015145398011E-2</v>
      </c>
    </row>
    <row r="162" spans="2:8" x14ac:dyDescent="0.3">
      <c r="B162" s="69">
        <v>44469</v>
      </c>
      <c r="C162" s="55">
        <v>1021.425</v>
      </c>
      <c r="D162" s="70">
        <f t="shared" si="5"/>
        <v>1.9533757409281478</v>
      </c>
      <c r="E162" s="180">
        <v>2.9688248191738632E-2</v>
      </c>
      <c r="G162" s="78">
        <v>160</v>
      </c>
      <c r="H162" s="180">
        <f t="shared" ca="1" si="6"/>
        <v>3.0455936099352795E-3</v>
      </c>
    </row>
    <row r="163" spans="2:8" x14ac:dyDescent="0.3">
      <c r="B163" s="69">
        <v>43292</v>
      </c>
      <c r="C163" s="55">
        <v>345.85</v>
      </c>
      <c r="D163" s="70">
        <f t="shared" si="5"/>
        <v>-0.69400575094005745</v>
      </c>
      <c r="E163" s="180">
        <v>2.931547619047626E-2</v>
      </c>
      <c r="G163" s="78">
        <v>161</v>
      </c>
      <c r="H163" s="180">
        <f t="shared" ca="1" si="6"/>
        <v>1.8719623058189461E-2</v>
      </c>
    </row>
    <row r="164" spans="2:8" x14ac:dyDescent="0.3">
      <c r="B164" s="69">
        <v>44573</v>
      </c>
      <c r="C164" s="55">
        <v>1130.25</v>
      </c>
      <c r="D164" s="70">
        <f t="shared" si="5"/>
        <v>0.45632006184770002</v>
      </c>
      <c r="E164" s="180">
        <v>2.9301277235161492E-2</v>
      </c>
      <c r="G164" s="78">
        <v>162</v>
      </c>
      <c r="H164" s="180">
        <f t="shared" ca="1" si="6"/>
        <v>1.9514374166345765E-2</v>
      </c>
    </row>
    <row r="165" spans="2:8" x14ac:dyDescent="0.3">
      <c r="B165" s="69">
        <v>44245</v>
      </c>
      <c r="C165" s="55">
        <v>776.1</v>
      </c>
      <c r="D165" s="70">
        <f t="shared" si="5"/>
        <v>-0.28035606657703188</v>
      </c>
      <c r="E165" s="180">
        <v>2.9139731476877206E-2</v>
      </c>
      <c r="G165" s="78">
        <v>163</v>
      </c>
      <c r="H165" s="180">
        <f t="shared" ca="1" si="6"/>
        <v>-1.3865307268320357E-3</v>
      </c>
    </row>
    <row r="166" spans="2:8" x14ac:dyDescent="0.3">
      <c r="B166" s="69">
        <v>44594</v>
      </c>
      <c r="C166" s="55">
        <v>1078.45</v>
      </c>
      <c r="D166" s="70">
        <f t="shared" si="5"/>
        <v>0.42013431656570988</v>
      </c>
      <c r="E166" s="180">
        <v>2.8858996374737867E-2</v>
      </c>
      <c r="G166" s="78">
        <v>164</v>
      </c>
      <c r="H166" s="180">
        <f t="shared" ca="1" si="6"/>
        <v>1.4924692954664104E-3</v>
      </c>
    </row>
    <row r="167" spans="2:8" x14ac:dyDescent="0.3">
      <c r="B167" s="69">
        <v>43878</v>
      </c>
      <c r="C167" s="55">
        <v>759.4</v>
      </c>
      <c r="D167" s="70">
        <f t="shared" si="5"/>
        <v>-0.50828004856333475</v>
      </c>
      <c r="E167" s="180">
        <v>2.8579168359745395E-2</v>
      </c>
      <c r="G167" s="78">
        <v>165</v>
      </c>
      <c r="H167" s="180">
        <f t="shared" ca="1" si="6"/>
        <v>2.5368117516184854E-2</v>
      </c>
    </row>
    <row r="168" spans="2:8" x14ac:dyDescent="0.3">
      <c r="B168" s="69">
        <v>44866</v>
      </c>
      <c r="C168" s="55">
        <v>1544.375</v>
      </c>
      <c r="D168" s="70">
        <f t="shared" si="5"/>
        <v>1.2822994790704549</v>
      </c>
      <c r="E168" s="180">
        <v>2.8554778554778556E-2</v>
      </c>
      <c r="G168" s="78">
        <v>166</v>
      </c>
      <c r="H168" s="180">
        <f t="shared" ca="1" si="6"/>
        <v>-1.6840977516344804E-3</v>
      </c>
    </row>
    <row r="169" spans="2:8" x14ac:dyDescent="0.3">
      <c r="B169" s="69">
        <v>44110</v>
      </c>
      <c r="C169" s="55">
        <v>676.67499999999995</v>
      </c>
      <c r="D169" s="70">
        <f t="shared" si="5"/>
        <v>0.29643644027205651</v>
      </c>
      <c r="E169" s="180">
        <v>2.8420532695011103E-2</v>
      </c>
      <c r="G169" s="78">
        <v>167</v>
      </c>
      <c r="H169" s="180">
        <f t="shared" ca="1" si="6"/>
        <v>8.6172679891693086E-3</v>
      </c>
    </row>
    <row r="170" spans="2:8" x14ac:dyDescent="0.3">
      <c r="B170" s="69">
        <v>43997</v>
      </c>
      <c r="C170" s="55">
        <v>521.95000000000005</v>
      </c>
      <c r="D170" s="70">
        <f t="shared" si="5"/>
        <v>-0.42548156301596035</v>
      </c>
      <c r="E170" s="180">
        <v>2.8371589006009328E-2</v>
      </c>
      <c r="G170" s="78">
        <v>168</v>
      </c>
      <c r="H170" s="180">
        <f t="shared" ca="1" si="6"/>
        <v>-2.4500431521988521E-2</v>
      </c>
    </row>
    <row r="171" spans="2:8" x14ac:dyDescent="0.3">
      <c r="B171" s="69">
        <v>44382</v>
      </c>
      <c r="C171" s="55">
        <v>908.5</v>
      </c>
      <c r="D171" s="70">
        <f t="shared" si="5"/>
        <v>-0.76973183961068592</v>
      </c>
      <c r="E171" s="180">
        <v>2.8121994002150198E-2</v>
      </c>
      <c r="G171" s="78">
        <v>169</v>
      </c>
      <c r="H171" s="180">
        <f t="shared" ca="1" si="6"/>
        <v>3.4617270297558567E-2</v>
      </c>
    </row>
    <row r="172" spans="2:8" x14ac:dyDescent="0.3">
      <c r="B172" s="69">
        <v>46120</v>
      </c>
      <c r="C172" s="55">
        <v>3945.4</v>
      </c>
      <c r="D172" s="70">
        <f t="shared" si="5"/>
        <v>9.3140971178354359</v>
      </c>
      <c r="E172" s="180">
        <v>2.810386835350677E-2</v>
      </c>
      <c r="G172" s="78">
        <v>170</v>
      </c>
      <c r="H172" s="180">
        <f t="shared" ca="1" si="6"/>
        <v>1.6586912743083701E-2</v>
      </c>
    </row>
    <row r="173" spans="2:8" x14ac:dyDescent="0.3">
      <c r="B173" s="69">
        <v>43539</v>
      </c>
      <c r="C173" s="55">
        <v>382.52499999999998</v>
      </c>
      <c r="D173" s="70">
        <f t="shared" si="5"/>
        <v>0.23924840042115481</v>
      </c>
      <c r="E173" s="180">
        <v>2.8085735402808544E-2</v>
      </c>
      <c r="G173" s="78">
        <v>171</v>
      </c>
      <c r="H173" s="180">
        <f t="shared" ca="1" si="6"/>
        <v>1.0704312679076001E-2</v>
      </c>
    </row>
    <row r="174" spans="2:8" x14ac:dyDescent="0.3">
      <c r="B174" s="69">
        <v>43283</v>
      </c>
      <c r="C174" s="55">
        <v>308.67500000000001</v>
      </c>
      <c r="D174" s="70">
        <f t="shared" si="5"/>
        <v>-0.326698658523285</v>
      </c>
      <c r="E174" s="180">
        <v>2.763212650853104E-2</v>
      </c>
      <c r="G174" s="78">
        <v>172</v>
      </c>
      <c r="H174" s="180">
        <f t="shared" ca="1" si="6"/>
        <v>2.5732906411373012E-2</v>
      </c>
    </row>
    <row r="175" spans="2:8" x14ac:dyDescent="0.3">
      <c r="B175" s="69">
        <v>43693</v>
      </c>
      <c r="C175" s="55">
        <v>458.45000000000005</v>
      </c>
      <c r="D175" s="70">
        <f t="shared" si="5"/>
        <v>0.68408485627697679</v>
      </c>
      <c r="E175" s="180">
        <v>2.7569203182786214E-2</v>
      </c>
      <c r="G175" s="78">
        <v>173</v>
      </c>
      <c r="H175" s="180">
        <f t="shared" ca="1" si="6"/>
        <v>-2.0982446074189975E-2</v>
      </c>
    </row>
    <row r="176" spans="2:8" x14ac:dyDescent="0.3">
      <c r="B176" s="69">
        <v>42961</v>
      </c>
      <c r="C176" s="55">
        <v>272.22500000000002</v>
      </c>
      <c r="D176" s="70">
        <f t="shared" si="5"/>
        <v>-0.63901873031659207</v>
      </c>
      <c r="E176" s="180">
        <v>2.7458010945461537E-2</v>
      </c>
      <c r="G176" s="78">
        <v>174</v>
      </c>
      <c r="H176" s="180">
        <f t="shared" ca="1" si="6"/>
        <v>2.3369565207408568E-2</v>
      </c>
    </row>
    <row r="177" spans="2:8" x14ac:dyDescent="0.3">
      <c r="B177" s="69">
        <v>44244</v>
      </c>
      <c r="C177" s="55">
        <v>754.125</v>
      </c>
      <c r="D177" s="70">
        <f t="shared" si="5"/>
        <v>-0.49775224775224775</v>
      </c>
      <c r="E177" s="180">
        <v>2.741825613079019E-2</v>
      </c>
      <c r="G177" s="78">
        <v>175</v>
      </c>
      <c r="H177" s="180">
        <f t="shared" ca="1" si="6"/>
        <v>-1.733032311684576E-2</v>
      </c>
    </row>
    <row r="178" spans="2:8" x14ac:dyDescent="0.3">
      <c r="B178" s="69">
        <v>44865</v>
      </c>
      <c r="C178" s="55">
        <v>1501.5</v>
      </c>
      <c r="D178" s="70">
        <f t="shared" si="5"/>
        <v>4.0381679389312977</v>
      </c>
      <c r="E178" s="180">
        <v>2.7369141293191925E-2</v>
      </c>
      <c r="G178" s="78">
        <v>176</v>
      </c>
      <c r="H178" s="180">
        <f t="shared" ca="1" si="6"/>
        <v>-3.1967982638887345E-3</v>
      </c>
    </row>
    <row r="179" spans="2:8" x14ac:dyDescent="0.3">
      <c r="B179" s="69">
        <v>42975</v>
      </c>
      <c r="C179" s="55">
        <v>298.02499999999998</v>
      </c>
      <c r="D179" s="70">
        <f t="shared" si="5"/>
        <v>-0.79936043086762598</v>
      </c>
      <c r="E179" s="180">
        <v>2.7229642395519095E-2</v>
      </c>
      <c r="G179" s="78">
        <v>177</v>
      </c>
      <c r="H179" s="180">
        <f t="shared" ca="1" si="6"/>
        <v>-1.3340916639006965E-2</v>
      </c>
    </row>
    <row r="180" spans="2:8" x14ac:dyDescent="0.3">
      <c r="B180" s="69">
        <v>44791</v>
      </c>
      <c r="C180" s="55">
        <v>1485.375</v>
      </c>
      <c r="D180" s="70">
        <f t="shared" si="5"/>
        <v>-0.64024050571594648</v>
      </c>
      <c r="E180" s="180">
        <v>2.7123742350378528E-2</v>
      </c>
      <c r="G180" s="78">
        <v>178</v>
      </c>
      <c r="H180" s="180">
        <f t="shared" ca="1" si="6"/>
        <v>-9.3977394588794466E-4</v>
      </c>
    </row>
    <row r="181" spans="2:8" x14ac:dyDescent="0.3">
      <c r="B181" s="69">
        <v>46129</v>
      </c>
      <c r="C181" s="55">
        <v>4128.8</v>
      </c>
      <c r="D181" s="70">
        <f t="shared" si="5"/>
        <v>14.695875308876639</v>
      </c>
      <c r="E181" s="180">
        <v>2.7013581413860097E-2</v>
      </c>
      <c r="G181" s="78">
        <v>179</v>
      </c>
      <c r="H181" s="180">
        <f t="shared" ca="1" si="6"/>
        <v>-4.0073471258188886E-2</v>
      </c>
    </row>
    <row r="182" spans="2:8" x14ac:dyDescent="0.3">
      <c r="B182" s="69">
        <v>42947</v>
      </c>
      <c r="C182" s="55">
        <v>263.05</v>
      </c>
      <c r="D182" s="70">
        <f t="shared" si="5"/>
        <v>-0.95711764729855842</v>
      </c>
      <c r="E182" s="180">
        <v>2.693734140152268E-2</v>
      </c>
      <c r="G182" s="78">
        <v>180</v>
      </c>
      <c r="H182" s="180">
        <f t="shared" ca="1" si="6"/>
        <v>-3.5780272404744948E-2</v>
      </c>
    </row>
    <row r="183" spans="2:8" x14ac:dyDescent="0.3">
      <c r="B183" s="69">
        <v>45691</v>
      </c>
      <c r="C183" s="55">
        <v>6134.2250000000004</v>
      </c>
      <c r="D183" s="70">
        <f t="shared" si="5"/>
        <v>5.6174654116885563</v>
      </c>
      <c r="E183" s="180">
        <v>2.6867657952115303E-2</v>
      </c>
      <c r="G183" s="78">
        <v>181</v>
      </c>
      <c r="H183" s="180">
        <f t="shared" ca="1" si="6"/>
        <v>3.1432303366014824E-2</v>
      </c>
    </row>
    <row r="184" spans="2:8" x14ac:dyDescent="0.3">
      <c r="B184" s="69">
        <v>44385</v>
      </c>
      <c r="C184" s="55">
        <v>926.97500000000002</v>
      </c>
      <c r="D184" s="70">
        <f t="shared" si="5"/>
        <v>-0.57148470454991973</v>
      </c>
      <c r="E184" s="180">
        <v>2.6806236326880929E-2</v>
      </c>
      <c r="G184" s="78">
        <v>182</v>
      </c>
      <c r="H184" s="180">
        <f t="shared" ca="1" si="6"/>
        <v>3.3597164382102494E-2</v>
      </c>
    </row>
    <row r="185" spans="2:8" x14ac:dyDescent="0.3">
      <c r="B185" s="69">
        <v>45195</v>
      </c>
      <c r="C185" s="55">
        <v>2163.2249999999999</v>
      </c>
      <c r="D185" s="70">
        <f t="shared" si="5"/>
        <v>-0.70714099565766275</v>
      </c>
      <c r="E185" s="180">
        <v>2.6538698808902254E-2</v>
      </c>
      <c r="G185" s="78">
        <v>183</v>
      </c>
      <c r="H185" s="180">
        <f t="shared" ca="1" si="6"/>
        <v>1.5757674591075806E-2</v>
      </c>
    </row>
    <row r="186" spans="2:8" x14ac:dyDescent="0.3">
      <c r="B186" s="69">
        <v>45660</v>
      </c>
      <c r="C186" s="55">
        <v>7386.5750000000007</v>
      </c>
      <c r="D186" s="70">
        <f t="shared" si="5"/>
        <v>28.023870333988214</v>
      </c>
      <c r="E186" s="180">
        <v>2.6487029207299964E-2</v>
      </c>
      <c r="G186" s="78">
        <v>184</v>
      </c>
      <c r="H186" s="180">
        <f t="shared" ca="1" si="6"/>
        <v>1.3389027255924286E-2</v>
      </c>
    </row>
    <row r="187" spans="2:8" x14ac:dyDescent="0.3">
      <c r="B187" s="69">
        <v>42773</v>
      </c>
      <c r="C187" s="55">
        <v>254.5</v>
      </c>
      <c r="D187" s="70">
        <f t="shared" si="5"/>
        <v>-0.42270613587388001</v>
      </c>
      <c r="E187" s="180">
        <v>2.6313136404879429E-2</v>
      </c>
      <c r="G187" s="78">
        <v>185</v>
      </c>
      <c r="H187" s="180">
        <f t="shared" ca="1" si="6"/>
        <v>6.6828500154330504E-3</v>
      </c>
    </row>
    <row r="188" spans="2:8" x14ac:dyDescent="0.3">
      <c r="B188" s="69">
        <v>43682</v>
      </c>
      <c r="C188" s="55">
        <v>440.85</v>
      </c>
      <c r="D188" s="70">
        <f t="shared" si="5"/>
        <v>-0.17555752957127493</v>
      </c>
      <c r="E188" s="180">
        <v>2.6306599930159495E-2</v>
      </c>
      <c r="G188" s="78">
        <v>186</v>
      </c>
      <c r="H188" s="180">
        <f t="shared" ca="1" si="6"/>
        <v>-3.3865568574160829E-2</v>
      </c>
    </row>
    <row r="189" spans="2:8" x14ac:dyDescent="0.3">
      <c r="B189" s="69">
        <v>43826</v>
      </c>
      <c r="C189" s="55">
        <v>534.72500000000002</v>
      </c>
      <c r="D189" s="70">
        <f t="shared" si="5"/>
        <v>-0.29539465015153504</v>
      </c>
      <c r="E189" s="180">
        <v>2.6294323688882581E-2</v>
      </c>
      <c r="G189" s="78">
        <v>187</v>
      </c>
      <c r="H189" s="180">
        <f t="shared" ca="1" si="6"/>
        <v>-3.7849018481519742E-3</v>
      </c>
    </row>
    <row r="190" spans="2:8" x14ac:dyDescent="0.3">
      <c r="B190" s="69">
        <v>44152</v>
      </c>
      <c r="C190" s="55">
        <v>758.9</v>
      </c>
      <c r="D190" s="70">
        <f t="shared" si="5"/>
        <v>-0.81386964252866512</v>
      </c>
      <c r="E190" s="180">
        <v>2.6268636532675145E-2</v>
      </c>
      <c r="G190" s="78">
        <v>188</v>
      </c>
      <c r="H190" s="180">
        <f t="shared" ca="1" si="6"/>
        <v>-1.9648208339419465E-2</v>
      </c>
    </row>
    <row r="191" spans="2:8" x14ac:dyDescent="0.3">
      <c r="B191" s="69">
        <v>45400</v>
      </c>
      <c r="C191" s="55">
        <v>4077.25</v>
      </c>
      <c r="D191" s="70">
        <f t="shared" si="5"/>
        <v>11.256876597023899</v>
      </c>
      <c r="E191" s="180">
        <v>2.6239617417568587E-2</v>
      </c>
      <c r="G191" s="78">
        <v>189</v>
      </c>
      <c r="H191" s="180">
        <f t="shared" ca="1" si="6"/>
        <v>-7.7257821195012627E-3</v>
      </c>
    </row>
    <row r="192" spans="2:8" x14ac:dyDescent="0.3">
      <c r="B192" s="69">
        <v>43389</v>
      </c>
      <c r="C192" s="55">
        <v>332.65</v>
      </c>
      <c r="D192" s="70">
        <f t="shared" si="5"/>
        <v>-6.3221627710504213E-2</v>
      </c>
      <c r="E192" s="180">
        <v>2.5905936777178035E-2</v>
      </c>
      <c r="G192" s="78">
        <v>190</v>
      </c>
      <c r="H192" s="180">
        <f t="shared" ca="1" si="6"/>
        <v>-1.3380215765483591E-2</v>
      </c>
    </row>
    <row r="193" spans="2:8" x14ac:dyDescent="0.3">
      <c r="B193" s="69">
        <v>43462</v>
      </c>
      <c r="C193" s="55">
        <v>355.1</v>
      </c>
      <c r="D193" s="70">
        <f t="shared" si="5"/>
        <v>-0.93208279740074684</v>
      </c>
      <c r="E193" s="180">
        <v>2.5855842842698384E-2</v>
      </c>
      <c r="G193" s="78">
        <v>191</v>
      </c>
      <c r="H193" s="180">
        <f t="shared" ca="1" si="6"/>
        <v>1.5324921627905814E-2</v>
      </c>
    </row>
    <row r="194" spans="2:8" x14ac:dyDescent="0.3">
      <c r="B194" s="69">
        <v>45734</v>
      </c>
      <c r="C194" s="55">
        <v>5228.4249999999993</v>
      </c>
      <c r="D194" s="70">
        <f t="shared" si="5"/>
        <v>13.353946465339737</v>
      </c>
      <c r="E194" s="180">
        <v>2.5794838089445542E-2</v>
      </c>
      <c r="G194" s="78">
        <v>192</v>
      </c>
      <c r="H194" s="180">
        <f t="shared" ca="1" si="6"/>
        <v>2.8513594217552314E-3</v>
      </c>
    </row>
    <row r="195" spans="2:8" x14ac:dyDescent="0.3">
      <c r="B195" s="69">
        <v>43465</v>
      </c>
      <c r="C195" s="55">
        <v>364.25</v>
      </c>
      <c r="D195" s="70">
        <f t="shared" ref="D195:D258" si="7">(C195-C196)/C196</f>
        <v>-0.74660869565217391</v>
      </c>
      <c r="E195" s="180">
        <v>2.5767389467755496E-2</v>
      </c>
      <c r="G195" s="78">
        <v>193</v>
      </c>
      <c r="H195" s="180">
        <f t="shared" ca="1" si="6"/>
        <v>2.2157473563945068E-2</v>
      </c>
    </row>
    <row r="196" spans="2:8" x14ac:dyDescent="0.3">
      <c r="B196" s="69">
        <v>44817</v>
      </c>
      <c r="C196" s="55">
        <v>1437.5</v>
      </c>
      <c r="D196" s="70">
        <f t="shared" si="7"/>
        <v>2.8054268696227664</v>
      </c>
      <c r="E196" s="180">
        <v>2.5759954331382836E-2</v>
      </c>
      <c r="G196" s="78">
        <v>194</v>
      </c>
      <c r="H196" s="180">
        <f t="shared" ref="H196:H259" ca="1" si="8">_xlfn.NORM.INV(RAND(),$N$4,$N$5)</f>
        <v>-1.5613747316803808E-2</v>
      </c>
    </row>
    <row r="197" spans="2:8" x14ac:dyDescent="0.3">
      <c r="B197" s="69">
        <v>43607</v>
      </c>
      <c r="C197" s="55">
        <v>377.75</v>
      </c>
      <c r="D197" s="70">
        <f t="shared" si="7"/>
        <v>-0.90447591351624734</v>
      </c>
      <c r="E197" s="180">
        <v>2.5519207275688821E-2</v>
      </c>
      <c r="G197" s="78">
        <v>195</v>
      </c>
      <c r="H197" s="180">
        <f t="shared" ca="1" si="8"/>
        <v>-1.6590232565184639E-2</v>
      </c>
    </row>
    <row r="198" spans="2:8" x14ac:dyDescent="0.3">
      <c r="B198" s="69">
        <v>46127</v>
      </c>
      <c r="C198" s="55">
        <v>3954.5</v>
      </c>
      <c r="D198" s="70">
        <f t="shared" si="7"/>
        <v>7.3077731092436977</v>
      </c>
      <c r="E198" s="180">
        <v>2.5438232548490796E-2</v>
      </c>
      <c r="G198" s="78">
        <v>196</v>
      </c>
      <c r="H198" s="180">
        <f t="shared" ca="1" si="8"/>
        <v>5.1908045289463028E-3</v>
      </c>
    </row>
    <row r="199" spans="2:8" x14ac:dyDescent="0.3">
      <c r="B199" s="69">
        <v>43921</v>
      </c>
      <c r="C199" s="55">
        <v>476</v>
      </c>
      <c r="D199" s="70">
        <f t="shared" si="7"/>
        <v>-0.3409484250605746</v>
      </c>
      <c r="E199" s="180">
        <v>2.5420077552778999E-2</v>
      </c>
      <c r="G199" s="78">
        <v>197</v>
      </c>
      <c r="H199" s="180">
        <f t="shared" ca="1" si="8"/>
        <v>2.2101843652562909E-2</v>
      </c>
    </row>
    <row r="200" spans="2:8" x14ac:dyDescent="0.3">
      <c r="B200" s="69">
        <v>44299</v>
      </c>
      <c r="C200" s="55">
        <v>722.25</v>
      </c>
      <c r="D200" s="70">
        <f t="shared" si="7"/>
        <v>-0.37675281529102123</v>
      </c>
      <c r="E200" s="180">
        <v>2.53407155025554E-2</v>
      </c>
      <c r="G200" s="78">
        <v>198</v>
      </c>
      <c r="H200" s="180">
        <f t="shared" ca="1" si="8"/>
        <v>8.7253511553421568E-3</v>
      </c>
    </row>
    <row r="201" spans="2:8" x14ac:dyDescent="0.3">
      <c r="B201" s="69">
        <v>44574</v>
      </c>
      <c r="C201" s="55">
        <v>1158.8499999999999</v>
      </c>
      <c r="D201" s="70">
        <f t="shared" si="7"/>
        <v>0.683579704354774</v>
      </c>
      <c r="E201" s="180">
        <v>2.5304136253041284E-2</v>
      </c>
      <c r="G201" s="78">
        <v>199</v>
      </c>
      <c r="H201" s="180">
        <f t="shared" ca="1" si="8"/>
        <v>1.9342509915819043E-2</v>
      </c>
    </row>
    <row r="202" spans="2:8" x14ac:dyDescent="0.3">
      <c r="B202" s="69">
        <v>44132</v>
      </c>
      <c r="C202" s="55">
        <v>688.32500000000005</v>
      </c>
      <c r="D202" s="70">
        <f t="shared" si="7"/>
        <v>1.0412959667852906</v>
      </c>
      <c r="E202" s="180">
        <v>2.5284873761823225E-2</v>
      </c>
      <c r="G202" s="78">
        <v>200</v>
      </c>
      <c r="H202" s="180">
        <f t="shared" ca="1" si="8"/>
        <v>-1.9421045889208864E-2</v>
      </c>
    </row>
    <row r="203" spans="2:8" x14ac:dyDescent="0.3">
      <c r="B203" s="69">
        <v>43376</v>
      </c>
      <c r="C203" s="55">
        <v>337.20000000000005</v>
      </c>
      <c r="D203" s="70">
        <f t="shared" si="7"/>
        <v>-0.41655852582403319</v>
      </c>
      <c r="E203" s="180">
        <v>2.507979936160528E-2</v>
      </c>
      <c r="G203" s="78">
        <v>201</v>
      </c>
      <c r="H203" s="180">
        <f t="shared" ca="1" si="8"/>
        <v>-3.9192234506915981E-2</v>
      </c>
    </row>
    <row r="204" spans="2:8" x14ac:dyDescent="0.3">
      <c r="B204" s="69">
        <v>44061</v>
      </c>
      <c r="C204" s="55">
        <v>577.95000000000005</v>
      </c>
      <c r="D204" s="70">
        <f t="shared" si="7"/>
        <v>-0.50714194346139085</v>
      </c>
      <c r="E204" s="180">
        <v>2.5052099498958008E-2</v>
      </c>
      <c r="G204" s="78">
        <v>202</v>
      </c>
      <c r="H204" s="180">
        <f t="shared" ca="1" si="8"/>
        <v>-7.5898461527622576E-3</v>
      </c>
    </row>
    <row r="205" spans="2:8" x14ac:dyDescent="0.3">
      <c r="B205" s="69">
        <v>44749</v>
      </c>
      <c r="C205" s="55">
        <v>1172.6500000000001</v>
      </c>
      <c r="D205" s="70">
        <f t="shared" si="7"/>
        <v>2.9036284953395479</v>
      </c>
      <c r="E205" s="180">
        <v>2.5043706293706374E-2</v>
      </c>
      <c r="G205" s="78">
        <v>203</v>
      </c>
      <c r="H205" s="180">
        <f t="shared" ca="1" si="8"/>
        <v>-1.005299608663575E-2</v>
      </c>
    </row>
    <row r="206" spans="2:8" x14ac:dyDescent="0.3">
      <c r="B206" s="69">
        <v>42984</v>
      </c>
      <c r="C206" s="55">
        <v>300.39999999999998</v>
      </c>
      <c r="D206" s="70">
        <f t="shared" si="7"/>
        <v>-0.94886808510638299</v>
      </c>
      <c r="E206" s="180">
        <v>2.4906175366768864E-2</v>
      </c>
      <c r="G206" s="78">
        <v>204</v>
      </c>
      <c r="H206" s="180">
        <f t="shared" ca="1" si="8"/>
        <v>-1.4631275733047462E-3</v>
      </c>
    </row>
    <row r="207" spans="2:8" x14ac:dyDescent="0.3">
      <c r="B207" s="69">
        <v>45828</v>
      </c>
      <c r="C207" s="55">
        <v>5875</v>
      </c>
      <c r="D207" s="70">
        <f t="shared" si="7"/>
        <v>16.47471743010113</v>
      </c>
      <c r="E207" s="180">
        <v>2.4858264282599216E-2</v>
      </c>
      <c r="G207" s="78">
        <v>205</v>
      </c>
      <c r="H207" s="180">
        <f t="shared" ca="1" si="8"/>
        <v>1.39710730967673E-2</v>
      </c>
    </row>
    <row r="208" spans="2:8" x14ac:dyDescent="0.3">
      <c r="B208" s="69">
        <v>43075</v>
      </c>
      <c r="C208" s="55">
        <v>336.2</v>
      </c>
      <c r="D208" s="70">
        <f t="shared" si="7"/>
        <v>-0.76065211974513225</v>
      </c>
      <c r="E208" s="180">
        <v>2.4843773814967159E-2</v>
      </c>
      <c r="G208" s="78">
        <v>206</v>
      </c>
      <c r="H208" s="180">
        <f t="shared" ca="1" si="8"/>
        <v>-1.3312268453287823E-2</v>
      </c>
    </row>
    <row r="209" spans="2:8" x14ac:dyDescent="0.3">
      <c r="B209" s="69">
        <v>44852</v>
      </c>
      <c r="C209" s="55">
        <v>1404.65</v>
      </c>
      <c r="D209" s="70">
        <f t="shared" si="7"/>
        <v>-0.76666943521594688</v>
      </c>
      <c r="E209" s="180">
        <v>2.4749676266209622E-2</v>
      </c>
      <c r="G209" s="78">
        <v>207</v>
      </c>
      <c r="H209" s="180">
        <f t="shared" ca="1" si="8"/>
        <v>3.429308820474773E-3</v>
      </c>
    </row>
    <row r="210" spans="2:8" x14ac:dyDescent="0.3">
      <c r="B210" s="69">
        <v>45831</v>
      </c>
      <c r="C210" s="55">
        <v>6020</v>
      </c>
      <c r="D210" s="70">
        <f t="shared" si="7"/>
        <v>5.6482606294864715</v>
      </c>
      <c r="E210" s="180">
        <v>2.4680851063829789E-2</v>
      </c>
      <c r="G210" s="78">
        <v>208</v>
      </c>
      <c r="H210" s="180">
        <f t="shared" ca="1" si="8"/>
        <v>1.8224260164785525E-2</v>
      </c>
    </row>
    <row r="211" spans="2:8" x14ac:dyDescent="0.3">
      <c r="B211" s="69">
        <v>44404</v>
      </c>
      <c r="C211" s="55">
        <v>905.5</v>
      </c>
      <c r="D211" s="70">
        <f t="shared" si="7"/>
        <v>-0.83856014548307156</v>
      </c>
      <c r="E211" s="180">
        <v>2.4553066304593852E-2</v>
      </c>
      <c r="G211" s="78">
        <v>209</v>
      </c>
      <c r="H211" s="180">
        <f t="shared" ca="1" si="8"/>
        <v>-1.6314786565570685E-2</v>
      </c>
    </row>
    <row r="212" spans="2:8" x14ac:dyDescent="0.3">
      <c r="B212" s="69">
        <v>45749</v>
      </c>
      <c r="C212" s="55">
        <v>5608.9</v>
      </c>
      <c r="D212" s="70">
        <f t="shared" si="7"/>
        <v>4.199082334947744</v>
      </c>
      <c r="E212" s="180">
        <v>2.4536151208084615E-2</v>
      </c>
      <c r="G212" s="78">
        <v>210</v>
      </c>
      <c r="H212" s="180">
        <f t="shared" ca="1" si="8"/>
        <v>-9.4212050318752613E-3</v>
      </c>
    </row>
    <row r="213" spans="2:8" x14ac:dyDescent="0.3">
      <c r="B213" s="69">
        <v>44741</v>
      </c>
      <c r="C213" s="55">
        <v>1078.825</v>
      </c>
      <c r="D213" s="70">
        <f t="shared" si="7"/>
        <v>-0.73691686785183019</v>
      </c>
      <c r="E213" s="180">
        <v>2.4525166191832901E-2</v>
      </c>
      <c r="G213" s="78">
        <v>211</v>
      </c>
      <c r="H213" s="180">
        <f t="shared" ca="1" si="8"/>
        <v>-8.1761187396543113E-3</v>
      </c>
    </row>
    <row r="214" spans="2:8" x14ac:dyDescent="0.3">
      <c r="B214" s="69">
        <v>46059</v>
      </c>
      <c r="C214" s="55">
        <v>4100.7</v>
      </c>
      <c r="D214" s="70">
        <f t="shared" si="7"/>
        <v>-0.26642218246869415</v>
      </c>
      <c r="E214" s="180">
        <v>2.4483473655282684E-2</v>
      </c>
      <c r="G214" s="78">
        <v>212</v>
      </c>
      <c r="H214" s="180">
        <f t="shared" ca="1" si="8"/>
        <v>3.0838580697286934E-3</v>
      </c>
    </row>
    <row r="215" spans="2:8" x14ac:dyDescent="0.3">
      <c r="B215" s="69">
        <v>45503</v>
      </c>
      <c r="C215" s="55">
        <v>5590</v>
      </c>
      <c r="D215" s="70">
        <f t="shared" si="7"/>
        <v>7.4060150375939848</v>
      </c>
      <c r="E215" s="180">
        <v>2.4283207893760324E-2</v>
      </c>
      <c r="G215" s="78">
        <v>213</v>
      </c>
      <c r="H215" s="180">
        <f t="shared" ca="1" si="8"/>
        <v>-1.4149898489129181E-2</v>
      </c>
    </row>
    <row r="216" spans="2:8" x14ac:dyDescent="0.3">
      <c r="B216" s="69">
        <v>44214</v>
      </c>
      <c r="C216" s="55">
        <v>665</v>
      </c>
      <c r="D216" s="70">
        <f t="shared" si="7"/>
        <v>0.30168827991191582</v>
      </c>
      <c r="E216" s="180">
        <v>2.4258760107816711E-2</v>
      </c>
      <c r="G216" s="78">
        <v>214</v>
      </c>
      <c r="H216" s="180">
        <f t="shared" ca="1" si="8"/>
        <v>2.0246959078030421E-2</v>
      </c>
    </row>
    <row r="217" spans="2:8" x14ac:dyDescent="0.3">
      <c r="B217" s="69">
        <v>43788</v>
      </c>
      <c r="C217" s="55">
        <v>510.875</v>
      </c>
      <c r="D217" s="70">
        <f t="shared" si="7"/>
        <v>0.11850027367268746</v>
      </c>
      <c r="E217" s="180">
        <v>2.4208099438652743E-2</v>
      </c>
      <c r="G217" s="78">
        <v>215</v>
      </c>
      <c r="H217" s="180">
        <f t="shared" ca="1" si="8"/>
        <v>9.9920777817491743E-3</v>
      </c>
    </row>
    <row r="218" spans="2:8" x14ac:dyDescent="0.3">
      <c r="B218" s="69">
        <v>43726</v>
      </c>
      <c r="C218" s="55">
        <v>456.75</v>
      </c>
      <c r="D218" s="70">
        <f t="shared" si="7"/>
        <v>-0.50152788388082503</v>
      </c>
      <c r="E218" s="180">
        <v>2.4103139013452915E-2</v>
      </c>
      <c r="G218" s="78">
        <v>216</v>
      </c>
      <c r="H218" s="180">
        <f t="shared" ca="1" si="8"/>
        <v>-1.5888103567788206E-2</v>
      </c>
    </row>
    <row r="219" spans="2:8" x14ac:dyDescent="0.3">
      <c r="B219" s="69">
        <v>44264</v>
      </c>
      <c r="C219" s="55">
        <v>916.3</v>
      </c>
      <c r="D219" s="70">
        <f t="shared" si="7"/>
        <v>-0.83001182663543815</v>
      </c>
      <c r="E219" s="180">
        <v>2.405632700958326E-2</v>
      </c>
      <c r="G219" s="78">
        <v>217</v>
      </c>
      <c r="H219" s="180">
        <f t="shared" ca="1" si="8"/>
        <v>2.385378150160734E-2</v>
      </c>
    </row>
    <row r="220" spans="2:8" x14ac:dyDescent="0.3">
      <c r="B220" s="69">
        <v>45743</v>
      </c>
      <c r="C220" s="55">
        <v>5390.375</v>
      </c>
      <c r="D220" s="70">
        <f t="shared" si="7"/>
        <v>4.0457502574183284</v>
      </c>
      <c r="E220" s="180">
        <v>2.3958778553450161E-2</v>
      </c>
      <c r="G220" s="78">
        <v>218</v>
      </c>
      <c r="H220" s="180">
        <f t="shared" ca="1" si="8"/>
        <v>5.1194872992964225E-3</v>
      </c>
    </row>
    <row r="221" spans="2:8" x14ac:dyDescent="0.3">
      <c r="B221" s="69">
        <v>44701</v>
      </c>
      <c r="C221" s="55">
        <v>1068.3</v>
      </c>
      <c r="D221" s="70">
        <f t="shared" si="7"/>
        <v>-0.2007332036510549</v>
      </c>
      <c r="E221" s="180">
        <v>2.3937890877722801E-2</v>
      </c>
      <c r="G221" s="78">
        <v>219</v>
      </c>
      <c r="H221" s="180">
        <f t="shared" ca="1" si="8"/>
        <v>2.0401664342959386E-2</v>
      </c>
    </row>
    <row r="222" spans="2:8" x14ac:dyDescent="0.3">
      <c r="B222" s="69">
        <v>44967</v>
      </c>
      <c r="C222" s="55">
        <v>1336.6</v>
      </c>
      <c r="D222" s="70">
        <f t="shared" si="7"/>
        <v>-0.66054603174603177</v>
      </c>
      <c r="E222" s="180">
        <v>2.3900720085797314E-2</v>
      </c>
      <c r="G222" s="78">
        <v>220</v>
      </c>
      <c r="H222" s="180">
        <f t="shared" ca="1" si="8"/>
        <v>2.6914354152541911E-2</v>
      </c>
    </row>
    <row r="223" spans="2:8" x14ac:dyDescent="0.3">
      <c r="B223" s="69">
        <v>46057</v>
      </c>
      <c r="C223" s="55">
        <v>3937.5</v>
      </c>
      <c r="D223" s="70">
        <f t="shared" si="7"/>
        <v>2.9025719807720898</v>
      </c>
      <c r="E223" s="180">
        <v>2.3897441231537364E-2</v>
      </c>
      <c r="G223" s="78">
        <v>221</v>
      </c>
      <c r="H223" s="180">
        <f t="shared" ca="1" si="8"/>
        <v>-7.6620040737945478E-3</v>
      </c>
    </row>
    <row r="224" spans="2:8" x14ac:dyDescent="0.3">
      <c r="B224" s="69">
        <v>44462</v>
      </c>
      <c r="C224" s="55">
        <v>1008.95</v>
      </c>
      <c r="D224" s="70">
        <f t="shared" si="7"/>
        <v>-0.80371577257915472</v>
      </c>
      <c r="E224" s="180">
        <v>2.3821000025368501E-2</v>
      </c>
      <c r="G224" s="78">
        <v>222</v>
      </c>
      <c r="H224" s="180">
        <f t="shared" ca="1" si="8"/>
        <v>-1.5338203060745225E-2</v>
      </c>
    </row>
    <row r="225" spans="2:8" x14ac:dyDescent="0.3">
      <c r="B225" s="69">
        <v>45870</v>
      </c>
      <c r="C225" s="55">
        <v>5140.25</v>
      </c>
      <c r="D225" s="70">
        <f t="shared" si="7"/>
        <v>15.61763517336135</v>
      </c>
      <c r="E225" s="180">
        <v>2.3801224916596125E-2</v>
      </c>
      <c r="G225" s="78">
        <v>223</v>
      </c>
      <c r="H225" s="180">
        <f t="shared" ca="1" si="8"/>
        <v>3.4684093335011948E-2</v>
      </c>
    </row>
    <row r="226" spans="2:8" x14ac:dyDescent="0.3">
      <c r="B226" s="69">
        <v>43138</v>
      </c>
      <c r="C226" s="55">
        <v>309.32500000000005</v>
      </c>
      <c r="D226" s="70">
        <f t="shared" si="7"/>
        <v>-0.92536404106696912</v>
      </c>
      <c r="E226" s="180">
        <v>2.374648353466844E-2</v>
      </c>
      <c r="G226" s="78">
        <v>224</v>
      </c>
      <c r="H226" s="180">
        <f t="shared" ca="1" si="8"/>
        <v>1.0750844866239407E-2</v>
      </c>
    </row>
    <row r="227" spans="2:8" x14ac:dyDescent="0.3">
      <c r="B227" s="69">
        <v>46013</v>
      </c>
      <c r="C227" s="55">
        <v>4144.45</v>
      </c>
      <c r="D227" s="70">
        <f t="shared" si="7"/>
        <v>7.1045221217306276</v>
      </c>
      <c r="E227" s="180">
        <v>2.3700135852784937E-2</v>
      </c>
      <c r="G227" s="78">
        <v>225</v>
      </c>
      <c r="H227" s="180">
        <f t="shared" ca="1" si="8"/>
        <v>2.7089293114466881E-2</v>
      </c>
    </row>
    <row r="228" spans="2:8" x14ac:dyDescent="0.3">
      <c r="B228" s="69">
        <v>43756</v>
      </c>
      <c r="C228" s="55">
        <v>511.375</v>
      </c>
      <c r="D228" s="70">
        <f t="shared" si="7"/>
        <v>-0.52777264752054676</v>
      </c>
      <c r="E228" s="180">
        <v>2.3620077065505705E-2</v>
      </c>
      <c r="G228" s="78">
        <v>226</v>
      </c>
      <c r="H228" s="180">
        <f t="shared" ca="1" si="8"/>
        <v>-2.5368890843996978E-2</v>
      </c>
    </row>
    <row r="229" spans="2:8" x14ac:dyDescent="0.3">
      <c r="B229" s="69">
        <v>44699</v>
      </c>
      <c r="C229" s="55">
        <v>1082.9000000000001</v>
      </c>
      <c r="D229" s="70">
        <f t="shared" si="7"/>
        <v>-0.17520041129538996</v>
      </c>
      <c r="E229" s="180">
        <v>2.3607533615332028E-2</v>
      </c>
      <c r="G229" s="78">
        <v>227</v>
      </c>
      <c r="H229" s="180">
        <f t="shared" ca="1" si="8"/>
        <v>1.8962628783441307E-2</v>
      </c>
    </row>
    <row r="230" spans="2:8" x14ac:dyDescent="0.3">
      <c r="B230" s="69">
        <v>44656</v>
      </c>
      <c r="C230" s="55">
        <v>1312.925</v>
      </c>
      <c r="D230" s="70">
        <f t="shared" si="7"/>
        <v>2.8050282567743805</v>
      </c>
      <c r="E230" s="180">
        <v>2.3583526614302144E-2</v>
      </c>
      <c r="G230" s="78">
        <v>228</v>
      </c>
      <c r="H230" s="180">
        <f t="shared" ca="1" si="8"/>
        <v>2.463941859460052E-3</v>
      </c>
    </row>
    <row r="231" spans="2:8" x14ac:dyDescent="0.3">
      <c r="B231" s="69">
        <v>43306</v>
      </c>
      <c r="C231" s="55">
        <v>345.05</v>
      </c>
      <c r="D231" s="70">
        <f t="shared" si="7"/>
        <v>-0.4971399424345101</v>
      </c>
      <c r="E231" s="180">
        <v>2.3583506377929362E-2</v>
      </c>
      <c r="G231" s="78">
        <v>229</v>
      </c>
      <c r="H231" s="180">
        <f t="shared" ca="1" si="8"/>
        <v>1.825082700645313E-3</v>
      </c>
    </row>
    <row r="232" spans="2:8" x14ac:dyDescent="0.3">
      <c r="B232" s="69">
        <v>44085</v>
      </c>
      <c r="C232" s="55">
        <v>686.17499999999995</v>
      </c>
      <c r="D232" s="70">
        <f t="shared" si="7"/>
        <v>-0.44827932781217333</v>
      </c>
      <c r="E232" s="180">
        <v>2.3568898004847964E-2</v>
      </c>
      <c r="G232" s="78">
        <v>230</v>
      </c>
      <c r="H232" s="180">
        <f t="shared" ca="1" si="8"/>
        <v>-2.621069813896889E-2</v>
      </c>
    </row>
    <row r="233" spans="2:8" x14ac:dyDescent="0.3">
      <c r="B233" s="69">
        <v>44764</v>
      </c>
      <c r="C233" s="55">
        <v>1243.6999999999998</v>
      </c>
      <c r="D233" s="70">
        <f t="shared" si="7"/>
        <v>1.7623965794880332</v>
      </c>
      <c r="E233" s="180">
        <v>2.3537157435601936E-2</v>
      </c>
      <c r="G233" s="78">
        <v>231</v>
      </c>
      <c r="H233" s="180">
        <f t="shared" ca="1" si="8"/>
        <v>3.062187236266764E-3</v>
      </c>
    </row>
    <row r="234" spans="2:8" x14ac:dyDescent="0.3">
      <c r="B234" s="69">
        <v>43973</v>
      </c>
      <c r="C234" s="55">
        <v>450.22500000000002</v>
      </c>
      <c r="D234" s="70">
        <f t="shared" si="7"/>
        <v>-0.92296603644452047</v>
      </c>
      <c r="E234" s="180">
        <v>2.3471243464423839E-2</v>
      </c>
      <c r="G234" s="78">
        <v>232</v>
      </c>
      <c r="H234" s="180">
        <f t="shared" ca="1" si="8"/>
        <v>1.3374769355471317E-2</v>
      </c>
    </row>
    <row r="235" spans="2:8" x14ac:dyDescent="0.3">
      <c r="B235" s="69">
        <v>45817</v>
      </c>
      <c r="C235" s="55">
        <v>5844.5</v>
      </c>
      <c r="D235" s="70">
        <f t="shared" si="7"/>
        <v>7.6326206565488723</v>
      </c>
      <c r="E235" s="180">
        <v>2.3465545924174765E-2</v>
      </c>
      <c r="G235" s="78">
        <v>233</v>
      </c>
      <c r="H235" s="180">
        <f t="shared" ca="1" si="8"/>
        <v>-1.1261617578784608E-3</v>
      </c>
    </row>
    <row r="236" spans="2:8" x14ac:dyDescent="0.3">
      <c r="B236" s="69">
        <v>44230</v>
      </c>
      <c r="C236" s="55">
        <v>677.02499999999998</v>
      </c>
      <c r="D236" s="70">
        <f t="shared" si="7"/>
        <v>6.916972640056844E-2</v>
      </c>
      <c r="E236" s="180">
        <v>2.3353361296905007E-2</v>
      </c>
      <c r="G236" s="78">
        <v>234</v>
      </c>
      <c r="H236" s="180">
        <f t="shared" ca="1" si="8"/>
        <v>6.5442613253249519E-3</v>
      </c>
    </row>
    <row r="237" spans="2:8" x14ac:dyDescent="0.3">
      <c r="B237" s="69">
        <v>44099</v>
      </c>
      <c r="C237" s="55">
        <v>633.22500000000002</v>
      </c>
      <c r="D237" s="70">
        <f t="shared" si="7"/>
        <v>-0.23084631502231934</v>
      </c>
      <c r="E237" s="180">
        <v>2.335259181447203E-2</v>
      </c>
      <c r="G237" s="78">
        <v>235</v>
      </c>
      <c r="H237" s="180">
        <f t="shared" ca="1" si="8"/>
        <v>-1.4811954510245631E-2</v>
      </c>
    </row>
    <row r="238" spans="2:8" x14ac:dyDescent="0.3">
      <c r="B238" s="69">
        <v>44256</v>
      </c>
      <c r="C238" s="55">
        <v>823.27499999999998</v>
      </c>
      <c r="D238" s="70">
        <f t="shared" si="7"/>
        <v>1.3220279227189393</v>
      </c>
      <c r="E238" s="180">
        <v>2.333747669359848E-2</v>
      </c>
      <c r="G238" s="78">
        <v>236</v>
      </c>
      <c r="H238" s="180">
        <f t="shared" ca="1" si="8"/>
        <v>7.6494564859846698E-3</v>
      </c>
    </row>
    <row r="239" spans="2:8" x14ac:dyDescent="0.3">
      <c r="B239" s="69">
        <v>43067</v>
      </c>
      <c r="C239" s="55">
        <v>354.55</v>
      </c>
      <c r="D239" s="70">
        <f t="shared" si="7"/>
        <v>-0.90155490767735658</v>
      </c>
      <c r="E239" s="180">
        <v>2.3232323232323264E-2</v>
      </c>
      <c r="G239" s="78">
        <v>237</v>
      </c>
      <c r="H239" s="180">
        <f t="shared" ca="1" si="8"/>
        <v>6.5906826835005379E-3</v>
      </c>
    </row>
    <row r="240" spans="2:8" x14ac:dyDescent="0.3">
      <c r="B240" s="69">
        <v>46098</v>
      </c>
      <c r="C240" s="55">
        <v>3601.5</v>
      </c>
      <c r="D240" s="70">
        <f t="shared" si="7"/>
        <v>0.18154603239696535</v>
      </c>
      <c r="E240" s="180">
        <v>2.3109810661477468E-2</v>
      </c>
      <c r="G240" s="78">
        <v>238</v>
      </c>
      <c r="H240" s="180">
        <f t="shared" ca="1" si="8"/>
        <v>3.1237551799136173E-2</v>
      </c>
    </row>
    <row r="241" spans="2:8" x14ac:dyDescent="0.3">
      <c r="B241" s="69">
        <v>45294</v>
      </c>
      <c r="C241" s="55">
        <v>3048.125</v>
      </c>
      <c r="D241" s="70">
        <f t="shared" si="7"/>
        <v>5.7443854408673527</v>
      </c>
      <c r="E241" s="180">
        <v>2.3092479001116085E-2</v>
      </c>
      <c r="G241" s="78">
        <v>239</v>
      </c>
      <c r="H241" s="180">
        <f t="shared" ca="1" si="8"/>
        <v>-1.641189548757389E-2</v>
      </c>
    </row>
    <row r="242" spans="2:8" x14ac:dyDescent="0.3">
      <c r="B242" s="69">
        <v>43647</v>
      </c>
      <c r="C242" s="55">
        <v>451.95</v>
      </c>
      <c r="D242" s="70">
        <f t="shared" si="7"/>
        <v>-0.92032894388915332</v>
      </c>
      <c r="E242" s="180">
        <v>2.2974196468990443E-2</v>
      </c>
      <c r="G242" s="78">
        <v>240</v>
      </c>
      <c r="H242" s="180">
        <f t="shared" ca="1" si="8"/>
        <v>-2.7255080939548631E-2</v>
      </c>
    </row>
    <row r="243" spans="2:8" x14ac:dyDescent="0.3">
      <c r="B243" s="69">
        <v>45688</v>
      </c>
      <c r="C243" s="55">
        <v>5672.7</v>
      </c>
      <c r="D243" s="70">
        <f t="shared" si="7"/>
        <v>15.418813314037626</v>
      </c>
      <c r="E243" s="180">
        <v>2.2955963501280374E-2</v>
      </c>
      <c r="G243" s="78">
        <v>241</v>
      </c>
      <c r="H243" s="180">
        <f t="shared" ca="1" si="8"/>
        <v>1.70247995077146E-2</v>
      </c>
    </row>
    <row r="244" spans="2:8" x14ac:dyDescent="0.3">
      <c r="B244" s="69">
        <v>43185</v>
      </c>
      <c r="C244" s="55">
        <v>345.5</v>
      </c>
      <c r="D244" s="70">
        <f t="shared" si="7"/>
        <v>-0.67043449229741969</v>
      </c>
      <c r="E244" s="180">
        <v>2.2945965951147299E-2</v>
      </c>
      <c r="G244" s="78">
        <v>242</v>
      </c>
      <c r="H244" s="180">
        <f t="shared" ca="1" si="8"/>
        <v>1.0731096670821205E-3</v>
      </c>
    </row>
    <row r="245" spans="2:8" x14ac:dyDescent="0.3">
      <c r="B245" s="69">
        <v>44736</v>
      </c>
      <c r="C245" s="55">
        <v>1048.3499999999999</v>
      </c>
      <c r="D245" s="70">
        <f t="shared" si="7"/>
        <v>-0.73182149572157629</v>
      </c>
      <c r="E245" s="180">
        <v>2.2805434278884852E-2</v>
      </c>
      <c r="G245" s="78">
        <v>243</v>
      </c>
      <c r="H245" s="180">
        <f t="shared" ca="1" si="8"/>
        <v>-8.9235182417430319E-3</v>
      </c>
    </row>
    <row r="246" spans="2:8" x14ac:dyDescent="0.3">
      <c r="B246" s="69">
        <v>45358</v>
      </c>
      <c r="C246" s="55">
        <v>3909.15</v>
      </c>
      <c r="D246" s="70">
        <f t="shared" si="7"/>
        <v>1.8657737358470875E-2</v>
      </c>
      <c r="E246" s="180">
        <v>2.2788817519394017E-2</v>
      </c>
      <c r="G246" s="78">
        <v>244</v>
      </c>
      <c r="H246" s="180">
        <f t="shared" ca="1" si="8"/>
        <v>1.9513518377054194E-2</v>
      </c>
    </row>
    <row r="247" spans="2:8" x14ac:dyDescent="0.3">
      <c r="B247" s="69">
        <v>46119</v>
      </c>
      <c r="C247" s="55">
        <v>3837.55</v>
      </c>
      <c r="D247" s="70">
        <f t="shared" si="7"/>
        <v>14.377880184331797</v>
      </c>
      <c r="E247" s="180">
        <v>2.2746655295560036E-2</v>
      </c>
      <c r="G247" s="78">
        <v>245</v>
      </c>
      <c r="H247" s="180">
        <f t="shared" ca="1" si="8"/>
        <v>6.7755201866974142E-4</v>
      </c>
    </row>
    <row r="248" spans="2:8" x14ac:dyDescent="0.3">
      <c r="B248" s="69">
        <v>42929</v>
      </c>
      <c r="C248" s="55">
        <v>249.55</v>
      </c>
      <c r="D248" s="70">
        <f t="shared" si="7"/>
        <v>-0.77290410647252872</v>
      </c>
      <c r="E248" s="180">
        <v>2.2745901639344309E-2</v>
      </c>
      <c r="G248" s="78">
        <v>246</v>
      </c>
      <c r="H248" s="180">
        <f t="shared" ca="1" si="8"/>
        <v>5.1195877703909765E-2</v>
      </c>
    </row>
    <row r="249" spans="2:8" x14ac:dyDescent="0.3">
      <c r="B249" s="69">
        <v>44622</v>
      </c>
      <c r="C249" s="55">
        <v>1098.875</v>
      </c>
      <c r="D249" s="70">
        <f t="shared" si="7"/>
        <v>0.4883854801571178</v>
      </c>
      <c r="E249" s="180">
        <v>2.2637383090596108E-2</v>
      </c>
      <c r="G249" s="78">
        <v>247</v>
      </c>
      <c r="H249" s="180">
        <f t="shared" ca="1" si="8"/>
        <v>3.9546167676864065E-2</v>
      </c>
    </row>
    <row r="250" spans="2:8" x14ac:dyDescent="0.3">
      <c r="B250" s="69">
        <v>43875</v>
      </c>
      <c r="C250" s="55">
        <v>738.3</v>
      </c>
      <c r="D250" s="70">
        <f t="shared" si="7"/>
        <v>-0.32328139321723193</v>
      </c>
      <c r="E250" s="180">
        <v>2.2576177285318497E-2</v>
      </c>
      <c r="G250" s="78">
        <v>248</v>
      </c>
      <c r="H250" s="180">
        <f t="shared" ca="1" si="8"/>
        <v>1.0250707398533601E-2</v>
      </c>
    </row>
    <row r="251" spans="2:8" x14ac:dyDescent="0.3">
      <c r="B251" s="69">
        <v>44476</v>
      </c>
      <c r="C251" s="55">
        <v>1091</v>
      </c>
      <c r="D251" s="70">
        <f t="shared" si="7"/>
        <v>-6.1715743207853072E-3</v>
      </c>
      <c r="E251" s="180">
        <v>2.2564847575977737E-2</v>
      </c>
      <c r="G251" s="78">
        <v>249</v>
      </c>
      <c r="H251" s="180">
        <f t="shared" ca="1" si="8"/>
        <v>2.5409751637054737E-2</v>
      </c>
    </row>
    <row r="252" spans="2:8" x14ac:dyDescent="0.3">
      <c r="B252" s="69">
        <v>44746</v>
      </c>
      <c r="C252" s="55">
        <v>1097.7750000000001</v>
      </c>
      <c r="D252" s="70">
        <f t="shared" si="7"/>
        <v>-2.1808866117175238E-2</v>
      </c>
      <c r="E252" s="180">
        <v>2.2517697466468131E-2</v>
      </c>
      <c r="G252" s="78">
        <v>250</v>
      </c>
      <c r="H252" s="180">
        <f t="shared" ca="1" si="8"/>
        <v>1.2516129347717288E-3</v>
      </c>
    </row>
    <row r="253" spans="2:8" x14ac:dyDescent="0.3">
      <c r="B253" s="69">
        <v>44747</v>
      </c>
      <c r="C253" s="55">
        <v>1122.25</v>
      </c>
      <c r="D253" s="70">
        <f t="shared" si="7"/>
        <v>2.040298002031832</v>
      </c>
      <c r="E253" s="180">
        <v>2.2295096900548754E-2</v>
      </c>
      <c r="G253" s="78">
        <v>251</v>
      </c>
      <c r="H253" s="180">
        <f t="shared" ca="1" si="8"/>
        <v>1.3941674526726807E-2</v>
      </c>
    </row>
    <row r="254" spans="2:8" x14ac:dyDescent="0.3">
      <c r="B254" s="69">
        <v>43339</v>
      </c>
      <c r="C254" s="55">
        <v>369.125</v>
      </c>
      <c r="D254" s="70">
        <f t="shared" si="7"/>
        <v>-0.64388220255179573</v>
      </c>
      <c r="E254" s="180">
        <v>2.2294537146022166E-2</v>
      </c>
      <c r="G254" s="78">
        <v>252</v>
      </c>
      <c r="H254" s="180">
        <f t="shared" ca="1" si="8"/>
        <v>4.2175530301269441E-3</v>
      </c>
    </row>
    <row r="255" spans="2:8" x14ac:dyDescent="0.3">
      <c r="B255" s="69">
        <v>44694</v>
      </c>
      <c r="C255" s="55">
        <v>1036.5250000000001</v>
      </c>
      <c r="D255" s="70">
        <f t="shared" si="7"/>
        <v>-0.81053329068226487</v>
      </c>
      <c r="E255" s="180">
        <v>2.2289617082131456E-2</v>
      </c>
      <c r="G255" s="78">
        <v>253</v>
      </c>
      <c r="H255" s="180">
        <f t="shared" ca="1" si="8"/>
        <v>1.884610799728715E-2</v>
      </c>
    </row>
    <row r="256" spans="2:8" x14ac:dyDescent="0.3">
      <c r="B256" s="69">
        <v>45792</v>
      </c>
      <c r="C256" s="55">
        <v>5470.75</v>
      </c>
      <c r="D256" s="70">
        <f t="shared" si="7"/>
        <v>-0.30088272222204476</v>
      </c>
      <c r="E256" s="180">
        <v>2.2235717288737328E-2</v>
      </c>
      <c r="G256" s="78">
        <v>254</v>
      </c>
      <c r="H256" s="180">
        <f t="shared" ca="1" si="8"/>
        <v>1.0700725980623065E-2</v>
      </c>
    </row>
    <row r="257" spans="2:8" x14ac:dyDescent="0.3">
      <c r="B257" s="69">
        <v>45561</v>
      </c>
      <c r="C257" s="55">
        <v>7825.2250000000004</v>
      </c>
      <c r="D257" s="70">
        <f t="shared" si="7"/>
        <v>22.41654821575522</v>
      </c>
      <c r="E257" s="180">
        <v>2.2133618085693575E-2</v>
      </c>
      <c r="G257" s="78">
        <v>255</v>
      </c>
      <c r="H257" s="180">
        <f t="shared" ca="1" si="8"/>
        <v>-1.2777651930464254E-2</v>
      </c>
    </row>
    <row r="258" spans="2:8" x14ac:dyDescent="0.3">
      <c r="B258" s="69">
        <v>43431</v>
      </c>
      <c r="C258" s="55">
        <v>334.17499999999995</v>
      </c>
      <c r="D258" s="70">
        <f t="shared" si="7"/>
        <v>-0.47584503176221477</v>
      </c>
      <c r="E258" s="180">
        <v>2.2098180149869907E-2</v>
      </c>
      <c r="G258" s="78">
        <v>256</v>
      </c>
      <c r="H258" s="180">
        <f t="shared" ca="1" si="8"/>
        <v>1.0304607857216451E-2</v>
      </c>
    </row>
    <row r="259" spans="2:8" x14ac:dyDescent="0.3">
      <c r="B259" s="69">
        <v>44228</v>
      </c>
      <c r="C259" s="55">
        <v>637.54999999999995</v>
      </c>
      <c r="D259" s="70">
        <f t="shared" ref="D259:D322" si="9">(C259-C260)/C260</f>
        <v>0.27249139264507755</v>
      </c>
      <c r="E259" s="180">
        <v>2.208328323514084E-2</v>
      </c>
      <c r="G259" s="78">
        <v>257</v>
      </c>
      <c r="H259" s="180">
        <f t="shared" ca="1" si="8"/>
        <v>1.7097886799062548E-3</v>
      </c>
    </row>
    <row r="260" spans="2:8" x14ac:dyDescent="0.3">
      <c r="B260" s="69">
        <v>43951</v>
      </c>
      <c r="C260" s="55">
        <v>501.02499999999998</v>
      </c>
      <c r="D260" s="70">
        <f t="shared" si="9"/>
        <v>1.050859598853868</v>
      </c>
      <c r="E260" s="180">
        <v>2.2030700188688773E-2</v>
      </c>
      <c r="G260" s="78">
        <v>258</v>
      </c>
      <c r="H260" s="180">
        <f t="shared" ref="H260:H323" ca="1" si="10">_xlfn.NORM.INV(RAND(),$N$4,$N$5)</f>
        <v>5.5202672356114819E-2</v>
      </c>
    </row>
    <row r="261" spans="2:8" x14ac:dyDescent="0.3">
      <c r="B261" s="69">
        <v>42822</v>
      </c>
      <c r="C261" s="55">
        <v>244.3</v>
      </c>
      <c r="D261" s="70">
        <f t="shared" si="9"/>
        <v>-0.87095411026741498</v>
      </c>
      <c r="E261" s="180">
        <v>2.1961932650073207E-2</v>
      </c>
      <c r="G261" s="78">
        <v>259</v>
      </c>
      <c r="H261" s="180">
        <f t="shared" ca="1" si="10"/>
        <v>-1.7009145183880477E-2</v>
      </c>
    </row>
    <row r="262" spans="2:8" x14ac:dyDescent="0.3">
      <c r="B262" s="69">
        <v>45149</v>
      </c>
      <c r="C262" s="55">
        <v>1893.125</v>
      </c>
      <c r="D262" s="70">
        <f t="shared" si="9"/>
        <v>-0.71472540554387709</v>
      </c>
      <c r="E262" s="180">
        <v>2.1929824561403508E-2</v>
      </c>
      <c r="G262" s="78">
        <v>260</v>
      </c>
      <c r="H262" s="180">
        <f t="shared" ca="1" si="10"/>
        <v>-5.7772727973020568E-3</v>
      </c>
    </row>
    <row r="263" spans="2:8" x14ac:dyDescent="0.3">
      <c r="B263" s="69">
        <v>45523</v>
      </c>
      <c r="C263" s="55">
        <v>6636.15</v>
      </c>
      <c r="D263" s="70">
        <f t="shared" si="9"/>
        <v>0.78393526794714985</v>
      </c>
      <c r="E263" s="180">
        <v>2.1889436402833327E-2</v>
      </c>
      <c r="G263" s="78">
        <v>261</v>
      </c>
      <c r="H263" s="180">
        <f t="shared" ca="1" si="10"/>
        <v>2.5852329596546932E-3</v>
      </c>
    </row>
    <row r="264" spans="2:8" x14ac:dyDescent="0.3">
      <c r="B264" s="69">
        <v>46091</v>
      </c>
      <c r="C264" s="55">
        <v>3719.95</v>
      </c>
      <c r="D264" s="70">
        <f t="shared" si="9"/>
        <v>6.1328315996356819</v>
      </c>
      <c r="E264" s="180">
        <v>2.1753759527569819E-2</v>
      </c>
      <c r="G264" s="78">
        <v>262</v>
      </c>
      <c r="H264" s="180">
        <f t="shared" ca="1" si="10"/>
        <v>-1.6847658612491455E-2</v>
      </c>
    </row>
    <row r="265" spans="2:8" x14ac:dyDescent="0.3">
      <c r="B265" s="69">
        <v>43798</v>
      </c>
      <c r="C265" s="55">
        <v>521.52500000000009</v>
      </c>
      <c r="D265" s="70">
        <f t="shared" si="9"/>
        <v>-0.9309656731186069</v>
      </c>
      <c r="E265" s="180">
        <v>2.1596474045054048E-2</v>
      </c>
      <c r="G265" s="78">
        <v>263</v>
      </c>
      <c r="H265" s="180">
        <f t="shared" ca="1" si="10"/>
        <v>-3.0983374129826234E-3</v>
      </c>
    </row>
    <row r="266" spans="2:8" x14ac:dyDescent="0.3">
      <c r="B266" s="69">
        <v>45558</v>
      </c>
      <c r="C266" s="55">
        <v>7554.5749999999998</v>
      </c>
      <c r="D266" s="70">
        <f t="shared" si="9"/>
        <v>11.570008319467554</v>
      </c>
      <c r="E266" s="180">
        <v>2.1589130383337173E-2</v>
      </c>
      <c r="G266" s="78">
        <v>264</v>
      </c>
      <c r="H266" s="180">
        <f t="shared" ca="1" si="10"/>
        <v>-1.4879661703725454E-2</v>
      </c>
    </row>
    <row r="267" spans="2:8" x14ac:dyDescent="0.3">
      <c r="B267" s="69">
        <v>43865</v>
      </c>
      <c r="C267" s="55">
        <v>601</v>
      </c>
      <c r="D267" s="70">
        <f t="shared" si="9"/>
        <v>-0.23660728462100292</v>
      </c>
      <c r="E267" s="180">
        <v>2.1587625361210346E-2</v>
      </c>
      <c r="G267" s="78">
        <v>265</v>
      </c>
      <c r="H267" s="180">
        <f t="shared" ca="1" si="10"/>
        <v>-1.4038700152555907E-2</v>
      </c>
    </row>
    <row r="268" spans="2:8" x14ac:dyDescent="0.3">
      <c r="B268" s="69">
        <v>44333</v>
      </c>
      <c r="C268" s="55">
        <v>787.27500000000009</v>
      </c>
      <c r="D268" s="70">
        <f t="shared" si="9"/>
        <v>-0.69476296174238383</v>
      </c>
      <c r="E268" s="180">
        <v>2.1572698371504721E-2</v>
      </c>
      <c r="G268" s="78">
        <v>266</v>
      </c>
      <c r="H268" s="180">
        <f t="shared" ca="1" si="10"/>
        <v>-3.2499765126882005E-2</v>
      </c>
    </row>
    <row r="269" spans="2:8" x14ac:dyDescent="0.3">
      <c r="B269" s="69">
        <v>45247</v>
      </c>
      <c r="C269" s="55">
        <v>2579.2249999999999</v>
      </c>
      <c r="D269" s="70">
        <f t="shared" si="9"/>
        <v>4.4034986644319911</v>
      </c>
      <c r="E269" s="180">
        <v>2.156627818320437E-2</v>
      </c>
      <c r="G269" s="78">
        <v>267</v>
      </c>
      <c r="H269" s="180">
        <f t="shared" ca="1" si="10"/>
        <v>3.5408828555019992E-2</v>
      </c>
    </row>
    <row r="270" spans="2:8" x14ac:dyDescent="0.3">
      <c r="B270" s="69">
        <v>43930</v>
      </c>
      <c r="C270" s="55">
        <v>477.32499999999999</v>
      </c>
      <c r="D270" s="70">
        <f t="shared" si="9"/>
        <v>-0.90256635316571332</v>
      </c>
      <c r="E270" s="180">
        <v>2.1562332798287832E-2</v>
      </c>
      <c r="G270" s="78">
        <v>268</v>
      </c>
      <c r="H270" s="180">
        <f t="shared" ca="1" si="10"/>
        <v>-3.869581410154907E-3</v>
      </c>
    </row>
    <row r="271" spans="2:8" x14ac:dyDescent="0.3">
      <c r="B271" s="69">
        <v>45719</v>
      </c>
      <c r="C271" s="55">
        <v>4898.9750000000004</v>
      </c>
      <c r="D271" s="70">
        <f t="shared" si="9"/>
        <v>4.5660682838152589</v>
      </c>
      <c r="E271" s="180">
        <v>2.1534916696207135E-2</v>
      </c>
      <c r="G271" s="78">
        <v>269</v>
      </c>
      <c r="H271" s="180">
        <f t="shared" ca="1" si="10"/>
        <v>-3.1410689308419672E-3</v>
      </c>
    </row>
    <row r="272" spans="2:8" x14ac:dyDescent="0.3">
      <c r="B272" s="69">
        <v>44358</v>
      </c>
      <c r="C272" s="55">
        <v>880.15000000000009</v>
      </c>
      <c r="D272" s="70">
        <f t="shared" si="9"/>
        <v>-0.39005544005544002</v>
      </c>
      <c r="E272" s="180">
        <v>2.1500072537356845E-2</v>
      </c>
      <c r="G272" s="78">
        <v>270</v>
      </c>
      <c r="H272" s="180">
        <f t="shared" ca="1" si="10"/>
        <v>1.3732631467442975E-2</v>
      </c>
    </row>
    <row r="273" spans="2:8" x14ac:dyDescent="0.3">
      <c r="B273" s="69">
        <v>44824</v>
      </c>
      <c r="C273" s="55">
        <v>1443</v>
      </c>
      <c r="D273" s="70">
        <f t="shared" si="9"/>
        <v>0.7312018235805765</v>
      </c>
      <c r="E273" s="180">
        <v>2.1412139444346133E-2</v>
      </c>
      <c r="G273" s="78">
        <v>271</v>
      </c>
      <c r="H273" s="180">
        <f t="shared" ca="1" si="10"/>
        <v>2.7930551352512954E-2</v>
      </c>
    </row>
    <row r="274" spans="2:8" x14ac:dyDescent="0.3">
      <c r="B274" s="69">
        <v>44335</v>
      </c>
      <c r="C274" s="55">
        <v>833.52499999999998</v>
      </c>
      <c r="D274" s="70">
        <f t="shared" si="9"/>
        <v>-0.32549059275743475</v>
      </c>
      <c r="E274" s="180">
        <v>2.1382838587139578E-2</v>
      </c>
      <c r="G274" s="78">
        <v>272</v>
      </c>
      <c r="H274" s="180">
        <f t="shared" ca="1" si="10"/>
        <v>5.0990542586917976E-3</v>
      </c>
    </row>
    <row r="275" spans="2:8" x14ac:dyDescent="0.3">
      <c r="B275" s="69">
        <v>44680</v>
      </c>
      <c r="C275" s="55">
        <v>1235.75</v>
      </c>
      <c r="D275" s="70">
        <f t="shared" si="9"/>
        <v>0.15001628588711557</v>
      </c>
      <c r="E275" s="180">
        <v>2.1323195173354233E-2</v>
      </c>
      <c r="G275" s="78">
        <v>273</v>
      </c>
      <c r="H275" s="180">
        <f t="shared" ca="1" si="10"/>
        <v>2.7445495896719442E-2</v>
      </c>
    </row>
    <row r="276" spans="2:8" x14ac:dyDescent="0.3">
      <c r="B276" s="69">
        <v>44620</v>
      </c>
      <c r="C276" s="55">
        <v>1074.55</v>
      </c>
      <c r="D276" s="70">
        <f t="shared" si="9"/>
        <v>5.2062171092889444E-2</v>
      </c>
      <c r="E276" s="180">
        <v>2.1241208895647127E-2</v>
      </c>
      <c r="G276" s="78">
        <v>274</v>
      </c>
      <c r="H276" s="180">
        <f t="shared" ca="1" si="10"/>
        <v>-8.8145594613414351E-3</v>
      </c>
    </row>
    <row r="277" spans="2:8" x14ac:dyDescent="0.3">
      <c r="B277" s="69">
        <v>44551</v>
      </c>
      <c r="C277" s="55">
        <v>1021.375</v>
      </c>
      <c r="D277" s="70">
        <f t="shared" si="9"/>
        <v>3.2901396618712591</v>
      </c>
      <c r="E277" s="180">
        <v>2.1068679396181192E-2</v>
      </c>
      <c r="G277" s="78">
        <v>275</v>
      </c>
      <c r="H277" s="180">
        <f t="shared" ca="1" si="10"/>
        <v>-1.0169836985814381E-2</v>
      </c>
    </row>
    <row r="278" spans="2:8" x14ac:dyDescent="0.3">
      <c r="B278" s="69">
        <v>42919</v>
      </c>
      <c r="C278" s="55">
        <v>238.07499999999999</v>
      </c>
      <c r="D278" s="70">
        <f t="shared" si="9"/>
        <v>-0.48596566986937278</v>
      </c>
      <c r="E278" s="180">
        <v>2.1014259676208756E-2</v>
      </c>
      <c r="G278" s="78">
        <v>276</v>
      </c>
      <c r="H278" s="180">
        <f t="shared" ca="1" si="10"/>
        <v>-2.408595222740852E-2</v>
      </c>
    </row>
    <row r="279" spans="2:8" x14ac:dyDescent="0.3">
      <c r="B279" s="69">
        <v>43928</v>
      </c>
      <c r="C279" s="55">
        <v>463.15</v>
      </c>
      <c r="D279" s="70">
        <f t="shared" si="9"/>
        <v>-0.88446523230433427</v>
      </c>
      <c r="E279" s="180">
        <v>2.0941254270913701E-2</v>
      </c>
      <c r="G279" s="78">
        <v>277</v>
      </c>
      <c r="H279" s="180">
        <f t="shared" ca="1" si="10"/>
        <v>-1.3567331183423894E-2</v>
      </c>
    </row>
    <row r="280" spans="2:8" x14ac:dyDescent="0.3">
      <c r="B280" s="69">
        <v>45392</v>
      </c>
      <c r="C280" s="55">
        <v>4008.75</v>
      </c>
      <c r="D280" s="70">
        <f t="shared" si="9"/>
        <v>6.6539379474940334</v>
      </c>
      <c r="E280" s="180">
        <v>2.0836914379571754E-2</v>
      </c>
      <c r="G280" s="78">
        <v>278</v>
      </c>
      <c r="H280" s="180">
        <f t="shared" ca="1" si="10"/>
        <v>-6.5875212611274702E-3</v>
      </c>
    </row>
    <row r="281" spans="2:8" x14ac:dyDescent="0.3">
      <c r="B281" s="69">
        <v>43819</v>
      </c>
      <c r="C281" s="55">
        <v>523.75</v>
      </c>
      <c r="D281" s="70">
        <f t="shared" si="9"/>
        <v>-0.25039358809217122</v>
      </c>
      <c r="E281" s="180">
        <v>2.0805925059689038E-2</v>
      </c>
      <c r="G281" s="78">
        <v>279</v>
      </c>
      <c r="H281" s="180">
        <f t="shared" ca="1" si="10"/>
        <v>1.7607011302952419E-2</v>
      </c>
    </row>
    <row r="282" spans="2:8" x14ac:dyDescent="0.3">
      <c r="B282" s="69">
        <v>44179</v>
      </c>
      <c r="C282" s="55">
        <v>698.7</v>
      </c>
      <c r="D282" s="70">
        <f t="shared" si="9"/>
        <v>-0.86962727993655831</v>
      </c>
      <c r="E282" s="180">
        <v>2.0782351437232949E-2</v>
      </c>
      <c r="G282" s="78">
        <v>280</v>
      </c>
      <c r="H282" s="180">
        <f t="shared" ca="1" si="10"/>
        <v>2.3863273664396743E-2</v>
      </c>
    </row>
    <row r="283" spans="2:8" x14ac:dyDescent="0.3">
      <c r="B283" s="69">
        <v>45769</v>
      </c>
      <c r="C283" s="55">
        <v>5359.25</v>
      </c>
      <c r="D283" s="70">
        <f t="shared" si="9"/>
        <v>1.8046255402004083E-2</v>
      </c>
      <c r="E283" s="180">
        <v>2.0760916146850151E-2</v>
      </c>
      <c r="G283" s="78">
        <v>281</v>
      </c>
      <c r="H283" s="180">
        <f t="shared" ca="1" si="10"/>
        <v>2.1205864042639154E-2</v>
      </c>
    </row>
    <row r="284" spans="2:8" x14ac:dyDescent="0.3">
      <c r="B284" s="69">
        <v>45742</v>
      </c>
      <c r="C284" s="55">
        <v>5264.25</v>
      </c>
      <c r="D284" s="70">
        <f t="shared" si="9"/>
        <v>1.4981018364732119</v>
      </c>
      <c r="E284" s="180">
        <v>2.0717803544421681E-2</v>
      </c>
      <c r="G284" s="78">
        <v>282</v>
      </c>
      <c r="H284" s="180">
        <f t="shared" ca="1" si="10"/>
        <v>2.4105819694627294E-2</v>
      </c>
    </row>
    <row r="285" spans="2:8" x14ac:dyDescent="0.3">
      <c r="B285" s="69">
        <v>45194</v>
      </c>
      <c r="C285" s="55">
        <v>2107.3000000000002</v>
      </c>
      <c r="D285" s="70">
        <f t="shared" si="9"/>
        <v>8.808798471627001E-2</v>
      </c>
      <c r="E285" s="180">
        <v>2.0669613125870404E-2</v>
      </c>
      <c r="G285" s="78">
        <v>283</v>
      </c>
      <c r="H285" s="180">
        <f t="shared" ca="1" si="10"/>
        <v>1.8207929347190521E-2</v>
      </c>
    </row>
    <row r="286" spans="2:8" x14ac:dyDescent="0.3">
      <c r="B286" s="69">
        <v>45154</v>
      </c>
      <c r="C286" s="55">
        <v>1936.7</v>
      </c>
      <c r="D286" s="70">
        <f t="shared" si="9"/>
        <v>1.5637224079160739</v>
      </c>
      <c r="E286" s="180">
        <v>2.0618420879280133E-2</v>
      </c>
      <c r="G286" s="78">
        <v>284</v>
      </c>
      <c r="H286" s="180">
        <f t="shared" ca="1" si="10"/>
        <v>1.133574352349193E-3</v>
      </c>
    </row>
    <row r="287" spans="2:8" x14ac:dyDescent="0.3">
      <c r="B287" s="69">
        <v>43880</v>
      </c>
      <c r="C287" s="55">
        <v>755.42499999999995</v>
      </c>
      <c r="D287" s="70">
        <f t="shared" si="9"/>
        <v>3.7066273123519927E-2</v>
      </c>
      <c r="E287" s="180">
        <v>2.0568765198594852E-2</v>
      </c>
      <c r="G287" s="78">
        <v>285</v>
      </c>
      <c r="H287" s="180">
        <f t="shared" ca="1" si="10"/>
        <v>1.780037381767078E-3</v>
      </c>
    </row>
    <row r="288" spans="2:8" x14ac:dyDescent="0.3">
      <c r="B288" s="69">
        <v>44294</v>
      </c>
      <c r="C288" s="55">
        <v>728.42499999999995</v>
      </c>
      <c r="D288" s="70">
        <f t="shared" si="9"/>
        <v>1.2987771203155818</v>
      </c>
      <c r="E288" s="180">
        <v>2.0560420315236364E-2</v>
      </c>
      <c r="G288" s="78">
        <v>286</v>
      </c>
      <c r="H288" s="180">
        <f t="shared" ca="1" si="10"/>
        <v>-1.2639924511225788E-2</v>
      </c>
    </row>
    <row r="289" spans="2:8" x14ac:dyDescent="0.3">
      <c r="B289" s="69">
        <v>43018</v>
      </c>
      <c r="C289" s="55">
        <v>316.875</v>
      </c>
      <c r="D289" s="70">
        <f t="shared" si="9"/>
        <v>-0.44631312248820543</v>
      </c>
      <c r="E289" s="180">
        <v>2.0531400966183576E-2</v>
      </c>
      <c r="G289" s="78">
        <v>287</v>
      </c>
      <c r="H289" s="180">
        <f t="shared" ca="1" si="10"/>
        <v>1.1179843374134036E-2</v>
      </c>
    </row>
    <row r="290" spans="2:8" x14ac:dyDescent="0.3">
      <c r="B290" s="69">
        <v>44056</v>
      </c>
      <c r="C290" s="55">
        <v>572.29999999999995</v>
      </c>
      <c r="D290" s="70">
        <f t="shared" si="9"/>
        <v>-0.92000838633028159</v>
      </c>
      <c r="E290" s="180">
        <v>2.046092809699979E-2</v>
      </c>
      <c r="G290" s="78">
        <v>288</v>
      </c>
      <c r="H290" s="180">
        <f t="shared" ca="1" si="10"/>
        <v>-3.5625224327813397E-3</v>
      </c>
    </row>
    <row r="291" spans="2:8" x14ac:dyDescent="0.3">
      <c r="B291" s="69">
        <v>45653</v>
      </c>
      <c r="C291" s="55">
        <v>7154.5</v>
      </c>
      <c r="D291" s="70">
        <f t="shared" si="9"/>
        <v>1.263670376434668</v>
      </c>
      <c r="E291" s="180">
        <v>2.0391426972021117E-2</v>
      </c>
      <c r="G291" s="78">
        <v>289</v>
      </c>
      <c r="H291" s="180">
        <f t="shared" ca="1" si="10"/>
        <v>2.761479899023923E-2</v>
      </c>
    </row>
    <row r="292" spans="2:8" x14ac:dyDescent="0.3">
      <c r="B292" s="69">
        <v>45324</v>
      </c>
      <c r="C292" s="55">
        <v>3160.5749999999998</v>
      </c>
      <c r="D292" s="70">
        <f t="shared" si="9"/>
        <v>1.1466922502207431</v>
      </c>
      <c r="E292" s="180">
        <v>2.0305551744453382E-2</v>
      </c>
      <c r="G292" s="78">
        <v>290</v>
      </c>
      <c r="H292" s="180">
        <f t="shared" ca="1" si="10"/>
        <v>8.7428608571582071E-3</v>
      </c>
    </row>
    <row r="293" spans="2:8" x14ac:dyDescent="0.3">
      <c r="B293" s="69">
        <v>44825</v>
      </c>
      <c r="C293" s="55">
        <v>1472.3</v>
      </c>
      <c r="D293" s="70">
        <f t="shared" si="9"/>
        <v>2.1476215927311597</v>
      </c>
      <c r="E293" s="180">
        <v>2.0304920304920274E-2</v>
      </c>
      <c r="G293" s="78">
        <v>291</v>
      </c>
      <c r="H293" s="180">
        <f t="shared" ca="1" si="10"/>
        <v>-6.1281149843382685E-3</v>
      </c>
    </row>
    <row r="294" spans="2:8" x14ac:dyDescent="0.3">
      <c r="B294" s="69">
        <v>43696</v>
      </c>
      <c r="C294" s="55">
        <v>467.75</v>
      </c>
      <c r="D294" s="70">
        <f t="shared" si="9"/>
        <v>-0.27606887212226738</v>
      </c>
      <c r="E294" s="180">
        <v>2.0285745446613487E-2</v>
      </c>
      <c r="G294" s="78">
        <v>292</v>
      </c>
      <c r="H294" s="180">
        <f t="shared" ca="1" si="10"/>
        <v>-1.3063667282154814E-3</v>
      </c>
    </row>
    <row r="295" spans="2:8" x14ac:dyDescent="0.3">
      <c r="B295" s="69">
        <v>44076</v>
      </c>
      <c r="C295" s="55">
        <v>646.125</v>
      </c>
      <c r="D295" s="70">
        <f t="shared" si="9"/>
        <v>-0.42420799358374556</v>
      </c>
      <c r="E295" s="180">
        <v>2.0210792247266338E-2</v>
      </c>
      <c r="G295" s="78">
        <v>293</v>
      </c>
      <c r="H295" s="180">
        <f t="shared" ca="1" si="10"/>
        <v>4.5814916366988381E-2</v>
      </c>
    </row>
    <row r="296" spans="2:8" x14ac:dyDescent="0.3">
      <c r="B296" s="69">
        <v>44712</v>
      </c>
      <c r="C296" s="55">
        <v>1122.1500000000001</v>
      </c>
      <c r="D296" s="70">
        <f t="shared" si="9"/>
        <v>0.18626777313811516</v>
      </c>
      <c r="E296" s="180">
        <v>2.0043632397054981E-2</v>
      </c>
      <c r="G296" s="78">
        <v>294</v>
      </c>
      <c r="H296" s="180">
        <f t="shared" ca="1" si="10"/>
        <v>-1.4681577161471926E-2</v>
      </c>
    </row>
    <row r="297" spans="2:8" x14ac:dyDescent="0.3">
      <c r="B297" s="69">
        <v>44410</v>
      </c>
      <c r="C297" s="55">
        <v>945.95</v>
      </c>
      <c r="D297" s="70">
        <f t="shared" si="9"/>
        <v>1.6456439658788982</v>
      </c>
      <c r="E297" s="180">
        <v>1.9919674384754331E-2</v>
      </c>
      <c r="G297" s="78">
        <v>295</v>
      </c>
      <c r="H297" s="180">
        <f t="shared" ca="1" si="10"/>
        <v>-1.0466788869991929E-2</v>
      </c>
    </row>
    <row r="298" spans="2:8" x14ac:dyDescent="0.3">
      <c r="B298" s="69">
        <v>43501</v>
      </c>
      <c r="C298" s="55">
        <v>357.55</v>
      </c>
      <c r="D298" s="70">
        <f t="shared" si="9"/>
        <v>-0.18087056128293238</v>
      </c>
      <c r="E298" s="180">
        <v>1.9895885331241432E-2</v>
      </c>
      <c r="G298" s="78">
        <v>296</v>
      </c>
      <c r="H298" s="180">
        <f t="shared" ca="1" si="10"/>
        <v>2.9936178326181013E-3</v>
      </c>
    </row>
    <row r="299" spans="2:8" x14ac:dyDescent="0.3">
      <c r="B299" s="69">
        <v>43655</v>
      </c>
      <c r="C299" s="55">
        <v>436.5</v>
      </c>
      <c r="D299" s="70">
        <f t="shared" si="9"/>
        <v>-0.91354723707664887</v>
      </c>
      <c r="E299" s="180">
        <v>1.9859813084112148E-2</v>
      </c>
      <c r="G299" s="78">
        <v>297</v>
      </c>
      <c r="H299" s="180">
        <f t="shared" ca="1" si="10"/>
        <v>-2.4435909783477091E-3</v>
      </c>
    </row>
    <row r="300" spans="2:8" x14ac:dyDescent="0.3">
      <c r="B300" s="69">
        <v>45764</v>
      </c>
      <c r="C300" s="55">
        <v>5049</v>
      </c>
      <c r="D300" s="70">
        <f t="shared" si="9"/>
        <v>-0.28230532229807281</v>
      </c>
      <c r="E300" s="180">
        <v>1.9845477957885167E-2</v>
      </c>
      <c r="G300" s="78">
        <v>298</v>
      </c>
      <c r="H300" s="180">
        <f t="shared" ca="1" si="10"/>
        <v>-2.27590520615687E-2</v>
      </c>
    </row>
    <row r="301" spans="2:8" x14ac:dyDescent="0.3">
      <c r="B301" s="69">
        <v>45632</v>
      </c>
      <c r="C301" s="55">
        <v>7035.0249999999996</v>
      </c>
      <c r="D301" s="70">
        <f t="shared" si="9"/>
        <v>5.27776910206358</v>
      </c>
      <c r="E301" s="180">
        <v>1.9794229884140955E-2</v>
      </c>
      <c r="G301" s="78">
        <v>299</v>
      </c>
      <c r="H301" s="180">
        <f t="shared" ca="1" si="10"/>
        <v>-1.8070471489467905E-2</v>
      </c>
    </row>
    <row r="302" spans="2:8" x14ac:dyDescent="0.3">
      <c r="B302" s="69">
        <v>44623</v>
      </c>
      <c r="C302" s="55">
        <v>1120.625</v>
      </c>
      <c r="D302" s="70">
        <f t="shared" si="9"/>
        <v>-0.21765917341524718</v>
      </c>
      <c r="E302" s="180">
        <v>1.9792970083039471E-2</v>
      </c>
      <c r="G302" s="78">
        <v>300</v>
      </c>
      <c r="H302" s="180">
        <f t="shared" ca="1" si="10"/>
        <v>-3.756371110259589E-2</v>
      </c>
    </row>
    <row r="303" spans="2:8" x14ac:dyDescent="0.3">
      <c r="B303" s="69">
        <v>44853</v>
      </c>
      <c r="C303" s="55">
        <v>1432.4</v>
      </c>
      <c r="D303" s="70">
        <f t="shared" si="9"/>
        <v>0.36653310436939546</v>
      </c>
      <c r="E303" s="180">
        <v>1.975581105613498E-2</v>
      </c>
      <c r="G303" s="78">
        <v>301</v>
      </c>
      <c r="H303" s="180">
        <f t="shared" ca="1" si="10"/>
        <v>2.3974443503113511E-2</v>
      </c>
    </row>
    <row r="304" spans="2:8" x14ac:dyDescent="0.3">
      <c r="B304" s="69">
        <v>44593</v>
      </c>
      <c r="C304" s="55">
        <v>1048.1999999999998</v>
      </c>
      <c r="D304" s="70">
        <f t="shared" si="9"/>
        <v>3.1361349511689842</v>
      </c>
      <c r="E304" s="180">
        <v>1.9724201668409529E-2</v>
      </c>
      <c r="G304" s="78">
        <v>302</v>
      </c>
      <c r="H304" s="180">
        <f t="shared" ca="1" si="10"/>
        <v>1.974708637636724E-2</v>
      </c>
    </row>
    <row r="305" spans="2:8" x14ac:dyDescent="0.3">
      <c r="B305" s="69">
        <v>42824</v>
      </c>
      <c r="C305" s="55">
        <v>253.42500000000001</v>
      </c>
      <c r="D305" s="70">
        <f t="shared" si="9"/>
        <v>-0.80802590712824784</v>
      </c>
      <c r="E305" s="180">
        <v>1.9716326325319406E-2</v>
      </c>
      <c r="G305" s="78">
        <v>303</v>
      </c>
      <c r="H305" s="180">
        <f t="shared" ca="1" si="10"/>
        <v>-9.6766681363182564E-3</v>
      </c>
    </row>
    <row r="306" spans="2:8" x14ac:dyDescent="0.3">
      <c r="B306" s="69">
        <v>44991</v>
      </c>
      <c r="C306" s="55">
        <v>1320.1</v>
      </c>
      <c r="D306" s="70">
        <f t="shared" si="9"/>
        <v>-0.66764853977844918</v>
      </c>
      <c r="E306" s="180">
        <v>1.9677512793279835E-2</v>
      </c>
      <c r="G306" s="78">
        <v>304</v>
      </c>
      <c r="H306" s="180">
        <f t="shared" ca="1" si="10"/>
        <v>-3.5209688194829921E-3</v>
      </c>
    </row>
    <row r="307" spans="2:8" x14ac:dyDescent="0.3">
      <c r="B307" s="69">
        <v>45386</v>
      </c>
      <c r="C307" s="55">
        <v>3972</v>
      </c>
      <c r="D307" s="70">
        <f t="shared" si="9"/>
        <v>2.2829159434664019</v>
      </c>
      <c r="E307" s="180">
        <v>1.9644587630520051E-2</v>
      </c>
      <c r="G307" s="78">
        <v>305</v>
      </c>
      <c r="H307" s="180">
        <f t="shared" ca="1" si="10"/>
        <v>-1.5344834228577929E-3</v>
      </c>
    </row>
    <row r="308" spans="2:8" x14ac:dyDescent="0.3">
      <c r="B308" s="69">
        <v>44753</v>
      </c>
      <c r="C308" s="55">
        <v>1209.9000000000001</v>
      </c>
      <c r="D308" s="70">
        <f t="shared" si="9"/>
        <v>-0.78308457711442792</v>
      </c>
      <c r="E308" s="180">
        <v>1.9614452754661407E-2</v>
      </c>
      <c r="G308" s="78">
        <v>306</v>
      </c>
      <c r="H308" s="180">
        <f t="shared" ca="1" si="10"/>
        <v>1.2042150112131828E-2</v>
      </c>
    </row>
    <row r="309" spans="2:8" x14ac:dyDescent="0.3">
      <c r="B309" s="69">
        <v>45793</v>
      </c>
      <c r="C309" s="55">
        <v>5577.75</v>
      </c>
      <c r="D309" s="70">
        <f t="shared" si="9"/>
        <v>4.2807100591715974</v>
      </c>
      <c r="E309" s="180">
        <v>1.9558561440387517E-2</v>
      </c>
      <c r="G309" s="78">
        <v>307</v>
      </c>
      <c r="H309" s="180">
        <f t="shared" ca="1" si="10"/>
        <v>-3.2649988010175844E-2</v>
      </c>
    </row>
    <row r="310" spans="2:8" x14ac:dyDescent="0.3">
      <c r="B310" s="69">
        <v>44607</v>
      </c>
      <c r="C310" s="55">
        <v>1056.25</v>
      </c>
      <c r="D310" s="70">
        <f t="shared" si="9"/>
        <v>-0.10409465849572715</v>
      </c>
      <c r="E310" s="180">
        <v>1.9546332046332045E-2</v>
      </c>
      <c r="G310" s="78">
        <v>308</v>
      </c>
      <c r="H310" s="180">
        <f t="shared" ca="1" si="10"/>
        <v>1.4975837777982434E-2</v>
      </c>
    </row>
    <row r="311" spans="2:8" x14ac:dyDescent="0.3">
      <c r="B311" s="69">
        <v>44634</v>
      </c>
      <c r="C311" s="55">
        <v>1178.9749999999999</v>
      </c>
      <c r="D311" s="70">
        <f t="shared" si="9"/>
        <v>3.262382501807664</v>
      </c>
      <c r="E311" s="180">
        <v>1.9543833099124341E-2</v>
      </c>
      <c r="G311" s="78">
        <v>309</v>
      </c>
      <c r="H311" s="180">
        <f t="shared" ca="1" si="10"/>
        <v>1.4259598424075816E-2</v>
      </c>
    </row>
    <row r="312" spans="2:8" x14ac:dyDescent="0.3">
      <c r="B312" s="69">
        <v>42950</v>
      </c>
      <c r="C312" s="55">
        <v>276.60000000000002</v>
      </c>
      <c r="D312" s="70">
        <f t="shared" si="9"/>
        <v>-0.12502965599051002</v>
      </c>
      <c r="E312" s="180">
        <v>1.9535569480280172E-2</v>
      </c>
      <c r="G312" s="78">
        <v>310</v>
      </c>
      <c r="H312" s="180">
        <f t="shared" ca="1" si="10"/>
        <v>-1.8062029635321499E-3</v>
      </c>
    </row>
    <row r="313" spans="2:8" x14ac:dyDescent="0.3">
      <c r="B313" s="69">
        <v>43290</v>
      </c>
      <c r="C313" s="55">
        <v>316.125</v>
      </c>
      <c r="D313" s="70">
        <f t="shared" si="9"/>
        <v>-0.94287379377642844</v>
      </c>
      <c r="E313" s="180">
        <v>1.9511408530194344E-2</v>
      </c>
      <c r="G313" s="78">
        <v>311</v>
      </c>
      <c r="H313" s="180">
        <f t="shared" ca="1" si="10"/>
        <v>2.3341137251715886E-2</v>
      </c>
    </row>
    <row r="314" spans="2:8" x14ac:dyDescent="0.3">
      <c r="B314" s="69">
        <v>45686</v>
      </c>
      <c r="C314" s="55">
        <v>5533.7999999999993</v>
      </c>
      <c r="D314" s="70">
        <f t="shared" si="9"/>
        <v>3.8372377622377618</v>
      </c>
      <c r="E314" s="180">
        <v>1.9482134468179185E-2</v>
      </c>
      <c r="G314" s="78">
        <v>312</v>
      </c>
      <c r="H314" s="180">
        <f t="shared" ca="1" si="10"/>
        <v>3.3750014838523877E-2</v>
      </c>
    </row>
    <row r="315" spans="2:8" x14ac:dyDescent="0.3">
      <c r="B315" s="69">
        <v>44748</v>
      </c>
      <c r="C315" s="55">
        <v>1144</v>
      </c>
      <c r="D315" s="70">
        <f t="shared" si="9"/>
        <v>-0.17218423242519618</v>
      </c>
      <c r="E315" s="180">
        <v>1.9380708398306974E-2</v>
      </c>
      <c r="G315" s="78">
        <v>313</v>
      </c>
      <c r="H315" s="180">
        <f t="shared" ca="1" si="10"/>
        <v>-2.9313687632510906E-2</v>
      </c>
    </row>
    <row r="316" spans="2:8" x14ac:dyDescent="0.3">
      <c r="B316" s="69">
        <v>44799</v>
      </c>
      <c r="C316" s="55">
        <v>1381.9499999999998</v>
      </c>
      <c r="D316" s="70">
        <f t="shared" si="9"/>
        <v>-0.78719587311364336</v>
      </c>
      <c r="E316" s="180">
        <v>1.9362690860809745E-2</v>
      </c>
      <c r="G316" s="78">
        <v>314</v>
      </c>
      <c r="H316" s="180">
        <f t="shared" ca="1" si="10"/>
        <v>-5.712948286921731E-3</v>
      </c>
    </row>
    <row r="317" spans="2:8" x14ac:dyDescent="0.3">
      <c r="B317" s="69">
        <v>45520</v>
      </c>
      <c r="C317" s="55">
        <v>6494</v>
      </c>
      <c r="D317" s="70">
        <f t="shared" si="9"/>
        <v>0.87625500195021877</v>
      </c>
      <c r="E317" s="180">
        <v>1.9218243598496412E-2</v>
      </c>
      <c r="G317" s="78">
        <v>315</v>
      </c>
      <c r="H317" s="180">
        <f t="shared" ca="1" si="10"/>
        <v>-1.2815888811086417E-3</v>
      </c>
    </row>
    <row r="318" spans="2:8" x14ac:dyDescent="0.3">
      <c r="B318" s="69">
        <v>46106</v>
      </c>
      <c r="C318" s="55">
        <v>3461.15</v>
      </c>
      <c r="D318" s="70">
        <f t="shared" si="9"/>
        <v>-5.7035826181719089E-2</v>
      </c>
      <c r="E318" s="180">
        <v>1.91693290734824E-2</v>
      </c>
      <c r="G318" s="78">
        <v>316</v>
      </c>
      <c r="H318" s="180">
        <f t="shared" ca="1" si="10"/>
        <v>8.0567777685874725E-3</v>
      </c>
    </row>
    <row r="319" spans="2:8" x14ac:dyDescent="0.3">
      <c r="B319" s="69">
        <v>46099</v>
      </c>
      <c r="C319" s="55">
        <v>3670.5</v>
      </c>
      <c r="D319" s="70">
        <f t="shared" si="9"/>
        <v>0.31328491180364232</v>
      </c>
      <c r="E319" s="180">
        <v>1.9158683881715953E-2</v>
      </c>
      <c r="G319" s="78">
        <v>317</v>
      </c>
      <c r="H319" s="180">
        <f t="shared" ca="1" si="10"/>
        <v>-1.4584629704604833E-2</v>
      </c>
    </row>
    <row r="320" spans="2:8" x14ac:dyDescent="0.3">
      <c r="B320" s="69">
        <v>45261</v>
      </c>
      <c r="C320" s="55">
        <v>2794.9</v>
      </c>
      <c r="D320" s="70">
        <f t="shared" si="9"/>
        <v>1.7003864734299519</v>
      </c>
      <c r="E320" s="180">
        <v>1.9153106340307247E-2</v>
      </c>
      <c r="G320" s="78">
        <v>318</v>
      </c>
      <c r="H320" s="180">
        <f t="shared" ca="1" si="10"/>
        <v>2.5483359911757996E-2</v>
      </c>
    </row>
    <row r="321" spans="2:8" x14ac:dyDescent="0.3">
      <c r="B321" s="69">
        <v>44538</v>
      </c>
      <c r="C321" s="55">
        <v>1035</v>
      </c>
      <c r="D321" s="70">
        <f t="shared" si="9"/>
        <v>-0.76281867659696367</v>
      </c>
      <c r="E321" s="180">
        <v>1.9127095487777815E-2</v>
      </c>
      <c r="G321" s="78">
        <v>319</v>
      </c>
      <c r="H321" s="180">
        <f t="shared" ca="1" si="10"/>
        <v>-2.3085632891201423E-3</v>
      </c>
    </row>
    <row r="322" spans="2:8" x14ac:dyDescent="0.3">
      <c r="B322" s="69">
        <v>46024</v>
      </c>
      <c r="C322" s="55">
        <v>4363.75</v>
      </c>
      <c r="D322" s="70">
        <f t="shared" si="9"/>
        <v>1.4971030457361123</v>
      </c>
      <c r="E322" s="180">
        <v>1.9115345991265645E-2</v>
      </c>
      <c r="G322" s="78">
        <v>320</v>
      </c>
      <c r="H322" s="180">
        <f t="shared" ca="1" si="10"/>
        <v>-2.4787583953007571E-2</v>
      </c>
    </row>
    <row r="323" spans="2:8" x14ac:dyDescent="0.3">
      <c r="B323" s="69">
        <v>45138</v>
      </c>
      <c r="C323" s="55">
        <v>1747.5250000000001</v>
      </c>
      <c r="D323" s="70">
        <f t="shared" ref="D323:D386" si="11">(C323-C324)/C324</f>
        <v>-0.59560669698126745</v>
      </c>
      <c r="E323" s="180">
        <v>1.9098715574929655E-2</v>
      </c>
      <c r="G323" s="78">
        <v>321</v>
      </c>
      <c r="H323" s="180">
        <f t="shared" ca="1" si="10"/>
        <v>7.2992210884082528E-3</v>
      </c>
    </row>
    <row r="324" spans="2:8" x14ac:dyDescent="0.3">
      <c r="B324" s="69">
        <v>46149</v>
      </c>
      <c r="C324" s="55">
        <v>4321.3500000000004</v>
      </c>
      <c r="D324" s="70">
        <f t="shared" si="11"/>
        <v>-0.39263376857018362</v>
      </c>
      <c r="E324" s="180">
        <v>1.9066147859922264E-2</v>
      </c>
      <c r="G324" s="78">
        <v>322</v>
      </c>
      <c r="H324" s="180">
        <f t="shared" ref="H324:H387" ca="1" si="12">_xlfn.NORM.INV(RAND(),$N$4,$N$5)</f>
        <v>-6.2988158779380349E-3</v>
      </c>
    </row>
    <row r="325" spans="2:8" x14ac:dyDescent="0.3">
      <c r="B325" s="69">
        <v>45658</v>
      </c>
      <c r="C325" s="55">
        <v>7114.9</v>
      </c>
      <c r="D325" s="70">
        <f t="shared" si="11"/>
        <v>7.6875667755425994</v>
      </c>
      <c r="E325" s="180">
        <v>1.90492559331987E-2</v>
      </c>
      <c r="G325" s="78">
        <v>323</v>
      </c>
      <c r="H325" s="180">
        <f t="shared" ca="1" si="12"/>
        <v>-9.7011474114850772E-3</v>
      </c>
    </row>
    <row r="326" spans="2:8" x14ac:dyDescent="0.3">
      <c r="B326" s="69">
        <v>44278</v>
      </c>
      <c r="C326" s="55">
        <v>818.97499999999991</v>
      </c>
      <c r="D326" s="70">
        <f t="shared" si="11"/>
        <v>-0.79884436366315847</v>
      </c>
      <c r="E326" s="180">
        <v>1.90375462718138E-2</v>
      </c>
      <c r="G326" s="78">
        <v>324</v>
      </c>
      <c r="H326" s="180">
        <f t="shared" ca="1" si="12"/>
        <v>1.2627898360141524E-2</v>
      </c>
    </row>
    <row r="327" spans="2:8" x14ac:dyDescent="0.3">
      <c r="B327" s="69">
        <v>46003</v>
      </c>
      <c r="C327" s="55">
        <v>4071.3500000000004</v>
      </c>
      <c r="D327" s="70">
        <f t="shared" si="11"/>
        <v>3.4915329030834577</v>
      </c>
      <c r="E327" s="180">
        <v>1.9022113206602791E-2</v>
      </c>
      <c r="G327" s="78">
        <v>325</v>
      </c>
      <c r="H327" s="180">
        <f t="shared" ca="1" si="12"/>
        <v>2.4345280510846851E-2</v>
      </c>
    </row>
    <row r="328" spans="2:8" x14ac:dyDescent="0.3">
      <c r="B328" s="69">
        <v>44433</v>
      </c>
      <c r="C328" s="55">
        <v>906.45</v>
      </c>
      <c r="D328" s="70">
        <f t="shared" si="11"/>
        <v>-0.77690816797415785</v>
      </c>
      <c r="E328" s="180">
        <v>1.8941097122302183E-2</v>
      </c>
      <c r="G328" s="78">
        <v>326</v>
      </c>
      <c r="H328" s="180">
        <f t="shared" ca="1" si="12"/>
        <v>-9.7540481452872262E-3</v>
      </c>
    </row>
    <row r="329" spans="2:8" x14ac:dyDescent="0.3">
      <c r="B329" s="69">
        <v>45366</v>
      </c>
      <c r="C329" s="55">
        <v>4063.125</v>
      </c>
      <c r="D329" s="70">
        <f t="shared" si="11"/>
        <v>-0.3800541653951785</v>
      </c>
      <c r="E329" s="180">
        <v>1.888886102612965E-2</v>
      </c>
      <c r="G329" s="78">
        <v>327</v>
      </c>
      <c r="H329" s="180">
        <f t="shared" ca="1" si="12"/>
        <v>-2.4824931792998446E-3</v>
      </c>
    </row>
    <row r="330" spans="2:8" x14ac:dyDescent="0.3">
      <c r="B330" s="69">
        <v>45618</v>
      </c>
      <c r="C330" s="55">
        <v>6554</v>
      </c>
      <c r="D330" s="70">
        <f t="shared" si="11"/>
        <v>19.645770987557096</v>
      </c>
      <c r="E330" s="180">
        <v>1.8872617604079163E-2</v>
      </c>
      <c r="G330" s="78">
        <v>328</v>
      </c>
      <c r="H330" s="180">
        <f t="shared" ca="1" si="12"/>
        <v>-1.5360968105025607E-2</v>
      </c>
    </row>
    <row r="331" spans="2:8" x14ac:dyDescent="0.3">
      <c r="B331" s="69">
        <v>43140</v>
      </c>
      <c r="C331" s="55">
        <v>317.45</v>
      </c>
      <c r="D331" s="70">
        <f t="shared" si="11"/>
        <v>-0.77267356511153285</v>
      </c>
      <c r="E331" s="180">
        <v>1.8774069319640454E-2</v>
      </c>
      <c r="G331" s="78">
        <v>329</v>
      </c>
      <c r="H331" s="180">
        <f t="shared" ca="1" si="12"/>
        <v>2.4867228426610963E-2</v>
      </c>
    </row>
    <row r="332" spans="2:8" x14ac:dyDescent="0.3">
      <c r="B332" s="69">
        <v>44887</v>
      </c>
      <c r="C332" s="55">
        <v>1396.45</v>
      </c>
      <c r="D332" s="70">
        <f t="shared" si="11"/>
        <v>3.4597205588822355</v>
      </c>
      <c r="E332" s="180">
        <v>1.8748860113076814E-2</v>
      </c>
      <c r="G332" s="78">
        <v>330</v>
      </c>
      <c r="H332" s="180">
        <f t="shared" ca="1" si="12"/>
        <v>-1.665838055437974E-2</v>
      </c>
    </row>
    <row r="333" spans="2:8" x14ac:dyDescent="0.3">
      <c r="B333" s="69">
        <v>43021</v>
      </c>
      <c r="C333" s="55">
        <v>313.125</v>
      </c>
      <c r="D333" s="70">
        <f t="shared" si="11"/>
        <v>-0.9343284990719477</v>
      </c>
      <c r="E333" s="180">
        <v>1.8623942745608402E-2</v>
      </c>
      <c r="G333" s="78">
        <v>331</v>
      </c>
      <c r="H333" s="180">
        <f t="shared" ca="1" si="12"/>
        <v>1.2550293378493813E-2</v>
      </c>
    </row>
    <row r="334" spans="2:8" x14ac:dyDescent="0.3">
      <c r="B334" s="69">
        <v>45946</v>
      </c>
      <c r="C334" s="55">
        <v>4768.05</v>
      </c>
      <c r="D334" s="70">
        <f t="shared" si="11"/>
        <v>2.3656031622785347</v>
      </c>
      <c r="E334" s="180">
        <v>1.8574693982183633E-2</v>
      </c>
      <c r="G334" s="78">
        <v>332</v>
      </c>
      <c r="H334" s="180">
        <f t="shared" ca="1" si="12"/>
        <v>2.2620122604898166E-2</v>
      </c>
    </row>
    <row r="335" spans="2:8" x14ac:dyDescent="0.3">
      <c r="B335" s="69">
        <v>44831</v>
      </c>
      <c r="C335" s="55">
        <v>1416.7</v>
      </c>
      <c r="D335" s="70">
        <f t="shared" si="11"/>
        <v>1.0755988572265771</v>
      </c>
      <c r="E335" s="180">
        <v>1.854914084405777E-2</v>
      </c>
      <c r="G335" s="78">
        <v>333</v>
      </c>
      <c r="H335" s="180">
        <f t="shared" ca="1" si="12"/>
        <v>-1.7046602716815858E-2</v>
      </c>
    </row>
    <row r="336" spans="2:8" x14ac:dyDescent="0.3">
      <c r="B336" s="69">
        <v>44196</v>
      </c>
      <c r="C336" s="55">
        <v>682.55</v>
      </c>
      <c r="D336" s="70">
        <f t="shared" si="11"/>
        <v>-0.82215071134504136</v>
      </c>
      <c r="E336" s="180">
        <v>1.854131691848529E-2</v>
      </c>
      <c r="G336" s="78">
        <v>334</v>
      </c>
      <c r="H336" s="180">
        <f t="shared" ca="1" si="12"/>
        <v>-2.0340100273135112E-2</v>
      </c>
    </row>
    <row r="337" spans="2:8" x14ac:dyDescent="0.3">
      <c r="B337" s="69">
        <v>46050</v>
      </c>
      <c r="C337" s="55">
        <v>3837.8</v>
      </c>
      <c r="D337" s="70">
        <f t="shared" si="11"/>
        <v>1.9825529434622111</v>
      </c>
      <c r="E337" s="180">
        <v>1.851090086384204E-2</v>
      </c>
      <c r="G337" s="78">
        <v>335</v>
      </c>
      <c r="H337" s="180">
        <f t="shared" ca="1" si="12"/>
        <v>-5.7930366032760963E-3</v>
      </c>
    </row>
    <row r="338" spans="2:8" x14ac:dyDescent="0.3">
      <c r="B338" s="69">
        <v>44774</v>
      </c>
      <c r="C338" s="55">
        <v>1286.75</v>
      </c>
      <c r="D338" s="70">
        <f t="shared" si="11"/>
        <v>-0.68281259629013369</v>
      </c>
      <c r="E338" s="180">
        <v>1.8441568720566848E-2</v>
      </c>
      <c r="G338" s="78">
        <v>336</v>
      </c>
      <c r="H338" s="180">
        <f t="shared" ca="1" si="12"/>
        <v>-2.730789934358618E-2</v>
      </c>
    </row>
    <row r="339" spans="2:8" x14ac:dyDescent="0.3">
      <c r="B339" s="69">
        <v>45341</v>
      </c>
      <c r="C339" s="55">
        <v>4056.75</v>
      </c>
      <c r="D339" s="70">
        <f t="shared" si="11"/>
        <v>8.2026314297056668</v>
      </c>
      <c r="E339" s="180">
        <v>1.8439484849245555E-2</v>
      </c>
      <c r="G339" s="78">
        <v>337</v>
      </c>
      <c r="H339" s="180">
        <f t="shared" ca="1" si="12"/>
        <v>1.430771852422558E-2</v>
      </c>
    </row>
    <row r="340" spans="2:8" x14ac:dyDescent="0.3">
      <c r="B340" s="69">
        <v>43643</v>
      </c>
      <c r="C340" s="55">
        <v>440.82499999999999</v>
      </c>
      <c r="D340" s="70">
        <f t="shared" si="11"/>
        <v>-0.77648907986969362</v>
      </c>
      <c r="E340" s="180">
        <v>1.8424396442185433E-2</v>
      </c>
      <c r="G340" s="78">
        <v>338</v>
      </c>
      <c r="H340" s="180">
        <f t="shared" ca="1" si="12"/>
        <v>-6.579378187613223E-3</v>
      </c>
    </row>
    <row r="341" spans="2:8" x14ac:dyDescent="0.3">
      <c r="B341" s="69">
        <v>45155</v>
      </c>
      <c r="C341" s="55">
        <v>1972.2750000000001</v>
      </c>
      <c r="D341" s="70">
        <f t="shared" si="11"/>
        <v>-0.68900636249674785</v>
      </c>
      <c r="E341" s="180">
        <v>1.83688748902773E-2</v>
      </c>
      <c r="G341" s="78">
        <v>339</v>
      </c>
      <c r="H341" s="180">
        <f t="shared" ca="1" si="12"/>
        <v>-1.0901916300747794E-2</v>
      </c>
    </row>
    <row r="342" spans="2:8" x14ac:dyDescent="0.3">
      <c r="B342" s="69">
        <v>45672</v>
      </c>
      <c r="C342" s="55">
        <v>6341.85</v>
      </c>
      <c r="D342" s="70">
        <f t="shared" si="11"/>
        <v>4.7754251758759647</v>
      </c>
      <c r="E342" s="180">
        <v>1.8362103572862363E-2</v>
      </c>
      <c r="G342" s="78">
        <v>340</v>
      </c>
      <c r="H342" s="180">
        <f t="shared" ca="1" si="12"/>
        <v>-1.9255791351362857E-2</v>
      </c>
    </row>
    <row r="343" spans="2:8" x14ac:dyDescent="0.3">
      <c r="B343" s="69">
        <v>44572</v>
      </c>
      <c r="C343" s="55">
        <v>1098.075</v>
      </c>
      <c r="D343" s="70">
        <f t="shared" si="11"/>
        <v>5.58413461538462E-2</v>
      </c>
      <c r="E343" s="180">
        <v>1.826822765735486E-2</v>
      </c>
      <c r="G343" s="78">
        <v>341</v>
      </c>
      <c r="H343" s="180">
        <f t="shared" ca="1" si="12"/>
        <v>1.416569162282435E-3</v>
      </c>
    </row>
    <row r="344" spans="2:8" x14ac:dyDescent="0.3">
      <c r="B344" s="69">
        <v>44552</v>
      </c>
      <c r="C344" s="55">
        <v>1040</v>
      </c>
      <c r="D344" s="70">
        <f t="shared" si="11"/>
        <v>1.8735235200663121</v>
      </c>
      <c r="E344" s="180">
        <v>1.8235222127034635E-2</v>
      </c>
      <c r="G344" s="78">
        <v>342</v>
      </c>
      <c r="H344" s="180">
        <f t="shared" ca="1" si="12"/>
        <v>-9.3708877787971843E-3</v>
      </c>
    </row>
    <row r="345" spans="2:8" x14ac:dyDescent="0.3">
      <c r="B345" s="69">
        <v>43585</v>
      </c>
      <c r="C345" s="55">
        <v>361.92500000000001</v>
      </c>
      <c r="D345" s="70">
        <f t="shared" si="11"/>
        <v>-0.93265258652772609</v>
      </c>
      <c r="E345" s="180">
        <v>1.8216345477563716E-2</v>
      </c>
      <c r="G345" s="78">
        <v>343</v>
      </c>
      <c r="H345" s="180">
        <f t="shared" ca="1" si="12"/>
        <v>3.6551627841065207E-2</v>
      </c>
    </row>
    <row r="346" spans="2:8" x14ac:dyDescent="0.3">
      <c r="B346" s="69">
        <v>45875</v>
      </c>
      <c r="C346" s="55">
        <v>5374</v>
      </c>
      <c r="D346" s="70">
        <f t="shared" si="11"/>
        <v>6.7345998848589526</v>
      </c>
      <c r="E346" s="180">
        <v>1.8188707843880259E-2</v>
      </c>
      <c r="G346" s="78">
        <v>344</v>
      </c>
      <c r="H346" s="180">
        <f t="shared" ca="1" si="12"/>
        <v>2.9908162806180007E-2</v>
      </c>
    </row>
    <row r="347" spans="2:8" x14ac:dyDescent="0.3">
      <c r="B347" s="69">
        <v>44116</v>
      </c>
      <c r="C347" s="55">
        <v>694.8</v>
      </c>
      <c r="D347" s="70">
        <f t="shared" si="11"/>
        <v>-0.43058514997541392</v>
      </c>
      <c r="E347" s="180">
        <v>1.8171160609613098E-2</v>
      </c>
      <c r="G347" s="78">
        <v>345</v>
      </c>
      <c r="H347" s="180">
        <f t="shared" ca="1" si="12"/>
        <v>1.1497110468356881E-2</v>
      </c>
    </row>
    <row r="348" spans="2:8" x14ac:dyDescent="0.3">
      <c r="B348" s="69">
        <v>44760</v>
      </c>
      <c r="C348" s="55">
        <v>1220.2</v>
      </c>
      <c r="D348" s="70">
        <f t="shared" si="11"/>
        <v>-2.7225256108741474E-2</v>
      </c>
      <c r="E348" s="180">
        <v>1.8148441737244132E-2</v>
      </c>
      <c r="G348" s="78">
        <v>346</v>
      </c>
      <c r="H348" s="180">
        <f t="shared" ca="1" si="12"/>
        <v>-1.8278713358379006E-2</v>
      </c>
    </row>
    <row r="349" spans="2:8" x14ac:dyDescent="0.3">
      <c r="B349" s="69">
        <v>44670</v>
      </c>
      <c r="C349" s="55">
        <v>1254.3499999999999</v>
      </c>
      <c r="D349" s="70">
        <f t="shared" si="11"/>
        <v>-0.68174206480095401</v>
      </c>
      <c r="E349" s="180">
        <v>1.8141233766233691E-2</v>
      </c>
      <c r="G349" s="78">
        <v>347</v>
      </c>
      <c r="H349" s="180">
        <f t="shared" ca="1" si="12"/>
        <v>6.7812794282487102E-3</v>
      </c>
    </row>
    <row r="350" spans="2:8" x14ac:dyDescent="0.3">
      <c r="B350" s="69">
        <v>45337</v>
      </c>
      <c r="C350" s="55">
        <v>3941.3</v>
      </c>
      <c r="D350" s="70">
        <f t="shared" si="11"/>
        <v>14.618387160689521</v>
      </c>
      <c r="E350" s="180">
        <v>1.8081781313770567E-2</v>
      </c>
      <c r="G350" s="78">
        <v>348</v>
      </c>
      <c r="H350" s="180">
        <f t="shared" ca="1" si="12"/>
        <v>4.6426803614209172E-2</v>
      </c>
    </row>
    <row r="351" spans="2:8" x14ac:dyDescent="0.3">
      <c r="B351" s="69">
        <v>42891</v>
      </c>
      <c r="C351" s="55">
        <v>252.35</v>
      </c>
      <c r="D351" s="70">
        <f t="shared" si="11"/>
        <v>-0.78608515057113193</v>
      </c>
      <c r="E351" s="180">
        <v>1.8053454362077639E-2</v>
      </c>
      <c r="G351" s="78">
        <v>349</v>
      </c>
      <c r="H351" s="180">
        <f t="shared" ca="1" si="12"/>
        <v>-2.8409801467026388E-2</v>
      </c>
    </row>
    <row r="352" spans="2:8" x14ac:dyDescent="0.3">
      <c r="B352" s="69">
        <v>44575</v>
      </c>
      <c r="C352" s="55">
        <v>1179.6750000000002</v>
      </c>
      <c r="D352" s="70">
        <f t="shared" si="11"/>
        <v>-0.11969479320187293</v>
      </c>
      <c r="E352" s="180">
        <v>1.7970401691332162E-2</v>
      </c>
      <c r="G352" s="78">
        <v>350</v>
      </c>
      <c r="H352" s="180">
        <f t="shared" ca="1" si="12"/>
        <v>1.8984641343820854E-2</v>
      </c>
    </row>
    <row r="353" spans="2:8" x14ac:dyDescent="0.3">
      <c r="B353" s="69">
        <v>44784</v>
      </c>
      <c r="C353" s="55">
        <v>1340.075</v>
      </c>
      <c r="D353" s="70">
        <f t="shared" si="11"/>
        <v>-0.5113450932129997</v>
      </c>
      <c r="E353" s="180">
        <v>1.796532274911225E-2</v>
      </c>
      <c r="G353" s="78">
        <v>351</v>
      </c>
      <c r="H353" s="180">
        <f t="shared" ca="1" si="12"/>
        <v>2.3100254413791672E-2</v>
      </c>
    </row>
    <row r="354" spans="2:8" x14ac:dyDescent="0.3">
      <c r="B354" s="69">
        <v>45260</v>
      </c>
      <c r="C354" s="55">
        <v>2742.375</v>
      </c>
      <c r="D354" s="70">
        <f t="shared" si="11"/>
        <v>7.818634938499879</v>
      </c>
      <c r="E354" s="180">
        <v>1.7956570155902005E-2</v>
      </c>
      <c r="G354" s="78">
        <v>352</v>
      </c>
      <c r="H354" s="180">
        <f t="shared" ca="1" si="12"/>
        <v>1.4709403385760728E-2</v>
      </c>
    </row>
    <row r="355" spans="2:8" x14ac:dyDescent="0.3">
      <c r="B355" s="69">
        <v>43055</v>
      </c>
      <c r="C355" s="55">
        <v>310.97500000000002</v>
      </c>
      <c r="D355" s="70">
        <f t="shared" si="11"/>
        <v>-1.7534160018955705E-2</v>
      </c>
      <c r="E355" s="180">
        <v>1.792144026186587E-2</v>
      </c>
      <c r="G355" s="78">
        <v>353</v>
      </c>
      <c r="H355" s="180">
        <f t="shared" ca="1" si="12"/>
        <v>-4.747835183137269E-3</v>
      </c>
    </row>
    <row r="356" spans="2:8" x14ac:dyDescent="0.3">
      <c r="B356" s="69">
        <v>43056</v>
      </c>
      <c r="C356" s="55">
        <v>316.52499999999998</v>
      </c>
      <c r="D356" s="70">
        <f t="shared" si="11"/>
        <v>0.26711369095276205</v>
      </c>
      <c r="E356" s="180">
        <v>1.7847093817830867E-2</v>
      </c>
      <c r="G356" s="78">
        <v>354</v>
      </c>
      <c r="H356" s="180">
        <f t="shared" ca="1" si="12"/>
        <v>1.9575609819981174E-2</v>
      </c>
    </row>
    <row r="357" spans="2:8" x14ac:dyDescent="0.3">
      <c r="B357" s="69">
        <v>42782</v>
      </c>
      <c r="C357" s="55">
        <v>249.8</v>
      </c>
      <c r="D357" s="70">
        <f t="shared" si="11"/>
        <v>-0.34735467015022858</v>
      </c>
      <c r="E357" s="180">
        <v>1.7826219822756444E-2</v>
      </c>
      <c r="G357" s="78">
        <v>355</v>
      </c>
      <c r="H357" s="180">
        <f t="shared" ca="1" si="12"/>
        <v>-2.0480627933671825E-3</v>
      </c>
    </row>
    <row r="358" spans="2:8" x14ac:dyDescent="0.3">
      <c r="B358" s="69">
        <v>43591</v>
      </c>
      <c r="C358" s="55">
        <v>382.75</v>
      </c>
      <c r="D358" s="70">
        <f t="shared" si="11"/>
        <v>-0.90892000904255954</v>
      </c>
      <c r="E358" s="180">
        <v>1.7816779683552688E-2</v>
      </c>
      <c r="G358" s="78">
        <v>356</v>
      </c>
      <c r="H358" s="180">
        <f t="shared" ca="1" si="12"/>
        <v>-4.7206150525471594E-3</v>
      </c>
    </row>
    <row r="359" spans="2:8" x14ac:dyDescent="0.3">
      <c r="B359" s="69">
        <v>46132</v>
      </c>
      <c r="C359" s="55">
        <v>4202.3500000000004</v>
      </c>
      <c r="D359" s="70">
        <f t="shared" si="11"/>
        <v>4.6528786655905305</v>
      </c>
      <c r="E359" s="180">
        <v>1.7813892656461969E-2</v>
      </c>
      <c r="G359" s="78">
        <v>357</v>
      </c>
      <c r="H359" s="180">
        <f t="shared" ca="1" si="12"/>
        <v>-1.0067101872006348E-2</v>
      </c>
    </row>
    <row r="360" spans="2:8" x14ac:dyDescent="0.3">
      <c r="B360" s="69">
        <v>44302</v>
      </c>
      <c r="C360" s="55">
        <v>743.4</v>
      </c>
      <c r="D360" s="70">
        <f t="shared" si="11"/>
        <v>-0.38641850483874302</v>
      </c>
      <c r="E360" s="180">
        <v>1.7798466593647318E-2</v>
      </c>
      <c r="G360" s="78">
        <v>358</v>
      </c>
      <c r="H360" s="180">
        <f t="shared" ca="1" si="12"/>
        <v>-8.9666703053837178E-3</v>
      </c>
    </row>
    <row r="361" spans="2:8" x14ac:dyDescent="0.3">
      <c r="B361" s="69">
        <v>44944</v>
      </c>
      <c r="C361" s="55">
        <v>1211.575</v>
      </c>
      <c r="D361" s="70">
        <f t="shared" si="11"/>
        <v>2.5687039764359354</v>
      </c>
      <c r="E361" s="180">
        <v>1.7788138440860177E-2</v>
      </c>
      <c r="G361" s="78">
        <v>359</v>
      </c>
      <c r="H361" s="180">
        <f t="shared" ca="1" si="12"/>
        <v>1.0063045955867006E-3</v>
      </c>
    </row>
    <row r="362" spans="2:8" x14ac:dyDescent="0.3">
      <c r="B362" s="69">
        <v>43077</v>
      </c>
      <c r="C362" s="55">
        <v>339.5</v>
      </c>
      <c r="D362" s="70">
        <f t="shared" si="11"/>
        <v>-0.25055187637969095</v>
      </c>
      <c r="E362" s="180">
        <v>1.7762122461215654E-2</v>
      </c>
      <c r="G362" s="78">
        <v>360</v>
      </c>
      <c r="H362" s="180">
        <f t="shared" ca="1" si="12"/>
        <v>1.6734219346686934E-2</v>
      </c>
    </row>
    <row r="363" spans="2:8" x14ac:dyDescent="0.3">
      <c r="B363" s="69">
        <v>43658</v>
      </c>
      <c r="C363" s="55">
        <v>453</v>
      </c>
      <c r="D363" s="70">
        <f t="shared" si="11"/>
        <v>-0.71192368839427667</v>
      </c>
      <c r="E363" s="180">
        <v>1.7691659646166806E-2</v>
      </c>
      <c r="G363" s="78">
        <v>361</v>
      </c>
      <c r="H363" s="180">
        <f t="shared" ca="1" si="12"/>
        <v>-2.728959189606214E-3</v>
      </c>
    </row>
    <row r="364" spans="2:8" x14ac:dyDescent="0.3">
      <c r="B364" s="69">
        <v>45077</v>
      </c>
      <c r="C364" s="55">
        <v>1572.5</v>
      </c>
      <c r="D364" s="70">
        <f t="shared" si="11"/>
        <v>2.1095511172631993</v>
      </c>
      <c r="E364" s="180">
        <v>1.7618223293588461E-2</v>
      </c>
      <c r="G364" s="78">
        <v>362</v>
      </c>
      <c r="H364" s="180">
        <f t="shared" ca="1" si="12"/>
        <v>7.5850932388289698E-3</v>
      </c>
    </row>
    <row r="365" spans="2:8" x14ac:dyDescent="0.3">
      <c r="B365" s="69">
        <v>43811</v>
      </c>
      <c r="C365" s="55">
        <v>505.70000000000005</v>
      </c>
      <c r="D365" s="70">
        <f t="shared" si="11"/>
        <v>-0.82743559119604171</v>
      </c>
      <c r="E365" s="180">
        <v>1.7607405171546547E-2</v>
      </c>
      <c r="G365" s="78">
        <v>363</v>
      </c>
      <c r="H365" s="180">
        <f t="shared" ca="1" si="12"/>
        <v>6.9570452311452594E-3</v>
      </c>
    </row>
    <row r="366" spans="2:8" x14ac:dyDescent="0.3">
      <c r="B366" s="69">
        <v>45273</v>
      </c>
      <c r="C366" s="55">
        <v>2930.5</v>
      </c>
      <c r="D366" s="70">
        <f t="shared" si="11"/>
        <v>4.9381965552178322</v>
      </c>
      <c r="E366" s="180">
        <v>1.7605389263143211E-2</v>
      </c>
      <c r="G366" s="78">
        <v>364</v>
      </c>
      <c r="H366" s="180">
        <f t="shared" ca="1" si="12"/>
        <v>-2.3102238419225922E-2</v>
      </c>
    </row>
    <row r="367" spans="2:8" x14ac:dyDescent="0.3">
      <c r="B367" s="69">
        <v>43747</v>
      </c>
      <c r="C367" s="55">
        <v>493.5</v>
      </c>
      <c r="D367" s="70">
        <f t="shared" si="11"/>
        <v>-0.28061224489795916</v>
      </c>
      <c r="E367" s="180">
        <v>1.7578225681736125E-2</v>
      </c>
      <c r="G367" s="78">
        <v>365</v>
      </c>
      <c r="H367" s="180">
        <f t="shared" ca="1" si="12"/>
        <v>-1.4504929770848938E-2</v>
      </c>
    </row>
    <row r="368" spans="2:8" x14ac:dyDescent="0.3">
      <c r="B368" s="69">
        <v>44112</v>
      </c>
      <c r="C368" s="55">
        <v>686</v>
      </c>
      <c r="D368" s="70">
        <f t="shared" si="11"/>
        <v>-0.66736974810289229</v>
      </c>
      <c r="E368" s="180">
        <v>1.7577690424979638E-2</v>
      </c>
      <c r="G368" s="78">
        <v>366</v>
      </c>
      <c r="H368" s="180">
        <f t="shared" ca="1" si="12"/>
        <v>-6.0902940688577463E-3</v>
      </c>
    </row>
    <row r="369" spans="2:8" x14ac:dyDescent="0.3">
      <c r="B369" s="69">
        <v>45168</v>
      </c>
      <c r="C369" s="55">
        <v>2062.35</v>
      </c>
      <c r="D369" s="70">
        <f t="shared" si="11"/>
        <v>-0.63884948778565798</v>
      </c>
      <c r="E369" s="180">
        <v>1.7514862964698917E-2</v>
      </c>
      <c r="G369" s="78">
        <v>367</v>
      </c>
      <c r="H369" s="180">
        <f t="shared" ca="1" si="12"/>
        <v>-8.1496565889644726E-3</v>
      </c>
    </row>
    <row r="370" spans="2:8" x14ac:dyDescent="0.3">
      <c r="B370" s="69">
        <v>45814</v>
      </c>
      <c r="C370" s="55">
        <v>5710.5</v>
      </c>
      <c r="D370" s="70">
        <f t="shared" si="11"/>
        <v>9.9759261928787648</v>
      </c>
      <c r="E370" s="180">
        <v>1.7461024498886413E-2</v>
      </c>
      <c r="G370" s="78">
        <v>368</v>
      </c>
      <c r="H370" s="180">
        <f t="shared" ca="1" si="12"/>
        <v>-1.6555263158785943E-2</v>
      </c>
    </row>
    <row r="371" spans="2:8" x14ac:dyDescent="0.3">
      <c r="B371" s="69">
        <v>43760</v>
      </c>
      <c r="C371" s="55">
        <v>520.27500000000009</v>
      </c>
      <c r="D371" s="70">
        <f t="shared" si="11"/>
        <v>0.49343379978471502</v>
      </c>
      <c r="E371" s="180">
        <v>1.7404057687607121E-2</v>
      </c>
      <c r="G371" s="78">
        <v>369</v>
      </c>
      <c r="H371" s="180">
        <f t="shared" ca="1" si="12"/>
        <v>-7.5885361564414092E-3</v>
      </c>
    </row>
    <row r="372" spans="2:8" x14ac:dyDescent="0.3">
      <c r="B372" s="69">
        <v>43108</v>
      </c>
      <c r="C372" s="55">
        <v>348.375</v>
      </c>
      <c r="D372" s="70">
        <f t="shared" si="11"/>
        <v>-0.94951105249618661</v>
      </c>
      <c r="E372" s="180">
        <v>1.7376067752062463E-2</v>
      </c>
      <c r="G372" s="78">
        <v>370</v>
      </c>
      <c r="H372" s="180">
        <f t="shared" ca="1" si="12"/>
        <v>-5.884164161709165E-3</v>
      </c>
    </row>
    <row r="373" spans="2:8" x14ac:dyDescent="0.3">
      <c r="B373" s="69">
        <v>45526</v>
      </c>
      <c r="C373" s="55">
        <v>6900.0249999999996</v>
      </c>
      <c r="D373" s="70">
        <f t="shared" si="11"/>
        <v>4.0934910587410265</v>
      </c>
      <c r="E373" s="180">
        <v>1.7327681533357852E-2</v>
      </c>
      <c r="G373" s="78">
        <v>371</v>
      </c>
      <c r="H373" s="180">
        <f t="shared" ca="1" si="12"/>
        <v>9.2328667715019918E-3</v>
      </c>
    </row>
    <row r="374" spans="2:8" x14ac:dyDescent="0.3">
      <c r="B374" s="69">
        <v>44973</v>
      </c>
      <c r="C374" s="55">
        <v>1354.675</v>
      </c>
      <c r="D374" s="70">
        <f t="shared" si="11"/>
        <v>-0.37833993001778238</v>
      </c>
      <c r="E374" s="180">
        <v>1.7309678024969459E-2</v>
      </c>
      <c r="G374" s="78">
        <v>372</v>
      </c>
      <c r="H374" s="180">
        <f t="shared" ca="1" si="12"/>
        <v>-8.6635217083921284E-3</v>
      </c>
    </row>
    <row r="375" spans="2:8" x14ac:dyDescent="0.3">
      <c r="B375" s="69">
        <v>45231</v>
      </c>
      <c r="C375" s="55">
        <v>2179.125</v>
      </c>
      <c r="D375" s="70">
        <f t="shared" si="11"/>
        <v>7.7682325721758367</v>
      </c>
      <c r="E375" s="180">
        <v>1.730818608342467E-2</v>
      </c>
      <c r="G375" s="78">
        <v>373</v>
      </c>
      <c r="H375" s="180">
        <f t="shared" ca="1" si="12"/>
        <v>-6.1321269763124553E-3</v>
      </c>
    </row>
    <row r="376" spans="2:8" x14ac:dyDescent="0.3">
      <c r="B376" s="69">
        <v>42823</v>
      </c>
      <c r="C376" s="55">
        <v>248.52500000000001</v>
      </c>
      <c r="D376" s="70">
        <f t="shared" si="11"/>
        <v>-0.62644671576732303</v>
      </c>
      <c r="E376" s="180">
        <v>1.7294310274252944E-2</v>
      </c>
      <c r="G376" s="78">
        <v>374</v>
      </c>
      <c r="H376" s="180">
        <f t="shared" ca="1" si="12"/>
        <v>3.7729227919567822E-2</v>
      </c>
    </row>
    <row r="377" spans="2:8" x14ac:dyDescent="0.3">
      <c r="B377" s="69">
        <v>44007</v>
      </c>
      <c r="C377" s="55">
        <v>665.3</v>
      </c>
      <c r="D377" s="70">
        <f t="shared" si="11"/>
        <v>-0.87426173894143988</v>
      </c>
      <c r="E377" s="180">
        <v>1.727828746177363E-2</v>
      </c>
      <c r="G377" s="78">
        <v>375</v>
      </c>
      <c r="H377" s="180">
        <f t="shared" ca="1" si="12"/>
        <v>1.852709055905858E-2</v>
      </c>
    </row>
    <row r="378" spans="2:8" x14ac:dyDescent="0.3">
      <c r="B378" s="69">
        <v>45701</v>
      </c>
      <c r="C378" s="55">
        <v>5291.15</v>
      </c>
      <c r="D378" s="70">
        <f t="shared" si="11"/>
        <v>3.8279118572927602</v>
      </c>
      <c r="E378" s="180">
        <v>1.7206078840367962E-2</v>
      </c>
      <c r="G378" s="78">
        <v>376</v>
      </c>
      <c r="H378" s="180">
        <f t="shared" ca="1" si="12"/>
        <v>-3.7522077278342392E-2</v>
      </c>
    </row>
    <row r="379" spans="2:8" x14ac:dyDescent="0.3">
      <c r="B379" s="69">
        <v>44722</v>
      </c>
      <c r="C379" s="55">
        <v>1095.9499999999998</v>
      </c>
      <c r="D379" s="70">
        <f t="shared" si="11"/>
        <v>3.2229072343704841</v>
      </c>
      <c r="E379" s="180">
        <v>1.7193772188319245E-2</v>
      </c>
      <c r="G379" s="78">
        <v>377</v>
      </c>
      <c r="H379" s="180">
        <f t="shared" ca="1" si="12"/>
        <v>-1.7135235535735358E-2</v>
      </c>
    </row>
    <row r="380" spans="2:8" x14ac:dyDescent="0.3">
      <c r="B380" s="69">
        <v>42936</v>
      </c>
      <c r="C380" s="55">
        <v>259.52499999999998</v>
      </c>
      <c r="D380" s="70">
        <f t="shared" si="11"/>
        <v>-0.94977259531643132</v>
      </c>
      <c r="E380" s="180">
        <v>1.7146776406035555E-2</v>
      </c>
      <c r="G380" s="78">
        <v>378</v>
      </c>
      <c r="H380" s="180">
        <f t="shared" ca="1" si="12"/>
        <v>-7.9319904072884372E-3</v>
      </c>
    </row>
    <row r="381" spans="2:8" x14ac:dyDescent="0.3">
      <c r="B381" s="69">
        <v>45457</v>
      </c>
      <c r="C381" s="55">
        <v>5167</v>
      </c>
      <c r="D381" s="70">
        <f t="shared" si="11"/>
        <v>-4.25719182841525E-2</v>
      </c>
      <c r="E381" s="180">
        <v>1.7120978735340943E-2</v>
      </c>
      <c r="G381" s="78">
        <v>379</v>
      </c>
      <c r="H381" s="180">
        <f t="shared" ca="1" si="12"/>
        <v>1.4709120192167828E-2</v>
      </c>
    </row>
    <row r="382" spans="2:8" x14ac:dyDescent="0.3">
      <c r="B382" s="69">
        <v>45880</v>
      </c>
      <c r="C382" s="55">
        <v>5396.75</v>
      </c>
      <c r="D382" s="70">
        <f t="shared" si="11"/>
        <v>4.3303866857622602</v>
      </c>
      <c r="E382" s="180">
        <v>1.7055359246171967E-2</v>
      </c>
      <c r="G382" s="78">
        <v>380</v>
      </c>
      <c r="H382" s="180">
        <f t="shared" ca="1" si="12"/>
        <v>2.7318999876708282E-3</v>
      </c>
    </row>
    <row r="383" spans="2:8" x14ac:dyDescent="0.3">
      <c r="B383" s="69">
        <v>44440</v>
      </c>
      <c r="C383" s="55">
        <v>1012.45</v>
      </c>
      <c r="D383" s="70">
        <f t="shared" si="11"/>
        <v>3.7813459268004723</v>
      </c>
      <c r="E383" s="180">
        <v>1.7052161028654686E-2</v>
      </c>
      <c r="G383" s="78">
        <v>381</v>
      </c>
      <c r="H383" s="180">
        <f t="shared" ca="1" si="12"/>
        <v>-1.7667767915590146E-2</v>
      </c>
    </row>
    <row r="384" spans="2:8" x14ac:dyDescent="0.3">
      <c r="B384" s="69">
        <v>42751</v>
      </c>
      <c r="C384" s="55">
        <v>211.75</v>
      </c>
      <c r="D384" s="70">
        <f t="shared" si="11"/>
        <v>-0.43089430894308939</v>
      </c>
      <c r="E384" s="180">
        <v>1.7050912584053848E-2</v>
      </c>
      <c r="G384" s="78">
        <v>382</v>
      </c>
      <c r="H384" s="180">
        <f t="shared" ca="1" si="12"/>
        <v>-1.7258707587638458E-3</v>
      </c>
    </row>
    <row r="385" spans="2:8" x14ac:dyDescent="0.3">
      <c r="B385" s="69">
        <v>43538</v>
      </c>
      <c r="C385" s="55">
        <v>372.07499999999999</v>
      </c>
      <c r="D385" s="70">
        <f t="shared" si="11"/>
        <v>-0.742713411471839</v>
      </c>
      <c r="E385" s="180">
        <v>1.7015170151701422E-2</v>
      </c>
      <c r="G385" s="78">
        <v>383</v>
      </c>
      <c r="H385" s="180">
        <f t="shared" ca="1" si="12"/>
        <v>-1.3493664256723952E-2</v>
      </c>
    </row>
    <row r="386" spans="2:8" x14ac:dyDescent="0.3">
      <c r="B386" s="69">
        <v>44790</v>
      </c>
      <c r="C386" s="55">
        <v>1446.15</v>
      </c>
      <c r="D386" s="70">
        <f t="shared" si="11"/>
        <v>-0.67261675684241506</v>
      </c>
      <c r="E386" s="180">
        <v>1.6965243227088131E-2</v>
      </c>
      <c r="G386" s="78">
        <v>384</v>
      </c>
      <c r="H386" s="180">
        <f t="shared" ca="1" si="12"/>
        <v>1.5646653977611936E-3</v>
      </c>
    </row>
    <row r="387" spans="2:8" x14ac:dyDescent="0.3">
      <c r="B387" s="69">
        <v>46134</v>
      </c>
      <c r="C387" s="55">
        <v>4417.3</v>
      </c>
      <c r="D387" s="70">
        <f t="shared" ref="D387:D450" si="13">(C387-C388)/C388</f>
        <v>5.6176779026217227</v>
      </c>
      <c r="E387" s="180">
        <v>1.6955786032484328E-2</v>
      </c>
      <c r="G387" s="78">
        <v>385</v>
      </c>
      <c r="H387" s="180">
        <f t="shared" ca="1" si="12"/>
        <v>1.3173423401157193E-2</v>
      </c>
    </row>
    <row r="388" spans="2:8" x14ac:dyDescent="0.3">
      <c r="B388" s="69">
        <v>44103</v>
      </c>
      <c r="C388" s="55">
        <v>667.5</v>
      </c>
      <c r="D388" s="70">
        <f t="shared" si="13"/>
        <v>-0.50393876337693222</v>
      </c>
      <c r="E388" s="180">
        <v>1.6949152542372881E-2</v>
      </c>
      <c r="G388" s="78">
        <v>386</v>
      </c>
      <c r="H388" s="180">
        <f t="shared" ref="H388:H451" ca="1" si="14">_xlfn.NORM.INV(RAND(),$N$4,$N$5)</f>
        <v>7.2617501817043408E-3</v>
      </c>
    </row>
    <row r="389" spans="2:8" x14ac:dyDescent="0.3">
      <c r="B389" s="69">
        <v>44922</v>
      </c>
      <c r="C389" s="55">
        <v>1345.6</v>
      </c>
      <c r="D389" s="70">
        <f t="shared" si="13"/>
        <v>2.9500954058417732</v>
      </c>
      <c r="E389" s="180">
        <v>1.6890232382391769E-2</v>
      </c>
      <c r="G389" s="78">
        <v>387</v>
      </c>
      <c r="H389" s="180">
        <f t="shared" ca="1" si="14"/>
        <v>2.3773783880031724E-2</v>
      </c>
    </row>
    <row r="390" spans="2:8" x14ac:dyDescent="0.3">
      <c r="B390" s="69">
        <v>43227</v>
      </c>
      <c r="C390" s="55">
        <v>340.65</v>
      </c>
      <c r="D390" s="70">
        <f t="shared" si="13"/>
        <v>-0.68282861199692746</v>
      </c>
      <c r="E390" s="180">
        <v>1.6865671641790977E-2</v>
      </c>
      <c r="G390" s="78">
        <v>388</v>
      </c>
      <c r="H390" s="180">
        <f t="shared" ca="1" si="14"/>
        <v>2.6820699800668379E-2</v>
      </c>
    </row>
    <row r="391" spans="2:8" x14ac:dyDescent="0.3">
      <c r="B391" s="69">
        <v>44608</v>
      </c>
      <c r="C391" s="55">
        <v>1074.0250000000001</v>
      </c>
      <c r="D391" s="70">
        <f t="shared" si="13"/>
        <v>7.8907054421256256E-2</v>
      </c>
      <c r="E391" s="180">
        <v>1.682840236686399E-2</v>
      </c>
      <c r="G391" s="78">
        <v>389</v>
      </c>
      <c r="H391" s="180">
        <f t="shared" ca="1" si="14"/>
        <v>2.0364271193916445E-2</v>
      </c>
    </row>
    <row r="392" spans="2:8" x14ac:dyDescent="0.3">
      <c r="B392" s="69">
        <v>44439</v>
      </c>
      <c r="C392" s="55">
        <v>995.47500000000002</v>
      </c>
      <c r="D392" s="70">
        <f t="shared" si="13"/>
        <v>0.46738649764150952</v>
      </c>
      <c r="E392" s="180">
        <v>1.6828396322778369E-2</v>
      </c>
      <c r="G392" s="78">
        <v>390</v>
      </c>
      <c r="H392" s="180">
        <f t="shared" ca="1" si="14"/>
        <v>2.1385201727261431E-2</v>
      </c>
    </row>
    <row r="393" spans="2:8" x14ac:dyDescent="0.3">
      <c r="B393" s="69">
        <v>44187</v>
      </c>
      <c r="C393" s="55">
        <v>678.4</v>
      </c>
      <c r="D393" s="70">
        <f t="shared" si="13"/>
        <v>1.2855217720879302</v>
      </c>
      <c r="E393" s="180">
        <v>1.682467118821902E-2</v>
      </c>
      <c r="G393" s="78">
        <v>391</v>
      </c>
      <c r="H393" s="180">
        <f t="shared" ca="1" si="14"/>
        <v>1.2102689636393667E-2</v>
      </c>
    </row>
    <row r="394" spans="2:8" x14ac:dyDescent="0.3">
      <c r="B394" s="69">
        <v>43007</v>
      </c>
      <c r="C394" s="55">
        <v>296.82500000000005</v>
      </c>
      <c r="D394" s="70">
        <f t="shared" si="13"/>
        <v>-1.7461105594174037E-2</v>
      </c>
      <c r="E394" s="180">
        <v>1.6785133167765809E-2</v>
      </c>
      <c r="G394" s="78">
        <v>392</v>
      </c>
      <c r="H394" s="180">
        <f t="shared" ca="1" si="14"/>
        <v>4.2946417769528962E-2</v>
      </c>
    </row>
    <row r="395" spans="2:8" x14ac:dyDescent="0.3">
      <c r="B395" s="69">
        <v>43047</v>
      </c>
      <c r="C395" s="55">
        <v>302.10000000000002</v>
      </c>
      <c r="D395" s="70">
        <f t="shared" si="13"/>
        <v>-0.71325518485121731</v>
      </c>
      <c r="E395" s="180">
        <v>1.6743794699200749E-2</v>
      </c>
      <c r="G395" s="78">
        <v>393</v>
      </c>
      <c r="H395" s="180">
        <f t="shared" ca="1" si="14"/>
        <v>1.6203337088879121E-2</v>
      </c>
    </row>
    <row r="396" spans="2:8" x14ac:dyDescent="0.3">
      <c r="B396" s="69">
        <v>44733</v>
      </c>
      <c r="C396" s="55">
        <v>1053.55</v>
      </c>
      <c r="D396" s="70">
        <f t="shared" si="13"/>
        <v>-0.7983925752284361</v>
      </c>
      <c r="E396" s="180">
        <v>1.6719341841781511E-2</v>
      </c>
      <c r="G396" s="78">
        <v>394</v>
      </c>
      <c r="H396" s="180">
        <f t="shared" ca="1" si="14"/>
        <v>1.720842074392865E-2</v>
      </c>
    </row>
    <row r="397" spans="2:8" x14ac:dyDescent="0.3">
      <c r="B397" s="69">
        <v>45873</v>
      </c>
      <c r="C397" s="55">
        <v>5225.75</v>
      </c>
      <c r="D397" s="70">
        <f t="shared" si="13"/>
        <v>-0.19229193876210426</v>
      </c>
      <c r="E397" s="180">
        <v>1.6633432226059043E-2</v>
      </c>
      <c r="G397" s="78">
        <v>395</v>
      </c>
      <c r="H397" s="180">
        <f t="shared" ca="1" si="14"/>
        <v>2.6705991211931398E-3</v>
      </c>
    </row>
    <row r="398" spans="2:8" x14ac:dyDescent="0.3">
      <c r="B398" s="69">
        <v>45615</v>
      </c>
      <c r="C398" s="55">
        <v>6469.85</v>
      </c>
      <c r="D398" s="70">
        <f t="shared" si="13"/>
        <v>17.646444268319041</v>
      </c>
      <c r="E398" s="180">
        <v>1.6632620993086166E-2</v>
      </c>
      <c r="G398" s="78">
        <v>396</v>
      </c>
      <c r="H398" s="180">
        <f t="shared" ca="1" si="14"/>
        <v>2.0881436265433744E-2</v>
      </c>
    </row>
    <row r="399" spans="2:8" x14ac:dyDescent="0.3">
      <c r="B399" s="69">
        <v>43173</v>
      </c>
      <c r="C399" s="55">
        <v>346.97500000000002</v>
      </c>
      <c r="D399" s="70">
        <f t="shared" si="13"/>
        <v>-0.93642206331682687</v>
      </c>
      <c r="E399" s="180">
        <v>1.6627600351596869E-2</v>
      </c>
      <c r="G399" s="78">
        <v>397</v>
      </c>
      <c r="H399" s="180">
        <f t="shared" ca="1" si="14"/>
        <v>2.6306789813358239E-2</v>
      </c>
    </row>
    <row r="400" spans="2:8" x14ac:dyDescent="0.3">
      <c r="B400" s="69">
        <v>45502</v>
      </c>
      <c r="C400" s="55">
        <v>5457.4750000000004</v>
      </c>
      <c r="D400" s="70">
        <f t="shared" si="13"/>
        <v>0.35751330779563223</v>
      </c>
      <c r="E400" s="180">
        <v>1.6616138331214541E-2</v>
      </c>
      <c r="G400" s="78">
        <v>398</v>
      </c>
      <c r="H400" s="180">
        <f t="shared" ca="1" si="14"/>
        <v>1.4558887748829453E-2</v>
      </c>
    </row>
    <row r="401" spans="2:8" x14ac:dyDescent="0.3">
      <c r="B401" s="69">
        <v>46128</v>
      </c>
      <c r="C401" s="55">
        <v>4020.2</v>
      </c>
      <c r="D401" s="70">
        <f t="shared" si="13"/>
        <v>-5.8798740445058478E-2</v>
      </c>
      <c r="E401" s="180">
        <v>1.6613984068782353E-2</v>
      </c>
      <c r="G401" s="78">
        <v>399</v>
      </c>
      <c r="H401" s="180">
        <f t="shared" ca="1" si="14"/>
        <v>3.067636122304724E-2</v>
      </c>
    </row>
    <row r="402" spans="2:8" x14ac:dyDescent="0.3">
      <c r="B402" s="69">
        <v>45407</v>
      </c>
      <c r="C402" s="55">
        <v>4271.3500000000004</v>
      </c>
      <c r="D402" s="70">
        <f t="shared" si="13"/>
        <v>-0.20433472577317655</v>
      </c>
      <c r="E402" s="180">
        <v>1.6588721097664186E-2</v>
      </c>
      <c r="G402" s="78">
        <v>400</v>
      </c>
      <c r="H402" s="180">
        <f t="shared" ca="1" si="14"/>
        <v>-5.2215749105884619E-3</v>
      </c>
    </row>
    <row r="403" spans="2:8" x14ac:dyDescent="0.3">
      <c r="B403" s="69">
        <v>45499</v>
      </c>
      <c r="C403" s="55">
        <v>5368.2749999999996</v>
      </c>
      <c r="D403" s="70">
        <f t="shared" si="13"/>
        <v>0.34116346466135355</v>
      </c>
      <c r="E403" s="180">
        <v>1.6579162899033613E-2</v>
      </c>
      <c r="G403" s="78">
        <v>401</v>
      </c>
      <c r="H403" s="180">
        <f t="shared" ca="1" si="14"/>
        <v>5.5349159804119136E-3</v>
      </c>
    </row>
    <row r="404" spans="2:8" x14ac:dyDescent="0.3">
      <c r="B404" s="69">
        <v>46058</v>
      </c>
      <c r="C404" s="55">
        <v>4002.7</v>
      </c>
      <c r="D404" s="70">
        <f t="shared" si="13"/>
        <v>-0.26336662817286322</v>
      </c>
      <c r="E404" s="180">
        <v>1.6558730158730113E-2</v>
      </c>
      <c r="G404" s="78">
        <v>402</v>
      </c>
      <c r="H404" s="180">
        <f t="shared" ca="1" si="14"/>
        <v>-2.1005659069360954E-2</v>
      </c>
    </row>
    <row r="405" spans="2:8" x14ac:dyDescent="0.3">
      <c r="B405" s="69">
        <v>45471</v>
      </c>
      <c r="C405" s="55">
        <v>5433.7749999999996</v>
      </c>
      <c r="D405" s="70">
        <f t="shared" si="13"/>
        <v>0.30361062796137461</v>
      </c>
      <c r="E405" s="180">
        <v>1.6537661062133086E-2</v>
      </c>
      <c r="G405" s="78">
        <v>403</v>
      </c>
      <c r="H405" s="180">
        <f t="shared" ca="1" si="14"/>
        <v>4.2927616209083863E-3</v>
      </c>
    </row>
    <row r="406" spans="2:8" x14ac:dyDescent="0.3">
      <c r="B406" s="69">
        <v>46062</v>
      </c>
      <c r="C406" s="55">
        <v>4168.25</v>
      </c>
      <c r="D406" s="70">
        <f t="shared" si="13"/>
        <v>-0.31880209184507274</v>
      </c>
      <c r="E406" s="180">
        <v>1.647279732728563E-2</v>
      </c>
      <c r="G406" s="78">
        <v>404</v>
      </c>
      <c r="H406" s="180">
        <f t="shared" ca="1" si="14"/>
        <v>1.0609575513085841E-2</v>
      </c>
    </row>
    <row r="407" spans="2:8" x14ac:dyDescent="0.3">
      <c r="B407" s="69">
        <v>45832</v>
      </c>
      <c r="C407" s="55">
        <v>6119</v>
      </c>
      <c r="D407" s="70">
        <f t="shared" si="13"/>
        <v>12.320997061064546</v>
      </c>
      <c r="E407" s="180">
        <v>1.644518272425249E-2</v>
      </c>
      <c r="G407" s="78">
        <v>405</v>
      </c>
      <c r="H407" s="180">
        <f t="shared" ca="1" si="14"/>
        <v>1.9634808997022982E-2</v>
      </c>
    </row>
    <row r="408" spans="2:8" x14ac:dyDescent="0.3">
      <c r="B408" s="69">
        <v>43648</v>
      </c>
      <c r="C408" s="55">
        <v>459.35</v>
      </c>
      <c r="D408" s="70">
        <f t="shared" si="13"/>
        <v>-0.77220431440614934</v>
      </c>
      <c r="E408" s="180">
        <v>1.6373492642991556E-2</v>
      </c>
      <c r="G408" s="78">
        <v>406</v>
      </c>
      <c r="H408" s="180">
        <f t="shared" ca="1" si="14"/>
        <v>-3.851156583910908E-3</v>
      </c>
    </row>
    <row r="409" spans="2:8" x14ac:dyDescent="0.3">
      <c r="B409" s="69">
        <v>45160</v>
      </c>
      <c r="C409" s="55">
        <v>2016.5</v>
      </c>
      <c r="D409" s="70">
        <f t="shared" si="13"/>
        <v>3.1106920803180103</v>
      </c>
      <c r="E409" s="180">
        <v>1.6368241327604192E-2</v>
      </c>
      <c r="G409" s="78">
        <v>407</v>
      </c>
      <c r="H409" s="180">
        <f t="shared" ca="1" si="14"/>
        <v>3.0792563968108817E-3</v>
      </c>
    </row>
    <row r="410" spans="2:8" x14ac:dyDescent="0.3">
      <c r="B410" s="69">
        <v>43741</v>
      </c>
      <c r="C410" s="55">
        <v>490.55</v>
      </c>
      <c r="D410" s="70">
        <f t="shared" si="13"/>
        <v>0.48888383033614075</v>
      </c>
      <c r="E410" s="180">
        <v>1.6367968507199907E-2</v>
      </c>
      <c r="G410" s="78">
        <v>408</v>
      </c>
      <c r="H410" s="180">
        <f t="shared" ca="1" si="14"/>
        <v>3.1359668274272813E-2</v>
      </c>
    </row>
    <row r="411" spans="2:8" x14ac:dyDescent="0.3">
      <c r="B411" s="69">
        <v>43406</v>
      </c>
      <c r="C411" s="55">
        <v>329.47500000000002</v>
      </c>
      <c r="D411" s="70">
        <f t="shared" si="13"/>
        <v>-0.84618706379402919</v>
      </c>
      <c r="E411" s="180">
        <v>1.6349194108120649E-2</v>
      </c>
      <c r="G411" s="78">
        <v>409</v>
      </c>
      <c r="H411" s="180">
        <f t="shared" ca="1" si="14"/>
        <v>-9.7694235668010256E-3</v>
      </c>
    </row>
    <row r="412" spans="2:8" x14ac:dyDescent="0.3">
      <c r="B412" s="69">
        <v>45230</v>
      </c>
      <c r="C412" s="55">
        <v>2142.0500000000002</v>
      </c>
      <c r="D412" s="70">
        <f t="shared" si="13"/>
        <v>-0.71119335571465159</v>
      </c>
      <c r="E412" s="180">
        <v>1.6345606376921746E-2</v>
      </c>
      <c r="G412" s="78">
        <v>410</v>
      </c>
      <c r="H412" s="180">
        <f t="shared" ca="1" si="14"/>
        <v>3.0828340247165735E-2</v>
      </c>
    </row>
    <row r="413" spans="2:8" x14ac:dyDescent="0.3">
      <c r="B413" s="69">
        <v>45552</v>
      </c>
      <c r="C413" s="55">
        <v>7416.9</v>
      </c>
      <c r="D413" s="70">
        <f t="shared" si="13"/>
        <v>0.53746016116912387</v>
      </c>
      <c r="E413" s="180">
        <v>1.6295616249713006E-2</v>
      </c>
      <c r="G413" s="78">
        <v>411</v>
      </c>
      <c r="H413" s="180">
        <f t="shared" ca="1" si="14"/>
        <v>-1.0094925046924811E-2</v>
      </c>
    </row>
    <row r="414" spans="2:8" x14ac:dyDescent="0.3">
      <c r="B414" s="69">
        <v>45755</v>
      </c>
      <c r="C414" s="55">
        <v>4824.125</v>
      </c>
      <c r="D414" s="70">
        <f t="shared" si="13"/>
        <v>5.7945422535211266</v>
      </c>
      <c r="E414" s="180">
        <v>1.6182882901859964E-2</v>
      </c>
      <c r="G414" s="78">
        <v>412</v>
      </c>
      <c r="H414" s="180">
        <f t="shared" ca="1" si="14"/>
        <v>2.9079109996656117E-4</v>
      </c>
    </row>
    <row r="415" spans="2:8" x14ac:dyDescent="0.3">
      <c r="B415" s="69">
        <v>44180</v>
      </c>
      <c r="C415" s="55">
        <v>710</v>
      </c>
      <c r="D415" s="70">
        <f t="shared" si="13"/>
        <v>-0.77467828184256038</v>
      </c>
      <c r="E415" s="180">
        <v>1.6172892514670037E-2</v>
      </c>
      <c r="G415" s="78">
        <v>413</v>
      </c>
      <c r="H415" s="180">
        <f t="shared" ca="1" si="14"/>
        <v>1.6299775599983645E-2</v>
      </c>
    </row>
    <row r="416" spans="2:8" x14ac:dyDescent="0.3">
      <c r="B416" s="69">
        <v>45301</v>
      </c>
      <c r="C416" s="55">
        <v>3151.05</v>
      </c>
      <c r="D416" s="70">
        <f t="shared" si="13"/>
        <v>6.1125782969358395</v>
      </c>
      <c r="E416" s="180">
        <v>1.6172724047857103E-2</v>
      </c>
      <c r="G416" s="78">
        <v>414</v>
      </c>
      <c r="H416" s="180">
        <f t="shared" ca="1" si="14"/>
        <v>1.1513534745404877E-2</v>
      </c>
    </row>
    <row r="417" spans="2:8" x14ac:dyDescent="0.3">
      <c r="B417" s="69">
        <v>43686</v>
      </c>
      <c r="C417" s="55">
        <v>443.02499999999998</v>
      </c>
      <c r="D417" s="70">
        <f t="shared" si="13"/>
        <v>-0.91279078350992371</v>
      </c>
      <c r="E417" s="180">
        <v>1.6170651986925751E-2</v>
      </c>
      <c r="G417" s="78">
        <v>415</v>
      </c>
      <c r="H417" s="180">
        <f t="shared" ca="1" si="14"/>
        <v>-1.569151583272687E-2</v>
      </c>
    </row>
    <row r="418" spans="2:8" x14ac:dyDescent="0.3">
      <c r="B418" s="69">
        <v>45456</v>
      </c>
      <c r="C418" s="55">
        <v>5080.0249999999996</v>
      </c>
      <c r="D418" s="70">
        <f t="shared" si="13"/>
        <v>0.639947702712518</v>
      </c>
      <c r="E418" s="180">
        <v>1.6167586813890002E-2</v>
      </c>
      <c r="G418" s="78">
        <v>416</v>
      </c>
      <c r="H418" s="180">
        <f t="shared" ca="1" si="14"/>
        <v>4.418133917083563E-2</v>
      </c>
    </row>
    <row r="419" spans="2:8" x14ac:dyDescent="0.3">
      <c r="B419" s="69">
        <v>45323</v>
      </c>
      <c r="C419" s="55">
        <v>3097.6750000000002</v>
      </c>
      <c r="D419" s="70">
        <f t="shared" si="13"/>
        <v>1.2935122628412774</v>
      </c>
      <c r="E419" s="180">
        <v>1.6164217294318359E-2</v>
      </c>
      <c r="G419" s="78">
        <v>417</v>
      </c>
      <c r="H419" s="180">
        <f t="shared" ca="1" si="14"/>
        <v>-1.9287972078785163E-2</v>
      </c>
    </row>
    <row r="420" spans="2:8" x14ac:dyDescent="0.3">
      <c r="B420" s="69">
        <v>44925</v>
      </c>
      <c r="C420" s="55">
        <v>1350.625</v>
      </c>
      <c r="D420" s="70">
        <f t="shared" si="13"/>
        <v>2.0030788063134415E-3</v>
      </c>
      <c r="E420" s="180">
        <v>1.615694240680127E-2</v>
      </c>
      <c r="G420" s="78">
        <v>418</v>
      </c>
      <c r="H420" s="180">
        <f t="shared" ca="1" si="14"/>
        <v>-2.8139443671561994E-2</v>
      </c>
    </row>
    <row r="421" spans="2:8" x14ac:dyDescent="0.3">
      <c r="B421" s="69">
        <v>45002</v>
      </c>
      <c r="C421" s="55">
        <v>1347.925</v>
      </c>
      <c r="D421" s="70">
        <f t="shared" si="13"/>
        <v>2.7704195804195804</v>
      </c>
      <c r="E421" s="180">
        <v>1.6132375944667356E-2</v>
      </c>
      <c r="G421" s="78">
        <v>419</v>
      </c>
      <c r="H421" s="180">
        <f t="shared" ca="1" si="14"/>
        <v>4.7133420637918422E-3</v>
      </c>
    </row>
    <row r="422" spans="2:8" x14ac:dyDescent="0.3">
      <c r="B422" s="69">
        <v>43215</v>
      </c>
      <c r="C422" s="55">
        <v>357.5</v>
      </c>
      <c r="D422" s="70">
        <f t="shared" si="13"/>
        <v>-0.73744606628109799</v>
      </c>
      <c r="E422" s="180">
        <v>1.6130178355716653E-2</v>
      </c>
      <c r="G422" s="78">
        <v>420</v>
      </c>
      <c r="H422" s="180">
        <f t="shared" ca="1" si="14"/>
        <v>-1.6180734696834339E-2</v>
      </c>
    </row>
    <row r="423" spans="2:8" x14ac:dyDescent="0.3">
      <c r="B423" s="69">
        <v>44785</v>
      </c>
      <c r="C423" s="55">
        <v>1361.625</v>
      </c>
      <c r="D423" s="70">
        <f t="shared" si="13"/>
        <v>0.44484825976230885</v>
      </c>
      <c r="E423" s="180">
        <v>1.6081189485663082E-2</v>
      </c>
      <c r="G423" s="78">
        <v>421</v>
      </c>
      <c r="H423" s="180">
        <f t="shared" ca="1" si="14"/>
        <v>3.4969264109615166E-3</v>
      </c>
    </row>
    <row r="424" spans="2:8" x14ac:dyDescent="0.3">
      <c r="B424" s="69">
        <v>44418</v>
      </c>
      <c r="C424" s="55">
        <v>942.40000000000009</v>
      </c>
      <c r="D424" s="70">
        <f t="shared" si="13"/>
        <v>-0.76361401660521233</v>
      </c>
      <c r="E424" s="180">
        <v>1.6009918602770887E-2</v>
      </c>
      <c r="G424" s="78">
        <v>422</v>
      </c>
      <c r="H424" s="180">
        <f t="shared" ca="1" si="14"/>
        <v>-8.8734639328439877E-3</v>
      </c>
    </row>
    <row r="425" spans="2:8" x14ac:dyDescent="0.3">
      <c r="B425" s="69">
        <v>45372</v>
      </c>
      <c r="C425" s="55">
        <v>3986.7</v>
      </c>
      <c r="D425" s="70">
        <f t="shared" si="13"/>
        <v>0.94625073227885204</v>
      </c>
      <c r="E425" s="180">
        <v>1.5952702530516529E-2</v>
      </c>
      <c r="G425" s="78">
        <v>423</v>
      </c>
      <c r="H425" s="180">
        <f t="shared" ca="1" si="14"/>
        <v>4.03588994343595E-3</v>
      </c>
    </row>
    <row r="426" spans="2:8" x14ac:dyDescent="0.3">
      <c r="B426" s="69">
        <v>45161</v>
      </c>
      <c r="C426" s="55">
        <v>2048.3999999999996</v>
      </c>
      <c r="D426" s="70">
        <f t="shared" si="13"/>
        <v>0.53827090960292845</v>
      </c>
      <c r="E426" s="180">
        <v>1.5819489213984447E-2</v>
      </c>
      <c r="G426" s="78">
        <v>424</v>
      </c>
      <c r="H426" s="180">
        <f t="shared" ca="1" si="14"/>
        <v>2.1609650380796607E-2</v>
      </c>
    </row>
    <row r="427" spans="2:8" x14ac:dyDescent="0.3">
      <c r="B427" s="69">
        <v>44972</v>
      </c>
      <c r="C427" s="55">
        <v>1331.625</v>
      </c>
      <c r="D427" s="70">
        <f t="shared" si="13"/>
        <v>-0.75573236723837478</v>
      </c>
      <c r="E427" s="180">
        <v>1.5771005759182236E-2</v>
      </c>
      <c r="G427" s="78">
        <v>425</v>
      </c>
      <c r="H427" s="180">
        <f t="shared" ca="1" si="14"/>
        <v>4.5345372756346062E-3</v>
      </c>
    </row>
    <row r="428" spans="2:8" x14ac:dyDescent="0.3">
      <c r="B428" s="69">
        <v>45800</v>
      </c>
      <c r="C428" s="55">
        <v>5451.5</v>
      </c>
      <c r="D428" s="70">
        <f t="shared" si="13"/>
        <v>16.140386731645968</v>
      </c>
      <c r="E428" s="180">
        <v>1.5744363704117758E-2</v>
      </c>
      <c r="G428" s="78">
        <v>426</v>
      </c>
      <c r="H428" s="180">
        <f t="shared" ca="1" si="14"/>
        <v>3.8195791811029096E-3</v>
      </c>
    </row>
    <row r="429" spans="2:8" x14ac:dyDescent="0.3">
      <c r="B429" s="69">
        <v>43024</v>
      </c>
      <c r="C429" s="55">
        <v>318.05</v>
      </c>
      <c r="D429" s="70">
        <f t="shared" si="13"/>
        <v>-2.7221287658663506E-2</v>
      </c>
      <c r="E429" s="180">
        <v>1.5728542914171691E-2</v>
      </c>
      <c r="G429" s="78">
        <v>427</v>
      </c>
      <c r="H429" s="180">
        <f t="shared" ca="1" si="14"/>
        <v>-3.5842372741998084E-3</v>
      </c>
    </row>
    <row r="430" spans="2:8" x14ac:dyDescent="0.3">
      <c r="B430" s="69">
        <v>43445</v>
      </c>
      <c r="C430" s="55">
        <v>326.95000000000005</v>
      </c>
      <c r="D430" s="70">
        <f t="shared" si="13"/>
        <v>-0.77317191619259051</v>
      </c>
      <c r="E430" s="180">
        <v>1.5688101894998661E-2</v>
      </c>
      <c r="G430" s="78">
        <v>428</v>
      </c>
      <c r="H430" s="180">
        <f t="shared" ca="1" si="14"/>
        <v>-1.3455135618402902E-2</v>
      </c>
    </row>
    <row r="431" spans="2:8" x14ac:dyDescent="0.3">
      <c r="B431" s="69">
        <v>44840</v>
      </c>
      <c r="C431" s="55">
        <v>1441.4</v>
      </c>
      <c r="D431" s="70">
        <f t="shared" si="13"/>
        <v>1.3231525505681361</v>
      </c>
      <c r="E431" s="180">
        <v>1.5571056154442264E-2</v>
      </c>
      <c r="G431" s="78">
        <v>429</v>
      </c>
      <c r="H431" s="180">
        <f t="shared" ca="1" si="14"/>
        <v>1.4941640325504112E-2</v>
      </c>
    </row>
    <row r="432" spans="2:8" x14ac:dyDescent="0.3">
      <c r="B432" s="69">
        <v>44029</v>
      </c>
      <c r="C432" s="55">
        <v>620.45000000000005</v>
      </c>
      <c r="D432" s="70">
        <f t="shared" si="13"/>
        <v>-0.10810033781355571</v>
      </c>
      <c r="E432" s="180">
        <v>1.5549553973320238E-2</v>
      </c>
      <c r="G432" s="78">
        <v>430</v>
      </c>
      <c r="H432" s="180">
        <f t="shared" ca="1" si="14"/>
        <v>-4.6364257196447239E-2</v>
      </c>
    </row>
    <row r="433" spans="2:8" x14ac:dyDescent="0.3">
      <c r="B433" s="69">
        <v>44173</v>
      </c>
      <c r="C433" s="55">
        <v>695.65000000000009</v>
      </c>
      <c r="D433" s="70">
        <f t="shared" si="13"/>
        <v>0.31502835538752383</v>
      </c>
      <c r="E433" s="180">
        <v>1.5547445255474586E-2</v>
      </c>
      <c r="G433" s="78">
        <v>431</v>
      </c>
      <c r="H433" s="180">
        <f t="shared" ca="1" si="14"/>
        <v>-2.2626075538152535E-2</v>
      </c>
    </row>
    <row r="434" spans="2:8" x14ac:dyDescent="0.3">
      <c r="B434" s="69">
        <v>44000</v>
      </c>
      <c r="C434" s="55">
        <v>529</v>
      </c>
      <c r="D434" s="70">
        <f t="shared" si="13"/>
        <v>0.13629040919342725</v>
      </c>
      <c r="E434" s="180">
        <v>1.5501271776167483E-2</v>
      </c>
      <c r="G434" s="78">
        <v>432</v>
      </c>
      <c r="H434" s="180">
        <f t="shared" ca="1" si="14"/>
        <v>3.3636951503855428E-2</v>
      </c>
    </row>
    <row r="435" spans="2:8" x14ac:dyDescent="0.3">
      <c r="B435" s="69">
        <v>43713</v>
      </c>
      <c r="C435" s="55">
        <v>465.54999999999995</v>
      </c>
      <c r="D435" s="70">
        <f t="shared" si="13"/>
        <v>-0.6035172883665475</v>
      </c>
      <c r="E435" s="180">
        <v>1.5486966953866215E-2</v>
      </c>
      <c r="G435" s="78">
        <v>433</v>
      </c>
      <c r="H435" s="180">
        <f t="shared" ca="1" si="14"/>
        <v>-1.1915844119730991E-2</v>
      </c>
    </row>
    <row r="436" spans="2:8" x14ac:dyDescent="0.3">
      <c r="B436" s="69">
        <v>44580</v>
      </c>
      <c r="C436" s="55">
        <v>1174.2</v>
      </c>
      <c r="D436" s="70">
        <f t="shared" si="13"/>
        <v>-0.85774773301350205</v>
      </c>
      <c r="E436" s="180">
        <v>1.5392597717052882E-2</v>
      </c>
      <c r="G436" s="78">
        <v>434</v>
      </c>
      <c r="H436" s="180">
        <f t="shared" ca="1" si="14"/>
        <v>-5.2697553881602462E-6</v>
      </c>
    </row>
    <row r="437" spans="2:8" x14ac:dyDescent="0.3">
      <c r="B437" s="69">
        <v>45579</v>
      </c>
      <c r="C437" s="55">
        <v>8254.35</v>
      </c>
      <c r="D437" s="70">
        <f t="shared" si="13"/>
        <v>0.76557971401987124</v>
      </c>
      <c r="E437" s="180">
        <v>1.5370138017565963E-2</v>
      </c>
      <c r="G437" s="78">
        <v>435</v>
      </c>
      <c r="H437" s="180">
        <f t="shared" ca="1" si="14"/>
        <v>2.4775852255274206E-2</v>
      </c>
    </row>
    <row r="438" spans="2:8" x14ac:dyDescent="0.3">
      <c r="B438" s="69">
        <v>45446</v>
      </c>
      <c r="C438" s="55">
        <v>4675.1499999999996</v>
      </c>
      <c r="D438" s="70">
        <f t="shared" si="13"/>
        <v>3.1444528168077652</v>
      </c>
      <c r="E438" s="180">
        <v>1.5354711203292428E-2</v>
      </c>
      <c r="G438" s="78">
        <v>436</v>
      </c>
      <c r="H438" s="180">
        <f t="shared" ca="1" si="14"/>
        <v>-1.3225368091222425E-2</v>
      </c>
    </row>
    <row r="439" spans="2:8" x14ac:dyDescent="0.3">
      <c r="B439" s="69">
        <v>44715</v>
      </c>
      <c r="C439" s="55">
        <v>1128.05</v>
      </c>
      <c r="D439" s="70">
        <f t="shared" si="13"/>
        <v>1.065647317341146</v>
      </c>
      <c r="E439" s="180">
        <v>1.5346534653465306E-2</v>
      </c>
      <c r="G439" s="78">
        <v>437</v>
      </c>
      <c r="H439" s="180">
        <f t="shared" ca="1" si="14"/>
        <v>-1.716868803219893E-3</v>
      </c>
    </row>
    <row r="440" spans="2:8" x14ac:dyDescent="0.3">
      <c r="B440" s="69">
        <v>43765</v>
      </c>
      <c r="C440" s="55">
        <v>546.1</v>
      </c>
      <c r="D440" s="70">
        <f t="shared" si="13"/>
        <v>0.30896452540747854</v>
      </c>
      <c r="E440" s="180">
        <v>1.5338849121502277E-2</v>
      </c>
      <c r="G440" s="78">
        <v>438</v>
      </c>
      <c r="H440" s="180">
        <f t="shared" ca="1" si="14"/>
        <v>-6.3277347305790701E-3</v>
      </c>
    </row>
    <row r="441" spans="2:8" x14ac:dyDescent="0.3">
      <c r="B441" s="69">
        <v>43640</v>
      </c>
      <c r="C441" s="55">
        <v>417.2</v>
      </c>
      <c r="D441" s="70">
        <f t="shared" si="13"/>
        <v>0.26664136622390888</v>
      </c>
      <c r="E441" s="180">
        <v>1.5270426476850951E-2</v>
      </c>
      <c r="G441" s="78">
        <v>439</v>
      </c>
      <c r="H441" s="180">
        <f t="shared" ca="1" si="14"/>
        <v>-9.5032515682095357E-3</v>
      </c>
    </row>
    <row r="442" spans="2:8" x14ac:dyDescent="0.3">
      <c r="B442" s="69">
        <v>43411</v>
      </c>
      <c r="C442" s="55">
        <v>329.375</v>
      </c>
      <c r="D442" s="70">
        <f t="shared" si="13"/>
        <v>-0.4386450788240307</v>
      </c>
      <c r="E442" s="180">
        <v>1.5257763735840297E-2</v>
      </c>
      <c r="G442" s="78">
        <v>440</v>
      </c>
      <c r="H442" s="180">
        <f t="shared" ca="1" si="14"/>
        <v>-1.8300898708042575E-3</v>
      </c>
    </row>
    <row r="443" spans="2:8" x14ac:dyDescent="0.3">
      <c r="B443" s="69">
        <v>44053</v>
      </c>
      <c r="C443" s="55">
        <v>586.75</v>
      </c>
      <c r="D443" s="70">
        <f t="shared" si="13"/>
        <v>-0.85581678226306834</v>
      </c>
      <c r="E443" s="180">
        <v>1.5226230642789088E-2</v>
      </c>
      <c r="G443" s="78">
        <v>441</v>
      </c>
      <c r="H443" s="180">
        <f t="shared" ca="1" si="14"/>
        <v>2.5536216177827531E-2</v>
      </c>
    </row>
    <row r="444" spans="2:8" x14ac:dyDescent="0.3">
      <c r="B444" s="69">
        <v>45394</v>
      </c>
      <c r="C444" s="55">
        <v>4069.4749999999999</v>
      </c>
      <c r="D444" s="70">
        <f t="shared" si="13"/>
        <v>8.0932908776046038</v>
      </c>
      <c r="E444" s="180">
        <v>1.5148113501714976E-2</v>
      </c>
      <c r="G444" s="78">
        <v>442</v>
      </c>
      <c r="H444" s="180">
        <f t="shared" ca="1" si="14"/>
        <v>8.7050734307135835E-3</v>
      </c>
    </row>
    <row r="445" spans="2:8" x14ac:dyDescent="0.3">
      <c r="B445" s="69">
        <v>43683</v>
      </c>
      <c r="C445" s="55">
        <v>447.52499999999998</v>
      </c>
      <c r="D445" s="70">
        <f t="shared" si="13"/>
        <v>-4.8918783701151708E-3</v>
      </c>
      <c r="E445" s="180">
        <v>1.5141204491323475E-2</v>
      </c>
      <c r="G445" s="78">
        <v>443</v>
      </c>
      <c r="H445" s="180">
        <f t="shared" ca="1" si="14"/>
        <v>1.7877150520751835E-2</v>
      </c>
    </row>
    <row r="446" spans="2:8" x14ac:dyDescent="0.3">
      <c r="B446" s="69">
        <v>43690</v>
      </c>
      <c r="C446" s="55">
        <v>449.72500000000002</v>
      </c>
      <c r="D446" s="70">
        <f t="shared" si="13"/>
        <v>-0.60494992972593109</v>
      </c>
      <c r="E446" s="180">
        <v>1.5123300039501261E-2</v>
      </c>
      <c r="G446" s="78">
        <v>444</v>
      </c>
      <c r="H446" s="180">
        <f t="shared" ca="1" si="14"/>
        <v>-3.3416344852202934E-2</v>
      </c>
    </row>
    <row r="447" spans="2:8" x14ac:dyDescent="0.3">
      <c r="B447" s="69">
        <v>44511</v>
      </c>
      <c r="C447" s="55">
        <v>1138.4000000000001</v>
      </c>
      <c r="D447" s="70">
        <f t="shared" si="13"/>
        <v>1.1555502958579884</v>
      </c>
      <c r="E447" s="180">
        <v>1.5114360872085286E-2</v>
      </c>
      <c r="G447" s="78">
        <v>445</v>
      </c>
      <c r="H447" s="180">
        <f t="shared" ca="1" si="14"/>
        <v>1.0159451435152103E-2</v>
      </c>
    </row>
    <row r="448" spans="2:8" x14ac:dyDescent="0.3">
      <c r="B448" s="69">
        <v>43761</v>
      </c>
      <c r="C448" s="55">
        <v>528.125</v>
      </c>
      <c r="D448" s="70">
        <f t="shared" si="13"/>
        <v>-0.7449903428295509</v>
      </c>
      <c r="E448" s="180">
        <v>1.5088174523088574E-2</v>
      </c>
      <c r="G448" s="78">
        <v>446</v>
      </c>
      <c r="H448" s="180">
        <f t="shared" ca="1" si="14"/>
        <v>-1.5742555296609933E-2</v>
      </c>
    </row>
    <row r="449" spans="2:8" x14ac:dyDescent="0.3">
      <c r="B449" s="69">
        <v>45205</v>
      </c>
      <c r="C449" s="55">
        <v>2071</v>
      </c>
      <c r="D449" s="70">
        <f t="shared" si="13"/>
        <v>-0.62745098039215685</v>
      </c>
      <c r="E449" s="180">
        <v>1.5084120623950835E-2</v>
      </c>
      <c r="G449" s="78">
        <v>447</v>
      </c>
      <c r="H449" s="180">
        <f t="shared" ca="1" si="14"/>
        <v>-5.9023123616772947E-3</v>
      </c>
    </row>
    <row r="450" spans="2:8" x14ac:dyDescent="0.3">
      <c r="B450" s="69">
        <v>45804</v>
      </c>
      <c r="C450" s="55">
        <v>5559</v>
      </c>
      <c r="D450" s="70">
        <f t="shared" si="13"/>
        <v>9.3461753210496941</v>
      </c>
      <c r="E450" s="180">
        <v>1.5064365927143249E-2</v>
      </c>
      <c r="G450" s="78">
        <v>448</v>
      </c>
      <c r="H450" s="180">
        <f t="shared" ca="1" si="14"/>
        <v>-5.6477094644335011E-3</v>
      </c>
    </row>
    <row r="451" spans="2:8" x14ac:dyDescent="0.3">
      <c r="B451" s="69">
        <v>43832</v>
      </c>
      <c r="C451" s="55">
        <v>537.29999999999995</v>
      </c>
      <c r="D451" s="70">
        <f t="shared" ref="D451:D514" si="15">(C451-C452)/C452</f>
        <v>0.80030155804992453</v>
      </c>
      <c r="E451" s="180">
        <v>1.4970484061393067E-2</v>
      </c>
      <c r="G451" s="78">
        <v>449</v>
      </c>
      <c r="H451" s="180">
        <f t="shared" ca="1" si="14"/>
        <v>-3.0291000968700812E-2</v>
      </c>
    </row>
    <row r="452" spans="2:8" x14ac:dyDescent="0.3">
      <c r="B452" s="69">
        <v>42990</v>
      </c>
      <c r="C452" s="55">
        <v>298.45</v>
      </c>
      <c r="D452" s="70">
        <f t="shared" si="15"/>
        <v>-0.92904774923627376</v>
      </c>
      <c r="E452" s="180">
        <v>1.4963441591566179E-2</v>
      </c>
      <c r="G452" s="78">
        <v>450</v>
      </c>
      <c r="H452" s="180">
        <f t="shared" ref="H452:H515" ca="1" si="16">_xlfn.NORM.INV(RAND(),$N$4,$N$5)</f>
        <v>-6.6351403008122313E-3</v>
      </c>
    </row>
    <row r="453" spans="2:8" x14ac:dyDescent="0.3">
      <c r="B453" s="69">
        <v>46014</v>
      </c>
      <c r="C453" s="55">
        <v>4206.3500000000004</v>
      </c>
      <c r="D453" s="70">
        <f t="shared" si="15"/>
        <v>2.5265981974428846</v>
      </c>
      <c r="E453" s="180">
        <v>1.4935636815500379E-2</v>
      </c>
      <c r="G453" s="78">
        <v>451</v>
      </c>
      <c r="H453" s="180">
        <f t="shared" ca="1" si="16"/>
        <v>-1.4957875433743649E-2</v>
      </c>
    </row>
    <row r="454" spans="2:8" x14ac:dyDescent="0.3">
      <c r="B454" s="69">
        <v>44950</v>
      </c>
      <c r="C454" s="55">
        <v>1192.75</v>
      </c>
      <c r="D454" s="70">
        <f t="shared" si="15"/>
        <v>-0.68804760036615664</v>
      </c>
      <c r="E454" s="180">
        <v>1.4933628318584228E-2</v>
      </c>
      <c r="G454" s="78">
        <v>452</v>
      </c>
      <c r="H454" s="180">
        <f t="shared" ca="1" si="16"/>
        <v>-2.2211042920449994E-2</v>
      </c>
    </row>
    <row r="455" spans="2:8" x14ac:dyDescent="0.3">
      <c r="B455" s="69">
        <v>45335</v>
      </c>
      <c r="C455" s="55">
        <v>3823.5</v>
      </c>
      <c r="D455" s="70">
        <f t="shared" si="15"/>
        <v>9.8575890955558716</v>
      </c>
      <c r="E455" s="180">
        <v>1.4897640930356016E-2</v>
      </c>
      <c r="G455" s="78">
        <v>453</v>
      </c>
      <c r="H455" s="180">
        <f t="shared" ca="1" si="16"/>
        <v>1.3507848220236032E-2</v>
      </c>
    </row>
    <row r="456" spans="2:8" x14ac:dyDescent="0.3">
      <c r="B456" s="69">
        <v>43496</v>
      </c>
      <c r="C456" s="55">
        <v>352.15</v>
      </c>
      <c r="D456" s="70">
        <f t="shared" si="15"/>
        <v>-0.72831600671205665</v>
      </c>
      <c r="E456" s="180">
        <v>1.4841498559077744E-2</v>
      </c>
      <c r="G456" s="78">
        <v>454</v>
      </c>
      <c r="H456" s="180">
        <f t="shared" ca="1" si="16"/>
        <v>9.4606192849768921E-4</v>
      </c>
    </row>
    <row r="457" spans="2:8" x14ac:dyDescent="0.3">
      <c r="B457" s="69">
        <v>44643</v>
      </c>
      <c r="C457" s="55">
        <v>1296.175</v>
      </c>
      <c r="D457" s="70">
        <f t="shared" si="15"/>
        <v>0.2676528117359413</v>
      </c>
      <c r="E457" s="180">
        <v>1.4836853334377301E-2</v>
      </c>
      <c r="G457" s="78">
        <v>455</v>
      </c>
      <c r="H457" s="180">
        <f t="shared" ca="1" si="16"/>
        <v>4.9699835760935772E-3</v>
      </c>
    </row>
    <row r="458" spans="2:8" x14ac:dyDescent="0.3">
      <c r="B458" s="69">
        <v>44447</v>
      </c>
      <c r="C458" s="55">
        <v>1022.5</v>
      </c>
      <c r="D458" s="70">
        <f t="shared" si="15"/>
        <v>-0.78588629462883464</v>
      </c>
      <c r="E458" s="180">
        <v>1.4787614132592275E-2</v>
      </c>
      <c r="G458" s="78">
        <v>456</v>
      </c>
      <c r="H458" s="180">
        <f t="shared" ca="1" si="16"/>
        <v>3.0140163390806461E-2</v>
      </c>
    </row>
    <row r="459" spans="2:8" x14ac:dyDescent="0.3">
      <c r="B459" s="69">
        <v>45931</v>
      </c>
      <c r="C459" s="55">
        <v>4775.5</v>
      </c>
      <c r="D459" s="70">
        <f t="shared" si="15"/>
        <v>2.2894215701468887</v>
      </c>
      <c r="E459" s="180">
        <v>1.4768380790480238E-2</v>
      </c>
      <c r="G459" s="78">
        <v>457</v>
      </c>
      <c r="H459" s="180">
        <f t="shared" ca="1" si="16"/>
        <v>1.7449143386349609E-2</v>
      </c>
    </row>
    <row r="460" spans="2:8" x14ac:dyDescent="0.3">
      <c r="B460" s="69">
        <v>44861</v>
      </c>
      <c r="C460" s="55">
        <v>1451.7750000000001</v>
      </c>
      <c r="D460" s="70">
        <f t="shared" si="15"/>
        <v>3.1264122788318058</v>
      </c>
      <c r="E460" s="180">
        <v>1.4624174441765512E-2</v>
      </c>
      <c r="G460" s="78">
        <v>458</v>
      </c>
      <c r="H460" s="180">
        <f t="shared" ca="1" si="16"/>
        <v>-2.4969048792633577E-2</v>
      </c>
    </row>
    <row r="461" spans="2:8" x14ac:dyDescent="0.3">
      <c r="B461" s="69">
        <v>43214</v>
      </c>
      <c r="C461" s="55">
        <v>351.82499999999999</v>
      </c>
      <c r="D461" s="70">
        <f t="shared" si="15"/>
        <v>-0.88947269214457381</v>
      </c>
      <c r="E461" s="180">
        <v>1.4562756830798102E-2</v>
      </c>
      <c r="G461" s="78">
        <v>459</v>
      </c>
      <c r="H461" s="180">
        <f t="shared" ca="1" si="16"/>
        <v>2.7486649051338918E-2</v>
      </c>
    </row>
    <row r="462" spans="2:8" x14ac:dyDescent="0.3">
      <c r="B462" s="69">
        <v>45310</v>
      </c>
      <c r="C462" s="55">
        <v>3183.15</v>
      </c>
      <c r="D462" s="70">
        <f t="shared" si="15"/>
        <v>8.8321235521235533</v>
      </c>
      <c r="E462" s="180">
        <v>1.4549800796812779E-2</v>
      </c>
      <c r="G462" s="78">
        <v>460</v>
      </c>
      <c r="H462" s="180">
        <f t="shared" ca="1" si="16"/>
        <v>-2.755595760368915E-2</v>
      </c>
    </row>
    <row r="463" spans="2:8" x14ac:dyDescent="0.3">
      <c r="B463" s="69">
        <v>43265</v>
      </c>
      <c r="C463" s="55">
        <v>323.75</v>
      </c>
      <c r="D463" s="70">
        <f t="shared" si="15"/>
        <v>-0.92528659370330413</v>
      </c>
      <c r="E463" s="180">
        <v>1.4492753623188406E-2</v>
      </c>
      <c r="G463" s="78">
        <v>461</v>
      </c>
      <c r="H463" s="180">
        <f t="shared" ca="1" si="16"/>
        <v>9.4954782985456707E-3</v>
      </c>
    </row>
    <row r="464" spans="2:8" x14ac:dyDescent="0.3">
      <c r="B464" s="69">
        <v>45408</v>
      </c>
      <c r="C464" s="55">
        <v>4333.2250000000004</v>
      </c>
      <c r="D464" s="70">
        <f t="shared" si="15"/>
        <v>3.1107316494723114</v>
      </c>
      <c r="E464" s="180">
        <v>1.4486052419024429E-2</v>
      </c>
      <c r="G464" s="78">
        <v>462</v>
      </c>
      <c r="H464" s="180">
        <f t="shared" ca="1" si="16"/>
        <v>-1.15802154139511E-2</v>
      </c>
    </row>
    <row r="465" spans="2:8" x14ac:dyDescent="0.3">
      <c r="B465" s="69">
        <v>44474</v>
      </c>
      <c r="C465" s="55">
        <v>1054.125</v>
      </c>
      <c r="D465" s="70">
        <f t="shared" si="15"/>
        <v>-0.74493993249210599</v>
      </c>
      <c r="E465" s="180">
        <v>1.4484036282270244E-2</v>
      </c>
      <c r="G465" s="78">
        <v>463</v>
      </c>
      <c r="H465" s="180">
        <f t="shared" ca="1" si="16"/>
        <v>-2.9250980953025321E-2</v>
      </c>
    </row>
    <row r="466" spans="2:8" x14ac:dyDescent="0.3">
      <c r="B466" s="69">
        <v>46156</v>
      </c>
      <c r="C466" s="55">
        <v>4132.8500000000004</v>
      </c>
      <c r="D466" s="70">
        <f t="shared" si="15"/>
        <v>-2.5409140216007167E-2</v>
      </c>
      <c r="E466" s="180">
        <v>1.4445262641139019E-2</v>
      </c>
      <c r="G466" s="78">
        <v>464</v>
      </c>
      <c r="H466" s="180">
        <f t="shared" ca="1" si="16"/>
        <v>-1.2221213190739426E-2</v>
      </c>
    </row>
    <row r="467" spans="2:8" x14ac:dyDescent="0.3">
      <c r="B467" s="69">
        <v>46065</v>
      </c>
      <c r="C467" s="55">
        <v>4240.6000000000004</v>
      </c>
      <c r="D467" s="70">
        <f t="shared" si="15"/>
        <v>2.1694164689175812</v>
      </c>
      <c r="E467" s="180">
        <v>1.4412668795675002E-2</v>
      </c>
      <c r="G467" s="78">
        <v>465</v>
      </c>
      <c r="H467" s="180">
        <f t="shared" ca="1" si="16"/>
        <v>-1.9537319086739471E-2</v>
      </c>
    </row>
    <row r="468" spans="2:8" x14ac:dyDescent="0.3">
      <c r="B468" s="69">
        <v>44797</v>
      </c>
      <c r="C468" s="55">
        <v>1337.9749999999999</v>
      </c>
      <c r="D468" s="70">
        <f t="shared" si="15"/>
        <v>2.3842797521183758</v>
      </c>
      <c r="E468" s="180">
        <v>1.4385898407884692E-2</v>
      </c>
      <c r="G468" s="78">
        <v>466</v>
      </c>
      <c r="H468" s="180">
        <f t="shared" ca="1" si="16"/>
        <v>3.4475458176186212E-2</v>
      </c>
    </row>
    <row r="469" spans="2:8" x14ac:dyDescent="0.3">
      <c r="B469" s="69">
        <v>43634</v>
      </c>
      <c r="C469" s="55">
        <v>395.35</v>
      </c>
      <c r="D469" s="70">
        <f t="shared" si="15"/>
        <v>-0.32797892231854486</v>
      </c>
      <c r="E469" s="180">
        <v>1.4368184733803779E-2</v>
      </c>
      <c r="G469" s="78">
        <v>467</v>
      </c>
      <c r="H469" s="180">
        <f t="shared" ca="1" si="16"/>
        <v>-2.5858784679303262E-2</v>
      </c>
    </row>
    <row r="470" spans="2:8" x14ac:dyDescent="0.3">
      <c r="B470" s="69">
        <v>43864</v>
      </c>
      <c r="C470" s="55">
        <v>588.29999999999995</v>
      </c>
      <c r="D470" s="70">
        <f t="shared" si="15"/>
        <v>-0.25102644896400278</v>
      </c>
      <c r="E470" s="180">
        <v>1.4354066985645815E-2</v>
      </c>
      <c r="G470" s="78">
        <v>468</v>
      </c>
      <c r="H470" s="180">
        <f t="shared" ca="1" si="16"/>
        <v>-1.9810825142697327E-2</v>
      </c>
    </row>
    <row r="471" spans="2:8" x14ac:dyDescent="0.3">
      <c r="B471" s="69">
        <v>44313</v>
      </c>
      <c r="C471" s="55">
        <v>785.47500000000002</v>
      </c>
      <c r="D471" s="70">
        <f t="shared" si="15"/>
        <v>-0.86044063430018203</v>
      </c>
      <c r="E471" s="180">
        <v>1.4268650934564444E-2</v>
      </c>
      <c r="G471" s="78">
        <v>469</v>
      </c>
      <c r="H471" s="180">
        <f t="shared" ca="1" si="16"/>
        <v>-1.1633354635381739E-2</v>
      </c>
    </row>
    <row r="472" spans="2:8" x14ac:dyDescent="0.3">
      <c r="B472" s="69">
        <v>45824</v>
      </c>
      <c r="C472" s="55">
        <v>5628.25</v>
      </c>
      <c r="D472" s="70">
        <f t="shared" si="15"/>
        <v>15.260743950884796</v>
      </c>
      <c r="E472" s="180">
        <v>1.423615803937469E-2</v>
      </c>
      <c r="G472" s="78">
        <v>470</v>
      </c>
      <c r="H472" s="180">
        <f t="shared" ca="1" si="16"/>
        <v>1.5997708754336364E-2</v>
      </c>
    </row>
    <row r="473" spans="2:8" x14ac:dyDescent="0.3">
      <c r="B473" s="69">
        <v>43110</v>
      </c>
      <c r="C473" s="55">
        <v>346.125</v>
      </c>
      <c r="D473" s="70">
        <f t="shared" si="15"/>
        <v>-0.62372604973501833</v>
      </c>
      <c r="E473" s="180">
        <v>1.4211413083290669E-2</v>
      </c>
      <c r="G473" s="78">
        <v>471</v>
      </c>
      <c r="H473" s="180">
        <f t="shared" ca="1" si="16"/>
        <v>-2.2021796609265091E-3</v>
      </c>
    </row>
    <row r="474" spans="2:8" x14ac:dyDescent="0.3">
      <c r="B474" s="69">
        <v>44259</v>
      </c>
      <c r="C474" s="55">
        <v>919.875</v>
      </c>
      <c r="D474" s="70">
        <f t="shared" si="15"/>
        <v>-0.26965065502183405</v>
      </c>
      <c r="E474" s="180">
        <v>1.4195148842337376E-2</v>
      </c>
      <c r="G474" s="78">
        <v>472</v>
      </c>
      <c r="H474" s="180">
        <f t="shared" ca="1" si="16"/>
        <v>6.9138544562164853E-3</v>
      </c>
    </row>
    <row r="475" spans="2:8" x14ac:dyDescent="0.3">
      <c r="B475" s="69">
        <v>44770</v>
      </c>
      <c r="C475" s="55">
        <v>1259.5</v>
      </c>
      <c r="D475" s="70">
        <f t="shared" si="15"/>
        <v>1.1891022855653079</v>
      </c>
      <c r="E475" s="180">
        <v>1.4192249622546553E-2</v>
      </c>
      <c r="G475" s="78">
        <v>473</v>
      </c>
      <c r="H475" s="180">
        <f t="shared" ca="1" si="16"/>
        <v>-2.4409793458047158E-3</v>
      </c>
    </row>
    <row r="476" spans="2:8" x14ac:dyDescent="0.3">
      <c r="B476" s="69">
        <v>43990</v>
      </c>
      <c r="C476" s="55">
        <v>575.35</v>
      </c>
      <c r="D476" s="70">
        <f t="shared" si="15"/>
        <v>-0.10791534227459496</v>
      </c>
      <c r="E476" s="180">
        <v>1.4100643341852471E-2</v>
      </c>
      <c r="G476" s="78">
        <v>474</v>
      </c>
      <c r="H476" s="180">
        <f t="shared" ca="1" si="16"/>
        <v>1.9014048981680469E-3</v>
      </c>
    </row>
    <row r="477" spans="2:8" x14ac:dyDescent="0.3">
      <c r="B477" s="69">
        <v>44068</v>
      </c>
      <c r="C477" s="55">
        <v>644.95000000000005</v>
      </c>
      <c r="D477" s="70">
        <f t="shared" si="15"/>
        <v>-0.87017392004509042</v>
      </c>
      <c r="E477" s="180">
        <v>1.4072327044025229E-2</v>
      </c>
      <c r="G477" s="78">
        <v>475</v>
      </c>
      <c r="H477" s="180">
        <f t="shared" ca="1" si="16"/>
        <v>1.3119314670386441E-2</v>
      </c>
    </row>
    <row r="478" spans="2:8" x14ac:dyDescent="0.3">
      <c r="B478" s="69">
        <v>45720</v>
      </c>
      <c r="C478" s="55">
        <v>4967.7999999999993</v>
      </c>
      <c r="D478" s="70">
        <f t="shared" si="15"/>
        <v>1.9239982930884796</v>
      </c>
      <c r="E478" s="180">
        <v>1.4048857158895259E-2</v>
      </c>
      <c r="G478" s="78">
        <v>476</v>
      </c>
      <c r="H478" s="180">
        <f t="shared" ca="1" si="16"/>
        <v>-8.4948909987100484E-3</v>
      </c>
    </row>
    <row r="479" spans="2:8" x14ac:dyDescent="0.3">
      <c r="B479" s="69">
        <v>45124</v>
      </c>
      <c r="C479" s="55">
        <v>1698.9749999999999</v>
      </c>
      <c r="D479" s="70">
        <f t="shared" si="15"/>
        <v>3.6936252503625937</v>
      </c>
      <c r="E479" s="180">
        <v>1.3950226784435428E-2</v>
      </c>
      <c r="G479" s="78">
        <v>477</v>
      </c>
      <c r="H479" s="180">
        <f t="shared" ca="1" si="16"/>
        <v>6.1396724105504792E-2</v>
      </c>
    </row>
    <row r="480" spans="2:8" x14ac:dyDescent="0.3">
      <c r="B480" s="69">
        <v>43350</v>
      </c>
      <c r="C480" s="55">
        <v>361.97500000000002</v>
      </c>
      <c r="D480" s="70">
        <f t="shared" si="15"/>
        <v>-3.5504929389821444E-2</v>
      </c>
      <c r="E480" s="180">
        <v>1.393557422969194E-2</v>
      </c>
      <c r="G480" s="78">
        <v>478</v>
      </c>
      <c r="H480" s="180">
        <f t="shared" ca="1" si="16"/>
        <v>-4.1070582412706301E-2</v>
      </c>
    </row>
    <row r="481" spans="2:8" x14ac:dyDescent="0.3">
      <c r="B481" s="69">
        <v>43551</v>
      </c>
      <c r="C481" s="55">
        <v>375.3</v>
      </c>
      <c r="D481" s="70">
        <f t="shared" si="15"/>
        <v>-1.9079979090433904E-2</v>
      </c>
      <c r="E481" s="180">
        <v>1.3913278400648479E-2</v>
      </c>
      <c r="G481" s="78">
        <v>479</v>
      </c>
      <c r="H481" s="180">
        <f t="shared" ca="1" si="16"/>
        <v>2.1580748326216277E-2</v>
      </c>
    </row>
    <row r="482" spans="2:8" x14ac:dyDescent="0.3">
      <c r="B482" s="69">
        <v>43615</v>
      </c>
      <c r="C482" s="55">
        <v>382.6</v>
      </c>
      <c r="D482" s="70">
        <f t="shared" si="15"/>
        <v>0.58903540649984432</v>
      </c>
      <c r="E482" s="180">
        <v>1.3912813038293361E-2</v>
      </c>
      <c r="G482" s="78">
        <v>480</v>
      </c>
      <c r="H482" s="180">
        <f t="shared" ca="1" si="16"/>
        <v>6.4566813209236283E-4</v>
      </c>
    </row>
    <row r="483" spans="2:8" x14ac:dyDescent="0.3">
      <c r="B483" s="69">
        <v>42922</v>
      </c>
      <c r="C483" s="55">
        <v>240.77500000000001</v>
      </c>
      <c r="D483" s="70">
        <f t="shared" si="15"/>
        <v>-0.50909832305418223</v>
      </c>
      <c r="E483" s="180">
        <v>1.3896199599957939E-2</v>
      </c>
      <c r="G483" s="78">
        <v>481</v>
      </c>
      <c r="H483" s="180">
        <f t="shared" ca="1" si="16"/>
        <v>-1.4395690556329535E-2</v>
      </c>
    </row>
    <row r="484" spans="2:8" x14ac:dyDescent="0.3">
      <c r="B484" s="69">
        <v>43941</v>
      </c>
      <c r="C484" s="55">
        <v>490.47500000000002</v>
      </c>
      <c r="D484" s="70">
        <f t="shared" si="15"/>
        <v>0.45433654558932551</v>
      </c>
      <c r="E484" s="180">
        <v>1.3849413467004384E-2</v>
      </c>
      <c r="G484" s="78">
        <v>482</v>
      </c>
      <c r="H484" s="180">
        <f t="shared" ca="1" si="16"/>
        <v>1.1916552542042122E-2</v>
      </c>
    </row>
    <row r="485" spans="2:8" x14ac:dyDescent="0.3">
      <c r="B485" s="69">
        <v>43390</v>
      </c>
      <c r="C485" s="55">
        <v>337.25</v>
      </c>
      <c r="D485" s="70">
        <f t="shared" si="15"/>
        <v>0.35933091495364777</v>
      </c>
      <c r="E485" s="180">
        <v>1.3828348113633017E-2</v>
      </c>
      <c r="G485" s="78">
        <v>483</v>
      </c>
      <c r="H485" s="180">
        <f t="shared" ca="1" si="16"/>
        <v>-4.7570098719405362E-4</v>
      </c>
    </row>
    <row r="486" spans="2:8" x14ac:dyDescent="0.3">
      <c r="B486" s="69">
        <v>42802</v>
      </c>
      <c r="C486" s="55">
        <v>248.1</v>
      </c>
      <c r="D486" s="70">
        <f t="shared" si="15"/>
        <v>-0.50407275998200984</v>
      </c>
      <c r="E486" s="180">
        <v>1.37909898866073E-2</v>
      </c>
      <c r="G486" s="78">
        <v>484</v>
      </c>
      <c r="H486" s="180">
        <f t="shared" ca="1" si="16"/>
        <v>-7.013578795090306E-4</v>
      </c>
    </row>
    <row r="487" spans="2:8" x14ac:dyDescent="0.3">
      <c r="B487" s="69">
        <v>43748</v>
      </c>
      <c r="C487" s="55">
        <v>500.27499999999998</v>
      </c>
      <c r="D487" s="70">
        <f t="shared" si="15"/>
        <v>-0.83421564972453499</v>
      </c>
      <c r="E487" s="180">
        <v>1.3728470111448789E-2</v>
      </c>
      <c r="G487" s="78">
        <v>485</v>
      </c>
      <c r="H487" s="180">
        <f t="shared" ca="1" si="16"/>
        <v>3.9019095059860901E-3</v>
      </c>
    </row>
    <row r="488" spans="2:8" x14ac:dyDescent="0.3">
      <c r="B488" s="69">
        <v>45287</v>
      </c>
      <c r="C488" s="55">
        <v>3017.625</v>
      </c>
      <c r="D488" s="70">
        <f t="shared" si="15"/>
        <v>-7.4433334355734182E-2</v>
      </c>
      <c r="E488" s="180">
        <v>1.37143912926632E-2</v>
      </c>
      <c r="G488" s="78">
        <v>486</v>
      </c>
      <c r="H488" s="180">
        <f t="shared" ca="1" si="16"/>
        <v>1.1563667421762003E-2</v>
      </c>
    </row>
    <row r="489" spans="2:8" x14ac:dyDescent="0.3">
      <c r="B489" s="69">
        <v>45320</v>
      </c>
      <c r="C489" s="55">
        <v>3260.3</v>
      </c>
      <c r="D489" s="70">
        <f t="shared" si="15"/>
        <v>2.810765004967565</v>
      </c>
      <c r="E489" s="180">
        <v>1.3696074621064961E-2</v>
      </c>
      <c r="G489" s="78">
        <v>487</v>
      </c>
      <c r="H489" s="180">
        <f t="shared" ca="1" si="16"/>
        <v>8.8726045250722967E-4</v>
      </c>
    </row>
    <row r="490" spans="2:8" x14ac:dyDescent="0.3">
      <c r="B490" s="69">
        <v>44350</v>
      </c>
      <c r="C490" s="55">
        <v>855.55</v>
      </c>
      <c r="D490" s="70">
        <f t="shared" si="15"/>
        <v>0.39425544917498467</v>
      </c>
      <c r="E490" s="180">
        <v>1.3684834123222694E-2</v>
      </c>
      <c r="G490" s="78">
        <v>488</v>
      </c>
      <c r="H490" s="180">
        <f t="shared" ca="1" si="16"/>
        <v>2.5779251736296532E-3</v>
      </c>
    </row>
    <row r="491" spans="2:8" x14ac:dyDescent="0.3">
      <c r="B491" s="69">
        <v>44063</v>
      </c>
      <c r="C491" s="55">
        <v>613.625</v>
      </c>
      <c r="D491" s="70">
        <f t="shared" si="15"/>
        <v>-0.10803837488189555</v>
      </c>
      <c r="E491" s="180">
        <v>1.3669777814487449E-2</v>
      </c>
      <c r="G491" s="78">
        <v>489</v>
      </c>
      <c r="H491" s="180">
        <f t="shared" ca="1" si="16"/>
        <v>1.377595694894773E-2</v>
      </c>
    </row>
    <row r="492" spans="2:8" x14ac:dyDescent="0.3">
      <c r="B492" s="69">
        <v>44204</v>
      </c>
      <c r="C492" s="55">
        <v>687.95</v>
      </c>
      <c r="D492" s="70">
        <f t="shared" si="15"/>
        <v>-0.86784805263410658</v>
      </c>
      <c r="E492" s="180">
        <v>1.3666335138321129E-2</v>
      </c>
      <c r="G492" s="78">
        <v>490</v>
      </c>
      <c r="H492" s="180">
        <f t="shared" ca="1" si="16"/>
        <v>1.7250240090080284E-2</v>
      </c>
    </row>
    <row r="493" spans="2:8" x14ac:dyDescent="0.3">
      <c r="B493" s="69">
        <v>45917</v>
      </c>
      <c r="C493" s="55">
        <v>5205.75</v>
      </c>
      <c r="D493" s="70">
        <f t="shared" si="15"/>
        <v>0.82146606018194546</v>
      </c>
      <c r="E493" s="180">
        <v>1.3629946940563695E-2</v>
      </c>
      <c r="G493" s="78">
        <v>491</v>
      </c>
      <c r="H493" s="180">
        <f t="shared" ca="1" si="16"/>
        <v>1.139637383701728E-2</v>
      </c>
    </row>
    <row r="494" spans="2:8" x14ac:dyDescent="0.3">
      <c r="B494" s="69">
        <v>45265</v>
      </c>
      <c r="C494" s="55">
        <v>2858</v>
      </c>
      <c r="D494" s="70">
        <f t="shared" si="15"/>
        <v>3.5540373660518663</v>
      </c>
      <c r="E494" s="180">
        <v>1.3609965864254999E-2</v>
      </c>
      <c r="G494" s="78">
        <v>492</v>
      </c>
      <c r="H494" s="180">
        <f t="shared" ca="1" si="16"/>
        <v>2.1637106170925E-2</v>
      </c>
    </row>
    <row r="495" spans="2:8" x14ac:dyDescent="0.3">
      <c r="B495" s="69">
        <v>44018</v>
      </c>
      <c r="C495" s="55">
        <v>627.57500000000005</v>
      </c>
      <c r="D495" s="70">
        <f t="shared" si="15"/>
        <v>0.24149357072205746</v>
      </c>
      <c r="E495" s="180">
        <v>1.3607364935799005E-2</v>
      </c>
      <c r="G495" s="78">
        <v>493</v>
      </c>
      <c r="H495" s="180">
        <f t="shared" ca="1" si="16"/>
        <v>-3.2652192808393351E-3</v>
      </c>
    </row>
    <row r="496" spans="2:8" x14ac:dyDescent="0.3">
      <c r="B496" s="69">
        <v>43794</v>
      </c>
      <c r="C496" s="55">
        <v>505.5</v>
      </c>
      <c r="D496" s="70">
        <f t="shared" si="15"/>
        <v>-0.25667230350709502</v>
      </c>
      <c r="E496" s="180">
        <v>1.3533834586466165E-2</v>
      </c>
      <c r="G496" s="78">
        <v>494</v>
      </c>
      <c r="H496" s="180">
        <f t="shared" ca="1" si="16"/>
        <v>2.734640994784137E-2</v>
      </c>
    </row>
    <row r="497" spans="2:8" x14ac:dyDescent="0.3">
      <c r="B497" s="69">
        <v>44232</v>
      </c>
      <c r="C497" s="55">
        <v>680.05</v>
      </c>
      <c r="D497" s="70">
        <f t="shared" si="15"/>
        <v>0.43447766703580654</v>
      </c>
      <c r="E497" s="180">
        <v>1.3525094079511057E-2</v>
      </c>
      <c r="G497" s="78">
        <v>495</v>
      </c>
      <c r="H497" s="180">
        <f t="shared" ca="1" si="16"/>
        <v>-2.0888492601516132E-3</v>
      </c>
    </row>
    <row r="498" spans="2:8" x14ac:dyDescent="0.3">
      <c r="B498" s="69">
        <v>43697</v>
      </c>
      <c r="C498" s="55">
        <v>474.07499999999999</v>
      </c>
      <c r="D498" s="70">
        <f t="shared" si="15"/>
        <v>-0.69091472160646761</v>
      </c>
      <c r="E498" s="180">
        <v>1.3522180652057699E-2</v>
      </c>
      <c r="G498" s="78">
        <v>496</v>
      </c>
      <c r="H498" s="180">
        <f t="shared" ca="1" si="16"/>
        <v>4.2200257295224217E-4</v>
      </c>
    </row>
    <row r="499" spans="2:8" x14ac:dyDescent="0.3">
      <c r="B499" s="69">
        <v>45075</v>
      </c>
      <c r="C499" s="55">
        <v>1533.8</v>
      </c>
      <c r="D499" s="70">
        <f t="shared" si="15"/>
        <v>0.46114458548667514</v>
      </c>
      <c r="E499" s="180">
        <v>1.3513067036706674E-2</v>
      </c>
      <c r="G499" s="78">
        <v>497</v>
      </c>
      <c r="H499" s="180">
        <f t="shared" ca="1" si="16"/>
        <v>-2.8923877742394268E-2</v>
      </c>
    </row>
    <row r="500" spans="2:8" x14ac:dyDescent="0.3">
      <c r="B500" s="69">
        <v>44561</v>
      </c>
      <c r="C500" s="55">
        <v>1049.7249999999999</v>
      </c>
      <c r="D500" s="70">
        <f t="shared" si="15"/>
        <v>1.7072211476466794</v>
      </c>
      <c r="E500" s="180">
        <v>1.3492638184890089E-2</v>
      </c>
      <c r="G500" s="78">
        <v>498</v>
      </c>
      <c r="H500" s="180">
        <f t="shared" ca="1" si="16"/>
        <v>-1.9876879945858249E-2</v>
      </c>
    </row>
    <row r="501" spans="2:8" x14ac:dyDescent="0.3">
      <c r="B501" s="69">
        <v>43616</v>
      </c>
      <c r="C501" s="55">
        <v>387.75</v>
      </c>
      <c r="D501" s="70">
        <f t="shared" si="15"/>
        <v>6.0730406237176821E-2</v>
      </c>
      <c r="E501" s="180">
        <v>1.3460533193936166E-2</v>
      </c>
      <c r="G501" s="78">
        <v>499</v>
      </c>
      <c r="H501" s="180">
        <f t="shared" ca="1" si="16"/>
        <v>-7.5048559062065841E-3</v>
      </c>
    </row>
    <row r="502" spans="2:8" x14ac:dyDescent="0.3">
      <c r="B502" s="69">
        <v>43199</v>
      </c>
      <c r="C502" s="55">
        <v>365.55</v>
      </c>
      <c r="D502" s="70">
        <f t="shared" si="15"/>
        <v>-0.6516082916368835</v>
      </c>
      <c r="E502" s="180">
        <v>1.3446077072359364E-2</v>
      </c>
      <c r="G502" s="78">
        <v>500</v>
      </c>
      <c r="H502" s="180">
        <f t="shared" ca="1" si="16"/>
        <v>-8.4381978369423103E-3</v>
      </c>
    </row>
    <row r="503" spans="2:8" x14ac:dyDescent="0.3">
      <c r="B503" s="69">
        <v>44496</v>
      </c>
      <c r="C503" s="55">
        <v>1049.25</v>
      </c>
      <c r="D503" s="70">
        <f t="shared" si="15"/>
        <v>-0.64668743160198672</v>
      </c>
      <c r="E503" s="180">
        <v>1.3400941687794278E-2</v>
      </c>
      <c r="G503" s="78">
        <v>501</v>
      </c>
      <c r="H503" s="180">
        <f t="shared" ca="1" si="16"/>
        <v>3.1463409158712548E-2</v>
      </c>
    </row>
    <row r="504" spans="2:8" x14ac:dyDescent="0.3">
      <c r="B504" s="69">
        <v>45274</v>
      </c>
      <c r="C504" s="55">
        <v>2969.75</v>
      </c>
      <c r="D504" s="70">
        <f t="shared" si="15"/>
        <v>1.5339704345229208</v>
      </c>
      <c r="E504" s="180">
        <v>1.3393618836376044E-2</v>
      </c>
      <c r="G504" s="78">
        <v>502</v>
      </c>
      <c r="H504" s="180">
        <f t="shared" ca="1" si="16"/>
        <v>9.6279986486039644E-3</v>
      </c>
    </row>
    <row r="505" spans="2:8" x14ac:dyDescent="0.3">
      <c r="B505" s="69">
        <v>44516</v>
      </c>
      <c r="C505" s="55">
        <v>1171.9749999999999</v>
      </c>
      <c r="D505" s="70">
        <f t="shared" si="15"/>
        <v>-0.7775505362057511</v>
      </c>
      <c r="E505" s="180">
        <v>1.3380890618244625E-2</v>
      </c>
      <c r="G505" s="78">
        <v>503</v>
      </c>
      <c r="H505" s="180">
        <f t="shared" ca="1" si="16"/>
        <v>5.7184365536365562E-3</v>
      </c>
    </row>
    <row r="506" spans="2:8" x14ac:dyDescent="0.3">
      <c r="B506" s="69">
        <v>45782</v>
      </c>
      <c r="C506" s="55">
        <v>5268.5</v>
      </c>
      <c r="D506" s="70">
        <f t="shared" si="15"/>
        <v>6.9219607548304642</v>
      </c>
      <c r="E506" s="180">
        <v>1.3367955376033852E-2</v>
      </c>
      <c r="G506" s="78">
        <v>504</v>
      </c>
      <c r="H506" s="180">
        <f t="shared" ca="1" si="16"/>
        <v>-1.4314433793972453E-2</v>
      </c>
    </row>
    <row r="507" spans="2:8" x14ac:dyDescent="0.3">
      <c r="B507" s="69">
        <v>44120</v>
      </c>
      <c r="C507" s="55">
        <v>665.05</v>
      </c>
      <c r="D507" s="70">
        <f t="shared" si="15"/>
        <v>0.23649716463698042</v>
      </c>
      <c r="E507" s="180">
        <v>1.3332317537711413E-2</v>
      </c>
      <c r="G507" s="78">
        <v>505</v>
      </c>
      <c r="H507" s="180">
        <f t="shared" ca="1" si="16"/>
        <v>1.1785527982017175E-2</v>
      </c>
    </row>
    <row r="508" spans="2:8" x14ac:dyDescent="0.3">
      <c r="B508" s="69">
        <v>43763</v>
      </c>
      <c r="C508" s="55">
        <v>537.85</v>
      </c>
      <c r="D508" s="70">
        <f t="shared" si="15"/>
        <v>-0.88044191035088304</v>
      </c>
      <c r="E508" s="180">
        <v>1.3281838733986565E-2</v>
      </c>
      <c r="G508" s="78">
        <v>506</v>
      </c>
      <c r="H508" s="180">
        <f t="shared" ca="1" si="16"/>
        <v>3.0644060311304393E-2</v>
      </c>
    </row>
    <row r="509" spans="2:8" x14ac:dyDescent="0.3">
      <c r="B509" s="69">
        <v>45426</v>
      </c>
      <c r="C509" s="55">
        <v>4498.6499999999996</v>
      </c>
      <c r="D509" s="70">
        <f t="shared" si="15"/>
        <v>2.3183226377517148</v>
      </c>
      <c r="E509" s="180">
        <v>1.3249396091062108E-2</v>
      </c>
      <c r="G509" s="78">
        <v>507</v>
      </c>
      <c r="H509" s="180">
        <f t="shared" ca="1" si="16"/>
        <v>1.9126441516391559E-2</v>
      </c>
    </row>
    <row r="510" spans="2:8" x14ac:dyDescent="0.3">
      <c r="B510" s="69">
        <v>44798</v>
      </c>
      <c r="C510" s="55">
        <v>1355.7</v>
      </c>
      <c r="D510" s="70">
        <f t="shared" si="15"/>
        <v>-9.3586507764052959E-2</v>
      </c>
      <c r="E510" s="180">
        <v>1.3247631682206423E-2</v>
      </c>
      <c r="G510" s="78">
        <v>508</v>
      </c>
      <c r="H510" s="180">
        <f t="shared" ca="1" si="16"/>
        <v>-5.9331289746047105E-3</v>
      </c>
    </row>
    <row r="511" spans="2:8" x14ac:dyDescent="0.3">
      <c r="B511" s="69">
        <v>45061</v>
      </c>
      <c r="C511" s="55">
        <v>1495.675</v>
      </c>
      <c r="D511" s="70">
        <f t="shared" si="15"/>
        <v>-0.51766422651488275</v>
      </c>
      <c r="E511" s="180">
        <v>1.3226975578362539E-2</v>
      </c>
      <c r="G511" s="78">
        <v>509</v>
      </c>
      <c r="H511" s="180">
        <f t="shared" ca="1" si="16"/>
        <v>2.3475189411118588E-2</v>
      </c>
    </row>
    <row r="512" spans="2:8" x14ac:dyDescent="0.3">
      <c r="B512" s="69">
        <v>45300</v>
      </c>
      <c r="C512" s="55">
        <v>3100.9</v>
      </c>
      <c r="D512" s="70">
        <f t="shared" si="15"/>
        <v>1.1234677805930289</v>
      </c>
      <c r="E512" s="180">
        <v>1.3200457441594541E-2</v>
      </c>
      <c r="G512" s="78">
        <v>510</v>
      </c>
      <c r="H512" s="180">
        <f t="shared" ca="1" si="16"/>
        <v>1.5265027648629852E-2</v>
      </c>
    </row>
    <row r="513" spans="2:8" x14ac:dyDescent="0.3">
      <c r="B513" s="69">
        <v>45057</v>
      </c>
      <c r="C513" s="55">
        <v>1460.3</v>
      </c>
      <c r="D513" s="70">
        <f t="shared" si="15"/>
        <v>4.847047047047047</v>
      </c>
      <c r="E513" s="180">
        <v>1.3200117951119573E-2</v>
      </c>
      <c r="G513" s="78">
        <v>511</v>
      </c>
      <c r="H513" s="180">
        <f t="shared" ca="1" si="16"/>
        <v>1.516101865359719E-2</v>
      </c>
    </row>
    <row r="514" spans="2:8" x14ac:dyDescent="0.3">
      <c r="B514" s="69">
        <v>42814</v>
      </c>
      <c r="C514" s="55">
        <v>249.75</v>
      </c>
      <c r="D514" s="70">
        <f t="shared" si="15"/>
        <v>-0.23612173115155219</v>
      </c>
      <c r="E514" s="180">
        <v>1.3184584178498986E-2</v>
      </c>
      <c r="G514" s="78">
        <v>512</v>
      </c>
      <c r="H514" s="180">
        <f t="shared" ca="1" si="16"/>
        <v>-1.366392334766961E-2</v>
      </c>
    </row>
    <row r="515" spans="2:8" x14ac:dyDescent="0.3">
      <c r="B515" s="69">
        <v>43430</v>
      </c>
      <c r="C515" s="55">
        <v>326.95</v>
      </c>
      <c r="D515" s="70">
        <f t="shared" ref="D515:D578" si="17">(C515-C516)/C516</f>
        <v>0.32636916835699792</v>
      </c>
      <c r="E515" s="180">
        <v>1.3170127052990215E-2</v>
      </c>
      <c r="G515" s="78">
        <v>513</v>
      </c>
      <c r="H515" s="180">
        <f t="shared" ca="1" si="16"/>
        <v>1.9279609507699889E-2</v>
      </c>
    </row>
    <row r="516" spans="2:8" x14ac:dyDescent="0.3">
      <c r="B516" s="69">
        <v>42811</v>
      </c>
      <c r="C516" s="55">
        <v>246.5</v>
      </c>
      <c r="D516" s="70">
        <f t="shared" si="17"/>
        <v>-0.24790236460717011</v>
      </c>
      <c r="E516" s="180">
        <v>1.3152486642005707E-2</v>
      </c>
      <c r="G516" s="78">
        <v>514</v>
      </c>
      <c r="H516" s="180">
        <f t="shared" ref="H516:H579" ca="1" si="18">_xlfn.NORM.INV(RAND(),$N$4,$N$5)</f>
        <v>-4.3725984491296145E-2</v>
      </c>
    </row>
    <row r="517" spans="2:8" x14ac:dyDescent="0.3">
      <c r="B517" s="69">
        <v>43257</v>
      </c>
      <c r="C517" s="55">
        <v>327.75</v>
      </c>
      <c r="D517" s="70">
        <f t="shared" si="17"/>
        <v>-0.52427607228391038</v>
      </c>
      <c r="E517" s="180">
        <v>1.3137557959814529E-2</v>
      </c>
      <c r="G517" s="78">
        <v>515</v>
      </c>
      <c r="H517" s="180">
        <f t="shared" ca="1" si="18"/>
        <v>5.0074937435547778E-2</v>
      </c>
    </row>
    <row r="518" spans="2:8" x14ac:dyDescent="0.3">
      <c r="B518" s="69">
        <v>44235</v>
      </c>
      <c r="C518" s="55">
        <v>688.95</v>
      </c>
      <c r="D518" s="70">
        <f t="shared" si="17"/>
        <v>-2.7502352174855089E-3</v>
      </c>
      <c r="E518" s="180">
        <v>1.3087272994632882E-2</v>
      </c>
      <c r="G518" s="78">
        <v>516</v>
      </c>
      <c r="H518" s="180">
        <f t="shared" ca="1" si="18"/>
        <v>2.9761566232939279E-2</v>
      </c>
    </row>
    <row r="519" spans="2:8" x14ac:dyDescent="0.3">
      <c r="B519" s="69">
        <v>44145</v>
      </c>
      <c r="C519" s="55">
        <v>690.84999999999991</v>
      </c>
      <c r="D519" s="70">
        <f t="shared" si="17"/>
        <v>-0.72985443774256309</v>
      </c>
      <c r="E519" s="180">
        <v>1.2939408379458131E-2</v>
      </c>
      <c r="G519" s="78">
        <v>517</v>
      </c>
      <c r="H519" s="180">
        <f t="shared" ca="1" si="18"/>
        <v>1.7054944721704345E-2</v>
      </c>
    </row>
    <row r="520" spans="2:8" x14ac:dyDescent="0.3">
      <c r="B520" s="69">
        <v>45245</v>
      </c>
      <c r="C520" s="55">
        <v>2557.3249999999998</v>
      </c>
      <c r="D520" s="70">
        <f t="shared" si="17"/>
        <v>0.75156247324532088</v>
      </c>
      <c r="E520" s="180">
        <v>1.293235763018988E-2</v>
      </c>
      <c r="G520" s="78">
        <v>518</v>
      </c>
      <c r="H520" s="180">
        <f t="shared" ca="1" si="18"/>
        <v>-1.9772684342673676E-3</v>
      </c>
    </row>
    <row r="521" spans="2:8" x14ac:dyDescent="0.3">
      <c r="B521" s="69">
        <v>44841</v>
      </c>
      <c r="C521" s="55">
        <v>1460.0250000000001</v>
      </c>
      <c r="D521" s="70">
        <f t="shared" si="17"/>
        <v>3.3256795792904232</v>
      </c>
      <c r="E521" s="180">
        <v>1.292146524212571E-2</v>
      </c>
      <c r="G521" s="78">
        <v>519</v>
      </c>
      <c r="H521" s="180">
        <f t="shared" ca="1" si="18"/>
        <v>1.977597997836349E-2</v>
      </c>
    </row>
    <row r="522" spans="2:8" x14ac:dyDescent="0.3">
      <c r="B522" s="69">
        <v>43535</v>
      </c>
      <c r="C522" s="55">
        <v>337.52499999999998</v>
      </c>
      <c r="D522" s="70">
        <f t="shared" si="17"/>
        <v>-0.7865893176106098</v>
      </c>
      <c r="E522" s="180">
        <v>1.2904193863005339E-2</v>
      </c>
      <c r="G522" s="78">
        <v>520</v>
      </c>
      <c r="H522" s="180">
        <f t="shared" ca="1" si="18"/>
        <v>1.3761434218964048E-2</v>
      </c>
    </row>
    <row r="523" spans="2:8" x14ac:dyDescent="0.3">
      <c r="B523" s="69">
        <v>45079</v>
      </c>
      <c r="C523" s="55">
        <v>1581.575</v>
      </c>
      <c r="D523" s="70">
        <f t="shared" si="17"/>
        <v>0.19522010202153792</v>
      </c>
      <c r="E523" s="180">
        <v>1.2840012167592547E-2</v>
      </c>
      <c r="G523" s="78">
        <v>521</v>
      </c>
      <c r="H523" s="180">
        <f t="shared" ca="1" si="18"/>
        <v>1.0213785402509461E-2</v>
      </c>
    </row>
    <row r="524" spans="2:8" x14ac:dyDescent="0.3">
      <c r="B524" s="69">
        <v>44921</v>
      </c>
      <c r="C524" s="55">
        <v>1323.25</v>
      </c>
      <c r="D524" s="70">
        <f t="shared" si="17"/>
        <v>3.3246997303701278</v>
      </c>
      <c r="E524" s="180">
        <v>1.2839893606842911E-2</v>
      </c>
      <c r="G524" s="78">
        <v>522</v>
      </c>
      <c r="H524" s="180">
        <f t="shared" ca="1" si="18"/>
        <v>1.0961817726744601E-2</v>
      </c>
    </row>
    <row r="525" spans="2:8" x14ac:dyDescent="0.3">
      <c r="B525" s="69">
        <v>43048</v>
      </c>
      <c r="C525" s="55">
        <v>305.97500000000002</v>
      </c>
      <c r="D525" s="70">
        <f t="shared" si="17"/>
        <v>-0.77293977960001492</v>
      </c>
      <c r="E525" s="180">
        <v>1.2826878517047334E-2</v>
      </c>
      <c r="G525" s="78">
        <v>523</v>
      </c>
      <c r="H525" s="180">
        <f t="shared" ca="1" si="18"/>
        <v>6.0307091655641635E-3</v>
      </c>
    </row>
    <row r="526" spans="2:8" x14ac:dyDescent="0.3">
      <c r="B526" s="69">
        <v>44994</v>
      </c>
      <c r="C526" s="55">
        <v>1347.5500000000002</v>
      </c>
      <c r="D526" s="70">
        <f t="shared" si="17"/>
        <v>-0.65609687627603097</v>
      </c>
      <c r="E526" s="180">
        <v>1.2795700945115717E-2</v>
      </c>
      <c r="G526" s="78">
        <v>524</v>
      </c>
      <c r="H526" s="180">
        <f t="shared" ca="1" si="18"/>
        <v>-3.9368830058014968E-3</v>
      </c>
    </row>
    <row r="527" spans="2:8" x14ac:dyDescent="0.3">
      <c r="B527" s="69">
        <v>45349</v>
      </c>
      <c r="C527" s="55">
        <v>3918.4</v>
      </c>
      <c r="D527" s="70">
        <f t="shared" si="17"/>
        <v>-0.45194328373865761</v>
      </c>
      <c r="E527" s="180">
        <v>1.2774701309778477E-2</v>
      </c>
      <c r="G527" s="78">
        <v>525</v>
      </c>
      <c r="H527" s="180">
        <f t="shared" ca="1" si="18"/>
        <v>-2.524709382076594E-2</v>
      </c>
    </row>
    <row r="528" spans="2:8" x14ac:dyDescent="0.3">
      <c r="B528" s="69">
        <v>45540</v>
      </c>
      <c r="C528" s="55">
        <v>7149.625</v>
      </c>
      <c r="D528" s="70">
        <f t="shared" si="17"/>
        <v>0.25862600123228591</v>
      </c>
      <c r="E528" s="180">
        <v>1.2766484878532474E-2</v>
      </c>
      <c r="G528" s="78">
        <v>526</v>
      </c>
      <c r="H528" s="180">
        <f t="shared" ca="1" si="18"/>
        <v>-2.9765098853781674E-2</v>
      </c>
    </row>
    <row r="529" spans="2:8" x14ac:dyDescent="0.3">
      <c r="B529" s="69">
        <v>45750</v>
      </c>
      <c r="C529" s="55">
        <v>5680.5</v>
      </c>
      <c r="D529" s="70">
        <f t="shared" si="17"/>
        <v>7.1534376345629394</v>
      </c>
      <c r="E529" s="180">
        <v>1.2765426375938306E-2</v>
      </c>
      <c r="G529" s="78">
        <v>527</v>
      </c>
      <c r="H529" s="180">
        <f t="shared" ca="1" si="18"/>
        <v>9.831126493399284E-3</v>
      </c>
    </row>
    <row r="530" spans="2:8" x14ac:dyDescent="0.3">
      <c r="B530" s="69">
        <v>44207</v>
      </c>
      <c r="C530" s="55">
        <v>696.7</v>
      </c>
      <c r="D530" s="70">
        <f t="shared" si="17"/>
        <v>1.7712808273667464</v>
      </c>
      <c r="E530" s="180">
        <v>1.2718947597935897E-2</v>
      </c>
      <c r="G530" s="78">
        <v>528</v>
      </c>
      <c r="H530" s="180">
        <f t="shared" ca="1" si="18"/>
        <v>-1.4066294048704147E-2</v>
      </c>
    </row>
    <row r="531" spans="2:8" x14ac:dyDescent="0.3">
      <c r="B531" s="69">
        <v>42769</v>
      </c>
      <c r="C531" s="55">
        <v>251.4</v>
      </c>
      <c r="D531" s="70">
        <f t="shared" si="17"/>
        <v>-0.63928545806729331</v>
      </c>
      <c r="E531" s="180">
        <v>1.2688821752265884E-2</v>
      </c>
      <c r="G531" s="78">
        <v>529</v>
      </c>
      <c r="H531" s="180">
        <f t="shared" ca="1" si="18"/>
        <v>1.3534473207947604E-2</v>
      </c>
    </row>
    <row r="532" spans="2:8" x14ac:dyDescent="0.3">
      <c r="B532" s="69">
        <v>44242</v>
      </c>
      <c r="C532" s="55">
        <v>696.95</v>
      </c>
      <c r="D532" s="70">
        <f t="shared" si="17"/>
        <v>-0.85313067987250746</v>
      </c>
      <c r="E532" s="180">
        <v>1.2677540048675974E-2</v>
      </c>
      <c r="G532" s="78">
        <v>530</v>
      </c>
      <c r="H532" s="180">
        <f t="shared" ca="1" si="18"/>
        <v>-7.4634713466691207E-3</v>
      </c>
    </row>
    <row r="533" spans="2:8" x14ac:dyDescent="0.3">
      <c r="B533" s="69">
        <v>45758</v>
      </c>
      <c r="C533" s="55">
        <v>4745.375</v>
      </c>
      <c r="D533" s="70">
        <f t="shared" si="17"/>
        <v>0.48718209881379576</v>
      </c>
      <c r="E533" s="180">
        <v>1.2649111201212017E-2</v>
      </c>
      <c r="G533" s="78">
        <v>531</v>
      </c>
      <c r="H533" s="180">
        <f t="shared" ca="1" si="18"/>
        <v>-2.5061701884414679E-2</v>
      </c>
    </row>
    <row r="534" spans="2:8" x14ac:dyDescent="0.3">
      <c r="B534" s="69">
        <v>45302</v>
      </c>
      <c r="C534" s="55">
        <v>3190.85</v>
      </c>
      <c r="D534" s="70">
        <f t="shared" si="17"/>
        <v>0.54260989376231283</v>
      </c>
      <c r="E534" s="180">
        <v>1.2630710398121173E-2</v>
      </c>
      <c r="G534" s="78">
        <v>532</v>
      </c>
      <c r="H534" s="180">
        <f t="shared" ca="1" si="18"/>
        <v>2.1198327343542326E-2</v>
      </c>
    </row>
    <row r="535" spans="2:8" x14ac:dyDescent="0.3">
      <c r="B535" s="69">
        <v>45183</v>
      </c>
      <c r="C535" s="55">
        <v>2068.4749999999999</v>
      </c>
      <c r="D535" s="70">
        <f t="shared" si="17"/>
        <v>-6.7025247228893886E-2</v>
      </c>
      <c r="E535" s="180">
        <v>1.2630496775062091E-2</v>
      </c>
      <c r="G535" s="78">
        <v>533</v>
      </c>
      <c r="H535" s="180">
        <f t="shared" ca="1" si="18"/>
        <v>-1.1945678273111599E-2</v>
      </c>
    </row>
    <row r="536" spans="2:8" x14ac:dyDescent="0.3">
      <c r="B536" s="69">
        <v>45236</v>
      </c>
      <c r="C536" s="55">
        <v>2217.0749999999998</v>
      </c>
      <c r="D536" s="70">
        <f t="shared" si="17"/>
        <v>-0.42730478133960176</v>
      </c>
      <c r="E536" s="180">
        <v>1.2605761655191273E-2</v>
      </c>
      <c r="G536" s="78">
        <v>534</v>
      </c>
      <c r="H536" s="180">
        <f t="shared" ca="1" si="18"/>
        <v>-1.5213129515479826E-2</v>
      </c>
    </row>
    <row r="537" spans="2:8" x14ac:dyDescent="0.3">
      <c r="B537" s="69">
        <v>45336</v>
      </c>
      <c r="C537" s="55">
        <v>3871.3</v>
      </c>
      <c r="D537" s="70">
        <f t="shared" si="17"/>
        <v>2.4632433520452666</v>
      </c>
      <c r="E537" s="180">
        <v>1.2501634627958724E-2</v>
      </c>
      <c r="G537" s="78">
        <v>535</v>
      </c>
      <c r="H537" s="180">
        <f t="shared" ca="1" si="18"/>
        <v>1.8848336383940022E-2</v>
      </c>
    </row>
    <row r="538" spans="2:8" x14ac:dyDescent="0.3">
      <c r="B538" s="69">
        <v>44480</v>
      </c>
      <c r="C538" s="55">
        <v>1117.825</v>
      </c>
      <c r="D538" s="70">
        <f t="shared" si="17"/>
        <v>2.1983547925608011</v>
      </c>
      <c r="E538" s="180">
        <v>1.2499716944815518E-2</v>
      </c>
      <c r="G538" s="78">
        <v>536</v>
      </c>
      <c r="H538" s="180">
        <f t="shared" ca="1" si="18"/>
        <v>4.712083895241059E-3</v>
      </c>
    </row>
    <row r="539" spans="2:8" x14ac:dyDescent="0.3">
      <c r="B539" s="69">
        <v>43175</v>
      </c>
      <c r="C539" s="55">
        <v>349.5</v>
      </c>
      <c r="D539" s="70">
        <f t="shared" si="17"/>
        <v>-0.86615861831271779</v>
      </c>
      <c r="E539" s="180">
        <v>1.2456546929316371E-2</v>
      </c>
      <c r="G539" s="78">
        <v>537</v>
      </c>
      <c r="H539" s="180">
        <f t="shared" ca="1" si="18"/>
        <v>-2.5018468092407289E-2</v>
      </c>
    </row>
    <row r="540" spans="2:8" x14ac:dyDescent="0.3">
      <c r="B540" s="69">
        <v>45250</v>
      </c>
      <c r="C540" s="55">
        <v>2611.3000000000002</v>
      </c>
      <c r="D540" s="70">
        <f t="shared" si="17"/>
        <v>7.1628633948108789</v>
      </c>
      <c r="E540" s="180">
        <v>1.2435906134594801E-2</v>
      </c>
      <c r="G540" s="78">
        <v>538</v>
      </c>
      <c r="H540" s="180">
        <f t="shared" ca="1" si="18"/>
        <v>6.6888909169225633E-3</v>
      </c>
    </row>
    <row r="541" spans="2:8" x14ac:dyDescent="0.3">
      <c r="B541" s="69">
        <v>43132</v>
      </c>
      <c r="C541" s="55">
        <v>319.89999999999998</v>
      </c>
      <c r="D541" s="70">
        <f t="shared" si="17"/>
        <v>-0.92561676006231541</v>
      </c>
      <c r="E541" s="180">
        <v>1.2421868818735514E-2</v>
      </c>
      <c r="G541" s="78">
        <v>539</v>
      </c>
      <c r="H541" s="180">
        <f t="shared" ca="1" si="18"/>
        <v>1.3188765549287381E-2</v>
      </c>
    </row>
    <row r="542" spans="2:8" x14ac:dyDescent="0.3">
      <c r="B542" s="69">
        <v>46017</v>
      </c>
      <c r="C542" s="55">
        <v>4300.7</v>
      </c>
      <c r="D542" s="70">
        <f t="shared" si="17"/>
        <v>4.5534105949575485</v>
      </c>
      <c r="E542" s="180">
        <v>1.2358175227154815E-2</v>
      </c>
      <c r="G542" s="78">
        <v>540</v>
      </c>
      <c r="H542" s="180">
        <f t="shared" ca="1" si="18"/>
        <v>4.6029731158560468E-3</v>
      </c>
    </row>
    <row r="543" spans="2:8" x14ac:dyDescent="0.3">
      <c r="B543" s="69">
        <v>44312</v>
      </c>
      <c r="C543" s="55">
        <v>774.42499999999995</v>
      </c>
      <c r="D543" s="70">
        <f t="shared" si="17"/>
        <v>1.1916654874770056</v>
      </c>
      <c r="E543" s="180">
        <v>1.2353344880551563E-2</v>
      </c>
      <c r="G543" s="78">
        <v>541</v>
      </c>
      <c r="H543" s="180">
        <f t="shared" ca="1" si="18"/>
        <v>-7.6555828278730394E-5</v>
      </c>
    </row>
    <row r="544" spans="2:8" x14ac:dyDescent="0.3">
      <c r="B544" s="69">
        <v>43203</v>
      </c>
      <c r="C544" s="55">
        <v>353.35</v>
      </c>
      <c r="D544" s="70">
        <f t="shared" si="17"/>
        <v>-0.93545617696350847</v>
      </c>
      <c r="E544" s="180">
        <v>1.2319151983956486E-2</v>
      </c>
      <c r="G544" s="78">
        <v>542</v>
      </c>
      <c r="H544" s="180">
        <f t="shared" ca="1" si="18"/>
        <v>-9.9414126320265077E-3</v>
      </c>
    </row>
    <row r="545" spans="2:8" x14ac:dyDescent="0.3">
      <c r="B545" s="69">
        <v>45748</v>
      </c>
      <c r="C545" s="55">
        <v>5474.5749999999998</v>
      </c>
      <c r="D545" s="70">
        <f t="shared" si="17"/>
        <v>17.118732417673343</v>
      </c>
      <c r="E545" s="180">
        <v>1.2315145687618647E-2</v>
      </c>
      <c r="G545" s="78">
        <v>543</v>
      </c>
      <c r="H545" s="180">
        <f t="shared" ca="1" si="18"/>
        <v>1.9877932864367363E-2</v>
      </c>
    </row>
    <row r="546" spans="2:8" x14ac:dyDescent="0.3">
      <c r="B546" s="69">
        <v>43137</v>
      </c>
      <c r="C546" s="55">
        <v>302.14999999999998</v>
      </c>
      <c r="D546" s="70">
        <f t="shared" si="17"/>
        <v>-0.94616481069042324</v>
      </c>
      <c r="E546" s="180">
        <v>1.231258899405295E-2</v>
      </c>
      <c r="G546" s="78">
        <v>544</v>
      </c>
      <c r="H546" s="180">
        <f t="shared" ca="1" si="18"/>
        <v>4.6166784204920104E-2</v>
      </c>
    </row>
    <row r="547" spans="2:8" x14ac:dyDescent="0.3">
      <c r="B547" s="69">
        <v>45813</v>
      </c>
      <c r="C547" s="55">
        <v>5612.5</v>
      </c>
      <c r="D547" s="70">
        <f t="shared" si="17"/>
        <v>11.308114035087719</v>
      </c>
      <c r="E547" s="180">
        <v>1.2310050953690761E-2</v>
      </c>
      <c r="G547" s="78">
        <v>545</v>
      </c>
      <c r="H547" s="180">
        <f t="shared" ca="1" si="18"/>
        <v>2.4075419250549498E-3</v>
      </c>
    </row>
    <row r="548" spans="2:8" x14ac:dyDescent="0.3">
      <c r="B548" s="69">
        <v>43936</v>
      </c>
      <c r="C548" s="55">
        <v>456</v>
      </c>
      <c r="D548" s="70">
        <f t="shared" si="17"/>
        <v>0.55578300921187296</v>
      </c>
      <c r="E548" s="180">
        <v>1.2264831566679565E-2</v>
      </c>
      <c r="G548" s="78">
        <v>546</v>
      </c>
      <c r="H548" s="180">
        <f t="shared" ca="1" si="18"/>
        <v>-6.6125463745294452E-3</v>
      </c>
    </row>
    <row r="549" spans="2:8" x14ac:dyDescent="0.3">
      <c r="B549" s="69">
        <v>42983</v>
      </c>
      <c r="C549" s="55">
        <v>293.10000000000002</v>
      </c>
      <c r="D549" s="70">
        <f t="shared" si="17"/>
        <v>-0.4517652560205751</v>
      </c>
      <c r="E549" s="180">
        <v>1.2260404075289281E-2</v>
      </c>
      <c r="G549" s="78">
        <v>547</v>
      </c>
      <c r="H549" s="180">
        <f t="shared" ca="1" si="18"/>
        <v>-1.5949914000071588E-2</v>
      </c>
    </row>
    <row r="550" spans="2:8" x14ac:dyDescent="0.3">
      <c r="B550" s="69">
        <v>43837</v>
      </c>
      <c r="C550" s="55">
        <v>534.625</v>
      </c>
      <c r="D550" s="70">
        <f t="shared" si="17"/>
        <v>-0.20578622892371681</v>
      </c>
      <c r="E550" s="180">
        <v>1.2259774685222045E-2</v>
      </c>
      <c r="G550" s="78">
        <v>548</v>
      </c>
      <c r="H550" s="180">
        <f t="shared" ca="1" si="18"/>
        <v>1.5307582664599383E-2</v>
      </c>
    </row>
    <row r="551" spans="2:8" x14ac:dyDescent="0.3">
      <c r="B551" s="69">
        <v>44215</v>
      </c>
      <c r="C551" s="55">
        <v>673.15</v>
      </c>
      <c r="D551" s="70">
        <f t="shared" si="17"/>
        <v>1.0245112781954886</v>
      </c>
      <c r="E551" s="180">
        <v>1.2255639097744327E-2</v>
      </c>
      <c r="G551" s="78">
        <v>549</v>
      </c>
      <c r="H551" s="180">
        <f t="shared" ca="1" si="18"/>
        <v>1.2192696219686036E-3</v>
      </c>
    </row>
    <row r="552" spans="2:8" x14ac:dyDescent="0.3">
      <c r="B552" s="69">
        <v>43091</v>
      </c>
      <c r="C552" s="55">
        <v>332.5</v>
      </c>
      <c r="D552" s="70">
        <f t="shared" si="17"/>
        <v>-0.93868142000922083</v>
      </c>
      <c r="E552" s="180">
        <v>1.2253596164091565E-2</v>
      </c>
      <c r="G552" s="78">
        <v>550</v>
      </c>
      <c r="H552" s="180">
        <f t="shared" ca="1" si="18"/>
        <v>1.8076942906379213E-2</v>
      </c>
    </row>
    <row r="553" spans="2:8" x14ac:dyDescent="0.3">
      <c r="B553" s="69">
        <v>45854</v>
      </c>
      <c r="C553" s="55">
        <v>5422.5</v>
      </c>
      <c r="D553" s="70">
        <f t="shared" si="17"/>
        <v>19.081473937598375</v>
      </c>
      <c r="E553" s="180">
        <v>1.2226992719805862E-2</v>
      </c>
      <c r="G553" s="78">
        <v>551</v>
      </c>
      <c r="H553" s="180">
        <f t="shared" ca="1" si="18"/>
        <v>8.6800101006913582E-3</v>
      </c>
    </row>
    <row r="554" spans="2:8" x14ac:dyDescent="0.3">
      <c r="B554" s="69">
        <v>42838</v>
      </c>
      <c r="C554" s="55">
        <v>270.02499999999998</v>
      </c>
      <c r="D554" s="70">
        <f t="shared" si="17"/>
        <v>-0.74621710526315788</v>
      </c>
      <c r="E554" s="180">
        <v>1.2182550838721771E-2</v>
      </c>
      <c r="G554" s="78">
        <v>552</v>
      </c>
      <c r="H554" s="180">
        <f t="shared" ca="1" si="18"/>
        <v>2.3676223972363415E-2</v>
      </c>
    </row>
    <row r="555" spans="2:8" x14ac:dyDescent="0.3">
      <c r="B555" s="69">
        <v>44601</v>
      </c>
      <c r="C555" s="55">
        <v>1064</v>
      </c>
      <c r="D555" s="70">
        <f t="shared" si="17"/>
        <v>-0.8000187952260126</v>
      </c>
      <c r="E555" s="180">
        <v>1.2176560121765776E-2</v>
      </c>
      <c r="G555" s="78">
        <v>553</v>
      </c>
      <c r="H555" s="180">
        <f t="shared" ca="1" si="18"/>
        <v>-1.8183560804137185E-2</v>
      </c>
    </row>
    <row r="556" spans="2:8" x14ac:dyDescent="0.3">
      <c r="B556" s="69">
        <v>45898</v>
      </c>
      <c r="C556" s="55">
        <v>5320.5</v>
      </c>
      <c r="D556" s="70">
        <f t="shared" si="17"/>
        <v>4.0141362736782584</v>
      </c>
      <c r="E556" s="180">
        <v>1.2175401883382479E-2</v>
      </c>
      <c r="G556" s="78">
        <v>554</v>
      </c>
      <c r="H556" s="180">
        <f t="shared" ca="1" si="18"/>
        <v>-7.2007273096250544E-3</v>
      </c>
    </row>
    <row r="557" spans="2:8" x14ac:dyDescent="0.3">
      <c r="B557" s="69">
        <v>44739</v>
      </c>
      <c r="C557" s="55">
        <v>1061.0999999999999</v>
      </c>
      <c r="D557" s="70">
        <f t="shared" si="17"/>
        <v>-5.4596152494318208E-3</v>
      </c>
      <c r="E557" s="180">
        <v>1.2161968808127057E-2</v>
      </c>
      <c r="G557" s="78">
        <v>555</v>
      </c>
      <c r="H557" s="180">
        <f t="shared" ca="1" si="18"/>
        <v>5.1068789293461031E-3</v>
      </c>
    </row>
    <row r="558" spans="2:8" x14ac:dyDescent="0.3">
      <c r="B558" s="69">
        <v>44475</v>
      </c>
      <c r="C558" s="55">
        <v>1066.925</v>
      </c>
      <c r="D558" s="70">
        <f t="shared" si="17"/>
        <v>-0.22491418608452451</v>
      </c>
      <c r="E558" s="180">
        <v>1.214277244159844E-2</v>
      </c>
      <c r="G558" s="78">
        <v>556</v>
      </c>
      <c r="H558" s="180">
        <f t="shared" ca="1" si="18"/>
        <v>3.157643460475641E-3</v>
      </c>
    </row>
    <row r="559" spans="2:8" x14ac:dyDescent="0.3">
      <c r="B559" s="69">
        <v>45036</v>
      </c>
      <c r="C559" s="55">
        <v>1376.5250000000001</v>
      </c>
      <c r="D559" s="70">
        <f t="shared" si="17"/>
        <v>4.4858025306366445</v>
      </c>
      <c r="E559" s="180">
        <v>1.211352523804265E-2</v>
      </c>
      <c r="G559" s="78">
        <v>557</v>
      </c>
      <c r="H559" s="180">
        <f t="shared" ca="1" si="18"/>
        <v>2.1590985148536922E-2</v>
      </c>
    </row>
    <row r="560" spans="2:8" x14ac:dyDescent="0.3">
      <c r="B560" s="69">
        <v>42786</v>
      </c>
      <c r="C560" s="55">
        <v>250.92500000000001</v>
      </c>
      <c r="D560" s="70">
        <f t="shared" si="17"/>
        <v>-0.74537659504299947</v>
      </c>
      <c r="E560" s="180">
        <v>1.2100433598870626E-2</v>
      </c>
      <c r="G560" s="78">
        <v>558</v>
      </c>
      <c r="H560" s="180">
        <f t="shared" ca="1" si="18"/>
        <v>1.3624251185613251E-2</v>
      </c>
    </row>
    <row r="561" spans="2:8" x14ac:dyDescent="0.3">
      <c r="B561" s="69">
        <v>44461</v>
      </c>
      <c r="C561" s="55">
        <v>985.47500000000002</v>
      </c>
      <c r="D561" s="70">
        <f t="shared" si="17"/>
        <v>-0.53059766364599836</v>
      </c>
      <c r="E561" s="180">
        <v>1.2093047139776087E-2</v>
      </c>
      <c r="G561" s="78">
        <v>559</v>
      </c>
      <c r="H561" s="180">
        <f t="shared" ca="1" si="18"/>
        <v>-9.0949410131170964E-3</v>
      </c>
    </row>
    <row r="562" spans="2:8" x14ac:dyDescent="0.3">
      <c r="B562" s="69">
        <v>45177</v>
      </c>
      <c r="C562" s="55">
        <v>2099.4250000000002</v>
      </c>
      <c r="D562" s="70">
        <f t="shared" si="17"/>
        <v>7.5594740597288759</v>
      </c>
      <c r="E562" s="180">
        <v>1.2088123990647804E-2</v>
      </c>
      <c r="G562" s="78">
        <v>560</v>
      </c>
      <c r="H562" s="180">
        <f t="shared" ca="1" si="18"/>
        <v>1.8880878459448934E-2</v>
      </c>
    </row>
    <row r="563" spans="2:8" x14ac:dyDescent="0.3">
      <c r="B563" s="69">
        <v>42885</v>
      </c>
      <c r="C563" s="55">
        <v>245.27500000000001</v>
      </c>
      <c r="D563" s="70">
        <f t="shared" si="17"/>
        <v>-0.94799088210347759</v>
      </c>
      <c r="E563" s="180">
        <v>1.2069321229626621E-2</v>
      </c>
      <c r="G563" s="78">
        <v>561</v>
      </c>
      <c r="H563" s="180">
        <f t="shared" ca="1" si="18"/>
        <v>2.9450721683629735E-2</v>
      </c>
    </row>
    <row r="564" spans="2:8" x14ac:dyDescent="0.3">
      <c r="B564" s="69">
        <v>45436</v>
      </c>
      <c r="C564" s="55">
        <v>4716</v>
      </c>
      <c r="D564" s="70">
        <f t="shared" si="17"/>
        <v>0.5288606486959625</v>
      </c>
      <c r="E564" s="180">
        <v>1.2011738134452147E-2</v>
      </c>
      <c r="G564" s="78">
        <v>562</v>
      </c>
      <c r="H564" s="180">
        <f t="shared" ca="1" si="18"/>
        <v>3.9531660659489027E-3</v>
      </c>
    </row>
    <row r="565" spans="2:8" x14ac:dyDescent="0.3">
      <c r="B565" s="69">
        <v>45295</v>
      </c>
      <c r="C565" s="55">
        <v>3084.6499999999996</v>
      </c>
      <c r="D565" s="70">
        <f t="shared" si="17"/>
        <v>-0.55727387547722251</v>
      </c>
      <c r="E565" s="180">
        <v>1.1982776296903716E-2</v>
      </c>
      <c r="G565" s="78">
        <v>563</v>
      </c>
      <c r="H565" s="180">
        <f t="shared" ca="1" si="18"/>
        <v>2.0714446116249882E-2</v>
      </c>
    </row>
    <row r="566" spans="2:8" x14ac:dyDescent="0.3">
      <c r="B566" s="69">
        <v>45637</v>
      </c>
      <c r="C566" s="55">
        <v>6967.4</v>
      </c>
      <c r="D566" s="70">
        <f t="shared" si="17"/>
        <v>20.8328241284763</v>
      </c>
      <c r="E566" s="180">
        <v>1.1971721030214237E-2</v>
      </c>
      <c r="G566" s="78">
        <v>564</v>
      </c>
      <c r="H566" s="180">
        <f t="shared" ca="1" si="18"/>
        <v>-9.1599038745225386E-4</v>
      </c>
    </row>
    <row r="567" spans="2:8" x14ac:dyDescent="0.3">
      <c r="B567" s="69">
        <v>43264</v>
      </c>
      <c r="C567" s="55">
        <v>319.125</v>
      </c>
      <c r="D567" s="70">
        <f t="shared" si="17"/>
        <v>-0.71094404565114022</v>
      </c>
      <c r="E567" s="180">
        <v>1.1970826066275494E-2</v>
      </c>
      <c r="G567" s="78">
        <v>565</v>
      </c>
      <c r="H567" s="180">
        <f t="shared" ca="1" si="18"/>
        <v>2.5219269372607311E-3</v>
      </c>
    </row>
    <row r="568" spans="2:8" x14ac:dyDescent="0.3">
      <c r="B568" s="69">
        <v>44477</v>
      </c>
      <c r="C568" s="55">
        <v>1104.0250000000001</v>
      </c>
      <c r="D568" s="70">
        <f t="shared" si="17"/>
        <v>-0.35210751015976877</v>
      </c>
      <c r="E568" s="180">
        <v>1.1938588450962503E-2</v>
      </c>
      <c r="G568" s="78">
        <v>566</v>
      </c>
      <c r="H568" s="180">
        <f t="shared" ca="1" si="18"/>
        <v>-1.3977579177387883E-2</v>
      </c>
    </row>
    <row r="569" spans="2:8" x14ac:dyDescent="0.3">
      <c r="B569" s="69">
        <v>45142</v>
      </c>
      <c r="C569" s="55">
        <v>1704.0250000000001</v>
      </c>
      <c r="D569" s="70">
        <f t="shared" si="17"/>
        <v>0.43602654587590867</v>
      </c>
      <c r="E569" s="180">
        <v>1.1921375337747585E-2</v>
      </c>
      <c r="G569" s="78">
        <v>567</v>
      </c>
      <c r="H569" s="180">
        <f t="shared" ca="1" si="18"/>
        <v>4.229674830463518E-2</v>
      </c>
    </row>
    <row r="570" spans="2:8" x14ac:dyDescent="0.3">
      <c r="B570" s="69">
        <v>44750</v>
      </c>
      <c r="C570" s="55">
        <v>1186.625</v>
      </c>
      <c r="D570" s="70">
        <f t="shared" si="17"/>
        <v>6.5623456512954106E-2</v>
      </c>
      <c r="E570" s="180">
        <v>1.1917451925126771E-2</v>
      </c>
      <c r="G570" s="78">
        <v>568</v>
      </c>
      <c r="H570" s="180">
        <f t="shared" ca="1" si="18"/>
        <v>-9.4091565156905945E-3</v>
      </c>
    </row>
    <row r="571" spans="2:8" x14ac:dyDescent="0.3">
      <c r="B571" s="69">
        <v>44509</v>
      </c>
      <c r="C571" s="55">
        <v>1113.55</v>
      </c>
      <c r="D571" s="70">
        <f t="shared" si="17"/>
        <v>-0.84134187260901461</v>
      </c>
      <c r="E571" s="180">
        <v>1.1904221000499713E-2</v>
      </c>
      <c r="G571" s="78">
        <v>569</v>
      </c>
      <c r="H571" s="180">
        <f t="shared" ca="1" si="18"/>
        <v>4.9822777271499421E-3</v>
      </c>
    </row>
    <row r="572" spans="2:8" x14ac:dyDescent="0.3">
      <c r="B572" s="69">
        <v>45602</v>
      </c>
      <c r="C572" s="55">
        <v>7018.55</v>
      </c>
      <c r="D572" s="70">
        <f t="shared" si="17"/>
        <v>6.9042175798186838</v>
      </c>
      <c r="E572" s="180">
        <v>1.1861553932045738E-2</v>
      </c>
      <c r="G572" s="78">
        <v>570</v>
      </c>
      <c r="H572" s="180">
        <f t="shared" ca="1" si="18"/>
        <v>-2.8615725335284694E-3</v>
      </c>
    </row>
    <row r="573" spans="2:8" x14ac:dyDescent="0.3">
      <c r="B573" s="69">
        <v>44425</v>
      </c>
      <c r="C573" s="55">
        <v>887.95</v>
      </c>
      <c r="D573" s="70">
        <f t="shared" si="17"/>
        <v>0.13075037407277715</v>
      </c>
      <c r="E573" s="180">
        <v>1.1851176571135652E-2</v>
      </c>
      <c r="G573" s="78">
        <v>571</v>
      </c>
      <c r="H573" s="180">
        <f t="shared" ca="1" si="18"/>
        <v>-1.93695446635157E-2</v>
      </c>
    </row>
    <row r="574" spans="2:8" x14ac:dyDescent="0.3">
      <c r="B574" s="69">
        <v>44246</v>
      </c>
      <c r="C574" s="55">
        <v>785.27499999999998</v>
      </c>
      <c r="D574" s="70">
        <f t="shared" si="17"/>
        <v>-0.84243053569905746</v>
      </c>
      <c r="E574" s="180">
        <v>1.1821930163638647E-2</v>
      </c>
      <c r="G574" s="78">
        <v>572</v>
      </c>
      <c r="H574" s="180">
        <f t="shared" ca="1" si="18"/>
        <v>-2.0567993533456019E-2</v>
      </c>
    </row>
    <row r="575" spans="2:8" x14ac:dyDescent="0.3">
      <c r="B575" s="69">
        <v>45453</v>
      </c>
      <c r="C575" s="55">
        <v>4983.6750000000002</v>
      </c>
      <c r="D575" s="70">
        <f t="shared" si="17"/>
        <v>-7.4182611926435035E-2</v>
      </c>
      <c r="E575" s="180">
        <v>1.1769900724770157E-2</v>
      </c>
      <c r="G575" s="78">
        <v>573</v>
      </c>
      <c r="H575" s="180">
        <f t="shared" ca="1" si="18"/>
        <v>1.6594397810688846E-2</v>
      </c>
    </row>
    <row r="576" spans="2:8" x14ac:dyDescent="0.3">
      <c r="B576" s="69">
        <v>45901</v>
      </c>
      <c r="C576" s="55">
        <v>5383</v>
      </c>
      <c r="D576" s="70">
        <f t="shared" si="17"/>
        <v>5.1832696780863223</v>
      </c>
      <c r="E576" s="180">
        <v>1.1747016257870502E-2</v>
      </c>
      <c r="G576" s="78">
        <v>574</v>
      </c>
      <c r="H576" s="180">
        <f t="shared" ca="1" si="18"/>
        <v>-7.3917853924483521E-3</v>
      </c>
    </row>
    <row r="577" spans="2:8" x14ac:dyDescent="0.3">
      <c r="B577" s="69">
        <v>44375</v>
      </c>
      <c r="C577" s="55">
        <v>870.57500000000005</v>
      </c>
      <c r="D577" s="70">
        <f t="shared" si="17"/>
        <v>-0.38332536435920589</v>
      </c>
      <c r="E577" s="180">
        <v>1.170830912260319E-2</v>
      </c>
      <c r="G577" s="78">
        <v>575</v>
      </c>
      <c r="H577" s="180">
        <f t="shared" ca="1" si="18"/>
        <v>1.3927884285326025E-2</v>
      </c>
    </row>
    <row r="578" spans="2:8" x14ac:dyDescent="0.3">
      <c r="B578" s="69">
        <v>45051</v>
      </c>
      <c r="C578" s="55">
        <v>1411.7249999999999</v>
      </c>
      <c r="D578" s="70">
        <f t="shared" si="17"/>
        <v>0.40194642369472916</v>
      </c>
      <c r="E578" s="180">
        <v>1.1699154364339843E-2</v>
      </c>
      <c r="G578" s="78">
        <v>576</v>
      </c>
      <c r="H578" s="180">
        <f t="shared" ca="1" si="18"/>
        <v>5.1684998360829199E-3</v>
      </c>
    </row>
    <row r="579" spans="2:8" x14ac:dyDescent="0.3">
      <c r="B579" s="69">
        <v>44467</v>
      </c>
      <c r="C579" s="55">
        <v>1006.975</v>
      </c>
      <c r="D579" s="70">
        <f t="shared" ref="D579:D642" si="19">(C579-C580)/C580</f>
        <v>0.21260198091338781</v>
      </c>
      <c r="E579" s="180">
        <v>1.1679308785854221E-2</v>
      </c>
      <c r="G579" s="78">
        <v>577</v>
      </c>
      <c r="H579" s="180">
        <f t="shared" ca="1" si="18"/>
        <v>5.0979226691254794E-3</v>
      </c>
    </row>
    <row r="580" spans="2:8" x14ac:dyDescent="0.3">
      <c r="B580" s="69">
        <v>44342</v>
      </c>
      <c r="C580" s="55">
        <v>830.42499999999995</v>
      </c>
      <c r="D580" s="70">
        <f t="shared" si="19"/>
        <v>-3.0670012839967422E-2</v>
      </c>
      <c r="E580" s="180">
        <v>1.1664737771821948E-2</v>
      </c>
      <c r="G580" s="78">
        <v>578</v>
      </c>
      <c r="H580" s="180">
        <f t="shared" ref="H580:H643" ca="1" si="20">_xlfn.NORM.INV(RAND(),$N$4,$N$5)</f>
        <v>-5.6899815350991909E-3</v>
      </c>
    </row>
    <row r="581" spans="2:8" x14ac:dyDescent="0.3">
      <c r="B581" s="69">
        <v>44369</v>
      </c>
      <c r="C581" s="55">
        <v>856.7</v>
      </c>
      <c r="D581" s="70">
        <f t="shared" si="19"/>
        <v>-5.3788380826154232E-2</v>
      </c>
      <c r="E581" s="180">
        <v>1.1631339670543943E-2</v>
      </c>
      <c r="G581" s="78">
        <v>579</v>
      </c>
      <c r="H581" s="180">
        <f t="shared" ca="1" si="20"/>
        <v>-1.4887255816749234E-2</v>
      </c>
    </row>
    <row r="582" spans="2:8" x14ac:dyDescent="0.3">
      <c r="B582" s="69">
        <v>44400</v>
      </c>
      <c r="C582" s="55">
        <v>905.40000000000009</v>
      </c>
      <c r="D582" s="70">
        <f t="shared" si="19"/>
        <v>-0.83175772666669767</v>
      </c>
      <c r="E582" s="180">
        <v>1.1591854976118112E-2</v>
      </c>
      <c r="G582" s="78">
        <v>580</v>
      </c>
      <c r="H582" s="180">
        <f t="shared" ca="1" si="20"/>
        <v>-2.6671923677023254E-2</v>
      </c>
    </row>
    <row r="583" spans="2:8" x14ac:dyDescent="0.3">
      <c r="B583" s="69">
        <v>45468</v>
      </c>
      <c r="C583" s="55">
        <v>5381.5249999999996</v>
      </c>
      <c r="D583" s="70">
        <f t="shared" si="19"/>
        <v>15.170447716346152</v>
      </c>
      <c r="E583" s="180">
        <v>1.1564849624060082E-2</v>
      </c>
      <c r="G583" s="78">
        <v>581</v>
      </c>
      <c r="H583" s="180">
        <f t="shared" ca="1" si="20"/>
        <v>1.7314423288927877E-2</v>
      </c>
    </row>
    <row r="584" spans="2:8" x14ac:dyDescent="0.3">
      <c r="B584" s="69">
        <v>43098</v>
      </c>
      <c r="C584" s="55">
        <v>332.8</v>
      </c>
      <c r="D584" s="70">
        <f t="shared" si="19"/>
        <v>-0.3480901077375122</v>
      </c>
      <c r="E584" s="180">
        <v>1.1550151975683926E-2</v>
      </c>
      <c r="G584" s="78">
        <v>582</v>
      </c>
      <c r="H584" s="180">
        <f t="shared" ca="1" si="20"/>
        <v>-4.1891225118008404E-3</v>
      </c>
    </row>
    <row r="585" spans="2:8" x14ac:dyDescent="0.3">
      <c r="B585" s="69">
        <v>43797</v>
      </c>
      <c r="C585" s="55">
        <v>510.5</v>
      </c>
      <c r="D585" s="70">
        <f t="shared" si="19"/>
        <v>-0.53219857506128154</v>
      </c>
      <c r="E585" s="180">
        <v>1.15420815376232E-2</v>
      </c>
      <c r="G585" s="78">
        <v>583</v>
      </c>
      <c r="H585" s="180">
        <f t="shared" ca="1" si="20"/>
        <v>1.8843767801566366E-2</v>
      </c>
    </row>
    <row r="586" spans="2:8" x14ac:dyDescent="0.3">
      <c r="B586" s="69">
        <v>44742</v>
      </c>
      <c r="C586" s="55">
        <v>1091.2750000000001</v>
      </c>
      <c r="D586" s="70">
        <f t="shared" si="19"/>
        <v>-0.66107366917199828</v>
      </c>
      <c r="E586" s="180">
        <v>1.1540333232915482E-2</v>
      </c>
      <c r="G586" s="78">
        <v>584</v>
      </c>
      <c r="H586" s="180">
        <f t="shared" ca="1" si="20"/>
        <v>4.5393967028758671E-3</v>
      </c>
    </row>
    <row r="587" spans="2:8" x14ac:dyDescent="0.3">
      <c r="B587" s="69">
        <v>45311</v>
      </c>
      <c r="C587" s="55">
        <v>3219.8</v>
      </c>
      <c r="D587" s="70">
        <f t="shared" si="19"/>
        <v>-0.36828887864311005</v>
      </c>
      <c r="E587" s="180">
        <v>1.1513752100906363E-2</v>
      </c>
      <c r="G587" s="78">
        <v>585</v>
      </c>
      <c r="H587" s="180">
        <f t="shared" ca="1" si="20"/>
        <v>-9.2471735170260496E-3</v>
      </c>
    </row>
    <row r="588" spans="2:8" x14ac:dyDescent="0.3">
      <c r="B588" s="69">
        <v>45733</v>
      </c>
      <c r="C588" s="55">
        <v>5096.95</v>
      </c>
      <c r="D588" s="70">
        <f t="shared" si="19"/>
        <v>-0.240663699510233</v>
      </c>
      <c r="E588" s="180">
        <v>1.1500297678110701E-2</v>
      </c>
      <c r="G588" s="78">
        <v>586</v>
      </c>
      <c r="H588" s="180">
        <f t="shared" ca="1" si="20"/>
        <v>-1.8770119659129676E-2</v>
      </c>
    </row>
    <row r="589" spans="2:8" x14ac:dyDescent="0.3">
      <c r="B589" s="69">
        <v>45524</v>
      </c>
      <c r="C589" s="55">
        <v>6712.375</v>
      </c>
      <c r="D589" s="70">
        <f t="shared" si="19"/>
        <v>3.4371271339095371</v>
      </c>
      <c r="E589" s="180">
        <v>1.1486328669484621E-2</v>
      </c>
      <c r="G589" s="78">
        <v>587</v>
      </c>
      <c r="H589" s="180">
        <f t="shared" ca="1" si="20"/>
        <v>1.0952526100712853E-4</v>
      </c>
    </row>
    <row r="590" spans="2:8" x14ac:dyDescent="0.3">
      <c r="B590" s="69">
        <v>45062</v>
      </c>
      <c r="C590" s="55">
        <v>1512.7750000000001</v>
      </c>
      <c r="D590" s="70">
        <f t="shared" si="19"/>
        <v>-0.78977483940675175</v>
      </c>
      <c r="E590" s="180">
        <v>1.1432965049225358E-2</v>
      </c>
      <c r="G590" s="78">
        <v>588</v>
      </c>
      <c r="H590" s="180">
        <f t="shared" ca="1" si="20"/>
        <v>-1.8320850077315834E-2</v>
      </c>
    </row>
    <row r="591" spans="2:8" x14ac:dyDescent="0.3">
      <c r="B591" s="69">
        <v>45659</v>
      </c>
      <c r="C591" s="55">
        <v>7195.9750000000004</v>
      </c>
      <c r="D591" s="70">
        <f t="shared" si="19"/>
        <v>4.4957326968973748</v>
      </c>
      <c r="E591" s="180">
        <v>1.1395100423055943E-2</v>
      </c>
      <c r="G591" s="78">
        <v>589</v>
      </c>
      <c r="H591" s="180">
        <f t="shared" ca="1" si="20"/>
        <v>-2.1674530265293947E-2</v>
      </c>
    </row>
    <row r="592" spans="2:8" x14ac:dyDescent="0.3">
      <c r="B592" s="69">
        <v>44776</v>
      </c>
      <c r="C592" s="55">
        <v>1309.375</v>
      </c>
      <c r="D592" s="70">
        <f t="shared" si="19"/>
        <v>2.8624631268436578</v>
      </c>
      <c r="E592" s="180">
        <v>1.137373035183247E-2</v>
      </c>
      <c r="G592" s="78">
        <v>590</v>
      </c>
      <c r="H592" s="180">
        <f t="shared" ca="1" si="20"/>
        <v>9.1042442652096989E-3</v>
      </c>
    </row>
    <row r="593" spans="2:8" x14ac:dyDescent="0.3">
      <c r="B593" s="69">
        <v>43433</v>
      </c>
      <c r="C593" s="55">
        <v>339</v>
      </c>
      <c r="D593" s="70">
        <f t="shared" si="19"/>
        <v>1.6263209173349356E-2</v>
      </c>
      <c r="E593" s="180">
        <v>1.1336515513126526E-2</v>
      </c>
      <c r="G593" s="78">
        <v>591</v>
      </c>
      <c r="H593" s="180">
        <f t="shared" ca="1" si="20"/>
        <v>2.7126212674416415E-2</v>
      </c>
    </row>
    <row r="594" spans="2:8" x14ac:dyDescent="0.3">
      <c r="B594" s="69">
        <v>43395</v>
      </c>
      <c r="C594" s="55">
        <v>333.57499999999999</v>
      </c>
      <c r="D594" s="70">
        <f t="shared" si="19"/>
        <v>-0.54329819277108438</v>
      </c>
      <c r="E594" s="180">
        <v>1.1293011975140111E-2</v>
      </c>
      <c r="G594" s="78">
        <v>592</v>
      </c>
      <c r="H594" s="180">
        <f t="shared" ca="1" si="20"/>
        <v>1.2326206344418833E-2</v>
      </c>
    </row>
    <row r="595" spans="2:8" x14ac:dyDescent="0.3">
      <c r="B595" s="69">
        <v>44301</v>
      </c>
      <c r="C595" s="55">
        <v>730.4</v>
      </c>
      <c r="D595" s="70">
        <f t="shared" si="19"/>
        <v>0.62745098039215674</v>
      </c>
      <c r="E595" s="180">
        <v>1.128418137763929E-2</v>
      </c>
      <c r="G595" s="78">
        <v>593</v>
      </c>
      <c r="H595" s="180">
        <f t="shared" ca="1" si="20"/>
        <v>1.3109074723119157E-2</v>
      </c>
    </row>
    <row r="596" spans="2:8" x14ac:dyDescent="0.3">
      <c r="B596" s="69">
        <v>43663</v>
      </c>
      <c r="C596" s="55">
        <v>448.8</v>
      </c>
      <c r="D596" s="70">
        <f t="shared" si="19"/>
        <v>-0.38115757178806575</v>
      </c>
      <c r="E596" s="180">
        <v>1.1266336187471963E-2</v>
      </c>
      <c r="G596" s="78">
        <v>594</v>
      </c>
      <c r="H596" s="180">
        <f t="shared" ca="1" si="20"/>
        <v>-8.7318377066067134E-3</v>
      </c>
    </row>
    <row r="597" spans="2:8" x14ac:dyDescent="0.3">
      <c r="B597" s="69">
        <v>44166</v>
      </c>
      <c r="C597" s="55">
        <v>725.22500000000002</v>
      </c>
      <c r="D597" s="70">
        <f t="shared" si="19"/>
        <v>0.4738098867042625</v>
      </c>
      <c r="E597" s="180">
        <v>1.1259848009482041E-2</v>
      </c>
      <c r="G597" s="78">
        <v>595</v>
      </c>
      <c r="H597" s="180">
        <f t="shared" ca="1" si="20"/>
        <v>2.5730420841668784E-2</v>
      </c>
    </row>
    <row r="598" spans="2:8" x14ac:dyDescent="0.3">
      <c r="B598" s="69">
        <v>43948</v>
      </c>
      <c r="C598" s="55">
        <v>492.07500000000005</v>
      </c>
      <c r="D598" s="70">
        <f t="shared" si="19"/>
        <v>-0.2826895043731778</v>
      </c>
      <c r="E598" s="180">
        <v>1.1251541307028406E-2</v>
      </c>
      <c r="G598" s="78">
        <v>596</v>
      </c>
      <c r="H598" s="180">
        <f t="shared" ca="1" si="20"/>
        <v>1.517082407245713E-2</v>
      </c>
    </row>
    <row r="599" spans="2:8" x14ac:dyDescent="0.3">
      <c r="B599" s="69">
        <v>44188</v>
      </c>
      <c r="C599" s="55">
        <v>686</v>
      </c>
      <c r="D599" s="70">
        <f t="shared" si="19"/>
        <v>-0.8537625239820934</v>
      </c>
      <c r="E599" s="180">
        <v>1.1202830188679279E-2</v>
      </c>
      <c r="G599" s="78">
        <v>597</v>
      </c>
      <c r="H599" s="180">
        <f t="shared" ca="1" si="20"/>
        <v>1.5927928388334379E-2</v>
      </c>
    </row>
    <row r="600" spans="2:8" x14ac:dyDescent="0.3">
      <c r="B600" s="69">
        <v>45940</v>
      </c>
      <c r="C600" s="55">
        <v>4691</v>
      </c>
      <c r="D600" s="70">
        <f t="shared" si="19"/>
        <v>5.4452306529728984</v>
      </c>
      <c r="E600" s="180">
        <v>1.1198413468274913E-2</v>
      </c>
      <c r="G600" s="78">
        <v>598</v>
      </c>
      <c r="H600" s="180">
        <f t="shared" ca="1" si="20"/>
        <v>3.4826069003348809E-2</v>
      </c>
    </row>
    <row r="601" spans="2:8" x14ac:dyDescent="0.3">
      <c r="B601" s="69">
        <v>44089</v>
      </c>
      <c r="C601" s="55">
        <v>727.82500000000005</v>
      </c>
      <c r="D601" s="70">
        <f t="shared" si="19"/>
        <v>-0.72983481811432815</v>
      </c>
      <c r="E601" s="180">
        <v>1.11840505713592E-2</v>
      </c>
      <c r="G601" s="78">
        <v>599</v>
      </c>
      <c r="H601" s="180">
        <f t="shared" ca="1" si="20"/>
        <v>1.3839779335180758E-2</v>
      </c>
    </row>
    <row r="602" spans="2:8" x14ac:dyDescent="0.3">
      <c r="B602" s="69">
        <v>45259</v>
      </c>
      <c r="C602" s="55">
        <v>2694</v>
      </c>
      <c r="D602" s="70">
        <f t="shared" si="19"/>
        <v>10.008274593931963</v>
      </c>
      <c r="E602" s="180">
        <v>1.1156881327940963E-2</v>
      </c>
      <c r="G602" s="78">
        <v>600</v>
      </c>
      <c r="H602" s="180">
        <f t="shared" ca="1" si="20"/>
        <v>2.1406045032368183E-2</v>
      </c>
    </row>
    <row r="603" spans="2:8" x14ac:dyDescent="0.3">
      <c r="B603" s="69">
        <v>42801</v>
      </c>
      <c r="C603" s="55">
        <v>244.72500000000002</v>
      </c>
      <c r="D603" s="70">
        <f t="shared" si="19"/>
        <v>-0.55585299455535386</v>
      </c>
      <c r="E603" s="180">
        <v>1.1155872327238992E-2</v>
      </c>
      <c r="G603" s="78">
        <v>601</v>
      </c>
      <c r="H603" s="180">
        <f t="shared" ca="1" si="20"/>
        <v>-3.4577661306635615E-2</v>
      </c>
    </row>
    <row r="604" spans="2:8" x14ac:dyDescent="0.3">
      <c r="B604" s="69">
        <v>43840</v>
      </c>
      <c r="C604" s="55">
        <v>551</v>
      </c>
      <c r="D604" s="70">
        <f t="shared" si="19"/>
        <v>-0.56556876194981576</v>
      </c>
      <c r="E604" s="180">
        <v>1.1148323163738214E-2</v>
      </c>
      <c r="G604" s="78">
        <v>602</v>
      </c>
      <c r="H604" s="180">
        <f t="shared" ca="1" si="20"/>
        <v>-5.3711340272167415E-3</v>
      </c>
    </row>
    <row r="605" spans="2:8" x14ac:dyDescent="0.3">
      <c r="B605" s="69">
        <v>44671</v>
      </c>
      <c r="C605" s="55">
        <v>1268.325</v>
      </c>
      <c r="D605" s="70">
        <f t="shared" si="19"/>
        <v>3.6079019073569483</v>
      </c>
      <c r="E605" s="180">
        <v>1.1141228524734035E-2</v>
      </c>
      <c r="G605" s="78">
        <v>603</v>
      </c>
      <c r="H605" s="180">
        <f t="shared" ca="1" si="20"/>
        <v>-2.8225522566995405E-2</v>
      </c>
    </row>
    <row r="606" spans="2:8" x14ac:dyDescent="0.3">
      <c r="B606" s="69">
        <v>42963</v>
      </c>
      <c r="C606" s="55">
        <v>275.25</v>
      </c>
      <c r="D606" s="70">
        <f t="shared" si="19"/>
        <v>7.9305950397019875E-2</v>
      </c>
      <c r="E606" s="180">
        <v>1.111213150886207E-2</v>
      </c>
      <c r="G606" s="78">
        <v>604</v>
      </c>
      <c r="H606" s="180">
        <f t="shared" ca="1" si="20"/>
        <v>-1.52445992991987E-2</v>
      </c>
    </row>
    <row r="607" spans="2:8" x14ac:dyDescent="0.3">
      <c r="B607" s="69">
        <v>42859</v>
      </c>
      <c r="C607" s="55">
        <v>255.02500000000001</v>
      </c>
      <c r="D607" s="70">
        <f t="shared" si="19"/>
        <v>-0.24206850434653396</v>
      </c>
      <c r="E607" s="180">
        <v>1.1101199325998658E-2</v>
      </c>
      <c r="G607" s="78">
        <v>605</v>
      </c>
      <c r="H607" s="180">
        <f t="shared" ca="1" si="20"/>
        <v>2.1043365348753459E-4</v>
      </c>
    </row>
    <row r="608" spans="2:8" x14ac:dyDescent="0.3">
      <c r="B608" s="69">
        <v>43101</v>
      </c>
      <c r="C608" s="55">
        <v>336.47500000000002</v>
      </c>
      <c r="D608" s="70">
        <f t="shared" si="19"/>
        <v>-3.5404572493370506E-2</v>
      </c>
      <c r="E608" s="180">
        <v>1.1042668269230803E-2</v>
      </c>
      <c r="G608" s="78">
        <v>606</v>
      </c>
      <c r="H608" s="180">
        <f t="shared" ca="1" si="20"/>
        <v>-1.986983154221449E-2</v>
      </c>
    </row>
    <row r="609" spans="2:8" x14ac:dyDescent="0.3">
      <c r="B609" s="69">
        <v>43565</v>
      </c>
      <c r="C609" s="55">
        <v>348.82499999999999</v>
      </c>
      <c r="D609" s="70">
        <f t="shared" si="19"/>
        <v>-1.3991944032223839E-2</v>
      </c>
      <c r="E609" s="180">
        <v>1.1013694659807295E-2</v>
      </c>
      <c r="G609" s="78">
        <v>607</v>
      </c>
      <c r="H609" s="180">
        <f t="shared" ca="1" si="20"/>
        <v>-2.3303936059894087E-2</v>
      </c>
    </row>
    <row r="610" spans="2:8" x14ac:dyDescent="0.3">
      <c r="B610" s="69">
        <v>43222</v>
      </c>
      <c r="C610" s="55">
        <v>353.77499999999998</v>
      </c>
      <c r="D610" s="70">
        <f t="shared" si="19"/>
        <v>-0.75572664031347636</v>
      </c>
      <c r="E610" s="180">
        <v>1.1002357648067345E-2</v>
      </c>
      <c r="G610" s="78">
        <v>608</v>
      </c>
      <c r="H610" s="180">
        <f t="shared" ca="1" si="20"/>
        <v>6.202832230684365E-3</v>
      </c>
    </row>
    <row r="611" spans="2:8" x14ac:dyDescent="0.3">
      <c r="B611" s="69">
        <v>44894</v>
      </c>
      <c r="C611" s="55">
        <v>1448.2750000000001</v>
      </c>
      <c r="D611" s="70">
        <f t="shared" si="19"/>
        <v>-0.51761149785164706</v>
      </c>
      <c r="E611" s="180">
        <v>1.0994572520549379E-2</v>
      </c>
      <c r="G611" s="78">
        <v>609</v>
      </c>
      <c r="H611" s="180">
        <f t="shared" ca="1" si="20"/>
        <v>-3.959178412645184E-2</v>
      </c>
    </row>
    <row r="612" spans="2:8" x14ac:dyDescent="0.3">
      <c r="B612" s="69">
        <v>45275</v>
      </c>
      <c r="C612" s="55">
        <v>3002.3</v>
      </c>
      <c r="D612" s="70">
        <f t="shared" si="19"/>
        <v>-0.46661336886520094</v>
      </c>
      <c r="E612" s="180">
        <v>1.0960518562168594E-2</v>
      </c>
      <c r="G612" s="78">
        <v>610</v>
      </c>
      <c r="H612" s="180">
        <f t="shared" ca="1" si="20"/>
        <v>1.514577208024058E-2</v>
      </c>
    </row>
    <row r="613" spans="2:8" x14ac:dyDescent="0.3">
      <c r="B613" s="69">
        <v>45806</v>
      </c>
      <c r="C613" s="55">
        <v>5628.75</v>
      </c>
      <c r="D613" s="70">
        <f t="shared" si="19"/>
        <v>-0.20084760201039267</v>
      </c>
      <c r="E613" s="180">
        <v>1.0955951686049122E-2</v>
      </c>
      <c r="G613" s="78">
        <v>611</v>
      </c>
      <c r="H613" s="180">
        <f t="shared" ca="1" si="20"/>
        <v>-5.6114218115742363E-4</v>
      </c>
    </row>
    <row r="614" spans="2:8" x14ac:dyDescent="0.3">
      <c r="B614" s="69">
        <v>45638</v>
      </c>
      <c r="C614" s="55">
        <v>7043.4</v>
      </c>
      <c r="D614" s="70">
        <f t="shared" si="19"/>
        <v>3.9625871908687373</v>
      </c>
      <c r="E614" s="180">
        <v>1.0907942704595689E-2</v>
      </c>
      <c r="G614" s="78">
        <v>612</v>
      </c>
      <c r="H614" s="180">
        <f t="shared" ca="1" si="20"/>
        <v>-1.0903606408715865E-2</v>
      </c>
    </row>
    <row r="615" spans="2:8" x14ac:dyDescent="0.3">
      <c r="B615" s="69">
        <v>44838</v>
      </c>
      <c r="C615" s="55">
        <v>1419.3000000000002</v>
      </c>
      <c r="D615" s="70">
        <f t="shared" si="19"/>
        <v>-0.11227170377783324</v>
      </c>
      <c r="E615" s="180">
        <v>1.0897435897436027E-2</v>
      </c>
      <c r="G615" s="78">
        <v>613</v>
      </c>
      <c r="H615" s="180">
        <f t="shared" ca="1" si="20"/>
        <v>1.678178460957299E-2</v>
      </c>
    </row>
    <row r="616" spans="2:8" x14ac:dyDescent="0.3">
      <c r="B616" s="69">
        <v>45082</v>
      </c>
      <c r="C616" s="55">
        <v>1598.8</v>
      </c>
      <c r="D616" s="70">
        <f t="shared" si="19"/>
        <v>8.3087762083798977E-2</v>
      </c>
      <c r="E616" s="180">
        <v>1.0891042157343097E-2</v>
      </c>
      <c r="G616" s="78">
        <v>614</v>
      </c>
      <c r="H616" s="180">
        <f t="shared" ca="1" si="20"/>
        <v>-2.5107753360933864E-3</v>
      </c>
    </row>
    <row r="617" spans="2:8" x14ac:dyDescent="0.3">
      <c r="B617" s="69">
        <v>45058</v>
      </c>
      <c r="C617" s="55">
        <v>1476.15</v>
      </c>
      <c r="D617" s="70">
        <f t="shared" si="19"/>
        <v>0.2062759198349304</v>
      </c>
      <c r="E617" s="180">
        <v>1.0853934123125479E-2</v>
      </c>
      <c r="G617" s="78">
        <v>615</v>
      </c>
      <c r="H617" s="180">
        <f t="shared" ca="1" si="20"/>
        <v>-4.8353508440582421E-2</v>
      </c>
    </row>
    <row r="618" spans="2:8" x14ac:dyDescent="0.3">
      <c r="B618" s="69">
        <v>44960</v>
      </c>
      <c r="C618" s="55">
        <v>1223.7249999999999</v>
      </c>
      <c r="D618" s="70">
        <f t="shared" si="19"/>
        <v>-0.70258955913089982</v>
      </c>
      <c r="E618" s="180">
        <v>1.0779110826604765E-2</v>
      </c>
      <c r="G618" s="78">
        <v>616</v>
      </c>
      <c r="H618" s="180">
        <f t="shared" ca="1" si="20"/>
        <v>2.4624100138131284E-2</v>
      </c>
    </row>
    <row r="619" spans="2:8" x14ac:dyDescent="0.3">
      <c r="B619" s="69">
        <v>46007</v>
      </c>
      <c r="C619" s="55">
        <v>4114.6000000000004</v>
      </c>
      <c r="D619" s="70">
        <f t="shared" si="19"/>
        <v>0.43155111377849698</v>
      </c>
      <c r="E619" s="180">
        <v>1.074714126042484E-2</v>
      </c>
      <c r="G619" s="78">
        <v>617</v>
      </c>
      <c r="H619" s="180">
        <f t="shared" ca="1" si="20"/>
        <v>1.8141309045329138E-2</v>
      </c>
    </row>
    <row r="620" spans="2:8" x14ac:dyDescent="0.3">
      <c r="B620" s="69">
        <v>45271</v>
      </c>
      <c r="C620" s="55">
        <v>2874.2249999999999</v>
      </c>
      <c r="D620" s="70">
        <f t="shared" si="19"/>
        <v>-0.59449421557562077</v>
      </c>
      <c r="E620" s="180">
        <v>1.0716483516483485E-2</v>
      </c>
      <c r="G620" s="78">
        <v>618</v>
      </c>
      <c r="H620" s="180">
        <f t="shared" ca="1" si="20"/>
        <v>-8.5579358818700935E-3</v>
      </c>
    </row>
    <row r="621" spans="2:8" x14ac:dyDescent="0.3">
      <c r="B621" s="69">
        <v>45645</v>
      </c>
      <c r="C621" s="55">
        <v>7088</v>
      </c>
      <c r="D621" s="70">
        <f t="shared" si="19"/>
        <v>2.7473463337911584E-2</v>
      </c>
      <c r="E621" s="180">
        <v>1.0708836572601972E-2</v>
      </c>
      <c r="G621" s="78">
        <v>619</v>
      </c>
      <c r="H621" s="180">
        <f t="shared" ca="1" si="20"/>
        <v>7.8625180893349047E-3</v>
      </c>
    </row>
    <row r="622" spans="2:8" x14ac:dyDescent="0.3">
      <c r="B622" s="69">
        <v>45631</v>
      </c>
      <c r="C622" s="55">
        <v>6898.4750000000004</v>
      </c>
      <c r="D622" s="70">
        <f t="shared" si="19"/>
        <v>4.9649589277993948</v>
      </c>
      <c r="E622" s="180">
        <v>1.0676717065166432E-2</v>
      </c>
      <c r="G622" s="78">
        <v>620</v>
      </c>
      <c r="H622" s="180">
        <f t="shared" ca="1" si="20"/>
        <v>1.1515841150120325E-2</v>
      </c>
    </row>
    <row r="623" spans="2:8" x14ac:dyDescent="0.3">
      <c r="B623" s="69">
        <v>44515</v>
      </c>
      <c r="C623" s="55">
        <v>1156.5</v>
      </c>
      <c r="D623" s="70">
        <f t="shared" si="19"/>
        <v>-0.70966284236688171</v>
      </c>
      <c r="E623" s="180">
        <v>1.0661539805994972E-2</v>
      </c>
      <c r="G623" s="78">
        <v>621</v>
      </c>
      <c r="H623" s="180">
        <f t="shared" ca="1" si="20"/>
        <v>1.1868511324361376E-2</v>
      </c>
    </row>
    <row r="624" spans="2:8" x14ac:dyDescent="0.3">
      <c r="B624" s="69">
        <v>45338</v>
      </c>
      <c r="C624" s="55">
        <v>3983.3</v>
      </c>
      <c r="D624" s="70">
        <f t="shared" si="19"/>
        <v>2.6893509620950748</v>
      </c>
      <c r="E624" s="180">
        <v>1.0656382411894552E-2</v>
      </c>
      <c r="G624" s="78">
        <v>622</v>
      </c>
      <c r="H624" s="180">
        <f t="shared" ca="1" si="20"/>
        <v>1.2196009791583237E-2</v>
      </c>
    </row>
    <row r="625" spans="2:8" x14ac:dyDescent="0.3">
      <c r="B625" s="69">
        <v>44704</v>
      </c>
      <c r="C625" s="55">
        <v>1079.675</v>
      </c>
      <c r="D625" s="70">
        <f t="shared" si="19"/>
        <v>2.2947055233445224</v>
      </c>
      <c r="E625" s="180">
        <v>1.0647758120378171E-2</v>
      </c>
      <c r="G625" s="78">
        <v>623</v>
      </c>
      <c r="H625" s="180">
        <f t="shared" ca="1" si="20"/>
        <v>-1.5564296815938549E-2</v>
      </c>
    </row>
    <row r="626" spans="2:8" x14ac:dyDescent="0.3">
      <c r="B626" s="69">
        <v>43523</v>
      </c>
      <c r="C626" s="55">
        <v>327.7</v>
      </c>
      <c r="D626" s="70">
        <f t="shared" si="19"/>
        <v>-0.64188727699915304</v>
      </c>
      <c r="E626" s="180">
        <v>1.0639938319198114E-2</v>
      </c>
      <c r="G626" s="78">
        <v>624</v>
      </c>
      <c r="H626" s="180">
        <f t="shared" ca="1" si="20"/>
        <v>7.4194197981815903E-3</v>
      </c>
    </row>
    <row r="627" spans="2:8" x14ac:dyDescent="0.3">
      <c r="B627" s="69">
        <v>44405</v>
      </c>
      <c r="C627" s="55">
        <v>915.07500000000005</v>
      </c>
      <c r="D627" s="70">
        <f t="shared" si="19"/>
        <v>-0.33235444330949943</v>
      </c>
      <c r="E627" s="180">
        <v>1.0574268360022137E-2</v>
      </c>
      <c r="G627" s="78">
        <v>625</v>
      </c>
      <c r="H627" s="180">
        <f t="shared" ca="1" si="20"/>
        <v>-2.4803416670742075E-2</v>
      </c>
    </row>
    <row r="628" spans="2:8" x14ac:dyDescent="0.3">
      <c r="B628" s="69">
        <v>45029</v>
      </c>
      <c r="C628" s="55">
        <v>1370.6</v>
      </c>
      <c r="D628" s="70">
        <f t="shared" si="19"/>
        <v>1.0991691235593675</v>
      </c>
      <c r="E628" s="180">
        <v>1.0562017290003736E-2</v>
      </c>
      <c r="G628" s="78">
        <v>626</v>
      </c>
      <c r="H628" s="180">
        <f t="shared" ca="1" si="20"/>
        <v>-1.3607373177887346E-2</v>
      </c>
    </row>
    <row r="629" spans="2:8" x14ac:dyDescent="0.3">
      <c r="B629" s="69">
        <v>44077</v>
      </c>
      <c r="C629" s="55">
        <v>652.92499999999995</v>
      </c>
      <c r="D629" s="70">
        <f t="shared" si="19"/>
        <v>-0.87880067567567566</v>
      </c>
      <c r="E629" s="180">
        <v>1.0524279357709351E-2</v>
      </c>
      <c r="G629" s="78">
        <v>627</v>
      </c>
      <c r="H629" s="180">
        <f t="shared" ca="1" si="20"/>
        <v>-3.0782933022962681E-3</v>
      </c>
    </row>
    <row r="630" spans="2:8" x14ac:dyDescent="0.3">
      <c r="B630" s="69">
        <v>45511</v>
      </c>
      <c r="C630" s="55">
        <v>5387.2000000000007</v>
      </c>
      <c r="D630" s="70">
        <f t="shared" si="19"/>
        <v>10.245590230664858</v>
      </c>
      <c r="E630" s="180">
        <v>1.0518417782363147E-2</v>
      </c>
      <c r="G630" s="78">
        <v>628</v>
      </c>
      <c r="H630" s="180">
        <f t="shared" ca="1" si="20"/>
        <v>3.3699368984979973E-2</v>
      </c>
    </row>
    <row r="631" spans="2:8" x14ac:dyDescent="0.3">
      <c r="B631" s="69">
        <v>43698</v>
      </c>
      <c r="C631" s="55">
        <v>479.05</v>
      </c>
      <c r="D631" s="70">
        <f t="shared" si="19"/>
        <v>-0.28977020014825794</v>
      </c>
      <c r="E631" s="180">
        <v>1.0494120128671671E-2</v>
      </c>
      <c r="G631" s="78">
        <v>629</v>
      </c>
      <c r="H631" s="180">
        <f t="shared" ca="1" si="20"/>
        <v>-3.7779683896708043E-2</v>
      </c>
    </row>
    <row r="632" spans="2:8" x14ac:dyDescent="0.3">
      <c r="B632" s="69">
        <v>44104</v>
      </c>
      <c r="C632" s="55">
        <v>674.5</v>
      </c>
      <c r="D632" s="70">
        <f t="shared" si="19"/>
        <v>-0.86507841254600737</v>
      </c>
      <c r="E632" s="180">
        <v>1.0486891385767791E-2</v>
      </c>
      <c r="G632" s="78">
        <v>630</v>
      </c>
      <c r="H632" s="180">
        <f t="shared" ca="1" si="20"/>
        <v>6.1287819741999055E-3</v>
      </c>
    </row>
    <row r="633" spans="2:8" x14ac:dyDescent="0.3">
      <c r="B633" s="69">
        <v>45455</v>
      </c>
      <c r="C633" s="55">
        <v>4999.2000000000007</v>
      </c>
      <c r="D633" s="70">
        <f t="shared" si="19"/>
        <v>7.4876061120543307</v>
      </c>
      <c r="E633" s="180">
        <v>1.0480358171546456E-2</v>
      </c>
      <c r="G633" s="78">
        <v>631</v>
      </c>
      <c r="H633" s="180">
        <f t="shared" ca="1" si="20"/>
        <v>-1.3086861308332941E-2</v>
      </c>
    </row>
    <row r="634" spans="2:8" x14ac:dyDescent="0.3">
      <c r="B634" s="69">
        <v>43859</v>
      </c>
      <c r="C634" s="55">
        <v>589</v>
      </c>
      <c r="D634" s="70">
        <f t="shared" si="19"/>
        <v>0.54309667277967</v>
      </c>
      <c r="E634" s="180">
        <v>1.0464916795333715E-2</v>
      </c>
      <c r="G634" s="78">
        <v>632</v>
      </c>
      <c r="H634" s="180">
        <f t="shared" ca="1" si="20"/>
        <v>2.4793539726104638E-2</v>
      </c>
    </row>
    <row r="635" spans="2:8" x14ac:dyDescent="0.3">
      <c r="B635" s="69">
        <v>43608</v>
      </c>
      <c r="C635" s="55">
        <v>381.7</v>
      </c>
      <c r="D635" s="70">
        <f t="shared" si="19"/>
        <v>-0.94372281607077035</v>
      </c>
      <c r="E635" s="180">
        <v>1.0456651224354702E-2</v>
      </c>
      <c r="G635" s="78">
        <v>633</v>
      </c>
      <c r="H635" s="180">
        <f t="shared" ca="1" si="20"/>
        <v>-2.3749251144712519E-2</v>
      </c>
    </row>
    <row r="636" spans="2:8" x14ac:dyDescent="0.3">
      <c r="B636" s="69">
        <v>45525</v>
      </c>
      <c r="C636" s="55">
        <v>6782.5</v>
      </c>
      <c r="D636" s="70">
        <f t="shared" si="19"/>
        <v>7.1227544910179637</v>
      </c>
      <c r="E636" s="180">
        <v>1.0447121920333712E-2</v>
      </c>
      <c r="G636" s="78">
        <v>634</v>
      </c>
      <c r="H636" s="180">
        <f t="shared" ca="1" si="20"/>
        <v>-1.4419879473666982E-2</v>
      </c>
    </row>
    <row r="637" spans="2:8" x14ac:dyDescent="0.3">
      <c r="B637" s="69">
        <v>44344</v>
      </c>
      <c r="C637" s="55">
        <v>835</v>
      </c>
      <c r="D637" s="70">
        <f t="shared" si="19"/>
        <v>-0.83048094687049556</v>
      </c>
      <c r="E637" s="180">
        <v>1.0437150204205112E-2</v>
      </c>
      <c r="G637" s="78">
        <v>635</v>
      </c>
      <c r="H637" s="180">
        <f t="shared" ca="1" si="20"/>
        <v>2.975708893881416E-3</v>
      </c>
    </row>
    <row r="638" spans="2:8" x14ac:dyDescent="0.3">
      <c r="B638" s="69">
        <v>45450</v>
      </c>
      <c r="C638" s="55">
        <v>4925.7</v>
      </c>
      <c r="D638" s="70">
        <f t="shared" si="19"/>
        <v>-0.20273540241977908</v>
      </c>
      <c r="E638" s="180">
        <v>1.0436272071304936E-2</v>
      </c>
      <c r="G638" s="78">
        <v>636</v>
      </c>
      <c r="H638" s="180">
        <f t="shared" ca="1" si="20"/>
        <v>1.4937163598374633E-2</v>
      </c>
    </row>
    <row r="639" spans="2:8" x14ac:dyDescent="0.3">
      <c r="B639" s="69">
        <v>45839</v>
      </c>
      <c r="C639" s="55">
        <v>6178.25</v>
      </c>
      <c r="D639" s="70">
        <f t="shared" si="19"/>
        <v>1.0906722163003573</v>
      </c>
      <c r="E639" s="180">
        <v>1.0426036470684439E-2</v>
      </c>
      <c r="G639" s="78">
        <v>637</v>
      </c>
      <c r="H639" s="180">
        <f t="shared" ca="1" si="20"/>
        <v>4.8626700225887443E-2</v>
      </c>
    </row>
    <row r="640" spans="2:8" x14ac:dyDescent="0.3">
      <c r="B640" s="69">
        <v>45282</v>
      </c>
      <c r="C640" s="55">
        <v>2955.1499999999996</v>
      </c>
      <c r="D640" s="70">
        <f t="shared" si="19"/>
        <v>1.0944028065699249</v>
      </c>
      <c r="E640" s="180">
        <v>1.0411324238383363E-2</v>
      </c>
      <c r="G640" s="78">
        <v>638</v>
      </c>
      <c r="H640" s="180">
        <f t="shared" ca="1" si="20"/>
        <v>-1.3239222175139552E-2</v>
      </c>
    </row>
    <row r="641" spans="2:8" x14ac:dyDescent="0.3">
      <c r="B641" s="69">
        <v>44888</v>
      </c>
      <c r="C641" s="55">
        <v>1410.9749999999999</v>
      </c>
      <c r="D641" s="70">
        <f t="shared" si="19"/>
        <v>0.36286583598956823</v>
      </c>
      <c r="E641" s="180">
        <v>1.0401374914962843E-2</v>
      </c>
      <c r="G641" s="78">
        <v>639</v>
      </c>
      <c r="H641" s="180">
        <f t="shared" ca="1" si="20"/>
        <v>-7.2085306162693137E-3</v>
      </c>
    </row>
    <row r="642" spans="2:8" x14ac:dyDescent="0.3">
      <c r="B642" s="69">
        <v>44530</v>
      </c>
      <c r="C642" s="55">
        <v>1035.3</v>
      </c>
      <c r="D642" s="70">
        <f t="shared" si="19"/>
        <v>1.3258635214827295</v>
      </c>
      <c r="E642" s="180">
        <v>1.039379300248852E-2</v>
      </c>
      <c r="G642" s="78">
        <v>640</v>
      </c>
      <c r="H642" s="180">
        <f t="shared" ca="1" si="20"/>
        <v>-3.6700569774356623E-2</v>
      </c>
    </row>
    <row r="643" spans="2:8" x14ac:dyDescent="0.3">
      <c r="B643" s="69">
        <v>43657</v>
      </c>
      <c r="C643" s="55">
        <v>445.125</v>
      </c>
      <c r="D643" s="70">
        <f t="shared" ref="D643:D706" si="21">(C643-C644)/C644</f>
        <v>0.24947368421052632</v>
      </c>
      <c r="E643" s="180">
        <v>1.0384746339802494E-2</v>
      </c>
      <c r="G643" s="78">
        <v>641</v>
      </c>
      <c r="H643" s="180">
        <f t="shared" ca="1" si="20"/>
        <v>-7.0661425080563211E-3</v>
      </c>
    </row>
    <row r="644" spans="2:8" x14ac:dyDescent="0.3">
      <c r="B644" s="69">
        <v>43483</v>
      </c>
      <c r="C644" s="55">
        <v>356.25</v>
      </c>
      <c r="D644" s="70">
        <f t="shared" si="21"/>
        <v>0.11076467378595362</v>
      </c>
      <c r="E644" s="180">
        <v>1.0351673284174637E-2</v>
      </c>
      <c r="G644" s="78">
        <v>642</v>
      </c>
      <c r="H644" s="180">
        <f t="shared" ref="H644:H707" ca="1" si="22">_xlfn.NORM.INV(RAND(),$N$4,$N$5)</f>
        <v>1.3178693388813589E-3</v>
      </c>
    </row>
    <row r="645" spans="2:8" x14ac:dyDescent="0.3">
      <c r="B645" s="69">
        <v>43143</v>
      </c>
      <c r="C645" s="55">
        <v>320.72500000000002</v>
      </c>
      <c r="D645" s="70">
        <f t="shared" si="21"/>
        <v>-7.4453502633287511E-2</v>
      </c>
      <c r="E645" s="180">
        <v>1.0316585289022E-2</v>
      </c>
      <c r="G645" s="78">
        <v>643</v>
      </c>
      <c r="H645" s="180">
        <f t="shared" ca="1" si="22"/>
        <v>3.7992557175178035E-2</v>
      </c>
    </row>
    <row r="646" spans="2:8" x14ac:dyDescent="0.3">
      <c r="B646" s="69">
        <v>43063</v>
      </c>
      <c r="C646" s="55">
        <v>346.52499999999998</v>
      </c>
      <c r="D646" s="70">
        <f t="shared" si="21"/>
        <v>-0.75870412923891084</v>
      </c>
      <c r="E646" s="180">
        <v>1.0276967930029088E-2</v>
      </c>
      <c r="G646" s="78">
        <v>644</v>
      </c>
      <c r="H646" s="180">
        <f t="shared" ca="1" si="22"/>
        <v>1.0573094628058388E-2</v>
      </c>
    </row>
    <row r="647" spans="2:8" x14ac:dyDescent="0.3">
      <c r="B647" s="69">
        <v>44890</v>
      </c>
      <c r="C647" s="55">
        <v>1436.1</v>
      </c>
      <c r="D647" s="70">
        <f t="shared" si="21"/>
        <v>-0.79398569046210121</v>
      </c>
      <c r="E647" s="180">
        <v>1.0270840661273239E-2</v>
      </c>
      <c r="G647" s="78">
        <v>645</v>
      </c>
      <c r="H647" s="180">
        <f t="shared" ca="1" si="22"/>
        <v>-2.2173152056963286E-2</v>
      </c>
    </row>
    <row r="648" spans="2:8" x14ac:dyDescent="0.3">
      <c r="B648" s="69">
        <v>45527</v>
      </c>
      <c r="C648" s="55">
        <v>6970.875</v>
      </c>
      <c r="D648" s="70">
        <f t="shared" si="21"/>
        <v>3.0023396681403227</v>
      </c>
      <c r="E648" s="180">
        <v>1.0268078738845202E-2</v>
      </c>
      <c r="G648" s="78">
        <v>646</v>
      </c>
      <c r="H648" s="180">
        <f t="shared" ca="1" si="22"/>
        <v>-1.1329643250401289E-3</v>
      </c>
    </row>
    <row r="649" spans="2:8" x14ac:dyDescent="0.3">
      <c r="B649" s="69">
        <v>45113</v>
      </c>
      <c r="C649" s="55">
        <v>1741.7</v>
      </c>
      <c r="D649" s="70">
        <f t="shared" si="21"/>
        <v>-0.76447360858967472</v>
      </c>
      <c r="E649" s="180">
        <v>1.0266821345707684E-2</v>
      </c>
      <c r="G649" s="78">
        <v>647</v>
      </c>
      <c r="H649" s="180">
        <f t="shared" ca="1" si="22"/>
        <v>-1.3975914292228482E-2</v>
      </c>
    </row>
    <row r="650" spans="2:8" x14ac:dyDescent="0.3">
      <c r="B650" s="69">
        <v>45555</v>
      </c>
      <c r="C650" s="55">
        <v>7394.9250000000002</v>
      </c>
      <c r="D650" s="70">
        <f t="shared" si="21"/>
        <v>0.9418171075953522</v>
      </c>
      <c r="E650" s="180">
        <v>1.026670901769529E-2</v>
      </c>
      <c r="G650" s="78">
        <v>648</v>
      </c>
      <c r="H650" s="180">
        <f t="shared" ca="1" si="22"/>
        <v>-3.4205479745646004E-3</v>
      </c>
    </row>
    <row r="651" spans="2:8" x14ac:dyDescent="0.3">
      <c r="B651" s="69">
        <v>46044</v>
      </c>
      <c r="C651" s="55">
        <v>3808.25</v>
      </c>
      <c r="D651" s="70">
        <f t="shared" si="21"/>
        <v>-0.16198136147083747</v>
      </c>
      <c r="E651" s="180">
        <v>1.0253077249575577E-2</v>
      </c>
      <c r="G651" s="78">
        <v>649</v>
      </c>
      <c r="H651" s="180">
        <f t="shared" ca="1" si="22"/>
        <v>-1.5907922853460748E-3</v>
      </c>
    </row>
    <row r="652" spans="2:8" x14ac:dyDescent="0.3">
      <c r="B652" s="69">
        <v>45427</v>
      </c>
      <c r="C652" s="55">
        <v>4544.3500000000004</v>
      </c>
      <c r="D652" s="70">
        <f t="shared" si="21"/>
        <v>-0.40451168215114064</v>
      </c>
      <c r="E652" s="180">
        <v>1.0158603136496667E-2</v>
      </c>
      <c r="G652" s="78">
        <v>650</v>
      </c>
      <c r="H652" s="180">
        <f t="shared" ca="1" si="22"/>
        <v>2.145682109053048E-2</v>
      </c>
    </row>
    <row r="653" spans="2:8" x14ac:dyDescent="0.3">
      <c r="B653" s="69">
        <v>45559</v>
      </c>
      <c r="C653" s="55">
        <v>7631.3</v>
      </c>
      <c r="D653" s="70">
        <f t="shared" si="21"/>
        <v>0.49766214140978016</v>
      </c>
      <c r="E653" s="180">
        <v>1.0156097464119473E-2</v>
      </c>
      <c r="G653" s="78">
        <v>651</v>
      </c>
      <c r="H653" s="180">
        <f t="shared" ca="1" si="22"/>
        <v>-2.5038078020926157E-3</v>
      </c>
    </row>
    <row r="654" spans="2:8" x14ac:dyDescent="0.3">
      <c r="B654" s="69">
        <v>45709</v>
      </c>
      <c r="C654" s="55">
        <v>5095.4750000000004</v>
      </c>
      <c r="D654" s="70">
        <f t="shared" si="21"/>
        <v>2.6298374027176719</v>
      </c>
      <c r="E654" s="180">
        <v>1.0130095403295823E-2</v>
      </c>
      <c r="G654" s="78">
        <v>652</v>
      </c>
      <c r="H654" s="180">
        <f t="shared" ca="1" si="22"/>
        <v>3.3414379136928254E-2</v>
      </c>
    </row>
    <row r="655" spans="2:8" x14ac:dyDescent="0.3">
      <c r="B655" s="69">
        <v>44805</v>
      </c>
      <c r="C655" s="55">
        <v>1403.7750000000001</v>
      </c>
      <c r="D655" s="70">
        <f t="shared" si="21"/>
        <v>1.0075437969252772</v>
      </c>
      <c r="E655" s="180">
        <v>1.0128085198244423E-2</v>
      </c>
      <c r="G655" s="78">
        <v>653</v>
      </c>
      <c r="H655" s="180">
        <f t="shared" ca="1" si="22"/>
        <v>-1.9192137051642268E-2</v>
      </c>
    </row>
    <row r="656" spans="2:8" x14ac:dyDescent="0.3">
      <c r="B656" s="69">
        <v>43873</v>
      </c>
      <c r="C656" s="55">
        <v>699.25</v>
      </c>
      <c r="D656" s="70">
        <f t="shared" si="21"/>
        <v>0.88986486486486482</v>
      </c>
      <c r="E656" s="180">
        <v>1.0111953773925604E-2</v>
      </c>
      <c r="G656" s="78">
        <v>654</v>
      </c>
      <c r="H656" s="180">
        <f t="shared" ca="1" si="22"/>
        <v>1.7979370412588021E-2</v>
      </c>
    </row>
    <row r="657" spans="2:8" x14ac:dyDescent="0.3">
      <c r="B657" s="69">
        <v>43600</v>
      </c>
      <c r="C657" s="55">
        <v>370</v>
      </c>
      <c r="D657" s="70">
        <f t="shared" si="21"/>
        <v>-0.93397573162027125</v>
      </c>
      <c r="E657" s="180">
        <v>1.0101010101010227E-2</v>
      </c>
      <c r="G657" s="78">
        <v>655</v>
      </c>
      <c r="H657" s="180">
        <f t="shared" ca="1" si="22"/>
        <v>3.8490485968295365E-2</v>
      </c>
    </row>
    <row r="658" spans="2:8" x14ac:dyDescent="0.3">
      <c r="B658" s="69">
        <v>45484</v>
      </c>
      <c r="C658" s="55">
        <v>5604</v>
      </c>
      <c r="D658" s="70">
        <f t="shared" si="21"/>
        <v>4.4274714897944358</v>
      </c>
      <c r="E658" s="180">
        <v>1.0048213400621817E-2</v>
      </c>
      <c r="G658" s="78">
        <v>656</v>
      </c>
      <c r="H658" s="180">
        <f t="shared" ca="1" si="22"/>
        <v>-6.1661537178509321E-5</v>
      </c>
    </row>
    <row r="659" spans="2:8" x14ac:dyDescent="0.3">
      <c r="B659" s="69">
        <v>44532</v>
      </c>
      <c r="C659" s="55">
        <v>1032.5250000000001</v>
      </c>
      <c r="D659" s="70">
        <f t="shared" si="21"/>
        <v>-0.40540735088754837</v>
      </c>
      <c r="E659" s="180">
        <v>1.0026656232422894E-2</v>
      </c>
      <c r="G659" s="78">
        <v>657</v>
      </c>
      <c r="H659" s="180">
        <f t="shared" ca="1" si="22"/>
        <v>-1.0703052910549897E-2</v>
      </c>
    </row>
    <row r="660" spans="2:8" x14ac:dyDescent="0.3">
      <c r="B660" s="69">
        <v>45103</v>
      </c>
      <c r="C660" s="55">
        <v>1736.5250000000001</v>
      </c>
      <c r="D660" s="70">
        <f t="shared" si="21"/>
        <v>1.9791130554125922</v>
      </c>
      <c r="E660" s="180">
        <v>1.0018612225905839E-2</v>
      </c>
      <c r="G660" s="78">
        <v>658</v>
      </c>
      <c r="H660" s="180">
        <f t="shared" ca="1" si="22"/>
        <v>-5.231862913471004E-3</v>
      </c>
    </row>
    <row r="661" spans="2:8" x14ac:dyDescent="0.3">
      <c r="B661" s="69">
        <v>43858</v>
      </c>
      <c r="C661" s="55">
        <v>582.9</v>
      </c>
      <c r="D661" s="70">
        <f t="shared" si="21"/>
        <v>-0.8727646779553726</v>
      </c>
      <c r="E661" s="180">
        <v>1.0006497725795932E-2</v>
      </c>
      <c r="G661" s="78">
        <v>659</v>
      </c>
      <c r="H661" s="180">
        <f t="shared" ca="1" si="22"/>
        <v>-4.6815661649893094E-3</v>
      </c>
    </row>
    <row r="662" spans="2:8" x14ac:dyDescent="0.3">
      <c r="B662" s="69">
        <v>45415</v>
      </c>
      <c r="C662" s="55">
        <v>4581.2749999999996</v>
      </c>
      <c r="D662" s="70">
        <f t="shared" si="21"/>
        <v>-0.13200549450549456</v>
      </c>
      <c r="E662" s="180">
        <v>1.0003527414625544E-2</v>
      </c>
      <c r="G662" s="78">
        <v>660</v>
      </c>
      <c r="H662" s="180">
        <f t="shared" ca="1" si="22"/>
        <v>-1.2109346240382222E-3</v>
      </c>
    </row>
    <row r="663" spans="2:8" x14ac:dyDescent="0.3">
      <c r="B663" s="69">
        <v>45874</v>
      </c>
      <c r="C663" s="55">
        <v>5278</v>
      </c>
      <c r="D663" s="70">
        <f t="shared" si="21"/>
        <v>2.338387559623073E-2</v>
      </c>
      <c r="E663" s="180">
        <v>9.9985647993111031E-3</v>
      </c>
      <c r="G663" s="78">
        <v>661</v>
      </c>
      <c r="H663" s="180">
        <f t="shared" ca="1" si="22"/>
        <v>1.6561900403722244E-2</v>
      </c>
    </row>
    <row r="664" spans="2:8" x14ac:dyDescent="0.3">
      <c r="B664" s="69">
        <v>45741</v>
      </c>
      <c r="C664" s="55">
        <v>5157.3999999999996</v>
      </c>
      <c r="D664" s="70">
        <f t="shared" si="21"/>
        <v>0.21402005555293976</v>
      </c>
      <c r="E664" s="180">
        <v>9.9726327848465458E-3</v>
      </c>
      <c r="G664" s="78">
        <v>662</v>
      </c>
      <c r="H664" s="180">
        <f t="shared" ca="1" si="22"/>
        <v>-2.2932101833640334E-2</v>
      </c>
    </row>
    <row r="665" spans="2:8" x14ac:dyDescent="0.3">
      <c r="B665" s="69">
        <v>46015</v>
      </c>
      <c r="C665" s="55">
        <v>4248.2000000000007</v>
      </c>
      <c r="D665" s="70">
        <f t="shared" si="21"/>
        <v>1.132791123829606</v>
      </c>
      <c r="E665" s="180">
        <v>9.9492434058032174E-3</v>
      </c>
      <c r="G665" s="78">
        <v>663</v>
      </c>
      <c r="H665" s="180">
        <f t="shared" ca="1" si="22"/>
        <v>-1.5676126390612379E-4</v>
      </c>
    </row>
    <row r="666" spans="2:8" x14ac:dyDescent="0.3">
      <c r="B666" s="69">
        <v>45156</v>
      </c>
      <c r="C666" s="55">
        <v>1991.85</v>
      </c>
      <c r="D666" s="70">
        <f t="shared" si="21"/>
        <v>-0.5480258679373724</v>
      </c>
      <c r="E666" s="180">
        <v>9.9250865117693106E-3</v>
      </c>
      <c r="G666" s="78">
        <v>664</v>
      </c>
      <c r="H666" s="180">
        <f t="shared" ca="1" si="22"/>
        <v>2.0261773787318077E-3</v>
      </c>
    </row>
    <row r="667" spans="2:8" x14ac:dyDescent="0.3">
      <c r="B667" s="69">
        <v>46027</v>
      </c>
      <c r="C667" s="55">
        <v>4407</v>
      </c>
      <c r="D667" s="70">
        <f t="shared" si="21"/>
        <v>1.0910039855760107</v>
      </c>
      <c r="E667" s="180">
        <v>9.9112002291606993E-3</v>
      </c>
      <c r="G667" s="78">
        <v>665</v>
      </c>
      <c r="H667" s="180">
        <f t="shared" ca="1" si="22"/>
        <v>-1.6941974934791777E-2</v>
      </c>
    </row>
    <row r="668" spans="2:8" x14ac:dyDescent="0.3">
      <c r="B668" s="69">
        <v>45229</v>
      </c>
      <c r="C668" s="55">
        <v>2107.6</v>
      </c>
      <c r="D668" s="70">
        <f t="shared" si="21"/>
        <v>2.7944009361778734</v>
      </c>
      <c r="E668" s="180">
        <v>9.8464339618119963E-3</v>
      </c>
      <c r="G668" s="78">
        <v>666</v>
      </c>
      <c r="H668" s="180">
        <f t="shared" ca="1" si="22"/>
        <v>-1.6182089153167027E-3</v>
      </c>
    </row>
    <row r="669" spans="2:8" x14ac:dyDescent="0.3">
      <c r="B669" s="69">
        <v>44041</v>
      </c>
      <c r="C669" s="55">
        <v>555.45000000000005</v>
      </c>
      <c r="D669" s="70">
        <f t="shared" si="21"/>
        <v>0.68714405042144433</v>
      </c>
      <c r="E669" s="180">
        <v>9.7713948097986631E-3</v>
      </c>
      <c r="G669" s="78">
        <v>667</v>
      </c>
      <c r="H669" s="180">
        <f t="shared" ca="1" si="22"/>
        <v>3.0319689695285274E-2</v>
      </c>
    </row>
    <row r="670" spans="2:8" x14ac:dyDescent="0.3">
      <c r="B670" s="69">
        <v>43301</v>
      </c>
      <c r="C670" s="55">
        <v>329.22500000000002</v>
      </c>
      <c r="D670" s="70">
        <f t="shared" si="21"/>
        <v>-0.64167936438833262</v>
      </c>
      <c r="E670" s="180">
        <v>9.7377702806318387E-3</v>
      </c>
      <c r="G670" s="78">
        <v>668</v>
      </c>
      <c r="H670" s="180">
        <f t="shared" ca="1" si="22"/>
        <v>3.7749195413114738E-3</v>
      </c>
    </row>
    <row r="671" spans="2:8" x14ac:dyDescent="0.3">
      <c r="B671" s="69">
        <v>44390</v>
      </c>
      <c r="C671" s="55">
        <v>918.8</v>
      </c>
      <c r="D671" s="70">
        <f t="shared" si="21"/>
        <v>0.37565503817936813</v>
      </c>
      <c r="E671" s="180">
        <v>9.7258091103905805E-3</v>
      </c>
      <c r="G671" s="78">
        <v>669</v>
      </c>
      <c r="H671" s="180">
        <f t="shared" ca="1" si="22"/>
        <v>-9.4076005892111611E-3</v>
      </c>
    </row>
    <row r="672" spans="2:8" x14ac:dyDescent="0.3">
      <c r="B672" s="69">
        <v>44138</v>
      </c>
      <c r="C672" s="55">
        <v>667.9</v>
      </c>
      <c r="D672" s="70">
        <f t="shared" si="21"/>
        <v>1.4591310751104563</v>
      </c>
      <c r="E672" s="180">
        <v>9.713141086208783E-3</v>
      </c>
      <c r="G672" s="78">
        <v>670</v>
      </c>
      <c r="H672" s="180">
        <f t="shared" ca="1" si="22"/>
        <v>9.8373827018728675E-3</v>
      </c>
    </row>
    <row r="673" spans="2:8" x14ac:dyDescent="0.3">
      <c r="B673" s="69">
        <v>42835</v>
      </c>
      <c r="C673" s="55">
        <v>271.60000000000002</v>
      </c>
      <c r="D673" s="70">
        <f t="shared" si="21"/>
        <v>-0.91555382821609022</v>
      </c>
      <c r="E673" s="180">
        <v>9.6654275092937642E-3</v>
      </c>
      <c r="G673" s="78">
        <v>671</v>
      </c>
      <c r="H673" s="180">
        <f t="shared" ca="1" si="22"/>
        <v>-2.6391347652393992E-2</v>
      </c>
    </row>
    <row r="674" spans="2:8" x14ac:dyDescent="0.3">
      <c r="B674" s="69">
        <v>45316</v>
      </c>
      <c r="C674" s="55">
        <v>3216.25</v>
      </c>
      <c r="D674" s="70">
        <f t="shared" si="21"/>
        <v>10.428444523407656</v>
      </c>
      <c r="E674" s="180">
        <v>9.6055750003923562E-3</v>
      </c>
      <c r="G674" s="78">
        <v>672</v>
      </c>
      <c r="H674" s="180">
        <f t="shared" ca="1" si="22"/>
        <v>1.3804184815469705E-3</v>
      </c>
    </row>
    <row r="675" spans="2:8" x14ac:dyDescent="0.3">
      <c r="B675" s="69">
        <v>42954</v>
      </c>
      <c r="C675" s="55">
        <v>281.42500000000001</v>
      </c>
      <c r="D675" s="70">
        <f t="shared" si="21"/>
        <v>-0.88853020685830841</v>
      </c>
      <c r="E675" s="180">
        <v>9.5964125560538526E-3</v>
      </c>
      <c r="G675" s="78">
        <v>673</v>
      </c>
      <c r="H675" s="180">
        <f t="shared" ca="1" si="22"/>
        <v>-2.2079479722593113E-2</v>
      </c>
    </row>
    <row r="676" spans="2:8" x14ac:dyDescent="0.3">
      <c r="B676" s="69">
        <v>45243</v>
      </c>
      <c r="C676" s="55">
        <v>2524.6750000000002</v>
      </c>
      <c r="D676" s="70">
        <f t="shared" si="21"/>
        <v>0.75932475043988779</v>
      </c>
      <c r="E676" s="180">
        <v>9.5873155516456848E-3</v>
      </c>
      <c r="G676" s="78">
        <v>674</v>
      </c>
      <c r="H676" s="180">
        <f t="shared" ca="1" si="22"/>
        <v>-1.9212587982591026E-2</v>
      </c>
    </row>
    <row r="677" spans="2:8" x14ac:dyDescent="0.3">
      <c r="B677" s="69">
        <v>45055</v>
      </c>
      <c r="C677" s="55">
        <v>1435.0250000000001</v>
      </c>
      <c r="D677" s="70">
        <f t="shared" si="21"/>
        <v>-1.1111876787375529E-2</v>
      </c>
      <c r="E677" s="180">
        <v>9.5323519583532471E-3</v>
      </c>
      <c r="G677" s="78">
        <v>675</v>
      </c>
      <c r="H677" s="180">
        <f t="shared" ca="1" si="22"/>
        <v>1.2009032829713938E-2</v>
      </c>
    </row>
    <row r="678" spans="2:8" x14ac:dyDescent="0.3">
      <c r="B678" s="69">
        <v>44818</v>
      </c>
      <c r="C678" s="55">
        <v>1451.15</v>
      </c>
      <c r="D678" s="70">
        <f t="shared" si="21"/>
        <v>0.22274182676103799</v>
      </c>
      <c r="E678" s="180">
        <v>9.4956521739131064E-3</v>
      </c>
      <c r="G678" s="78">
        <v>676</v>
      </c>
      <c r="H678" s="180">
        <f t="shared" ca="1" si="22"/>
        <v>8.1611038410774692E-3</v>
      </c>
    </row>
    <row r="679" spans="2:8" x14ac:dyDescent="0.3">
      <c r="B679" s="69">
        <v>44957</v>
      </c>
      <c r="C679" s="55">
        <v>1186.8000000000002</v>
      </c>
      <c r="D679" s="70">
        <f t="shared" si="21"/>
        <v>9.0132500516683339E-2</v>
      </c>
      <c r="E679" s="180">
        <v>9.4841151703313822E-3</v>
      </c>
      <c r="G679" s="78">
        <v>677</v>
      </c>
      <c r="H679" s="180">
        <f t="shared" ca="1" si="22"/>
        <v>-1.2873671052927454E-2</v>
      </c>
    </row>
    <row r="680" spans="2:8" x14ac:dyDescent="0.3">
      <c r="B680" s="69">
        <v>44595</v>
      </c>
      <c r="C680" s="55">
        <v>1088.675</v>
      </c>
      <c r="D680" s="70">
        <f t="shared" si="21"/>
        <v>-0.18544359439591487</v>
      </c>
      <c r="E680" s="180">
        <v>9.4811998701839761E-3</v>
      </c>
      <c r="G680" s="78">
        <v>678</v>
      </c>
      <c r="H680" s="180">
        <f t="shared" ca="1" si="22"/>
        <v>-2.9182739312443848E-2</v>
      </c>
    </row>
    <row r="681" spans="2:8" x14ac:dyDescent="0.3">
      <c r="B681" s="69">
        <v>45000</v>
      </c>
      <c r="C681" s="55">
        <v>1336.5250000000001</v>
      </c>
      <c r="D681" s="70">
        <f t="shared" si="21"/>
        <v>0.23529275844539954</v>
      </c>
      <c r="E681" s="180">
        <v>9.4790309484697084E-3</v>
      </c>
      <c r="G681" s="78">
        <v>679</v>
      </c>
      <c r="H681" s="180">
        <f t="shared" ca="1" si="22"/>
        <v>7.3632019894073622E-3</v>
      </c>
    </row>
    <row r="682" spans="2:8" x14ac:dyDescent="0.3">
      <c r="B682" s="69">
        <v>44568</v>
      </c>
      <c r="C682" s="55">
        <v>1081.95</v>
      </c>
      <c r="D682" s="70">
        <f t="shared" si="21"/>
        <v>-0.11169950738916253</v>
      </c>
      <c r="E682" s="180">
        <v>9.446504793226505E-3</v>
      </c>
      <c r="G682" s="78">
        <v>680</v>
      </c>
      <c r="H682" s="180">
        <f t="shared" ca="1" si="22"/>
        <v>1.4099814343386448E-2</v>
      </c>
    </row>
    <row r="683" spans="2:8" x14ac:dyDescent="0.3">
      <c r="B683" s="69">
        <v>44762</v>
      </c>
      <c r="C683" s="55">
        <v>1218</v>
      </c>
      <c r="D683" s="70">
        <f t="shared" si="21"/>
        <v>3.980067463968108</v>
      </c>
      <c r="E683" s="180">
        <v>9.4062072680561118E-3</v>
      </c>
      <c r="G683" s="78">
        <v>681</v>
      </c>
      <c r="H683" s="180">
        <f t="shared" ca="1" si="22"/>
        <v>-1.2774450217640084E-2</v>
      </c>
    </row>
    <row r="684" spans="2:8" x14ac:dyDescent="0.3">
      <c r="B684" s="69">
        <v>42881</v>
      </c>
      <c r="C684" s="55">
        <v>244.57499999999999</v>
      </c>
      <c r="D684" s="70">
        <f t="shared" si="21"/>
        <v>-0.69150479313824409</v>
      </c>
      <c r="E684" s="180">
        <v>9.3891869583160436E-3</v>
      </c>
      <c r="G684" s="78">
        <v>682</v>
      </c>
      <c r="H684" s="180">
        <f t="shared" ca="1" si="22"/>
        <v>9.4501573867490415E-3</v>
      </c>
    </row>
    <row r="685" spans="2:8" x14ac:dyDescent="0.3">
      <c r="B685" s="69">
        <v>44321</v>
      </c>
      <c r="C685" s="55">
        <v>792.8</v>
      </c>
      <c r="D685" s="70">
        <f t="shared" si="21"/>
        <v>0.79956872091703535</v>
      </c>
      <c r="E685" s="180">
        <v>9.29344366645443E-3</v>
      </c>
      <c r="G685" s="78">
        <v>683</v>
      </c>
      <c r="H685" s="180">
        <f t="shared" ca="1" si="22"/>
        <v>-4.747069277192404E-2</v>
      </c>
    </row>
    <row r="686" spans="2:8" x14ac:dyDescent="0.3">
      <c r="B686" s="69">
        <v>43656</v>
      </c>
      <c r="C686" s="55">
        <v>440.55</v>
      </c>
      <c r="D686" s="70">
        <f t="shared" si="21"/>
        <v>-0.11017976166431026</v>
      </c>
      <c r="E686" s="180">
        <v>9.2783505154639435E-3</v>
      </c>
      <c r="G686" s="78">
        <v>684</v>
      </c>
      <c r="H686" s="180">
        <f t="shared" ca="1" si="22"/>
        <v>6.1990998813908358E-3</v>
      </c>
    </row>
    <row r="687" spans="2:8" x14ac:dyDescent="0.3">
      <c r="B687" s="69">
        <v>43742</v>
      </c>
      <c r="C687" s="55">
        <v>495.1</v>
      </c>
      <c r="D687" s="70">
        <f t="shared" si="21"/>
        <v>-0.53721403033206361</v>
      </c>
      <c r="E687" s="180">
        <v>9.2753032310671918E-3</v>
      </c>
      <c r="G687" s="78">
        <v>685</v>
      </c>
      <c r="H687" s="180">
        <f t="shared" ca="1" si="22"/>
        <v>-2.7771906613333036E-2</v>
      </c>
    </row>
    <row r="688" spans="2:8" x14ac:dyDescent="0.3">
      <c r="B688" s="69">
        <v>44628</v>
      </c>
      <c r="C688" s="55">
        <v>1069.8249999999998</v>
      </c>
      <c r="D688" s="70">
        <f t="shared" si="21"/>
        <v>0.39750498024231717</v>
      </c>
      <c r="E688" s="180">
        <v>9.2688679245281295E-3</v>
      </c>
      <c r="G688" s="78">
        <v>686</v>
      </c>
      <c r="H688" s="180">
        <f t="shared" ca="1" si="22"/>
        <v>2.4920551782779802E-2</v>
      </c>
    </row>
    <row r="689" spans="2:8" x14ac:dyDescent="0.3">
      <c r="B689" s="69">
        <v>44328</v>
      </c>
      <c r="C689" s="55">
        <v>765.52499999999998</v>
      </c>
      <c r="D689" s="70">
        <f t="shared" si="21"/>
        <v>0.36560674307630542</v>
      </c>
      <c r="E689" s="180">
        <v>9.2617007251153301E-3</v>
      </c>
      <c r="G689" s="78">
        <v>687</v>
      </c>
      <c r="H689" s="180">
        <f t="shared" ca="1" si="22"/>
        <v>9.2126805352867498E-3</v>
      </c>
    </row>
    <row r="690" spans="2:8" x14ac:dyDescent="0.3">
      <c r="B690" s="69">
        <v>44042</v>
      </c>
      <c r="C690" s="55">
        <v>560.57500000000005</v>
      </c>
      <c r="D690" s="70">
        <f t="shared" si="21"/>
        <v>-0.89456434852118305</v>
      </c>
      <c r="E690" s="180">
        <v>9.2267530830857855E-3</v>
      </c>
      <c r="G690" s="78">
        <v>688</v>
      </c>
      <c r="H690" s="180">
        <f t="shared" ca="1" si="22"/>
        <v>-2.6390219164716046E-2</v>
      </c>
    </row>
    <row r="691" spans="2:8" x14ac:dyDescent="0.3">
      <c r="B691" s="69">
        <v>45783</v>
      </c>
      <c r="C691" s="55">
        <v>5316.75</v>
      </c>
      <c r="D691" s="70">
        <f t="shared" si="21"/>
        <v>18.957770270270274</v>
      </c>
      <c r="E691" s="180">
        <v>9.1582044225111507E-3</v>
      </c>
      <c r="G691" s="78">
        <v>689</v>
      </c>
      <c r="H691" s="180">
        <f t="shared" ca="1" si="22"/>
        <v>2.683604342085485E-3</v>
      </c>
    </row>
    <row r="692" spans="2:8" x14ac:dyDescent="0.3">
      <c r="B692" s="69">
        <v>42846</v>
      </c>
      <c r="C692" s="55">
        <v>266.39999999999998</v>
      </c>
      <c r="D692" s="70">
        <f t="shared" si="21"/>
        <v>-0.27961060032449969</v>
      </c>
      <c r="E692" s="180">
        <v>9.0909090909090055E-3</v>
      </c>
      <c r="G692" s="78">
        <v>690</v>
      </c>
      <c r="H692" s="180">
        <f t="shared" ca="1" si="22"/>
        <v>-9.641263630015634E-3</v>
      </c>
    </row>
    <row r="693" spans="2:8" x14ac:dyDescent="0.3">
      <c r="B693" s="69">
        <v>43602</v>
      </c>
      <c r="C693" s="55">
        <v>369.79999999999995</v>
      </c>
      <c r="D693" s="70">
        <f t="shared" si="21"/>
        <v>-0.81754939931420678</v>
      </c>
      <c r="E693" s="180">
        <v>9.072924483252422E-3</v>
      </c>
      <c r="G693" s="78">
        <v>691</v>
      </c>
      <c r="H693" s="180">
        <f t="shared" ca="1" si="22"/>
        <v>-4.1520913795550698E-3</v>
      </c>
    </row>
    <row r="694" spans="2:8" x14ac:dyDescent="0.3">
      <c r="B694" s="69">
        <v>45167</v>
      </c>
      <c r="C694" s="55">
        <v>2026.85</v>
      </c>
      <c r="D694" s="70">
        <f t="shared" si="21"/>
        <v>3.2536201469045118</v>
      </c>
      <c r="E694" s="180">
        <v>9.0105787181082309E-3</v>
      </c>
      <c r="G694" s="78">
        <v>692</v>
      </c>
      <c r="H694" s="180">
        <f t="shared" ca="1" si="22"/>
        <v>-1.5463028381369601E-2</v>
      </c>
    </row>
    <row r="695" spans="2:8" x14ac:dyDescent="0.3">
      <c r="B695" s="69">
        <v>43703</v>
      </c>
      <c r="C695" s="55">
        <v>476.5</v>
      </c>
      <c r="D695" s="70">
        <f t="shared" si="21"/>
        <v>-0.65692274461804312</v>
      </c>
      <c r="E695" s="180">
        <v>8.9994706193753313E-3</v>
      </c>
      <c r="G695" s="78">
        <v>693</v>
      </c>
      <c r="H695" s="180">
        <f t="shared" ca="1" si="22"/>
        <v>3.4410647796341759E-2</v>
      </c>
    </row>
    <row r="696" spans="2:8" x14ac:dyDescent="0.3">
      <c r="B696" s="69">
        <v>45037</v>
      </c>
      <c r="C696" s="55">
        <v>1388.9</v>
      </c>
      <c r="D696" s="70">
        <f t="shared" si="21"/>
        <v>0.33737753063238723</v>
      </c>
      <c r="E696" s="180">
        <v>8.9900292402971243E-3</v>
      </c>
      <c r="G696" s="78">
        <v>694</v>
      </c>
      <c r="H696" s="180">
        <f t="shared" ca="1" si="22"/>
        <v>2.7313399739541219E-2</v>
      </c>
    </row>
    <row r="697" spans="2:8" x14ac:dyDescent="0.3">
      <c r="B697" s="69">
        <v>44547</v>
      </c>
      <c r="C697" s="55">
        <v>1038.5250000000001</v>
      </c>
      <c r="D697" s="70">
        <f t="shared" si="21"/>
        <v>3.0886811023622052</v>
      </c>
      <c r="E697" s="180">
        <v>8.9869082606689171E-3</v>
      </c>
      <c r="G697" s="78">
        <v>695</v>
      </c>
      <c r="H697" s="180">
        <f t="shared" ca="1" si="22"/>
        <v>-7.4476947404711917E-3</v>
      </c>
    </row>
    <row r="698" spans="2:8" x14ac:dyDescent="0.3">
      <c r="B698" s="69">
        <v>42899</v>
      </c>
      <c r="C698" s="55">
        <v>254</v>
      </c>
      <c r="D698" s="70">
        <f t="shared" si="21"/>
        <v>-0.91191336992049665</v>
      </c>
      <c r="E698" s="180">
        <v>8.9374379344587893E-3</v>
      </c>
      <c r="G698" s="78">
        <v>696</v>
      </c>
      <c r="H698" s="180">
        <f t="shared" ca="1" si="22"/>
        <v>-3.7801740574603931E-3</v>
      </c>
    </row>
    <row r="699" spans="2:8" x14ac:dyDescent="0.3">
      <c r="B699" s="69">
        <v>45266</v>
      </c>
      <c r="C699" s="55">
        <v>2883.5249999999996</v>
      </c>
      <c r="D699" s="70">
        <f t="shared" si="21"/>
        <v>7.3665312636007538</v>
      </c>
      <c r="E699" s="180">
        <v>8.9310706787962338E-3</v>
      </c>
      <c r="G699" s="78">
        <v>697</v>
      </c>
      <c r="H699" s="180">
        <f t="shared" ca="1" si="22"/>
        <v>4.2944116047623111E-3</v>
      </c>
    </row>
    <row r="700" spans="2:8" x14ac:dyDescent="0.3">
      <c r="B700" s="69">
        <v>43210</v>
      </c>
      <c r="C700" s="55">
        <v>344.65</v>
      </c>
      <c r="D700" s="70">
        <f t="shared" si="21"/>
        <v>-0.65869479104773221</v>
      </c>
      <c r="E700" s="180">
        <v>8.9285714285712945E-3</v>
      </c>
      <c r="G700" s="78">
        <v>698</v>
      </c>
      <c r="H700" s="180">
        <f t="shared" ca="1" si="22"/>
        <v>-2.1303124343491176E-2</v>
      </c>
    </row>
    <row r="701" spans="2:8" x14ac:dyDescent="0.3">
      <c r="B701" s="69">
        <v>44445</v>
      </c>
      <c r="C701" s="55">
        <v>1009.8</v>
      </c>
      <c r="D701" s="70">
        <f t="shared" si="21"/>
        <v>-0.51300909068987977</v>
      </c>
      <c r="E701" s="180">
        <v>8.8919972025177114E-3</v>
      </c>
      <c r="G701" s="78">
        <v>699</v>
      </c>
      <c r="H701" s="180">
        <f t="shared" ca="1" si="22"/>
        <v>3.2425843722627877E-2</v>
      </c>
    </row>
    <row r="702" spans="2:8" x14ac:dyDescent="0.3">
      <c r="B702" s="69">
        <v>45190</v>
      </c>
      <c r="C702" s="55">
        <v>2073.5500000000002</v>
      </c>
      <c r="D702" s="70">
        <f t="shared" si="21"/>
        <v>3.4377742108079192</v>
      </c>
      <c r="E702" s="180">
        <v>8.8672107817500227E-3</v>
      </c>
      <c r="G702" s="78">
        <v>700</v>
      </c>
      <c r="H702" s="180">
        <f t="shared" ca="1" si="22"/>
        <v>-2.7040409867113346E-4</v>
      </c>
    </row>
    <row r="703" spans="2:8" x14ac:dyDescent="0.3">
      <c r="B703" s="69">
        <v>43929</v>
      </c>
      <c r="C703" s="55">
        <v>467.25</v>
      </c>
      <c r="D703" s="70">
        <f t="shared" si="21"/>
        <v>0.41376701966717094</v>
      </c>
      <c r="E703" s="180">
        <v>8.8524236208572232E-3</v>
      </c>
      <c r="G703" s="78">
        <v>701</v>
      </c>
      <c r="H703" s="180">
        <f t="shared" ca="1" si="22"/>
        <v>-7.0162890325145754E-3</v>
      </c>
    </row>
    <row r="704" spans="2:8" x14ac:dyDescent="0.3">
      <c r="B704" s="69">
        <v>43252</v>
      </c>
      <c r="C704" s="55">
        <v>330.5</v>
      </c>
      <c r="D704" s="70">
        <f t="shared" si="21"/>
        <v>-0.88278583144921752</v>
      </c>
      <c r="E704" s="180">
        <v>8.8522588522587826E-3</v>
      </c>
      <c r="G704" s="78">
        <v>702</v>
      </c>
      <c r="H704" s="180">
        <f t="shared" ca="1" si="22"/>
        <v>4.453494270931729E-3</v>
      </c>
    </row>
    <row r="705" spans="2:8" x14ac:dyDescent="0.3">
      <c r="B705" s="69">
        <v>45264</v>
      </c>
      <c r="C705" s="55">
        <v>2819.625</v>
      </c>
      <c r="D705" s="70">
        <f t="shared" si="21"/>
        <v>0.3578901744543036</v>
      </c>
      <c r="E705" s="180">
        <v>8.8464703567211374E-3</v>
      </c>
      <c r="G705" s="78">
        <v>703</v>
      </c>
      <c r="H705" s="180">
        <f t="shared" ca="1" si="22"/>
        <v>-2.051988112425562E-2</v>
      </c>
    </row>
    <row r="706" spans="2:8" x14ac:dyDescent="0.3">
      <c r="B706" s="69">
        <v>45170</v>
      </c>
      <c r="C706" s="55">
        <v>2076.4749999999999</v>
      </c>
      <c r="D706" s="70">
        <f t="shared" si="21"/>
        <v>-0.63271307408619371</v>
      </c>
      <c r="E706" s="180">
        <v>8.8423558562387514E-3</v>
      </c>
      <c r="G706" s="78">
        <v>704</v>
      </c>
      <c r="H706" s="180">
        <f t="shared" ca="1" si="22"/>
        <v>-1.2211023301264815E-2</v>
      </c>
    </row>
    <row r="707" spans="2:8" x14ac:dyDescent="0.3">
      <c r="B707" s="69">
        <v>45485</v>
      </c>
      <c r="C707" s="55">
        <v>5653.55</v>
      </c>
      <c r="D707" s="70">
        <f t="shared" ref="D707:D770" si="23">(C707-C708)/C708</f>
        <v>2.227326568765966</v>
      </c>
      <c r="E707" s="180">
        <v>8.8418986438258719E-3</v>
      </c>
      <c r="G707" s="78">
        <v>705</v>
      </c>
      <c r="H707" s="180">
        <f t="shared" ca="1" si="22"/>
        <v>-1.6634399713857367E-2</v>
      </c>
    </row>
    <row r="708" spans="2:8" x14ac:dyDescent="0.3">
      <c r="B708" s="69">
        <v>45104</v>
      </c>
      <c r="C708" s="55">
        <v>1751.7750000000001</v>
      </c>
      <c r="D708" s="70">
        <f t="shared" si="23"/>
        <v>1.0655897178905167</v>
      </c>
      <c r="E708" s="180">
        <v>8.781906393515785E-3</v>
      </c>
      <c r="G708" s="78">
        <v>706</v>
      </c>
      <c r="H708" s="180">
        <f t="shared" ref="H708:H771" ca="1" si="24">_xlfn.NORM.INV(RAND(),$N$4,$N$5)</f>
        <v>-8.8233376742018008E-3</v>
      </c>
    </row>
    <row r="709" spans="2:8" x14ac:dyDescent="0.3">
      <c r="B709" s="69">
        <v>44348</v>
      </c>
      <c r="C709" s="55">
        <v>848.07500000000005</v>
      </c>
      <c r="D709" s="70">
        <f t="shared" si="23"/>
        <v>-0.82869767206988842</v>
      </c>
      <c r="E709" s="180">
        <v>8.7724515284881635E-3</v>
      </c>
      <c r="G709" s="78">
        <v>707</v>
      </c>
      <c r="H709" s="180">
        <f t="shared" ca="1" si="24"/>
        <v>9.4827070592472928E-3</v>
      </c>
    </row>
    <row r="710" spans="2:8" x14ac:dyDescent="0.3">
      <c r="B710" s="69">
        <v>45763</v>
      </c>
      <c r="C710" s="55">
        <v>4950.75</v>
      </c>
      <c r="D710" s="70">
        <f t="shared" si="23"/>
        <v>14.899638699317544</v>
      </c>
      <c r="E710" s="180">
        <v>8.7616524884111865E-3</v>
      </c>
      <c r="G710" s="78">
        <v>708</v>
      </c>
      <c r="H710" s="180">
        <f t="shared" ca="1" si="24"/>
        <v>3.9741261263098971E-3</v>
      </c>
    </row>
    <row r="711" spans="2:8" x14ac:dyDescent="0.3">
      <c r="B711" s="69">
        <v>43284</v>
      </c>
      <c r="C711" s="55">
        <v>311.375</v>
      </c>
      <c r="D711" s="70">
        <f t="shared" si="23"/>
        <v>-0.87548486423801331</v>
      </c>
      <c r="E711" s="180">
        <v>8.7470640641450995E-3</v>
      </c>
      <c r="G711" s="78">
        <v>709</v>
      </c>
      <c r="H711" s="180">
        <f t="shared" ca="1" si="24"/>
        <v>-7.5560087025618025E-3</v>
      </c>
    </row>
    <row r="712" spans="2:8" x14ac:dyDescent="0.3">
      <c r="B712" s="69">
        <v>45242</v>
      </c>
      <c r="C712" s="55">
        <v>2500.6999999999998</v>
      </c>
      <c r="D712" s="70">
        <f t="shared" si="23"/>
        <v>4.4987631246220658</v>
      </c>
      <c r="E712" s="180">
        <v>8.7128393368558956E-3</v>
      </c>
      <c r="G712" s="78">
        <v>710</v>
      </c>
      <c r="H712" s="180">
        <f t="shared" ca="1" si="24"/>
        <v>-4.6860418889578728E-3</v>
      </c>
    </row>
    <row r="713" spans="2:8" x14ac:dyDescent="0.3">
      <c r="B713" s="69">
        <v>43964</v>
      </c>
      <c r="C713" s="55">
        <v>454.77499999999998</v>
      </c>
      <c r="D713" s="70">
        <f t="shared" si="23"/>
        <v>-0.93706342094610728</v>
      </c>
      <c r="E713" s="180">
        <v>8.7057779749361297E-3</v>
      </c>
      <c r="G713" s="78">
        <v>711</v>
      </c>
      <c r="H713" s="180">
        <f t="shared" ca="1" si="24"/>
        <v>1.792817313741716E-2</v>
      </c>
    </row>
    <row r="714" spans="2:8" x14ac:dyDescent="0.3">
      <c r="B714" s="69">
        <v>45547</v>
      </c>
      <c r="C714" s="55">
        <v>7225.9250000000002</v>
      </c>
      <c r="D714" s="70">
        <f t="shared" si="23"/>
        <v>20.863615733736761</v>
      </c>
      <c r="E714" s="180">
        <v>8.6896739452865905E-3</v>
      </c>
      <c r="G714" s="78">
        <v>712</v>
      </c>
      <c r="H714" s="180">
        <f t="shared" ca="1" si="24"/>
        <v>5.3250084266075305E-3</v>
      </c>
    </row>
    <row r="715" spans="2:8" x14ac:dyDescent="0.3">
      <c r="B715" s="69">
        <v>43418</v>
      </c>
      <c r="C715" s="55">
        <v>330.5</v>
      </c>
      <c r="D715" s="70">
        <f t="shared" si="23"/>
        <v>-3.6443148688046649E-2</v>
      </c>
      <c r="E715" s="180">
        <v>8.6213473716334425E-3</v>
      </c>
      <c r="G715" s="78">
        <v>713</v>
      </c>
      <c r="H715" s="180">
        <f t="shared" ca="1" si="24"/>
        <v>-3.3114555606944179E-2</v>
      </c>
    </row>
    <row r="716" spans="2:8" x14ac:dyDescent="0.3">
      <c r="B716" s="69">
        <v>43062</v>
      </c>
      <c r="C716" s="55">
        <v>343</v>
      </c>
      <c r="D716" s="70">
        <f t="shared" si="23"/>
        <v>-0.93779780660195577</v>
      </c>
      <c r="E716" s="180">
        <v>8.601043887377818E-3</v>
      </c>
      <c r="G716" s="78">
        <v>714</v>
      </c>
      <c r="H716" s="180">
        <f t="shared" ca="1" si="24"/>
        <v>3.5483178168821388E-3</v>
      </c>
    </row>
    <row r="717" spans="2:8" x14ac:dyDescent="0.3">
      <c r="B717" s="69">
        <v>45475</v>
      </c>
      <c r="C717" s="55">
        <v>5514.2749999999996</v>
      </c>
      <c r="D717" s="70">
        <f t="shared" si="23"/>
        <v>1.5707312580585678E-2</v>
      </c>
      <c r="E717" s="180">
        <v>8.5550983081846606E-3</v>
      </c>
      <c r="G717" s="78">
        <v>715</v>
      </c>
      <c r="H717" s="180">
        <f t="shared" ca="1" si="24"/>
        <v>1.2080635297975675E-2</v>
      </c>
    </row>
    <row r="718" spans="2:8" x14ac:dyDescent="0.3">
      <c r="B718" s="69">
        <v>45902</v>
      </c>
      <c r="C718" s="55">
        <v>5429</v>
      </c>
      <c r="D718" s="70">
        <f t="shared" si="23"/>
        <v>4.095379994837983</v>
      </c>
      <c r="E718" s="180">
        <v>8.5454207690878695E-3</v>
      </c>
      <c r="G718" s="78">
        <v>716</v>
      </c>
      <c r="H718" s="180">
        <f t="shared" ca="1" si="24"/>
        <v>1.3272423737271692E-2</v>
      </c>
    </row>
    <row r="719" spans="2:8" x14ac:dyDescent="0.3">
      <c r="B719" s="69">
        <v>44566</v>
      </c>
      <c r="C719" s="55">
        <v>1065.4749999999999</v>
      </c>
      <c r="D719" s="70">
        <f t="shared" si="23"/>
        <v>2.5512873927172737</v>
      </c>
      <c r="E719" s="180">
        <v>8.4950307619497487E-3</v>
      </c>
      <c r="G719" s="78">
        <v>717</v>
      </c>
      <c r="H719" s="180">
        <f t="shared" ca="1" si="24"/>
        <v>-2.0214985506294691E-2</v>
      </c>
    </row>
    <row r="720" spans="2:8" x14ac:dyDescent="0.3">
      <c r="B720" s="69">
        <v>42977</v>
      </c>
      <c r="C720" s="55">
        <v>300.02499999999998</v>
      </c>
      <c r="D720" s="70">
        <f t="shared" si="23"/>
        <v>-0.94714612877653492</v>
      </c>
      <c r="E720" s="180">
        <v>8.487394957983117E-3</v>
      </c>
      <c r="G720" s="78">
        <v>718</v>
      </c>
      <c r="H720" s="180">
        <f t="shared" ca="1" si="24"/>
        <v>9.358105249131124E-3</v>
      </c>
    </row>
    <row r="721" spans="2:8" x14ac:dyDescent="0.3">
      <c r="B721" s="69">
        <v>45807</v>
      </c>
      <c r="C721" s="55">
        <v>5676.5</v>
      </c>
      <c r="D721" s="70">
        <f t="shared" si="23"/>
        <v>16.174192572422662</v>
      </c>
      <c r="E721" s="180">
        <v>8.4832333999555858E-3</v>
      </c>
      <c r="G721" s="78">
        <v>719</v>
      </c>
      <c r="H721" s="180">
        <f t="shared" ca="1" si="24"/>
        <v>-1.1000192750820427E-2</v>
      </c>
    </row>
    <row r="722" spans="2:8" x14ac:dyDescent="0.3">
      <c r="B722" s="69">
        <v>43245</v>
      </c>
      <c r="C722" s="55">
        <v>330.52499999999998</v>
      </c>
      <c r="D722" s="70">
        <f t="shared" si="23"/>
        <v>-0.4781115540993961</v>
      </c>
      <c r="E722" s="180">
        <v>8.4668192219678941E-3</v>
      </c>
      <c r="G722" s="78">
        <v>720</v>
      </c>
      <c r="H722" s="180">
        <f t="shared" ca="1" si="24"/>
        <v>-1.1835596992108913E-2</v>
      </c>
    </row>
    <row r="723" spans="2:8" x14ac:dyDescent="0.3">
      <c r="B723" s="69">
        <v>44020</v>
      </c>
      <c r="C723" s="55">
        <v>633.32500000000005</v>
      </c>
      <c r="D723" s="70">
        <f t="shared" si="23"/>
        <v>-0.50425627678519014</v>
      </c>
      <c r="E723" s="180">
        <v>8.4391544922575827E-3</v>
      </c>
      <c r="G723" s="78">
        <v>721</v>
      </c>
      <c r="H723" s="180">
        <f t="shared" ca="1" si="24"/>
        <v>-2.9115655898633921E-2</v>
      </c>
    </row>
    <row r="724" spans="2:8" x14ac:dyDescent="0.3">
      <c r="B724" s="69">
        <v>44652</v>
      </c>
      <c r="C724" s="55">
        <v>1277.5250000000001</v>
      </c>
      <c r="D724" s="70">
        <f t="shared" si="23"/>
        <v>3.2830441706478926</v>
      </c>
      <c r="E724" s="180">
        <v>8.406512086827897E-3</v>
      </c>
      <c r="G724" s="78">
        <v>722</v>
      </c>
      <c r="H724" s="180">
        <f t="shared" ca="1" si="24"/>
        <v>2.0201186758378176E-2</v>
      </c>
    </row>
    <row r="725" spans="2:8" x14ac:dyDescent="0.3">
      <c r="B725" s="69">
        <v>43013</v>
      </c>
      <c r="C725" s="55">
        <v>298.27499999999998</v>
      </c>
      <c r="D725" s="70">
        <f t="shared" si="23"/>
        <v>-0.41995235548641163</v>
      </c>
      <c r="E725" s="180">
        <v>8.3671399594321266E-3</v>
      </c>
      <c r="G725" s="78">
        <v>723</v>
      </c>
      <c r="H725" s="180">
        <f t="shared" ca="1" si="24"/>
        <v>-1.2105098794143359E-2</v>
      </c>
    </row>
    <row r="726" spans="2:8" x14ac:dyDescent="0.3">
      <c r="B726" s="69">
        <v>43816</v>
      </c>
      <c r="C726" s="55">
        <v>514.22500000000002</v>
      </c>
      <c r="D726" s="70">
        <f t="shared" si="23"/>
        <v>-0.63301099057950327</v>
      </c>
      <c r="E726" s="180">
        <v>8.333741850090691E-3</v>
      </c>
      <c r="G726" s="78">
        <v>724</v>
      </c>
      <c r="H726" s="180">
        <f t="shared" ca="1" si="24"/>
        <v>-1.9378166956048968E-2</v>
      </c>
    </row>
    <row r="727" spans="2:8" x14ac:dyDescent="0.3">
      <c r="B727" s="69">
        <v>44834</v>
      </c>
      <c r="C727" s="55">
        <v>1401.2</v>
      </c>
      <c r="D727" s="70">
        <f t="shared" si="23"/>
        <v>-0.69420468557336623</v>
      </c>
      <c r="E727" s="180">
        <v>8.3295853197805497E-3</v>
      </c>
      <c r="G727" s="78">
        <v>725</v>
      </c>
      <c r="H727" s="180">
        <f t="shared" ca="1" si="24"/>
        <v>2.5580052566025847E-2</v>
      </c>
    </row>
    <row r="728" spans="2:8" x14ac:dyDescent="0.3">
      <c r="B728" s="69">
        <v>45428</v>
      </c>
      <c r="C728" s="55">
        <v>4582.1499999999996</v>
      </c>
      <c r="D728" s="70">
        <f t="shared" si="23"/>
        <v>17.201191658391259</v>
      </c>
      <c r="E728" s="180">
        <v>8.318021279170678E-3</v>
      </c>
      <c r="G728" s="78">
        <v>726</v>
      </c>
      <c r="H728" s="180">
        <f t="shared" ca="1" si="24"/>
        <v>-2.1876033667270558E-2</v>
      </c>
    </row>
    <row r="729" spans="2:8" x14ac:dyDescent="0.3">
      <c r="B729" s="69">
        <v>42898</v>
      </c>
      <c r="C729" s="55">
        <v>251.75</v>
      </c>
      <c r="D729" s="70">
        <f t="shared" si="23"/>
        <v>-0.4864602988423683</v>
      </c>
      <c r="E729" s="180">
        <v>8.3108040452587913E-3</v>
      </c>
      <c r="G729" s="78">
        <v>727</v>
      </c>
      <c r="H729" s="180">
        <f t="shared" ca="1" si="24"/>
        <v>-1.0526523359872775E-2</v>
      </c>
    </row>
    <row r="730" spans="2:8" x14ac:dyDescent="0.3">
      <c r="B730" s="69">
        <v>43950</v>
      </c>
      <c r="C730" s="55">
        <v>490.22500000000002</v>
      </c>
      <c r="D730" s="70">
        <f t="shared" si="23"/>
        <v>-0.91400089468190548</v>
      </c>
      <c r="E730" s="180">
        <v>8.27848621966276E-3</v>
      </c>
      <c r="G730" s="78">
        <v>728</v>
      </c>
      <c r="H730" s="180">
        <f t="shared" ca="1" si="24"/>
        <v>-1.6076531984608788E-2</v>
      </c>
    </row>
    <row r="731" spans="2:8" x14ac:dyDescent="0.3">
      <c r="B731" s="69">
        <v>45488</v>
      </c>
      <c r="C731" s="55">
        <v>5700.35</v>
      </c>
      <c r="D731" s="70">
        <f t="shared" si="23"/>
        <v>16.620865533230294</v>
      </c>
      <c r="E731" s="180">
        <v>8.2779846291268638E-3</v>
      </c>
      <c r="G731" s="78">
        <v>729</v>
      </c>
      <c r="H731" s="180">
        <f t="shared" ca="1" si="24"/>
        <v>-2.0610794061887629E-2</v>
      </c>
    </row>
    <row r="732" spans="2:8" x14ac:dyDescent="0.3">
      <c r="B732" s="69">
        <v>43399</v>
      </c>
      <c r="C732" s="55">
        <v>323.5</v>
      </c>
      <c r="D732" s="70">
        <f t="shared" si="23"/>
        <v>0.30509329299041854</v>
      </c>
      <c r="E732" s="180">
        <v>8.2593112046126758E-3</v>
      </c>
      <c r="G732" s="78">
        <v>730</v>
      </c>
      <c r="H732" s="180">
        <f t="shared" ca="1" si="24"/>
        <v>-1.0438768189698709E-2</v>
      </c>
    </row>
    <row r="733" spans="2:8" x14ac:dyDescent="0.3">
      <c r="B733" s="69">
        <v>42888</v>
      </c>
      <c r="C733" s="55">
        <v>247.875</v>
      </c>
      <c r="D733" s="70">
        <f t="shared" si="23"/>
        <v>-0.301858893113646</v>
      </c>
      <c r="E733" s="180">
        <v>8.2367297132396877E-3</v>
      </c>
      <c r="G733" s="78">
        <v>731</v>
      </c>
      <c r="H733" s="180">
        <f t="shared" ca="1" si="24"/>
        <v>-3.3683743465108568E-3</v>
      </c>
    </row>
    <row r="734" spans="2:8" x14ac:dyDescent="0.3">
      <c r="B734" s="69">
        <v>43497</v>
      </c>
      <c r="C734" s="55">
        <v>355.05</v>
      </c>
      <c r="D734" s="70">
        <f t="shared" si="23"/>
        <v>7.2010869565217461E-2</v>
      </c>
      <c r="E734" s="180">
        <v>8.2351270765299855E-3</v>
      </c>
      <c r="G734" s="78">
        <v>732</v>
      </c>
      <c r="H734" s="180">
        <f t="shared" ca="1" si="24"/>
        <v>8.2786191239126727E-3</v>
      </c>
    </row>
    <row r="735" spans="2:8" x14ac:dyDescent="0.3">
      <c r="B735" s="69">
        <v>43525</v>
      </c>
      <c r="C735" s="55">
        <v>331.2</v>
      </c>
      <c r="D735" s="70">
        <f t="shared" si="23"/>
        <v>-4.8002299511353805E-2</v>
      </c>
      <c r="E735" s="180">
        <v>8.2191780821917471E-3</v>
      </c>
      <c r="G735" s="78">
        <v>733</v>
      </c>
      <c r="H735" s="180">
        <f t="shared" ca="1" si="24"/>
        <v>-4.0134950575803928E-2</v>
      </c>
    </row>
    <row r="736" spans="2:8" x14ac:dyDescent="0.3">
      <c r="B736" s="69">
        <v>43195</v>
      </c>
      <c r="C736" s="55">
        <v>347.9</v>
      </c>
      <c r="D736" s="70">
        <f t="shared" si="23"/>
        <v>0.46345567357240486</v>
      </c>
      <c r="E736" s="180">
        <v>8.186626095776247E-3</v>
      </c>
      <c r="G736" s="78">
        <v>734</v>
      </c>
      <c r="H736" s="180">
        <f t="shared" ca="1" si="24"/>
        <v>3.2087191501265579E-2</v>
      </c>
    </row>
    <row r="737" spans="2:8" x14ac:dyDescent="0.3">
      <c r="B737" s="69">
        <v>42915</v>
      </c>
      <c r="C737" s="55">
        <v>237.72500000000002</v>
      </c>
      <c r="D737" s="70">
        <f t="shared" si="23"/>
        <v>-0.9553148496240601</v>
      </c>
      <c r="E737" s="180">
        <v>8.1636980491942811E-3</v>
      </c>
      <c r="G737" s="78">
        <v>735</v>
      </c>
      <c r="H737" s="180">
        <f t="shared" ca="1" si="24"/>
        <v>8.3529111710648404E-3</v>
      </c>
    </row>
    <row r="738" spans="2:8" x14ac:dyDescent="0.3">
      <c r="B738" s="69">
        <v>45467</v>
      </c>
      <c r="C738" s="55">
        <v>5320</v>
      </c>
      <c r="D738" s="70">
        <f t="shared" si="23"/>
        <v>1.3478115921322094E-2</v>
      </c>
      <c r="E738" s="180">
        <v>8.1628978998185154E-3</v>
      </c>
      <c r="G738" s="78">
        <v>736</v>
      </c>
      <c r="H738" s="180">
        <f t="shared" ca="1" si="24"/>
        <v>-1.1411902369734167E-2</v>
      </c>
    </row>
    <row r="739" spans="2:8" x14ac:dyDescent="0.3">
      <c r="B739" s="69">
        <v>45785</v>
      </c>
      <c r="C739" s="55">
        <v>5249.25</v>
      </c>
      <c r="D739" s="70">
        <f t="shared" si="23"/>
        <v>0.3082406011289861</v>
      </c>
      <c r="E739" s="180">
        <v>8.1624813943438797E-3</v>
      </c>
      <c r="G739" s="78">
        <v>737</v>
      </c>
      <c r="H739" s="180">
        <f t="shared" ca="1" si="24"/>
        <v>1.4205490942481934E-2</v>
      </c>
    </row>
    <row r="740" spans="2:8" x14ac:dyDescent="0.3">
      <c r="B740" s="69">
        <v>46034</v>
      </c>
      <c r="C740" s="55">
        <v>4012.45</v>
      </c>
      <c r="D740" s="70">
        <f t="shared" si="23"/>
        <v>11.443634672042178</v>
      </c>
      <c r="E740" s="180">
        <v>8.1532663316582453E-3</v>
      </c>
      <c r="G740" s="78">
        <v>738</v>
      </c>
      <c r="H740" s="180">
        <f t="shared" ca="1" si="24"/>
        <v>3.3855366728510361E-2</v>
      </c>
    </row>
    <row r="741" spans="2:8" x14ac:dyDescent="0.3">
      <c r="B741" s="69">
        <v>43150</v>
      </c>
      <c r="C741" s="55">
        <v>322.45</v>
      </c>
      <c r="D741" s="70">
        <f t="shared" si="23"/>
        <v>8.2228561839234771E-2</v>
      </c>
      <c r="E741" s="180">
        <v>8.1288103798654553E-3</v>
      </c>
      <c r="G741" s="78">
        <v>739</v>
      </c>
      <c r="H741" s="180">
        <f t="shared" ca="1" si="24"/>
        <v>-3.544253235516269E-2</v>
      </c>
    </row>
    <row r="742" spans="2:8" x14ac:dyDescent="0.3">
      <c r="B742" s="69">
        <v>43038</v>
      </c>
      <c r="C742" s="55">
        <v>297.95</v>
      </c>
      <c r="D742" s="70">
        <f t="shared" si="23"/>
        <v>-0.18010456796917995</v>
      </c>
      <c r="E742" s="180">
        <v>8.1204533919809752E-3</v>
      </c>
      <c r="G742" s="78">
        <v>740</v>
      </c>
      <c r="H742" s="180">
        <f t="shared" ca="1" si="24"/>
        <v>3.008967902680508E-2</v>
      </c>
    </row>
    <row r="743" spans="2:8" x14ac:dyDescent="0.3">
      <c r="B743" s="69">
        <v>43558</v>
      </c>
      <c r="C743" s="55">
        <v>363.4</v>
      </c>
      <c r="D743" s="70">
        <f t="shared" si="23"/>
        <v>-0.71297685806808309</v>
      </c>
      <c r="E743" s="180">
        <v>8.1142936403355414E-3</v>
      </c>
      <c r="G743" s="78">
        <v>741</v>
      </c>
      <c r="H743" s="180">
        <f t="shared" ca="1" si="24"/>
        <v>1.3906735697779078E-2</v>
      </c>
    </row>
    <row r="744" spans="2:8" x14ac:dyDescent="0.3">
      <c r="B744" s="69">
        <v>44677</v>
      </c>
      <c r="C744" s="55">
        <v>1266.0999999999999</v>
      </c>
      <c r="D744" s="70">
        <f t="shared" si="23"/>
        <v>2.9491578290704923</v>
      </c>
      <c r="E744" s="180">
        <v>8.1015984234727029E-3</v>
      </c>
      <c r="G744" s="78">
        <v>742</v>
      </c>
      <c r="H744" s="180">
        <f t="shared" ca="1" si="24"/>
        <v>-9.4788696924506918E-4</v>
      </c>
    </row>
    <row r="745" spans="2:8" x14ac:dyDescent="0.3">
      <c r="B745" s="69">
        <v>43025</v>
      </c>
      <c r="C745" s="55">
        <v>320.60000000000002</v>
      </c>
      <c r="D745" s="70">
        <f t="shared" si="23"/>
        <v>-0.70502587694077057</v>
      </c>
      <c r="E745" s="180">
        <v>8.0176072944505936E-3</v>
      </c>
      <c r="G745" s="78">
        <v>743</v>
      </c>
      <c r="H745" s="180">
        <f t="shared" ca="1" si="24"/>
        <v>1.9541230840850108E-2</v>
      </c>
    </row>
    <row r="746" spans="2:8" x14ac:dyDescent="0.3">
      <c r="B746" s="69">
        <v>44727</v>
      </c>
      <c r="C746" s="55">
        <v>1086.875</v>
      </c>
      <c r="D746" s="70">
        <f t="shared" si="23"/>
        <v>-9.598469568110464E-2</v>
      </c>
      <c r="E746" s="180">
        <v>7.9990725712960811E-3</v>
      </c>
      <c r="G746" s="78">
        <v>744</v>
      </c>
      <c r="H746" s="180">
        <f t="shared" ca="1" si="24"/>
        <v>-8.0997891431342367E-3</v>
      </c>
    </row>
    <row r="747" spans="2:8" x14ac:dyDescent="0.3">
      <c r="B747" s="69">
        <v>44951</v>
      </c>
      <c r="C747" s="55">
        <v>1202.2750000000001</v>
      </c>
      <c r="D747" s="70">
        <f t="shared" si="23"/>
        <v>1.5869284561592256</v>
      </c>
      <c r="E747" s="180">
        <v>7.9857472228045193E-3</v>
      </c>
      <c r="G747" s="78">
        <v>745</v>
      </c>
      <c r="H747" s="180">
        <f t="shared" ca="1" si="24"/>
        <v>3.1187094545116405E-2</v>
      </c>
    </row>
    <row r="748" spans="2:8" x14ac:dyDescent="0.3">
      <c r="B748" s="69">
        <v>43720</v>
      </c>
      <c r="C748" s="55">
        <v>464.75</v>
      </c>
      <c r="D748" s="70">
        <f t="shared" si="23"/>
        <v>-0.7770876301021632</v>
      </c>
      <c r="E748" s="180">
        <v>7.9705037141463136E-3</v>
      </c>
      <c r="G748" s="78">
        <v>746</v>
      </c>
      <c r="H748" s="180">
        <f t="shared" ca="1" si="24"/>
        <v>-3.2880356084161226E-2</v>
      </c>
    </row>
    <row r="749" spans="2:8" x14ac:dyDescent="0.3">
      <c r="B749" s="69">
        <v>45210</v>
      </c>
      <c r="C749" s="55">
        <v>2084.9</v>
      </c>
      <c r="D749" s="70">
        <f t="shared" si="23"/>
        <v>-0.71431801287343411</v>
      </c>
      <c r="E749" s="180">
        <v>7.9649975222693143E-3</v>
      </c>
      <c r="G749" s="78">
        <v>747</v>
      </c>
      <c r="H749" s="180">
        <f t="shared" ca="1" si="24"/>
        <v>5.3823894892838283E-4</v>
      </c>
    </row>
    <row r="750" spans="2:8" x14ac:dyDescent="0.3">
      <c r="B750" s="69">
        <v>45551</v>
      </c>
      <c r="C750" s="55">
        <v>7297.9750000000004</v>
      </c>
      <c r="D750" s="70">
        <f t="shared" si="23"/>
        <v>4.4850341030796113</v>
      </c>
      <c r="E750" s="180">
        <v>7.9275471906581491E-3</v>
      </c>
      <c r="G750" s="78">
        <v>748</v>
      </c>
      <c r="H750" s="180">
        <f t="shared" ca="1" si="24"/>
        <v>5.1490603185139787E-3</v>
      </c>
    </row>
    <row r="751" spans="2:8" x14ac:dyDescent="0.3">
      <c r="B751" s="69">
        <v>44993</v>
      </c>
      <c r="C751" s="55">
        <v>1330.5250000000001</v>
      </c>
      <c r="D751" s="70">
        <f t="shared" si="23"/>
        <v>-0.49753587613293049</v>
      </c>
      <c r="E751" s="180">
        <v>7.8971290053785181E-3</v>
      </c>
      <c r="G751" s="78">
        <v>749</v>
      </c>
      <c r="H751" s="180">
        <f t="shared" ca="1" si="24"/>
        <v>-2.1845970355754477E-2</v>
      </c>
    </row>
    <row r="752" spans="2:8" x14ac:dyDescent="0.3">
      <c r="B752" s="69">
        <v>45253</v>
      </c>
      <c r="C752" s="55">
        <v>2648</v>
      </c>
      <c r="D752" s="70">
        <f t="shared" si="23"/>
        <v>6.0210791462282911</v>
      </c>
      <c r="E752" s="180">
        <v>7.8884014806215215E-3</v>
      </c>
      <c r="G752" s="78">
        <v>750</v>
      </c>
      <c r="H752" s="180">
        <f t="shared" ca="1" si="24"/>
        <v>-7.9719256918534889E-3</v>
      </c>
    </row>
    <row r="753" spans="2:8" x14ac:dyDescent="0.3">
      <c r="B753" s="69">
        <v>43613</v>
      </c>
      <c r="C753" s="55">
        <v>377.15</v>
      </c>
      <c r="D753" s="70">
        <f t="shared" si="23"/>
        <v>-0.24380952380952386</v>
      </c>
      <c r="E753" s="180">
        <v>7.8834847675038257E-3</v>
      </c>
      <c r="G753" s="78">
        <v>751</v>
      </c>
      <c r="H753" s="180">
        <f t="shared" ca="1" si="24"/>
        <v>-1.8804570466706125E-2</v>
      </c>
    </row>
    <row r="754" spans="2:8" x14ac:dyDescent="0.3">
      <c r="B754" s="69">
        <v>43791</v>
      </c>
      <c r="C754" s="55">
        <v>498.75</v>
      </c>
      <c r="D754" s="70">
        <f t="shared" si="23"/>
        <v>-0.26171267855821179</v>
      </c>
      <c r="E754" s="180">
        <v>7.881176113973886E-3</v>
      </c>
      <c r="G754" s="78">
        <v>752</v>
      </c>
      <c r="H754" s="180">
        <f t="shared" ca="1" si="24"/>
        <v>1.0886432135663203E-2</v>
      </c>
    </row>
    <row r="755" spans="2:8" x14ac:dyDescent="0.3">
      <c r="B755" s="69">
        <v>44140</v>
      </c>
      <c r="C755" s="55">
        <v>675.55</v>
      </c>
      <c r="D755" s="70">
        <f t="shared" si="23"/>
        <v>1.1344391785150079</v>
      </c>
      <c r="E755" s="180">
        <v>7.8699041438215316E-3</v>
      </c>
      <c r="G755" s="78">
        <v>753</v>
      </c>
      <c r="H755" s="180">
        <f t="shared" ca="1" si="24"/>
        <v>4.1961738148640716E-2</v>
      </c>
    </row>
    <row r="756" spans="2:8" x14ac:dyDescent="0.3">
      <c r="B756" s="69">
        <v>43165</v>
      </c>
      <c r="C756" s="55">
        <v>316.5</v>
      </c>
      <c r="D756" s="70">
        <f t="shared" si="23"/>
        <v>-0.228566205593809</v>
      </c>
      <c r="E756" s="180">
        <v>7.8013055245979577E-3</v>
      </c>
      <c r="G756" s="78">
        <v>754</v>
      </c>
      <c r="H756" s="180">
        <f t="shared" ca="1" si="24"/>
        <v>-1.7263671742746577E-2</v>
      </c>
    </row>
    <row r="757" spans="2:8" x14ac:dyDescent="0.3">
      <c r="B757" s="69">
        <v>43636</v>
      </c>
      <c r="C757" s="55">
        <v>410.27499999999998</v>
      </c>
      <c r="D757" s="70">
        <f t="shared" si="23"/>
        <v>-0.89547400066240346</v>
      </c>
      <c r="E757" s="180">
        <v>7.7990665684105976E-3</v>
      </c>
      <c r="G757" s="78">
        <v>755</v>
      </c>
      <c r="H757" s="180">
        <f t="shared" ca="1" si="24"/>
        <v>3.6852545556159645E-3</v>
      </c>
    </row>
    <row r="758" spans="2:8" x14ac:dyDescent="0.3">
      <c r="B758" s="69">
        <v>45379</v>
      </c>
      <c r="C758" s="55">
        <v>3925.1</v>
      </c>
      <c r="D758" s="70">
        <f t="shared" si="23"/>
        <v>1.2627067841791304E-3</v>
      </c>
      <c r="E758" s="180">
        <v>7.7925412414147016E-3</v>
      </c>
      <c r="G758" s="78">
        <v>756</v>
      </c>
      <c r="H758" s="180">
        <f t="shared" ca="1" si="24"/>
        <v>-1.6411849439277808E-2</v>
      </c>
    </row>
    <row r="759" spans="2:8" x14ac:dyDescent="0.3">
      <c r="B759" s="69">
        <v>46122</v>
      </c>
      <c r="C759" s="55">
        <v>3920.15</v>
      </c>
      <c r="D759" s="70">
        <f t="shared" si="23"/>
        <v>1.7684675141242938</v>
      </c>
      <c r="E759" s="180">
        <v>7.7895034512899426E-3</v>
      </c>
      <c r="G759" s="78">
        <v>757</v>
      </c>
      <c r="H759" s="180">
        <f t="shared" ca="1" si="24"/>
        <v>2.2533479921815485E-3</v>
      </c>
    </row>
    <row r="760" spans="2:8" x14ac:dyDescent="0.3">
      <c r="B760" s="69">
        <v>44812</v>
      </c>
      <c r="C760" s="55">
        <v>1416</v>
      </c>
      <c r="D760" s="70">
        <f t="shared" si="23"/>
        <v>4.0798206278026905</v>
      </c>
      <c r="E760" s="180">
        <v>7.7753856555701183E-3</v>
      </c>
      <c r="G760" s="78">
        <v>758</v>
      </c>
      <c r="H760" s="180">
        <f t="shared" ca="1" si="24"/>
        <v>2.1443450339354207E-2</v>
      </c>
    </row>
    <row r="761" spans="2:8" x14ac:dyDescent="0.3">
      <c r="B761" s="69">
        <v>42951</v>
      </c>
      <c r="C761" s="55">
        <v>278.75</v>
      </c>
      <c r="D761" s="70">
        <f t="shared" si="23"/>
        <v>-0.95916109939052974</v>
      </c>
      <c r="E761" s="180">
        <v>7.7729573391177769E-3</v>
      </c>
      <c r="G761" s="78">
        <v>759</v>
      </c>
      <c r="H761" s="180">
        <f t="shared" ca="1" si="24"/>
        <v>8.6469469654654445E-3</v>
      </c>
    </row>
    <row r="762" spans="2:8" x14ac:dyDescent="0.3">
      <c r="B762" s="69">
        <v>45630</v>
      </c>
      <c r="C762" s="55">
        <v>6825.6</v>
      </c>
      <c r="D762" s="70">
        <f t="shared" si="23"/>
        <v>4.8227729318176973</v>
      </c>
      <c r="E762" s="180">
        <v>7.7400923495997342E-3</v>
      </c>
      <c r="G762" s="78">
        <v>760</v>
      </c>
      <c r="H762" s="180">
        <f t="shared" ca="1" si="24"/>
        <v>-1.0377844867434993E-2</v>
      </c>
    </row>
    <row r="763" spans="2:8" x14ac:dyDescent="0.3">
      <c r="B763" s="69">
        <v>44636</v>
      </c>
      <c r="C763" s="55">
        <v>1172.2249999999999</v>
      </c>
      <c r="D763" s="70">
        <f t="shared" si="23"/>
        <v>-0.83702006965637588</v>
      </c>
      <c r="E763" s="180">
        <v>7.7154523963033819E-3</v>
      </c>
      <c r="G763" s="78">
        <v>761</v>
      </c>
      <c r="H763" s="180">
        <f t="shared" ca="1" si="24"/>
        <v>7.7885280335207698E-3</v>
      </c>
    </row>
    <row r="764" spans="2:8" x14ac:dyDescent="0.3">
      <c r="B764" s="69">
        <v>45533</v>
      </c>
      <c r="C764" s="55">
        <v>7192.45</v>
      </c>
      <c r="D764" s="70">
        <f t="shared" si="23"/>
        <v>19.462162162162162</v>
      </c>
      <c r="E764" s="180">
        <v>7.681126425106365E-3</v>
      </c>
      <c r="G764" s="78">
        <v>762</v>
      </c>
      <c r="H764" s="180">
        <f t="shared" ca="1" si="24"/>
        <v>-1.8817017647572435E-2</v>
      </c>
    </row>
    <row r="765" spans="2:8" x14ac:dyDescent="0.3">
      <c r="B765" s="69">
        <v>43566</v>
      </c>
      <c r="C765" s="55">
        <v>351.5</v>
      </c>
      <c r="D765" s="70">
        <f t="shared" si="23"/>
        <v>-0.94850420463535412</v>
      </c>
      <c r="E765" s="180">
        <v>7.6686017343940696E-3</v>
      </c>
      <c r="G765" s="78">
        <v>763</v>
      </c>
      <c r="H765" s="180">
        <f t="shared" ca="1" si="24"/>
        <v>-6.2619192601843024E-3</v>
      </c>
    </row>
    <row r="766" spans="2:8" x14ac:dyDescent="0.3">
      <c r="B766" s="69">
        <v>45628</v>
      </c>
      <c r="C766" s="55">
        <v>6825.8</v>
      </c>
      <c r="D766" s="70">
        <f t="shared" si="23"/>
        <v>17.929007210205214</v>
      </c>
      <c r="E766" s="180">
        <v>7.6394475978181437E-3</v>
      </c>
      <c r="G766" s="78">
        <v>764</v>
      </c>
      <c r="H766" s="180">
        <f t="shared" ca="1" si="24"/>
        <v>7.7829089729967221E-3</v>
      </c>
    </row>
    <row r="767" spans="2:8" x14ac:dyDescent="0.3">
      <c r="B767" s="69">
        <v>43326</v>
      </c>
      <c r="C767" s="55">
        <v>360.6</v>
      </c>
      <c r="D767" s="70">
        <f t="shared" si="23"/>
        <v>-0.65338587975200646</v>
      </c>
      <c r="E767" s="180">
        <v>7.6143904994761379E-3</v>
      </c>
      <c r="G767" s="78">
        <v>765</v>
      </c>
      <c r="H767" s="180">
        <f t="shared" ca="1" si="24"/>
        <v>1.5072275166190639E-2</v>
      </c>
    </row>
    <row r="768" spans="2:8" x14ac:dyDescent="0.3">
      <c r="B768" s="69">
        <v>44543</v>
      </c>
      <c r="C768" s="55">
        <v>1040.3499999999999</v>
      </c>
      <c r="D768" s="70">
        <f t="shared" si="23"/>
        <v>2.019007544979686</v>
      </c>
      <c r="E768" s="180">
        <v>7.6029055690071757E-3</v>
      </c>
      <c r="G768" s="78">
        <v>766</v>
      </c>
      <c r="H768" s="180">
        <f t="shared" ca="1" si="24"/>
        <v>-3.8424275303556681E-2</v>
      </c>
    </row>
    <row r="769" spans="2:8" x14ac:dyDescent="0.3">
      <c r="B769" s="69">
        <v>43509</v>
      </c>
      <c r="C769" s="55">
        <v>344.6</v>
      </c>
      <c r="D769" s="70">
        <f t="shared" si="23"/>
        <v>-0.9135864386378455</v>
      </c>
      <c r="E769" s="180">
        <v>7.6023391812866164E-3</v>
      </c>
      <c r="G769" s="78">
        <v>767</v>
      </c>
      <c r="H769" s="180">
        <f t="shared" ca="1" si="24"/>
        <v>-6.6408288521286269E-3</v>
      </c>
    </row>
    <row r="770" spans="2:8" x14ac:dyDescent="0.3">
      <c r="B770" s="69">
        <v>45365</v>
      </c>
      <c r="C770" s="55">
        <v>3987.8</v>
      </c>
      <c r="D770" s="70">
        <f t="shared" si="23"/>
        <v>4.7920116194625999</v>
      </c>
      <c r="E770" s="180">
        <v>7.5990625927774853E-3</v>
      </c>
      <c r="G770" s="78">
        <v>768</v>
      </c>
      <c r="H770" s="180">
        <f t="shared" ca="1" si="24"/>
        <v>-1.470382532620214E-2</v>
      </c>
    </row>
    <row r="771" spans="2:8" x14ac:dyDescent="0.3">
      <c r="B771" s="69">
        <v>44193</v>
      </c>
      <c r="C771" s="55">
        <v>688.5</v>
      </c>
      <c r="D771" s="70">
        <f t="shared" ref="D771:D834" si="25">(C771-C772)/C772</f>
        <v>0.24367774566473982</v>
      </c>
      <c r="E771" s="180">
        <v>7.5732630885741838E-3</v>
      </c>
      <c r="G771" s="78">
        <v>769</v>
      </c>
      <c r="H771" s="180">
        <f t="shared" ca="1" si="24"/>
        <v>4.6765753657964054E-4</v>
      </c>
    </row>
    <row r="772" spans="2:8" x14ac:dyDescent="0.3">
      <c r="B772" s="69">
        <v>43844</v>
      </c>
      <c r="C772" s="55">
        <v>553.6</v>
      </c>
      <c r="D772" s="70">
        <f t="shared" si="25"/>
        <v>-0.63259278923528728</v>
      </c>
      <c r="E772" s="180">
        <v>7.5530075530075109E-3</v>
      </c>
      <c r="G772" s="78">
        <v>770</v>
      </c>
      <c r="H772" s="180">
        <f t="shared" ref="H772:H835" ca="1" si="26">_xlfn.NORM.INV(RAND(),$N$4,$N$5)</f>
        <v>-2.4492469587114186E-2</v>
      </c>
    </row>
    <row r="773" spans="2:8" x14ac:dyDescent="0.3">
      <c r="B773" s="69">
        <v>45071</v>
      </c>
      <c r="C773" s="55">
        <v>1506.7750000000001</v>
      </c>
      <c r="D773" s="70">
        <f t="shared" si="25"/>
        <v>-0.78514238047027629</v>
      </c>
      <c r="E773" s="180">
        <v>7.5392845202274092E-3</v>
      </c>
      <c r="G773" s="78">
        <v>771</v>
      </c>
      <c r="H773" s="180">
        <f t="shared" ca="1" si="26"/>
        <v>2.1716033380161176E-2</v>
      </c>
    </row>
    <row r="774" spans="2:8" x14ac:dyDescent="0.3">
      <c r="B774" s="69">
        <v>45644</v>
      </c>
      <c r="C774" s="55">
        <v>7012.9</v>
      </c>
      <c r="D774" s="70">
        <f t="shared" si="25"/>
        <v>2.3888566734319125</v>
      </c>
      <c r="E774" s="180">
        <v>7.5281948135909257E-3</v>
      </c>
      <c r="G774" s="78">
        <v>772</v>
      </c>
      <c r="H774" s="180">
        <f t="shared" ca="1" si="26"/>
        <v>1.5567071808740746E-2</v>
      </c>
    </row>
    <row r="775" spans="2:8" x14ac:dyDescent="0.3">
      <c r="B775" s="69">
        <v>45175</v>
      </c>
      <c r="C775" s="55">
        <v>2069.4</v>
      </c>
      <c r="D775" s="70">
        <f t="shared" si="25"/>
        <v>-0.51670987178588934</v>
      </c>
      <c r="E775" s="180">
        <v>7.4975657254138708E-3</v>
      </c>
      <c r="G775" s="78">
        <v>773</v>
      </c>
      <c r="H775" s="180">
        <f t="shared" ca="1" si="26"/>
        <v>-2.0197364909213041E-2</v>
      </c>
    </row>
    <row r="776" spans="2:8" x14ac:dyDescent="0.3">
      <c r="B776" s="69">
        <v>46023</v>
      </c>
      <c r="C776" s="55">
        <v>4281.8999999999996</v>
      </c>
      <c r="D776" s="70">
        <f t="shared" si="25"/>
        <v>1.7709630971833488</v>
      </c>
      <c r="E776" s="180">
        <v>7.4940294820059657E-3</v>
      </c>
      <c r="G776" s="78">
        <v>774</v>
      </c>
      <c r="H776" s="180">
        <f t="shared" ca="1" si="26"/>
        <v>-7.2090488406362152E-3</v>
      </c>
    </row>
    <row r="777" spans="2:8" x14ac:dyDescent="0.3">
      <c r="B777" s="69">
        <v>45076</v>
      </c>
      <c r="C777" s="55">
        <v>1545.2750000000001</v>
      </c>
      <c r="D777" s="70">
        <f t="shared" si="25"/>
        <v>1.2558759124087593</v>
      </c>
      <c r="E777" s="180">
        <v>7.4814186986570195E-3</v>
      </c>
      <c r="G777" s="78">
        <v>775</v>
      </c>
      <c r="H777" s="180">
        <f t="shared" ca="1" si="26"/>
        <v>1.3311093039421447E-2</v>
      </c>
    </row>
    <row r="778" spans="2:8" x14ac:dyDescent="0.3">
      <c r="B778" s="69">
        <v>44172</v>
      </c>
      <c r="C778" s="55">
        <v>685</v>
      </c>
      <c r="D778" s="70">
        <f t="shared" si="25"/>
        <v>-0.51811466760464298</v>
      </c>
      <c r="E778" s="180">
        <v>7.4640585358679941E-3</v>
      </c>
      <c r="G778" s="78">
        <v>776</v>
      </c>
      <c r="H778" s="180">
        <f t="shared" ca="1" si="26"/>
        <v>1.1904401385660401E-2</v>
      </c>
    </row>
    <row r="779" spans="2:8" x14ac:dyDescent="0.3">
      <c r="B779" s="69">
        <v>44889</v>
      </c>
      <c r="C779" s="55">
        <v>1421.5</v>
      </c>
      <c r="D779" s="70">
        <f t="shared" si="25"/>
        <v>3.0183745583038868</v>
      </c>
      <c r="E779" s="180">
        <v>7.4593809245380614E-3</v>
      </c>
      <c r="G779" s="78">
        <v>777</v>
      </c>
      <c r="H779" s="180">
        <f t="shared" ca="1" si="26"/>
        <v>-2.3398375311962021E-2</v>
      </c>
    </row>
    <row r="780" spans="2:8" x14ac:dyDescent="0.3">
      <c r="B780" s="69">
        <v>43476</v>
      </c>
      <c r="C780" s="55">
        <v>353.75</v>
      </c>
      <c r="D780" s="70">
        <f t="shared" si="25"/>
        <v>-1.0904515587865168E-2</v>
      </c>
      <c r="E780" s="180">
        <v>7.4042432009113566E-3</v>
      </c>
      <c r="G780" s="78">
        <v>778</v>
      </c>
      <c r="H780" s="180">
        <f t="shared" ca="1" si="26"/>
        <v>2.3038099791618971E-2</v>
      </c>
    </row>
    <row r="781" spans="2:8" x14ac:dyDescent="0.3">
      <c r="B781" s="69">
        <v>43319</v>
      </c>
      <c r="C781" s="55">
        <v>357.65</v>
      </c>
      <c r="D781" s="70">
        <f t="shared" si="25"/>
        <v>-0.4620995638441871</v>
      </c>
      <c r="E781" s="180">
        <v>7.3938455038377584E-3</v>
      </c>
      <c r="G781" s="78">
        <v>779</v>
      </c>
      <c r="H781" s="180">
        <f t="shared" ca="1" si="26"/>
        <v>-2.520533064856478E-2</v>
      </c>
    </row>
    <row r="782" spans="2:8" x14ac:dyDescent="0.3">
      <c r="B782" s="69">
        <v>44221</v>
      </c>
      <c r="C782" s="55">
        <v>664.9</v>
      </c>
      <c r="D782" s="70">
        <f t="shared" si="25"/>
        <v>-0.29936775553213912</v>
      </c>
      <c r="E782" s="180">
        <v>7.3860838604598317E-3</v>
      </c>
      <c r="G782" s="78">
        <v>780</v>
      </c>
      <c r="H782" s="180">
        <f t="shared" ca="1" si="26"/>
        <v>-6.2420030900745493E-4</v>
      </c>
    </row>
    <row r="783" spans="2:8" x14ac:dyDescent="0.3">
      <c r="B783" s="69">
        <v>44435</v>
      </c>
      <c r="C783" s="55">
        <v>949</v>
      </c>
      <c r="D783" s="70">
        <f t="shared" si="25"/>
        <v>2.9479564993355523E-2</v>
      </c>
      <c r="E783" s="180">
        <v>7.3775277320737177E-3</v>
      </c>
      <c r="G783" s="78">
        <v>781</v>
      </c>
      <c r="H783" s="180">
        <f t="shared" ca="1" si="26"/>
        <v>2.838619064653275E-2</v>
      </c>
    </row>
    <row r="784" spans="2:8" x14ac:dyDescent="0.3">
      <c r="B784" s="69">
        <v>44406</v>
      </c>
      <c r="C784" s="55">
        <v>921.82500000000005</v>
      </c>
      <c r="D784" s="70">
        <f t="shared" si="25"/>
        <v>-0.78788384320673754</v>
      </c>
      <c r="E784" s="180">
        <v>7.3764445537251042E-3</v>
      </c>
      <c r="G784" s="78">
        <v>782</v>
      </c>
      <c r="H784" s="180">
        <f t="shared" ca="1" si="26"/>
        <v>-2.8015328375191354E-3</v>
      </c>
    </row>
    <row r="785" spans="2:8" x14ac:dyDescent="0.3">
      <c r="B785" s="69">
        <v>45973</v>
      </c>
      <c r="C785" s="55">
        <v>4345.8500000000004</v>
      </c>
      <c r="D785" s="70">
        <f t="shared" si="25"/>
        <v>12.94688703465982</v>
      </c>
      <c r="E785" s="180">
        <v>7.3712636617563965E-3</v>
      </c>
      <c r="G785" s="78">
        <v>783</v>
      </c>
      <c r="H785" s="180">
        <f t="shared" ca="1" si="26"/>
        <v>2.5677619219553496E-2</v>
      </c>
    </row>
    <row r="786" spans="2:8" x14ac:dyDescent="0.3">
      <c r="B786" s="69">
        <v>43139</v>
      </c>
      <c r="C786" s="55">
        <v>311.60000000000002</v>
      </c>
      <c r="D786" s="70">
        <f t="shared" si="25"/>
        <v>-0.15199346849911557</v>
      </c>
      <c r="E786" s="180">
        <v>7.3547239957972256E-3</v>
      </c>
      <c r="G786" s="78">
        <v>784</v>
      </c>
      <c r="H786" s="180">
        <f t="shared" ca="1" si="26"/>
        <v>-7.4941763337262974E-3</v>
      </c>
    </row>
    <row r="787" spans="2:8" x14ac:dyDescent="0.3">
      <c r="B787" s="69">
        <v>43332</v>
      </c>
      <c r="C787" s="55">
        <v>367.45000000000005</v>
      </c>
      <c r="D787" s="70">
        <f t="shared" si="25"/>
        <v>-0.87656208008599845</v>
      </c>
      <c r="E787" s="180">
        <v>7.3332876430678316E-3</v>
      </c>
      <c r="G787" s="78">
        <v>785</v>
      </c>
      <c r="H787" s="180">
        <f t="shared" ca="1" si="26"/>
        <v>-3.4143058909151917E-2</v>
      </c>
    </row>
    <row r="788" spans="2:8" x14ac:dyDescent="0.3">
      <c r="B788" s="69">
        <v>45286</v>
      </c>
      <c r="C788" s="55">
        <v>2976.8</v>
      </c>
      <c r="D788" s="70">
        <f t="shared" si="25"/>
        <v>4.9072282581733395</v>
      </c>
      <c r="E788" s="180">
        <v>7.3261932558416828E-3</v>
      </c>
      <c r="G788" s="78">
        <v>786</v>
      </c>
      <c r="H788" s="180">
        <f t="shared" ca="1" si="26"/>
        <v>2.8183077249026222E-3</v>
      </c>
    </row>
    <row r="789" spans="2:8" x14ac:dyDescent="0.3">
      <c r="B789" s="69">
        <v>43749</v>
      </c>
      <c r="C789" s="55">
        <v>503.92499999999995</v>
      </c>
      <c r="D789" s="70">
        <f t="shared" si="25"/>
        <v>-0.63069566332606586</v>
      </c>
      <c r="E789" s="180">
        <v>7.2959872070360848E-3</v>
      </c>
      <c r="G789" s="78">
        <v>787</v>
      </c>
      <c r="H789" s="180">
        <f t="shared" ca="1" si="26"/>
        <v>-1.6020975456537669E-2</v>
      </c>
    </row>
    <row r="790" spans="2:8" x14ac:dyDescent="0.3">
      <c r="B790" s="69">
        <v>44974</v>
      </c>
      <c r="C790" s="55">
        <v>1364.5250000000001</v>
      </c>
      <c r="D790" s="70">
        <f t="shared" si="25"/>
        <v>-5.7381229962110165E-3</v>
      </c>
      <c r="E790" s="180">
        <v>7.2711166885047239E-3</v>
      </c>
      <c r="G790" s="78">
        <v>788</v>
      </c>
      <c r="H790" s="180">
        <f t="shared" ca="1" si="26"/>
        <v>1.4947837575307007E-2</v>
      </c>
    </row>
    <row r="791" spans="2:8" x14ac:dyDescent="0.3">
      <c r="B791" s="69">
        <v>45019</v>
      </c>
      <c r="C791" s="55">
        <v>1372.4</v>
      </c>
      <c r="D791" s="70">
        <f t="shared" si="25"/>
        <v>-0.70648872920142003</v>
      </c>
      <c r="E791" s="180">
        <v>7.2660550458716264E-3</v>
      </c>
      <c r="G791" s="78">
        <v>789</v>
      </c>
      <c r="H791" s="180">
        <f t="shared" ca="1" si="26"/>
        <v>1.4878261248233209E-2</v>
      </c>
    </row>
    <row r="792" spans="2:8" x14ac:dyDescent="0.3">
      <c r="B792" s="69">
        <v>45433</v>
      </c>
      <c r="C792" s="55">
        <v>4675.7999999999993</v>
      </c>
      <c r="D792" s="70">
        <f t="shared" si="25"/>
        <v>-0.17867556648515734</v>
      </c>
      <c r="E792" s="180">
        <v>7.2542208579043591E-3</v>
      </c>
      <c r="G792" s="78">
        <v>790</v>
      </c>
      <c r="H792" s="180">
        <f t="shared" ca="1" si="26"/>
        <v>-4.0329614008099694E-2</v>
      </c>
    </row>
    <row r="793" spans="2:8" x14ac:dyDescent="0.3">
      <c r="B793" s="69">
        <v>45826</v>
      </c>
      <c r="C793" s="55">
        <v>5693</v>
      </c>
      <c r="D793" s="70">
        <f t="shared" si="25"/>
        <v>-6.8934499959113577E-2</v>
      </c>
      <c r="E793" s="180">
        <v>7.2540693559801838E-3</v>
      </c>
      <c r="G793" s="78">
        <v>791</v>
      </c>
      <c r="H793" s="180">
        <f t="shared" ca="1" si="26"/>
        <v>2.3826206980431759E-2</v>
      </c>
    </row>
    <row r="794" spans="2:8" x14ac:dyDescent="0.3">
      <c r="B794" s="69">
        <v>45838</v>
      </c>
      <c r="C794" s="55">
        <v>6114.5</v>
      </c>
      <c r="D794" s="70">
        <f t="shared" si="25"/>
        <v>4.8568007662835253</v>
      </c>
      <c r="E794" s="180">
        <v>7.2481673667737423E-3</v>
      </c>
      <c r="G794" s="78">
        <v>792</v>
      </c>
      <c r="H794" s="180">
        <f t="shared" ca="1" si="26"/>
        <v>-2.0881590622779438E-2</v>
      </c>
    </row>
    <row r="795" spans="2:8" x14ac:dyDescent="0.3">
      <c r="B795" s="69">
        <v>44557</v>
      </c>
      <c r="C795" s="55">
        <v>1044</v>
      </c>
      <c r="D795" s="70">
        <f t="shared" si="25"/>
        <v>-0.1827788649706458</v>
      </c>
      <c r="E795" s="180">
        <v>7.2358900144717797E-3</v>
      </c>
      <c r="G795" s="78">
        <v>793</v>
      </c>
      <c r="H795" s="180">
        <f t="shared" ca="1" si="26"/>
        <v>-6.8365715006332142E-3</v>
      </c>
    </row>
    <row r="796" spans="2:8" x14ac:dyDescent="0.3">
      <c r="B796" s="69">
        <v>44672</v>
      </c>
      <c r="C796" s="55">
        <v>1277.5</v>
      </c>
      <c r="D796" s="70">
        <f t="shared" si="25"/>
        <v>-0.77582803246325949</v>
      </c>
      <c r="E796" s="180">
        <v>7.2339502887666446E-3</v>
      </c>
      <c r="G796" s="78">
        <v>794</v>
      </c>
      <c r="H796" s="180">
        <f t="shared" ca="1" si="26"/>
        <v>1.800727348713561E-2</v>
      </c>
    </row>
    <row r="797" spans="2:8" x14ac:dyDescent="0.3">
      <c r="B797" s="69">
        <v>45680</v>
      </c>
      <c r="C797" s="55">
        <v>5698.75</v>
      </c>
      <c r="D797" s="70">
        <f t="shared" si="25"/>
        <v>0.29677668930834777</v>
      </c>
      <c r="E797" s="180">
        <v>7.2021915871332623E-3</v>
      </c>
      <c r="G797" s="78">
        <v>795</v>
      </c>
      <c r="H797" s="180">
        <f t="shared" ca="1" si="26"/>
        <v>3.0277512435942519E-3</v>
      </c>
    </row>
    <row r="798" spans="2:8" x14ac:dyDescent="0.3">
      <c r="B798" s="69">
        <v>45978</v>
      </c>
      <c r="C798" s="55">
        <v>4394.55</v>
      </c>
      <c r="D798" s="70">
        <f t="shared" si="25"/>
        <v>11.554960359974288</v>
      </c>
      <c r="E798" s="180">
        <v>7.1273877321844786E-3</v>
      </c>
      <c r="G798" s="78">
        <v>796</v>
      </c>
      <c r="H798" s="180">
        <f t="shared" ca="1" si="26"/>
        <v>4.9763401729006384E-3</v>
      </c>
    </row>
    <row r="799" spans="2:8" x14ac:dyDescent="0.3">
      <c r="B799" s="69">
        <v>43112</v>
      </c>
      <c r="C799" s="55">
        <v>350.02499999999998</v>
      </c>
      <c r="D799" s="70">
        <f t="shared" si="25"/>
        <v>-0.79458626760563378</v>
      </c>
      <c r="E799" s="180">
        <v>7.1212775140268251E-3</v>
      </c>
      <c r="G799" s="78">
        <v>797</v>
      </c>
      <c r="H799" s="180">
        <f t="shared" ca="1" si="26"/>
        <v>-1.6910489169072281E-2</v>
      </c>
    </row>
    <row r="800" spans="2:8" x14ac:dyDescent="0.3">
      <c r="B800" s="69">
        <v>45126</v>
      </c>
      <c r="C800" s="55">
        <v>1704</v>
      </c>
      <c r="D800" s="70">
        <f t="shared" si="25"/>
        <v>4.1663761085424085</v>
      </c>
      <c r="E800" s="180">
        <v>7.1070790053045056E-3</v>
      </c>
      <c r="G800" s="78">
        <v>798</v>
      </c>
      <c r="H800" s="180">
        <f t="shared" ca="1" si="26"/>
        <v>2.7806400131383604E-2</v>
      </c>
    </row>
    <row r="801" spans="2:8" x14ac:dyDescent="0.3">
      <c r="B801" s="69">
        <v>43084</v>
      </c>
      <c r="C801" s="55">
        <v>329.82499999999999</v>
      </c>
      <c r="D801" s="70">
        <f t="shared" si="25"/>
        <v>-0.70589415488876006</v>
      </c>
      <c r="E801" s="180">
        <v>7.0992366412213391E-3</v>
      </c>
      <c r="G801" s="78">
        <v>799</v>
      </c>
      <c r="H801" s="180">
        <f t="shared" ca="1" si="26"/>
        <v>2.1404475582207537E-3</v>
      </c>
    </row>
    <row r="802" spans="2:8" x14ac:dyDescent="0.3">
      <c r="B802" s="69">
        <v>44510</v>
      </c>
      <c r="C802" s="55">
        <v>1121.45</v>
      </c>
      <c r="D802" s="70">
        <f t="shared" si="25"/>
        <v>0.42855323078882829</v>
      </c>
      <c r="E802" s="180">
        <v>7.0944277311302513E-3</v>
      </c>
      <c r="G802" s="78">
        <v>800</v>
      </c>
      <c r="H802" s="180">
        <f t="shared" ca="1" si="26"/>
        <v>5.4673019809071818E-3</v>
      </c>
    </row>
    <row r="803" spans="2:8" x14ac:dyDescent="0.3">
      <c r="B803" s="69">
        <v>43885</v>
      </c>
      <c r="C803" s="55">
        <v>785.02500000000009</v>
      </c>
      <c r="D803" s="70">
        <f t="shared" si="25"/>
        <v>1.2984189723320161</v>
      </c>
      <c r="E803" s="180">
        <v>7.0878768441309699E-3</v>
      </c>
      <c r="G803" s="78">
        <v>801</v>
      </c>
      <c r="H803" s="180">
        <f t="shared" ca="1" si="26"/>
        <v>3.0446870846217236E-3</v>
      </c>
    </row>
    <row r="804" spans="2:8" x14ac:dyDescent="0.3">
      <c r="B804" s="69">
        <v>43378</v>
      </c>
      <c r="C804" s="55">
        <v>341.55</v>
      </c>
      <c r="D804" s="70">
        <f t="shared" si="25"/>
        <v>0.38926174496644289</v>
      </c>
      <c r="E804" s="180">
        <v>7.076514816452998E-3</v>
      </c>
      <c r="G804" s="78">
        <v>802</v>
      </c>
      <c r="H804" s="180">
        <f t="shared" ca="1" si="26"/>
        <v>5.5428065115545096E-3</v>
      </c>
    </row>
    <row r="805" spans="2:8" x14ac:dyDescent="0.3">
      <c r="B805" s="69">
        <v>42887</v>
      </c>
      <c r="C805" s="55">
        <v>245.85000000000002</v>
      </c>
      <c r="D805" s="70">
        <f t="shared" si="25"/>
        <v>-0.1806365605732376</v>
      </c>
      <c r="E805" s="180">
        <v>7.0660522273426427E-3</v>
      </c>
      <c r="G805" s="78">
        <v>803</v>
      </c>
      <c r="H805" s="180">
        <f t="shared" ca="1" si="26"/>
        <v>-1.8914628848788084E-2</v>
      </c>
    </row>
    <row r="806" spans="2:8" x14ac:dyDescent="0.3">
      <c r="B806" s="69">
        <v>43039</v>
      </c>
      <c r="C806" s="55">
        <v>300.04999999999995</v>
      </c>
      <c r="D806" s="70">
        <f t="shared" si="25"/>
        <v>-0.58034965034965036</v>
      </c>
      <c r="E806" s="180">
        <v>7.0481624433628666E-3</v>
      </c>
      <c r="G806" s="78">
        <v>804</v>
      </c>
      <c r="H806" s="180">
        <f t="shared" ca="1" si="26"/>
        <v>1.6995958239360016E-2</v>
      </c>
    </row>
    <row r="807" spans="2:8" x14ac:dyDescent="0.3">
      <c r="B807" s="69">
        <v>44181</v>
      </c>
      <c r="C807" s="55">
        <v>715</v>
      </c>
      <c r="D807" s="70">
        <f t="shared" si="25"/>
        <v>1.4315592586294852</v>
      </c>
      <c r="E807" s="180">
        <v>7.0422535211267607E-3</v>
      </c>
      <c r="G807" s="78">
        <v>805</v>
      </c>
      <c r="H807" s="180">
        <f t="shared" ca="1" si="26"/>
        <v>-1.9916553242164566E-2</v>
      </c>
    </row>
    <row r="808" spans="2:8" x14ac:dyDescent="0.3">
      <c r="B808" s="69">
        <v>42989</v>
      </c>
      <c r="C808" s="55">
        <v>294.04999999999995</v>
      </c>
      <c r="D808" s="70">
        <f t="shared" si="25"/>
        <v>-0.72709343604259957</v>
      </c>
      <c r="E808" s="180">
        <v>7.020547945205324E-3</v>
      </c>
      <c r="G808" s="78">
        <v>806</v>
      </c>
      <c r="H808" s="180">
        <f t="shared" ca="1" si="26"/>
        <v>-2.3285171318578719E-2</v>
      </c>
    </row>
    <row r="809" spans="2:8" x14ac:dyDescent="0.3">
      <c r="B809" s="69">
        <v>44603</v>
      </c>
      <c r="C809" s="55">
        <v>1077.4749999999999</v>
      </c>
      <c r="D809" s="70">
        <f t="shared" si="25"/>
        <v>-0.7664770264412657</v>
      </c>
      <c r="E809" s="180">
        <v>6.9859813084111296E-3</v>
      </c>
      <c r="G809" s="78">
        <v>807</v>
      </c>
      <c r="H809" s="180">
        <f t="shared" ca="1" si="26"/>
        <v>1.5659524321403315E-2</v>
      </c>
    </row>
    <row r="810" spans="2:8" x14ac:dyDescent="0.3">
      <c r="B810" s="69">
        <v>45429</v>
      </c>
      <c r="C810" s="55">
        <v>4614</v>
      </c>
      <c r="D810" s="70">
        <f t="shared" si="25"/>
        <v>-0.25583645820733036</v>
      </c>
      <c r="E810" s="180">
        <v>6.9508855013477007E-3</v>
      </c>
      <c r="G810" s="78">
        <v>808</v>
      </c>
      <c r="H810" s="180">
        <f t="shared" ca="1" si="26"/>
        <v>3.9742583406469382E-3</v>
      </c>
    </row>
    <row r="811" spans="2:8" x14ac:dyDescent="0.3">
      <c r="B811" s="69">
        <v>45841</v>
      </c>
      <c r="C811" s="55">
        <v>6200.25</v>
      </c>
      <c r="D811" s="70">
        <f t="shared" si="25"/>
        <v>5.7017050828221691</v>
      </c>
      <c r="E811" s="180">
        <v>6.9427527405602927E-3</v>
      </c>
      <c r="G811" s="78">
        <v>809</v>
      </c>
      <c r="H811" s="180">
        <f t="shared" ca="1" si="26"/>
        <v>-3.0974117281255278E-2</v>
      </c>
    </row>
    <row r="812" spans="2:8" x14ac:dyDescent="0.3">
      <c r="B812" s="69">
        <v>44391</v>
      </c>
      <c r="C812" s="55">
        <v>925.17499999999995</v>
      </c>
      <c r="D812" s="70">
        <f t="shared" si="25"/>
        <v>-0.83860880941997384</v>
      </c>
      <c r="E812" s="180">
        <v>6.9383979103178062E-3</v>
      </c>
      <c r="G812" s="78">
        <v>810</v>
      </c>
      <c r="H812" s="180">
        <f t="shared" ca="1" si="26"/>
        <v>1.3375864408685387E-2</v>
      </c>
    </row>
    <row r="813" spans="2:8" x14ac:dyDescent="0.3">
      <c r="B813" s="69">
        <v>45827</v>
      </c>
      <c r="C813" s="55">
        <v>5732.5</v>
      </c>
      <c r="D813" s="70">
        <f t="shared" si="25"/>
        <v>3.0327828488014208</v>
      </c>
      <c r="E813" s="180">
        <v>6.9383453363780082E-3</v>
      </c>
      <c r="G813" s="78">
        <v>811</v>
      </c>
      <c r="H813" s="180">
        <f t="shared" ca="1" si="26"/>
        <v>1.4510061472678269E-2</v>
      </c>
    </row>
    <row r="814" spans="2:8" x14ac:dyDescent="0.3">
      <c r="B814" s="69">
        <v>45054</v>
      </c>
      <c r="C814" s="55">
        <v>1421.4749999999999</v>
      </c>
      <c r="D814" s="70">
        <f t="shared" si="25"/>
        <v>-0.74419525362726346</v>
      </c>
      <c r="E814" s="180">
        <v>6.9064442437443557E-3</v>
      </c>
      <c r="G814" s="78">
        <v>812</v>
      </c>
      <c r="H814" s="180">
        <f t="shared" ca="1" si="26"/>
        <v>4.0942728055756758E-2</v>
      </c>
    </row>
    <row r="815" spans="2:8" x14ac:dyDescent="0.3">
      <c r="B815" s="69">
        <v>45477</v>
      </c>
      <c r="C815" s="55">
        <v>5556.875</v>
      </c>
      <c r="D815" s="70">
        <f t="shared" si="25"/>
        <v>3.6559488898198578</v>
      </c>
      <c r="E815" s="180">
        <v>6.8809001793836396E-3</v>
      </c>
      <c r="G815" s="78">
        <v>813</v>
      </c>
      <c r="H815" s="180">
        <f t="shared" ca="1" si="26"/>
        <v>-2.414351841999832E-2</v>
      </c>
    </row>
    <row r="816" spans="2:8" x14ac:dyDescent="0.3">
      <c r="B816" s="69">
        <v>44756</v>
      </c>
      <c r="C816" s="55">
        <v>1193.5</v>
      </c>
      <c r="D816" s="70">
        <f t="shared" si="25"/>
        <v>-0.77849951282884056</v>
      </c>
      <c r="E816" s="180">
        <v>6.8756063609905016E-3</v>
      </c>
      <c r="G816" s="78">
        <v>814</v>
      </c>
      <c r="H816" s="180">
        <f t="shared" ca="1" si="26"/>
        <v>4.4108170991907928E-3</v>
      </c>
    </row>
    <row r="817" spans="2:8" x14ac:dyDescent="0.3">
      <c r="B817" s="69">
        <v>45790</v>
      </c>
      <c r="C817" s="55">
        <v>5388.25</v>
      </c>
      <c r="D817" s="70">
        <f t="shared" si="25"/>
        <v>0.15106492063831142</v>
      </c>
      <c r="E817" s="180">
        <v>6.8672334859385216E-3</v>
      </c>
      <c r="G817" s="78">
        <v>815</v>
      </c>
      <c r="H817" s="180">
        <f t="shared" ca="1" si="26"/>
        <v>-2.5047159266599932E-2</v>
      </c>
    </row>
    <row r="818" spans="2:8" x14ac:dyDescent="0.3">
      <c r="B818" s="69">
        <v>45945</v>
      </c>
      <c r="C818" s="55">
        <v>4681.1000000000004</v>
      </c>
      <c r="D818" s="70">
        <f t="shared" si="25"/>
        <v>4.568098013560129</v>
      </c>
      <c r="E818" s="180">
        <v>6.8397393155959349E-3</v>
      </c>
      <c r="G818" s="78">
        <v>816</v>
      </c>
      <c r="H818" s="180">
        <f t="shared" ca="1" si="26"/>
        <v>-2.8408711001391029E-2</v>
      </c>
    </row>
    <row r="819" spans="2:8" x14ac:dyDescent="0.3">
      <c r="B819" s="69">
        <v>44347</v>
      </c>
      <c r="C819" s="55">
        <v>840.7</v>
      </c>
      <c r="D819" s="70">
        <f t="shared" si="25"/>
        <v>-0.5087504017296286</v>
      </c>
      <c r="E819" s="180">
        <v>6.8263473053892763E-3</v>
      </c>
      <c r="G819" s="78">
        <v>817</v>
      </c>
      <c r="H819" s="180">
        <f t="shared" ca="1" si="26"/>
        <v>8.5325969980288973E-3</v>
      </c>
    </row>
    <row r="820" spans="2:8" x14ac:dyDescent="0.3">
      <c r="B820" s="69">
        <v>45096</v>
      </c>
      <c r="C820" s="55">
        <v>1711.35</v>
      </c>
      <c r="D820" s="70">
        <f t="shared" si="25"/>
        <v>1.7438672438672436</v>
      </c>
      <c r="E820" s="180">
        <v>6.8245330195616464E-3</v>
      </c>
      <c r="G820" s="78">
        <v>818</v>
      </c>
      <c r="H820" s="180">
        <f t="shared" ca="1" si="26"/>
        <v>1.2598078353305321E-2</v>
      </c>
    </row>
    <row r="821" spans="2:8" x14ac:dyDescent="0.3">
      <c r="B821" s="69">
        <v>44027</v>
      </c>
      <c r="C821" s="55">
        <v>623.70000000000005</v>
      </c>
      <c r="D821" s="70">
        <f t="shared" si="25"/>
        <v>1.4688767936665019</v>
      </c>
      <c r="E821" s="180">
        <v>6.7796610169492261E-3</v>
      </c>
      <c r="G821" s="78">
        <v>819</v>
      </c>
      <c r="H821" s="180">
        <f t="shared" ca="1" si="26"/>
        <v>5.49128663733141E-2</v>
      </c>
    </row>
    <row r="822" spans="2:8" x14ac:dyDescent="0.3">
      <c r="B822" s="69">
        <v>42787</v>
      </c>
      <c r="C822" s="55">
        <v>252.625</v>
      </c>
      <c r="D822" s="70">
        <f t="shared" si="25"/>
        <v>-0.90390741638851646</v>
      </c>
      <c r="E822" s="180">
        <v>6.7749327488292859E-3</v>
      </c>
      <c r="G822" s="78">
        <v>820</v>
      </c>
      <c r="H822" s="180">
        <f t="shared" ca="1" si="26"/>
        <v>-6.5510935054225406E-3</v>
      </c>
    </row>
    <row r="823" spans="2:8" x14ac:dyDescent="0.3">
      <c r="B823" s="69">
        <v>45251</v>
      </c>
      <c r="C823" s="55">
        <v>2628.9749999999999</v>
      </c>
      <c r="D823" s="70">
        <f t="shared" si="25"/>
        <v>0.83309219586173233</v>
      </c>
      <c r="E823" s="180">
        <v>6.7686592884768984E-3</v>
      </c>
      <c r="G823" s="78">
        <v>821</v>
      </c>
      <c r="H823" s="180">
        <f t="shared" ca="1" si="26"/>
        <v>2.5657046466313251E-2</v>
      </c>
    </row>
    <row r="824" spans="2:8" x14ac:dyDescent="0.3">
      <c r="B824" s="69">
        <v>44858</v>
      </c>
      <c r="C824" s="55">
        <v>1434.175</v>
      </c>
      <c r="D824" s="70">
        <f t="shared" si="25"/>
        <v>-1.8696544645911764E-2</v>
      </c>
      <c r="E824" s="180">
        <v>6.721184894005367E-3</v>
      </c>
      <c r="G824" s="78">
        <v>822</v>
      </c>
      <c r="H824" s="180">
        <f t="shared" ca="1" si="26"/>
        <v>5.2313306738237114E-3</v>
      </c>
    </row>
    <row r="825" spans="2:8" x14ac:dyDescent="0.3">
      <c r="B825" s="69">
        <v>44862</v>
      </c>
      <c r="C825" s="55">
        <v>1461.5</v>
      </c>
      <c r="D825" s="70">
        <f t="shared" si="25"/>
        <v>0.89645104781677809</v>
      </c>
      <c r="E825" s="180">
        <v>6.6986964233437746E-3</v>
      </c>
      <c r="G825" s="78">
        <v>823</v>
      </c>
      <c r="H825" s="180">
        <f t="shared" ca="1" si="26"/>
        <v>2.4064489064587517E-2</v>
      </c>
    </row>
    <row r="826" spans="2:8" x14ac:dyDescent="0.3">
      <c r="B826" s="69">
        <v>44330</v>
      </c>
      <c r="C826" s="55">
        <v>770.65</v>
      </c>
      <c r="D826" s="70">
        <f t="shared" si="25"/>
        <v>1.2775027705947544</v>
      </c>
      <c r="E826" s="180">
        <v>6.6947519676039324E-3</v>
      </c>
      <c r="G826" s="78">
        <v>824</v>
      </c>
      <c r="H826" s="180">
        <f t="shared" ca="1" si="26"/>
        <v>-3.9483389292584083E-2</v>
      </c>
    </row>
    <row r="827" spans="2:8" x14ac:dyDescent="0.3">
      <c r="B827" s="69">
        <v>43235</v>
      </c>
      <c r="C827" s="55">
        <v>338.375</v>
      </c>
      <c r="D827" s="70">
        <f t="shared" si="25"/>
        <v>-0.8031902518466818</v>
      </c>
      <c r="E827" s="180">
        <v>6.69393826701376E-3</v>
      </c>
      <c r="G827" s="78">
        <v>825</v>
      </c>
      <c r="H827" s="180">
        <f t="shared" ca="1" si="26"/>
        <v>-9.1590824118924722E-3</v>
      </c>
    </row>
    <row r="828" spans="2:8" x14ac:dyDescent="0.3">
      <c r="B828" s="69">
        <v>45100</v>
      </c>
      <c r="C828" s="55">
        <v>1719.3000000000002</v>
      </c>
      <c r="D828" s="70">
        <f t="shared" si="25"/>
        <v>5.7179837843118104</v>
      </c>
      <c r="E828" s="180">
        <v>6.6895996486863391E-3</v>
      </c>
      <c r="G828" s="78">
        <v>826</v>
      </c>
      <c r="H828" s="180">
        <f t="shared" ca="1" si="26"/>
        <v>-1.3753795515788777E-2</v>
      </c>
    </row>
    <row r="829" spans="2:8" x14ac:dyDescent="0.3">
      <c r="B829" s="69">
        <v>42863</v>
      </c>
      <c r="C829" s="55">
        <v>255.92500000000001</v>
      </c>
      <c r="D829" s="70">
        <f t="shared" si="25"/>
        <v>-0.78022756547874628</v>
      </c>
      <c r="E829" s="180">
        <v>6.6869898711770619E-3</v>
      </c>
      <c r="G829" s="78">
        <v>827</v>
      </c>
      <c r="H829" s="180">
        <f t="shared" ca="1" si="26"/>
        <v>1.9784674480525812E-2</v>
      </c>
    </row>
    <row r="830" spans="2:8" x14ac:dyDescent="0.3">
      <c r="B830" s="69">
        <v>44483</v>
      </c>
      <c r="C830" s="55">
        <v>1164.5</v>
      </c>
      <c r="D830" s="70">
        <f t="shared" si="25"/>
        <v>-0.20636543310843042</v>
      </c>
      <c r="E830" s="180">
        <v>6.6780488859111828E-3</v>
      </c>
      <c r="G830" s="78">
        <v>828</v>
      </c>
      <c r="H830" s="180">
        <f t="shared" ca="1" si="26"/>
        <v>-1.3453932147100766E-2</v>
      </c>
    </row>
    <row r="831" spans="2:8" x14ac:dyDescent="0.3">
      <c r="B831" s="69">
        <v>44896</v>
      </c>
      <c r="C831" s="55">
        <v>1467.3</v>
      </c>
      <c r="D831" s="70">
        <f t="shared" si="25"/>
        <v>3.0421487603305786</v>
      </c>
      <c r="E831" s="180">
        <v>6.6720408898342364E-3</v>
      </c>
      <c r="G831" s="78">
        <v>829</v>
      </c>
      <c r="H831" s="180">
        <f t="shared" ca="1" si="26"/>
        <v>3.0484894881261434E-3</v>
      </c>
    </row>
    <row r="832" spans="2:8" x14ac:dyDescent="0.3">
      <c r="B832" s="69">
        <v>43328</v>
      </c>
      <c r="C832" s="55">
        <v>363</v>
      </c>
      <c r="D832" s="70">
        <f t="shared" si="25"/>
        <v>-0.85357589447783477</v>
      </c>
      <c r="E832" s="180">
        <v>6.6555740432611681E-3</v>
      </c>
      <c r="G832" s="78">
        <v>830</v>
      </c>
      <c r="H832" s="180">
        <f t="shared" ca="1" si="26"/>
        <v>8.6542581134389073E-3</v>
      </c>
    </row>
    <row r="833" spans="2:8" x14ac:dyDescent="0.3">
      <c r="B833" s="69">
        <v>45240</v>
      </c>
      <c r="C833" s="55">
        <v>2479.1000000000004</v>
      </c>
      <c r="D833" s="70">
        <f t="shared" si="25"/>
        <v>0.64992845495990159</v>
      </c>
      <c r="E833" s="180">
        <v>6.6491386573817443E-3</v>
      </c>
      <c r="G833" s="78">
        <v>831</v>
      </c>
      <c r="H833" s="180">
        <f t="shared" ca="1" si="26"/>
        <v>-2.3581037863323995E-2</v>
      </c>
    </row>
    <row r="834" spans="2:8" x14ac:dyDescent="0.3">
      <c r="B834" s="69">
        <v>45069</v>
      </c>
      <c r="C834" s="55">
        <v>1502.5500000000002</v>
      </c>
      <c r="D834" s="70">
        <f t="shared" si="25"/>
        <v>-0.67756610747796409</v>
      </c>
      <c r="E834" s="180">
        <v>6.6324992463069644E-3</v>
      </c>
      <c r="G834" s="78">
        <v>832</v>
      </c>
      <c r="H834" s="180">
        <f t="shared" ca="1" si="26"/>
        <v>-1.2765074450045889E-2</v>
      </c>
    </row>
    <row r="835" spans="2:8" x14ac:dyDescent="0.3">
      <c r="B835" s="69">
        <v>45435</v>
      </c>
      <c r="C835" s="55">
        <v>4660.0249999999996</v>
      </c>
      <c r="D835" s="70">
        <f t="shared" ref="D835:D898" si="27">(C835-C836)/C836</f>
        <v>2.418445569248826</v>
      </c>
      <c r="E835" s="180">
        <v>6.6098921572332317E-3</v>
      </c>
      <c r="G835" s="78">
        <v>833</v>
      </c>
      <c r="H835" s="180">
        <f t="shared" ca="1" si="26"/>
        <v>7.2192887387492188E-3</v>
      </c>
    </row>
    <row r="836" spans="2:8" x14ac:dyDescent="0.3">
      <c r="B836" s="69">
        <v>45034</v>
      </c>
      <c r="C836" s="55">
        <v>1363.2</v>
      </c>
      <c r="D836" s="70">
        <f t="shared" si="27"/>
        <v>2.7919332406119612</v>
      </c>
      <c r="E836" s="180">
        <v>6.5902420114082837E-3</v>
      </c>
      <c r="G836" s="78">
        <v>834</v>
      </c>
      <c r="H836" s="180">
        <f t="shared" ref="H836:H899" ca="1" si="28">_xlfn.NORM.INV(RAND(),$N$4,$N$5)</f>
        <v>-7.6405063276671339E-3</v>
      </c>
    </row>
    <row r="837" spans="2:8" x14ac:dyDescent="0.3">
      <c r="B837" s="69">
        <v>43315</v>
      </c>
      <c r="C837" s="55">
        <v>359.5</v>
      </c>
      <c r="D837" s="70">
        <f t="shared" si="27"/>
        <v>1.7908968641608236E-2</v>
      </c>
      <c r="E837" s="180">
        <v>6.5798684026320111E-3</v>
      </c>
      <c r="G837" s="78">
        <v>835</v>
      </c>
      <c r="H837" s="180">
        <f t="shared" ca="1" si="28"/>
        <v>9.337468396225344E-3</v>
      </c>
    </row>
    <row r="838" spans="2:8" x14ac:dyDescent="0.3">
      <c r="B838" s="69">
        <v>43367</v>
      </c>
      <c r="C838" s="55">
        <v>353.17500000000001</v>
      </c>
      <c r="D838" s="70">
        <f t="shared" si="27"/>
        <v>2.0073651527186043E-2</v>
      </c>
      <c r="E838" s="180">
        <v>6.5550409690060887E-3</v>
      </c>
      <c r="G838" s="78">
        <v>836</v>
      </c>
      <c r="H838" s="180">
        <f t="shared" ca="1" si="28"/>
        <v>5.0705405623142118E-3</v>
      </c>
    </row>
    <row r="839" spans="2:8" x14ac:dyDescent="0.3">
      <c r="B839" s="69">
        <v>43193</v>
      </c>
      <c r="C839" s="55">
        <v>346.22500000000002</v>
      </c>
      <c r="D839" s="70">
        <f t="shared" si="27"/>
        <v>5.5885940835620755E-2</v>
      </c>
      <c r="E839" s="180">
        <v>6.5411730503670317E-3</v>
      </c>
      <c r="G839" s="78">
        <v>837</v>
      </c>
      <c r="H839" s="180">
        <f t="shared" ca="1" si="28"/>
        <v>3.0928937915220018E-3</v>
      </c>
    </row>
    <row r="840" spans="2:8" x14ac:dyDescent="0.3">
      <c r="B840" s="69">
        <v>43088</v>
      </c>
      <c r="C840" s="55">
        <v>327.9</v>
      </c>
      <c r="D840" s="70">
        <f t="shared" si="27"/>
        <v>-0.92284796649451184</v>
      </c>
      <c r="E840" s="180">
        <v>6.5229069142813297E-3</v>
      </c>
      <c r="G840" s="78">
        <v>838</v>
      </c>
      <c r="H840" s="180">
        <f t="shared" ca="1" si="28"/>
        <v>2.4564190306743144E-2</v>
      </c>
    </row>
    <row r="841" spans="2:8" x14ac:dyDescent="0.3">
      <c r="B841" s="69">
        <v>46022</v>
      </c>
      <c r="C841" s="55">
        <v>4250.05</v>
      </c>
      <c r="D841" s="70">
        <f t="shared" si="27"/>
        <v>-0.40540030079395611</v>
      </c>
      <c r="E841" s="180">
        <v>6.4649813510153763E-3</v>
      </c>
      <c r="G841" s="78">
        <v>839</v>
      </c>
      <c r="H841" s="180">
        <f t="shared" ca="1" si="28"/>
        <v>4.4623537146432302E-2</v>
      </c>
    </row>
    <row r="842" spans="2:8" x14ac:dyDescent="0.3">
      <c r="B842" s="69">
        <v>45545</v>
      </c>
      <c r="C842" s="55">
        <v>7147.75</v>
      </c>
      <c r="D842" s="70">
        <f t="shared" si="27"/>
        <v>6.9707276275439085</v>
      </c>
      <c r="E842" s="180">
        <v>6.4595617354571856E-3</v>
      </c>
      <c r="G842" s="78">
        <v>840</v>
      </c>
      <c r="H842" s="180">
        <f t="shared" ca="1" si="28"/>
        <v>2.3638557736654332E-2</v>
      </c>
    </row>
    <row r="843" spans="2:8" x14ac:dyDescent="0.3">
      <c r="B843" s="69">
        <v>44420</v>
      </c>
      <c r="C843" s="55">
        <v>896.75</v>
      </c>
      <c r="D843" s="70">
        <f t="shared" si="27"/>
        <v>-0.39173492055417075</v>
      </c>
      <c r="E843" s="180">
        <v>6.4534231200897869E-3</v>
      </c>
      <c r="G843" s="78">
        <v>841</v>
      </c>
      <c r="H843" s="180">
        <f t="shared" ca="1" si="28"/>
        <v>-8.2009671441163768E-3</v>
      </c>
    </row>
    <row r="844" spans="2:8" x14ac:dyDescent="0.3">
      <c r="B844" s="69">
        <v>44901</v>
      </c>
      <c r="C844" s="55">
        <v>1474.2750000000001</v>
      </c>
      <c r="D844" s="70">
        <f t="shared" si="27"/>
        <v>0.15856581532416511</v>
      </c>
      <c r="E844" s="180">
        <v>6.4341058811483651E-3</v>
      </c>
      <c r="G844" s="78">
        <v>842</v>
      </c>
      <c r="H844" s="180">
        <f t="shared" ca="1" si="28"/>
        <v>-1.3344495860831626E-2</v>
      </c>
    </row>
    <row r="845" spans="2:8" x14ac:dyDescent="0.3">
      <c r="B845" s="69">
        <v>44648</v>
      </c>
      <c r="C845" s="55">
        <v>1272.5</v>
      </c>
      <c r="D845" s="70">
        <f t="shared" si="27"/>
        <v>-0.12697459821964555</v>
      </c>
      <c r="E845" s="180">
        <v>6.4260998517053879E-3</v>
      </c>
      <c r="G845" s="78">
        <v>843</v>
      </c>
      <c r="H845" s="180">
        <f t="shared" ca="1" si="28"/>
        <v>-1.1590301098793592E-2</v>
      </c>
    </row>
    <row r="846" spans="2:8" x14ac:dyDescent="0.3">
      <c r="B846" s="69">
        <v>44895</v>
      </c>
      <c r="C846" s="55">
        <v>1457.5749999999998</v>
      </c>
      <c r="D846" s="70">
        <f t="shared" si="27"/>
        <v>0.43522142628560151</v>
      </c>
      <c r="E846" s="180">
        <v>6.4214323937095696E-3</v>
      </c>
      <c r="G846" s="78">
        <v>844</v>
      </c>
      <c r="H846" s="180">
        <f t="shared" ca="1" si="28"/>
        <v>7.950471820485111E-3</v>
      </c>
    </row>
    <row r="847" spans="2:8" x14ac:dyDescent="0.3">
      <c r="B847" s="69">
        <v>44537</v>
      </c>
      <c r="C847" s="55">
        <v>1015.575</v>
      </c>
      <c r="D847" s="70">
        <f t="shared" si="27"/>
        <v>0.14160858812949642</v>
      </c>
      <c r="E847" s="180">
        <v>6.4166088593797807E-3</v>
      </c>
      <c r="G847" s="78">
        <v>845</v>
      </c>
      <c r="H847" s="180">
        <f t="shared" ca="1" si="28"/>
        <v>6.6882612881121535E-4</v>
      </c>
    </row>
    <row r="848" spans="2:8" x14ac:dyDescent="0.3">
      <c r="B848" s="69">
        <v>44432</v>
      </c>
      <c r="C848" s="55">
        <v>889.6</v>
      </c>
      <c r="D848" s="70">
        <f t="shared" si="27"/>
        <v>-0.81460873189538396</v>
      </c>
      <c r="E848" s="180">
        <v>6.3917642400588004E-3</v>
      </c>
      <c r="G848" s="78">
        <v>846</v>
      </c>
      <c r="H848" s="180">
        <f t="shared" ca="1" si="28"/>
        <v>-1.1572556703704211E-2</v>
      </c>
    </row>
    <row r="849" spans="2:8" x14ac:dyDescent="0.3">
      <c r="B849" s="69">
        <v>45947</v>
      </c>
      <c r="C849" s="55">
        <v>4798.5</v>
      </c>
      <c r="D849" s="70">
        <f t="shared" si="27"/>
        <v>-0.17387954669685249</v>
      </c>
      <c r="E849" s="180">
        <v>6.3862585333626567E-3</v>
      </c>
      <c r="G849" s="78">
        <v>847</v>
      </c>
      <c r="H849" s="180">
        <f t="shared" ca="1" si="28"/>
        <v>1.1231627188084467E-2</v>
      </c>
    </row>
    <row r="850" spans="2:8" x14ac:dyDescent="0.3">
      <c r="B850" s="69">
        <v>45505</v>
      </c>
      <c r="C850" s="55">
        <v>5808.4750000000004</v>
      </c>
      <c r="D850" s="70">
        <f t="shared" si="27"/>
        <v>21.581300417922051</v>
      </c>
      <c r="E850" s="180">
        <v>6.2887906205200258E-3</v>
      </c>
      <c r="G850" s="78">
        <v>848</v>
      </c>
      <c r="H850" s="180">
        <f t="shared" ca="1" si="28"/>
        <v>3.9954143826171504E-2</v>
      </c>
    </row>
    <row r="851" spans="2:8" x14ac:dyDescent="0.3">
      <c r="B851" s="69">
        <v>42926</v>
      </c>
      <c r="C851" s="55">
        <v>257.22500000000002</v>
      </c>
      <c r="D851" s="70">
        <f t="shared" si="27"/>
        <v>-0.52971021117103945</v>
      </c>
      <c r="E851" s="180">
        <v>6.259168704156568E-3</v>
      </c>
      <c r="G851" s="78">
        <v>849</v>
      </c>
      <c r="H851" s="180">
        <f t="shared" ca="1" si="28"/>
        <v>1.9669127565079072E-2</v>
      </c>
    </row>
    <row r="852" spans="2:8" x14ac:dyDescent="0.3">
      <c r="B852" s="69">
        <v>43769</v>
      </c>
      <c r="C852" s="55">
        <v>546.95000000000005</v>
      </c>
      <c r="D852" s="70">
        <f t="shared" si="27"/>
        <v>-0.77790861748672713</v>
      </c>
      <c r="E852" s="180">
        <v>6.2551743169903251E-3</v>
      </c>
      <c r="G852" s="78">
        <v>850</v>
      </c>
      <c r="H852" s="180">
        <f t="shared" ca="1" si="28"/>
        <v>4.0069853976034589E-2</v>
      </c>
    </row>
    <row r="853" spans="2:8" x14ac:dyDescent="0.3">
      <c r="B853" s="69">
        <v>45239</v>
      </c>
      <c r="C853" s="55">
        <v>2462.7249999999999</v>
      </c>
      <c r="D853" s="70">
        <f t="shared" si="27"/>
        <v>-0.63623909278563706</v>
      </c>
      <c r="E853" s="180">
        <v>6.2411898098020764E-3</v>
      </c>
      <c r="G853" s="78">
        <v>851</v>
      </c>
      <c r="H853" s="180">
        <f t="shared" ca="1" si="28"/>
        <v>3.8036845392886681E-2</v>
      </c>
    </row>
    <row r="854" spans="2:8" x14ac:dyDescent="0.3">
      <c r="B854" s="69">
        <v>45623</v>
      </c>
      <c r="C854" s="55">
        <v>6770.1750000000002</v>
      </c>
      <c r="D854" s="70">
        <f t="shared" si="27"/>
        <v>0.2382578875171468</v>
      </c>
      <c r="E854" s="180">
        <v>6.2349282314428864E-3</v>
      </c>
      <c r="G854" s="78">
        <v>852</v>
      </c>
      <c r="H854" s="180">
        <f t="shared" ca="1" si="28"/>
        <v>2.6533359063845206E-2</v>
      </c>
    </row>
    <row r="855" spans="2:8" x14ac:dyDescent="0.3">
      <c r="B855" s="69">
        <v>45474</v>
      </c>
      <c r="C855" s="55">
        <v>5467.5</v>
      </c>
      <c r="D855" s="70">
        <f t="shared" si="27"/>
        <v>14.766707519284841</v>
      </c>
      <c r="E855" s="180">
        <v>6.2065506944988273E-3</v>
      </c>
      <c r="G855" s="78">
        <v>853</v>
      </c>
      <c r="H855" s="180">
        <f t="shared" ca="1" si="28"/>
        <v>5.8402599447617909E-3</v>
      </c>
    </row>
    <row r="856" spans="2:8" x14ac:dyDescent="0.3">
      <c r="B856" s="69">
        <v>43213</v>
      </c>
      <c r="C856" s="55">
        <v>346.77499999999998</v>
      </c>
      <c r="D856" s="70">
        <f t="shared" si="27"/>
        <v>-0.71835532994923856</v>
      </c>
      <c r="E856" s="180">
        <v>6.165675322791238E-3</v>
      </c>
      <c r="G856" s="78">
        <v>854</v>
      </c>
      <c r="H856" s="180">
        <f t="shared" ca="1" si="28"/>
        <v>1.0383985012127471E-2</v>
      </c>
    </row>
    <row r="857" spans="2:8" x14ac:dyDescent="0.3">
      <c r="B857" s="69">
        <v>44963</v>
      </c>
      <c r="C857" s="55">
        <v>1231.25</v>
      </c>
      <c r="D857" s="70">
        <f t="shared" si="27"/>
        <v>0.331656932727666</v>
      </c>
      <c r="E857" s="180">
        <v>6.1492573903451277E-3</v>
      </c>
      <c r="G857" s="78">
        <v>855</v>
      </c>
      <c r="H857" s="180">
        <f t="shared" ca="1" si="28"/>
        <v>-2.2290496550774013E-2</v>
      </c>
    </row>
    <row r="858" spans="2:8" x14ac:dyDescent="0.3">
      <c r="B858" s="69">
        <v>44414</v>
      </c>
      <c r="C858" s="55">
        <v>924.6</v>
      </c>
      <c r="D858" s="70">
        <f t="shared" si="27"/>
        <v>-0.15449682227607328</v>
      </c>
      <c r="E858" s="180">
        <v>6.1483214538331542E-3</v>
      </c>
      <c r="G858" s="78">
        <v>856</v>
      </c>
      <c r="H858" s="180">
        <f t="shared" ca="1" si="28"/>
        <v>2.1184100859100476E-2</v>
      </c>
    </row>
    <row r="859" spans="2:8" x14ac:dyDescent="0.3">
      <c r="B859" s="69">
        <v>44728</v>
      </c>
      <c r="C859" s="55">
        <v>1093.55</v>
      </c>
      <c r="D859" s="70">
        <f t="shared" si="27"/>
        <v>-0.15533155679141089</v>
      </c>
      <c r="E859" s="180">
        <v>6.141460609545674E-3</v>
      </c>
      <c r="G859" s="78">
        <v>857</v>
      </c>
      <c r="H859" s="180">
        <f t="shared" ca="1" si="28"/>
        <v>-6.6585071080006398E-3</v>
      </c>
    </row>
    <row r="860" spans="2:8" x14ac:dyDescent="0.3">
      <c r="B860" s="69">
        <v>44775</v>
      </c>
      <c r="C860" s="55">
        <v>1294.6500000000001</v>
      </c>
      <c r="D860" s="70">
        <f t="shared" si="27"/>
        <v>-0.40950969213226907</v>
      </c>
      <c r="E860" s="180">
        <v>6.1394987371284947E-3</v>
      </c>
      <c r="G860" s="78">
        <v>858</v>
      </c>
      <c r="H860" s="180">
        <f t="shared" ca="1" si="28"/>
        <v>7.8613925782107484E-3</v>
      </c>
    </row>
    <row r="861" spans="2:8" x14ac:dyDescent="0.3">
      <c r="B861" s="69">
        <v>45232</v>
      </c>
      <c r="C861" s="55">
        <v>2192.5</v>
      </c>
      <c r="D861" s="70">
        <f t="shared" si="27"/>
        <v>7.4890136482431524</v>
      </c>
      <c r="E861" s="180">
        <v>6.1377846612745944E-3</v>
      </c>
      <c r="G861" s="78">
        <v>859</v>
      </c>
      <c r="H861" s="180">
        <f t="shared" ca="1" si="28"/>
        <v>1.0819532470643231E-2</v>
      </c>
    </row>
    <row r="862" spans="2:8" x14ac:dyDescent="0.3">
      <c r="B862" s="69">
        <v>42934</v>
      </c>
      <c r="C862" s="55">
        <v>258.27499999999998</v>
      </c>
      <c r="D862" s="70">
        <f t="shared" si="27"/>
        <v>-0.72152888218011269</v>
      </c>
      <c r="E862" s="180">
        <v>6.1355668095052149E-3</v>
      </c>
      <c r="G862" s="78">
        <v>860</v>
      </c>
      <c r="H862" s="180">
        <f t="shared" ca="1" si="28"/>
        <v>-4.6734005757472545E-2</v>
      </c>
    </row>
    <row r="863" spans="2:8" x14ac:dyDescent="0.3">
      <c r="B863" s="69">
        <v>44407</v>
      </c>
      <c r="C863" s="55">
        <v>927.47500000000002</v>
      </c>
      <c r="D863" s="70">
        <f t="shared" si="27"/>
        <v>-0.80020464765597654</v>
      </c>
      <c r="E863" s="180">
        <v>6.1291459875789621E-3</v>
      </c>
      <c r="G863" s="78">
        <v>861</v>
      </c>
      <c r="H863" s="180">
        <f t="shared" ca="1" si="28"/>
        <v>-3.1802297163109249E-2</v>
      </c>
    </row>
    <row r="864" spans="2:8" x14ac:dyDescent="0.3">
      <c r="B864" s="69">
        <v>45430</v>
      </c>
      <c r="C864" s="55">
        <v>4642.125</v>
      </c>
      <c r="D864" s="70">
        <f t="shared" si="27"/>
        <v>0.18502421933334615</v>
      </c>
      <c r="E864" s="180">
        <v>6.0955786736020803E-3</v>
      </c>
      <c r="G864" s="78">
        <v>862</v>
      </c>
      <c r="H864" s="180">
        <f t="shared" ca="1" si="28"/>
        <v>-2.1212033049555701E-2</v>
      </c>
    </row>
    <row r="865" spans="2:8" x14ac:dyDescent="0.3">
      <c r="B865" s="69">
        <v>45353</v>
      </c>
      <c r="C865" s="55">
        <v>3917.3249999999998</v>
      </c>
      <c r="D865" s="70">
        <f t="shared" si="27"/>
        <v>-8.0806954971020958E-2</v>
      </c>
      <c r="E865" s="180">
        <v>6.0804129801086855E-3</v>
      </c>
      <c r="G865" s="78">
        <v>863</v>
      </c>
      <c r="H865" s="180">
        <f t="shared" ca="1" si="28"/>
        <v>-2.2760652484804834E-2</v>
      </c>
    </row>
    <row r="866" spans="2:8" x14ac:dyDescent="0.3">
      <c r="B866" s="69">
        <v>46141</v>
      </c>
      <c r="C866" s="55">
        <v>4261.7</v>
      </c>
      <c r="D866" s="70">
        <f t="shared" si="27"/>
        <v>-0.27522108843537418</v>
      </c>
      <c r="E866" s="180">
        <v>6.0789197228484759E-3</v>
      </c>
      <c r="G866" s="78">
        <v>864</v>
      </c>
      <c r="H866" s="180">
        <f t="shared" ca="1" si="28"/>
        <v>-1.6833605937225857E-2</v>
      </c>
    </row>
    <row r="867" spans="2:8" x14ac:dyDescent="0.3">
      <c r="B867" s="69">
        <v>45818</v>
      </c>
      <c r="C867" s="55">
        <v>5880</v>
      </c>
      <c r="D867" s="70">
        <f t="shared" si="27"/>
        <v>8.0367695085872359</v>
      </c>
      <c r="E867" s="180">
        <v>6.074086748224827E-3</v>
      </c>
      <c r="G867" s="78">
        <v>865</v>
      </c>
      <c r="H867" s="180">
        <f t="shared" ca="1" si="28"/>
        <v>1.2008747208524672E-2</v>
      </c>
    </row>
    <row r="868" spans="2:8" x14ac:dyDescent="0.3">
      <c r="B868" s="69">
        <v>44081</v>
      </c>
      <c r="C868" s="55">
        <v>650.67499999999995</v>
      </c>
      <c r="D868" s="70">
        <f t="shared" si="27"/>
        <v>1.0343129591996245</v>
      </c>
      <c r="E868" s="180">
        <v>6.0688055662929336E-3</v>
      </c>
      <c r="G868" s="78">
        <v>866</v>
      </c>
      <c r="H868" s="180">
        <f t="shared" ca="1" si="28"/>
        <v>3.8147809763642102E-3</v>
      </c>
    </row>
    <row r="869" spans="2:8" x14ac:dyDescent="0.3">
      <c r="B869" s="69">
        <v>43147</v>
      </c>
      <c r="C869" s="55">
        <v>319.85000000000002</v>
      </c>
      <c r="D869" s="70">
        <f t="shared" si="27"/>
        <v>-0.70158374734681506</v>
      </c>
      <c r="E869" s="180">
        <v>5.9757823557164153E-3</v>
      </c>
      <c r="G869" s="78">
        <v>867</v>
      </c>
      <c r="H869" s="180">
        <f t="shared" ca="1" si="28"/>
        <v>4.3337225932592614E-2</v>
      </c>
    </row>
    <row r="870" spans="2:8" x14ac:dyDescent="0.3">
      <c r="B870" s="69">
        <v>44567</v>
      </c>
      <c r="C870" s="55">
        <v>1071.825</v>
      </c>
      <c r="D870" s="70">
        <f t="shared" si="27"/>
        <v>-0.75059046643940019</v>
      </c>
      <c r="E870" s="180">
        <v>5.9597831952886149E-3</v>
      </c>
      <c r="G870" s="78">
        <v>868</v>
      </c>
      <c r="H870" s="180">
        <f t="shared" ca="1" si="28"/>
        <v>1.8864074095917095E-2</v>
      </c>
    </row>
    <row r="871" spans="2:8" x14ac:dyDescent="0.3">
      <c r="B871" s="69">
        <v>46139</v>
      </c>
      <c r="C871" s="55">
        <v>4297.45</v>
      </c>
      <c r="D871" s="70">
        <f t="shared" si="27"/>
        <v>4.2248632218844984</v>
      </c>
      <c r="E871" s="180">
        <v>5.9573970037452755E-3</v>
      </c>
      <c r="G871" s="78">
        <v>869</v>
      </c>
      <c r="H871" s="180">
        <f t="shared" ca="1" si="28"/>
        <v>-2.2475052318277604E-2</v>
      </c>
    </row>
    <row r="872" spans="2:8" x14ac:dyDescent="0.3">
      <c r="B872" s="69">
        <v>44340</v>
      </c>
      <c r="C872" s="55">
        <v>822.5</v>
      </c>
      <c r="D872" s="70">
        <f t="shared" si="27"/>
        <v>0.4585919489271148</v>
      </c>
      <c r="E872" s="180">
        <v>5.9316333394484472E-3</v>
      </c>
      <c r="G872" s="78">
        <v>870</v>
      </c>
      <c r="H872" s="180">
        <f t="shared" ca="1" si="28"/>
        <v>1.1734785324012365E-2</v>
      </c>
    </row>
    <row r="873" spans="2:8" x14ac:dyDescent="0.3">
      <c r="B873" s="69">
        <v>44043</v>
      </c>
      <c r="C873" s="55">
        <v>563.9</v>
      </c>
      <c r="D873" s="70">
        <f t="shared" si="27"/>
        <v>-0.89911847183895455</v>
      </c>
      <c r="E873" s="180">
        <v>5.9314097132407463E-3</v>
      </c>
      <c r="G873" s="78">
        <v>871</v>
      </c>
      <c r="H873" s="180">
        <f t="shared" ca="1" si="28"/>
        <v>-1.0224367017836885E-2</v>
      </c>
    </row>
    <row r="874" spans="2:8" x14ac:dyDescent="0.3">
      <c r="B874" s="69">
        <v>45478</v>
      </c>
      <c r="C874" s="55">
        <v>5589.7250000000004</v>
      </c>
      <c r="D874" s="70">
        <f t="shared" si="27"/>
        <v>2.2587923219308856</v>
      </c>
      <c r="E874" s="180">
        <v>5.9115959959510269E-3</v>
      </c>
      <c r="G874" s="78">
        <v>872</v>
      </c>
      <c r="H874" s="180">
        <f t="shared" ca="1" si="28"/>
        <v>-2.4468737769833611E-2</v>
      </c>
    </row>
    <row r="875" spans="2:8" x14ac:dyDescent="0.3">
      <c r="B875" s="69">
        <v>45133</v>
      </c>
      <c r="C875" s="55">
        <v>1715.2750000000001</v>
      </c>
      <c r="D875" s="70">
        <f t="shared" si="27"/>
        <v>-3.186160380420202E-2</v>
      </c>
      <c r="E875" s="180">
        <v>5.9083978418954051E-3</v>
      </c>
      <c r="G875" s="78">
        <v>873</v>
      </c>
      <c r="H875" s="180">
        <f t="shared" ca="1" si="28"/>
        <v>-3.9189793303024073E-4</v>
      </c>
    </row>
    <row r="876" spans="2:8" x14ac:dyDescent="0.3">
      <c r="B876" s="69">
        <v>45107</v>
      </c>
      <c r="C876" s="55">
        <v>1771.7249999999999</v>
      </c>
      <c r="D876" s="70">
        <f t="shared" si="27"/>
        <v>-0.66743782261848894</v>
      </c>
      <c r="E876" s="180">
        <v>5.9046456502916062E-3</v>
      </c>
      <c r="G876" s="78">
        <v>874</v>
      </c>
      <c r="H876" s="180">
        <f t="shared" ca="1" si="28"/>
        <v>-1.545056878546232E-2</v>
      </c>
    </row>
    <row r="877" spans="2:8" x14ac:dyDescent="0.3">
      <c r="B877" s="69">
        <v>45771</v>
      </c>
      <c r="C877" s="55">
        <v>5327.5</v>
      </c>
      <c r="D877" s="70">
        <f t="shared" si="27"/>
        <v>9.1553564620663348</v>
      </c>
      <c r="E877" s="180">
        <v>5.9004012272834555E-3</v>
      </c>
      <c r="G877" s="78">
        <v>875</v>
      </c>
      <c r="H877" s="180">
        <f t="shared" ca="1" si="28"/>
        <v>-1.259279104172919E-2</v>
      </c>
    </row>
    <row r="878" spans="2:8" x14ac:dyDescent="0.3">
      <c r="B878" s="69">
        <v>43802</v>
      </c>
      <c r="C878" s="55">
        <v>524.6</v>
      </c>
      <c r="D878" s="70">
        <f t="shared" si="27"/>
        <v>0.44947157560268014</v>
      </c>
      <c r="E878" s="180">
        <v>5.8479532163744005E-3</v>
      </c>
      <c r="G878" s="78">
        <v>876</v>
      </c>
      <c r="H878" s="180">
        <f t="shared" ca="1" si="28"/>
        <v>-2.1533239831971196E-2</v>
      </c>
    </row>
    <row r="879" spans="2:8" x14ac:dyDescent="0.3">
      <c r="B879" s="69">
        <v>43360</v>
      </c>
      <c r="C879" s="55">
        <v>361.92500000000001</v>
      </c>
      <c r="D879" s="70">
        <f t="shared" si="27"/>
        <v>6.7153177060297914E-2</v>
      </c>
      <c r="E879" s="180">
        <v>5.8361703605918592E-3</v>
      </c>
      <c r="G879" s="78">
        <v>877</v>
      </c>
      <c r="H879" s="180">
        <f t="shared" ca="1" si="28"/>
        <v>-9.1563310358707176E-4</v>
      </c>
    </row>
    <row r="880" spans="2:8" x14ac:dyDescent="0.3">
      <c r="B880" s="69">
        <v>43377</v>
      </c>
      <c r="C880" s="55">
        <v>339.15</v>
      </c>
      <c r="D880" s="70">
        <f t="shared" si="27"/>
        <v>-0.91622823267876985</v>
      </c>
      <c r="E880" s="180">
        <v>5.7829181494659888E-3</v>
      </c>
      <c r="G880" s="78">
        <v>878</v>
      </c>
      <c r="H880" s="180">
        <f t="shared" ca="1" si="28"/>
        <v>-2.3966236291563491E-3</v>
      </c>
    </row>
    <row r="881" spans="2:8" x14ac:dyDescent="0.3">
      <c r="B881" s="69">
        <v>46010</v>
      </c>
      <c r="C881" s="55">
        <v>4048.5</v>
      </c>
      <c r="D881" s="70">
        <f t="shared" si="27"/>
        <v>-7.6728354941333579E-2</v>
      </c>
      <c r="E881" s="180">
        <v>5.7760387553568099E-3</v>
      </c>
      <c r="G881" s="78">
        <v>879</v>
      </c>
      <c r="H881" s="180">
        <f t="shared" ca="1" si="28"/>
        <v>1.2383890816281325E-2</v>
      </c>
    </row>
    <row r="882" spans="2:8" x14ac:dyDescent="0.3">
      <c r="B882" s="69">
        <v>45981</v>
      </c>
      <c r="C882" s="55">
        <v>4384.9500000000007</v>
      </c>
      <c r="D882" s="70">
        <f t="shared" si="27"/>
        <v>-0.3725814240489348</v>
      </c>
      <c r="E882" s="180">
        <v>5.7455446225833373E-3</v>
      </c>
      <c r="G882" s="78">
        <v>880</v>
      </c>
      <c r="H882" s="180">
        <f t="shared" ca="1" si="28"/>
        <v>1.4391683875656053E-4</v>
      </c>
    </row>
    <row r="883" spans="2:8" x14ac:dyDescent="0.3">
      <c r="B883" s="69">
        <v>45642</v>
      </c>
      <c r="C883" s="55">
        <v>6988.875</v>
      </c>
      <c r="D883" s="70">
        <f t="shared" si="27"/>
        <v>19.201980054921233</v>
      </c>
      <c r="E883" s="180">
        <v>5.7454723375474255E-3</v>
      </c>
      <c r="G883" s="78">
        <v>881</v>
      </c>
      <c r="H883" s="180">
        <f t="shared" ca="1" si="28"/>
        <v>-1.202699120437306E-3</v>
      </c>
    </row>
    <row r="884" spans="2:8" x14ac:dyDescent="0.3">
      <c r="B884" s="69">
        <v>43494</v>
      </c>
      <c r="C884" s="55">
        <v>345.95</v>
      </c>
      <c r="D884" s="70">
        <f t="shared" si="27"/>
        <v>-0.93126058685317747</v>
      </c>
      <c r="E884" s="180">
        <v>5.7416963442109619E-3</v>
      </c>
      <c r="G884" s="78">
        <v>882</v>
      </c>
      <c r="H884" s="180">
        <f t="shared" ca="1" si="28"/>
        <v>-2.858546209779966E-3</v>
      </c>
    </row>
    <row r="885" spans="2:8" x14ac:dyDescent="0.3">
      <c r="B885" s="69">
        <v>45713</v>
      </c>
      <c r="C885" s="55">
        <v>5032.7749999999996</v>
      </c>
      <c r="D885" s="70">
        <f t="shared" si="27"/>
        <v>14.250833333333333</v>
      </c>
      <c r="E885" s="180">
        <v>5.725276646766345E-3</v>
      </c>
      <c r="G885" s="78">
        <v>883</v>
      </c>
      <c r="H885" s="180">
        <f t="shared" ca="1" si="28"/>
        <v>2.0645741788775662E-2</v>
      </c>
    </row>
    <row r="886" spans="2:8" x14ac:dyDescent="0.3">
      <c r="B886" s="69">
        <v>43516</v>
      </c>
      <c r="C886" s="55">
        <v>330</v>
      </c>
      <c r="D886" s="70">
        <f t="shared" si="27"/>
        <v>-0.37348711376904448</v>
      </c>
      <c r="E886" s="180">
        <v>5.7142857142857143E-3</v>
      </c>
      <c r="G886" s="78">
        <v>884</v>
      </c>
      <c r="H886" s="180">
        <f t="shared" ca="1" si="28"/>
        <v>-1.2171494392290661E-2</v>
      </c>
    </row>
    <row r="887" spans="2:8" x14ac:dyDescent="0.3">
      <c r="B887" s="69">
        <v>43822</v>
      </c>
      <c r="C887" s="55">
        <v>526.72499999999991</v>
      </c>
      <c r="D887" s="70">
        <f t="shared" si="27"/>
        <v>-0.5077336448598132</v>
      </c>
      <c r="E887" s="180">
        <v>5.6801909307874158E-3</v>
      </c>
      <c r="G887" s="78">
        <v>885</v>
      </c>
      <c r="H887" s="180">
        <f t="shared" ca="1" si="28"/>
        <v>-2.3376781738469018E-2</v>
      </c>
    </row>
    <row r="888" spans="2:8" x14ac:dyDescent="0.3">
      <c r="B888" s="69">
        <v>44602</v>
      </c>
      <c r="C888" s="55">
        <v>1070</v>
      </c>
      <c r="D888" s="70">
        <f t="shared" si="27"/>
        <v>-0.37558356676003729</v>
      </c>
      <c r="E888" s="180">
        <v>5.6390977443609019E-3</v>
      </c>
      <c r="G888" s="78">
        <v>886</v>
      </c>
      <c r="H888" s="180">
        <f t="shared" ca="1" si="28"/>
        <v>-4.0116174724468288E-2</v>
      </c>
    </row>
    <row r="889" spans="2:8" x14ac:dyDescent="0.3">
      <c r="B889" s="69">
        <v>45127</v>
      </c>
      <c r="C889" s="55">
        <v>1713.6</v>
      </c>
      <c r="D889" s="70">
        <f t="shared" si="27"/>
        <v>3.6376184032476315</v>
      </c>
      <c r="E889" s="180">
        <v>5.633802816901355E-3</v>
      </c>
      <c r="G889" s="78">
        <v>887</v>
      </c>
      <c r="H889" s="180">
        <f t="shared" ca="1" si="28"/>
        <v>7.0242123676835799E-3</v>
      </c>
    </row>
    <row r="890" spans="2:8" x14ac:dyDescent="0.3">
      <c r="B890" s="69">
        <v>43333</v>
      </c>
      <c r="C890" s="55">
        <v>369.5</v>
      </c>
      <c r="D890" s="70">
        <f t="shared" si="27"/>
        <v>-0.32818181818181819</v>
      </c>
      <c r="E890" s="180">
        <v>5.5789903388214837E-3</v>
      </c>
      <c r="G890" s="78">
        <v>888</v>
      </c>
      <c r="H890" s="180">
        <f t="shared" ca="1" si="28"/>
        <v>6.5760660149287503E-3</v>
      </c>
    </row>
    <row r="891" spans="2:8" x14ac:dyDescent="0.3">
      <c r="B891" s="69">
        <v>43770</v>
      </c>
      <c r="C891" s="55">
        <v>550</v>
      </c>
      <c r="D891" s="70">
        <f t="shared" si="27"/>
        <v>0.68582375478927204</v>
      </c>
      <c r="E891" s="180">
        <v>5.5763780967180805E-3</v>
      </c>
      <c r="G891" s="78">
        <v>889</v>
      </c>
      <c r="H891" s="180">
        <f t="shared" ca="1" si="28"/>
        <v>1.0261836676816636E-2</v>
      </c>
    </row>
    <row r="892" spans="2:8" x14ac:dyDescent="0.3">
      <c r="B892" s="69">
        <v>43129</v>
      </c>
      <c r="C892" s="55">
        <v>326.25</v>
      </c>
      <c r="D892" s="70">
        <f t="shared" si="27"/>
        <v>-0.75288303130148271</v>
      </c>
      <c r="E892" s="180">
        <v>5.5478502080444176E-3</v>
      </c>
      <c r="G892" s="78">
        <v>890</v>
      </c>
      <c r="H892" s="180">
        <f t="shared" ca="1" si="28"/>
        <v>-3.9719721260210381E-2</v>
      </c>
    </row>
    <row r="893" spans="2:8" x14ac:dyDescent="0.3">
      <c r="B893" s="69">
        <v>44781</v>
      </c>
      <c r="C893" s="55">
        <v>1320.2249999999999</v>
      </c>
      <c r="D893" s="70">
        <f t="shared" si="27"/>
        <v>3.3934276206322793</v>
      </c>
      <c r="E893" s="180">
        <v>5.5409573860389682E-3</v>
      </c>
      <c r="G893" s="78">
        <v>891</v>
      </c>
      <c r="H893" s="180">
        <f t="shared" ca="1" si="28"/>
        <v>1.2584657253158476E-2</v>
      </c>
    </row>
    <row r="894" spans="2:8" x14ac:dyDescent="0.3">
      <c r="B894" s="69">
        <v>43042</v>
      </c>
      <c r="C894" s="55">
        <v>300.5</v>
      </c>
      <c r="D894" s="70">
        <f t="shared" si="27"/>
        <v>-0.13187924310270108</v>
      </c>
      <c r="E894" s="180">
        <v>5.5211644637777387E-3</v>
      </c>
      <c r="G894" s="78">
        <v>892</v>
      </c>
      <c r="H894" s="180">
        <f t="shared" ca="1" si="28"/>
        <v>1.8186363011917513E-2</v>
      </c>
    </row>
    <row r="895" spans="2:8" x14ac:dyDescent="0.3">
      <c r="B895" s="69">
        <v>43461</v>
      </c>
      <c r="C895" s="55">
        <v>346.15</v>
      </c>
      <c r="D895" s="70">
        <f t="shared" si="27"/>
        <v>-4.1533988647376438E-2</v>
      </c>
      <c r="E895" s="180">
        <v>5.5192447349309438E-3</v>
      </c>
      <c r="G895" s="78">
        <v>893</v>
      </c>
      <c r="H895" s="180">
        <f t="shared" ca="1" si="28"/>
        <v>4.8606973783669731E-2</v>
      </c>
    </row>
    <row r="896" spans="2:8" x14ac:dyDescent="0.3">
      <c r="B896" s="69">
        <v>43322</v>
      </c>
      <c r="C896" s="55">
        <v>361.15</v>
      </c>
      <c r="D896" s="70">
        <f t="shared" si="27"/>
        <v>3.5926855503764725E-2</v>
      </c>
      <c r="E896" s="180">
        <v>5.4987123268602301E-3</v>
      </c>
      <c r="G896" s="78">
        <v>894</v>
      </c>
      <c r="H896" s="180">
        <f t="shared" ca="1" si="28"/>
        <v>-3.4635787328315985E-3</v>
      </c>
    </row>
    <row r="897" spans="2:8" x14ac:dyDescent="0.3">
      <c r="B897" s="69">
        <v>43308</v>
      </c>
      <c r="C897" s="55">
        <v>348.625</v>
      </c>
      <c r="D897" s="70">
        <f t="shared" si="27"/>
        <v>-0.80206662597760214</v>
      </c>
      <c r="E897" s="180">
        <v>5.4798471411059979E-3</v>
      </c>
      <c r="G897" s="78">
        <v>895</v>
      </c>
      <c r="H897" s="180">
        <f t="shared" ca="1" si="28"/>
        <v>-2.1084784101153876E-2</v>
      </c>
    </row>
    <row r="898" spans="2:8" x14ac:dyDescent="0.3">
      <c r="B898" s="69">
        <v>45105</v>
      </c>
      <c r="C898" s="55">
        <v>1761.325</v>
      </c>
      <c r="D898" s="70">
        <f t="shared" si="27"/>
        <v>3.943723247491405</v>
      </c>
      <c r="E898" s="180">
        <v>5.451613363588334E-3</v>
      </c>
      <c r="G898" s="78">
        <v>896</v>
      </c>
      <c r="H898" s="180">
        <f t="shared" ca="1" si="28"/>
        <v>-1.6511628936804981E-2</v>
      </c>
    </row>
    <row r="899" spans="2:8" x14ac:dyDescent="0.3">
      <c r="B899" s="69">
        <v>43480</v>
      </c>
      <c r="C899" s="55">
        <v>356.27499999999998</v>
      </c>
      <c r="D899" s="70">
        <f t="shared" ref="D899:D962" si="29">(C899-C900)/C900</f>
        <v>-0.58650805164659803</v>
      </c>
      <c r="E899" s="180">
        <v>5.4324820093126979E-3</v>
      </c>
      <c r="G899" s="78">
        <v>897</v>
      </c>
      <c r="H899" s="180">
        <f t="shared" ca="1" si="28"/>
        <v>4.8990292675313053E-3</v>
      </c>
    </row>
    <row r="900" spans="2:8" x14ac:dyDescent="0.3">
      <c r="B900" s="69">
        <v>44357</v>
      </c>
      <c r="C900" s="55">
        <v>861.625</v>
      </c>
      <c r="D900" s="70">
        <f t="shared" si="29"/>
        <v>1.4443262411347517</v>
      </c>
      <c r="E900" s="180">
        <v>5.426062603926576E-3</v>
      </c>
      <c r="G900" s="78">
        <v>898</v>
      </c>
      <c r="H900" s="180">
        <f t="shared" ref="H900:H963" ca="1" si="30">_xlfn.NORM.INV(RAND(),$N$4,$N$5)</f>
        <v>-3.1737396980928922E-2</v>
      </c>
    </row>
    <row r="901" spans="2:8" x14ac:dyDescent="0.3">
      <c r="B901" s="69">
        <v>43560</v>
      </c>
      <c r="C901" s="55">
        <v>352.5</v>
      </c>
      <c r="D901" s="70">
        <f t="shared" si="29"/>
        <v>-1.3641133263378805E-2</v>
      </c>
      <c r="E901" s="180">
        <v>5.4192812321733515E-3</v>
      </c>
      <c r="G901" s="78">
        <v>899</v>
      </c>
      <c r="H901" s="180">
        <f t="shared" ca="1" si="30"/>
        <v>9.2581647988558922E-3</v>
      </c>
    </row>
    <row r="902" spans="2:8" x14ac:dyDescent="0.3">
      <c r="B902" s="69">
        <v>43573</v>
      </c>
      <c r="C902" s="55">
        <v>357.375</v>
      </c>
      <c r="D902" s="70">
        <f t="shared" si="29"/>
        <v>-0.5282645282645283</v>
      </c>
      <c r="E902" s="180">
        <v>5.41567027711355E-3</v>
      </c>
      <c r="G902" s="78">
        <v>900</v>
      </c>
      <c r="H902" s="180">
        <f t="shared" ca="1" si="30"/>
        <v>1.9746976065900382E-2</v>
      </c>
    </row>
    <row r="903" spans="2:8" x14ac:dyDescent="0.3">
      <c r="B903" s="69">
        <v>44154</v>
      </c>
      <c r="C903" s="55">
        <v>757.57500000000005</v>
      </c>
      <c r="D903" s="70">
        <f t="shared" si="29"/>
        <v>1.3274193548387099</v>
      </c>
      <c r="E903" s="180">
        <v>5.4080955540810162E-3</v>
      </c>
      <c r="G903" s="78">
        <v>901</v>
      </c>
      <c r="H903" s="180">
        <f t="shared" ca="1" si="30"/>
        <v>-1.2925707547743269E-2</v>
      </c>
    </row>
    <row r="904" spans="2:8" x14ac:dyDescent="0.3">
      <c r="B904" s="69">
        <v>43266</v>
      </c>
      <c r="C904" s="55">
        <v>325.5</v>
      </c>
      <c r="D904" s="70">
        <f t="shared" si="29"/>
        <v>-0.21594604359869923</v>
      </c>
      <c r="E904" s="180">
        <v>5.4054054054054057E-3</v>
      </c>
      <c r="G904" s="78">
        <v>902</v>
      </c>
      <c r="H904" s="180">
        <f t="shared" ca="1" si="30"/>
        <v>2.6980621374103245E-2</v>
      </c>
    </row>
    <row r="905" spans="2:8" x14ac:dyDescent="0.3">
      <c r="B905" s="69">
        <v>43971</v>
      </c>
      <c r="C905" s="55">
        <v>415.15</v>
      </c>
      <c r="D905" s="70">
        <f t="shared" si="29"/>
        <v>0.70843621399176948</v>
      </c>
      <c r="E905" s="180">
        <v>5.3883877217411535E-3</v>
      </c>
      <c r="G905" s="78">
        <v>903</v>
      </c>
      <c r="H905" s="180">
        <f t="shared" ca="1" si="30"/>
        <v>1.7681563210278171E-3</v>
      </c>
    </row>
    <row r="906" spans="2:8" x14ac:dyDescent="0.3">
      <c r="B906" s="69">
        <v>42808</v>
      </c>
      <c r="C906" s="55">
        <v>243</v>
      </c>
      <c r="D906" s="70">
        <f t="shared" si="29"/>
        <v>-0.94947026959586611</v>
      </c>
      <c r="E906" s="180">
        <v>5.3785684733140731E-3</v>
      </c>
      <c r="G906" s="78">
        <v>904</v>
      </c>
      <c r="H906" s="180">
        <f t="shared" ca="1" si="30"/>
        <v>2.1613624300152436E-2</v>
      </c>
    </row>
    <row r="907" spans="2:8" x14ac:dyDescent="0.3">
      <c r="B907" s="69">
        <v>45957</v>
      </c>
      <c r="C907" s="55">
        <v>4809.0499999999993</v>
      </c>
      <c r="D907" s="70">
        <f t="shared" si="29"/>
        <v>-0.10984729291994461</v>
      </c>
      <c r="E907" s="180">
        <v>5.3517858449444343E-3</v>
      </c>
      <c r="G907" s="78">
        <v>905</v>
      </c>
      <c r="H907" s="180">
        <f t="shared" ca="1" si="30"/>
        <v>3.035620042170541E-2</v>
      </c>
    </row>
    <row r="908" spans="2:8" x14ac:dyDescent="0.3">
      <c r="B908" s="69">
        <v>45860</v>
      </c>
      <c r="C908" s="55">
        <v>5402.5</v>
      </c>
      <c r="D908" s="70">
        <f t="shared" si="29"/>
        <v>14.343652371485371</v>
      </c>
      <c r="E908" s="180">
        <v>5.350081414282391E-3</v>
      </c>
      <c r="G908" s="78">
        <v>906</v>
      </c>
      <c r="H908" s="180">
        <f t="shared" ca="1" si="30"/>
        <v>1.7413324659381842E-2</v>
      </c>
    </row>
    <row r="909" spans="2:8" x14ac:dyDescent="0.3">
      <c r="B909" s="69">
        <v>43473</v>
      </c>
      <c r="C909" s="55">
        <v>352.1</v>
      </c>
      <c r="D909" s="70">
        <f t="shared" si="29"/>
        <v>-0.48830111902339773</v>
      </c>
      <c r="E909" s="180">
        <v>5.2819414703783665E-3</v>
      </c>
      <c r="G909" s="78">
        <v>907</v>
      </c>
      <c r="H909" s="180">
        <f t="shared" ca="1" si="30"/>
        <v>1.9797011811140734E-2</v>
      </c>
    </row>
    <row r="910" spans="2:8" x14ac:dyDescent="0.3">
      <c r="B910" s="69">
        <v>44238</v>
      </c>
      <c r="C910" s="55">
        <v>688.1</v>
      </c>
      <c r="D910" s="70">
        <f t="shared" si="29"/>
        <v>1.1159286592865929</v>
      </c>
      <c r="E910" s="180">
        <v>5.2593133674215089E-3</v>
      </c>
      <c r="G910" s="78">
        <v>908</v>
      </c>
      <c r="H910" s="180">
        <f t="shared" ca="1" si="30"/>
        <v>-2.9796509213661837E-2</v>
      </c>
    </row>
    <row r="911" spans="2:8" x14ac:dyDescent="0.3">
      <c r="B911" s="69">
        <v>43402</v>
      </c>
      <c r="C911" s="55">
        <v>325.2</v>
      </c>
      <c r="D911" s="70">
        <f t="shared" si="29"/>
        <v>-7.1520342612419727E-2</v>
      </c>
      <c r="E911" s="180">
        <v>5.2550231839257767E-3</v>
      </c>
      <c r="G911" s="78">
        <v>909</v>
      </c>
      <c r="H911" s="180">
        <f t="shared" ca="1" si="30"/>
        <v>-1.9949921637079822E-2</v>
      </c>
    </row>
    <row r="912" spans="2:8" x14ac:dyDescent="0.3">
      <c r="B912" s="69">
        <v>43472</v>
      </c>
      <c r="C912" s="55">
        <v>350.25</v>
      </c>
      <c r="D912" s="70">
        <f t="shared" si="29"/>
        <v>-0.65923187313015341</v>
      </c>
      <c r="E912" s="180">
        <v>5.2378560665853153E-3</v>
      </c>
      <c r="G912" s="78">
        <v>910</v>
      </c>
      <c r="H912" s="180">
        <f t="shared" ca="1" si="30"/>
        <v>-4.0168287484647095E-3</v>
      </c>
    </row>
    <row r="913" spans="2:8" x14ac:dyDescent="0.3">
      <c r="B913" s="69">
        <v>44448</v>
      </c>
      <c r="C913" s="55">
        <v>1027.8249999999998</v>
      </c>
      <c r="D913" s="70">
        <f t="shared" si="29"/>
        <v>-0.85969360766902259</v>
      </c>
      <c r="E913" s="180">
        <v>5.2078239608800174E-3</v>
      </c>
      <c r="G913" s="78">
        <v>911</v>
      </c>
      <c r="H913" s="180">
        <f t="shared" ca="1" si="30"/>
        <v>-2.0642295575872695E-2</v>
      </c>
    </row>
    <row r="914" spans="2:8" x14ac:dyDescent="0.3">
      <c r="B914" s="69">
        <v>45593</v>
      </c>
      <c r="C914" s="55">
        <v>7325.5749999999998</v>
      </c>
      <c r="D914" s="70">
        <f t="shared" si="29"/>
        <v>21.225652305825239</v>
      </c>
      <c r="E914" s="180">
        <v>5.207457848064331E-3</v>
      </c>
      <c r="G914" s="78">
        <v>912</v>
      </c>
      <c r="H914" s="180">
        <f t="shared" ca="1" si="30"/>
        <v>-1.5836845948633355E-2</v>
      </c>
    </row>
    <row r="915" spans="2:8" x14ac:dyDescent="0.3">
      <c r="B915" s="69">
        <v>43089</v>
      </c>
      <c r="C915" s="55">
        <v>329.6</v>
      </c>
      <c r="D915" s="70">
        <f t="shared" si="29"/>
        <v>-0.71196364589705496</v>
      </c>
      <c r="E915" s="180">
        <v>5.1845074717903191E-3</v>
      </c>
      <c r="G915" s="78">
        <v>913</v>
      </c>
      <c r="H915" s="180">
        <f t="shared" ca="1" si="30"/>
        <v>5.9326139619648322E-3</v>
      </c>
    </row>
    <row r="916" spans="2:8" x14ac:dyDescent="0.3">
      <c r="B916" s="69">
        <v>44512</v>
      </c>
      <c r="C916" s="55">
        <v>1144.3</v>
      </c>
      <c r="D916" s="70">
        <f t="shared" si="29"/>
        <v>-0.71912470391870498</v>
      </c>
      <c r="E916" s="180">
        <v>5.1827125790582075E-3</v>
      </c>
      <c r="G916" s="78">
        <v>914</v>
      </c>
      <c r="H916" s="180">
        <f t="shared" ca="1" si="30"/>
        <v>-9.0949777485239656E-3</v>
      </c>
    </row>
    <row r="917" spans="2:8" x14ac:dyDescent="0.3">
      <c r="B917" s="69">
        <v>46001</v>
      </c>
      <c r="C917" s="55">
        <v>4074.05</v>
      </c>
      <c r="D917" s="70">
        <f t="shared" si="29"/>
        <v>2.2805636638147964</v>
      </c>
      <c r="E917" s="180">
        <v>5.1812832311469142E-3</v>
      </c>
      <c r="G917" s="78">
        <v>915</v>
      </c>
      <c r="H917" s="180">
        <f t="shared" ca="1" si="30"/>
        <v>-2.2768677222352433E-2</v>
      </c>
    </row>
    <row r="918" spans="2:8" x14ac:dyDescent="0.3">
      <c r="B918" s="69">
        <v>44769</v>
      </c>
      <c r="C918" s="55">
        <v>1241.875</v>
      </c>
      <c r="D918" s="70">
        <f t="shared" si="29"/>
        <v>-0.77896680608703395</v>
      </c>
      <c r="E918" s="180">
        <v>5.1598543099959527E-3</v>
      </c>
      <c r="G918" s="78">
        <v>916</v>
      </c>
      <c r="H918" s="180">
        <f t="shared" ca="1" si="30"/>
        <v>1.2293766162468215E-3</v>
      </c>
    </row>
    <row r="919" spans="2:8" x14ac:dyDescent="0.3">
      <c r="B919" s="69">
        <v>45481</v>
      </c>
      <c r="C919" s="55">
        <v>5618.5</v>
      </c>
      <c r="D919" s="70">
        <f t="shared" si="29"/>
        <v>0.11688698936487427</v>
      </c>
      <c r="E919" s="180">
        <v>5.1478382210215414E-3</v>
      </c>
      <c r="G919" s="78">
        <v>917</v>
      </c>
      <c r="H919" s="180">
        <f t="shared" ca="1" si="30"/>
        <v>-1.1182733003688418E-2</v>
      </c>
    </row>
    <row r="920" spans="2:8" x14ac:dyDescent="0.3">
      <c r="B920" s="69">
        <v>45868</v>
      </c>
      <c r="C920" s="55">
        <v>5030.5</v>
      </c>
      <c r="D920" s="70">
        <f t="shared" si="29"/>
        <v>8.9006101161188731</v>
      </c>
      <c r="E920" s="180">
        <v>5.1451121434637091E-3</v>
      </c>
      <c r="G920" s="78">
        <v>918</v>
      </c>
      <c r="H920" s="180">
        <f t="shared" ca="1" si="30"/>
        <v>-2.306912690176716E-2</v>
      </c>
    </row>
    <row r="921" spans="2:8" x14ac:dyDescent="0.3">
      <c r="B921" s="69">
        <v>43795</v>
      </c>
      <c r="C921" s="55">
        <v>508.1</v>
      </c>
      <c r="D921" s="70">
        <f t="shared" si="29"/>
        <v>-0.90750045512470412</v>
      </c>
      <c r="E921" s="180">
        <v>5.143422354104892E-3</v>
      </c>
      <c r="G921" s="78">
        <v>919</v>
      </c>
      <c r="H921" s="180">
        <f t="shared" ca="1" si="30"/>
        <v>2.5637861562045491E-2</v>
      </c>
    </row>
    <row r="922" spans="2:8" x14ac:dyDescent="0.3">
      <c r="B922" s="69">
        <v>45890</v>
      </c>
      <c r="C922" s="55">
        <v>5493</v>
      </c>
      <c r="D922" s="70">
        <f t="shared" si="29"/>
        <v>0.27757556023304758</v>
      </c>
      <c r="E922" s="180">
        <v>5.123513266239707E-3</v>
      </c>
      <c r="G922" s="78">
        <v>920</v>
      </c>
      <c r="H922" s="180">
        <f t="shared" ca="1" si="30"/>
        <v>1.436151214001331E-2</v>
      </c>
    </row>
    <row r="923" spans="2:8" x14ac:dyDescent="0.3">
      <c r="B923" s="69">
        <v>45987</v>
      </c>
      <c r="C923" s="55">
        <v>4299.55</v>
      </c>
      <c r="D923" s="70">
        <f t="shared" si="29"/>
        <v>1.8804810236827119</v>
      </c>
      <c r="E923" s="180">
        <v>5.1196334435964948E-3</v>
      </c>
      <c r="G923" s="78">
        <v>921</v>
      </c>
      <c r="H923" s="180">
        <f t="shared" ca="1" si="30"/>
        <v>-2.9751461398246498E-2</v>
      </c>
    </row>
    <row r="924" spans="2:8" x14ac:dyDescent="0.3">
      <c r="B924" s="69">
        <v>45068</v>
      </c>
      <c r="C924" s="55">
        <v>1492.65</v>
      </c>
      <c r="D924" s="70">
        <f t="shared" si="29"/>
        <v>1.8120761115297668</v>
      </c>
      <c r="E924" s="180">
        <v>5.1007524872483034E-3</v>
      </c>
      <c r="G924" s="78">
        <v>922</v>
      </c>
      <c r="H924" s="180">
        <f t="shared" ca="1" si="30"/>
        <v>3.3497901273991881E-2</v>
      </c>
    </row>
    <row r="925" spans="2:8" x14ac:dyDescent="0.3">
      <c r="B925" s="69">
        <v>43762</v>
      </c>
      <c r="C925" s="55">
        <v>530.79999999999995</v>
      </c>
      <c r="D925" s="70">
        <f t="shared" si="29"/>
        <v>0.50251220720401946</v>
      </c>
      <c r="E925" s="180">
        <v>5.0650887573963632E-3</v>
      </c>
      <c r="G925" s="78">
        <v>923</v>
      </c>
      <c r="H925" s="180">
        <f t="shared" ca="1" si="30"/>
        <v>-1.0742314614052114E-2</v>
      </c>
    </row>
    <row r="926" spans="2:8" x14ac:dyDescent="0.3">
      <c r="B926" s="69">
        <v>43567</v>
      </c>
      <c r="C926" s="55">
        <v>353.27499999999998</v>
      </c>
      <c r="D926" s="70">
        <f t="shared" si="29"/>
        <v>0.37688784955665949</v>
      </c>
      <c r="E926" s="180">
        <v>5.0497866287339327E-3</v>
      </c>
      <c r="G926" s="78">
        <v>924</v>
      </c>
      <c r="H926" s="180">
        <f t="shared" ca="1" si="30"/>
        <v>-3.1699250049572802E-2</v>
      </c>
    </row>
    <row r="927" spans="2:8" x14ac:dyDescent="0.3">
      <c r="B927" s="69">
        <v>42866</v>
      </c>
      <c r="C927" s="55">
        <v>256.57500000000005</v>
      </c>
      <c r="D927" s="70">
        <f t="shared" si="29"/>
        <v>-0.17367149758454092</v>
      </c>
      <c r="E927" s="180">
        <v>4.9941245593420839E-3</v>
      </c>
      <c r="G927" s="78">
        <v>925</v>
      </c>
      <c r="H927" s="180">
        <f t="shared" ca="1" si="30"/>
        <v>-1.2532918293710951E-3</v>
      </c>
    </row>
    <row r="928" spans="2:8" x14ac:dyDescent="0.3">
      <c r="B928" s="69">
        <v>43017</v>
      </c>
      <c r="C928" s="55">
        <v>310.5</v>
      </c>
      <c r="D928" s="70">
        <f t="shared" si="29"/>
        <v>-1.7171797103742836E-2</v>
      </c>
      <c r="E928" s="180">
        <v>4.9356744073144341E-3</v>
      </c>
      <c r="G928" s="78">
        <v>926</v>
      </c>
      <c r="H928" s="180">
        <f t="shared" ca="1" si="30"/>
        <v>-2.1932217211450795E-2</v>
      </c>
    </row>
    <row r="929" spans="2:8" x14ac:dyDescent="0.3">
      <c r="B929" s="69">
        <v>43160</v>
      </c>
      <c r="C929" s="55">
        <v>315.92499999999995</v>
      </c>
      <c r="D929" s="70">
        <f t="shared" si="29"/>
        <v>-4.877681595784733E-2</v>
      </c>
      <c r="E929" s="180">
        <v>4.9304174950296764E-3</v>
      </c>
      <c r="G929" s="78">
        <v>927</v>
      </c>
      <c r="H929" s="180">
        <f t="shared" ca="1" si="30"/>
        <v>-8.8497340553053694E-3</v>
      </c>
    </row>
    <row r="930" spans="2:8" x14ac:dyDescent="0.3">
      <c r="B930" s="69">
        <v>43419</v>
      </c>
      <c r="C930" s="55">
        <v>332.125</v>
      </c>
      <c r="D930" s="70">
        <f t="shared" si="29"/>
        <v>-0.34414494470774087</v>
      </c>
      <c r="E930" s="180">
        <v>4.9167927382753407E-3</v>
      </c>
      <c r="G930" s="78">
        <v>928</v>
      </c>
      <c r="H930" s="180">
        <f t="shared" ca="1" si="30"/>
        <v>4.3935240199299373E-3</v>
      </c>
    </row>
    <row r="931" spans="2:8" x14ac:dyDescent="0.3">
      <c r="B931" s="69">
        <v>43752</v>
      </c>
      <c r="C931" s="55">
        <v>506.4</v>
      </c>
      <c r="D931" s="70">
        <f t="shared" si="29"/>
        <v>-0.61430366731406383</v>
      </c>
      <c r="E931" s="180">
        <v>4.911445155529142E-3</v>
      </c>
      <c r="G931" s="78">
        <v>929</v>
      </c>
      <c r="H931" s="180">
        <f t="shared" ca="1" si="30"/>
        <v>4.6015638307511153E-2</v>
      </c>
    </row>
    <row r="932" spans="2:8" x14ac:dyDescent="0.3">
      <c r="B932" s="69">
        <v>44778</v>
      </c>
      <c r="C932" s="55">
        <v>1312.95</v>
      </c>
      <c r="D932" s="70">
        <f t="shared" si="29"/>
        <v>2.5993420601740804</v>
      </c>
      <c r="E932" s="180">
        <v>4.8983965405075131E-3</v>
      </c>
      <c r="G932" s="78">
        <v>930</v>
      </c>
      <c r="H932" s="180">
        <f t="shared" ca="1" si="30"/>
        <v>-2.0506066759707401E-2</v>
      </c>
    </row>
    <row r="933" spans="2:8" x14ac:dyDescent="0.3">
      <c r="B933" s="69">
        <v>43329</v>
      </c>
      <c r="C933" s="55">
        <v>364.77499999999998</v>
      </c>
      <c r="D933" s="70">
        <f t="shared" si="29"/>
        <v>-0.94288342597666963</v>
      </c>
      <c r="E933" s="180">
        <v>4.8898071625343726E-3</v>
      </c>
      <c r="G933" s="78">
        <v>931</v>
      </c>
      <c r="H933" s="180">
        <f t="shared" ca="1" si="30"/>
        <v>-8.1005029648502855E-3</v>
      </c>
    </row>
    <row r="934" spans="2:8" x14ac:dyDescent="0.3">
      <c r="B934" s="69">
        <v>45517</v>
      </c>
      <c r="C934" s="55">
        <v>6386.5</v>
      </c>
      <c r="D934" s="70">
        <f t="shared" si="29"/>
        <v>17.419496719302039</v>
      </c>
      <c r="E934" s="180">
        <v>4.8776650145543228E-3</v>
      </c>
      <c r="G934" s="78">
        <v>932</v>
      </c>
      <c r="H934" s="180">
        <f t="shared" ca="1" si="30"/>
        <v>-5.8652049244135884E-4</v>
      </c>
    </row>
    <row r="935" spans="2:8" x14ac:dyDescent="0.3">
      <c r="B935" s="69">
        <v>43307</v>
      </c>
      <c r="C935" s="55">
        <v>346.72500000000002</v>
      </c>
      <c r="D935" s="70">
        <f t="shared" si="29"/>
        <v>-0.59659685863874345</v>
      </c>
      <c r="E935" s="180">
        <v>4.8543689320388675E-3</v>
      </c>
      <c r="G935" s="78">
        <v>933</v>
      </c>
      <c r="H935" s="180">
        <f t="shared" ca="1" si="30"/>
        <v>-1.4323938834655813E-2</v>
      </c>
    </row>
    <row r="936" spans="2:8" x14ac:dyDescent="0.3">
      <c r="B936" s="69">
        <v>44354</v>
      </c>
      <c r="C936" s="55">
        <v>859.5</v>
      </c>
      <c r="D936" s="70">
        <f t="shared" si="29"/>
        <v>2.1862835959221503</v>
      </c>
      <c r="E936" s="180">
        <v>4.8224462954844366E-3</v>
      </c>
      <c r="G936" s="78">
        <v>934</v>
      </c>
      <c r="H936" s="180">
        <f t="shared" ca="1" si="30"/>
        <v>9.2550370236820802E-4</v>
      </c>
    </row>
    <row r="937" spans="2:8" x14ac:dyDescent="0.3">
      <c r="B937" s="69">
        <v>42968</v>
      </c>
      <c r="C937" s="55">
        <v>269.75</v>
      </c>
      <c r="D937" s="70">
        <f t="shared" si="29"/>
        <v>-0.86893251056799958</v>
      </c>
      <c r="E937" s="180">
        <v>4.7490455349659269E-3</v>
      </c>
      <c r="G937" s="78">
        <v>935</v>
      </c>
      <c r="H937" s="180">
        <f t="shared" ca="1" si="30"/>
        <v>3.2303651461655168E-2</v>
      </c>
    </row>
    <row r="938" spans="2:8" x14ac:dyDescent="0.3">
      <c r="B938" s="69">
        <v>45162</v>
      </c>
      <c r="C938" s="55">
        <v>2058.1</v>
      </c>
      <c r="D938" s="70">
        <f t="shared" si="29"/>
        <v>4.8685486170516112</v>
      </c>
      <c r="E938" s="180">
        <v>4.7354032415545177E-3</v>
      </c>
      <c r="G938" s="78">
        <v>936</v>
      </c>
      <c r="H938" s="180">
        <f t="shared" ca="1" si="30"/>
        <v>1.9856772805526518E-3</v>
      </c>
    </row>
    <row r="939" spans="2:8" x14ac:dyDescent="0.3">
      <c r="B939" s="69">
        <v>43454</v>
      </c>
      <c r="C939" s="55">
        <v>350.7</v>
      </c>
      <c r="D939" s="70">
        <f t="shared" si="29"/>
        <v>-0.73412179450730652</v>
      </c>
      <c r="E939" s="180">
        <v>4.7271164589601329E-3</v>
      </c>
      <c r="G939" s="78">
        <v>937</v>
      </c>
      <c r="H939" s="180">
        <f t="shared" ca="1" si="30"/>
        <v>3.0816688368753987E-2</v>
      </c>
    </row>
    <row r="940" spans="2:8" x14ac:dyDescent="0.3">
      <c r="B940" s="69">
        <v>44657</v>
      </c>
      <c r="C940" s="55">
        <v>1319.0250000000001</v>
      </c>
      <c r="D940" s="70">
        <f t="shared" si="29"/>
        <v>-0.81164656197231877</v>
      </c>
      <c r="E940" s="180">
        <v>4.6461145914657252E-3</v>
      </c>
      <c r="G940" s="78">
        <v>938</v>
      </c>
      <c r="H940" s="180">
        <f t="shared" ca="1" si="30"/>
        <v>-1.5131118443549923E-2</v>
      </c>
    </row>
    <row r="941" spans="2:8" x14ac:dyDescent="0.3">
      <c r="B941" s="69">
        <v>45530</v>
      </c>
      <c r="C941" s="55">
        <v>7002.9249999999993</v>
      </c>
      <c r="D941" s="70">
        <f t="shared" si="29"/>
        <v>2.965263738283393E-2</v>
      </c>
      <c r="E941" s="180">
        <v>4.5977011494251832E-3</v>
      </c>
      <c r="G941" s="78">
        <v>939</v>
      </c>
      <c r="H941" s="180">
        <f t="shared" ca="1" si="30"/>
        <v>2.8219366400802935E-2</v>
      </c>
    </row>
    <row r="942" spans="2:8" x14ac:dyDescent="0.3">
      <c r="B942" s="69">
        <v>45624</v>
      </c>
      <c r="C942" s="55">
        <v>6801.25</v>
      </c>
      <c r="D942" s="70">
        <f t="shared" si="29"/>
        <v>0.24189719711494567</v>
      </c>
      <c r="E942" s="180">
        <v>4.5899847492863648E-3</v>
      </c>
      <c r="G942" s="78">
        <v>940</v>
      </c>
      <c r="H942" s="180">
        <f t="shared" ca="1" si="30"/>
        <v>-6.471143258911116E-3</v>
      </c>
    </row>
    <row r="943" spans="2:8" x14ac:dyDescent="0.3">
      <c r="B943" s="69">
        <v>45803</v>
      </c>
      <c r="C943" s="55">
        <v>5476.5</v>
      </c>
      <c r="D943" s="70">
        <f t="shared" si="29"/>
        <v>0.30341651494055916</v>
      </c>
      <c r="E943" s="180">
        <v>4.5858937906998075E-3</v>
      </c>
      <c r="G943" s="78">
        <v>941</v>
      </c>
      <c r="H943" s="180">
        <f t="shared" ca="1" si="30"/>
        <v>-6.5304628134353381E-3</v>
      </c>
    </row>
    <row r="944" spans="2:8" x14ac:dyDescent="0.3">
      <c r="B944" s="69">
        <v>45406</v>
      </c>
      <c r="C944" s="55">
        <v>4201.6499999999996</v>
      </c>
      <c r="D944" s="70">
        <f t="shared" si="29"/>
        <v>7.9103155137210598E-2</v>
      </c>
      <c r="E944" s="180">
        <v>4.5786013150029021E-3</v>
      </c>
      <c r="G944" s="78">
        <v>942</v>
      </c>
      <c r="H944" s="180">
        <f t="shared" ca="1" si="30"/>
        <v>2.2383920393041906E-2</v>
      </c>
    </row>
    <row r="945" spans="2:8" x14ac:dyDescent="0.3">
      <c r="B945" s="69">
        <v>45352</v>
      </c>
      <c r="C945" s="55">
        <v>3893.6499999999996</v>
      </c>
      <c r="D945" s="70">
        <f t="shared" si="29"/>
        <v>-0.22812043117333672</v>
      </c>
      <c r="E945" s="180">
        <v>4.5601429317783859E-3</v>
      </c>
      <c r="G945" s="78">
        <v>943</v>
      </c>
      <c r="H945" s="180">
        <f t="shared" ca="1" si="30"/>
        <v>9.0208449355237037E-3</v>
      </c>
    </row>
    <row r="946" spans="2:8" x14ac:dyDescent="0.3">
      <c r="B946" s="69">
        <v>45708</v>
      </c>
      <c r="C946" s="55">
        <v>5044.375</v>
      </c>
      <c r="D946" s="70">
        <f t="shared" si="29"/>
        <v>0.42007066043578634</v>
      </c>
      <c r="E946" s="180">
        <v>4.5254049963658095E-3</v>
      </c>
      <c r="G946" s="78">
        <v>944</v>
      </c>
      <c r="H946" s="180">
        <f t="shared" ca="1" si="30"/>
        <v>2.156905551553105E-3</v>
      </c>
    </row>
    <row r="947" spans="2:8" x14ac:dyDescent="0.3">
      <c r="B947" s="69">
        <v>46101</v>
      </c>
      <c r="C947" s="55">
        <v>3552.2</v>
      </c>
      <c r="D947" s="70">
        <f t="shared" si="29"/>
        <v>9.6993975903614444</v>
      </c>
      <c r="E947" s="180">
        <v>4.4962248677995744E-3</v>
      </c>
      <c r="G947" s="78">
        <v>945</v>
      </c>
      <c r="H947" s="180">
        <f t="shared" ca="1" si="30"/>
        <v>1.5376139827625314E-2</v>
      </c>
    </row>
    <row r="948" spans="2:8" x14ac:dyDescent="0.3">
      <c r="B948" s="69">
        <v>43248</v>
      </c>
      <c r="C948" s="55">
        <v>332</v>
      </c>
      <c r="D948" s="70">
        <f t="shared" si="29"/>
        <v>1.6378386652380294E-2</v>
      </c>
      <c r="E948" s="180">
        <v>4.462597382951434E-3</v>
      </c>
      <c r="G948" s="78">
        <v>946</v>
      </c>
      <c r="H948" s="180">
        <f t="shared" ca="1" si="30"/>
        <v>9.8515521923268623E-3</v>
      </c>
    </row>
    <row r="949" spans="2:8" x14ac:dyDescent="0.3">
      <c r="B949" s="69">
        <v>43403</v>
      </c>
      <c r="C949" s="55">
        <v>326.64999999999998</v>
      </c>
      <c r="D949" s="70">
        <f t="shared" si="29"/>
        <v>-0.77070756703636101</v>
      </c>
      <c r="E949" s="180">
        <v>4.4587945879458451E-3</v>
      </c>
      <c r="G949" s="78">
        <v>947</v>
      </c>
      <c r="H949" s="180">
        <f t="shared" ca="1" si="30"/>
        <v>5.6898902832438602E-3</v>
      </c>
    </row>
    <row r="950" spans="2:8" x14ac:dyDescent="0.3">
      <c r="B950" s="69">
        <v>44855</v>
      </c>
      <c r="C950" s="55">
        <v>1424.6</v>
      </c>
      <c r="D950" s="70">
        <f t="shared" si="29"/>
        <v>-5.8644728582284339E-2</v>
      </c>
      <c r="E950" s="180">
        <v>4.4419375308467563E-3</v>
      </c>
      <c r="G950" s="78">
        <v>948</v>
      </c>
      <c r="H950" s="180">
        <f t="shared" ca="1" si="30"/>
        <v>2.168653074133604E-2</v>
      </c>
    </row>
    <row r="951" spans="2:8" x14ac:dyDescent="0.3">
      <c r="B951" s="69">
        <v>45072</v>
      </c>
      <c r="C951" s="55">
        <v>1513.35</v>
      </c>
      <c r="D951" s="70">
        <f t="shared" si="29"/>
        <v>5.0007805588801454E-2</v>
      </c>
      <c r="E951" s="180">
        <v>4.3636242969254321E-3</v>
      </c>
      <c r="G951" s="78">
        <v>949</v>
      </c>
      <c r="H951" s="180">
        <f t="shared" ca="1" si="30"/>
        <v>-3.1030420343107649E-2</v>
      </c>
    </row>
    <row r="952" spans="2:8" x14ac:dyDescent="0.3">
      <c r="B952" s="69">
        <v>45056</v>
      </c>
      <c r="C952" s="55">
        <v>1441.2750000000001</v>
      </c>
      <c r="D952" s="70">
        <f t="shared" si="29"/>
        <v>-0.69178499636456947</v>
      </c>
      <c r="E952" s="180">
        <v>4.3553248201250849E-3</v>
      </c>
      <c r="G952" s="78">
        <v>950</v>
      </c>
      <c r="H952" s="180">
        <f t="shared" ca="1" si="30"/>
        <v>-6.3328208286787318E-3</v>
      </c>
    </row>
    <row r="953" spans="2:8" x14ac:dyDescent="0.3">
      <c r="B953" s="69">
        <v>45938</v>
      </c>
      <c r="C953" s="55">
        <v>4676.2</v>
      </c>
      <c r="D953" s="70">
        <f t="shared" si="29"/>
        <v>13.106184012066365</v>
      </c>
      <c r="E953" s="180">
        <v>4.3492735102395857E-3</v>
      </c>
      <c r="G953" s="78">
        <v>951</v>
      </c>
      <c r="H953" s="180">
        <f t="shared" ca="1" si="30"/>
        <v>-5.107486086601133E-3</v>
      </c>
    </row>
    <row r="954" spans="2:8" x14ac:dyDescent="0.3">
      <c r="B954" s="69">
        <v>43439</v>
      </c>
      <c r="C954" s="55">
        <v>331.5</v>
      </c>
      <c r="D954" s="70">
        <f t="shared" si="29"/>
        <v>-0.90484528388541252</v>
      </c>
      <c r="E954" s="180">
        <v>4.3172006362189024E-3</v>
      </c>
      <c r="G954" s="78">
        <v>952</v>
      </c>
      <c r="H954" s="180">
        <f t="shared" ca="1" si="30"/>
        <v>-4.4113344801333026E-2</v>
      </c>
    </row>
    <row r="955" spans="2:8" x14ac:dyDescent="0.3">
      <c r="B955" s="69">
        <v>46114</v>
      </c>
      <c r="C955" s="55">
        <v>3483.8</v>
      </c>
      <c r="D955" s="70">
        <f t="shared" si="29"/>
        <v>2.0126905199437899</v>
      </c>
      <c r="E955" s="180">
        <v>4.2808342582050371E-3</v>
      </c>
      <c r="G955" s="78">
        <v>953</v>
      </c>
      <c r="H955" s="180">
        <f t="shared" ca="1" si="30"/>
        <v>-1.6413562156264872E-2</v>
      </c>
    </row>
    <row r="956" spans="2:8" x14ac:dyDescent="0.3">
      <c r="B956" s="69">
        <v>44631</v>
      </c>
      <c r="C956" s="55">
        <v>1156.375</v>
      </c>
      <c r="D956" s="70">
        <f t="shared" si="29"/>
        <v>2.567131950335467</v>
      </c>
      <c r="E956" s="180">
        <v>4.2772156845717856E-3</v>
      </c>
      <c r="G956" s="78">
        <v>954</v>
      </c>
      <c r="H956" s="180">
        <f t="shared" ca="1" si="30"/>
        <v>-1.1518143319265178E-2</v>
      </c>
    </row>
    <row r="957" spans="2:8" x14ac:dyDescent="0.3">
      <c r="B957" s="69">
        <v>43405</v>
      </c>
      <c r="C957" s="55">
        <v>324.17500000000001</v>
      </c>
      <c r="D957" s="70">
        <f t="shared" si="29"/>
        <v>-3.5552249907028599E-2</v>
      </c>
      <c r="E957" s="180">
        <v>4.2596034696408209E-3</v>
      </c>
      <c r="G957" s="78">
        <v>955</v>
      </c>
      <c r="H957" s="180">
        <f t="shared" ca="1" si="30"/>
        <v>5.9769725655944045E-2</v>
      </c>
    </row>
    <row r="958" spans="2:8" x14ac:dyDescent="0.3">
      <c r="B958" s="69">
        <v>43234</v>
      </c>
      <c r="C958" s="55">
        <v>336.125</v>
      </c>
      <c r="D958" s="70">
        <f t="shared" si="29"/>
        <v>-0.64617489933945627</v>
      </c>
      <c r="E958" s="180">
        <v>4.2575440693158389E-3</v>
      </c>
      <c r="G958" s="78">
        <v>956</v>
      </c>
      <c r="H958" s="180">
        <f t="shared" ca="1" si="30"/>
        <v>5.3418824545187508E-3</v>
      </c>
    </row>
    <row r="959" spans="2:8" x14ac:dyDescent="0.3">
      <c r="B959" s="69">
        <v>44411</v>
      </c>
      <c r="C959" s="55">
        <v>949.97499999999991</v>
      </c>
      <c r="D959" s="70">
        <f t="shared" si="29"/>
        <v>-9.0432534648251475E-2</v>
      </c>
      <c r="E959" s="180">
        <v>4.2549817643637222E-3</v>
      </c>
      <c r="G959" s="78">
        <v>957</v>
      </c>
      <c r="H959" s="180">
        <f t="shared" ca="1" si="30"/>
        <v>-7.2750705516164424E-3</v>
      </c>
    </row>
    <row r="960" spans="2:8" x14ac:dyDescent="0.3">
      <c r="B960" s="69">
        <v>44553</v>
      </c>
      <c r="C960" s="55">
        <v>1044.425</v>
      </c>
      <c r="D960" s="70">
        <f t="shared" si="29"/>
        <v>1.0565619769617012</v>
      </c>
      <c r="E960" s="180">
        <v>4.2548076923076489E-3</v>
      </c>
      <c r="G960" s="78">
        <v>958</v>
      </c>
      <c r="H960" s="180">
        <f t="shared" ca="1" si="30"/>
        <v>2.0396518262132159E-2</v>
      </c>
    </row>
    <row r="961" spans="2:8" x14ac:dyDescent="0.3">
      <c r="B961" s="69">
        <v>43812</v>
      </c>
      <c r="C961" s="55">
        <v>507.85</v>
      </c>
      <c r="D961" s="70">
        <f t="shared" si="29"/>
        <v>-0.24874260355029582</v>
      </c>
      <c r="E961" s="180">
        <v>4.2515325291674457E-3</v>
      </c>
      <c r="G961" s="78">
        <v>959</v>
      </c>
      <c r="H961" s="180">
        <f t="shared" ca="1" si="30"/>
        <v>2.8995148302442552E-2</v>
      </c>
    </row>
    <row r="962" spans="2:8" x14ac:dyDescent="0.3">
      <c r="B962" s="69">
        <v>44216</v>
      </c>
      <c r="C962" s="55">
        <v>676</v>
      </c>
      <c r="D962" s="70">
        <f t="shared" si="29"/>
        <v>-0.8803963198867657</v>
      </c>
      <c r="E962" s="180">
        <v>4.233826041744073E-3</v>
      </c>
      <c r="G962" s="78">
        <v>960</v>
      </c>
      <c r="H962" s="180">
        <f t="shared" ca="1" si="30"/>
        <v>-5.7944089961102065E-3</v>
      </c>
    </row>
    <row r="963" spans="2:8" x14ac:dyDescent="0.3">
      <c r="B963" s="69">
        <v>45825</v>
      </c>
      <c r="C963" s="55">
        <v>5652</v>
      </c>
      <c r="D963" s="70">
        <f t="shared" ref="D963:D1026" si="31">(C963-C964)/C964</f>
        <v>10.08289622040296</v>
      </c>
      <c r="E963" s="180">
        <v>4.2197841247279353E-3</v>
      </c>
      <c r="G963" s="78">
        <v>961</v>
      </c>
      <c r="H963" s="180">
        <f t="shared" ca="1" si="30"/>
        <v>-1.3601082222271108E-2</v>
      </c>
    </row>
    <row r="964" spans="2:8" x14ac:dyDescent="0.3">
      <c r="B964" s="69">
        <v>43815</v>
      </c>
      <c r="C964" s="55">
        <v>509.97500000000002</v>
      </c>
      <c r="D964" s="70">
        <f t="shared" si="31"/>
        <v>-0.88682814788513609</v>
      </c>
      <c r="E964" s="180">
        <v>4.1843063896819929E-3</v>
      </c>
      <c r="G964" s="78">
        <v>962</v>
      </c>
      <c r="H964" s="180">
        <f t="shared" ref="H964:H1027" ca="1" si="32">_xlfn.NORM.INV(RAND(),$N$4,$N$5)</f>
        <v>4.0723020383500418E-3</v>
      </c>
    </row>
    <row r="965" spans="2:8" x14ac:dyDescent="0.3">
      <c r="B965" s="69">
        <v>45420</v>
      </c>
      <c r="C965" s="55">
        <v>4506.2</v>
      </c>
      <c r="D965" s="70">
        <f t="shared" si="31"/>
        <v>1.2086779644401966</v>
      </c>
      <c r="E965" s="180">
        <v>4.1783195355937115E-3</v>
      </c>
      <c r="G965" s="78">
        <v>963</v>
      </c>
      <c r="H965" s="180">
        <f t="shared" ca="1" si="32"/>
        <v>1.4967630612024503E-2</v>
      </c>
    </row>
    <row r="966" spans="2:8" x14ac:dyDescent="0.3">
      <c r="B966" s="69">
        <v>45204</v>
      </c>
      <c r="C966" s="55">
        <v>2040.2249999999999</v>
      </c>
      <c r="D966" s="70">
        <f t="shared" si="31"/>
        <v>0.70238641578705852</v>
      </c>
      <c r="E966" s="180">
        <v>4.1589250778260615E-3</v>
      </c>
      <c r="G966" s="78">
        <v>964</v>
      </c>
      <c r="H966" s="180">
        <f t="shared" ca="1" si="32"/>
        <v>2.2390002048999665E-2</v>
      </c>
    </row>
    <row r="967" spans="2:8" x14ac:dyDescent="0.3">
      <c r="B967" s="69">
        <v>44757</v>
      </c>
      <c r="C967" s="55">
        <v>1198.4499999999998</v>
      </c>
      <c r="D967" s="70">
        <f t="shared" si="31"/>
        <v>4.6364491475602581</v>
      </c>
      <c r="E967" s="180">
        <v>4.1474654377878662E-3</v>
      </c>
      <c r="G967" s="78">
        <v>965</v>
      </c>
      <c r="H967" s="180">
        <f t="shared" ca="1" si="32"/>
        <v>-3.0917867961080717E-2</v>
      </c>
    </row>
    <row r="968" spans="2:8" x14ac:dyDescent="0.3">
      <c r="B968" s="69">
        <v>42752</v>
      </c>
      <c r="C968" s="55">
        <v>212.625</v>
      </c>
      <c r="D968" s="70">
        <f t="shared" si="31"/>
        <v>-0.3882175226586102</v>
      </c>
      <c r="E968" s="180">
        <v>4.1322314049586778E-3</v>
      </c>
      <c r="G968" s="78">
        <v>966</v>
      </c>
      <c r="H968" s="180">
        <f t="shared" ca="1" si="32"/>
        <v>-1.5674125117046262E-3</v>
      </c>
    </row>
    <row r="969" spans="2:8" x14ac:dyDescent="0.3">
      <c r="B969" s="69">
        <v>43111</v>
      </c>
      <c r="C969" s="55">
        <v>347.54999999999995</v>
      </c>
      <c r="D969" s="70">
        <f t="shared" si="31"/>
        <v>-0.66937785388127857</v>
      </c>
      <c r="E969" s="180">
        <v>4.1170097508124361E-3</v>
      </c>
      <c r="G969" s="78">
        <v>967</v>
      </c>
      <c r="H969" s="180">
        <f t="shared" ca="1" si="32"/>
        <v>-1.8837908249641239E-2</v>
      </c>
    </row>
    <row r="970" spans="2:8" x14ac:dyDescent="0.3">
      <c r="B970" s="69">
        <v>44600</v>
      </c>
      <c r="C970" s="55">
        <v>1051.1999999999998</v>
      </c>
      <c r="D970" s="70">
        <f t="shared" si="31"/>
        <v>-0.85782971212951131</v>
      </c>
      <c r="E970" s="180">
        <v>4.1073646002480913E-3</v>
      </c>
      <c r="G970" s="78">
        <v>968</v>
      </c>
      <c r="H970" s="180">
        <f t="shared" ca="1" si="32"/>
        <v>-5.7396394124958885E-3</v>
      </c>
    </row>
    <row r="971" spans="2:8" x14ac:dyDescent="0.3">
      <c r="B971" s="69">
        <v>45572</v>
      </c>
      <c r="C971" s="55">
        <v>7393.95</v>
      </c>
      <c r="D971" s="70">
        <f t="shared" si="31"/>
        <v>0.87954701441317762</v>
      </c>
      <c r="E971" s="180">
        <v>4.0704918199748717E-3</v>
      </c>
      <c r="G971" s="78">
        <v>969</v>
      </c>
      <c r="H971" s="180">
        <f t="shared" ca="1" si="32"/>
        <v>8.0086901443842135E-3</v>
      </c>
    </row>
    <row r="972" spans="2:8" x14ac:dyDescent="0.3">
      <c r="B972" s="69">
        <v>46038</v>
      </c>
      <c r="C972" s="55">
        <v>3933.9</v>
      </c>
      <c r="D972" s="70">
        <f t="shared" si="31"/>
        <v>2.0669499288596103</v>
      </c>
      <c r="E972" s="180">
        <v>4.0325668053393694E-3</v>
      </c>
      <c r="G972" s="78">
        <v>970</v>
      </c>
      <c r="H972" s="180">
        <f t="shared" ca="1" si="32"/>
        <v>4.4755112803563342E-3</v>
      </c>
    </row>
    <row r="973" spans="2:8" x14ac:dyDescent="0.3">
      <c r="B973" s="69">
        <v>44655</v>
      </c>
      <c r="C973" s="55">
        <v>1282.675</v>
      </c>
      <c r="D973" s="70">
        <f t="shared" si="31"/>
        <v>1.7819226806918613</v>
      </c>
      <c r="E973" s="180">
        <v>4.0312322655132876E-3</v>
      </c>
      <c r="G973" s="78">
        <v>971</v>
      </c>
      <c r="H973" s="180">
        <f t="shared" ca="1" si="32"/>
        <v>2.0862829315473064E-2</v>
      </c>
    </row>
    <row r="974" spans="2:8" x14ac:dyDescent="0.3">
      <c r="B974" s="69">
        <v>43719</v>
      </c>
      <c r="C974" s="55">
        <v>461.07499999999999</v>
      </c>
      <c r="D974" s="70">
        <f t="shared" si="31"/>
        <v>0.31726305263909726</v>
      </c>
      <c r="E974" s="180">
        <v>4.0285263215198777E-3</v>
      </c>
      <c r="G974" s="78">
        <v>972</v>
      </c>
      <c r="H974" s="180">
        <f t="shared" ca="1" si="32"/>
        <v>-1.95684858921291E-2</v>
      </c>
    </row>
    <row r="975" spans="2:8" x14ac:dyDescent="0.3">
      <c r="B975" s="69">
        <v>43311</v>
      </c>
      <c r="C975" s="55">
        <v>350.02499999999998</v>
      </c>
      <c r="D975" s="70">
        <f t="shared" si="31"/>
        <v>-0.663145991723607</v>
      </c>
      <c r="E975" s="180">
        <v>4.0157762638938039E-3</v>
      </c>
      <c r="G975" s="78">
        <v>973</v>
      </c>
      <c r="H975" s="180">
        <f t="shared" ca="1" si="32"/>
        <v>-2.2438702600163084E-2</v>
      </c>
    </row>
    <row r="976" spans="2:8" x14ac:dyDescent="0.3">
      <c r="B976" s="69">
        <v>44539</v>
      </c>
      <c r="C976" s="55">
        <v>1039.0999999999999</v>
      </c>
      <c r="D976" s="70">
        <f t="shared" si="31"/>
        <v>-0.50489577129243601</v>
      </c>
      <c r="E976" s="180">
        <v>3.9613526570047427E-3</v>
      </c>
      <c r="G976" s="78">
        <v>974</v>
      </c>
      <c r="H976" s="180">
        <f t="shared" ca="1" si="32"/>
        <v>-3.4890951973509145E-2</v>
      </c>
    </row>
    <row r="977" spans="2:8" x14ac:dyDescent="0.3">
      <c r="B977" s="69">
        <v>45215</v>
      </c>
      <c r="C977" s="55">
        <v>2098.75</v>
      </c>
      <c r="D977" s="70">
        <f t="shared" si="31"/>
        <v>2.8433365380213336</v>
      </c>
      <c r="E977" s="180">
        <v>3.910407423794976E-3</v>
      </c>
      <c r="G977" s="78">
        <v>975</v>
      </c>
      <c r="H977" s="180">
        <f t="shared" ca="1" si="32"/>
        <v>2.0223557522888319E-2</v>
      </c>
    </row>
    <row r="978" spans="2:8" x14ac:dyDescent="0.3">
      <c r="B978" s="69">
        <v>43775</v>
      </c>
      <c r="C978" s="55">
        <v>546.07500000000005</v>
      </c>
      <c r="D978" s="70">
        <f t="shared" si="31"/>
        <v>0.84609533468559883</v>
      </c>
      <c r="E978" s="180">
        <v>3.9066090633330264E-3</v>
      </c>
      <c r="G978" s="78">
        <v>976</v>
      </c>
      <c r="H978" s="180">
        <f t="shared" ca="1" si="32"/>
        <v>6.5644445357331922E-3</v>
      </c>
    </row>
    <row r="979" spans="2:8" x14ac:dyDescent="0.3">
      <c r="B979" s="69">
        <v>43012</v>
      </c>
      <c r="C979" s="55">
        <v>295.79999999999995</v>
      </c>
      <c r="D979" s="70">
        <f t="shared" si="31"/>
        <v>-0.85704274702172389</v>
      </c>
      <c r="E979" s="180">
        <v>3.9029356864075252E-3</v>
      </c>
      <c r="G979" s="78">
        <v>977</v>
      </c>
      <c r="H979" s="180">
        <f t="shared" ca="1" si="32"/>
        <v>-1.1027686134732489E-2</v>
      </c>
    </row>
    <row r="980" spans="2:8" x14ac:dyDescent="0.3">
      <c r="B980" s="69">
        <v>45202</v>
      </c>
      <c r="C980" s="55">
        <v>2069.15</v>
      </c>
      <c r="D980" s="70">
        <f t="shared" si="31"/>
        <v>-0.22337221195259496</v>
      </c>
      <c r="E980" s="180">
        <v>3.8935047607496346E-3</v>
      </c>
      <c r="G980" s="78">
        <v>978</v>
      </c>
      <c r="H980" s="180">
        <f t="shared" ca="1" si="32"/>
        <v>2.2821435514514155E-2</v>
      </c>
    </row>
    <row r="981" spans="2:8" x14ac:dyDescent="0.3">
      <c r="B981" s="69">
        <v>45258</v>
      </c>
      <c r="C981" s="55">
        <v>2664.2750000000001</v>
      </c>
      <c r="D981" s="70">
        <f t="shared" si="31"/>
        <v>2.096194073213248</v>
      </c>
      <c r="E981" s="180">
        <v>3.8715146948003357E-3</v>
      </c>
      <c r="G981" s="78">
        <v>979</v>
      </c>
      <c r="H981" s="180">
        <f t="shared" ca="1" si="32"/>
        <v>-8.1840952859002329E-3</v>
      </c>
    </row>
    <row r="982" spans="2:8" x14ac:dyDescent="0.3">
      <c r="B982" s="69">
        <v>44372</v>
      </c>
      <c r="C982" s="55">
        <v>860.5</v>
      </c>
      <c r="D982" s="70">
        <f t="shared" si="31"/>
        <v>1.7371769383697813</v>
      </c>
      <c r="E982" s="180">
        <v>3.8497433504432505E-3</v>
      </c>
      <c r="G982" s="78">
        <v>980</v>
      </c>
      <c r="H982" s="180">
        <f t="shared" ca="1" si="32"/>
        <v>4.1964839284466485E-3</v>
      </c>
    </row>
    <row r="983" spans="2:8" x14ac:dyDescent="0.3">
      <c r="B983" s="69">
        <v>43159</v>
      </c>
      <c r="C983" s="55">
        <v>314.375</v>
      </c>
      <c r="D983" s="70">
        <f t="shared" si="31"/>
        <v>-0.42205165915984932</v>
      </c>
      <c r="E983" s="180">
        <v>3.8317234772890191E-3</v>
      </c>
      <c r="G983" s="78">
        <v>981</v>
      </c>
      <c r="H983" s="180">
        <f t="shared" ca="1" si="32"/>
        <v>7.6500755510188539E-3</v>
      </c>
    </row>
    <row r="984" spans="2:8" x14ac:dyDescent="0.3">
      <c r="B984" s="69">
        <v>43774</v>
      </c>
      <c r="C984" s="55">
        <v>543.95000000000005</v>
      </c>
      <c r="D984" s="70">
        <f t="shared" si="31"/>
        <v>0.41662868676346121</v>
      </c>
      <c r="E984" s="180">
        <v>3.8292964244522176E-3</v>
      </c>
      <c r="G984" s="78">
        <v>982</v>
      </c>
      <c r="H984" s="180">
        <f t="shared" ca="1" si="32"/>
        <v>2.3921023449271404E-2</v>
      </c>
    </row>
    <row r="985" spans="2:8" x14ac:dyDescent="0.3">
      <c r="B985" s="69">
        <v>43542</v>
      </c>
      <c r="C985" s="55">
        <v>383.97500000000002</v>
      </c>
      <c r="D985" s="70">
        <f t="shared" si="31"/>
        <v>6.9047121876522788E-2</v>
      </c>
      <c r="E985" s="180">
        <v>3.790601921443162E-3</v>
      </c>
      <c r="G985" s="78">
        <v>983</v>
      </c>
      <c r="H985" s="180">
        <f t="shared" ca="1" si="32"/>
        <v>-1.2096459083360179E-2</v>
      </c>
    </row>
    <row r="986" spans="2:8" x14ac:dyDescent="0.3">
      <c r="B986" s="69">
        <v>43321</v>
      </c>
      <c r="C986" s="55">
        <v>359.17499999999995</v>
      </c>
      <c r="D986" s="70">
        <f t="shared" si="31"/>
        <v>0.12075824947343765</v>
      </c>
      <c r="E986" s="180">
        <v>3.7727939635294038E-3</v>
      </c>
      <c r="G986" s="78">
        <v>984</v>
      </c>
      <c r="H986" s="180">
        <f t="shared" ca="1" si="32"/>
        <v>5.7915095526669272E-3</v>
      </c>
    </row>
    <row r="987" spans="2:8" x14ac:dyDescent="0.3">
      <c r="B987" s="69">
        <v>43272</v>
      </c>
      <c r="C987" s="55">
        <v>320.47500000000002</v>
      </c>
      <c r="D987" s="70">
        <f t="shared" si="31"/>
        <v>-9.623519458544838E-2</v>
      </c>
      <c r="E987" s="180">
        <v>3.758515386422506E-3</v>
      </c>
      <c r="G987" s="78">
        <v>985</v>
      </c>
      <c r="H987" s="180">
        <f t="shared" ca="1" si="32"/>
        <v>2.3908213322226569E-3</v>
      </c>
    </row>
    <row r="988" spans="2:8" x14ac:dyDescent="0.3">
      <c r="B988" s="69">
        <v>43570</v>
      </c>
      <c r="C988" s="55">
        <v>354.6</v>
      </c>
      <c r="D988" s="70">
        <f t="shared" si="31"/>
        <v>-0.60214299739137744</v>
      </c>
      <c r="E988" s="180">
        <v>3.7506192060011195E-3</v>
      </c>
      <c r="G988" s="78">
        <v>986</v>
      </c>
      <c r="H988" s="180">
        <f t="shared" ca="1" si="32"/>
        <v>2.122426778212138E-2</v>
      </c>
    </row>
    <row r="989" spans="2:8" x14ac:dyDescent="0.3">
      <c r="B989" s="69">
        <v>44426</v>
      </c>
      <c r="C989" s="55">
        <v>891.27499999999998</v>
      </c>
      <c r="D989" s="70">
        <f t="shared" si="31"/>
        <v>1.5002454590083454</v>
      </c>
      <c r="E989" s="180">
        <v>3.7445802128497456E-3</v>
      </c>
      <c r="G989" s="78">
        <v>987</v>
      </c>
      <c r="H989" s="180">
        <f t="shared" ca="1" si="32"/>
        <v>5.7044381569552232E-5</v>
      </c>
    </row>
    <row r="990" spans="2:8" x14ac:dyDescent="0.3">
      <c r="B990" s="69">
        <v>43503</v>
      </c>
      <c r="C990" s="55">
        <v>356.47500000000002</v>
      </c>
      <c r="D990" s="70">
        <f t="shared" si="31"/>
        <v>0.14438202247191018</v>
      </c>
      <c r="E990" s="180">
        <v>3.7308179642405901E-3</v>
      </c>
      <c r="G990" s="78">
        <v>988</v>
      </c>
      <c r="H990" s="180">
        <f t="shared" ca="1" si="32"/>
        <v>-2.7778494210578568E-3</v>
      </c>
    </row>
    <row r="991" spans="2:8" x14ac:dyDescent="0.3">
      <c r="B991" s="69">
        <v>43286</v>
      </c>
      <c r="C991" s="55">
        <v>311.5</v>
      </c>
      <c r="D991" s="70">
        <f t="shared" si="31"/>
        <v>-0.75947338957203248</v>
      </c>
      <c r="E991" s="180">
        <v>3.7054937973255266E-3</v>
      </c>
      <c r="G991" s="78">
        <v>989</v>
      </c>
      <c r="H991" s="180">
        <f t="shared" ca="1" si="32"/>
        <v>-1.9436930420104141E-2</v>
      </c>
    </row>
    <row r="992" spans="2:8" x14ac:dyDescent="0.3">
      <c r="B992" s="69">
        <v>44986</v>
      </c>
      <c r="C992" s="55">
        <v>1295.075</v>
      </c>
      <c r="D992" s="70">
        <f t="shared" si="31"/>
        <v>5.7657363359807381E-2</v>
      </c>
      <c r="E992" s="180">
        <v>3.6812430976691916E-3</v>
      </c>
      <c r="G992" s="78">
        <v>990</v>
      </c>
      <c r="H992" s="180">
        <f t="shared" ca="1" si="32"/>
        <v>3.1534179876642546E-3</v>
      </c>
    </row>
    <row r="993" spans="2:8" x14ac:dyDescent="0.3">
      <c r="B993" s="69">
        <v>44686</v>
      </c>
      <c r="C993" s="55">
        <v>1224.4749999999999</v>
      </c>
      <c r="D993" s="70">
        <f t="shared" si="31"/>
        <v>-0.82483727916458049</v>
      </c>
      <c r="E993" s="180">
        <v>3.6680327868851715E-3</v>
      </c>
      <c r="G993" s="78">
        <v>991</v>
      </c>
      <c r="H993" s="180">
        <f t="shared" ca="1" si="32"/>
        <v>1.8501335299055243E-2</v>
      </c>
    </row>
    <row r="994" spans="2:8" x14ac:dyDescent="0.3">
      <c r="B994" s="69">
        <v>45650</v>
      </c>
      <c r="C994" s="55">
        <v>6990.5</v>
      </c>
      <c r="D994" s="70">
        <f t="shared" si="31"/>
        <v>2.3796245935917422</v>
      </c>
      <c r="E994" s="180">
        <v>3.6575604538390551E-3</v>
      </c>
      <c r="G994" s="78">
        <v>992</v>
      </c>
      <c r="H994" s="180">
        <f t="shared" ca="1" si="32"/>
        <v>2.05224868889885E-2</v>
      </c>
    </row>
    <row r="995" spans="2:8" x14ac:dyDescent="0.3">
      <c r="B995" s="69">
        <v>45209</v>
      </c>
      <c r="C995" s="55">
        <v>2068.4250000000002</v>
      </c>
      <c r="D995" s="70">
        <f t="shared" si="31"/>
        <v>-0.60580780408785551</v>
      </c>
      <c r="E995" s="180">
        <v>3.6391426179991993E-3</v>
      </c>
      <c r="G995" s="78">
        <v>993</v>
      </c>
      <c r="H995" s="180">
        <f t="shared" ca="1" si="32"/>
        <v>2.5349682339713603E-2</v>
      </c>
    </row>
    <row r="996" spans="2:8" x14ac:dyDescent="0.3">
      <c r="B996" s="69">
        <v>45735</v>
      </c>
      <c r="C996" s="55">
        <v>5247.25</v>
      </c>
      <c r="D996" s="70">
        <f t="shared" si="31"/>
        <v>15.013580529488058</v>
      </c>
      <c r="E996" s="180">
        <v>3.6005106700393963E-3</v>
      </c>
      <c r="G996" s="78">
        <v>994</v>
      </c>
      <c r="H996" s="180">
        <f t="shared" ca="1" si="32"/>
        <v>2.3994203055790177E-2</v>
      </c>
    </row>
    <row r="997" spans="2:8" x14ac:dyDescent="0.3">
      <c r="B997" s="69">
        <v>43417</v>
      </c>
      <c r="C997" s="55">
        <v>327.67500000000001</v>
      </c>
      <c r="D997" s="70">
        <f t="shared" si="31"/>
        <v>-0.76679180826646265</v>
      </c>
      <c r="E997" s="180">
        <v>3.5987748851455171E-3</v>
      </c>
      <c r="G997" s="78">
        <v>995</v>
      </c>
      <c r="H997" s="180">
        <f t="shared" ca="1" si="32"/>
        <v>1.8822376597400024E-2</v>
      </c>
    </row>
    <row r="998" spans="2:8" x14ac:dyDescent="0.3">
      <c r="B998" s="69">
        <v>44811</v>
      </c>
      <c r="C998" s="55">
        <v>1405.0749999999998</v>
      </c>
      <c r="D998" s="70">
        <f t="shared" si="31"/>
        <v>1.0962664577971726</v>
      </c>
      <c r="E998" s="180">
        <v>3.589157530088114E-3</v>
      </c>
      <c r="G998" s="78">
        <v>996</v>
      </c>
      <c r="H998" s="180">
        <f t="shared" ca="1" si="32"/>
        <v>-6.8091996475963005E-3</v>
      </c>
    </row>
    <row r="999" spans="2:8" x14ac:dyDescent="0.3">
      <c r="B999" s="69">
        <v>44139</v>
      </c>
      <c r="C999" s="55">
        <v>670.27499999999998</v>
      </c>
      <c r="D999" s="70">
        <f t="shared" si="31"/>
        <v>-0.82232133389884421</v>
      </c>
      <c r="E999" s="180">
        <v>3.5559215451414885E-3</v>
      </c>
      <c r="G999" s="78">
        <v>997</v>
      </c>
      <c r="H999" s="180">
        <f t="shared" ca="1" si="32"/>
        <v>2.6725926712227469E-2</v>
      </c>
    </row>
    <row r="1000" spans="2:8" x14ac:dyDescent="0.3">
      <c r="B1000" s="69">
        <v>46087</v>
      </c>
      <c r="C1000" s="55">
        <v>3772.4</v>
      </c>
      <c r="D1000" s="70">
        <f t="shared" si="31"/>
        <v>3.3764610342527335</v>
      </c>
      <c r="E1000" s="180">
        <v>3.5247329848502986E-3</v>
      </c>
      <c r="G1000" s="78">
        <v>998</v>
      </c>
      <c r="H1000" s="180">
        <f t="shared" ca="1" si="32"/>
        <v>-7.5872283180646602E-3</v>
      </c>
    </row>
    <row r="1001" spans="2:8" x14ac:dyDescent="0.3">
      <c r="B1001" s="69">
        <v>44364</v>
      </c>
      <c r="C1001" s="55">
        <v>861.97500000000002</v>
      </c>
      <c r="D1001" s="70">
        <f t="shared" si="31"/>
        <v>3.1326860841423954</v>
      </c>
      <c r="E1001" s="180">
        <v>3.4925347070637841E-3</v>
      </c>
      <c r="G1001" s="78">
        <v>999</v>
      </c>
      <c r="H1001" s="180">
        <f t="shared" ca="1" si="32"/>
        <v>1.557467037147435E-2</v>
      </c>
    </row>
    <row r="1002" spans="2:8" x14ac:dyDescent="0.3">
      <c r="B1002" s="69">
        <v>42758</v>
      </c>
      <c r="C1002" s="55">
        <v>208.57499999999999</v>
      </c>
      <c r="D1002" s="70">
        <f t="shared" si="31"/>
        <v>-0.96111232817969527</v>
      </c>
      <c r="E1002" s="180">
        <v>3.4880923743083681E-3</v>
      </c>
      <c r="G1002" s="78">
        <v>1000</v>
      </c>
      <c r="H1002" s="180">
        <f t="shared" ca="1" si="32"/>
        <v>1.1991892309457105E-2</v>
      </c>
    </row>
    <row r="1003" spans="2:8" x14ac:dyDescent="0.3">
      <c r="B1003" s="69">
        <v>45463</v>
      </c>
      <c r="C1003" s="55">
        <v>5363.5249999999996</v>
      </c>
      <c r="D1003" s="70">
        <f t="shared" si="31"/>
        <v>3.3954586909243291E-3</v>
      </c>
      <c r="E1003" s="180">
        <v>3.4283095113372408E-3</v>
      </c>
      <c r="G1003" s="78">
        <v>1001</v>
      </c>
      <c r="H1003" s="180">
        <f t="shared" ca="1" si="32"/>
        <v>-1.1472548303576788E-2</v>
      </c>
    </row>
    <row r="1004" spans="2:8" x14ac:dyDescent="0.3">
      <c r="B1004" s="69">
        <v>45470</v>
      </c>
      <c r="C1004" s="55">
        <v>5345.375</v>
      </c>
      <c r="D1004" s="70">
        <f t="shared" si="31"/>
        <v>0.66963400254566208</v>
      </c>
      <c r="E1004" s="180">
        <v>3.3552322853120601E-3</v>
      </c>
      <c r="G1004" s="78">
        <v>1002</v>
      </c>
      <c r="H1004" s="180">
        <f t="shared" ca="1" si="32"/>
        <v>1.5946986268089349E-2</v>
      </c>
    </row>
    <row r="1005" spans="2:8" x14ac:dyDescent="0.3">
      <c r="B1005" s="69">
        <v>45303</v>
      </c>
      <c r="C1005" s="55">
        <v>3201.5249999999996</v>
      </c>
      <c r="D1005" s="70">
        <f t="shared" si="31"/>
        <v>1.4191208417552938</v>
      </c>
      <c r="E1005" s="180">
        <v>3.3455035492109399E-3</v>
      </c>
      <c r="G1005" s="78">
        <v>1003</v>
      </c>
      <c r="H1005" s="180">
        <f t="shared" ca="1" si="32"/>
        <v>8.27650020893121E-3</v>
      </c>
    </row>
    <row r="1006" spans="2:8" x14ac:dyDescent="0.3">
      <c r="B1006" s="69">
        <v>44658</v>
      </c>
      <c r="C1006" s="55">
        <v>1323.425</v>
      </c>
      <c r="D1006" s="70">
        <f t="shared" si="31"/>
        <v>0.25265026029342164</v>
      </c>
      <c r="E1006" s="180">
        <v>3.3357972745018958E-3</v>
      </c>
      <c r="G1006" s="78">
        <v>1004</v>
      </c>
      <c r="H1006" s="180">
        <f t="shared" ca="1" si="32"/>
        <v>-7.594666264824663E-3</v>
      </c>
    </row>
    <row r="1007" spans="2:8" x14ac:dyDescent="0.3">
      <c r="B1007" s="69">
        <v>44565</v>
      </c>
      <c r="C1007" s="55">
        <v>1056.5</v>
      </c>
      <c r="D1007" s="70">
        <f t="shared" si="31"/>
        <v>0.39288068556361239</v>
      </c>
      <c r="E1007" s="180">
        <v>3.3238366571699905E-3</v>
      </c>
      <c r="G1007" s="78">
        <v>1005</v>
      </c>
      <c r="H1007" s="180">
        <f t="shared" ca="1" si="32"/>
        <v>9.516208876287598E-3</v>
      </c>
    </row>
    <row r="1008" spans="2:8" x14ac:dyDescent="0.3">
      <c r="B1008" s="69">
        <v>44327</v>
      </c>
      <c r="C1008" s="55">
        <v>758.5</v>
      </c>
      <c r="D1008" s="70">
        <f t="shared" si="31"/>
        <v>-0.31073651687945841</v>
      </c>
      <c r="E1008" s="180">
        <v>3.3068783068783067E-3</v>
      </c>
      <c r="G1008" s="78">
        <v>1006</v>
      </c>
      <c r="H1008" s="180">
        <f t="shared" ca="1" si="32"/>
        <v>2.1954561472917543E-2</v>
      </c>
    </row>
    <row r="1009" spans="2:8" x14ac:dyDescent="0.3">
      <c r="B1009" s="69">
        <v>44508</v>
      </c>
      <c r="C1009" s="55">
        <v>1100.45</v>
      </c>
      <c r="D1009" s="70">
        <f t="shared" si="31"/>
        <v>-0.4642405063291139</v>
      </c>
      <c r="E1009" s="180">
        <v>3.3049939598386248E-3</v>
      </c>
      <c r="G1009" s="78">
        <v>1007</v>
      </c>
      <c r="H1009" s="180">
        <f t="shared" ca="1" si="32"/>
        <v>4.8739846583415354E-2</v>
      </c>
    </row>
    <row r="1010" spans="2:8" x14ac:dyDescent="0.3">
      <c r="B1010" s="69">
        <v>45174</v>
      </c>
      <c r="C1010" s="55">
        <v>2054</v>
      </c>
      <c r="D1010" s="70">
        <f t="shared" si="31"/>
        <v>-0.62019055191638273</v>
      </c>
      <c r="E1010" s="180">
        <v>3.2971058737330567E-3</v>
      </c>
      <c r="G1010" s="78">
        <v>1008</v>
      </c>
      <c r="H1010" s="180">
        <f t="shared" ca="1" si="32"/>
        <v>6.042954929424073E-3</v>
      </c>
    </row>
    <row r="1011" spans="2:8" x14ac:dyDescent="0.3">
      <c r="B1011" s="69">
        <v>45744</v>
      </c>
      <c r="C1011" s="55">
        <v>5407.9750000000004</v>
      </c>
      <c r="D1011" s="70">
        <f t="shared" si="31"/>
        <v>21.641720745237599</v>
      </c>
      <c r="E1011" s="180">
        <v>3.2650789601837284E-3</v>
      </c>
      <c r="G1011" s="78">
        <v>1009</v>
      </c>
      <c r="H1011" s="180">
        <f t="shared" ca="1" si="32"/>
        <v>-2.2817719931924548E-2</v>
      </c>
    </row>
    <row r="1012" spans="2:8" x14ac:dyDescent="0.3">
      <c r="B1012" s="69">
        <v>42920</v>
      </c>
      <c r="C1012" s="55">
        <v>238.85</v>
      </c>
      <c r="D1012" s="70">
        <f t="shared" si="31"/>
        <v>-0.6477917864779178</v>
      </c>
      <c r="E1012" s="180">
        <v>3.2552766985193982E-3</v>
      </c>
      <c r="G1012" s="78">
        <v>1010</v>
      </c>
      <c r="H1012" s="180">
        <f t="shared" ca="1" si="32"/>
        <v>-1.029816731484345E-2</v>
      </c>
    </row>
    <row r="1013" spans="2:8" x14ac:dyDescent="0.3">
      <c r="B1013" s="69">
        <v>44202</v>
      </c>
      <c r="C1013" s="55">
        <v>678.15</v>
      </c>
      <c r="D1013" s="70">
        <f t="shared" si="31"/>
        <v>1.8019832661915092</v>
      </c>
      <c r="E1013" s="180">
        <v>3.2546786004881006E-3</v>
      </c>
      <c r="G1013" s="78">
        <v>1011</v>
      </c>
      <c r="H1013" s="180">
        <f t="shared" ca="1" si="32"/>
        <v>-2.3037536637316308E-2</v>
      </c>
    </row>
    <row r="1014" spans="2:8" x14ac:dyDescent="0.3">
      <c r="B1014" s="69">
        <v>42800</v>
      </c>
      <c r="C1014" s="55">
        <v>242.02500000000001</v>
      </c>
      <c r="D1014" s="70">
        <f t="shared" si="31"/>
        <v>-0.96838661010805571</v>
      </c>
      <c r="E1014" s="180">
        <v>3.2124352331606453E-3</v>
      </c>
      <c r="G1014" s="78">
        <v>1012</v>
      </c>
      <c r="H1014" s="180">
        <f t="shared" ca="1" si="32"/>
        <v>3.0836392494750692E-2</v>
      </c>
    </row>
    <row r="1015" spans="2:8" x14ac:dyDescent="0.3">
      <c r="B1015" s="69">
        <v>45560</v>
      </c>
      <c r="C1015" s="55">
        <v>7655.7749999999996</v>
      </c>
      <c r="D1015" s="70">
        <f t="shared" si="31"/>
        <v>4.4629477665191946</v>
      </c>
      <c r="E1015" s="180">
        <v>3.2071861937021809E-3</v>
      </c>
      <c r="G1015" s="78">
        <v>1013</v>
      </c>
      <c r="H1015" s="180">
        <f t="shared" ca="1" si="32"/>
        <v>-2.1818882880440232E-2</v>
      </c>
    </row>
    <row r="1016" spans="2:8" x14ac:dyDescent="0.3">
      <c r="B1016" s="69">
        <v>44816</v>
      </c>
      <c r="C1016" s="55">
        <v>1401.4</v>
      </c>
      <c r="D1016" s="70">
        <f t="shared" si="31"/>
        <v>0.51086194814295738</v>
      </c>
      <c r="E1016" s="180">
        <v>3.2034647529395901E-3</v>
      </c>
      <c r="G1016" s="78">
        <v>1014</v>
      </c>
      <c r="H1016" s="180">
        <f t="shared" ca="1" si="32"/>
        <v>1.7751765937414111E-2</v>
      </c>
    </row>
    <row r="1017" spans="2:8" x14ac:dyDescent="0.3">
      <c r="B1017" s="69">
        <v>44417</v>
      </c>
      <c r="C1017" s="55">
        <v>927.55</v>
      </c>
      <c r="D1017" s="70">
        <f t="shared" si="31"/>
        <v>0.98949005308595617</v>
      </c>
      <c r="E1017" s="180">
        <v>3.1905688946570754E-3</v>
      </c>
      <c r="G1017" s="78">
        <v>1015</v>
      </c>
      <c r="H1017" s="180">
        <f t="shared" ca="1" si="32"/>
        <v>1.8311570275853497E-3</v>
      </c>
    </row>
    <row r="1018" spans="2:8" x14ac:dyDescent="0.3">
      <c r="B1018" s="69">
        <v>43979</v>
      </c>
      <c r="C1018" s="55">
        <v>466.22500000000002</v>
      </c>
      <c r="D1018" s="70">
        <f t="shared" si="31"/>
        <v>-0.91296901250700013</v>
      </c>
      <c r="E1018" s="180">
        <v>3.1737493275955306E-3</v>
      </c>
      <c r="G1018" s="78">
        <v>1016</v>
      </c>
      <c r="H1018" s="180">
        <f t="shared" ca="1" si="32"/>
        <v>1.2532569231904133E-2</v>
      </c>
    </row>
    <row r="1019" spans="2:8" x14ac:dyDescent="0.3">
      <c r="B1019" s="69">
        <v>45853</v>
      </c>
      <c r="C1019" s="55">
        <v>5357</v>
      </c>
      <c r="D1019" s="70">
        <f t="shared" si="31"/>
        <v>3.2399778384581905</v>
      </c>
      <c r="E1019" s="180">
        <v>3.1365572772810262E-3</v>
      </c>
      <c r="G1019" s="78">
        <v>1017</v>
      </c>
      <c r="H1019" s="180">
        <f t="shared" ca="1" si="32"/>
        <v>2.3490549804440746E-2</v>
      </c>
    </row>
    <row r="1020" spans="2:8" x14ac:dyDescent="0.3">
      <c r="B1020" s="69">
        <v>44771</v>
      </c>
      <c r="C1020" s="55">
        <v>1263.4499999999998</v>
      </c>
      <c r="D1020" s="70">
        <f t="shared" si="31"/>
        <v>-0.76362905036294249</v>
      </c>
      <c r="E1020" s="180">
        <v>3.136165144898625E-3</v>
      </c>
      <c r="G1020" s="78">
        <v>1018</v>
      </c>
      <c r="H1020" s="180">
        <f t="shared" ca="1" si="32"/>
        <v>-2.1508174826271174E-2</v>
      </c>
    </row>
    <row r="1021" spans="2:8" x14ac:dyDescent="0.3">
      <c r="B1021" s="69">
        <v>45462</v>
      </c>
      <c r="C1021" s="55">
        <v>5345.2</v>
      </c>
      <c r="D1021" s="70">
        <f t="shared" si="31"/>
        <v>4.076163342830009</v>
      </c>
      <c r="E1021" s="180">
        <v>3.134090269306525E-3</v>
      </c>
      <c r="G1021" s="78">
        <v>1019</v>
      </c>
      <c r="H1021" s="180">
        <f t="shared" ca="1" si="32"/>
        <v>3.3306442814668026E-2</v>
      </c>
    </row>
    <row r="1022" spans="2:8" x14ac:dyDescent="0.3">
      <c r="B1022" s="69">
        <v>44564</v>
      </c>
      <c r="C1022" s="55">
        <v>1053</v>
      </c>
      <c r="D1022" s="70">
        <f t="shared" si="31"/>
        <v>-0.74816143497757848</v>
      </c>
      <c r="E1022" s="180">
        <v>3.1198647264760685E-3</v>
      </c>
      <c r="G1022" s="78">
        <v>1020</v>
      </c>
      <c r="H1022" s="180">
        <f t="shared" ca="1" si="32"/>
        <v>8.2348366055191803E-4</v>
      </c>
    </row>
    <row r="1023" spans="2:8" x14ac:dyDescent="0.3">
      <c r="B1023" s="69">
        <v>46063</v>
      </c>
      <c r="C1023" s="55">
        <v>4181.25</v>
      </c>
      <c r="D1023" s="70">
        <f t="shared" si="31"/>
        <v>1.6051401869158879</v>
      </c>
      <c r="E1023" s="180">
        <v>3.1188148503568645E-3</v>
      </c>
      <c r="G1023" s="78">
        <v>1021</v>
      </c>
      <c r="H1023" s="180">
        <f t="shared" ca="1" si="32"/>
        <v>-3.364715659228653E-2</v>
      </c>
    </row>
    <row r="1024" spans="2:8" x14ac:dyDescent="0.3">
      <c r="B1024" s="69">
        <v>45086</v>
      </c>
      <c r="C1024" s="55">
        <v>1605</v>
      </c>
      <c r="D1024" s="70">
        <f t="shared" si="31"/>
        <v>0.42587451415880068</v>
      </c>
      <c r="E1024" s="180">
        <v>3.1093264167746807E-3</v>
      </c>
      <c r="G1024" s="78">
        <v>1022</v>
      </c>
      <c r="H1024" s="180">
        <f t="shared" ca="1" si="32"/>
        <v>-3.7567399181222205E-2</v>
      </c>
    </row>
    <row r="1025" spans="2:8" x14ac:dyDescent="0.3">
      <c r="B1025" s="69">
        <v>44713</v>
      </c>
      <c r="C1025" s="55">
        <v>1125.625</v>
      </c>
      <c r="D1025" s="70">
        <f t="shared" si="31"/>
        <v>2.3800015013887847</v>
      </c>
      <c r="E1025" s="180">
        <v>3.0967339482243094E-3</v>
      </c>
      <c r="G1025" s="78">
        <v>1023</v>
      </c>
      <c r="H1025" s="180">
        <f t="shared" ca="1" si="32"/>
        <v>6.419168743579841E-4</v>
      </c>
    </row>
    <row r="1026" spans="2:8" x14ac:dyDescent="0.3">
      <c r="B1026" s="69">
        <v>43249</v>
      </c>
      <c r="C1026" s="55">
        <v>333.02499999999998</v>
      </c>
      <c r="D1026" s="70">
        <f t="shared" si="31"/>
        <v>-6.4886634844869076E-3</v>
      </c>
      <c r="E1026" s="180">
        <v>3.0873493975902928E-3</v>
      </c>
      <c r="G1026" s="78">
        <v>1024</v>
      </c>
      <c r="H1026" s="180">
        <f t="shared" ca="1" si="32"/>
        <v>3.1304162948127935E-3</v>
      </c>
    </row>
    <row r="1027" spans="2:8" x14ac:dyDescent="0.3">
      <c r="B1027" s="69">
        <v>43432</v>
      </c>
      <c r="C1027" s="55">
        <v>335.2</v>
      </c>
      <c r="D1027" s="70">
        <f t="shared" ref="D1027:D1090" si="33">(C1027-C1028)/C1028</f>
        <v>-3.4005763688760841E-2</v>
      </c>
      <c r="E1027" s="180">
        <v>3.0672551806689139E-3</v>
      </c>
      <c r="G1027" s="78">
        <v>1025</v>
      </c>
      <c r="H1027" s="180">
        <f t="shared" ca="1" si="32"/>
        <v>7.0746731660412841E-3</v>
      </c>
    </row>
    <row r="1028" spans="2:8" x14ac:dyDescent="0.3">
      <c r="B1028" s="69">
        <v>43495</v>
      </c>
      <c r="C1028" s="55">
        <v>347</v>
      </c>
      <c r="D1028" s="70">
        <f t="shared" si="33"/>
        <v>-0.95051005309116066</v>
      </c>
      <c r="E1028" s="180">
        <v>3.0351206821795386E-3</v>
      </c>
      <c r="G1028" s="78">
        <v>1026</v>
      </c>
      <c r="H1028" s="180">
        <f t="shared" ref="H1028:H1091" ca="1" si="34">_xlfn.NORM.INV(RAND(),$N$4,$N$5)</f>
        <v>-2.4054621147364768E-2</v>
      </c>
    </row>
    <row r="1029" spans="2:8" x14ac:dyDescent="0.3">
      <c r="B1029" s="69">
        <v>45652</v>
      </c>
      <c r="C1029" s="55">
        <v>7011.5249999999996</v>
      </c>
      <c r="D1029" s="70">
        <f t="shared" si="33"/>
        <v>12.911755952380952</v>
      </c>
      <c r="E1029" s="180">
        <v>3.0076532436878103E-3</v>
      </c>
      <c r="G1029" s="78">
        <v>1027</v>
      </c>
      <c r="H1029" s="180">
        <f t="shared" ca="1" si="34"/>
        <v>1.4537524322095539E-2</v>
      </c>
    </row>
    <row r="1030" spans="2:8" x14ac:dyDescent="0.3">
      <c r="B1030" s="69">
        <v>43808</v>
      </c>
      <c r="C1030" s="55">
        <v>504</v>
      </c>
      <c r="D1030" s="70">
        <f t="shared" si="33"/>
        <v>-0.87107418989697449</v>
      </c>
      <c r="E1030" s="180">
        <v>2.935177354360525E-3</v>
      </c>
      <c r="G1030" s="78">
        <v>1028</v>
      </c>
      <c r="H1030" s="180">
        <f t="shared" ca="1" si="34"/>
        <v>3.8965492763437005E-3</v>
      </c>
    </row>
    <row r="1031" spans="2:8" x14ac:dyDescent="0.3">
      <c r="B1031" s="69">
        <v>45345</v>
      </c>
      <c r="C1031" s="55">
        <v>3909.2249999999999</v>
      </c>
      <c r="D1031" s="70">
        <f t="shared" si="33"/>
        <v>2.1951164691458929</v>
      </c>
      <c r="E1031" s="180">
        <v>2.9182754595482125E-3</v>
      </c>
      <c r="G1031" s="78">
        <v>1029</v>
      </c>
      <c r="H1031" s="180">
        <f t="shared" ca="1" si="34"/>
        <v>4.7133099910391586E-2</v>
      </c>
    </row>
    <row r="1032" spans="2:8" x14ac:dyDescent="0.3">
      <c r="B1032" s="69">
        <v>44938</v>
      </c>
      <c r="C1032" s="55">
        <v>1223.5</v>
      </c>
      <c r="D1032" s="70">
        <f t="shared" si="33"/>
        <v>3.6344696969696968</v>
      </c>
      <c r="E1032" s="180">
        <v>2.8688524590163933E-3</v>
      </c>
      <c r="G1032" s="78">
        <v>1030</v>
      </c>
      <c r="H1032" s="180">
        <f t="shared" ca="1" si="34"/>
        <v>2.3276466088710059E-2</v>
      </c>
    </row>
    <row r="1033" spans="2:8" x14ac:dyDescent="0.3">
      <c r="B1033" s="69">
        <v>42845</v>
      </c>
      <c r="C1033" s="55">
        <v>264</v>
      </c>
      <c r="D1033" s="70">
        <f t="shared" si="33"/>
        <v>-0.2511700468018721</v>
      </c>
      <c r="E1033" s="180">
        <v>2.8490028490028491E-3</v>
      </c>
      <c r="G1033" s="78">
        <v>1031</v>
      </c>
      <c r="H1033" s="180">
        <f t="shared" ca="1" si="34"/>
        <v>5.5497700475519727E-3</v>
      </c>
    </row>
    <row r="1034" spans="2:8" x14ac:dyDescent="0.3">
      <c r="B1034" s="69">
        <v>43207</v>
      </c>
      <c r="C1034" s="55">
        <v>352.55</v>
      </c>
      <c r="D1034" s="70">
        <f t="shared" si="33"/>
        <v>-1.5576323987539261E-3</v>
      </c>
      <c r="E1034" s="180">
        <v>2.8445455838431431E-3</v>
      </c>
      <c r="G1034" s="78">
        <v>1032</v>
      </c>
      <c r="H1034" s="180">
        <f t="shared" ca="1" si="34"/>
        <v>-1.9476153128767358E-3</v>
      </c>
    </row>
    <row r="1035" spans="2:8" x14ac:dyDescent="0.3">
      <c r="B1035" s="69">
        <v>43474</v>
      </c>
      <c r="C1035" s="55">
        <v>353.1</v>
      </c>
      <c r="D1035" s="70">
        <f t="shared" si="33"/>
        <v>-0.91897473553775899</v>
      </c>
      <c r="E1035" s="180">
        <v>2.8401022436807723E-3</v>
      </c>
      <c r="G1035" s="78">
        <v>1033</v>
      </c>
      <c r="H1035" s="180">
        <f t="shared" ca="1" si="34"/>
        <v>9.2018609038766446E-3</v>
      </c>
    </row>
    <row r="1036" spans="2:8" x14ac:dyDescent="0.3">
      <c r="B1036" s="69">
        <v>45974</v>
      </c>
      <c r="C1036" s="55">
        <v>4357.8999999999996</v>
      </c>
      <c r="D1036" s="70">
        <f t="shared" si="33"/>
        <v>11.36459072208824</v>
      </c>
      <c r="E1036" s="180">
        <v>2.7727602195196039E-3</v>
      </c>
      <c r="G1036" s="78">
        <v>1034</v>
      </c>
      <c r="H1036" s="180">
        <f t="shared" ca="1" si="34"/>
        <v>1.7494578395632458E-2</v>
      </c>
    </row>
    <row r="1037" spans="2:8" x14ac:dyDescent="0.3">
      <c r="B1037" s="69">
        <v>43451</v>
      </c>
      <c r="C1037" s="55">
        <v>352.45</v>
      </c>
      <c r="D1037" s="70">
        <f t="shared" si="33"/>
        <v>2.3671216961951888E-2</v>
      </c>
      <c r="E1037" s="180">
        <v>2.7027027027026703E-3</v>
      </c>
      <c r="G1037" s="78">
        <v>1035</v>
      </c>
      <c r="H1037" s="180">
        <f t="shared" ca="1" si="34"/>
        <v>-2.2663446627376224E-2</v>
      </c>
    </row>
    <row r="1038" spans="2:8" x14ac:dyDescent="0.3">
      <c r="B1038" s="69">
        <v>43187</v>
      </c>
      <c r="C1038" s="55">
        <v>344.29999999999995</v>
      </c>
      <c r="D1038" s="70">
        <f t="shared" si="33"/>
        <v>-0.66505338424495952</v>
      </c>
      <c r="E1038" s="180">
        <v>2.6938478340005957E-3</v>
      </c>
      <c r="G1038" s="78">
        <v>1036</v>
      </c>
      <c r="H1038" s="180">
        <f t="shared" ca="1" si="34"/>
        <v>1.0928255881780662E-2</v>
      </c>
    </row>
    <row r="1039" spans="2:8" x14ac:dyDescent="0.3">
      <c r="B1039" s="69">
        <v>44592</v>
      </c>
      <c r="C1039" s="55">
        <v>1027.925</v>
      </c>
      <c r="D1039" s="70">
        <f t="shared" si="33"/>
        <v>-0.4005481768745171</v>
      </c>
      <c r="E1039" s="180">
        <v>2.6824688467822566E-3</v>
      </c>
      <c r="G1039" s="78">
        <v>1037</v>
      </c>
      <c r="H1039" s="180">
        <f t="shared" ca="1" si="34"/>
        <v>-4.1518501504982902E-2</v>
      </c>
    </row>
    <row r="1040" spans="2:8" x14ac:dyDescent="0.3">
      <c r="B1040" s="69">
        <v>45135</v>
      </c>
      <c r="C1040" s="55">
        <v>1714.7750000000001</v>
      </c>
      <c r="D1040" s="70">
        <f t="shared" si="33"/>
        <v>-0.56942787912267268</v>
      </c>
      <c r="E1040" s="180">
        <v>2.6751257162905191E-3</v>
      </c>
      <c r="G1040" s="78">
        <v>1038</v>
      </c>
      <c r="H1040" s="180">
        <f t="shared" ca="1" si="34"/>
        <v>-3.8806094449785826E-2</v>
      </c>
    </row>
    <row r="1041" spans="2:8" x14ac:dyDescent="0.3">
      <c r="B1041" s="69">
        <v>45387</v>
      </c>
      <c r="C1041" s="55">
        <v>3982.55</v>
      </c>
      <c r="D1041" s="70">
        <f t="shared" si="33"/>
        <v>3.9554235231903445</v>
      </c>
      <c r="E1041" s="180">
        <v>2.6560926485398244E-3</v>
      </c>
      <c r="G1041" s="78">
        <v>1039</v>
      </c>
      <c r="H1041" s="180">
        <f t="shared" ca="1" si="34"/>
        <v>3.224670931493908E-2</v>
      </c>
    </row>
    <row r="1042" spans="2:8" x14ac:dyDescent="0.3">
      <c r="B1042" s="69">
        <v>44277</v>
      </c>
      <c r="C1042" s="55">
        <v>803.67499999999995</v>
      </c>
      <c r="D1042" s="70">
        <f t="shared" si="33"/>
        <v>2.9909373060211046</v>
      </c>
      <c r="E1042" s="180">
        <v>2.5260400424124961E-3</v>
      </c>
      <c r="G1042" s="78">
        <v>1040</v>
      </c>
      <c r="H1042" s="180">
        <f t="shared" ca="1" si="34"/>
        <v>1.6628888094626825E-2</v>
      </c>
    </row>
    <row r="1043" spans="2:8" x14ac:dyDescent="0.3">
      <c r="B1043" s="69">
        <v>42741</v>
      </c>
      <c r="C1043" s="55">
        <v>201.375</v>
      </c>
      <c r="D1043" s="70">
        <f t="shared" si="33"/>
        <v>-0.17231812577065356</v>
      </c>
      <c r="E1043" s="180">
        <v>2.4891101431238332E-3</v>
      </c>
      <c r="G1043" s="78">
        <v>1041</v>
      </c>
      <c r="H1043" s="180">
        <f t="shared" ca="1" si="34"/>
        <v>9.4483398155499922E-3</v>
      </c>
    </row>
    <row r="1044" spans="2:8" x14ac:dyDescent="0.3">
      <c r="B1044" s="69">
        <v>42810</v>
      </c>
      <c r="C1044" s="55">
        <v>243.3</v>
      </c>
      <c r="D1044" s="70">
        <f t="shared" si="33"/>
        <v>-0.79330558151389008</v>
      </c>
      <c r="E1044" s="180">
        <v>2.4721878862794511E-3</v>
      </c>
      <c r="G1044" s="78">
        <v>1042</v>
      </c>
      <c r="H1044" s="180">
        <f t="shared" ca="1" si="34"/>
        <v>2.7309112296207843E-2</v>
      </c>
    </row>
    <row r="1045" spans="2:8" x14ac:dyDescent="0.3">
      <c r="B1045" s="69">
        <v>44581</v>
      </c>
      <c r="C1045" s="55">
        <v>1177.0999999999999</v>
      </c>
      <c r="D1045" s="70">
        <f t="shared" si="33"/>
        <v>-0.75411770849652726</v>
      </c>
      <c r="E1045" s="180">
        <v>2.4697666496336771E-3</v>
      </c>
      <c r="G1045" s="78">
        <v>1043</v>
      </c>
      <c r="H1045" s="180">
        <f t="shared" ca="1" si="34"/>
        <v>6.8864239202252441E-4</v>
      </c>
    </row>
    <row r="1046" spans="2:8" x14ac:dyDescent="0.3">
      <c r="B1046" s="69">
        <v>45933</v>
      </c>
      <c r="C1046" s="55">
        <v>4787.25</v>
      </c>
      <c r="D1046" s="70">
        <f t="shared" si="33"/>
        <v>13.573059360730594</v>
      </c>
      <c r="E1046" s="180">
        <v>2.460475342896032E-3</v>
      </c>
      <c r="G1046" s="78">
        <v>1044</v>
      </c>
      <c r="H1046" s="180">
        <f t="shared" ca="1" si="34"/>
        <v>-6.2950485552034753E-3</v>
      </c>
    </row>
    <row r="1047" spans="2:8" x14ac:dyDescent="0.3">
      <c r="B1047" s="69">
        <v>43524</v>
      </c>
      <c r="C1047" s="55">
        <v>328.5</v>
      </c>
      <c r="D1047" s="70">
        <f t="shared" si="33"/>
        <v>-0.46973365617433416</v>
      </c>
      <c r="E1047" s="180">
        <v>2.4412572474824881E-3</v>
      </c>
      <c r="G1047" s="78">
        <v>1045</v>
      </c>
      <c r="H1047" s="180">
        <f t="shared" ca="1" si="34"/>
        <v>-1.0237920804016651E-2</v>
      </c>
    </row>
    <row r="1048" spans="2:8" x14ac:dyDescent="0.3">
      <c r="B1048" s="69">
        <v>44026</v>
      </c>
      <c r="C1048" s="55">
        <v>619.5</v>
      </c>
      <c r="D1048" s="70">
        <f t="shared" si="33"/>
        <v>-0.80696424398223887</v>
      </c>
      <c r="E1048" s="180">
        <v>2.4271844660194173E-3</v>
      </c>
      <c r="G1048" s="78">
        <v>1046</v>
      </c>
      <c r="H1048" s="180">
        <f t="shared" ca="1" si="34"/>
        <v>1.3694938395941493E-2</v>
      </c>
    </row>
    <row r="1049" spans="2:8" x14ac:dyDescent="0.3">
      <c r="B1049" s="69">
        <v>45306</v>
      </c>
      <c r="C1049" s="55">
        <v>3209.25</v>
      </c>
      <c r="D1049" s="70">
        <f t="shared" si="33"/>
        <v>-0.33123905976494128</v>
      </c>
      <c r="E1049" s="180">
        <v>2.4129125963409204E-3</v>
      </c>
      <c r="G1049" s="78">
        <v>1047</v>
      </c>
      <c r="H1049" s="180">
        <f t="shared" ca="1" si="34"/>
        <v>4.1327291586339597E-2</v>
      </c>
    </row>
    <row r="1050" spans="2:8" x14ac:dyDescent="0.3">
      <c r="B1050" s="69">
        <v>45936</v>
      </c>
      <c r="C1050" s="55">
        <v>4798.8</v>
      </c>
      <c r="D1050" s="70">
        <f t="shared" si="33"/>
        <v>5.7959831565951754E-2</v>
      </c>
      <c r="E1050" s="180">
        <v>2.4126586244712896E-3</v>
      </c>
      <c r="G1050" s="78">
        <v>1048</v>
      </c>
      <c r="H1050" s="180">
        <f t="shared" ca="1" si="34"/>
        <v>-1.774422515899916E-2</v>
      </c>
    </row>
    <row r="1051" spans="2:8" x14ac:dyDescent="0.3">
      <c r="B1051" s="69">
        <v>45414</v>
      </c>
      <c r="C1051" s="55">
        <v>4535.8999999999996</v>
      </c>
      <c r="D1051" s="70">
        <f t="shared" si="33"/>
        <v>11.761007174004783</v>
      </c>
      <c r="E1051" s="180">
        <v>2.4033016392174629E-3</v>
      </c>
      <c r="G1051" s="78">
        <v>1049</v>
      </c>
      <c r="H1051" s="180">
        <f t="shared" ca="1" si="34"/>
        <v>-2.5872678455208842E-2</v>
      </c>
    </row>
    <row r="1052" spans="2:8" x14ac:dyDescent="0.3">
      <c r="B1052" s="69">
        <v>43571</v>
      </c>
      <c r="C1052" s="55">
        <v>355.45</v>
      </c>
      <c r="D1052" s="70">
        <f t="shared" si="33"/>
        <v>6.1995817149686286E-2</v>
      </c>
      <c r="E1052" s="180">
        <v>2.3970671178792043E-3</v>
      </c>
      <c r="G1052" s="78">
        <v>1050</v>
      </c>
      <c r="H1052" s="180">
        <f t="shared" ca="1" si="34"/>
        <v>1.3623659766475905E-2</v>
      </c>
    </row>
    <row r="1053" spans="2:8" x14ac:dyDescent="0.3">
      <c r="B1053" s="69">
        <v>43231</v>
      </c>
      <c r="C1053" s="55">
        <v>334.7</v>
      </c>
      <c r="D1053" s="70">
        <f t="shared" si="33"/>
        <v>-0.83864825125943065</v>
      </c>
      <c r="E1053" s="180">
        <v>2.3959269242288454E-3</v>
      </c>
      <c r="G1053" s="78">
        <v>1051</v>
      </c>
      <c r="H1053" s="180">
        <f t="shared" ca="1" si="34"/>
        <v>2.1342926096936901E-2</v>
      </c>
    </row>
    <row r="1054" spans="2:8" x14ac:dyDescent="0.3">
      <c r="B1054" s="69">
        <v>45176</v>
      </c>
      <c r="C1054" s="55">
        <v>2074.35</v>
      </c>
      <c r="D1054" s="70">
        <f t="shared" si="33"/>
        <v>2.030460189919649</v>
      </c>
      <c r="E1054" s="180">
        <v>2.3919976804870095E-3</v>
      </c>
      <c r="G1054" s="78">
        <v>1052</v>
      </c>
      <c r="H1054" s="180">
        <f t="shared" ca="1" si="34"/>
        <v>-8.926824159479551E-3</v>
      </c>
    </row>
    <row r="1055" spans="2:8" x14ac:dyDescent="0.3">
      <c r="B1055" s="69">
        <v>44237</v>
      </c>
      <c r="C1055" s="55">
        <v>684.5</v>
      </c>
      <c r="D1055" s="70">
        <f t="shared" si="33"/>
        <v>1.7076740506329113</v>
      </c>
      <c r="E1055" s="180">
        <v>2.3796448837635001E-3</v>
      </c>
      <c r="G1055" s="78">
        <v>1053</v>
      </c>
      <c r="H1055" s="180">
        <f t="shared" ca="1" si="34"/>
        <v>1.1952759839404244E-2</v>
      </c>
    </row>
    <row r="1056" spans="2:8" x14ac:dyDescent="0.3">
      <c r="B1056" s="69">
        <v>42871</v>
      </c>
      <c r="C1056" s="55">
        <v>252.8</v>
      </c>
      <c r="D1056" s="70">
        <f t="shared" si="33"/>
        <v>-0.71702812368826085</v>
      </c>
      <c r="E1056" s="180">
        <v>2.3790642347344283E-3</v>
      </c>
      <c r="G1056" s="78">
        <v>1054</v>
      </c>
      <c r="H1056" s="180">
        <f t="shared" ca="1" si="34"/>
        <v>-1.79724687602183E-2</v>
      </c>
    </row>
    <row r="1057" spans="2:8" x14ac:dyDescent="0.3">
      <c r="B1057" s="69">
        <v>44428</v>
      </c>
      <c r="C1057" s="55">
        <v>893.375</v>
      </c>
      <c r="D1057" s="70">
        <f t="shared" si="33"/>
        <v>-0.52920174433158107</v>
      </c>
      <c r="E1057" s="180">
        <v>2.3561751423522739E-3</v>
      </c>
      <c r="G1057" s="78">
        <v>1055</v>
      </c>
      <c r="H1057" s="180">
        <f t="shared" ca="1" si="34"/>
        <v>-2.1306601237424108E-3</v>
      </c>
    </row>
    <row r="1058" spans="2:8" x14ac:dyDescent="0.3">
      <c r="B1058" s="69">
        <v>45152</v>
      </c>
      <c r="C1058" s="55">
        <v>1897.575</v>
      </c>
      <c r="D1058" s="70">
        <f t="shared" si="33"/>
        <v>-0.60604251873689463</v>
      </c>
      <c r="E1058" s="180">
        <v>2.3506107626279542E-3</v>
      </c>
      <c r="G1058" s="78">
        <v>1056</v>
      </c>
      <c r="H1058" s="180">
        <f t="shared" ca="1" si="34"/>
        <v>1.0276495157163107E-2</v>
      </c>
    </row>
    <row r="1059" spans="2:8" x14ac:dyDescent="0.3">
      <c r="B1059" s="69">
        <v>45953</v>
      </c>
      <c r="C1059" s="55">
        <v>4816.7</v>
      </c>
      <c r="D1059" s="70">
        <f t="shared" si="33"/>
        <v>2.4403771293882359</v>
      </c>
      <c r="E1059" s="180">
        <v>2.3306627822286584E-3</v>
      </c>
      <c r="G1059" s="78">
        <v>1057</v>
      </c>
      <c r="H1059" s="180">
        <f t="shared" ca="1" si="34"/>
        <v>3.7188508391515558E-2</v>
      </c>
    </row>
    <row r="1060" spans="2:8" x14ac:dyDescent="0.3">
      <c r="B1060" s="69">
        <v>44810</v>
      </c>
      <c r="C1060" s="55">
        <v>1400.05</v>
      </c>
      <c r="D1060" s="70">
        <f t="shared" si="33"/>
        <v>-0.12464049018381901</v>
      </c>
      <c r="E1060" s="180">
        <v>2.3267468499425631E-3</v>
      </c>
      <c r="G1060" s="78">
        <v>1058</v>
      </c>
      <c r="H1060" s="180">
        <f t="shared" ca="1" si="34"/>
        <v>-2.3895118499232985E-2</v>
      </c>
    </row>
    <row r="1061" spans="2:8" x14ac:dyDescent="0.3">
      <c r="B1061" s="69">
        <v>45084</v>
      </c>
      <c r="C1061" s="55">
        <v>1599.4</v>
      </c>
      <c r="D1061" s="70">
        <f t="shared" si="33"/>
        <v>-0.7815594312951557</v>
      </c>
      <c r="E1061" s="180">
        <v>2.2873257089143606E-3</v>
      </c>
      <c r="G1061" s="78">
        <v>1059</v>
      </c>
      <c r="H1061" s="180">
        <f t="shared" ca="1" si="34"/>
        <v>1.8196439550293143E-2</v>
      </c>
    </row>
    <row r="1062" spans="2:8" x14ac:dyDescent="0.3">
      <c r="B1062" s="69">
        <v>45595</v>
      </c>
      <c r="C1062" s="55">
        <v>7321.9</v>
      </c>
      <c r="D1062" s="70">
        <f t="shared" si="33"/>
        <v>1.4157710232193672</v>
      </c>
      <c r="E1062" s="180">
        <v>2.2757527950693166E-3</v>
      </c>
      <c r="G1062" s="78">
        <v>1060</v>
      </c>
      <c r="H1062" s="180">
        <f t="shared" ca="1" si="34"/>
        <v>-1.0201459491120958E-2</v>
      </c>
    </row>
    <row r="1063" spans="2:8" x14ac:dyDescent="0.3">
      <c r="B1063" s="69">
        <v>45289</v>
      </c>
      <c r="C1063" s="55">
        <v>3030.875</v>
      </c>
      <c r="D1063" s="70">
        <f t="shared" si="33"/>
        <v>0.14200263752825923</v>
      </c>
      <c r="E1063" s="180">
        <v>2.2734788359788359E-3</v>
      </c>
      <c r="G1063" s="78">
        <v>1061</v>
      </c>
      <c r="H1063" s="180">
        <f t="shared" ca="1" si="34"/>
        <v>3.7438000086300376E-2</v>
      </c>
    </row>
    <row r="1064" spans="2:8" x14ac:dyDescent="0.3">
      <c r="B1064" s="69">
        <v>45254</v>
      </c>
      <c r="C1064" s="55">
        <v>2654</v>
      </c>
      <c r="D1064" s="70">
        <f t="shared" si="33"/>
        <v>-0.62951976464593939</v>
      </c>
      <c r="E1064" s="180">
        <v>2.2658610271903325E-3</v>
      </c>
      <c r="G1064" s="78">
        <v>1062</v>
      </c>
      <c r="H1064" s="180">
        <f t="shared" ca="1" si="34"/>
        <v>1.2699689991395651E-2</v>
      </c>
    </row>
    <row r="1065" spans="2:8" x14ac:dyDescent="0.3">
      <c r="B1065" s="69">
        <v>45546</v>
      </c>
      <c r="C1065" s="55">
        <v>7163.6749999999993</v>
      </c>
      <c r="D1065" s="70">
        <f t="shared" si="33"/>
        <v>0.3244603651490639</v>
      </c>
      <c r="E1065" s="180">
        <v>2.2279738379209222E-3</v>
      </c>
      <c r="G1065" s="78">
        <v>1063</v>
      </c>
      <c r="H1065" s="180">
        <f t="shared" ca="1" si="34"/>
        <v>-1.5711323399500061E-2</v>
      </c>
    </row>
    <row r="1066" spans="2:8" x14ac:dyDescent="0.3">
      <c r="B1066" s="69">
        <v>45881</v>
      </c>
      <c r="C1066" s="55">
        <v>5408.75</v>
      </c>
      <c r="D1066" s="70">
        <f t="shared" si="33"/>
        <v>11.242530556813037</v>
      </c>
      <c r="E1066" s="180">
        <v>2.2235604762125354E-3</v>
      </c>
      <c r="G1066" s="78">
        <v>1064</v>
      </c>
      <c r="H1066" s="180">
        <f t="shared" ca="1" si="34"/>
        <v>1.6806188851943278E-3</v>
      </c>
    </row>
    <row r="1067" spans="2:8" x14ac:dyDescent="0.3">
      <c r="B1067" s="69">
        <v>43644</v>
      </c>
      <c r="C1067" s="55">
        <v>441.8</v>
      </c>
      <c r="D1067" s="70">
        <f t="shared" si="33"/>
        <v>0.17672126781195888</v>
      </c>
      <c r="E1067" s="180">
        <v>2.2117620370895996E-3</v>
      </c>
      <c r="G1067" s="78">
        <v>1065</v>
      </c>
      <c r="H1067" s="180">
        <f t="shared" ca="1" si="34"/>
        <v>-3.4911294674137644E-2</v>
      </c>
    </row>
    <row r="1068" spans="2:8" x14ac:dyDescent="0.3">
      <c r="B1068" s="69">
        <v>43593</v>
      </c>
      <c r="C1068" s="55">
        <v>375.45000000000005</v>
      </c>
      <c r="D1068" s="70">
        <f t="shared" si="33"/>
        <v>-0.72794463968696788</v>
      </c>
      <c r="E1068" s="180">
        <v>2.2022022022023238E-3</v>
      </c>
      <c r="G1068" s="78">
        <v>1066</v>
      </c>
      <c r="H1068" s="180">
        <f t="shared" ca="1" si="34"/>
        <v>3.9896965865707679E-2</v>
      </c>
    </row>
    <row r="1069" spans="2:8" x14ac:dyDescent="0.3">
      <c r="B1069" s="69">
        <v>45043</v>
      </c>
      <c r="C1069" s="55">
        <v>1380.05</v>
      </c>
      <c r="D1069" s="70">
        <f t="shared" si="33"/>
        <v>6.5984358404943474E-2</v>
      </c>
      <c r="E1069" s="180">
        <v>2.1967647646192797E-3</v>
      </c>
      <c r="G1069" s="78">
        <v>1067</v>
      </c>
      <c r="H1069" s="180">
        <f t="shared" ca="1" si="34"/>
        <v>2.4344544562870187E-2</v>
      </c>
    </row>
    <row r="1070" spans="2:8" x14ac:dyDescent="0.3">
      <c r="B1070" s="69">
        <v>44988</v>
      </c>
      <c r="C1070" s="55">
        <v>1294.625</v>
      </c>
      <c r="D1070" s="70">
        <f t="shared" si="33"/>
        <v>4.0709949079514294</v>
      </c>
      <c r="E1070" s="180">
        <v>2.1868710326676307E-3</v>
      </c>
      <c r="G1070" s="78">
        <v>1068</v>
      </c>
      <c r="H1070" s="180">
        <f t="shared" ca="1" si="34"/>
        <v>1.0317472318911988E-2</v>
      </c>
    </row>
    <row r="1071" spans="2:8" x14ac:dyDescent="0.3">
      <c r="B1071" s="69">
        <v>42865</v>
      </c>
      <c r="C1071" s="55">
        <v>255.3</v>
      </c>
      <c r="D1071" s="70">
        <f t="shared" si="33"/>
        <v>-0.53030999908012133</v>
      </c>
      <c r="E1071" s="180">
        <v>2.1589793915603979E-3</v>
      </c>
      <c r="G1071" s="78">
        <v>1069</v>
      </c>
      <c r="H1071" s="180">
        <f t="shared" ca="1" si="34"/>
        <v>2.1570040222309173E-3</v>
      </c>
    </row>
    <row r="1072" spans="2:8" x14ac:dyDescent="0.3">
      <c r="B1072" s="69">
        <v>43768</v>
      </c>
      <c r="C1072" s="55">
        <v>543.54999999999995</v>
      </c>
      <c r="D1072" s="70">
        <f t="shared" si="33"/>
        <v>-0.82025462962962958</v>
      </c>
      <c r="E1072" s="180">
        <v>2.1202064896754746E-3</v>
      </c>
      <c r="G1072" s="78">
        <v>1070</v>
      </c>
      <c r="H1072" s="180">
        <f t="shared" ca="1" si="34"/>
        <v>-1.4183171914104755E-3</v>
      </c>
    </row>
    <row r="1073" spans="2:8" x14ac:dyDescent="0.3">
      <c r="B1073" s="69">
        <v>45288</v>
      </c>
      <c r="C1073" s="55">
        <v>3024</v>
      </c>
      <c r="D1073" s="70">
        <f t="shared" si="33"/>
        <v>5.332984293193717</v>
      </c>
      <c r="E1073" s="180">
        <v>2.1125885423139059E-3</v>
      </c>
      <c r="G1073" s="78">
        <v>1071</v>
      </c>
      <c r="H1073" s="180">
        <f t="shared" ca="1" si="34"/>
        <v>-1.0820009989028751E-2</v>
      </c>
    </row>
    <row r="1074" spans="2:8" x14ac:dyDescent="0.3">
      <c r="B1074" s="69">
        <v>43704</v>
      </c>
      <c r="C1074" s="55">
        <v>477.5</v>
      </c>
      <c r="D1074" s="70">
        <f t="shared" si="33"/>
        <v>-0.91389259566487535</v>
      </c>
      <c r="E1074" s="180">
        <v>2.0986358866736622E-3</v>
      </c>
      <c r="G1074" s="78">
        <v>1072</v>
      </c>
      <c r="H1074" s="180">
        <f t="shared" ca="1" si="34"/>
        <v>-7.8641826281499534E-4</v>
      </c>
    </row>
    <row r="1075" spans="2:8" x14ac:dyDescent="0.3">
      <c r="B1075" s="69">
        <v>45687</v>
      </c>
      <c r="C1075" s="55">
        <v>5545.4</v>
      </c>
      <c r="D1075" s="70">
        <f t="shared" si="33"/>
        <v>9.2997771173848438</v>
      </c>
      <c r="E1075" s="180">
        <v>2.0962087534786883E-3</v>
      </c>
      <c r="G1075" s="78">
        <v>1073</v>
      </c>
      <c r="H1075" s="180">
        <f t="shared" ca="1" si="34"/>
        <v>-8.8449644093824987E-3</v>
      </c>
    </row>
    <row r="1076" spans="2:8" x14ac:dyDescent="0.3">
      <c r="B1076" s="69">
        <v>43833</v>
      </c>
      <c r="C1076" s="55">
        <v>538.4</v>
      </c>
      <c r="D1076" s="70">
        <f t="shared" si="33"/>
        <v>-0.925641264678565</v>
      </c>
      <c r="E1076" s="180">
        <v>2.0472734040573662E-3</v>
      </c>
      <c r="G1076" s="78">
        <v>1074</v>
      </c>
      <c r="H1076" s="180">
        <f t="shared" ca="1" si="34"/>
        <v>1.2522407534544353E-2</v>
      </c>
    </row>
    <row r="1077" spans="2:8" x14ac:dyDescent="0.3">
      <c r="B1077" s="69">
        <v>45548</v>
      </c>
      <c r="C1077" s="55">
        <v>7240.5750000000007</v>
      </c>
      <c r="D1077" s="70">
        <f t="shared" si="33"/>
        <v>19.122490099353854</v>
      </c>
      <c r="E1077" s="180">
        <v>2.0274220947491908E-3</v>
      </c>
      <c r="G1077" s="78">
        <v>1075</v>
      </c>
      <c r="H1077" s="180">
        <f t="shared" ca="1" si="34"/>
        <v>-2.2096557636077711E-2</v>
      </c>
    </row>
    <row r="1078" spans="2:8" x14ac:dyDescent="0.3">
      <c r="B1078" s="69">
        <v>43357</v>
      </c>
      <c r="C1078" s="55">
        <v>359.82500000000005</v>
      </c>
      <c r="D1078" s="70">
        <f t="shared" si="33"/>
        <v>-0.74371438746438745</v>
      </c>
      <c r="E1078" s="180">
        <v>2.0189362294626085E-3</v>
      </c>
      <c r="G1078" s="78">
        <v>1076</v>
      </c>
      <c r="H1078" s="180">
        <f t="shared" ca="1" si="34"/>
        <v>1.3265786642445057E-2</v>
      </c>
    </row>
    <row r="1079" spans="2:8" x14ac:dyDescent="0.3">
      <c r="B1079" s="69">
        <v>44837</v>
      </c>
      <c r="C1079" s="55">
        <v>1404</v>
      </c>
      <c r="D1079" s="70">
        <f t="shared" si="33"/>
        <v>0.63564875491480999</v>
      </c>
      <c r="E1079" s="180">
        <v>1.9982871824150402E-3</v>
      </c>
      <c r="G1079" s="78">
        <v>1077</v>
      </c>
      <c r="H1079" s="180">
        <f t="shared" ca="1" si="34"/>
        <v>2.7035249411195467E-2</v>
      </c>
    </row>
    <row r="1080" spans="2:8" x14ac:dyDescent="0.3">
      <c r="B1080" s="69">
        <v>44370</v>
      </c>
      <c r="C1080" s="55">
        <v>858.375</v>
      </c>
      <c r="D1080" s="70">
        <f t="shared" si="33"/>
        <v>-0.70193242586290716</v>
      </c>
      <c r="E1080" s="180">
        <v>1.9551768413679869E-3</v>
      </c>
      <c r="G1080" s="78">
        <v>1078</v>
      </c>
      <c r="H1080" s="180">
        <f t="shared" ca="1" si="34"/>
        <v>-4.2961451320901768E-3</v>
      </c>
    </row>
    <row r="1081" spans="2:8" x14ac:dyDescent="0.3">
      <c r="B1081" s="69">
        <v>45272</v>
      </c>
      <c r="C1081" s="55">
        <v>2879.8</v>
      </c>
      <c r="D1081" s="70">
        <f t="shared" si="33"/>
        <v>10.117845767783034</v>
      </c>
      <c r="E1081" s="180">
        <v>1.9396532978456012E-3</v>
      </c>
      <c r="G1081" s="78">
        <v>1079</v>
      </c>
      <c r="H1081" s="180">
        <f t="shared" ca="1" si="34"/>
        <v>-3.4971940026086333E-3</v>
      </c>
    </row>
    <row r="1082" spans="2:8" x14ac:dyDescent="0.3">
      <c r="B1082" s="69">
        <v>42940</v>
      </c>
      <c r="C1082" s="55">
        <v>259.02499999999998</v>
      </c>
      <c r="D1082" s="70">
        <f t="shared" si="33"/>
        <v>-0.87599932979079898</v>
      </c>
      <c r="E1082" s="180">
        <v>1.9340489314379654E-3</v>
      </c>
      <c r="G1082" s="78">
        <v>1080</v>
      </c>
      <c r="H1082" s="180">
        <f t="shared" ca="1" si="34"/>
        <v>-3.9491557192304648E-2</v>
      </c>
    </row>
    <row r="1083" spans="2:8" x14ac:dyDescent="0.3">
      <c r="B1083" s="69">
        <v>45211</v>
      </c>
      <c r="C1083" s="55">
        <v>2088.9</v>
      </c>
      <c r="D1083" s="70">
        <f t="shared" si="33"/>
        <v>0.69073249696479166</v>
      </c>
      <c r="E1083" s="180">
        <v>1.9185572449517962E-3</v>
      </c>
      <c r="G1083" s="78">
        <v>1081</v>
      </c>
      <c r="H1083" s="180">
        <f t="shared" ca="1" si="34"/>
        <v>2.5701752411878966E-2</v>
      </c>
    </row>
    <row r="1084" spans="2:8" x14ac:dyDescent="0.3">
      <c r="B1084" s="69">
        <v>44768</v>
      </c>
      <c r="C1084" s="55">
        <v>1235.5</v>
      </c>
      <c r="D1084" s="70">
        <f t="shared" si="33"/>
        <v>2.4571528506470792</v>
      </c>
      <c r="E1084" s="180">
        <v>1.9056886834528718E-3</v>
      </c>
      <c r="G1084" s="78">
        <v>1082</v>
      </c>
      <c r="H1084" s="180">
        <f t="shared" ca="1" si="34"/>
        <v>-1.8383363219969452E-2</v>
      </c>
    </row>
    <row r="1085" spans="2:8" x14ac:dyDescent="0.3">
      <c r="B1085" s="69">
        <v>43578</v>
      </c>
      <c r="C1085" s="55">
        <v>357.375</v>
      </c>
      <c r="D1085" s="70">
        <f t="shared" si="33"/>
        <v>0.41688968183169794</v>
      </c>
      <c r="E1085" s="180">
        <v>1.8923465096718655E-3</v>
      </c>
      <c r="G1085" s="78">
        <v>1083</v>
      </c>
      <c r="H1085" s="180">
        <f t="shared" ca="1" si="34"/>
        <v>-1.6810559707483769E-2</v>
      </c>
    </row>
    <row r="1086" spans="2:8" x14ac:dyDescent="0.3">
      <c r="B1086" s="69">
        <v>42858</v>
      </c>
      <c r="C1086" s="55">
        <v>252.22499999999999</v>
      </c>
      <c r="D1086" s="70">
        <f t="shared" si="33"/>
        <v>-0.28243243243243243</v>
      </c>
      <c r="E1086" s="180">
        <v>1.8867924528301661E-3</v>
      </c>
      <c r="G1086" s="78">
        <v>1084</v>
      </c>
      <c r="H1086" s="180">
        <f t="shared" ca="1" si="34"/>
        <v>-3.3425579734724702E-2</v>
      </c>
    </row>
    <row r="1087" spans="2:8" x14ac:dyDescent="0.3">
      <c r="B1087" s="69">
        <v>43448</v>
      </c>
      <c r="C1087" s="55">
        <v>351.5</v>
      </c>
      <c r="D1087" s="70">
        <f t="shared" si="33"/>
        <v>-0.13348946135831377</v>
      </c>
      <c r="E1087" s="180">
        <v>1.8526435798773757E-3</v>
      </c>
      <c r="G1087" s="78">
        <v>1085</v>
      </c>
      <c r="H1087" s="180">
        <f t="shared" ca="1" si="34"/>
        <v>-1.3318703409437128E-2</v>
      </c>
    </row>
    <row r="1088" spans="2:8" x14ac:dyDescent="0.3">
      <c r="B1088" s="69">
        <v>43626</v>
      </c>
      <c r="C1088" s="55">
        <v>405.65</v>
      </c>
      <c r="D1088" s="70">
        <f t="shared" si="33"/>
        <v>-0.89952319029042038</v>
      </c>
      <c r="E1088" s="180">
        <v>1.8523092121511485E-3</v>
      </c>
      <c r="G1088" s="78">
        <v>1086</v>
      </c>
      <c r="H1088" s="180">
        <f t="shared" ca="1" si="34"/>
        <v>-2.6853382921298925E-2</v>
      </c>
    </row>
    <row r="1089" spans="2:8" x14ac:dyDescent="0.3">
      <c r="B1089" s="69">
        <v>46030</v>
      </c>
      <c r="C1089" s="55">
        <v>4037.25</v>
      </c>
      <c r="D1089" s="70">
        <f t="shared" si="33"/>
        <v>4.1839368258859784</v>
      </c>
      <c r="E1089" s="180">
        <v>1.8362966363512515E-3</v>
      </c>
      <c r="G1089" s="78">
        <v>1087</v>
      </c>
      <c r="H1089" s="180">
        <f t="shared" ca="1" si="34"/>
        <v>-2.8215236123688106E-2</v>
      </c>
    </row>
    <row r="1090" spans="2:8" x14ac:dyDescent="0.3">
      <c r="B1090" s="69">
        <v>44315</v>
      </c>
      <c r="C1090" s="55">
        <v>778.8</v>
      </c>
      <c r="D1090" s="70">
        <f t="shared" si="33"/>
        <v>-0.2214335699290213</v>
      </c>
      <c r="E1090" s="180">
        <v>1.833092136999459E-3</v>
      </c>
      <c r="G1090" s="78">
        <v>1088</v>
      </c>
      <c r="H1090" s="180">
        <f t="shared" ca="1" si="34"/>
        <v>-1.3372581459384851E-2</v>
      </c>
    </row>
    <row r="1091" spans="2:8" x14ac:dyDescent="0.3">
      <c r="B1091" s="69">
        <v>44455</v>
      </c>
      <c r="C1091" s="55">
        <v>1000.3</v>
      </c>
      <c r="D1091" s="70">
        <f t="shared" ref="D1091:D1154" si="35">(C1091-C1092)/C1092</f>
        <v>-0.25019208065513554</v>
      </c>
      <c r="E1091" s="180">
        <v>1.8027040560840805E-3</v>
      </c>
      <c r="G1091" s="78">
        <v>1089</v>
      </c>
      <c r="H1091" s="180">
        <f t="shared" ca="1" si="34"/>
        <v>-5.4126904295694793E-3</v>
      </c>
    </row>
    <row r="1092" spans="2:8" x14ac:dyDescent="0.3">
      <c r="B1092" s="69">
        <v>44998</v>
      </c>
      <c r="C1092" s="55">
        <v>1334.0749999999998</v>
      </c>
      <c r="D1092" s="70">
        <f t="shared" si="35"/>
        <v>-0.74352849576576663</v>
      </c>
      <c r="E1092" s="180">
        <v>1.7646285832284513E-3</v>
      </c>
      <c r="G1092" s="78">
        <v>1090</v>
      </c>
      <c r="H1092" s="180">
        <f t="shared" ref="H1092:H1155" ca="1" si="36">_xlfn.NORM.INV(RAND(),$N$4,$N$5)</f>
        <v>5.7831332016409758E-3</v>
      </c>
    </row>
    <row r="1093" spans="2:8" x14ac:dyDescent="0.3">
      <c r="B1093" s="69">
        <v>45700</v>
      </c>
      <c r="C1093" s="55">
        <v>5201.6499999999996</v>
      </c>
      <c r="D1093" s="70">
        <f t="shared" si="35"/>
        <v>3.064582926352803</v>
      </c>
      <c r="E1093" s="180">
        <v>1.762156957149665E-3</v>
      </c>
      <c r="G1093" s="78">
        <v>1091</v>
      </c>
      <c r="H1093" s="180">
        <f t="shared" ca="1" si="36"/>
        <v>-2.2175459320724868E-2</v>
      </c>
    </row>
    <row r="1094" spans="2:8" x14ac:dyDescent="0.3">
      <c r="B1094" s="69">
        <v>44673</v>
      </c>
      <c r="C1094" s="55">
        <v>1279.75</v>
      </c>
      <c r="D1094" s="70">
        <f t="shared" si="35"/>
        <v>-9.1457678859840505E-2</v>
      </c>
      <c r="E1094" s="180">
        <v>1.7612524461839531E-3</v>
      </c>
      <c r="G1094" s="78">
        <v>1092</v>
      </c>
      <c r="H1094" s="180">
        <f t="shared" ca="1" si="36"/>
        <v>1.8815290748683308E-2</v>
      </c>
    </row>
    <row r="1095" spans="2:8" x14ac:dyDescent="0.3">
      <c r="B1095" s="69">
        <v>44915</v>
      </c>
      <c r="C1095" s="55">
        <v>1408.5749999999998</v>
      </c>
      <c r="D1095" s="70">
        <f t="shared" si="35"/>
        <v>3.8561501170485131E-2</v>
      </c>
      <c r="E1095" s="180">
        <v>1.742377100186554E-3</v>
      </c>
      <c r="G1095" s="78">
        <v>1093</v>
      </c>
      <c r="H1095" s="180">
        <f t="shared" ca="1" si="36"/>
        <v>-3.6086276509346739E-2</v>
      </c>
    </row>
    <row r="1096" spans="2:8" x14ac:dyDescent="0.3">
      <c r="B1096" s="69">
        <v>45028</v>
      </c>
      <c r="C1096" s="55">
        <v>1356.2750000000001</v>
      </c>
      <c r="D1096" s="70">
        <f t="shared" si="35"/>
        <v>2.8275010582757161</v>
      </c>
      <c r="E1096" s="180">
        <v>1.7171978285756826E-3</v>
      </c>
      <c r="G1096" s="78">
        <v>1094</v>
      </c>
      <c r="H1096" s="180">
        <f t="shared" ca="1" si="36"/>
        <v>-2.6513945393774579E-2</v>
      </c>
    </row>
    <row r="1097" spans="2:8" x14ac:dyDescent="0.3">
      <c r="B1097" s="69">
        <v>43479</v>
      </c>
      <c r="C1097" s="55">
        <v>354.35</v>
      </c>
      <c r="D1097" s="70">
        <f t="shared" si="35"/>
        <v>-0.70574435840478311</v>
      </c>
      <c r="E1097" s="180">
        <v>1.6961130742050112E-3</v>
      </c>
      <c r="G1097" s="78">
        <v>1095</v>
      </c>
      <c r="H1097" s="180">
        <f t="shared" ca="1" si="36"/>
        <v>-3.0351327888890802E-3</v>
      </c>
    </row>
    <row r="1098" spans="2:8" x14ac:dyDescent="0.3">
      <c r="B1098" s="69">
        <v>44942</v>
      </c>
      <c r="C1098" s="55">
        <v>1204.2249999999999</v>
      </c>
      <c r="D1098" s="70">
        <f t="shared" si="35"/>
        <v>3.6657303370786507</v>
      </c>
      <c r="E1098" s="180">
        <v>1.6635821081744267E-3</v>
      </c>
      <c r="G1098" s="78">
        <v>1096</v>
      </c>
      <c r="H1098" s="180">
        <f t="shared" ca="1" si="36"/>
        <v>2.007707964614918E-2</v>
      </c>
    </row>
    <row r="1099" spans="2:8" x14ac:dyDescent="0.3">
      <c r="B1099" s="69">
        <v>42943</v>
      </c>
      <c r="C1099" s="55">
        <v>258.10000000000002</v>
      </c>
      <c r="D1099" s="70">
        <f t="shared" si="35"/>
        <v>-0.64625663868425554</v>
      </c>
      <c r="E1099" s="180">
        <v>1.6493645095566562E-3</v>
      </c>
      <c r="G1099" s="78">
        <v>1097</v>
      </c>
      <c r="H1099" s="180">
        <f t="shared" ca="1" si="36"/>
        <v>8.0049172316675795E-3</v>
      </c>
    </row>
    <row r="1100" spans="2:8" x14ac:dyDescent="0.3">
      <c r="B1100" s="69">
        <v>44295</v>
      </c>
      <c r="C1100" s="55">
        <v>729.625</v>
      </c>
      <c r="D1100" s="70">
        <f t="shared" si="35"/>
        <v>0.54499735309687669</v>
      </c>
      <c r="E1100" s="180">
        <v>1.6473899166009481E-3</v>
      </c>
      <c r="G1100" s="78">
        <v>1098</v>
      </c>
      <c r="H1100" s="180">
        <f t="shared" ca="1" si="36"/>
        <v>1.1625172394192682E-2</v>
      </c>
    </row>
    <row r="1101" spans="2:8" x14ac:dyDescent="0.3">
      <c r="B1101" s="69">
        <v>43700</v>
      </c>
      <c r="C1101" s="55">
        <v>472.25</v>
      </c>
      <c r="D1101" s="70">
        <f t="shared" si="35"/>
        <v>3.3992008320105044E-2</v>
      </c>
      <c r="E1101" s="180">
        <v>1.5906680805938495E-3</v>
      </c>
      <c r="G1101" s="78">
        <v>1099</v>
      </c>
      <c r="H1101" s="180">
        <f t="shared" ca="1" si="36"/>
        <v>-1.3926369173585373E-2</v>
      </c>
    </row>
    <row r="1102" spans="2:8" x14ac:dyDescent="0.3">
      <c r="B1102" s="69">
        <v>43937</v>
      </c>
      <c r="C1102" s="55">
        <v>456.72500000000002</v>
      </c>
      <c r="D1102" s="70">
        <f t="shared" si="35"/>
        <v>0.11145586177526315</v>
      </c>
      <c r="E1102" s="180">
        <v>1.5899122807018042E-3</v>
      </c>
      <c r="G1102" s="78">
        <v>1100</v>
      </c>
      <c r="H1102" s="180">
        <f t="shared" ca="1" si="36"/>
        <v>-2.324875836449606E-2</v>
      </c>
    </row>
    <row r="1103" spans="2:8" x14ac:dyDescent="0.3">
      <c r="B1103" s="69">
        <v>43637</v>
      </c>
      <c r="C1103" s="55">
        <v>410.92500000000001</v>
      </c>
      <c r="D1103" s="70">
        <f t="shared" si="35"/>
        <v>-0.92619550087557811</v>
      </c>
      <c r="E1103" s="180">
        <v>1.5843032112608229E-3</v>
      </c>
      <c r="G1103" s="78">
        <v>1101</v>
      </c>
      <c r="H1103" s="180">
        <f t="shared" ca="1" si="36"/>
        <v>-2.4368001672567328E-2</v>
      </c>
    </row>
    <row r="1104" spans="2:8" x14ac:dyDescent="0.3">
      <c r="B1104" s="69">
        <v>45805</v>
      </c>
      <c r="C1104" s="55">
        <v>5567.75</v>
      </c>
      <c r="D1104" s="70">
        <f t="shared" si="35"/>
        <v>2.1183914897519373E-2</v>
      </c>
      <c r="E1104" s="180">
        <v>1.5740241050548659E-3</v>
      </c>
      <c r="G1104" s="78">
        <v>1102</v>
      </c>
      <c r="H1104" s="180">
        <f t="shared" ca="1" si="36"/>
        <v>2.4017874189426341E-2</v>
      </c>
    </row>
    <row r="1105" spans="2:8" x14ac:dyDescent="0.3">
      <c r="B1105" s="69">
        <v>45847</v>
      </c>
      <c r="C1105" s="55">
        <v>5452.25</v>
      </c>
      <c r="D1105" s="70">
        <f t="shared" si="35"/>
        <v>2.630235035621546</v>
      </c>
      <c r="E1105" s="180">
        <v>1.5614236509758899E-3</v>
      </c>
      <c r="G1105" s="78">
        <v>1103</v>
      </c>
      <c r="H1105" s="180">
        <f t="shared" ca="1" si="36"/>
        <v>4.401042079753071E-2</v>
      </c>
    </row>
    <row r="1106" spans="2:8" x14ac:dyDescent="0.3">
      <c r="B1106" s="69">
        <v>45064</v>
      </c>
      <c r="C1106" s="55">
        <v>1501.9</v>
      </c>
      <c r="D1106" s="70">
        <f t="shared" si="35"/>
        <v>-0.80836206924051079</v>
      </c>
      <c r="E1106" s="180">
        <v>1.5504392911325179E-3</v>
      </c>
      <c r="G1106" s="78">
        <v>1104</v>
      </c>
      <c r="H1106" s="180">
        <f t="shared" ca="1" si="36"/>
        <v>-4.9276075633436431E-3</v>
      </c>
    </row>
    <row r="1107" spans="2:8" x14ac:dyDescent="0.3">
      <c r="B1107" s="69">
        <v>45562</v>
      </c>
      <c r="C1107" s="55">
        <v>7837.1749999999993</v>
      </c>
      <c r="D1107" s="70">
        <f t="shared" si="35"/>
        <v>0.84532204706796454</v>
      </c>
      <c r="E1107" s="180">
        <v>1.5271126389335653E-3</v>
      </c>
      <c r="G1107" s="78">
        <v>1105</v>
      </c>
      <c r="H1107" s="180">
        <f t="shared" ca="1" si="36"/>
        <v>-3.6830382229955843E-3</v>
      </c>
    </row>
    <row r="1108" spans="2:8" x14ac:dyDescent="0.3">
      <c r="B1108" s="69">
        <v>46066</v>
      </c>
      <c r="C1108" s="55">
        <v>4247.05</v>
      </c>
      <c r="D1108" s="70">
        <f t="shared" si="35"/>
        <v>11.833874745032864</v>
      </c>
      <c r="E1108" s="180">
        <v>1.5210111776634951E-3</v>
      </c>
      <c r="G1108" s="78">
        <v>1106</v>
      </c>
      <c r="H1108" s="180">
        <f t="shared" ca="1" si="36"/>
        <v>1.8207379745745288E-2</v>
      </c>
    </row>
    <row r="1109" spans="2:8" x14ac:dyDescent="0.3">
      <c r="B1109" s="69">
        <v>43103</v>
      </c>
      <c r="C1109" s="55">
        <v>330.92499999999995</v>
      </c>
      <c r="D1109" s="70">
        <f t="shared" si="35"/>
        <v>-0.59527303858619218</v>
      </c>
      <c r="E1109" s="180">
        <v>1.5132026935006223E-3</v>
      </c>
      <c r="G1109" s="78">
        <v>1107</v>
      </c>
      <c r="H1109" s="180">
        <f t="shared" ca="1" si="36"/>
        <v>2.2284949434437061E-2</v>
      </c>
    </row>
    <row r="1110" spans="2:8" x14ac:dyDescent="0.3">
      <c r="B1110" s="69">
        <v>44337</v>
      </c>
      <c r="C1110" s="55">
        <v>817.65</v>
      </c>
      <c r="D1110" s="70">
        <f t="shared" si="35"/>
        <v>-0.21797140261106593</v>
      </c>
      <c r="E1110" s="180">
        <v>1.5004440089414494E-3</v>
      </c>
      <c r="G1110" s="78">
        <v>1108</v>
      </c>
      <c r="H1110" s="180">
        <f t="shared" ca="1" si="36"/>
        <v>2.7625552723746245E-3</v>
      </c>
    </row>
    <row r="1111" spans="2:8" x14ac:dyDescent="0.3">
      <c r="B1111" s="69">
        <v>44558</v>
      </c>
      <c r="C1111" s="55">
        <v>1045.55</v>
      </c>
      <c r="D1111" s="70">
        <f t="shared" si="35"/>
        <v>-0.39145871225900331</v>
      </c>
      <c r="E1111" s="180">
        <v>1.4846743295018722E-3</v>
      </c>
      <c r="G1111" s="78">
        <v>1109</v>
      </c>
      <c r="H1111" s="180">
        <f t="shared" ca="1" si="36"/>
        <v>-3.2838250774781105E-3</v>
      </c>
    </row>
    <row r="1112" spans="2:8" x14ac:dyDescent="0.3">
      <c r="B1112" s="69">
        <v>45131</v>
      </c>
      <c r="C1112" s="55">
        <v>1718.125</v>
      </c>
      <c r="D1112" s="70">
        <f t="shared" si="35"/>
        <v>3.739655172413793</v>
      </c>
      <c r="E1112" s="180">
        <v>1.4571948998178506E-3</v>
      </c>
      <c r="G1112" s="78">
        <v>1110</v>
      </c>
      <c r="H1112" s="180">
        <f t="shared" ca="1" si="36"/>
        <v>-1.4386539642409943E-2</v>
      </c>
    </row>
    <row r="1113" spans="2:8" x14ac:dyDescent="0.3">
      <c r="B1113" s="69">
        <v>43353</v>
      </c>
      <c r="C1113" s="55">
        <v>362.5</v>
      </c>
      <c r="D1113" s="70">
        <f t="shared" si="35"/>
        <v>9.3844296922148532E-2</v>
      </c>
      <c r="E1113" s="180">
        <v>1.4503764072103797E-3</v>
      </c>
      <c r="G1113" s="78">
        <v>1111</v>
      </c>
      <c r="H1113" s="180">
        <f t="shared" ca="1" si="36"/>
        <v>-3.4937912325454972E-3</v>
      </c>
    </row>
    <row r="1114" spans="2:8" x14ac:dyDescent="0.3">
      <c r="B1114" s="69">
        <v>43104</v>
      </c>
      <c r="C1114" s="55">
        <v>331.4</v>
      </c>
      <c r="D1114" s="70">
        <f t="shared" si="35"/>
        <v>-0.69804100227790433</v>
      </c>
      <c r="E1114" s="180">
        <v>1.4353705522400025E-3</v>
      </c>
      <c r="G1114" s="78">
        <v>1112</v>
      </c>
      <c r="H1114" s="180">
        <f t="shared" ca="1" si="36"/>
        <v>3.0790568985206802E-2</v>
      </c>
    </row>
    <row r="1115" spans="2:8" x14ac:dyDescent="0.3">
      <c r="B1115" s="69">
        <v>44725</v>
      </c>
      <c r="C1115" s="55">
        <v>1097.5</v>
      </c>
      <c r="D1115" s="70">
        <f t="shared" si="35"/>
        <v>2.2384184125110655</v>
      </c>
      <c r="E1115" s="180">
        <v>1.4142980975411124E-3</v>
      </c>
      <c r="G1115" s="78">
        <v>1113</v>
      </c>
      <c r="H1115" s="180">
        <f t="shared" ca="1" si="36"/>
        <v>1.6965346131539213E-2</v>
      </c>
    </row>
    <row r="1116" spans="2:8" x14ac:dyDescent="0.3">
      <c r="B1116" s="69">
        <v>43237</v>
      </c>
      <c r="C1116" s="55">
        <v>338.9</v>
      </c>
      <c r="D1116" s="70">
        <f t="shared" si="35"/>
        <v>-0.91927011993949426</v>
      </c>
      <c r="E1116" s="180">
        <v>1.4035606116570077E-3</v>
      </c>
      <c r="G1116" s="78">
        <v>1114</v>
      </c>
      <c r="H1116" s="180">
        <f t="shared" ca="1" si="36"/>
        <v>1.7160088290916569E-2</v>
      </c>
    </row>
    <row r="1117" spans="2:8" x14ac:dyDescent="0.3">
      <c r="B1117" s="69">
        <v>45995</v>
      </c>
      <c r="C1117" s="55">
        <v>4197.9500000000007</v>
      </c>
      <c r="D1117" s="70">
        <f t="shared" si="35"/>
        <v>-0.41714567366433397</v>
      </c>
      <c r="E1117" s="180">
        <v>1.3835382798805128E-3</v>
      </c>
      <c r="G1117" s="78">
        <v>1115</v>
      </c>
      <c r="H1117" s="180">
        <f t="shared" ca="1" si="36"/>
        <v>-5.1417279820950698E-3</v>
      </c>
    </row>
    <row r="1118" spans="2:8" x14ac:dyDescent="0.3">
      <c r="B1118" s="69">
        <v>45534</v>
      </c>
      <c r="C1118" s="55">
        <v>7202.4</v>
      </c>
      <c r="D1118" s="70">
        <f t="shared" si="35"/>
        <v>1.4126218470505474</v>
      </c>
      <c r="E1118" s="180">
        <v>1.3833950879046525E-3</v>
      </c>
      <c r="G1118" s="78">
        <v>1116</v>
      </c>
      <c r="H1118" s="180">
        <f t="shared" ca="1" si="36"/>
        <v>3.6549618634497787E-3</v>
      </c>
    </row>
    <row r="1119" spans="2:8" x14ac:dyDescent="0.3">
      <c r="B1119" s="69">
        <v>45279</v>
      </c>
      <c r="C1119" s="55">
        <v>2985.3</v>
      </c>
      <c r="D1119" s="70">
        <f t="shared" si="35"/>
        <v>8.2018186021422519</v>
      </c>
      <c r="E1119" s="180">
        <v>1.3249031479028873E-3</v>
      </c>
      <c r="G1119" s="78">
        <v>1117</v>
      </c>
      <c r="H1119" s="180">
        <f t="shared" ca="1" si="36"/>
        <v>1.8535271106375297E-4</v>
      </c>
    </row>
    <row r="1120" spans="2:8" x14ac:dyDescent="0.3">
      <c r="B1120" s="69">
        <v>43410</v>
      </c>
      <c r="C1120" s="55">
        <v>324.42500000000001</v>
      </c>
      <c r="D1120" s="70">
        <f t="shared" si="35"/>
        <v>-0.67586671995204306</v>
      </c>
      <c r="E1120" s="180">
        <v>1.3117283950617635E-3</v>
      </c>
      <c r="G1120" s="78">
        <v>1118</v>
      </c>
      <c r="H1120" s="180">
        <f t="shared" ca="1" si="36"/>
        <v>1.0288241941609216E-2</v>
      </c>
    </row>
    <row r="1121" spans="2:8" x14ac:dyDescent="0.3">
      <c r="B1121" s="69">
        <v>44442</v>
      </c>
      <c r="C1121" s="55">
        <v>1000.9</v>
      </c>
      <c r="D1121" s="70">
        <f t="shared" si="35"/>
        <v>-0.80136931930938682</v>
      </c>
      <c r="E1121" s="180">
        <v>1.3005202080833016E-3</v>
      </c>
      <c r="G1121" s="78">
        <v>1119</v>
      </c>
      <c r="H1121" s="180">
        <f t="shared" ca="1" si="36"/>
        <v>-1.385251875899669E-2</v>
      </c>
    </row>
    <row r="1122" spans="2:8" x14ac:dyDescent="0.3">
      <c r="B1122" s="69">
        <v>45729</v>
      </c>
      <c r="C1122" s="55">
        <v>5039</v>
      </c>
      <c r="D1122" s="70">
        <f t="shared" si="35"/>
        <v>16.234715690466011</v>
      </c>
      <c r="E1122" s="180">
        <v>1.2916045702930949E-3</v>
      </c>
      <c r="G1122" s="78">
        <v>1120</v>
      </c>
      <c r="H1122" s="180">
        <f t="shared" ca="1" si="36"/>
        <v>-2.2793124643201408E-3</v>
      </c>
    </row>
    <row r="1123" spans="2:8" x14ac:dyDescent="0.3">
      <c r="B1123" s="69">
        <v>42996</v>
      </c>
      <c r="C1123" s="55">
        <v>292.375</v>
      </c>
      <c r="D1123" s="70">
        <f t="shared" si="35"/>
        <v>-0.92239291283718772</v>
      </c>
      <c r="E1123" s="180">
        <v>1.2842465753424657E-3</v>
      </c>
      <c r="G1123" s="78">
        <v>1121</v>
      </c>
      <c r="H1123" s="180">
        <f t="shared" ca="1" si="36"/>
        <v>2.4738194452700616E-3</v>
      </c>
    </row>
    <row r="1124" spans="2:8" x14ac:dyDescent="0.3">
      <c r="B1124" s="69">
        <v>45334</v>
      </c>
      <c r="C1124" s="55">
        <v>3767.375</v>
      </c>
      <c r="D1124" s="70">
        <f t="shared" si="35"/>
        <v>-0.13660635506308078</v>
      </c>
      <c r="E1124" s="180">
        <v>1.282374985049984E-3</v>
      </c>
      <c r="G1124" s="78">
        <v>1122</v>
      </c>
      <c r="H1124" s="180">
        <f t="shared" ca="1" si="36"/>
        <v>7.0536421632081151E-3</v>
      </c>
    </row>
    <row r="1125" spans="2:8" x14ac:dyDescent="0.3">
      <c r="B1125" s="69">
        <v>45975</v>
      </c>
      <c r="C1125" s="55">
        <v>4363.45</v>
      </c>
      <c r="D1125" s="70">
        <f t="shared" si="35"/>
        <v>12.298133333333332</v>
      </c>
      <c r="E1125" s="180">
        <v>1.2735491865348406E-3</v>
      </c>
      <c r="G1125" s="78">
        <v>1123</v>
      </c>
      <c r="H1125" s="180">
        <f t="shared" ca="1" si="36"/>
        <v>1.6837348474102821E-2</v>
      </c>
    </row>
    <row r="1126" spans="2:8" x14ac:dyDescent="0.3">
      <c r="B1126" s="69">
        <v>43515</v>
      </c>
      <c r="C1126" s="55">
        <v>328.125</v>
      </c>
      <c r="D1126" s="70">
        <f t="shared" si="35"/>
        <v>-0.20159377091063937</v>
      </c>
      <c r="E1126" s="180">
        <v>1.2205355099549234E-3</v>
      </c>
      <c r="G1126" s="78">
        <v>1124</v>
      </c>
      <c r="H1126" s="180">
        <f t="shared" ca="1" si="36"/>
        <v>5.2258985299372387E-3</v>
      </c>
    </row>
    <row r="1127" spans="2:8" x14ac:dyDescent="0.3">
      <c r="B1127" s="69">
        <v>43671</v>
      </c>
      <c r="C1127" s="55">
        <v>410.97500000000002</v>
      </c>
      <c r="D1127" s="70">
        <f t="shared" si="35"/>
        <v>-0.92640791476407913</v>
      </c>
      <c r="E1127" s="180">
        <v>1.2181009805712893E-3</v>
      </c>
      <c r="G1127" s="78">
        <v>1125</v>
      </c>
      <c r="H1127" s="180">
        <f t="shared" ca="1" si="36"/>
        <v>-8.1641341968421623E-3</v>
      </c>
    </row>
    <row r="1128" spans="2:8" x14ac:dyDescent="0.3">
      <c r="B1128" s="69">
        <v>45796</v>
      </c>
      <c r="C1128" s="55">
        <v>5584.5</v>
      </c>
      <c r="D1128" s="70">
        <f t="shared" si="35"/>
        <v>21.438975389251631</v>
      </c>
      <c r="E1128" s="180">
        <v>1.2101653892698668E-3</v>
      </c>
      <c r="G1128" s="78">
        <v>1126</v>
      </c>
      <c r="H1128" s="180">
        <f t="shared" ca="1" si="36"/>
        <v>-3.060731183279005E-2</v>
      </c>
    </row>
    <row r="1129" spans="2:8" x14ac:dyDescent="0.3">
      <c r="B1129" s="69">
        <v>42793</v>
      </c>
      <c r="C1129" s="55">
        <v>248.875</v>
      </c>
      <c r="D1129" s="70">
        <f t="shared" si="35"/>
        <v>-0.45713818300796161</v>
      </c>
      <c r="E1129" s="180">
        <v>1.2068792115056276E-3</v>
      </c>
      <c r="G1129" s="78">
        <v>1127</v>
      </c>
      <c r="H1129" s="180">
        <f t="shared" ca="1" si="36"/>
        <v>-2.3847884998794602E-2</v>
      </c>
    </row>
    <row r="1130" spans="2:8" x14ac:dyDescent="0.3">
      <c r="B1130" s="69">
        <v>43712</v>
      </c>
      <c r="C1130" s="55">
        <v>458.45</v>
      </c>
      <c r="D1130" s="70">
        <f t="shared" si="35"/>
        <v>-0.26823623304070232</v>
      </c>
      <c r="E1130" s="180">
        <v>1.2011356191308396E-3</v>
      </c>
      <c r="G1130" s="78">
        <v>1128</v>
      </c>
      <c r="H1130" s="180">
        <f t="shared" ca="1" si="36"/>
        <v>4.7768740819785854E-2</v>
      </c>
    </row>
    <row r="1131" spans="2:8" x14ac:dyDescent="0.3">
      <c r="B1131" s="69">
        <v>44022</v>
      </c>
      <c r="C1131" s="55">
        <v>626.5</v>
      </c>
      <c r="D1131" s="70">
        <f t="shared" si="35"/>
        <v>0.10425663170882167</v>
      </c>
      <c r="E1131" s="180">
        <v>1.1985617259288853E-3</v>
      </c>
      <c r="G1131" s="78">
        <v>1129</v>
      </c>
      <c r="H1131" s="180">
        <f t="shared" ca="1" si="36"/>
        <v>-4.5395102593146573E-2</v>
      </c>
    </row>
    <row r="1132" spans="2:8" x14ac:dyDescent="0.3">
      <c r="B1132" s="69">
        <v>43987</v>
      </c>
      <c r="C1132" s="55">
        <v>567.35</v>
      </c>
      <c r="D1132" s="70">
        <f t="shared" si="35"/>
        <v>-0.53495901639344257</v>
      </c>
      <c r="E1132" s="180">
        <v>1.1911589535449213E-3</v>
      </c>
      <c r="G1132" s="78">
        <v>1130</v>
      </c>
      <c r="H1132" s="180">
        <f t="shared" ca="1" si="36"/>
        <v>1.7895610103582952E-3</v>
      </c>
    </row>
    <row r="1133" spans="2:8" x14ac:dyDescent="0.3">
      <c r="B1133" s="69">
        <v>44937</v>
      </c>
      <c r="C1133" s="55">
        <v>1220</v>
      </c>
      <c r="D1133" s="70">
        <f t="shared" si="35"/>
        <v>-0.28888888888888886</v>
      </c>
      <c r="E1133" s="180">
        <v>1.1899388617617806E-3</v>
      </c>
      <c r="G1133" s="78">
        <v>1131</v>
      </c>
      <c r="H1133" s="180">
        <f t="shared" ca="1" si="36"/>
        <v>-2.2772553885226469E-2</v>
      </c>
    </row>
    <row r="1134" spans="2:8" x14ac:dyDescent="0.3">
      <c r="B1134" s="69">
        <v>45128</v>
      </c>
      <c r="C1134" s="55">
        <v>1715.625</v>
      </c>
      <c r="D1134" s="70">
        <f t="shared" si="35"/>
        <v>0.18318965517241378</v>
      </c>
      <c r="E1134" s="180">
        <v>1.1817226890756833E-3</v>
      </c>
      <c r="G1134" s="78">
        <v>1132</v>
      </c>
      <c r="H1134" s="180">
        <f t="shared" ca="1" si="36"/>
        <v>2.1931210899842814E-2</v>
      </c>
    </row>
    <row r="1135" spans="2:8" x14ac:dyDescent="0.3">
      <c r="B1135" s="69">
        <v>44908</v>
      </c>
      <c r="C1135" s="55">
        <v>1450</v>
      </c>
      <c r="D1135" s="70">
        <f t="shared" si="35"/>
        <v>1.3419203747072597</v>
      </c>
      <c r="E1135" s="180">
        <v>1.1737899606435445E-3</v>
      </c>
      <c r="G1135" s="78">
        <v>1133</v>
      </c>
      <c r="H1135" s="180">
        <f t="shared" ca="1" si="36"/>
        <v>1.9290396372608612E-2</v>
      </c>
    </row>
    <row r="1136" spans="2:8" x14ac:dyDescent="0.3">
      <c r="B1136" s="69">
        <v>44015</v>
      </c>
      <c r="C1136" s="55">
        <v>619.15000000000009</v>
      </c>
      <c r="D1136" s="70">
        <f t="shared" si="35"/>
        <v>0.36519486246623695</v>
      </c>
      <c r="E1136" s="180">
        <v>1.1723329425559065E-3</v>
      </c>
      <c r="G1136" s="78">
        <v>1134</v>
      </c>
      <c r="H1136" s="180">
        <f t="shared" ca="1" si="36"/>
        <v>-5.8389352204372882E-3</v>
      </c>
    </row>
    <row r="1137" spans="2:8" x14ac:dyDescent="0.3">
      <c r="B1137" s="69">
        <v>43661</v>
      </c>
      <c r="C1137" s="55">
        <v>453.52499999999998</v>
      </c>
      <c r="D1137" s="70">
        <f t="shared" si="35"/>
        <v>0.83335017685699841</v>
      </c>
      <c r="E1137" s="180">
        <v>1.1589403973509432E-3</v>
      </c>
      <c r="G1137" s="78">
        <v>1135</v>
      </c>
      <c r="H1137" s="180">
        <f t="shared" ca="1" si="36"/>
        <v>2.8434677387721648E-2</v>
      </c>
    </row>
    <row r="1138" spans="2:8" x14ac:dyDescent="0.3">
      <c r="B1138" s="69">
        <v>42906</v>
      </c>
      <c r="C1138" s="55">
        <v>247.375</v>
      </c>
      <c r="D1138" s="70">
        <f t="shared" si="35"/>
        <v>-0.95359797416117609</v>
      </c>
      <c r="E1138" s="180">
        <v>1.1129097531364051E-3</v>
      </c>
      <c r="G1138" s="78">
        <v>1136</v>
      </c>
      <c r="H1138" s="180">
        <f t="shared" ca="1" si="36"/>
        <v>1.2200111498029171E-2</v>
      </c>
    </row>
    <row r="1139" spans="2:8" x14ac:dyDescent="0.3">
      <c r="B1139" s="69">
        <v>45510</v>
      </c>
      <c r="C1139" s="55">
        <v>5331.125</v>
      </c>
      <c r="D1139" s="70">
        <f t="shared" si="35"/>
        <v>7.9666554537044822</v>
      </c>
      <c r="E1139" s="180">
        <v>1.112634267257431E-3</v>
      </c>
      <c r="G1139" s="78">
        <v>1137</v>
      </c>
      <c r="H1139" s="180">
        <f t="shared" ca="1" si="36"/>
        <v>1.9688724876657616E-2</v>
      </c>
    </row>
    <row r="1140" spans="2:8" x14ac:dyDescent="0.3">
      <c r="B1140" s="69">
        <v>43867</v>
      </c>
      <c r="C1140" s="55">
        <v>594.54999999999995</v>
      </c>
      <c r="D1140" s="70">
        <f t="shared" si="35"/>
        <v>-0.55177353085302872</v>
      </c>
      <c r="E1140" s="180">
        <v>1.0944603468597024E-3</v>
      </c>
      <c r="G1140" s="78">
        <v>1138</v>
      </c>
      <c r="H1140" s="180">
        <f t="shared" ca="1" si="36"/>
        <v>-2.7442477402964342E-2</v>
      </c>
    </row>
    <row r="1141" spans="2:8" x14ac:dyDescent="0.3">
      <c r="B1141" s="69">
        <v>45012</v>
      </c>
      <c r="C1141" s="55">
        <v>1326.4499999999998</v>
      </c>
      <c r="D1141" s="70">
        <f t="shared" si="35"/>
        <v>-9.697732997481126E-2</v>
      </c>
      <c r="E1141" s="180">
        <v>1.0943396226413722E-3</v>
      </c>
      <c r="G1141" s="78">
        <v>1139</v>
      </c>
      <c r="H1141" s="180">
        <f t="shared" ca="1" si="36"/>
        <v>-1.0929044891855389E-2</v>
      </c>
    </row>
    <row r="1142" spans="2:8" x14ac:dyDescent="0.3">
      <c r="B1142" s="69">
        <v>44897</v>
      </c>
      <c r="C1142" s="55">
        <v>1468.9</v>
      </c>
      <c r="D1142" s="70">
        <f t="shared" si="35"/>
        <v>-0.69421169319163545</v>
      </c>
      <c r="E1142" s="180">
        <v>1.090438219859699E-3</v>
      </c>
      <c r="G1142" s="78">
        <v>1140</v>
      </c>
      <c r="H1142" s="180">
        <f t="shared" ca="1" si="36"/>
        <v>-9.37015114879549E-3</v>
      </c>
    </row>
    <row r="1143" spans="2:8" x14ac:dyDescent="0.3">
      <c r="B1143" s="69">
        <v>45950</v>
      </c>
      <c r="C1143" s="55">
        <v>4803.6499999999996</v>
      </c>
      <c r="D1143" s="70">
        <f t="shared" si="35"/>
        <v>1.4102911476561422</v>
      </c>
      <c r="E1143" s="180">
        <v>1.0732520579346955E-3</v>
      </c>
      <c r="G1143" s="78">
        <v>1141</v>
      </c>
      <c r="H1143" s="180">
        <f t="shared" ca="1" si="36"/>
        <v>1.2047270526586554E-2</v>
      </c>
    </row>
    <row r="1144" spans="2:8" x14ac:dyDescent="0.3">
      <c r="B1144" s="69">
        <v>45225</v>
      </c>
      <c r="C1144" s="55">
        <v>1992.9749999999999</v>
      </c>
      <c r="D1144" s="70">
        <f t="shared" si="35"/>
        <v>0.78103217158176941</v>
      </c>
      <c r="E1144" s="180">
        <v>1.0673832784991336E-3</v>
      </c>
      <c r="G1144" s="78">
        <v>1142</v>
      </c>
      <c r="H1144" s="180">
        <f t="shared" ca="1" si="36"/>
        <v>-1.8074999598387473E-2</v>
      </c>
    </row>
    <row r="1145" spans="2:8" x14ac:dyDescent="0.3">
      <c r="B1145" s="69">
        <v>44481</v>
      </c>
      <c r="C1145" s="55">
        <v>1119</v>
      </c>
      <c r="D1145" s="70">
        <f t="shared" si="35"/>
        <v>-8.2786885245901637E-2</v>
      </c>
      <c r="E1145" s="180">
        <v>1.0511484355779791E-3</v>
      </c>
      <c r="G1145" s="78">
        <v>1143</v>
      </c>
      <c r="H1145" s="180">
        <f t="shared" ca="1" si="36"/>
        <v>-1.7432686641501449E-2</v>
      </c>
    </row>
    <row r="1146" spans="2:8" x14ac:dyDescent="0.3">
      <c r="B1146" s="69">
        <v>44685</v>
      </c>
      <c r="C1146" s="55">
        <v>1220</v>
      </c>
      <c r="D1146" s="70">
        <f t="shared" si="35"/>
        <v>1.0765957446808512</v>
      </c>
      <c r="E1146" s="180">
        <v>1.046175306160201E-3</v>
      </c>
      <c r="G1146" s="78">
        <v>1144</v>
      </c>
      <c r="H1146" s="180">
        <f t="shared" ca="1" si="36"/>
        <v>1.5353726731687689E-2</v>
      </c>
    </row>
    <row r="1147" spans="2:8" x14ac:dyDescent="0.3">
      <c r="B1147" s="69">
        <v>43861</v>
      </c>
      <c r="C1147" s="55">
        <v>587.5</v>
      </c>
      <c r="D1147" s="70">
        <f t="shared" si="35"/>
        <v>-0.84918398911557635</v>
      </c>
      <c r="E1147" s="180">
        <v>1.0223206679160146E-3</v>
      </c>
      <c r="G1147" s="78">
        <v>1145</v>
      </c>
      <c r="H1147" s="180">
        <f t="shared" ca="1" si="36"/>
        <v>9.2238239698878947E-3</v>
      </c>
    </row>
    <row r="1148" spans="2:8" x14ac:dyDescent="0.3">
      <c r="B1148" s="69">
        <v>45385</v>
      </c>
      <c r="C1148" s="55">
        <v>3895.4749999999999</v>
      </c>
      <c r="D1148" s="70">
        <f t="shared" si="35"/>
        <v>6.5420619554695065</v>
      </c>
      <c r="E1148" s="180">
        <v>1.0150262429252845E-3</v>
      </c>
      <c r="G1148" s="78">
        <v>1146</v>
      </c>
      <c r="H1148" s="180">
        <f t="shared" ca="1" si="36"/>
        <v>-1.9003264334398671E-2</v>
      </c>
    </row>
    <row r="1149" spans="2:8" x14ac:dyDescent="0.3">
      <c r="B1149" s="69">
        <v>43734</v>
      </c>
      <c r="C1149" s="55">
        <v>516.5</v>
      </c>
      <c r="D1149" s="70">
        <f t="shared" si="35"/>
        <v>-0.60707493343476604</v>
      </c>
      <c r="E1149" s="180">
        <v>9.6899224806201549E-4</v>
      </c>
      <c r="G1149" s="78">
        <v>1147</v>
      </c>
      <c r="H1149" s="180">
        <f t="shared" ca="1" si="36"/>
        <v>-2.2004132350567602E-2</v>
      </c>
    </row>
    <row r="1150" spans="2:8" x14ac:dyDescent="0.3">
      <c r="B1150" s="69">
        <v>45014</v>
      </c>
      <c r="C1150" s="55">
        <v>1314.5</v>
      </c>
      <c r="D1150" s="70">
        <f t="shared" si="35"/>
        <v>3.7713248638838475</v>
      </c>
      <c r="E1150" s="180">
        <v>9.5183704549781079E-4</v>
      </c>
      <c r="G1150" s="78">
        <v>1148</v>
      </c>
      <c r="H1150" s="180">
        <f t="shared" ca="1" si="36"/>
        <v>-9.1831005004843688E-3</v>
      </c>
    </row>
    <row r="1151" spans="2:8" x14ac:dyDescent="0.3">
      <c r="B1151" s="69">
        <v>42964</v>
      </c>
      <c r="C1151" s="55">
        <v>275.5</v>
      </c>
      <c r="D1151" s="70">
        <f t="shared" si="35"/>
        <v>-0.38668744434550312</v>
      </c>
      <c r="E1151" s="180">
        <v>9.0826521344232513E-4</v>
      </c>
      <c r="G1151" s="78">
        <v>1149</v>
      </c>
      <c r="H1151" s="180">
        <f t="shared" ca="1" si="36"/>
        <v>5.0321385607944025E-2</v>
      </c>
    </row>
    <row r="1152" spans="2:8" x14ac:dyDescent="0.3">
      <c r="B1152" s="69">
        <v>43664</v>
      </c>
      <c r="C1152" s="55">
        <v>449.2</v>
      </c>
      <c r="D1152" s="70">
        <f t="shared" si="35"/>
        <v>-0.91860696878001058</v>
      </c>
      <c r="E1152" s="180">
        <v>8.9126559714789941E-4</v>
      </c>
      <c r="G1152" s="78">
        <v>1150</v>
      </c>
      <c r="H1152" s="180">
        <f t="shared" ca="1" si="36"/>
        <v>-2.3601710598688635E-2</v>
      </c>
    </row>
    <row r="1153" spans="2:8" x14ac:dyDescent="0.3">
      <c r="B1153" s="69">
        <v>45476</v>
      </c>
      <c r="C1153" s="55">
        <v>5518.9</v>
      </c>
      <c r="D1153" s="70">
        <f t="shared" si="35"/>
        <v>7.0629679681507715</v>
      </c>
      <c r="E1153" s="180">
        <v>8.3873219960919616E-4</v>
      </c>
      <c r="G1153" s="78">
        <v>1151</v>
      </c>
      <c r="H1153" s="180">
        <f t="shared" ca="1" si="36"/>
        <v>5.7834292653789711E-3</v>
      </c>
    </row>
    <row r="1154" spans="2:8" x14ac:dyDescent="0.3">
      <c r="B1154" s="69">
        <v>44176</v>
      </c>
      <c r="C1154" s="55">
        <v>684.47500000000002</v>
      </c>
      <c r="D1154" s="70">
        <f t="shared" si="35"/>
        <v>-0.67259007689272088</v>
      </c>
      <c r="E1154" s="180">
        <v>8.0418174507448665E-4</v>
      </c>
      <c r="G1154" s="78">
        <v>1152</v>
      </c>
      <c r="H1154" s="180">
        <f t="shared" ca="1" si="36"/>
        <v>1.0121780219677731E-2</v>
      </c>
    </row>
    <row r="1155" spans="2:8" x14ac:dyDescent="0.3">
      <c r="B1155" s="69">
        <v>45212</v>
      </c>
      <c r="C1155" s="55">
        <v>2090.5749999999998</v>
      </c>
      <c r="D1155" s="70">
        <f t="shared" ref="D1155:D1218" si="37">(C1155-C1156)/C1156</f>
        <v>5.6754210904446385</v>
      </c>
      <c r="E1155" s="180">
        <v>8.0185743692839635E-4</v>
      </c>
      <c r="G1155" s="78">
        <v>1153</v>
      </c>
      <c r="H1155" s="180">
        <f t="shared" ca="1" si="36"/>
        <v>7.9053419123220059E-3</v>
      </c>
    </row>
    <row r="1156" spans="2:8" x14ac:dyDescent="0.3">
      <c r="B1156" s="69">
        <v>43158</v>
      </c>
      <c r="C1156" s="55">
        <v>313.17500000000001</v>
      </c>
      <c r="D1156" s="70">
        <f t="shared" si="37"/>
        <v>-0.81575231651713487</v>
      </c>
      <c r="E1156" s="180">
        <v>7.9891347767036827E-4</v>
      </c>
      <c r="G1156" s="78">
        <v>1154</v>
      </c>
      <c r="H1156" s="180">
        <f t="shared" ref="H1156:H1219" ca="1" si="38">_xlfn.NORM.INV(RAND(),$N$4,$N$5)</f>
        <v>1.5682745875071496E-3</v>
      </c>
    </row>
    <row r="1157" spans="2:8" x14ac:dyDescent="0.3">
      <c r="B1157" s="69">
        <v>45093</v>
      </c>
      <c r="C1157" s="55">
        <v>1699.75</v>
      </c>
      <c r="D1157" s="70">
        <f t="shared" si="37"/>
        <v>1.5045124691494458</v>
      </c>
      <c r="E1157" s="180">
        <v>7.9486575600559879E-4</v>
      </c>
      <c r="G1157" s="78">
        <v>1155</v>
      </c>
      <c r="H1157" s="180">
        <f t="shared" ca="1" si="38"/>
        <v>-1.5790979098741918E-2</v>
      </c>
    </row>
    <row r="1158" spans="2:8" x14ac:dyDescent="0.3">
      <c r="B1158" s="69">
        <v>44203</v>
      </c>
      <c r="C1158" s="55">
        <v>678.67499999999995</v>
      </c>
      <c r="D1158" s="70">
        <f t="shared" si="37"/>
        <v>-0.84032115757896586</v>
      </c>
      <c r="E1158" s="180">
        <v>7.7416500774161654E-4</v>
      </c>
      <c r="G1158" s="78">
        <v>1156</v>
      </c>
      <c r="H1158" s="180">
        <f t="shared" ca="1" si="38"/>
        <v>-2.4081863903322866E-2</v>
      </c>
    </row>
    <row r="1159" spans="2:8" x14ac:dyDescent="0.3">
      <c r="B1159" s="69">
        <v>46069</v>
      </c>
      <c r="C1159" s="55">
        <v>4250.25</v>
      </c>
      <c r="D1159" s="70">
        <f t="shared" si="37"/>
        <v>2.025465805349421</v>
      </c>
      <c r="E1159" s="180">
        <v>7.5346416924684616E-4</v>
      </c>
      <c r="G1159" s="78">
        <v>1157</v>
      </c>
      <c r="H1159" s="180">
        <f t="shared" ca="1" si="38"/>
        <v>-3.2002196884804652E-3</v>
      </c>
    </row>
    <row r="1160" spans="2:8" x14ac:dyDescent="0.3">
      <c r="B1160" s="69">
        <v>44806</v>
      </c>
      <c r="C1160" s="55">
        <v>1404.8249999999998</v>
      </c>
      <c r="D1160" s="70">
        <f t="shared" si="37"/>
        <v>1.9915353492333896</v>
      </c>
      <c r="E1160" s="180">
        <v>7.4798311695230865E-4</v>
      </c>
      <c r="G1160" s="78">
        <v>1158</v>
      </c>
      <c r="H1160" s="180">
        <f t="shared" ca="1" si="38"/>
        <v>1.1708321468016944E-2</v>
      </c>
    </row>
    <row r="1161" spans="2:8" x14ac:dyDescent="0.3">
      <c r="B1161" s="69">
        <v>43958</v>
      </c>
      <c r="C1161" s="55">
        <v>469.6</v>
      </c>
      <c r="D1161" s="70">
        <f t="shared" si="37"/>
        <v>-0.67637785779508286</v>
      </c>
      <c r="E1161" s="180">
        <v>7.4587107085780015E-4</v>
      </c>
      <c r="G1161" s="78">
        <v>1159</v>
      </c>
      <c r="H1161" s="180">
        <f t="shared" ca="1" si="38"/>
        <v>2.2781380838635848E-3</v>
      </c>
    </row>
    <row r="1162" spans="2:8" x14ac:dyDescent="0.3">
      <c r="B1162" s="69">
        <v>44909</v>
      </c>
      <c r="C1162" s="55">
        <v>1451.0749999999998</v>
      </c>
      <c r="D1162" s="70">
        <f t="shared" si="37"/>
        <v>3.7506138484203628</v>
      </c>
      <c r="E1162" s="180">
        <v>7.413793103447021E-4</v>
      </c>
      <c r="G1162" s="78">
        <v>1160</v>
      </c>
      <c r="H1162" s="180">
        <f t="shared" ca="1" si="38"/>
        <v>-1.3870654723166401E-2</v>
      </c>
    </row>
    <row r="1163" spans="2:8" x14ac:dyDescent="0.3">
      <c r="B1163" s="69">
        <v>42999</v>
      </c>
      <c r="C1163" s="55">
        <v>305.45</v>
      </c>
      <c r="D1163" s="70">
        <f t="shared" si="37"/>
        <v>-0.77581651376146787</v>
      </c>
      <c r="E1163" s="180">
        <v>7.3716111065596157E-4</v>
      </c>
      <c r="G1163" s="78">
        <v>1161</v>
      </c>
      <c r="H1163" s="180">
        <f t="shared" ca="1" si="38"/>
        <v>1.516982668762717E-2</v>
      </c>
    </row>
    <row r="1164" spans="2:8" x14ac:dyDescent="0.3">
      <c r="B1164" s="69">
        <v>45022</v>
      </c>
      <c r="C1164" s="55">
        <v>1362.5</v>
      </c>
      <c r="D1164" s="70">
        <f t="shared" si="37"/>
        <v>1.1694996218303413</v>
      </c>
      <c r="E1164" s="180">
        <v>7.3448402497245681E-4</v>
      </c>
      <c r="G1164" s="78">
        <v>1162</v>
      </c>
      <c r="H1164" s="180">
        <f t="shared" ca="1" si="38"/>
        <v>2.5104573187138345E-2</v>
      </c>
    </row>
    <row r="1165" spans="2:8" x14ac:dyDescent="0.3">
      <c r="B1165" s="69">
        <v>44019</v>
      </c>
      <c r="C1165" s="55">
        <v>628.02499999999998</v>
      </c>
      <c r="D1165" s="70">
        <f t="shared" si="37"/>
        <v>0.98271507498026833</v>
      </c>
      <c r="E1165" s="180">
        <v>7.1704577142163363E-4</v>
      </c>
      <c r="G1165" s="78">
        <v>1163</v>
      </c>
      <c r="H1165" s="180">
        <f t="shared" ca="1" si="38"/>
        <v>6.508918161979035E-3</v>
      </c>
    </row>
    <row r="1166" spans="2:8" x14ac:dyDescent="0.3">
      <c r="B1166" s="69">
        <v>43059</v>
      </c>
      <c r="C1166" s="55">
        <v>316.75</v>
      </c>
      <c r="D1166" s="70">
        <f t="shared" si="37"/>
        <v>9.1770788453252913E-2</v>
      </c>
      <c r="E1166" s="180">
        <v>7.1084432509287653E-4</v>
      </c>
      <c r="G1166" s="78">
        <v>1164</v>
      </c>
      <c r="H1166" s="180">
        <f t="shared" ca="1" si="38"/>
        <v>-1.7072973957845329E-2</v>
      </c>
    </row>
    <row r="1167" spans="2:8" x14ac:dyDescent="0.3">
      <c r="B1167" s="69">
        <v>42971</v>
      </c>
      <c r="C1167" s="55">
        <v>290.125</v>
      </c>
      <c r="D1167" s="70">
        <f t="shared" si="37"/>
        <v>-0.11242829827915871</v>
      </c>
      <c r="E1167" s="180">
        <v>6.8983357764935288E-4</v>
      </c>
      <c r="G1167" s="78">
        <v>1165</v>
      </c>
      <c r="H1167" s="180">
        <f t="shared" ca="1" si="38"/>
        <v>-4.701667315562227E-3</v>
      </c>
    </row>
    <row r="1168" spans="2:8" x14ac:dyDescent="0.3">
      <c r="B1168" s="69">
        <v>43383</v>
      </c>
      <c r="C1168" s="55">
        <v>326.875</v>
      </c>
      <c r="D1168" s="70">
        <f t="shared" si="37"/>
        <v>-0.30303837953091683</v>
      </c>
      <c r="E1168" s="180">
        <v>6.122292798654489E-4</v>
      </c>
      <c r="G1168" s="78">
        <v>1166</v>
      </c>
      <c r="H1168" s="180">
        <f t="shared" ca="1" si="38"/>
        <v>-3.4615358521996285E-2</v>
      </c>
    </row>
    <row r="1169" spans="2:8" x14ac:dyDescent="0.3">
      <c r="B1169" s="69">
        <v>43943</v>
      </c>
      <c r="C1169" s="55">
        <v>469</v>
      </c>
      <c r="D1169" s="70">
        <f t="shared" si="37"/>
        <v>-9.9678456591639791E-2</v>
      </c>
      <c r="E1169" s="180">
        <v>5.8669795722433675E-4</v>
      </c>
      <c r="G1169" s="78">
        <v>1167</v>
      </c>
      <c r="H1169" s="180">
        <f t="shared" ca="1" si="38"/>
        <v>-3.1279087140209313E-3</v>
      </c>
    </row>
    <row r="1170" spans="2:8" x14ac:dyDescent="0.3">
      <c r="B1170" s="69">
        <v>43999</v>
      </c>
      <c r="C1170" s="55">
        <v>520.92499999999995</v>
      </c>
      <c r="D1170" s="70">
        <f t="shared" si="37"/>
        <v>0.40790540540540526</v>
      </c>
      <c r="E1170" s="180">
        <v>5.7623049219679141E-4</v>
      </c>
      <c r="G1170" s="78">
        <v>1168</v>
      </c>
      <c r="H1170" s="180">
        <f t="shared" ca="1" si="38"/>
        <v>-8.0825290786916155E-3</v>
      </c>
    </row>
    <row r="1171" spans="2:8" x14ac:dyDescent="0.3">
      <c r="B1171" s="69">
        <v>43605</v>
      </c>
      <c r="C1171" s="55">
        <v>370</v>
      </c>
      <c r="D1171" s="70">
        <f t="shared" si="37"/>
        <v>-1.9477938253610765E-2</v>
      </c>
      <c r="E1171" s="180">
        <v>5.4083288263938746E-4</v>
      </c>
      <c r="G1171" s="78">
        <v>1169</v>
      </c>
      <c r="H1171" s="180">
        <f t="shared" ca="1" si="38"/>
        <v>7.6412256183886916E-3</v>
      </c>
    </row>
    <row r="1172" spans="2:8" x14ac:dyDescent="0.3">
      <c r="B1172" s="69">
        <v>43614</v>
      </c>
      <c r="C1172" s="55">
        <v>377.35</v>
      </c>
      <c r="D1172" s="70">
        <f t="shared" si="37"/>
        <v>-0.70755429833569061</v>
      </c>
      <c r="E1172" s="180">
        <v>5.3029298687536921E-4</v>
      </c>
      <c r="G1172" s="78">
        <v>1170</v>
      </c>
      <c r="H1172" s="180">
        <f t="shared" ca="1" si="38"/>
        <v>-2.7345394150951528E-2</v>
      </c>
    </row>
    <row r="1173" spans="2:8" x14ac:dyDescent="0.3">
      <c r="B1173" s="69">
        <v>44985</v>
      </c>
      <c r="C1173" s="55">
        <v>1290.325</v>
      </c>
      <c r="D1173" s="70">
        <f t="shared" si="37"/>
        <v>3.4200565213667895</v>
      </c>
      <c r="E1173" s="180">
        <v>5.2339782111422055E-4</v>
      </c>
      <c r="G1173" s="78">
        <v>1171</v>
      </c>
      <c r="H1173" s="180">
        <f t="shared" ca="1" si="38"/>
        <v>3.2429403036262267E-2</v>
      </c>
    </row>
    <row r="1174" spans="2:8" x14ac:dyDescent="0.3">
      <c r="B1174" s="69">
        <v>43006</v>
      </c>
      <c r="C1174" s="55">
        <v>291.92500000000001</v>
      </c>
      <c r="D1174" s="70">
        <f t="shared" si="37"/>
        <v>-0.18027378027378024</v>
      </c>
      <c r="E1174" s="180">
        <v>5.1409476480176206E-4</v>
      </c>
      <c r="G1174" s="78">
        <v>1172</v>
      </c>
      <c r="H1174" s="180">
        <f t="shared" ca="1" si="38"/>
        <v>-4.344894001012743E-3</v>
      </c>
    </row>
    <row r="1175" spans="2:8" x14ac:dyDescent="0.3">
      <c r="B1175" s="69">
        <v>43580</v>
      </c>
      <c r="C1175" s="55">
        <v>356.125</v>
      </c>
      <c r="D1175" s="70">
        <f t="shared" si="37"/>
        <v>-4.7509257318522884E-3</v>
      </c>
      <c r="E1175" s="180">
        <v>4.9164208456231075E-4</v>
      </c>
      <c r="G1175" s="78">
        <v>1173</v>
      </c>
      <c r="H1175" s="180">
        <f t="shared" ca="1" si="38"/>
        <v>-9.0963610660679452E-3</v>
      </c>
    </row>
    <row r="1176" spans="2:8" x14ac:dyDescent="0.3">
      <c r="B1176" s="69">
        <v>43320</v>
      </c>
      <c r="C1176" s="55">
        <v>357.82500000000005</v>
      </c>
      <c r="D1176" s="70">
        <f t="shared" si="37"/>
        <v>-4.3760021378941735E-2</v>
      </c>
      <c r="E1176" s="180">
        <v>4.8930518663516912E-4</v>
      </c>
      <c r="G1176" s="78">
        <v>1174</v>
      </c>
      <c r="H1176" s="180">
        <f t="shared" ca="1" si="38"/>
        <v>2.6150535269610024E-2</v>
      </c>
    </row>
    <row r="1177" spans="2:8" x14ac:dyDescent="0.3">
      <c r="B1177" s="69">
        <v>43612</v>
      </c>
      <c r="C1177" s="55">
        <v>374.20000000000005</v>
      </c>
      <c r="D1177" s="70">
        <f t="shared" si="37"/>
        <v>-0.68085287846481868</v>
      </c>
      <c r="E1177" s="180">
        <v>4.6788316289036352E-4</v>
      </c>
      <c r="G1177" s="78">
        <v>1175</v>
      </c>
      <c r="H1177" s="180">
        <f t="shared" ca="1" si="38"/>
        <v>2.663962017310913E-2</v>
      </c>
    </row>
    <row r="1178" spans="2:8" x14ac:dyDescent="0.3">
      <c r="B1178" s="69">
        <v>44517</v>
      </c>
      <c r="C1178" s="55">
        <v>1172.5</v>
      </c>
      <c r="D1178" s="70">
        <f t="shared" si="37"/>
        <v>-0.70089094955962727</v>
      </c>
      <c r="E1178" s="180">
        <v>4.479617739287024E-4</v>
      </c>
      <c r="G1178" s="78">
        <v>1176</v>
      </c>
      <c r="H1178" s="180">
        <f t="shared" ca="1" si="38"/>
        <v>-5.8971933347492676E-3</v>
      </c>
    </row>
    <row r="1179" spans="2:8" x14ac:dyDescent="0.3">
      <c r="B1179" s="69">
        <v>45350</v>
      </c>
      <c r="C1179" s="55">
        <v>3919.9749999999999</v>
      </c>
      <c r="D1179" s="70">
        <f t="shared" si="37"/>
        <v>1.4499460945922718</v>
      </c>
      <c r="E1179" s="180">
        <v>4.0194977541849176E-4</v>
      </c>
      <c r="G1179" s="78">
        <v>1177</v>
      </c>
      <c r="H1179" s="180">
        <f t="shared" ca="1" si="38"/>
        <v>-1.0727424832314132E-2</v>
      </c>
    </row>
    <row r="1180" spans="2:8" x14ac:dyDescent="0.3">
      <c r="B1180" s="69">
        <v>45085</v>
      </c>
      <c r="C1180" s="55">
        <v>1600.0250000000001</v>
      </c>
      <c r="D1180" s="70">
        <f t="shared" si="37"/>
        <v>-0.66704297159504733</v>
      </c>
      <c r="E1180" s="180">
        <v>3.9077153932724767E-4</v>
      </c>
      <c r="G1180" s="78">
        <v>1178</v>
      </c>
      <c r="H1180" s="180">
        <f t="shared" ca="1" si="38"/>
        <v>-2.296589861091115E-2</v>
      </c>
    </row>
    <row r="1181" spans="2:8" x14ac:dyDescent="0.3">
      <c r="B1181" s="69">
        <v>45951</v>
      </c>
      <c r="C1181" s="55">
        <v>4805.5</v>
      </c>
      <c r="D1181" s="70">
        <f t="shared" si="37"/>
        <v>13.606382978723405</v>
      </c>
      <c r="E1181" s="180">
        <v>3.8512381210129048E-4</v>
      </c>
      <c r="G1181" s="78">
        <v>1179</v>
      </c>
      <c r="H1181" s="180">
        <f t="shared" ca="1" si="38"/>
        <v>5.110540577424166E-3</v>
      </c>
    </row>
    <row r="1182" spans="2:8" x14ac:dyDescent="0.3">
      <c r="B1182" s="69">
        <v>43097</v>
      </c>
      <c r="C1182" s="55">
        <v>329</v>
      </c>
      <c r="D1182" s="70">
        <f t="shared" si="37"/>
        <v>-0.17003027245206856</v>
      </c>
      <c r="E1182" s="180">
        <v>3.8008361839604712E-4</v>
      </c>
      <c r="G1182" s="78">
        <v>1180</v>
      </c>
      <c r="H1182" s="180">
        <f t="shared" ca="1" si="38"/>
        <v>-1.4095276494249643E-2</v>
      </c>
    </row>
    <row r="1183" spans="2:8" x14ac:dyDescent="0.3">
      <c r="B1183" s="69">
        <v>43629</v>
      </c>
      <c r="C1183" s="55">
        <v>396.4</v>
      </c>
      <c r="D1183" s="70">
        <f t="shared" si="37"/>
        <v>-0.68963964845661496</v>
      </c>
      <c r="E1183" s="180">
        <v>3.7854889589899625E-4</v>
      </c>
      <c r="G1183" s="78">
        <v>1181</v>
      </c>
      <c r="H1183" s="180">
        <f t="shared" ca="1" si="38"/>
        <v>-3.6216822925092002E-3</v>
      </c>
    </row>
    <row r="1184" spans="2:8" x14ac:dyDescent="0.3">
      <c r="B1184" s="69">
        <v>44642</v>
      </c>
      <c r="C1184" s="55">
        <v>1277.2249999999999</v>
      </c>
      <c r="D1184" s="70">
        <f t="shared" si="37"/>
        <v>5.0048189938881054</v>
      </c>
      <c r="E1184" s="180">
        <v>3.7203837869583635E-4</v>
      </c>
      <c r="G1184" s="78">
        <v>1182</v>
      </c>
      <c r="H1184" s="180">
        <f t="shared" ca="1" si="38"/>
        <v>7.7075819943617629E-3</v>
      </c>
    </row>
    <row r="1185" spans="2:8" x14ac:dyDescent="0.3">
      <c r="B1185" s="69">
        <v>42753</v>
      </c>
      <c r="C1185" s="55">
        <v>212.7</v>
      </c>
      <c r="D1185" s="70">
        <f t="shared" si="37"/>
        <v>-0.3524621356267601</v>
      </c>
      <c r="E1185" s="180">
        <v>3.5273368606696592E-4</v>
      </c>
      <c r="G1185" s="78">
        <v>1183</v>
      </c>
      <c r="H1185" s="180">
        <f t="shared" ca="1" si="38"/>
        <v>1.1853540061796477E-2</v>
      </c>
    </row>
    <row r="1186" spans="2:8" x14ac:dyDescent="0.3">
      <c r="B1186" s="69">
        <v>43123</v>
      </c>
      <c r="C1186" s="55">
        <v>328.47500000000002</v>
      </c>
      <c r="D1186" s="70">
        <f t="shared" si="37"/>
        <v>-5.3248136315215138E-4</v>
      </c>
      <c r="E1186" s="180">
        <v>3.0452988199473999E-4</v>
      </c>
      <c r="G1186" s="78">
        <v>1184</v>
      </c>
      <c r="H1186" s="180">
        <f t="shared" ca="1" si="38"/>
        <v>4.2241959545444947E-3</v>
      </c>
    </row>
    <row r="1187" spans="2:8" x14ac:dyDescent="0.3">
      <c r="B1187" s="69">
        <v>43518</v>
      </c>
      <c r="C1187" s="55">
        <v>328.65</v>
      </c>
      <c r="D1187" s="70">
        <f t="shared" si="37"/>
        <v>-0.7539860768021559</v>
      </c>
      <c r="E1187" s="180">
        <v>3.0436767615268874E-4</v>
      </c>
      <c r="G1187" s="78">
        <v>1185</v>
      </c>
      <c r="H1187" s="180">
        <f t="shared" ca="1" si="38"/>
        <v>3.8880186291447918E-2</v>
      </c>
    </row>
    <row r="1188" spans="2:8" x14ac:dyDescent="0.3">
      <c r="B1188" s="69">
        <v>45006</v>
      </c>
      <c r="C1188" s="55">
        <v>1335.9</v>
      </c>
      <c r="D1188" s="70">
        <f t="shared" si="37"/>
        <v>-0.65974950493158191</v>
      </c>
      <c r="E1188" s="180">
        <v>2.9951329090235191E-4</v>
      </c>
      <c r="G1188" s="78">
        <v>1186</v>
      </c>
      <c r="H1188" s="180">
        <f t="shared" ca="1" si="38"/>
        <v>1.6348594245028537E-2</v>
      </c>
    </row>
    <row r="1189" spans="2:8" x14ac:dyDescent="0.3">
      <c r="B1189" s="69">
        <v>45383</v>
      </c>
      <c r="C1189" s="55">
        <v>3926.2250000000004</v>
      </c>
      <c r="D1189" s="70">
        <f t="shared" si="37"/>
        <v>10.135068065796938</v>
      </c>
      <c r="E1189" s="180">
        <v>2.8661690148033294E-4</v>
      </c>
      <c r="G1189" s="78">
        <v>1187</v>
      </c>
      <c r="H1189" s="180">
        <f t="shared" ca="1" si="38"/>
        <v>5.8443604597305368E-2</v>
      </c>
    </row>
    <row r="1190" spans="2:8" x14ac:dyDescent="0.3">
      <c r="B1190" s="69">
        <v>43482</v>
      </c>
      <c r="C1190" s="55">
        <v>352.6</v>
      </c>
      <c r="D1190" s="70">
        <f t="shared" si="37"/>
        <v>-0.92594770555497208</v>
      </c>
      <c r="E1190" s="180">
        <v>2.8368794326247585E-4</v>
      </c>
      <c r="G1190" s="78">
        <v>1188</v>
      </c>
      <c r="H1190" s="180">
        <f t="shared" ca="1" si="38"/>
        <v>-6.536109385191312E-3</v>
      </c>
    </row>
    <row r="1191" spans="2:8" x14ac:dyDescent="0.3">
      <c r="B1191" s="69">
        <v>45959</v>
      </c>
      <c r="C1191" s="55">
        <v>4761.5</v>
      </c>
      <c r="D1191" s="70">
        <f t="shared" si="37"/>
        <v>0.2238944081018906</v>
      </c>
      <c r="E1191" s="180">
        <v>2.2056738333564726E-4</v>
      </c>
      <c r="G1191" s="78">
        <v>1189</v>
      </c>
      <c r="H1191" s="180">
        <f t="shared" ca="1" si="38"/>
        <v>1.4549100398191279E-2</v>
      </c>
    </row>
    <row r="1192" spans="2:8" x14ac:dyDescent="0.3">
      <c r="B1192" s="69">
        <v>45356</v>
      </c>
      <c r="C1192" s="55">
        <v>3890.45</v>
      </c>
      <c r="D1192" s="70">
        <f t="shared" si="37"/>
        <v>14.016694007526779</v>
      </c>
      <c r="E1192" s="180">
        <v>2.1210270913001077E-4</v>
      </c>
      <c r="G1192" s="78">
        <v>1190</v>
      </c>
      <c r="H1192" s="180">
        <f t="shared" ca="1" si="38"/>
        <v>-6.8475131324856582E-3</v>
      </c>
    </row>
    <row r="1193" spans="2:8" x14ac:dyDescent="0.3">
      <c r="B1193" s="69">
        <v>42941</v>
      </c>
      <c r="C1193" s="55">
        <v>259.07499999999999</v>
      </c>
      <c r="D1193" s="70">
        <f t="shared" si="37"/>
        <v>-0.62356060881252495</v>
      </c>
      <c r="E1193" s="180">
        <v>1.9303156066021184E-4</v>
      </c>
      <c r="G1193" s="78">
        <v>1191</v>
      </c>
      <c r="H1193" s="180">
        <f t="shared" ca="1" si="38"/>
        <v>2.5259853307492749E-2</v>
      </c>
    </row>
    <row r="1194" spans="2:8" x14ac:dyDescent="0.3">
      <c r="B1194" s="69">
        <v>44239</v>
      </c>
      <c r="C1194" s="55">
        <v>688.22500000000002</v>
      </c>
      <c r="D1194" s="70">
        <f t="shared" si="37"/>
        <v>1.3476888964693845</v>
      </c>
      <c r="E1194" s="180">
        <v>1.8165964249382356E-4</v>
      </c>
      <c r="G1194" s="78">
        <v>1192</v>
      </c>
      <c r="H1194" s="180">
        <f t="shared" ca="1" si="38"/>
        <v>1.4762826093637724E-2</v>
      </c>
    </row>
    <row r="1195" spans="2:8" x14ac:dyDescent="0.3">
      <c r="B1195" s="69">
        <v>43004</v>
      </c>
      <c r="C1195" s="55">
        <v>293.14999999999998</v>
      </c>
      <c r="D1195" s="70">
        <f t="shared" si="37"/>
        <v>-0.13378148777424831</v>
      </c>
      <c r="E1195" s="180">
        <v>1.7059024223798881E-4</v>
      </c>
      <c r="G1195" s="78">
        <v>1193</v>
      </c>
      <c r="H1195" s="180">
        <f t="shared" ca="1" si="38"/>
        <v>-1.7265630054450323E-2</v>
      </c>
    </row>
    <row r="1196" spans="2:8" x14ac:dyDescent="0.3">
      <c r="B1196" s="69">
        <v>43236</v>
      </c>
      <c r="C1196" s="55">
        <v>338.42499999999995</v>
      </c>
      <c r="D1196" s="70">
        <f t="shared" si="37"/>
        <v>-1.84338593127874E-3</v>
      </c>
      <c r="E1196" s="180">
        <v>1.4776505356469752E-4</v>
      </c>
      <c r="G1196" s="78">
        <v>1194</v>
      </c>
      <c r="H1196" s="180">
        <f t="shared" ca="1" si="38"/>
        <v>-1.7745462546985928E-3</v>
      </c>
    </row>
    <row r="1197" spans="2:8" x14ac:dyDescent="0.3">
      <c r="B1197" s="69">
        <v>43434</v>
      </c>
      <c r="C1197" s="55">
        <v>339.05</v>
      </c>
      <c r="D1197" s="70">
        <f t="shared" si="37"/>
        <v>-0.88814845360824735</v>
      </c>
      <c r="E1197" s="180">
        <v>1.4749262536876509E-4</v>
      </c>
      <c r="G1197" s="78">
        <v>1195</v>
      </c>
      <c r="H1197" s="180">
        <f t="shared" ca="1" si="38"/>
        <v>-5.2157442217192033E-3</v>
      </c>
    </row>
    <row r="1198" spans="2:8" x14ac:dyDescent="0.3">
      <c r="B1198" s="69">
        <v>45292</v>
      </c>
      <c r="C1198" s="55">
        <v>3031.25</v>
      </c>
      <c r="D1198" s="70">
        <f t="shared" si="37"/>
        <v>5.635836252189141</v>
      </c>
      <c r="E1198" s="180">
        <v>1.237266465954551E-4</v>
      </c>
      <c r="G1198" s="78">
        <v>1196</v>
      </c>
      <c r="H1198" s="180">
        <f t="shared" ca="1" si="38"/>
        <v>-1.6915924273175693E-2</v>
      </c>
    </row>
    <row r="1199" spans="2:8" x14ac:dyDescent="0.3">
      <c r="B1199" s="69">
        <v>43727</v>
      </c>
      <c r="C1199" s="55">
        <v>456.8</v>
      </c>
      <c r="D1199" s="70">
        <f t="shared" si="37"/>
        <v>0.87597535934291582</v>
      </c>
      <c r="E1199" s="180">
        <v>1.0946907498634125E-4</v>
      </c>
      <c r="G1199" s="78">
        <v>1197</v>
      </c>
      <c r="H1199" s="180">
        <f t="shared" ca="1" si="38"/>
        <v>-1.1403466207837457E-2</v>
      </c>
    </row>
    <row r="1200" spans="2:8" x14ac:dyDescent="0.3">
      <c r="B1200" s="69">
        <v>42818</v>
      </c>
      <c r="C1200" s="55">
        <v>243.5</v>
      </c>
      <c r="D1200" s="70">
        <f t="shared" si="37"/>
        <v>-0.95527802011111618</v>
      </c>
      <c r="E1200" s="180">
        <v>1.0267994660645111E-4</v>
      </c>
      <c r="G1200" s="78">
        <v>1198</v>
      </c>
      <c r="H1200" s="180">
        <f t="shared" ca="1" si="38"/>
        <v>1.8777988720667452E-2</v>
      </c>
    </row>
    <row r="1201" spans="2:8" x14ac:dyDescent="0.3">
      <c r="B1201" s="69">
        <v>45894</v>
      </c>
      <c r="C1201" s="55">
        <v>5444.75</v>
      </c>
      <c r="D1201" s="70">
        <f t="shared" si="37"/>
        <v>16.053480541852636</v>
      </c>
      <c r="E1201" s="180">
        <v>9.1840014694402353E-5</v>
      </c>
      <c r="G1201" s="78">
        <v>1199</v>
      </c>
      <c r="H1201" s="180">
        <f t="shared" ca="1" si="38"/>
        <v>-8.6045656624851828E-3</v>
      </c>
    </row>
    <row r="1202" spans="2:8" x14ac:dyDescent="0.3">
      <c r="B1202" s="69">
        <v>43271</v>
      </c>
      <c r="C1202" s="55">
        <v>319.27499999999998</v>
      </c>
      <c r="D1202" s="70">
        <f t="shared" si="37"/>
        <v>-7.6238698010849981E-2</v>
      </c>
      <c r="E1202" s="180">
        <v>7.8308535630312493E-5</v>
      </c>
      <c r="G1202" s="78">
        <v>1200</v>
      </c>
      <c r="H1202" s="180">
        <f t="shared" ca="1" si="38"/>
        <v>2.1259419978349032E-2</v>
      </c>
    </row>
    <row r="1203" spans="2:8" x14ac:dyDescent="0.3">
      <c r="B1203" s="69">
        <v>43370</v>
      </c>
      <c r="C1203" s="55">
        <v>345.625</v>
      </c>
      <c r="D1203" s="70">
        <f t="shared" si="37"/>
        <v>-0.33731185888217807</v>
      </c>
      <c r="E1203" s="180">
        <v>7.2337962962897161E-5</v>
      </c>
      <c r="G1203" s="78">
        <v>1201</v>
      </c>
      <c r="H1203" s="180">
        <f t="shared" ca="1" si="38"/>
        <v>3.0200659921342372E-2</v>
      </c>
    </row>
    <row r="1204" spans="2:8" x14ac:dyDescent="0.3">
      <c r="B1204" s="69">
        <v>43801</v>
      </c>
      <c r="C1204" s="55">
        <v>521.54999999999995</v>
      </c>
      <c r="D1204" s="70">
        <f t="shared" si="37"/>
        <v>1.049513704686118</v>
      </c>
      <c r="E1204" s="180">
        <v>4.7936340539501596E-5</v>
      </c>
      <c r="G1204" s="78">
        <v>1202</v>
      </c>
      <c r="H1204" s="180">
        <f t="shared" ca="1" si="38"/>
        <v>-1.1057516721916356E-2</v>
      </c>
    </row>
    <row r="1205" spans="2:8" x14ac:dyDescent="0.3">
      <c r="B1205" s="69">
        <v>42779</v>
      </c>
      <c r="C1205" s="55">
        <v>254.47500000000002</v>
      </c>
      <c r="D1205" s="70">
        <f t="shared" si="37"/>
        <v>0.26368715083798894</v>
      </c>
      <c r="E1205" s="180">
        <v>1.1168762915965816E-16</v>
      </c>
      <c r="G1205" s="78">
        <v>1203</v>
      </c>
      <c r="H1205" s="180">
        <f t="shared" ca="1" si="38"/>
        <v>-3.0348599255924133E-2</v>
      </c>
    </row>
    <row r="1206" spans="2:8" x14ac:dyDescent="0.3">
      <c r="B1206" s="69">
        <v>42744</v>
      </c>
      <c r="C1206" s="55">
        <v>201.375</v>
      </c>
      <c r="D1206" s="70">
        <f t="shared" si="37"/>
        <v>-9.921865310677843E-4</v>
      </c>
      <c r="E1206" s="180">
        <v>0</v>
      </c>
      <c r="G1206" s="78">
        <v>1204</v>
      </c>
      <c r="H1206" s="180">
        <f t="shared" ca="1" si="38"/>
        <v>-2.5852761038467386E-3</v>
      </c>
    </row>
    <row r="1207" spans="2:8" x14ac:dyDescent="0.3">
      <c r="B1207" s="69">
        <v>42739</v>
      </c>
      <c r="C1207" s="55">
        <v>201.57499999999999</v>
      </c>
      <c r="D1207" s="70">
        <f t="shared" si="37"/>
        <v>-0.88197321232525794</v>
      </c>
      <c r="E1207" s="180">
        <v>0</v>
      </c>
      <c r="G1207" s="78">
        <v>1205</v>
      </c>
      <c r="H1207" s="180">
        <f t="shared" ca="1" si="38"/>
        <v>3.1782949660227752E-2</v>
      </c>
    </row>
    <row r="1208" spans="2:8" x14ac:dyDescent="0.3">
      <c r="B1208" s="69">
        <v>45099</v>
      </c>
      <c r="C1208" s="55">
        <v>1707.875</v>
      </c>
      <c r="D1208" s="70">
        <f t="shared" si="37"/>
        <v>0.26927650403180858</v>
      </c>
      <c r="E1208" s="180">
        <v>-2.9275290191420522E-5</v>
      </c>
      <c r="G1208" s="78">
        <v>1206</v>
      </c>
      <c r="H1208" s="180">
        <f t="shared" ca="1" si="38"/>
        <v>-1.4156893023175758E-2</v>
      </c>
    </row>
    <row r="1209" spans="2:8" x14ac:dyDescent="0.3">
      <c r="B1209" s="69">
        <v>44923</v>
      </c>
      <c r="C1209" s="55">
        <v>1345.55</v>
      </c>
      <c r="D1209" s="70">
        <f t="shared" si="37"/>
        <v>2.8832611832611832</v>
      </c>
      <c r="E1209" s="180">
        <v>-3.7158145065364546E-5</v>
      </c>
      <c r="G1209" s="78">
        <v>1207</v>
      </c>
      <c r="H1209" s="180">
        <f t="shared" ca="1" si="38"/>
        <v>-1.5328979219563455E-2</v>
      </c>
    </row>
    <row r="1210" spans="2:8" x14ac:dyDescent="0.3">
      <c r="B1210" s="69">
        <v>43066</v>
      </c>
      <c r="C1210" s="55">
        <v>346.5</v>
      </c>
      <c r="D1210" s="70">
        <f t="shared" si="37"/>
        <v>-0.74060488097020516</v>
      </c>
      <c r="E1210" s="180">
        <v>-7.214486689265497E-5</v>
      </c>
      <c r="G1210" s="78">
        <v>1208</v>
      </c>
      <c r="H1210" s="180">
        <f t="shared" ca="1" si="38"/>
        <v>-3.1623617343837521E-2</v>
      </c>
    </row>
    <row r="1211" spans="2:8" x14ac:dyDescent="0.3">
      <c r="B1211" s="69">
        <v>45007</v>
      </c>
      <c r="C1211" s="55">
        <v>1335.8</v>
      </c>
      <c r="D1211" s="70">
        <f t="shared" si="37"/>
        <v>-0.79180255687906453</v>
      </c>
      <c r="E1211" s="180">
        <v>-7.4855902388005398E-5</v>
      </c>
      <c r="G1211" s="78">
        <v>1209</v>
      </c>
      <c r="H1211" s="180">
        <f t="shared" ca="1" si="38"/>
        <v>1.7333572466410464E-2</v>
      </c>
    </row>
    <row r="1212" spans="2:8" x14ac:dyDescent="0.3">
      <c r="B1212" s="69">
        <v>45607</v>
      </c>
      <c r="C1212" s="55">
        <v>6416.0249999999996</v>
      </c>
      <c r="D1212" s="70">
        <f t="shared" si="37"/>
        <v>0.70677546785842527</v>
      </c>
      <c r="E1212" s="180">
        <v>-8.5715510221602938E-5</v>
      </c>
      <c r="G1212" s="78">
        <v>1210</v>
      </c>
      <c r="H1212" s="180">
        <f t="shared" ca="1" si="38"/>
        <v>-8.8715156137332656E-3</v>
      </c>
    </row>
    <row r="1213" spans="2:8" x14ac:dyDescent="0.3">
      <c r="B1213" s="69">
        <v>46086</v>
      </c>
      <c r="C1213" s="55">
        <v>3759.15</v>
      </c>
      <c r="D1213" s="70">
        <f t="shared" si="37"/>
        <v>0.81752910033723747</v>
      </c>
      <c r="E1213" s="180">
        <v>-9.3097486367843874E-5</v>
      </c>
      <c r="G1213" s="78">
        <v>1211</v>
      </c>
      <c r="H1213" s="180">
        <f t="shared" ca="1" si="38"/>
        <v>-1.4118861134065115E-2</v>
      </c>
    </row>
    <row r="1214" spans="2:8" x14ac:dyDescent="0.3">
      <c r="B1214" s="69">
        <v>45184</v>
      </c>
      <c r="C1214" s="55">
        <v>2068.2750000000001</v>
      </c>
      <c r="D1214" s="70">
        <f t="shared" si="37"/>
        <v>-0.49193043221931532</v>
      </c>
      <c r="E1214" s="180">
        <v>-9.6689590156911792E-5</v>
      </c>
      <c r="G1214" s="78">
        <v>1212</v>
      </c>
      <c r="H1214" s="180">
        <f t="shared" ca="1" si="38"/>
        <v>-1.5679847425547171E-2</v>
      </c>
    </row>
    <row r="1215" spans="2:8" x14ac:dyDescent="0.3">
      <c r="B1215" s="69">
        <v>46006</v>
      </c>
      <c r="C1215" s="55">
        <v>4070.85</v>
      </c>
      <c r="D1215" s="70">
        <f t="shared" si="37"/>
        <v>-0.33461098398169337</v>
      </c>
      <c r="E1215" s="180">
        <v>-1.2280938754969598E-4</v>
      </c>
      <c r="G1215" s="78">
        <v>1213</v>
      </c>
      <c r="H1215" s="180">
        <f t="shared" ca="1" si="38"/>
        <v>3.0746709049555142E-2</v>
      </c>
    </row>
    <row r="1216" spans="2:8" x14ac:dyDescent="0.3">
      <c r="B1216" s="69">
        <v>45833</v>
      </c>
      <c r="C1216" s="55">
        <v>6118</v>
      </c>
      <c r="D1216" s="70">
        <f t="shared" si="37"/>
        <v>3.402626607897814</v>
      </c>
      <c r="E1216" s="180">
        <v>-1.6342539630658605E-4</v>
      </c>
      <c r="G1216" s="78">
        <v>1214</v>
      </c>
      <c r="H1216" s="180">
        <f t="shared" ca="1" si="38"/>
        <v>2.5060708852090378E-2</v>
      </c>
    </row>
    <row r="1217" spans="2:8" x14ac:dyDescent="0.3">
      <c r="B1217" s="69">
        <v>44833</v>
      </c>
      <c r="C1217" s="55">
        <v>1389.625</v>
      </c>
      <c r="D1217" s="70">
        <f t="shared" si="37"/>
        <v>0.62457986263334797</v>
      </c>
      <c r="E1217" s="180">
        <v>-1.7987229067362173E-4</v>
      </c>
      <c r="G1217" s="78">
        <v>1215</v>
      </c>
      <c r="H1217" s="180">
        <f t="shared" ca="1" si="38"/>
        <v>3.0895234857154411E-2</v>
      </c>
    </row>
    <row r="1218" spans="2:8" x14ac:dyDescent="0.3">
      <c r="B1218" s="69">
        <v>44351</v>
      </c>
      <c r="C1218" s="55">
        <v>855.375</v>
      </c>
      <c r="D1218" s="70">
        <f t="shared" si="37"/>
        <v>2.5302311184482047</v>
      </c>
      <c r="E1218" s="180">
        <v>-2.0454678277126356E-4</v>
      </c>
      <c r="G1218" s="78">
        <v>1216</v>
      </c>
      <c r="H1218" s="180">
        <f t="shared" ca="1" si="38"/>
        <v>-2.7976768611261763E-2</v>
      </c>
    </row>
    <row r="1219" spans="2:8" x14ac:dyDescent="0.3">
      <c r="B1219" s="69">
        <v>42880</v>
      </c>
      <c r="C1219" s="55">
        <v>242.3</v>
      </c>
      <c r="D1219" s="70">
        <f t="shared" ref="D1219:D1282" si="39">(C1219-C1220)/C1220</f>
        <v>-0.94862715997031688</v>
      </c>
      <c r="E1219" s="180">
        <v>-2.0631318341234969E-4</v>
      </c>
      <c r="G1219" s="78">
        <v>1217</v>
      </c>
      <c r="H1219" s="180">
        <f t="shared" ca="1" si="38"/>
        <v>1.5537359204839303E-3</v>
      </c>
    </row>
    <row r="1220" spans="2:8" x14ac:dyDescent="0.3">
      <c r="B1220" s="69">
        <v>45929</v>
      </c>
      <c r="C1220" s="55">
        <v>4716.5</v>
      </c>
      <c r="D1220" s="70">
        <f t="shared" si="39"/>
        <v>0.12825481120001903</v>
      </c>
      <c r="E1220" s="180">
        <v>-2.1197668256491787E-4</v>
      </c>
      <c r="G1220" s="78">
        <v>1218</v>
      </c>
      <c r="H1220" s="180">
        <f t="shared" ref="H1220:H1283" ca="1" si="40">_xlfn.NORM.INV(RAND(),$N$4,$N$5)</f>
        <v>2.2900384728063361E-3</v>
      </c>
    </row>
    <row r="1221" spans="2:8" x14ac:dyDescent="0.3">
      <c r="B1221" s="69">
        <v>46064</v>
      </c>
      <c r="C1221" s="55">
        <v>4180.3500000000004</v>
      </c>
      <c r="D1221" s="70">
        <f t="shared" si="39"/>
        <v>1.4633039686514835</v>
      </c>
      <c r="E1221" s="180">
        <v>-2.1524663677121344E-4</v>
      </c>
      <c r="G1221" s="78">
        <v>1219</v>
      </c>
      <c r="H1221" s="180">
        <f t="shared" ca="1" si="40"/>
        <v>-3.1548633430852485E-3</v>
      </c>
    </row>
    <row r="1222" spans="2:8" x14ac:dyDescent="0.3">
      <c r="B1222" s="69">
        <v>45146</v>
      </c>
      <c r="C1222" s="55">
        <v>1697.0500000000002</v>
      </c>
      <c r="D1222" s="70">
        <f t="shared" si="39"/>
        <v>1.3010847457627122</v>
      </c>
      <c r="E1222" s="180">
        <v>-2.6509572901314761E-4</v>
      </c>
      <c r="G1222" s="78">
        <v>1220</v>
      </c>
      <c r="H1222" s="180">
        <f t="shared" ca="1" si="40"/>
        <v>2.4062306778209877E-2</v>
      </c>
    </row>
    <row r="1223" spans="2:8" x14ac:dyDescent="0.3">
      <c r="B1223" s="69">
        <v>44308</v>
      </c>
      <c r="C1223" s="55">
        <v>737.5</v>
      </c>
      <c r="D1223" s="70">
        <f t="shared" si="39"/>
        <v>-0.56189853867173578</v>
      </c>
      <c r="E1223" s="180">
        <v>-2.711129185306296E-4</v>
      </c>
      <c r="G1223" s="78">
        <v>1221</v>
      </c>
      <c r="H1223" s="180">
        <f t="shared" ca="1" si="40"/>
        <v>7.4597774164830224E-3</v>
      </c>
    </row>
    <row r="1224" spans="2:8" x14ac:dyDescent="0.3">
      <c r="B1224" s="69">
        <v>45120</v>
      </c>
      <c r="C1224" s="55">
        <v>1683.4</v>
      </c>
      <c r="D1224" s="70">
        <f t="shared" si="39"/>
        <v>-0.76521454124505739</v>
      </c>
      <c r="E1224" s="180">
        <v>-3.4145400020773356E-4</v>
      </c>
      <c r="G1224" s="78">
        <v>1222</v>
      </c>
      <c r="H1224" s="180">
        <f t="shared" ca="1" si="40"/>
        <v>-1.0692370426020103E-2</v>
      </c>
    </row>
    <row r="1225" spans="2:8" x14ac:dyDescent="0.3">
      <c r="B1225" s="69">
        <v>45597</v>
      </c>
      <c r="C1225" s="55">
        <v>7169.95</v>
      </c>
      <c r="D1225" s="70">
        <f t="shared" si="39"/>
        <v>11.862627259272548</v>
      </c>
      <c r="E1225" s="180">
        <v>-3.4507157621032827E-4</v>
      </c>
      <c r="G1225" s="78">
        <v>1223</v>
      </c>
      <c r="H1225" s="180">
        <f t="shared" ca="1" si="40"/>
        <v>2.6573293145794711E-2</v>
      </c>
    </row>
    <row r="1226" spans="2:8" x14ac:dyDescent="0.3">
      <c r="B1226" s="69">
        <v>44047</v>
      </c>
      <c r="C1226" s="55">
        <v>557.42499999999995</v>
      </c>
      <c r="D1226" s="70">
        <f t="shared" si="39"/>
        <v>-0.88899564884052051</v>
      </c>
      <c r="E1226" s="180">
        <v>-3.5866397668692307E-4</v>
      </c>
      <c r="G1226" s="78">
        <v>1224</v>
      </c>
      <c r="H1226" s="180">
        <f t="shared" ca="1" si="40"/>
        <v>1.8509663108441808E-3</v>
      </c>
    </row>
    <row r="1227" spans="2:8" x14ac:dyDescent="0.3">
      <c r="B1227" s="69">
        <v>45707</v>
      </c>
      <c r="C1227" s="55">
        <v>5021.6499999999996</v>
      </c>
      <c r="D1227" s="70">
        <f t="shared" si="39"/>
        <v>10.15860229987223</v>
      </c>
      <c r="E1227" s="180">
        <v>-4.3791116374906246E-4</v>
      </c>
      <c r="G1227" s="78">
        <v>1225</v>
      </c>
      <c r="H1227" s="180">
        <f t="shared" ca="1" si="40"/>
        <v>3.7523046812860582E-2</v>
      </c>
    </row>
    <row r="1228" spans="2:8" x14ac:dyDescent="0.3">
      <c r="B1228" s="69">
        <v>43977</v>
      </c>
      <c r="C1228" s="55">
        <v>450.02499999999998</v>
      </c>
      <c r="D1228" s="70">
        <f t="shared" si="39"/>
        <v>-0.90342396669384961</v>
      </c>
      <c r="E1228" s="180">
        <v>-4.4422233327790655E-4</v>
      </c>
      <c r="G1228" s="78">
        <v>1226</v>
      </c>
      <c r="H1228" s="180">
        <f t="shared" ca="1" si="40"/>
        <v>-1.6779834617393172E-3</v>
      </c>
    </row>
    <row r="1229" spans="2:8" x14ac:dyDescent="0.3">
      <c r="B1229" s="69">
        <v>45441</v>
      </c>
      <c r="C1229" s="55">
        <v>4659.8</v>
      </c>
      <c r="D1229" s="70">
        <f t="shared" si="39"/>
        <v>-5.4743941350349776E-3</v>
      </c>
      <c r="E1229" s="180">
        <v>-4.4509987934035516E-4</v>
      </c>
      <c r="G1229" s="78">
        <v>1227</v>
      </c>
      <c r="H1229" s="180">
        <f t="shared" ca="1" si="40"/>
        <v>1.4746392450219335E-2</v>
      </c>
    </row>
    <row r="1230" spans="2:8" x14ac:dyDescent="0.3">
      <c r="B1230" s="69">
        <v>45965</v>
      </c>
      <c r="C1230" s="55">
        <v>4685.45</v>
      </c>
      <c r="D1230" s="70">
        <f t="shared" si="39"/>
        <v>-0.13232407407407409</v>
      </c>
      <c r="E1230" s="180">
        <v>-4.58656881986634E-4</v>
      </c>
      <c r="G1230" s="78">
        <v>1228</v>
      </c>
      <c r="H1230" s="180">
        <f t="shared" ca="1" si="40"/>
        <v>-1.801141469508449E-2</v>
      </c>
    </row>
    <row r="1231" spans="2:8" x14ac:dyDescent="0.3">
      <c r="B1231" s="69">
        <v>45883</v>
      </c>
      <c r="C1231" s="55">
        <v>5400</v>
      </c>
      <c r="D1231" s="70">
        <f t="shared" si="39"/>
        <v>16.13877648179005</v>
      </c>
      <c r="E1231" s="180">
        <v>-4.6274872744099955E-4</v>
      </c>
      <c r="G1231" s="78">
        <v>1229</v>
      </c>
      <c r="H1231" s="180">
        <f t="shared" ca="1" si="40"/>
        <v>1.8613437221948859E-2</v>
      </c>
    </row>
    <row r="1232" spans="2:8" x14ac:dyDescent="0.3">
      <c r="B1232" s="69">
        <v>43032</v>
      </c>
      <c r="C1232" s="55">
        <v>315.07499999999999</v>
      </c>
      <c r="D1232" s="70">
        <f t="shared" si="39"/>
        <v>0.22680813783704859</v>
      </c>
      <c r="E1232" s="180">
        <v>-4.7585058291707224E-4</v>
      </c>
      <c r="G1232" s="78">
        <v>1230</v>
      </c>
      <c r="H1232" s="180">
        <f t="shared" ca="1" si="40"/>
        <v>6.865834008131861E-3</v>
      </c>
    </row>
    <row r="1233" spans="2:8" x14ac:dyDescent="0.3">
      <c r="B1233" s="69">
        <v>42852</v>
      </c>
      <c r="C1233" s="55">
        <v>256.82499999999999</v>
      </c>
      <c r="D1233" s="70">
        <f t="shared" si="39"/>
        <v>-0.96581853511810289</v>
      </c>
      <c r="E1233" s="180">
        <v>-4.864759680871765E-4</v>
      </c>
      <c r="G1233" s="78">
        <v>1231</v>
      </c>
      <c r="H1233" s="180">
        <f t="shared" ca="1" si="40"/>
        <v>3.0605169014425136E-2</v>
      </c>
    </row>
    <row r="1234" spans="2:8" x14ac:dyDescent="0.3">
      <c r="B1234" s="69">
        <v>45589</v>
      </c>
      <c r="C1234" s="55">
        <v>7513.5749999999998</v>
      </c>
      <c r="D1234" s="70">
        <f t="shared" si="39"/>
        <v>13.561191860465115</v>
      </c>
      <c r="E1234" s="180">
        <v>-5.2211506484871057E-4</v>
      </c>
      <c r="G1234" s="78">
        <v>1232</v>
      </c>
      <c r="H1234" s="180">
        <f t="shared" ca="1" si="40"/>
        <v>-4.9830487488540633E-3</v>
      </c>
    </row>
    <row r="1235" spans="2:8" x14ac:dyDescent="0.3">
      <c r="B1235" s="69">
        <v>43733</v>
      </c>
      <c r="C1235" s="55">
        <v>516</v>
      </c>
      <c r="D1235" s="70">
        <f t="shared" si="39"/>
        <v>2.0821999109748211E-2</v>
      </c>
      <c r="E1235" s="180">
        <v>-5.3266185656864514E-4</v>
      </c>
      <c r="G1235" s="78">
        <v>1233</v>
      </c>
      <c r="H1235" s="180">
        <f t="shared" ca="1" si="40"/>
        <v>-1.0078127286498576E-2</v>
      </c>
    </row>
    <row r="1236" spans="2:8" x14ac:dyDescent="0.3">
      <c r="B1236" s="69">
        <v>43754</v>
      </c>
      <c r="C1236" s="55">
        <v>505.47500000000002</v>
      </c>
      <c r="D1236" s="70">
        <f t="shared" si="39"/>
        <v>0.37994812994813021</v>
      </c>
      <c r="E1236" s="180">
        <v>-5.4374691052887247E-4</v>
      </c>
      <c r="G1236" s="78">
        <v>1234</v>
      </c>
      <c r="H1236" s="180">
        <f t="shared" ca="1" si="40"/>
        <v>7.423883456443227E-3</v>
      </c>
    </row>
    <row r="1237" spans="2:8" x14ac:dyDescent="0.3">
      <c r="B1237" s="69">
        <v>43599</v>
      </c>
      <c r="C1237" s="55">
        <v>366.29999999999995</v>
      </c>
      <c r="D1237" s="70">
        <f t="shared" si="39"/>
        <v>-0.93965900667160862</v>
      </c>
      <c r="E1237" s="180">
        <v>-5.4570259208743649E-4</v>
      </c>
      <c r="G1237" s="78">
        <v>1235</v>
      </c>
      <c r="H1237" s="180">
        <f t="shared" ca="1" si="40"/>
        <v>1.1570416336691387E-2</v>
      </c>
    </row>
    <row r="1238" spans="2:8" x14ac:dyDescent="0.3">
      <c r="B1238" s="69">
        <v>45835</v>
      </c>
      <c r="C1238" s="55">
        <v>6070.5</v>
      </c>
      <c r="D1238" s="70">
        <f t="shared" si="39"/>
        <v>3.7733438175742089</v>
      </c>
      <c r="E1238" s="180">
        <v>-5.7622653934804083E-4</v>
      </c>
      <c r="G1238" s="78">
        <v>1236</v>
      </c>
      <c r="H1238" s="180">
        <f t="shared" ca="1" si="40"/>
        <v>-2.9015721731413629E-2</v>
      </c>
    </row>
    <row r="1239" spans="2:8" x14ac:dyDescent="0.3">
      <c r="B1239" s="69">
        <v>44649</v>
      </c>
      <c r="C1239" s="55">
        <v>1271.75</v>
      </c>
      <c r="D1239" s="70">
        <f t="shared" si="39"/>
        <v>-0.71355852989701174</v>
      </c>
      <c r="E1239" s="180">
        <v>-5.893909626719057E-4</v>
      </c>
      <c r="G1239" s="78">
        <v>1237</v>
      </c>
      <c r="H1239" s="180">
        <f t="shared" ca="1" si="40"/>
        <v>1.5710196295284803E-2</v>
      </c>
    </row>
    <row r="1240" spans="2:8" x14ac:dyDescent="0.3">
      <c r="B1240" s="69">
        <v>45425</v>
      </c>
      <c r="C1240" s="55">
        <v>4439.8249999999998</v>
      </c>
      <c r="D1240" s="70">
        <f t="shared" si="39"/>
        <v>0.68989732707843665</v>
      </c>
      <c r="E1240" s="180">
        <v>-6.3025801187365166E-4</v>
      </c>
      <c r="G1240" s="78">
        <v>1238</v>
      </c>
      <c r="H1240" s="180">
        <f t="shared" ca="1" si="40"/>
        <v>7.5665925732040246E-3</v>
      </c>
    </row>
    <row r="1241" spans="2:8" x14ac:dyDescent="0.3">
      <c r="B1241" s="69">
        <v>45252</v>
      </c>
      <c r="C1241" s="55">
        <v>2627.2750000000001</v>
      </c>
      <c r="D1241" s="70">
        <f t="shared" si="39"/>
        <v>0.88281138024939076</v>
      </c>
      <c r="E1241" s="180">
        <v>-6.4663985013163616E-4</v>
      </c>
      <c r="G1241" s="78">
        <v>1239</v>
      </c>
      <c r="H1241" s="180">
        <f t="shared" ca="1" si="40"/>
        <v>2.0722115215010311E-2</v>
      </c>
    </row>
    <row r="1242" spans="2:8" x14ac:dyDescent="0.3">
      <c r="B1242" s="69">
        <v>45050</v>
      </c>
      <c r="C1242" s="55">
        <v>1395.4</v>
      </c>
      <c r="D1242" s="70">
        <f t="shared" si="39"/>
        <v>-0.5619732236749172</v>
      </c>
      <c r="E1242" s="180">
        <v>-6.624532254310096E-4</v>
      </c>
      <c r="G1242" s="78">
        <v>1240</v>
      </c>
      <c r="H1242" s="180">
        <f t="shared" ca="1" si="40"/>
        <v>3.0417937338510167E-2</v>
      </c>
    </row>
    <row r="1243" spans="2:8" x14ac:dyDescent="0.3">
      <c r="B1243" s="69">
        <v>45315</v>
      </c>
      <c r="C1243" s="55">
        <v>3185.65</v>
      </c>
      <c r="D1243" s="70">
        <f t="shared" si="39"/>
        <v>-0.24060786650774729</v>
      </c>
      <c r="E1243" s="180">
        <v>-6.9795710308588295E-4</v>
      </c>
      <c r="G1243" s="78">
        <v>1241</v>
      </c>
      <c r="H1243" s="180">
        <f t="shared" ca="1" si="40"/>
        <v>-2.8177917006513089E-2</v>
      </c>
    </row>
    <row r="1244" spans="2:8" x14ac:dyDescent="0.3">
      <c r="B1244" s="69">
        <v>45996</v>
      </c>
      <c r="C1244" s="55">
        <v>4195</v>
      </c>
      <c r="D1244" s="70">
        <f t="shared" si="39"/>
        <v>-0.22672811059907835</v>
      </c>
      <c r="E1244" s="180">
        <v>-7.0272394859412983E-4</v>
      </c>
      <c r="G1244" s="78">
        <v>1242</v>
      </c>
      <c r="H1244" s="180">
        <f t="shared" ca="1" si="40"/>
        <v>1.6598364665515848E-2</v>
      </c>
    </row>
    <row r="1245" spans="2:8" x14ac:dyDescent="0.3">
      <c r="B1245" s="69">
        <v>45903</v>
      </c>
      <c r="C1245" s="55">
        <v>5425</v>
      </c>
      <c r="D1245" s="70">
        <f t="shared" si="39"/>
        <v>2.1724218590099702</v>
      </c>
      <c r="E1245" s="180">
        <v>-7.3678393811014921E-4</v>
      </c>
      <c r="G1245" s="78">
        <v>1243</v>
      </c>
      <c r="H1245" s="180">
        <f t="shared" ca="1" si="40"/>
        <v>1.197432783005805E-2</v>
      </c>
    </row>
    <row r="1246" spans="2:8" x14ac:dyDescent="0.3">
      <c r="B1246" s="69">
        <v>45097</v>
      </c>
      <c r="C1246" s="55">
        <v>1710.05</v>
      </c>
      <c r="D1246" s="70">
        <f t="shared" si="39"/>
        <v>4.16631419939577</v>
      </c>
      <c r="E1246" s="180">
        <v>-7.596342069126447E-4</v>
      </c>
      <c r="G1246" s="78">
        <v>1244</v>
      </c>
      <c r="H1246" s="180">
        <f t="shared" ca="1" si="40"/>
        <v>-3.0282896043699541E-2</v>
      </c>
    </row>
    <row r="1247" spans="2:8" x14ac:dyDescent="0.3">
      <c r="B1247" s="69">
        <v>43423</v>
      </c>
      <c r="C1247" s="55">
        <v>331</v>
      </c>
      <c r="D1247" s="70">
        <f t="shared" si="39"/>
        <v>-0.91887155479846572</v>
      </c>
      <c r="E1247" s="180">
        <v>-8.3012602822421641E-4</v>
      </c>
      <c r="G1247" s="78">
        <v>1245</v>
      </c>
      <c r="H1247" s="180">
        <f t="shared" ca="1" si="40"/>
        <v>-4.7741764714632458E-3</v>
      </c>
    </row>
    <row r="1248" spans="2:8" x14ac:dyDescent="0.3">
      <c r="B1248" s="69">
        <v>46076</v>
      </c>
      <c r="C1248" s="55">
        <v>4079.95</v>
      </c>
      <c r="D1248" s="70">
        <f t="shared" si="39"/>
        <v>4.9825506800102639</v>
      </c>
      <c r="E1248" s="180">
        <v>-8.3264966265446047E-4</v>
      </c>
      <c r="G1248" s="78">
        <v>1246</v>
      </c>
      <c r="H1248" s="180">
        <f t="shared" ca="1" si="40"/>
        <v>2.0186597266626426E-2</v>
      </c>
    </row>
    <row r="1249" spans="2:8" x14ac:dyDescent="0.3">
      <c r="B1249" s="69">
        <v>44197</v>
      </c>
      <c r="C1249" s="55">
        <v>681.97500000000002</v>
      </c>
      <c r="D1249" s="70">
        <f t="shared" si="39"/>
        <v>-0.61283317721195596</v>
      </c>
      <c r="E1249" s="180">
        <v>-8.4242912607125024E-4</v>
      </c>
      <c r="G1249" s="78">
        <v>1247</v>
      </c>
      <c r="H1249" s="180">
        <f t="shared" ca="1" si="40"/>
        <v>7.9329229695006328E-3</v>
      </c>
    </row>
    <row r="1250" spans="2:8" x14ac:dyDescent="0.3">
      <c r="B1250" s="69">
        <v>45111</v>
      </c>
      <c r="C1250" s="55">
        <v>1761.45</v>
      </c>
      <c r="D1250" s="70">
        <f t="shared" si="39"/>
        <v>2.5313753007217321</v>
      </c>
      <c r="E1250" s="180">
        <v>-8.5084659235939758E-4</v>
      </c>
      <c r="G1250" s="78">
        <v>1248</v>
      </c>
      <c r="H1250" s="180">
        <f t="shared" ca="1" si="40"/>
        <v>6.9299977341524405E-3</v>
      </c>
    </row>
    <row r="1251" spans="2:8" x14ac:dyDescent="0.3">
      <c r="B1251" s="69">
        <v>43787</v>
      </c>
      <c r="C1251" s="55">
        <v>498.8</v>
      </c>
      <c r="D1251" s="70">
        <f t="shared" si="39"/>
        <v>0.57437070938215107</v>
      </c>
      <c r="E1251" s="180">
        <v>-8.5131954529523031E-4</v>
      </c>
      <c r="G1251" s="78">
        <v>1249</v>
      </c>
      <c r="H1251" s="180">
        <f t="shared" ca="1" si="40"/>
        <v>-1.6092116318280086E-2</v>
      </c>
    </row>
    <row r="1252" spans="2:8" x14ac:dyDescent="0.3">
      <c r="B1252" s="69">
        <v>43027</v>
      </c>
      <c r="C1252" s="55">
        <v>316.82499999999999</v>
      </c>
      <c r="D1252" s="70">
        <f t="shared" si="39"/>
        <v>0.26894963452488224</v>
      </c>
      <c r="E1252" s="180">
        <v>-8.6723431094302766E-4</v>
      </c>
      <c r="G1252" s="78">
        <v>1250</v>
      </c>
      <c r="H1252" s="180">
        <f t="shared" ca="1" si="40"/>
        <v>1.2099422202368326E-2</v>
      </c>
    </row>
    <row r="1253" spans="2:8" x14ac:dyDescent="0.3">
      <c r="B1253" s="69">
        <v>42895</v>
      </c>
      <c r="C1253" s="55">
        <v>249.67500000000001</v>
      </c>
      <c r="D1253" s="70">
        <f t="shared" si="39"/>
        <v>6.0114217012325688E-4</v>
      </c>
      <c r="E1253" s="180">
        <v>-9.0036014405760027E-4</v>
      </c>
      <c r="G1253" s="78">
        <v>1251</v>
      </c>
      <c r="H1253" s="180">
        <f t="shared" ca="1" si="40"/>
        <v>5.0656755047865992E-3</v>
      </c>
    </row>
    <row r="1254" spans="2:8" x14ac:dyDescent="0.3">
      <c r="B1254" s="69">
        <v>42815</v>
      </c>
      <c r="C1254" s="55">
        <v>249.52500000000001</v>
      </c>
      <c r="D1254" s="70">
        <f t="shared" si="39"/>
        <v>-0.27458390871429611</v>
      </c>
      <c r="E1254" s="180">
        <v>-9.0090090090087815E-4</v>
      </c>
      <c r="G1254" s="78">
        <v>1252</v>
      </c>
      <c r="H1254" s="180">
        <f t="shared" ca="1" si="40"/>
        <v>-5.9243025249140794E-3</v>
      </c>
    </row>
    <row r="1255" spans="2:8" x14ac:dyDescent="0.3">
      <c r="B1255" s="69">
        <v>43192</v>
      </c>
      <c r="C1255" s="55">
        <v>343.97500000000002</v>
      </c>
      <c r="D1255" s="70">
        <f t="shared" si="39"/>
        <v>8.4666929444225533E-2</v>
      </c>
      <c r="E1255" s="180">
        <v>-9.4394423467886093E-4</v>
      </c>
      <c r="G1255" s="78">
        <v>1253</v>
      </c>
      <c r="H1255" s="180">
        <f t="shared" ca="1" si="40"/>
        <v>-1.2812650345154728E-2</v>
      </c>
    </row>
    <row r="1256" spans="2:8" x14ac:dyDescent="0.3">
      <c r="B1256" s="69">
        <v>43153</v>
      </c>
      <c r="C1256" s="55">
        <v>317.125</v>
      </c>
      <c r="D1256" s="70">
        <f t="shared" si="39"/>
        <v>-0.6306809910618103</v>
      </c>
      <c r="E1256" s="180">
        <v>-9.451051429471886E-4</v>
      </c>
      <c r="G1256" s="78">
        <v>1254</v>
      </c>
      <c r="H1256" s="180">
        <f t="shared" ca="1" si="40"/>
        <v>3.5606762667067894E-2</v>
      </c>
    </row>
    <row r="1257" spans="2:8" x14ac:dyDescent="0.3">
      <c r="B1257" s="69">
        <v>44355</v>
      </c>
      <c r="C1257" s="55">
        <v>858.67499999999995</v>
      </c>
      <c r="D1257" s="70">
        <f t="shared" si="39"/>
        <v>1.382065330466745</v>
      </c>
      <c r="E1257" s="180">
        <v>-9.5986038394420649E-4</v>
      </c>
      <c r="G1257" s="78">
        <v>1255</v>
      </c>
      <c r="H1257" s="180">
        <f t="shared" ca="1" si="40"/>
        <v>5.5530601570713718E-3</v>
      </c>
    </row>
    <row r="1258" spans="2:8" x14ac:dyDescent="0.3">
      <c r="B1258" s="69">
        <v>43557</v>
      </c>
      <c r="C1258" s="55">
        <v>360.47500000000002</v>
      </c>
      <c r="D1258" s="70">
        <f t="shared" si="39"/>
        <v>-0.24432681725276445</v>
      </c>
      <c r="E1258" s="180">
        <v>-9.699993071434149E-4</v>
      </c>
      <c r="G1258" s="78">
        <v>1256</v>
      </c>
      <c r="H1258" s="180">
        <f t="shared" ca="1" si="40"/>
        <v>-1.3810708728689102E-2</v>
      </c>
    </row>
    <row r="1259" spans="2:8" x14ac:dyDescent="0.3">
      <c r="B1259" s="69">
        <v>43705</v>
      </c>
      <c r="C1259" s="55">
        <v>477.02499999999998</v>
      </c>
      <c r="D1259" s="70">
        <f t="shared" si="39"/>
        <v>0.44706506901258913</v>
      </c>
      <c r="E1259" s="180">
        <v>-9.9476439790580681E-4</v>
      </c>
      <c r="G1259" s="78">
        <v>1257</v>
      </c>
      <c r="H1259" s="180">
        <f t="shared" ca="1" si="40"/>
        <v>9.602431048076298E-3</v>
      </c>
    </row>
    <row r="1260" spans="2:8" x14ac:dyDescent="0.3">
      <c r="B1260" s="69">
        <v>43082</v>
      </c>
      <c r="C1260" s="55">
        <v>329.65</v>
      </c>
      <c r="D1260" s="70">
        <f t="shared" si="39"/>
        <v>-0.67422670224330472</v>
      </c>
      <c r="E1260" s="180">
        <v>-1.0606060606061295E-3</v>
      </c>
      <c r="G1260" s="78">
        <v>1258</v>
      </c>
      <c r="H1260" s="180">
        <f t="shared" ca="1" si="40"/>
        <v>2.2479577549980041E-2</v>
      </c>
    </row>
    <row r="1261" spans="2:8" x14ac:dyDescent="0.3">
      <c r="B1261" s="69">
        <v>44453</v>
      </c>
      <c r="C1261" s="55">
        <v>1011.9</v>
      </c>
      <c r="D1261" s="70">
        <f t="shared" si="39"/>
        <v>-0.25652988501524571</v>
      </c>
      <c r="E1261" s="180">
        <v>-1.0612305338236832E-3</v>
      </c>
      <c r="G1261" s="78">
        <v>1259</v>
      </c>
      <c r="H1261" s="180">
        <f t="shared" ca="1" si="40"/>
        <v>-2.6873393651229652E-2</v>
      </c>
    </row>
    <row r="1262" spans="2:8" x14ac:dyDescent="0.3">
      <c r="B1262" s="69">
        <v>45026</v>
      </c>
      <c r="C1262" s="55">
        <v>1361.0500000000002</v>
      </c>
      <c r="D1262" s="70">
        <f t="shared" si="39"/>
        <v>1.6527310822004582</v>
      </c>
      <c r="E1262" s="180">
        <v>-1.0642201834861051E-3</v>
      </c>
      <c r="G1262" s="78">
        <v>1260</v>
      </c>
      <c r="H1262" s="180">
        <f t="shared" ca="1" si="40"/>
        <v>3.2024592689111897E-3</v>
      </c>
    </row>
    <row r="1263" spans="2:8" x14ac:dyDescent="0.3">
      <c r="B1263" s="69">
        <v>43818</v>
      </c>
      <c r="C1263" s="55">
        <v>513.07500000000005</v>
      </c>
      <c r="D1263" s="70">
        <f t="shared" si="39"/>
        <v>0.29572574026138015</v>
      </c>
      <c r="E1263" s="180">
        <v>-1.0708201508882055E-3</v>
      </c>
      <c r="G1263" s="78">
        <v>1261</v>
      </c>
      <c r="H1263" s="180">
        <f t="shared" ca="1" si="40"/>
        <v>-1.0303927476044685E-2</v>
      </c>
    </row>
    <row r="1264" spans="2:8" x14ac:dyDescent="0.3">
      <c r="B1264" s="69">
        <v>43630</v>
      </c>
      <c r="C1264" s="55">
        <v>395.97500000000002</v>
      </c>
      <c r="D1264" s="70">
        <f t="shared" si="39"/>
        <v>-0.70323390541857156</v>
      </c>
      <c r="E1264" s="180">
        <v>-1.0721493440967573E-3</v>
      </c>
      <c r="G1264" s="78">
        <v>1262</v>
      </c>
      <c r="H1264" s="180">
        <f t="shared" ca="1" si="40"/>
        <v>-5.586449526963337E-3</v>
      </c>
    </row>
    <row r="1265" spans="2:8" x14ac:dyDescent="0.3">
      <c r="B1265" s="69">
        <v>45008</v>
      </c>
      <c r="C1265" s="55">
        <v>1334.3000000000002</v>
      </c>
      <c r="D1265" s="70">
        <f t="shared" si="39"/>
        <v>1.3341205282952859</v>
      </c>
      <c r="E1265" s="180">
        <v>-1.1229225932024051E-3</v>
      </c>
      <c r="G1265" s="78">
        <v>1263</v>
      </c>
      <c r="H1265" s="180">
        <f t="shared" ca="1" si="40"/>
        <v>3.9471511129687397E-3</v>
      </c>
    </row>
    <row r="1266" spans="2:8" x14ac:dyDescent="0.3">
      <c r="B1266" s="69">
        <v>44057</v>
      </c>
      <c r="C1266" s="55">
        <v>571.65</v>
      </c>
      <c r="D1266" s="70">
        <f t="shared" si="39"/>
        <v>0.63503754022166603</v>
      </c>
      <c r="E1266" s="180">
        <v>-1.135767953870308E-3</v>
      </c>
      <c r="G1266" s="78">
        <v>1264</v>
      </c>
      <c r="H1266" s="180">
        <f t="shared" ca="1" si="40"/>
        <v>1.3364945070071016E-2</v>
      </c>
    </row>
    <row r="1267" spans="2:8" x14ac:dyDescent="0.3">
      <c r="B1267" s="69">
        <v>43115</v>
      </c>
      <c r="C1267" s="55">
        <v>349.625</v>
      </c>
      <c r="D1267" s="70">
        <f t="shared" si="39"/>
        <v>-0.75331616453820649</v>
      </c>
      <c r="E1267" s="180">
        <v>-1.1427755160345041E-3</v>
      </c>
      <c r="G1267" s="78">
        <v>1265</v>
      </c>
      <c r="H1267" s="180">
        <f t="shared" ca="1" si="40"/>
        <v>-1.4409823433178032E-2</v>
      </c>
    </row>
    <row r="1268" spans="2:8" x14ac:dyDescent="0.3">
      <c r="B1268" s="69">
        <v>44847</v>
      </c>
      <c r="C1268" s="55">
        <v>1417.3</v>
      </c>
      <c r="D1268" s="70">
        <f t="shared" si="39"/>
        <v>-0.73765849143914852</v>
      </c>
      <c r="E1268" s="180">
        <v>-1.1452331870958649E-3</v>
      </c>
      <c r="G1268" s="78">
        <v>1266</v>
      </c>
      <c r="H1268" s="180">
        <f t="shared" ca="1" si="40"/>
        <v>8.8046432189170885E-3</v>
      </c>
    </row>
    <row r="1269" spans="2:8" x14ac:dyDescent="0.3">
      <c r="B1269" s="69">
        <v>45882</v>
      </c>
      <c r="C1269" s="55">
        <v>5402.5</v>
      </c>
      <c r="D1269" s="70">
        <f t="shared" si="39"/>
        <v>9.5183743003163794</v>
      </c>
      <c r="E1269" s="180">
        <v>-1.1555350127108851E-3</v>
      </c>
      <c r="G1269" s="78">
        <v>1267</v>
      </c>
      <c r="H1269" s="180">
        <f t="shared" ca="1" si="40"/>
        <v>8.6688090071364143E-3</v>
      </c>
    </row>
    <row r="1270" spans="2:8" x14ac:dyDescent="0.3">
      <c r="B1270" s="69">
        <v>43817</v>
      </c>
      <c r="C1270" s="55">
        <v>513.625</v>
      </c>
      <c r="D1270" s="70">
        <f t="shared" si="39"/>
        <v>-0.39926900584795322</v>
      </c>
      <c r="E1270" s="180">
        <v>-1.1668044144100788E-3</v>
      </c>
      <c r="G1270" s="78">
        <v>1268</v>
      </c>
      <c r="H1270" s="180">
        <f t="shared" ca="1" si="40"/>
        <v>3.1300207503537507E-2</v>
      </c>
    </row>
    <row r="1271" spans="2:8" x14ac:dyDescent="0.3">
      <c r="B1271" s="69">
        <v>44378</v>
      </c>
      <c r="C1271" s="55">
        <v>855</v>
      </c>
      <c r="D1271" s="70">
        <f t="shared" si="39"/>
        <v>-0.83351993379740053</v>
      </c>
      <c r="E1271" s="180">
        <v>-1.1682242990654205E-3</v>
      </c>
      <c r="G1271" s="78">
        <v>1269</v>
      </c>
      <c r="H1271" s="180">
        <f t="shared" ca="1" si="40"/>
        <v>3.377345974813549E-2</v>
      </c>
    </row>
    <row r="1272" spans="2:8" x14ac:dyDescent="0.3">
      <c r="B1272" s="69">
        <v>45916</v>
      </c>
      <c r="C1272" s="55">
        <v>5135.75</v>
      </c>
      <c r="D1272" s="70">
        <f t="shared" si="39"/>
        <v>8.0629549565447576</v>
      </c>
      <c r="E1272" s="180">
        <v>-1.2154803578374174E-3</v>
      </c>
      <c r="G1272" s="78">
        <v>1270</v>
      </c>
      <c r="H1272" s="180">
        <f t="shared" ca="1" si="40"/>
        <v>-2.979852924297318E-2</v>
      </c>
    </row>
    <row r="1273" spans="2:8" x14ac:dyDescent="0.3">
      <c r="B1273" s="69">
        <v>43986</v>
      </c>
      <c r="C1273" s="55">
        <v>566.67499999999995</v>
      </c>
      <c r="D1273" s="70">
        <f t="shared" si="39"/>
        <v>1.3348784507622578</v>
      </c>
      <c r="E1273" s="180">
        <v>-1.2337519277374673E-3</v>
      </c>
      <c r="G1273" s="78">
        <v>1271</v>
      </c>
      <c r="H1273" s="180">
        <f t="shared" ca="1" si="40"/>
        <v>3.4493765424288891E-2</v>
      </c>
    </row>
    <row r="1274" spans="2:8" x14ac:dyDescent="0.3">
      <c r="B1274" s="69">
        <v>42809</v>
      </c>
      <c r="C1274" s="55">
        <v>242.7</v>
      </c>
      <c r="D1274" s="70">
        <f t="shared" si="39"/>
        <v>-0.85789774141136177</v>
      </c>
      <c r="E1274" s="180">
        <v>-1.2345679012346147E-3</v>
      </c>
      <c r="G1274" s="78">
        <v>1272</v>
      </c>
      <c r="H1274" s="180">
        <f t="shared" ca="1" si="40"/>
        <v>2.2967750680935876E-2</v>
      </c>
    </row>
    <row r="1275" spans="2:8" x14ac:dyDescent="0.3">
      <c r="B1275" s="69">
        <v>45098</v>
      </c>
      <c r="C1275" s="55">
        <v>1707.9250000000002</v>
      </c>
      <c r="D1275" s="70">
        <f t="shared" si="39"/>
        <v>2.3770143351458235</v>
      </c>
      <c r="E1275" s="180">
        <v>-1.2426537235752011E-3</v>
      </c>
      <c r="G1275" s="78">
        <v>1273</v>
      </c>
      <c r="H1275" s="180">
        <f t="shared" ca="1" si="40"/>
        <v>-3.9621190272951237E-3</v>
      </c>
    </row>
    <row r="1276" spans="2:8" x14ac:dyDescent="0.3">
      <c r="B1276" s="69">
        <v>43753</v>
      </c>
      <c r="C1276" s="55">
        <v>505.75</v>
      </c>
      <c r="D1276" s="70">
        <f t="shared" si="39"/>
        <v>-0.60078934385791816</v>
      </c>
      <c r="E1276" s="180">
        <v>-1.283570300157933E-3</v>
      </c>
      <c r="G1276" s="78">
        <v>1274</v>
      </c>
      <c r="H1276" s="180">
        <f t="shared" ca="1" si="40"/>
        <v>-2.009575706293109E-2</v>
      </c>
    </row>
    <row r="1277" spans="2:8" x14ac:dyDescent="0.3">
      <c r="B1277" s="69">
        <v>44651</v>
      </c>
      <c r="C1277" s="55">
        <v>1266.875</v>
      </c>
      <c r="D1277" s="70">
        <f t="shared" si="39"/>
        <v>2.3787838378450461</v>
      </c>
      <c r="E1277" s="180">
        <v>-1.3007232809760082E-3</v>
      </c>
      <c r="G1277" s="78">
        <v>1275</v>
      </c>
      <c r="H1277" s="180">
        <f t="shared" ca="1" si="40"/>
        <v>-1.7779646413731746E-2</v>
      </c>
    </row>
    <row r="1278" spans="2:8" x14ac:dyDescent="0.3">
      <c r="B1278" s="69">
        <v>43594</v>
      </c>
      <c r="C1278" s="55">
        <v>374.95</v>
      </c>
      <c r="D1278" s="70">
        <f t="shared" si="39"/>
        <v>-0.73833699710387657</v>
      </c>
      <c r="E1278" s="180">
        <v>-1.3317352510322461E-3</v>
      </c>
      <c r="G1278" s="78">
        <v>1276</v>
      </c>
      <c r="H1278" s="180">
        <f t="shared" ca="1" si="40"/>
        <v>-3.265958855198264E-3</v>
      </c>
    </row>
    <row r="1279" spans="2:8" x14ac:dyDescent="0.3">
      <c r="B1279" s="69">
        <v>44845</v>
      </c>
      <c r="C1279" s="55">
        <v>1432.95</v>
      </c>
      <c r="D1279" s="70">
        <f t="shared" si="39"/>
        <v>0.67166355576294912</v>
      </c>
      <c r="E1279" s="180">
        <v>-1.3589797198411354E-3</v>
      </c>
      <c r="G1279" s="78">
        <v>1277</v>
      </c>
      <c r="H1279" s="180">
        <f t="shared" ca="1" si="40"/>
        <v>2.3475526115254098E-2</v>
      </c>
    </row>
    <row r="1280" spans="2:8" x14ac:dyDescent="0.3">
      <c r="B1280" s="69">
        <v>44371</v>
      </c>
      <c r="C1280" s="55">
        <v>857.2</v>
      </c>
      <c r="D1280" s="70">
        <f t="shared" si="39"/>
        <v>-0.608490619897464</v>
      </c>
      <c r="E1280" s="180">
        <v>-1.3688655890490224E-3</v>
      </c>
      <c r="G1280" s="78">
        <v>1278</v>
      </c>
      <c r="H1280" s="180">
        <f t="shared" ca="1" si="40"/>
        <v>9.0068930088093076E-3</v>
      </c>
    </row>
    <row r="1281" spans="2:8" x14ac:dyDescent="0.3">
      <c r="B1281" s="69">
        <v>45233</v>
      </c>
      <c r="C1281" s="55">
        <v>2189.4749999999999</v>
      </c>
      <c r="D1281" s="70">
        <f t="shared" si="39"/>
        <v>1.1626580403002762</v>
      </c>
      <c r="E1281" s="180">
        <v>-1.3797035347776925E-3</v>
      </c>
      <c r="G1281" s="78">
        <v>1279</v>
      </c>
      <c r="H1281" s="180">
        <f t="shared" ca="1" si="40"/>
        <v>-3.7197473176483822E-2</v>
      </c>
    </row>
    <row r="1282" spans="2:8" x14ac:dyDescent="0.3">
      <c r="B1282" s="69">
        <v>44501</v>
      </c>
      <c r="C1282" s="55">
        <v>1012.4000000000001</v>
      </c>
      <c r="D1282" s="70">
        <f t="shared" si="39"/>
        <v>-0.81303785780240079</v>
      </c>
      <c r="E1282" s="180">
        <v>-1.3809429867822683E-3</v>
      </c>
      <c r="G1282" s="78">
        <v>1280</v>
      </c>
      <c r="H1282" s="180">
        <f t="shared" ca="1" si="40"/>
        <v>9.8534056595441172E-4</v>
      </c>
    </row>
    <row r="1283" spans="2:8" x14ac:dyDescent="0.3">
      <c r="B1283" s="69">
        <v>45855</v>
      </c>
      <c r="C1283" s="55">
        <v>5415</v>
      </c>
      <c r="D1283" s="70">
        <f t="shared" ref="D1283:D1346" si="41">(C1283-C1284)/C1284</f>
        <v>20.488095238095237</v>
      </c>
      <c r="E1283" s="180">
        <v>-1.3831258644536654E-3</v>
      </c>
      <c r="G1283" s="78">
        <v>1281</v>
      </c>
      <c r="H1283" s="180">
        <f t="shared" ca="1" si="40"/>
        <v>-3.4215862323260168E-2</v>
      </c>
    </row>
    <row r="1284" spans="2:8" x14ac:dyDescent="0.3">
      <c r="B1284" s="69">
        <v>42892</v>
      </c>
      <c r="C1284" s="55">
        <v>252</v>
      </c>
      <c r="D1284" s="70">
        <f t="shared" si="41"/>
        <v>-0.63679602205167007</v>
      </c>
      <c r="E1284" s="180">
        <v>-1.3869625520110732E-3</v>
      </c>
      <c r="G1284" s="78">
        <v>1282</v>
      </c>
      <c r="H1284" s="180">
        <f t="shared" ref="H1284:H1347" ca="1" si="42">_xlfn.NORM.INV(RAND(),$N$4,$N$5)</f>
        <v>-1.0009765026008855E-2</v>
      </c>
    </row>
    <row r="1285" spans="2:8" x14ac:dyDescent="0.3">
      <c r="B1285" s="69">
        <v>44117</v>
      </c>
      <c r="C1285" s="55">
        <v>693.82500000000005</v>
      </c>
      <c r="D1285" s="70">
        <f t="shared" si="41"/>
        <v>-0.36226389080380533</v>
      </c>
      <c r="E1285" s="180">
        <v>-1.4032815198616998E-3</v>
      </c>
      <c r="G1285" s="78">
        <v>1283</v>
      </c>
      <c r="H1285" s="180">
        <f t="shared" ca="1" si="42"/>
        <v>-4.2877125473637467E-4</v>
      </c>
    </row>
    <row r="1286" spans="2:8" x14ac:dyDescent="0.3">
      <c r="B1286" s="69">
        <v>44720</v>
      </c>
      <c r="C1286" s="55">
        <v>1087.95</v>
      </c>
      <c r="D1286" s="70">
        <f t="shared" si="41"/>
        <v>-6.4390600477285911E-2</v>
      </c>
      <c r="E1286" s="180">
        <v>-1.422670949977012E-3</v>
      </c>
      <c r="G1286" s="78">
        <v>1284</v>
      </c>
      <c r="H1286" s="180">
        <f t="shared" ca="1" si="42"/>
        <v>-5.4888245536798067E-3</v>
      </c>
    </row>
    <row r="1287" spans="2:8" x14ac:dyDescent="0.3">
      <c r="B1287" s="69">
        <v>44487</v>
      </c>
      <c r="C1287" s="55">
        <v>1162.825</v>
      </c>
      <c r="D1287" s="70">
        <f t="shared" si="41"/>
        <v>2.3803052325581397</v>
      </c>
      <c r="E1287" s="180">
        <v>-1.4383855732073461E-3</v>
      </c>
      <c r="G1287" s="78">
        <v>1285</v>
      </c>
      <c r="H1287" s="180">
        <f t="shared" ca="1" si="42"/>
        <v>1.7472958724476663E-2</v>
      </c>
    </row>
    <row r="1288" spans="2:8" x14ac:dyDescent="0.3">
      <c r="B1288" s="69">
        <v>43179</v>
      </c>
      <c r="C1288" s="55">
        <v>344</v>
      </c>
      <c r="D1288" s="70">
        <f t="shared" si="41"/>
        <v>0.1260229132569558</v>
      </c>
      <c r="E1288" s="180">
        <v>-1.4513788098693759E-3</v>
      </c>
      <c r="G1288" s="78">
        <v>1286</v>
      </c>
      <c r="H1288" s="180">
        <f t="shared" ca="1" si="42"/>
        <v>9.1549603029444006E-3</v>
      </c>
    </row>
    <row r="1289" spans="2:8" x14ac:dyDescent="0.3">
      <c r="B1289" s="69">
        <v>43054</v>
      </c>
      <c r="C1289" s="55">
        <v>305.5</v>
      </c>
      <c r="D1289" s="70">
        <f t="shared" si="41"/>
        <v>-0.94135685457747664</v>
      </c>
      <c r="E1289" s="180">
        <v>-1.4708285667594228E-3</v>
      </c>
      <c r="G1289" s="78">
        <v>1287</v>
      </c>
      <c r="H1289" s="180">
        <f t="shared" ca="1" si="42"/>
        <v>6.3553923921279114E-4</v>
      </c>
    </row>
    <row r="1290" spans="2:8" x14ac:dyDescent="0.3">
      <c r="B1290" s="69">
        <v>45737</v>
      </c>
      <c r="C1290" s="55">
        <v>5209.4750000000004</v>
      </c>
      <c r="D1290" s="70">
        <f t="shared" si="41"/>
        <v>2.5969585030725679</v>
      </c>
      <c r="E1290" s="180">
        <v>-1.4758945214603341E-3</v>
      </c>
      <c r="G1290" s="78">
        <v>1288</v>
      </c>
      <c r="H1290" s="180">
        <f t="shared" ca="1" si="42"/>
        <v>6.0500035320381106E-3</v>
      </c>
    </row>
    <row r="1291" spans="2:8" x14ac:dyDescent="0.3">
      <c r="B1291" s="69">
        <v>44907</v>
      </c>
      <c r="C1291" s="55">
        <v>1448.3</v>
      </c>
      <c r="D1291" s="70">
        <f t="shared" si="41"/>
        <v>-0.82184417054149139</v>
      </c>
      <c r="E1291" s="180">
        <v>-1.4822985969872046E-3</v>
      </c>
      <c r="G1291" s="78">
        <v>1289</v>
      </c>
      <c r="H1291" s="180">
        <f t="shared" ca="1" si="42"/>
        <v>3.1741860121001025E-2</v>
      </c>
    </row>
    <row r="1292" spans="2:8" x14ac:dyDescent="0.3">
      <c r="B1292" s="69">
        <v>45576</v>
      </c>
      <c r="C1292" s="55">
        <v>8129.4</v>
      </c>
      <c r="D1292" s="70">
        <f t="shared" si="41"/>
        <v>29.220817843866168</v>
      </c>
      <c r="E1292" s="180">
        <v>-1.4831464814423342E-3</v>
      </c>
      <c r="G1292" s="78">
        <v>1290</v>
      </c>
      <c r="H1292" s="180">
        <f t="shared" ca="1" si="42"/>
        <v>1.7836996179985437E-2</v>
      </c>
    </row>
    <row r="1293" spans="2:8" x14ac:dyDescent="0.3">
      <c r="B1293" s="69">
        <v>42832</v>
      </c>
      <c r="C1293" s="55">
        <v>269</v>
      </c>
      <c r="D1293" s="70">
        <f t="shared" si="41"/>
        <v>-0.94342083123001852</v>
      </c>
      <c r="E1293" s="180">
        <v>-1.4847809948031823E-3</v>
      </c>
      <c r="G1293" s="78">
        <v>1291</v>
      </c>
      <c r="H1293" s="180">
        <f t="shared" ca="1" si="42"/>
        <v>1.7520732738316683E-2</v>
      </c>
    </row>
    <row r="1294" spans="2:8" x14ac:dyDescent="0.3">
      <c r="B1294" s="69">
        <v>45960</v>
      </c>
      <c r="C1294" s="55">
        <v>4754.3999999999996</v>
      </c>
      <c r="D1294" s="70">
        <f t="shared" si="41"/>
        <v>6.1810595476343311</v>
      </c>
      <c r="E1294" s="180">
        <v>-1.4911267457734672E-3</v>
      </c>
      <c r="G1294" s="78">
        <v>1292</v>
      </c>
      <c r="H1294" s="180">
        <f t="shared" ca="1" si="42"/>
        <v>-2.6358786030759678E-2</v>
      </c>
    </row>
    <row r="1295" spans="2:8" x14ac:dyDescent="0.3">
      <c r="B1295" s="69">
        <v>44224</v>
      </c>
      <c r="C1295" s="55">
        <v>662.07500000000005</v>
      </c>
      <c r="D1295" s="70">
        <f t="shared" si="41"/>
        <v>-0.53911348566854045</v>
      </c>
      <c r="E1295" s="180">
        <v>-1.5081250235644535E-3</v>
      </c>
      <c r="G1295" s="78">
        <v>1293</v>
      </c>
      <c r="H1295" s="180">
        <f t="shared" ca="1" si="42"/>
        <v>3.4805515913225851E-2</v>
      </c>
    </row>
    <row r="1296" spans="2:8" x14ac:dyDescent="0.3">
      <c r="B1296" s="69">
        <v>44820</v>
      </c>
      <c r="C1296" s="55">
        <v>1436.5250000000001</v>
      </c>
      <c r="D1296" s="70">
        <f t="shared" si="41"/>
        <v>0.66519836554901923</v>
      </c>
      <c r="E1296" s="180">
        <v>-1.5464813205907273E-3</v>
      </c>
      <c r="G1296" s="78">
        <v>1294</v>
      </c>
      <c r="H1296" s="180">
        <f t="shared" ca="1" si="42"/>
        <v>2.4012265880213768E-2</v>
      </c>
    </row>
    <row r="1297" spans="2:8" x14ac:dyDescent="0.3">
      <c r="B1297" s="69">
        <v>44362</v>
      </c>
      <c r="C1297" s="55">
        <v>862.67499999999995</v>
      </c>
      <c r="D1297" s="70">
        <f t="shared" si="41"/>
        <v>-0.37790477564044783</v>
      </c>
      <c r="E1297" s="180">
        <v>-1.562454790081332E-3</v>
      </c>
      <c r="G1297" s="78">
        <v>1295</v>
      </c>
      <c r="H1297" s="180">
        <f t="shared" ca="1" si="42"/>
        <v>2.8550441054508303E-2</v>
      </c>
    </row>
    <row r="1298" spans="2:8" x14ac:dyDescent="0.3">
      <c r="B1298" s="69">
        <v>45040</v>
      </c>
      <c r="C1298" s="55">
        <v>1386.7249999999999</v>
      </c>
      <c r="D1298" s="70">
        <f t="shared" si="41"/>
        <v>-0.33818932397928747</v>
      </c>
      <c r="E1298" s="180">
        <v>-1.5659874721003541E-3</v>
      </c>
      <c r="G1298" s="78">
        <v>1296</v>
      </c>
      <c r="H1298" s="180">
        <f t="shared" ca="1" si="42"/>
        <v>2.1354672618432938E-2</v>
      </c>
    </row>
    <row r="1299" spans="2:8" x14ac:dyDescent="0.3">
      <c r="B1299" s="69">
        <v>45216</v>
      </c>
      <c r="C1299" s="55">
        <v>2095.35</v>
      </c>
      <c r="D1299" s="70">
        <f t="shared" si="41"/>
        <v>3.3996850393700786</v>
      </c>
      <c r="E1299" s="180">
        <v>-1.6200119118523365E-3</v>
      </c>
      <c r="G1299" s="78">
        <v>1297</v>
      </c>
      <c r="H1299" s="180">
        <f t="shared" ca="1" si="42"/>
        <v>1.6318601335185881E-2</v>
      </c>
    </row>
    <row r="1300" spans="2:8" x14ac:dyDescent="0.3">
      <c r="B1300" s="69">
        <v>43706</v>
      </c>
      <c r="C1300" s="55">
        <v>476.25</v>
      </c>
      <c r="D1300" s="70">
        <f t="shared" si="41"/>
        <v>0.59001752775227456</v>
      </c>
      <c r="E1300" s="180">
        <v>-1.624652795975006E-3</v>
      </c>
      <c r="G1300" s="78">
        <v>1298</v>
      </c>
      <c r="H1300" s="180">
        <f t="shared" ca="1" si="42"/>
        <v>-3.0120429674644303E-2</v>
      </c>
    </row>
    <row r="1301" spans="2:8" x14ac:dyDescent="0.3">
      <c r="B1301" s="69">
        <v>42978</v>
      </c>
      <c r="C1301" s="55">
        <v>299.52499999999998</v>
      </c>
      <c r="D1301" s="70">
        <f t="shared" si="41"/>
        <v>-0.6725608089641979</v>
      </c>
      <c r="E1301" s="180">
        <v>-1.6665277893508875E-3</v>
      </c>
      <c r="G1301" s="78">
        <v>1299</v>
      </c>
      <c r="H1301" s="180">
        <f t="shared" ca="1" si="42"/>
        <v>5.0848115694435928E-3</v>
      </c>
    </row>
    <row r="1302" spans="2:8" x14ac:dyDescent="0.3">
      <c r="B1302" s="69">
        <v>44265</v>
      </c>
      <c r="C1302" s="55">
        <v>914.75</v>
      </c>
      <c r="D1302" s="70">
        <f t="shared" si="41"/>
        <v>2.0540021701026627</v>
      </c>
      <c r="E1302" s="180">
        <v>-1.691585725199121E-3</v>
      </c>
      <c r="G1302" s="78">
        <v>1300</v>
      </c>
      <c r="H1302" s="180">
        <f t="shared" ca="1" si="42"/>
        <v>5.3770965040357043E-3</v>
      </c>
    </row>
    <row r="1303" spans="2:8" x14ac:dyDescent="0.3">
      <c r="B1303" s="69">
        <v>43040</v>
      </c>
      <c r="C1303" s="55">
        <v>299.52499999999998</v>
      </c>
      <c r="D1303" s="70">
        <f t="shared" si="41"/>
        <v>-0.82281869269446906</v>
      </c>
      <c r="E1303" s="180">
        <v>-1.7497083819362684E-3</v>
      </c>
      <c r="G1303" s="78">
        <v>1301</v>
      </c>
      <c r="H1303" s="180">
        <f t="shared" ca="1" si="42"/>
        <v>-2.5857640548173955E-2</v>
      </c>
    </row>
    <row r="1304" spans="2:8" x14ac:dyDescent="0.3">
      <c r="B1304" s="69">
        <v>45118</v>
      </c>
      <c r="C1304" s="55">
        <v>1690.5</v>
      </c>
      <c r="D1304" s="70">
        <f t="shared" si="41"/>
        <v>4.6823529411764708</v>
      </c>
      <c r="E1304" s="180">
        <v>-1.7567427921876078E-3</v>
      </c>
      <c r="G1304" s="78">
        <v>1302</v>
      </c>
      <c r="H1304" s="180">
        <f t="shared" ca="1" si="42"/>
        <v>9.9030039167540933E-3</v>
      </c>
    </row>
    <row r="1305" spans="2:8" x14ac:dyDescent="0.3">
      <c r="B1305" s="69">
        <v>42976</v>
      </c>
      <c r="C1305" s="55">
        <v>297.5</v>
      </c>
      <c r="D1305" s="70">
        <f t="shared" si="41"/>
        <v>-0.95862049780584324</v>
      </c>
      <c r="E1305" s="180">
        <v>-1.7615971814444334E-3</v>
      </c>
      <c r="G1305" s="78">
        <v>1303</v>
      </c>
      <c r="H1305" s="180">
        <f t="shared" ca="1" si="42"/>
        <v>7.2791448836993615E-3</v>
      </c>
    </row>
    <row r="1306" spans="2:8" x14ac:dyDescent="0.3">
      <c r="B1306" s="69">
        <v>45537</v>
      </c>
      <c r="C1306" s="55">
        <v>7189.55</v>
      </c>
      <c r="D1306" s="70">
        <f t="shared" si="41"/>
        <v>-6.644375913001134E-2</v>
      </c>
      <c r="E1306" s="180">
        <v>-1.7841275130511295E-3</v>
      </c>
      <c r="G1306" s="78">
        <v>1304</v>
      </c>
      <c r="H1306" s="180">
        <f t="shared" ca="1" si="42"/>
        <v>-1.0173780929397067E-2</v>
      </c>
    </row>
    <row r="1307" spans="2:8" x14ac:dyDescent="0.3">
      <c r="B1307" s="69">
        <v>45586</v>
      </c>
      <c r="C1307" s="55">
        <v>7701.25</v>
      </c>
      <c r="D1307" s="70">
        <f t="shared" si="41"/>
        <v>0.57684058579333419</v>
      </c>
      <c r="E1307" s="180">
        <v>-1.7887116739360317E-3</v>
      </c>
      <c r="G1307" s="78">
        <v>1305</v>
      </c>
      <c r="H1307" s="180">
        <f t="shared" ca="1" si="42"/>
        <v>1.7282841974592997E-2</v>
      </c>
    </row>
    <row r="1308" spans="2:8" x14ac:dyDescent="0.3">
      <c r="B1308" s="69">
        <v>45727</v>
      </c>
      <c r="C1308" s="55">
        <v>4883.9750000000004</v>
      </c>
      <c r="D1308" s="70">
        <f t="shared" si="41"/>
        <v>12.519653979238756</v>
      </c>
      <c r="E1308" s="180">
        <v>-1.803670699803756E-3</v>
      </c>
      <c r="G1308" s="78">
        <v>1306</v>
      </c>
      <c r="H1308" s="180">
        <f t="shared" ca="1" si="42"/>
        <v>-2.6740573525551887E-2</v>
      </c>
    </row>
    <row r="1309" spans="2:8" x14ac:dyDescent="0.3">
      <c r="B1309" s="69">
        <v>43587</v>
      </c>
      <c r="C1309" s="55">
        <v>361.25</v>
      </c>
      <c r="D1309" s="70">
        <f t="shared" si="41"/>
        <v>1.2755817213344418E-2</v>
      </c>
      <c r="E1309" s="180">
        <v>-1.865027284658455E-3</v>
      </c>
      <c r="G1309" s="78">
        <v>1307</v>
      </c>
      <c r="H1309" s="180">
        <f t="shared" ca="1" si="42"/>
        <v>2.2509785870893251E-2</v>
      </c>
    </row>
    <row r="1310" spans="2:8" x14ac:dyDescent="0.3">
      <c r="B1310" s="69">
        <v>43577</v>
      </c>
      <c r="C1310" s="55">
        <v>356.70000000000005</v>
      </c>
      <c r="D1310" s="70">
        <f t="shared" si="41"/>
        <v>3.5166690111128342E-3</v>
      </c>
      <c r="E1310" s="180">
        <v>-1.8887722980061687E-3</v>
      </c>
      <c r="G1310" s="78">
        <v>1308</v>
      </c>
      <c r="H1310" s="180">
        <f t="shared" ca="1" si="42"/>
        <v>1.7239043608920736E-2</v>
      </c>
    </row>
    <row r="1311" spans="2:8" x14ac:dyDescent="0.3">
      <c r="B1311" s="69">
        <v>43581</v>
      </c>
      <c r="C1311" s="55">
        <v>355.45</v>
      </c>
      <c r="D1311" s="70">
        <f t="shared" si="41"/>
        <v>-0.60626955775248537</v>
      </c>
      <c r="E1311" s="180">
        <v>-1.8954018954019274E-3</v>
      </c>
      <c r="G1311" s="78">
        <v>1309</v>
      </c>
      <c r="H1311" s="180">
        <f t="shared" ca="1" si="42"/>
        <v>2.4649193634244688E-2</v>
      </c>
    </row>
    <row r="1312" spans="2:8" x14ac:dyDescent="0.3">
      <c r="B1312" s="69">
        <v>44384</v>
      </c>
      <c r="C1312" s="55">
        <v>902.77500000000009</v>
      </c>
      <c r="D1312" s="70">
        <f t="shared" si="41"/>
        <v>-0.43426288579038064</v>
      </c>
      <c r="E1312" s="180">
        <v>-1.907131011608523E-3</v>
      </c>
      <c r="G1312" s="78">
        <v>1310</v>
      </c>
      <c r="H1312" s="180">
        <f t="shared" ca="1" si="42"/>
        <v>-2.0770753672121639E-2</v>
      </c>
    </row>
    <row r="1313" spans="2:8" x14ac:dyDescent="0.3">
      <c r="B1313" s="69">
        <v>45083</v>
      </c>
      <c r="C1313" s="55">
        <v>1595.75</v>
      </c>
      <c r="D1313" s="70">
        <f t="shared" si="41"/>
        <v>-0.54668124937857765</v>
      </c>
      <c r="E1313" s="180">
        <v>-1.9076807605703993E-3</v>
      </c>
      <c r="G1313" s="78">
        <v>1311</v>
      </c>
      <c r="H1313" s="180">
        <f t="shared" ca="1" si="42"/>
        <v>-2.0187106684502257E-3</v>
      </c>
    </row>
    <row r="1314" spans="2:8" x14ac:dyDescent="0.3">
      <c r="B1314" s="69">
        <v>46097</v>
      </c>
      <c r="C1314" s="55">
        <v>3520.15</v>
      </c>
      <c r="D1314" s="70">
        <f t="shared" si="41"/>
        <v>-0.13497075735980735</v>
      </c>
      <c r="E1314" s="180">
        <v>-1.9138620318125113E-3</v>
      </c>
      <c r="G1314" s="78">
        <v>1312</v>
      </c>
      <c r="H1314" s="180">
        <f t="shared" ca="1" si="42"/>
        <v>1.6804542788809711E-2</v>
      </c>
    </row>
    <row r="1315" spans="2:8" x14ac:dyDescent="0.3">
      <c r="B1315" s="69">
        <v>45401</v>
      </c>
      <c r="C1315" s="55">
        <v>4069.4</v>
      </c>
      <c r="D1315" s="70">
        <f t="shared" si="41"/>
        <v>-0.1894836428820395</v>
      </c>
      <c r="E1315" s="180">
        <v>-1.9253173094610115E-3</v>
      </c>
      <c r="G1315" s="78">
        <v>1313</v>
      </c>
      <c r="H1315" s="180">
        <f t="shared" ca="1" si="42"/>
        <v>-1.0839929078948946E-2</v>
      </c>
    </row>
    <row r="1316" spans="2:8" x14ac:dyDescent="0.3">
      <c r="B1316" s="69">
        <v>45869</v>
      </c>
      <c r="C1316" s="55">
        <v>5020.75</v>
      </c>
      <c r="D1316" s="70">
        <f t="shared" si="41"/>
        <v>3.0985714285714288</v>
      </c>
      <c r="E1316" s="180">
        <v>-1.9381771195706192E-3</v>
      </c>
      <c r="G1316" s="78">
        <v>1314</v>
      </c>
      <c r="H1316" s="180">
        <f t="shared" ca="1" si="42"/>
        <v>2.4639065241197611E-3</v>
      </c>
    </row>
    <row r="1317" spans="2:8" x14ac:dyDescent="0.3">
      <c r="B1317" s="69">
        <v>44965</v>
      </c>
      <c r="C1317" s="55">
        <v>1225</v>
      </c>
      <c r="D1317" s="70">
        <f t="shared" si="41"/>
        <v>-0.40484143275315498</v>
      </c>
      <c r="E1317" s="180">
        <v>-1.9553527782304797E-3</v>
      </c>
      <c r="G1317" s="78">
        <v>1315</v>
      </c>
      <c r="H1317" s="180">
        <f t="shared" ca="1" si="42"/>
        <v>7.0980996374600371E-3</v>
      </c>
    </row>
    <row r="1318" spans="2:8" x14ac:dyDescent="0.3">
      <c r="B1318" s="69">
        <v>45169</v>
      </c>
      <c r="C1318" s="55">
        <v>2058.2750000000001</v>
      </c>
      <c r="D1318" s="70">
        <f t="shared" si="41"/>
        <v>0.3703333832659243</v>
      </c>
      <c r="E1318" s="180">
        <v>-1.9759012776685908E-3</v>
      </c>
      <c r="G1318" s="78">
        <v>1316</v>
      </c>
      <c r="H1318" s="180">
        <f t="shared" ca="1" si="42"/>
        <v>-4.7604866401460146E-2</v>
      </c>
    </row>
    <row r="1319" spans="2:8" x14ac:dyDescent="0.3">
      <c r="B1319" s="69">
        <v>44874</v>
      </c>
      <c r="C1319" s="55">
        <v>1502.0250000000001</v>
      </c>
      <c r="D1319" s="70">
        <f t="shared" si="41"/>
        <v>0.75270573820706566</v>
      </c>
      <c r="E1319" s="180">
        <v>-1.9767441860464511E-3</v>
      </c>
      <c r="G1319" s="78">
        <v>1317</v>
      </c>
      <c r="H1319" s="180">
        <f t="shared" ca="1" si="42"/>
        <v>2.7301974575674209E-2</v>
      </c>
    </row>
    <row r="1320" spans="2:8" x14ac:dyDescent="0.3">
      <c r="B1320" s="69">
        <v>44356</v>
      </c>
      <c r="C1320" s="55">
        <v>856.97500000000002</v>
      </c>
      <c r="D1320" s="70">
        <f t="shared" si="41"/>
        <v>2.4040714995034755</v>
      </c>
      <c r="E1320" s="180">
        <v>-1.9797944507525338E-3</v>
      </c>
      <c r="G1320" s="78">
        <v>1318</v>
      </c>
      <c r="H1320" s="180">
        <f t="shared" ca="1" si="42"/>
        <v>-8.954946758599305E-3</v>
      </c>
    </row>
    <row r="1321" spans="2:8" x14ac:dyDescent="0.3">
      <c r="B1321" s="69">
        <v>42857</v>
      </c>
      <c r="C1321" s="55">
        <v>251.75</v>
      </c>
      <c r="D1321" s="70">
        <f t="shared" si="41"/>
        <v>0.18596160640678361</v>
      </c>
      <c r="E1321" s="180">
        <v>-1.9821605550049554E-3</v>
      </c>
      <c r="G1321" s="78">
        <v>1319</v>
      </c>
      <c r="H1321" s="180">
        <f t="shared" ca="1" si="42"/>
        <v>1.7748213333852417E-2</v>
      </c>
    </row>
    <row r="1322" spans="2:8" x14ac:dyDescent="0.3">
      <c r="B1322" s="69">
        <v>42754</v>
      </c>
      <c r="C1322" s="55">
        <v>212.27500000000001</v>
      </c>
      <c r="D1322" s="70">
        <f t="shared" si="41"/>
        <v>-0.74139611378449166</v>
      </c>
      <c r="E1322" s="180">
        <v>-1.9981194170191961E-3</v>
      </c>
      <c r="G1322" s="78">
        <v>1320</v>
      </c>
      <c r="H1322" s="180">
        <f t="shared" ca="1" si="42"/>
        <v>-2.4357177868963693E-2</v>
      </c>
    </row>
    <row r="1323" spans="2:8" x14ac:dyDescent="0.3">
      <c r="B1323" s="69">
        <v>44341</v>
      </c>
      <c r="C1323" s="55">
        <v>820.84999999999991</v>
      </c>
      <c r="D1323" s="70">
        <f t="shared" si="41"/>
        <v>-0.80310626049412326</v>
      </c>
      <c r="E1323" s="180">
        <v>-2.0060790273557336E-3</v>
      </c>
      <c r="G1323" s="78">
        <v>1321</v>
      </c>
      <c r="H1323" s="180">
        <f t="shared" ca="1" si="42"/>
        <v>1.5415884713133529E-2</v>
      </c>
    </row>
    <row r="1324" spans="2:8" x14ac:dyDescent="0.3">
      <c r="B1324" s="69">
        <v>46071</v>
      </c>
      <c r="C1324" s="55">
        <v>4169</v>
      </c>
      <c r="D1324" s="70">
        <f t="shared" si="41"/>
        <v>-4.7303473491773308E-2</v>
      </c>
      <c r="E1324" s="180">
        <v>-2.0227650839626612E-3</v>
      </c>
      <c r="G1324" s="78">
        <v>1322</v>
      </c>
      <c r="H1324" s="180">
        <f t="shared" ca="1" si="42"/>
        <v>-2.0026034834318265E-2</v>
      </c>
    </row>
    <row r="1325" spans="2:8" x14ac:dyDescent="0.3">
      <c r="B1325" s="69">
        <v>45982</v>
      </c>
      <c r="C1325" s="55">
        <v>4376</v>
      </c>
      <c r="D1325" s="70">
        <f t="shared" si="41"/>
        <v>-0.22052012825080156</v>
      </c>
      <c r="E1325" s="180">
        <v>-2.0410723041313418E-3</v>
      </c>
      <c r="G1325" s="78">
        <v>1323</v>
      </c>
      <c r="H1325" s="180">
        <f t="shared" ca="1" si="42"/>
        <v>-8.5623020164964456E-3</v>
      </c>
    </row>
    <row r="1326" spans="2:8" x14ac:dyDescent="0.3">
      <c r="B1326" s="69">
        <v>45811</v>
      </c>
      <c r="C1326" s="55">
        <v>5614</v>
      </c>
      <c r="D1326" s="70">
        <f t="shared" si="41"/>
        <v>21.14814084229214</v>
      </c>
      <c r="E1326" s="180">
        <v>-2.0442627322015822E-3</v>
      </c>
      <c r="G1326" s="78">
        <v>1324</v>
      </c>
      <c r="H1326" s="180">
        <f t="shared" ca="1" si="42"/>
        <v>1.1963323142537263E-2</v>
      </c>
    </row>
    <row r="1327" spans="2:8" x14ac:dyDescent="0.3">
      <c r="B1327" s="69">
        <v>42900</v>
      </c>
      <c r="C1327" s="55">
        <v>253.47499999999999</v>
      </c>
      <c r="D1327" s="70">
        <f t="shared" si="41"/>
        <v>-0.94549041956086954</v>
      </c>
      <c r="E1327" s="180">
        <v>-2.0669291338582902E-3</v>
      </c>
      <c r="G1327" s="78">
        <v>1325</v>
      </c>
      <c r="H1327" s="180">
        <f t="shared" ca="1" si="42"/>
        <v>-1.958207566247552E-2</v>
      </c>
    </row>
    <row r="1328" spans="2:8" x14ac:dyDescent="0.3">
      <c r="B1328" s="69">
        <v>45442</v>
      </c>
      <c r="C1328" s="55">
        <v>4650.1000000000004</v>
      </c>
      <c r="D1328" s="70">
        <f t="shared" si="41"/>
        <v>-2.0495101563420587E-3</v>
      </c>
      <c r="E1328" s="180">
        <v>-2.0816344049100427E-3</v>
      </c>
      <c r="G1328" s="78">
        <v>1326</v>
      </c>
      <c r="H1328" s="180">
        <f t="shared" ca="1" si="42"/>
        <v>-1.966101105090878E-2</v>
      </c>
    </row>
    <row r="1329" spans="2:8" x14ac:dyDescent="0.3">
      <c r="B1329" s="69">
        <v>45968</v>
      </c>
      <c r="C1329" s="55">
        <v>4659.6499999999996</v>
      </c>
      <c r="D1329" s="70">
        <f t="shared" si="41"/>
        <v>2.0236360981782195</v>
      </c>
      <c r="E1329" s="180">
        <v>-2.1201186409826526E-3</v>
      </c>
      <c r="G1329" s="78">
        <v>1327</v>
      </c>
      <c r="H1329" s="180">
        <f t="shared" ca="1" si="42"/>
        <v>3.8084753622585739E-2</v>
      </c>
    </row>
    <row r="1330" spans="2:8" x14ac:dyDescent="0.3">
      <c r="B1330" s="69">
        <v>44867</v>
      </c>
      <c r="C1330" s="55">
        <v>1541.075</v>
      </c>
      <c r="D1330" s="70">
        <f t="shared" si="41"/>
        <v>5.3294999486600272</v>
      </c>
      <c r="E1330" s="180">
        <v>-2.1367867260218242E-3</v>
      </c>
      <c r="G1330" s="78">
        <v>1328</v>
      </c>
      <c r="H1330" s="180">
        <f t="shared" ca="1" si="42"/>
        <v>1.726763257831786E-2</v>
      </c>
    </row>
    <row r="1331" spans="2:8" x14ac:dyDescent="0.3">
      <c r="B1331" s="69">
        <v>42817</v>
      </c>
      <c r="C1331" s="55">
        <v>243.47499999999999</v>
      </c>
      <c r="D1331" s="70">
        <f t="shared" si="41"/>
        <v>-0.56227246168367107</v>
      </c>
      <c r="E1331" s="180">
        <v>-2.1516393442623182E-3</v>
      </c>
      <c r="G1331" s="78">
        <v>1329</v>
      </c>
      <c r="H1331" s="180">
        <f t="shared" ca="1" si="42"/>
        <v>-2.3608858960449753E-3</v>
      </c>
    </row>
    <row r="1332" spans="2:8" x14ac:dyDescent="0.3">
      <c r="B1332" s="69">
        <v>44048</v>
      </c>
      <c r="C1332" s="55">
        <v>556.22499999999991</v>
      </c>
      <c r="D1332" s="70">
        <f t="shared" si="41"/>
        <v>-0.57427959129003869</v>
      </c>
      <c r="E1332" s="180">
        <v>-2.1527559761403696E-3</v>
      </c>
      <c r="G1332" s="78">
        <v>1330</v>
      </c>
      <c r="H1332" s="180">
        <f t="shared" ca="1" si="42"/>
        <v>2.9792902843257642E-3</v>
      </c>
    </row>
    <row r="1333" spans="2:8" x14ac:dyDescent="0.3">
      <c r="B1333" s="69">
        <v>44777</v>
      </c>
      <c r="C1333" s="55">
        <v>1306.55</v>
      </c>
      <c r="D1333" s="70">
        <f t="shared" si="41"/>
        <v>-0.54590715173210769</v>
      </c>
      <c r="E1333" s="180">
        <v>-2.1575178997613712E-3</v>
      </c>
      <c r="G1333" s="78">
        <v>1331</v>
      </c>
      <c r="H1333" s="180">
        <f t="shared" ca="1" si="42"/>
        <v>-1.6579567701453839E-2</v>
      </c>
    </row>
    <row r="1334" spans="2:8" x14ac:dyDescent="0.3">
      <c r="B1334" s="69">
        <v>45267</v>
      </c>
      <c r="C1334" s="55">
        <v>2877.2750000000001</v>
      </c>
      <c r="D1334" s="70">
        <f t="shared" si="41"/>
        <v>1.8555726478761414</v>
      </c>
      <c r="E1334" s="180">
        <v>-2.1674859763655754E-3</v>
      </c>
      <c r="G1334" s="78">
        <v>1332</v>
      </c>
      <c r="H1334" s="180">
        <f t="shared" ca="1" si="42"/>
        <v>-3.3815060884438393E-3</v>
      </c>
    </row>
    <row r="1335" spans="2:8" x14ac:dyDescent="0.3">
      <c r="B1335" s="69">
        <v>44446</v>
      </c>
      <c r="C1335" s="55">
        <v>1007.6</v>
      </c>
      <c r="D1335" s="70">
        <f t="shared" si="41"/>
        <v>2.148504023123194</v>
      </c>
      <c r="E1335" s="180">
        <v>-2.1786492374726994E-3</v>
      </c>
      <c r="G1335" s="78">
        <v>1333</v>
      </c>
      <c r="H1335" s="180">
        <f t="shared" ca="1" si="42"/>
        <v>3.1592515419812065E-3</v>
      </c>
    </row>
    <row r="1336" spans="2:8" x14ac:dyDescent="0.3">
      <c r="B1336" s="69">
        <v>43145</v>
      </c>
      <c r="C1336" s="55">
        <v>320.02499999999998</v>
      </c>
      <c r="D1336" s="70">
        <f t="shared" si="41"/>
        <v>-0.92701657962553308</v>
      </c>
      <c r="E1336" s="180">
        <v>-2.18255514849184E-3</v>
      </c>
      <c r="G1336" s="78">
        <v>1334</v>
      </c>
      <c r="H1336" s="180">
        <f t="shared" ca="1" si="42"/>
        <v>-1.1946338170485345E-2</v>
      </c>
    </row>
    <row r="1337" spans="2:8" x14ac:dyDescent="0.3">
      <c r="B1337" s="69">
        <v>45979</v>
      </c>
      <c r="C1337" s="55">
        <v>4384.8999999999996</v>
      </c>
      <c r="D1337" s="70">
        <f t="shared" si="41"/>
        <v>1.1468298653610769</v>
      </c>
      <c r="E1337" s="180">
        <v>-2.1959017419304694E-3</v>
      </c>
      <c r="G1337" s="78">
        <v>1335</v>
      </c>
      <c r="H1337" s="180">
        <f t="shared" ca="1" si="42"/>
        <v>-9.7057444949402143E-3</v>
      </c>
    </row>
    <row r="1338" spans="2:8" x14ac:dyDescent="0.3">
      <c r="B1338" s="69">
        <v>45219</v>
      </c>
      <c r="C1338" s="55">
        <v>2042.5</v>
      </c>
      <c r="D1338" s="70">
        <f t="shared" si="41"/>
        <v>-0.5659796005099873</v>
      </c>
      <c r="E1338" s="180">
        <v>-2.1983390327308255E-3</v>
      </c>
      <c r="G1338" s="78">
        <v>1336</v>
      </c>
      <c r="H1338" s="180">
        <f t="shared" ca="1" si="42"/>
        <v>1.481042349864514E-2</v>
      </c>
    </row>
    <row r="1339" spans="2:8" x14ac:dyDescent="0.3">
      <c r="B1339" s="69">
        <v>45930</v>
      </c>
      <c r="C1339" s="55">
        <v>4706</v>
      </c>
      <c r="D1339" s="70">
        <f t="shared" si="41"/>
        <v>22.421674754261538</v>
      </c>
      <c r="E1339" s="180">
        <v>-2.2262270751616663E-3</v>
      </c>
      <c r="G1339" s="78">
        <v>1337</v>
      </c>
      <c r="H1339" s="180">
        <f t="shared" ca="1" si="42"/>
        <v>-1.0362900370214754E-2</v>
      </c>
    </row>
    <row r="1340" spans="2:8" x14ac:dyDescent="0.3">
      <c r="B1340" s="69">
        <v>42745</v>
      </c>
      <c r="C1340" s="55">
        <v>200.92500000000001</v>
      </c>
      <c r="D1340" s="70">
        <f t="shared" si="41"/>
        <v>-0.95729928752450621</v>
      </c>
      <c r="E1340" s="180">
        <v>-2.2346368715083233E-3</v>
      </c>
      <c r="G1340" s="78">
        <v>1338</v>
      </c>
      <c r="H1340" s="180">
        <f t="shared" ca="1" si="42"/>
        <v>-6.7693333577950659E-3</v>
      </c>
    </row>
    <row r="1341" spans="2:8" x14ac:dyDescent="0.3">
      <c r="B1341" s="69">
        <v>45439</v>
      </c>
      <c r="C1341" s="55">
        <v>4705.4250000000002</v>
      </c>
      <c r="D1341" s="70">
        <f t="shared" si="41"/>
        <v>18.308268362741078</v>
      </c>
      <c r="E1341" s="180">
        <v>-2.242366412213702E-3</v>
      </c>
      <c r="G1341" s="78">
        <v>1339</v>
      </c>
      <c r="H1341" s="180">
        <f t="shared" ca="1" si="42"/>
        <v>-2.2841408840227487E-3</v>
      </c>
    </row>
    <row r="1342" spans="2:8" x14ac:dyDescent="0.3">
      <c r="B1342" s="69">
        <v>42878</v>
      </c>
      <c r="C1342" s="55">
        <v>243.7</v>
      </c>
      <c r="D1342" s="70">
        <f t="shared" si="41"/>
        <v>-0.18454073950142222</v>
      </c>
      <c r="E1342" s="180">
        <v>-2.251791197543547E-3</v>
      </c>
      <c r="G1342" s="78">
        <v>1340</v>
      </c>
      <c r="H1342" s="180">
        <f t="shared" ca="1" si="42"/>
        <v>3.1462436042306127E-2</v>
      </c>
    </row>
    <row r="1343" spans="2:8" x14ac:dyDescent="0.3">
      <c r="B1343" s="69">
        <v>43041</v>
      </c>
      <c r="C1343" s="55">
        <v>298.85000000000002</v>
      </c>
      <c r="D1343" s="70">
        <f t="shared" si="41"/>
        <v>-0.93927664329980687</v>
      </c>
      <c r="E1343" s="180">
        <v>-2.253568149570001E-3</v>
      </c>
      <c r="G1343" s="78">
        <v>1341</v>
      </c>
      <c r="H1343" s="180">
        <f t="shared" ca="1" si="42"/>
        <v>2.1285581745877972E-2</v>
      </c>
    </row>
    <row r="1344" spans="2:8" x14ac:dyDescent="0.3">
      <c r="B1344" s="69">
        <v>45924</v>
      </c>
      <c r="C1344" s="55">
        <v>4921.5</v>
      </c>
      <c r="D1344" s="70">
        <f t="shared" si="41"/>
        <v>11.215189873417723</v>
      </c>
      <c r="E1344" s="180">
        <v>-2.280675079823628E-3</v>
      </c>
      <c r="G1344" s="78">
        <v>1342</v>
      </c>
      <c r="H1344" s="180">
        <f t="shared" ca="1" si="42"/>
        <v>-3.3508070362024717E-2</v>
      </c>
    </row>
    <row r="1345" spans="2:8" x14ac:dyDescent="0.3">
      <c r="B1345" s="69">
        <v>43676</v>
      </c>
      <c r="C1345" s="55">
        <v>402.9</v>
      </c>
      <c r="D1345" s="70">
        <f t="shared" si="41"/>
        <v>-0.70376089114370799</v>
      </c>
      <c r="E1345" s="180">
        <v>-2.290596174085478E-3</v>
      </c>
      <c r="G1345" s="78">
        <v>1343</v>
      </c>
      <c r="H1345" s="180">
        <f t="shared" ca="1" si="42"/>
        <v>-1.8920771802049173E-2</v>
      </c>
    </row>
    <row r="1346" spans="2:8" x14ac:dyDescent="0.3">
      <c r="B1346" s="69">
        <v>45035</v>
      </c>
      <c r="C1346" s="55">
        <v>1360.0500000000002</v>
      </c>
      <c r="D1346" s="70">
        <f t="shared" si="41"/>
        <v>-4.9481077681098461E-2</v>
      </c>
      <c r="E1346" s="180">
        <v>-2.3107394366196181E-3</v>
      </c>
      <c r="G1346" s="78">
        <v>1344</v>
      </c>
      <c r="H1346" s="180">
        <f t="shared" ca="1" si="42"/>
        <v>5.1400926930624622E-3</v>
      </c>
    </row>
    <row r="1347" spans="2:8" x14ac:dyDescent="0.3">
      <c r="B1347" s="69">
        <v>44859</v>
      </c>
      <c r="C1347" s="55">
        <v>1430.85</v>
      </c>
      <c r="D1347" s="70">
        <f t="shared" ref="D1347:D1410" si="43">(C1347-C1348)/C1348</f>
        <v>0.6474008404812619</v>
      </c>
      <c r="E1347" s="180">
        <v>-2.3184060522600421E-3</v>
      </c>
      <c r="G1347" s="78">
        <v>1345</v>
      </c>
      <c r="H1347" s="180">
        <f t="shared" ca="1" si="42"/>
        <v>-4.9939113609673682E-3</v>
      </c>
    </row>
    <row r="1348" spans="2:8" x14ac:dyDescent="0.3">
      <c r="B1348" s="69">
        <v>44376</v>
      </c>
      <c r="C1348" s="55">
        <v>868.55</v>
      </c>
      <c r="D1348" s="70">
        <f t="shared" si="43"/>
        <v>-0.86368309124153464</v>
      </c>
      <c r="E1348" s="180">
        <v>-2.3260488757431475E-3</v>
      </c>
      <c r="G1348" s="78">
        <v>1346</v>
      </c>
      <c r="H1348" s="180">
        <f t="shared" ref="H1348:H1411" ca="1" si="44">_xlfn.NORM.INV(RAND(),$N$4,$N$5)</f>
        <v>-3.8672051673718753E-2</v>
      </c>
    </row>
    <row r="1349" spans="2:8" x14ac:dyDescent="0.3">
      <c r="B1349" s="69">
        <v>45518</v>
      </c>
      <c r="C1349" s="55">
        <v>6371.55</v>
      </c>
      <c r="D1349" s="70">
        <f t="shared" si="43"/>
        <v>4.2436424985597903</v>
      </c>
      <c r="E1349" s="180">
        <v>-2.3408752838017409E-3</v>
      </c>
      <c r="G1349" s="78">
        <v>1347</v>
      </c>
      <c r="H1349" s="180">
        <f t="shared" ca="1" si="44"/>
        <v>-3.2847216761842501E-3</v>
      </c>
    </row>
    <row r="1350" spans="2:8" x14ac:dyDescent="0.3">
      <c r="B1350" s="69">
        <v>44763</v>
      </c>
      <c r="C1350" s="55">
        <v>1215.0999999999999</v>
      </c>
      <c r="D1350" s="70">
        <f t="shared" si="43"/>
        <v>3.4766132294394257E-2</v>
      </c>
      <c r="E1350" s="180">
        <v>-2.3809523809524558E-3</v>
      </c>
      <c r="G1350" s="78">
        <v>1348</v>
      </c>
      <c r="H1350" s="180">
        <f t="shared" ca="1" si="44"/>
        <v>4.5800575531610883E-3</v>
      </c>
    </row>
    <row r="1351" spans="2:8" x14ac:dyDescent="0.3">
      <c r="B1351" s="69">
        <v>44582</v>
      </c>
      <c r="C1351" s="55">
        <v>1174.2750000000001</v>
      </c>
      <c r="D1351" s="70">
        <f t="shared" si="43"/>
        <v>-0.74742972060310153</v>
      </c>
      <c r="E1351" s="180">
        <v>-2.3999660181801192E-3</v>
      </c>
      <c r="G1351" s="78">
        <v>1349</v>
      </c>
      <c r="H1351" s="180">
        <f t="shared" ca="1" si="44"/>
        <v>1.6458480987082674E-2</v>
      </c>
    </row>
    <row r="1352" spans="2:8" x14ac:dyDescent="0.3">
      <c r="B1352" s="69">
        <v>45944</v>
      </c>
      <c r="C1352" s="55">
        <v>4649.3</v>
      </c>
      <c r="D1352" s="70">
        <f t="shared" si="43"/>
        <v>13.025037707390648</v>
      </c>
      <c r="E1352" s="180">
        <v>-2.403175624932908E-3</v>
      </c>
      <c r="G1352" s="78">
        <v>1350</v>
      </c>
      <c r="H1352" s="180">
        <f t="shared" ca="1" si="44"/>
        <v>-2.6960581476268369E-2</v>
      </c>
    </row>
    <row r="1353" spans="2:8" x14ac:dyDescent="0.3">
      <c r="B1353" s="69">
        <v>43242</v>
      </c>
      <c r="C1353" s="55">
        <v>331.5</v>
      </c>
      <c r="D1353" s="70">
        <f t="shared" si="43"/>
        <v>0.33602015113350125</v>
      </c>
      <c r="E1353" s="180">
        <v>-2.4074631357207683E-3</v>
      </c>
      <c r="G1353" s="78">
        <v>1351</v>
      </c>
      <c r="H1353" s="180">
        <f t="shared" ca="1" si="44"/>
        <v>-1.2511156539139838E-2</v>
      </c>
    </row>
    <row r="1354" spans="2:8" x14ac:dyDescent="0.3">
      <c r="B1354" s="69">
        <v>42762</v>
      </c>
      <c r="C1354" s="55">
        <v>248.125</v>
      </c>
      <c r="D1354" s="70">
        <f t="shared" si="43"/>
        <v>-0.87927699998783648</v>
      </c>
      <c r="E1354" s="180">
        <v>-2.4123027439943486E-3</v>
      </c>
      <c r="G1354" s="78">
        <v>1352</v>
      </c>
      <c r="H1354" s="180">
        <f t="shared" ca="1" si="44"/>
        <v>2.4294935755571446E-2</v>
      </c>
    </row>
    <row r="1355" spans="2:8" x14ac:dyDescent="0.3">
      <c r="B1355" s="69">
        <v>45189</v>
      </c>
      <c r="C1355" s="55">
        <v>2055.3249999999998</v>
      </c>
      <c r="D1355" s="70">
        <f t="shared" si="43"/>
        <v>2.2452927012197526</v>
      </c>
      <c r="E1355" s="180">
        <v>-2.426801596835451E-3</v>
      </c>
      <c r="G1355" s="78">
        <v>1353</v>
      </c>
      <c r="H1355" s="180">
        <f t="shared" ca="1" si="44"/>
        <v>3.3805958566039622E-2</v>
      </c>
    </row>
    <row r="1356" spans="2:8" x14ac:dyDescent="0.3">
      <c r="B1356" s="69">
        <v>44075</v>
      </c>
      <c r="C1356" s="55">
        <v>633.32500000000005</v>
      </c>
      <c r="D1356" s="70">
        <f t="shared" si="43"/>
        <v>-1.4126712328767018E-2</v>
      </c>
      <c r="E1356" s="180">
        <v>-2.4414254774561208E-3</v>
      </c>
      <c r="G1356" s="78">
        <v>1354</v>
      </c>
      <c r="H1356" s="180">
        <f t="shared" ca="1" si="44"/>
        <v>-3.7736608546970835E-2</v>
      </c>
    </row>
    <row r="1357" spans="2:8" x14ac:dyDescent="0.3">
      <c r="B1357" s="69">
        <v>44083</v>
      </c>
      <c r="C1357" s="55">
        <v>642.4</v>
      </c>
      <c r="D1357" s="70">
        <f t="shared" si="43"/>
        <v>0.15779039380012608</v>
      </c>
      <c r="E1357" s="180">
        <v>-2.4457471175123964E-3</v>
      </c>
      <c r="G1357" s="78">
        <v>1355</v>
      </c>
      <c r="H1357" s="180">
        <f t="shared" ca="1" si="44"/>
        <v>2.8647482218461815E-3</v>
      </c>
    </row>
    <row r="1358" spans="2:8" x14ac:dyDescent="0.3">
      <c r="B1358" s="69">
        <v>44049</v>
      </c>
      <c r="C1358" s="55">
        <v>554.85</v>
      </c>
      <c r="D1358" s="70">
        <f t="shared" si="43"/>
        <v>1.2956143980140673</v>
      </c>
      <c r="E1358" s="180">
        <v>-2.4720212144364001E-3</v>
      </c>
      <c r="G1358" s="78">
        <v>1356</v>
      </c>
      <c r="H1358" s="180">
        <f t="shared" ca="1" si="44"/>
        <v>-2.9347215826821281E-2</v>
      </c>
    </row>
    <row r="1359" spans="2:8" x14ac:dyDescent="0.3">
      <c r="B1359" s="69">
        <v>42804</v>
      </c>
      <c r="C1359" s="55">
        <v>241.7</v>
      </c>
      <c r="D1359" s="70">
        <f t="shared" si="43"/>
        <v>-0.83127694106560091</v>
      </c>
      <c r="E1359" s="180">
        <v>-2.4762690879076461E-3</v>
      </c>
      <c r="G1359" s="78">
        <v>1357</v>
      </c>
      <c r="H1359" s="180">
        <f t="shared" ca="1" si="44"/>
        <v>-9.4559731871883563E-3</v>
      </c>
    </row>
    <row r="1360" spans="2:8" x14ac:dyDescent="0.3">
      <c r="B1360" s="69">
        <v>44893</v>
      </c>
      <c r="C1360" s="55">
        <v>1432.5250000000001</v>
      </c>
      <c r="D1360" s="70">
        <f t="shared" si="43"/>
        <v>2.8866580750186532</v>
      </c>
      <c r="E1360" s="180">
        <v>-2.4893809623284021E-3</v>
      </c>
      <c r="G1360" s="78">
        <v>1358</v>
      </c>
      <c r="H1360" s="180">
        <f t="shared" ca="1" si="44"/>
        <v>-1.6101857258216605E-2</v>
      </c>
    </row>
    <row r="1361" spans="2:8" x14ac:dyDescent="0.3">
      <c r="B1361" s="69">
        <v>43335</v>
      </c>
      <c r="C1361" s="55">
        <v>368.57499999999999</v>
      </c>
      <c r="D1361" s="70">
        <f t="shared" si="43"/>
        <v>4.6337308347529499E-3</v>
      </c>
      <c r="E1361" s="180">
        <v>-2.5033829499323717E-3</v>
      </c>
      <c r="G1361" s="78">
        <v>1359</v>
      </c>
      <c r="H1361" s="180">
        <f t="shared" ca="1" si="44"/>
        <v>1.8392388270319821E-2</v>
      </c>
    </row>
    <row r="1362" spans="2:8" x14ac:dyDescent="0.3">
      <c r="B1362" s="69">
        <v>43343</v>
      </c>
      <c r="C1362" s="55">
        <v>366.875</v>
      </c>
      <c r="D1362" s="70">
        <f t="shared" si="43"/>
        <v>-0.90556628056628052</v>
      </c>
      <c r="E1362" s="180">
        <v>-2.5149537792278722E-3</v>
      </c>
      <c r="G1362" s="78">
        <v>1360</v>
      </c>
      <c r="H1362" s="180">
        <f t="shared" ca="1" si="44"/>
        <v>1.0563123428414669E-2</v>
      </c>
    </row>
    <row r="1363" spans="2:8" x14ac:dyDescent="0.3">
      <c r="B1363" s="69">
        <v>46080</v>
      </c>
      <c r="C1363" s="55">
        <v>3885</v>
      </c>
      <c r="D1363" s="70">
        <f t="shared" si="43"/>
        <v>3.2694653552392987</v>
      </c>
      <c r="E1363" s="180">
        <v>-2.5161754133717217E-3</v>
      </c>
      <c r="G1363" s="78">
        <v>1361</v>
      </c>
      <c r="H1363" s="180">
        <f t="shared" ca="1" si="44"/>
        <v>-7.6501869220557467E-3</v>
      </c>
    </row>
    <row r="1364" spans="2:8" x14ac:dyDescent="0.3">
      <c r="B1364" s="69">
        <v>44389</v>
      </c>
      <c r="C1364" s="55">
        <v>909.95</v>
      </c>
      <c r="D1364" s="70">
        <f t="shared" si="43"/>
        <v>-0.29559529338906948</v>
      </c>
      <c r="E1364" s="180">
        <v>-2.5212386955329731E-3</v>
      </c>
      <c r="G1364" s="78">
        <v>1362</v>
      </c>
      <c r="H1364" s="180">
        <f t="shared" ca="1" si="44"/>
        <v>7.354167424373931E-3</v>
      </c>
    </row>
    <row r="1365" spans="2:8" x14ac:dyDescent="0.3">
      <c r="B1365" s="69">
        <v>44987</v>
      </c>
      <c r="C1365" s="55">
        <v>1291.8</v>
      </c>
      <c r="D1365" s="70">
        <f t="shared" si="43"/>
        <v>1.8348081433160451E-2</v>
      </c>
      <c r="E1365" s="180">
        <v>-2.5288110727178666E-3</v>
      </c>
      <c r="G1365" s="78">
        <v>1363</v>
      </c>
      <c r="H1365" s="180">
        <f t="shared" ca="1" si="44"/>
        <v>4.3707024114549256E-2</v>
      </c>
    </row>
    <row r="1366" spans="2:8" x14ac:dyDescent="0.3">
      <c r="B1366" s="69">
        <v>44650</v>
      </c>
      <c r="C1366" s="55">
        <v>1268.5250000000001</v>
      </c>
      <c r="D1366" s="70">
        <f t="shared" si="43"/>
        <v>1.0497273278125632</v>
      </c>
      <c r="E1366" s="180">
        <v>-2.5358757617455546E-3</v>
      </c>
      <c r="G1366" s="78">
        <v>1364</v>
      </c>
      <c r="H1366" s="180">
        <f t="shared" ca="1" si="44"/>
        <v>4.3456156342203733E-2</v>
      </c>
    </row>
    <row r="1367" spans="2:8" x14ac:dyDescent="0.3">
      <c r="B1367" s="69">
        <v>44032</v>
      </c>
      <c r="C1367" s="55">
        <v>618.875</v>
      </c>
      <c r="D1367" s="70">
        <f t="shared" si="43"/>
        <v>0.18871548619447778</v>
      </c>
      <c r="E1367" s="180">
        <v>-2.5384801353856802E-3</v>
      </c>
      <c r="G1367" s="78">
        <v>1365</v>
      </c>
      <c r="H1367" s="180">
        <f t="shared" ca="1" si="44"/>
        <v>2.858033741375042E-2</v>
      </c>
    </row>
    <row r="1368" spans="2:8" x14ac:dyDescent="0.3">
      <c r="B1368" s="69">
        <v>43998</v>
      </c>
      <c r="C1368" s="55">
        <v>520.625</v>
      </c>
      <c r="D1368" s="70">
        <f t="shared" si="43"/>
        <v>0.57157950343370323</v>
      </c>
      <c r="E1368" s="180">
        <v>-2.5385573330779679E-3</v>
      </c>
      <c r="G1368" s="78">
        <v>1366</v>
      </c>
      <c r="H1368" s="180">
        <f t="shared" ca="1" si="44"/>
        <v>7.8036206007959922E-4</v>
      </c>
    </row>
    <row r="1369" spans="2:8" x14ac:dyDescent="0.3">
      <c r="B1369" s="69">
        <v>43420</v>
      </c>
      <c r="C1369" s="55">
        <v>331.27499999999998</v>
      </c>
      <c r="D1369" s="70">
        <f t="shared" si="43"/>
        <v>0.33457548595024666</v>
      </c>
      <c r="E1369" s="180">
        <v>-2.5592773805043966E-3</v>
      </c>
      <c r="G1369" s="78">
        <v>1367</v>
      </c>
      <c r="H1369" s="180">
        <f t="shared" ca="1" si="44"/>
        <v>9.2500839578331003E-3</v>
      </c>
    </row>
    <row r="1370" spans="2:8" x14ac:dyDescent="0.3">
      <c r="B1370" s="69">
        <v>42794</v>
      </c>
      <c r="C1370" s="55">
        <v>248.22499999999999</v>
      </c>
      <c r="D1370" s="70">
        <f t="shared" si="43"/>
        <v>-0.75905164045816342</v>
      </c>
      <c r="E1370" s="180">
        <v>-2.6117528879960046E-3</v>
      </c>
      <c r="G1370" s="78">
        <v>1368</v>
      </c>
      <c r="H1370" s="180">
        <f t="shared" ca="1" si="44"/>
        <v>-4.0854209529294435E-4</v>
      </c>
    </row>
    <row r="1371" spans="2:8" x14ac:dyDescent="0.3">
      <c r="B1371" s="69">
        <v>44614</v>
      </c>
      <c r="C1371" s="55">
        <v>1030.2</v>
      </c>
      <c r="D1371" s="70">
        <f t="shared" si="43"/>
        <v>-0.25186543454185656</v>
      </c>
      <c r="E1371" s="180">
        <v>-2.613999419111284E-3</v>
      </c>
      <c r="G1371" s="78">
        <v>1369</v>
      </c>
      <c r="H1371" s="180">
        <f t="shared" ca="1" si="44"/>
        <v>1.8949246437243477E-2</v>
      </c>
    </row>
    <row r="1372" spans="2:8" x14ac:dyDescent="0.3">
      <c r="B1372" s="69">
        <v>45042</v>
      </c>
      <c r="C1372" s="55">
        <v>1377.0250000000001</v>
      </c>
      <c r="D1372" s="70">
        <f t="shared" si="43"/>
        <v>1.0767258605738417</v>
      </c>
      <c r="E1372" s="180">
        <v>-2.6797515797858506E-3</v>
      </c>
      <c r="G1372" s="78">
        <v>1370</v>
      </c>
      <c r="H1372" s="180">
        <f t="shared" ca="1" si="44"/>
        <v>-1.6876034167668745E-2</v>
      </c>
    </row>
    <row r="1373" spans="2:8" x14ac:dyDescent="0.3">
      <c r="B1373" s="69">
        <v>44223</v>
      </c>
      <c r="C1373" s="55">
        <v>663.07500000000005</v>
      </c>
      <c r="D1373" s="70">
        <f t="shared" si="43"/>
        <v>1.2126470342871445</v>
      </c>
      <c r="E1373" s="180">
        <v>-2.7447736501728559E-3</v>
      </c>
      <c r="G1373" s="78">
        <v>1371</v>
      </c>
      <c r="H1373" s="180">
        <f t="shared" ca="1" si="44"/>
        <v>1.09819961060976E-2</v>
      </c>
    </row>
    <row r="1374" spans="2:8" x14ac:dyDescent="0.3">
      <c r="B1374" s="69">
        <v>43045</v>
      </c>
      <c r="C1374" s="55">
        <v>299.67500000000001</v>
      </c>
      <c r="D1374" s="70">
        <f t="shared" si="43"/>
        <v>-0.1314397507426997</v>
      </c>
      <c r="E1374" s="180">
        <v>-2.7454242928452201E-3</v>
      </c>
      <c r="G1374" s="78">
        <v>1372</v>
      </c>
      <c r="H1374" s="180">
        <f t="shared" ca="1" si="44"/>
        <v>2.057744669630154E-2</v>
      </c>
    </row>
    <row r="1375" spans="2:8" x14ac:dyDescent="0.3">
      <c r="B1375" s="69">
        <v>43564</v>
      </c>
      <c r="C1375" s="55">
        <v>345.02499999999998</v>
      </c>
      <c r="D1375" s="70">
        <f t="shared" si="43"/>
        <v>-0.76446393828719661</v>
      </c>
      <c r="E1375" s="180">
        <v>-2.7458631404004494E-3</v>
      </c>
      <c r="G1375" s="78">
        <v>1373</v>
      </c>
      <c r="H1375" s="180">
        <f t="shared" ca="1" si="44"/>
        <v>1.5784844028834542E-2</v>
      </c>
    </row>
    <row r="1376" spans="2:8" x14ac:dyDescent="0.3">
      <c r="B1376" s="69">
        <v>44900</v>
      </c>
      <c r="C1376" s="55">
        <v>1464.85</v>
      </c>
      <c r="D1376" s="70">
        <f t="shared" si="43"/>
        <v>-0.72873148148148148</v>
      </c>
      <c r="E1376" s="180">
        <v>-2.7571652256792034E-3</v>
      </c>
      <c r="G1376" s="78">
        <v>1374</v>
      </c>
      <c r="H1376" s="180">
        <f t="shared" ca="1" si="44"/>
        <v>1.8979756244078747E-2</v>
      </c>
    </row>
    <row r="1377" spans="2:8" x14ac:dyDescent="0.3">
      <c r="B1377" s="69">
        <v>45856</v>
      </c>
      <c r="C1377" s="55">
        <v>5400</v>
      </c>
      <c r="D1377" s="70">
        <f t="shared" si="43"/>
        <v>-0.26080811468425208</v>
      </c>
      <c r="E1377" s="180">
        <v>-2.7700831024930748E-3</v>
      </c>
      <c r="G1377" s="78">
        <v>1375</v>
      </c>
      <c r="H1377" s="180">
        <f t="shared" ca="1" si="44"/>
        <v>6.3934531537293386E-3</v>
      </c>
    </row>
    <row r="1378" spans="2:8" x14ac:dyDescent="0.3">
      <c r="B1378" s="69">
        <v>45594</v>
      </c>
      <c r="C1378" s="55">
        <v>7305.2749999999996</v>
      </c>
      <c r="D1378" s="70">
        <f t="shared" si="43"/>
        <v>0.15512116061193021</v>
      </c>
      <c r="E1378" s="180">
        <v>-2.7711135303372337E-3</v>
      </c>
      <c r="G1378" s="78">
        <v>1376</v>
      </c>
      <c r="H1378" s="180">
        <f t="shared" ca="1" si="44"/>
        <v>-8.5463875116080744E-3</v>
      </c>
    </row>
    <row r="1379" spans="2:8" x14ac:dyDescent="0.3">
      <c r="B1379" s="69">
        <v>45673</v>
      </c>
      <c r="C1379" s="55">
        <v>6324.25</v>
      </c>
      <c r="D1379" s="70">
        <f t="shared" si="43"/>
        <v>9.335430625919269</v>
      </c>
      <c r="E1379" s="180">
        <v>-2.7752154339822548E-3</v>
      </c>
      <c r="G1379" s="78">
        <v>1377</v>
      </c>
      <c r="H1379" s="180">
        <f t="shared" ca="1" si="44"/>
        <v>-3.6529016563215388E-3</v>
      </c>
    </row>
    <row r="1380" spans="2:8" x14ac:dyDescent="0.3">
      <c r="B1380" s="69">
        <v>44064</v>
      </c>
      <c r="C1380" s="55">
        <v>611.9</v>
      </c>
      <c r="D1380" s="70">
        <f t="shared" si="43"/>
        <v>0.11365911365911352</v>
      </c>
      <c r="E1380" s="180">
        <v>-2.8111631696883647E-3</v>
      </c>
      <c r="G1380" s="78">
        <v>1378</v>
      </c>
      <c r="H1380" s="180">
        <f t="shared" ca="1" si="44"/>
        <v>2.6921340114069246E-2</v>
      </c>
    </row>
    <row r="1381" spans="2:8" x14ac:dyDescent="0.3">
      <c r="B1381" s="69">
        <v>43843</v>
      </c>
      <c r="C1381" s="55">
        <v>549.45000000000005</v>
      </c>
      <c r="D1381" s="70">
        <f t="shared" si="43"/>
        <v>-0.58261959473574254</v>
      </c>
      <c r="E1381" s="180">
        <v>-2.8130671506351262E-3</v>
      </c>
      <c r="G1381" s="78">
        <v>1379</v>
      </c>
      <c r="H1381" s="180">
        <f t="shared" ca="1" si="44"/>
        <v>-1.8009117649861808E-2</v>
      </c>
    </row>
    <row r="1382" spans="2:8" x14ac:dyDescent="0.3">
      <c r="B1382" s="69">
        <v>44783</v>
      </c>
      <c r="C1382" s="55">
        <v>1316.425</v>
      </c>
      <c r="D1382" s="70">
        <f t="shared" si="43"/>
        <v>2.7620204329499178</v>
      </c>
      <c r="E1382" s="180">
        <v>-2.878297259936719E-3</v>
      </c>
      <c r="G1382" s="78">
        <v>1380</v>
      </c>
      <c r="H1382" s="180">
        <f t="shared" ca="1" si="44"/>
        <v>8.5764928063212012E-4</v>
      </c>
    </row>
    <row r="1383" spans="2:8" x14ac:dyDescent="0.3">
      <c r="B1383" s="69">
        <v>43220</v>
      </c>
      <c r="C1383" s="55">
        <v>349.92500000000001</v>
      </c>
      <c r="D1383" s="70">
        <f t="shared" si="43"/>
        <v>3.0251729721772515E-2</v>
      </c>
      <c r="E1383" s="180">
        <v>-2.9206439663770735E-3</v>
      </c>
      <c r="G1383" s="78">
        <v>1381</v>
      </c>
      <c r="H1383" s="180">
        <f t="shared" ca="1" si="44"/>
        <v>-3.5593210518984845E-3</v>
      </c>
    </row>
    <row r="1384" spans="2:8" x14ac:dyDescent="0.3">
      <c r="B1384" s="69">
        <v>43228</v>
      </c>
      <c r="C1384" s="55">
        <v>339.65</v>
      </c>
      <c r="D1384" s="70">
        <f t="shared" si="43"/>
        <v>-0.57781230577998755</v>
      </c>
      <c r="E1384" s="180">
        <v>-2.9355643622486424E-3</v>
      </c>
      <c r="G1384" s="78">
        <v>1382</v>
      </c>
      <c r="H1384" s="180">
        <f t="shared" ca="1" si="44"/>
        <v>1.2762529276331643E-2</v>
      </c>
    </row>
    <row r="1385" spans="2:8" x14ac:dyDescent="0.3">
      <c r="B1385" s="69">
        <v>44253</v>
      </c>
      <c r="C1385" s="55">
        <v>804.5</v>
      </c>
      <c r="D1385" s="70">
        <f t="shared" si="43"/>
        <v>-0.5295871827856391</v>
      </c>
      <c r="E1385" s="180">
        <v>-2.9434546862896981E-3</v>
      </c>
      <c r="G1385" s="78">
        <v>1383</v>
      </c>
      <c r="H1385" s="180">
        <f t="shared" ca="1" si="44"/>
        <v>7.2430282540091179E-3</v>
      </c>
    </row>
    <row r="1386" spans="2:8" x14ac:dyDescent="0.3">
      <c r="B1386" s="69">
        <v>45134</v>
      </c>
      <c r="C1386" s="55">
        <v>1710.2</v>
      </c>
      <c r="D1386" s="70">
        <f t="shared" si="43"/>
        <v>5.8067661691542289</v>
      </c>
      <c r="E1386" s="180">
        <v>-2.9587092448732973E-3</v>
      </c>
      <c r="G1386" s="78">
        <v>1384</v>
      </c>
      <c r="H1386" s="180">
        <f t="shared" ca="1" si="44"/>
        <v>-1.8350084600219949E-2</v>
      </c>
    </row>
    <row r="1387" spans="2:8" x14ac:dyDescent="0.3">
      <c r="B1387" s="69">
        <v>42893</v>
      </c>
      <c r="C1387" s="55">
        <v>251.25</v>
      </c>
      <c r="D1387" s="70">
        <f t="shared" si="43"/>
        <v>-0.93381975266367268</v>
      </c>
      <c r="E1387" s="180">
        <v>-2.976190476190476E-3</v>
      </c>
      <c r="G1387" s="78">
        <v>1385</v>
      </c>
      <c r="H1387" s="180">
        <f t="shared" ca="1" si="44"/>
        <v>5.1206079384745709E-2</v>
      </c>
    </row>
    <row r="1388" spans="2:8" x14ac:dyDescent="0.3">
      <c r="B1388" s="69">
        <v>46052</v>
      </c>
      <c r="C1388" s="55">
        <v>3796.45</v>
      </c>
      <c r="D1388" s="70">
        <f t="shared" si="43"/>
        <v>0.27553883111865202</v>
      </c>
      <c r="E1388" s="180">
        <v>-2.9938154076447577E-3</v>
      </c>
      <c r="G1388" s="78">
        <v>1386</v>
      </c>
      <c r="H1388" s="180">
        <f t="shared" ca="1" si="44"/>
        <v>2.429020590795496E-2</v>
      </c>
    </row>
    <row r="1389" spans="2:8" x14ac:dyDescent="0.3">
      <c r="B1389" s="69">
        <v>45280</v>
      </c>
      <c r="C1389" s="55">
        <v>2976.35</v>
      </c>
      <c r="D1389" s="70">
        <f t="shared" si="43"/>
        <v>7.9784313725490197</v>
      </c>
      <c r="E1389" s="180">
        <v>-2.9980236492145756E-3</v>
      </c>
      <c r="G1389" s="78">
        <v>1387</v>
      </c>
      <c r="H1389" s="180">
        <f t="shared" ca="1" si="44"/>
        <v>-2.9499975593595733E-2</v>
      </c>
    </row>
    <row r="1390" spans="2:8" x14ac:dyDescent="0.3">
      <c r="B1390" s="69">
        <v>43095</v>
      </c>
      <c r="C1390" s="55">
        <v>331.5</v>
      </c>
      <c r="D1390" s="70">
        <f t="shared" si="43"/>
        <v>0.22099447513812154</v>
      </c>
      <c r="E1390" s="180">
        <v>-3.0075187969924814E-3</v>
      </c>
      <c r="G1390" s="78">
        <v>1388</v>
      </c>
      <c r="H1390" s="180">
        <f t="shared" ca="1" si="44"/>
        <v>2.7608124335822787E-2</v>
      </c>
    </row>
    <row r="1391" spans="2:8" x14ac:dyDescent="0.3">
      <c r="B1391" s="69">
        <v>42830</v>
      </c>
      <c r="C1391" s="55">
        <v>271.5</v>
      </c>
      <c r="D1391" s="70">
        <f t="shared" si="43"/>
        <v>-0.73787110789283128</v>
      </c>
      <c r="E1391" s="180">
        <v>-3.0294684659874977E-3</v>
      </c>
      <c r="G1391" s="78">
        <v>1389</v>
      </c>
      <c r="H1391" s="180">
        <f t="shared" ca="1" si="44"/>
        <v>-2.0052279069538766E-2</v>
      </c>
    </row>
    <row r="1392" spans="2:8" x14ac:dyDescent="0.3">
      <c r="B1392" s="69">
        <v>44560</v>
      </c>
      <c r="C1392" s="55">
        <v>1035.75</v>
      </c>
      <c r="D1392" s="70">
        <f t="shared" si="43"/>
        <v>2.0666173205033309</v>
      </c>
      <c r="E1392" s="180">
        <v>-3.0800327253477505E-3</v>
      </c>
      <c r="G1392" s="78">
        <v>1390</v>
      </c>
      <c r="H1392" s="180">
        <f t="shared" ca="1" si="44"/>
        <v>8.0528114792651883E-3</v>
      </c>
    </row>
    <row r="1393" spans="2:8" x14ac:dyDescent="0.3">
      <c r="B1393" s="69">
        <v>43182</v>
      </c>
      <c r="C1393" s="55">
        <v>337.75</v>
      </c>
      <c r="D1393" s="70">
        <f t="shared" si="43"/>
        <v>-5.9454191033138461E-2</v>
      </c>
      <c r="E1393" s="180">
        <v>-3.0991735537190417E-3</v>
      </c>
      <c r="G1393" s="78">
        <v>1391</v>
      </c>
      <c r="H1393" s="180">
        <f t="shared" ca="1" si="44"/>
        <v>-1.5576134188143858E-2</v>
      </c>
    </row>
    <row r="1394" spans="2:8" x14ac:dyDescent="0.3">
      <c r="B1394" s="69">
        <v>43355</v>
      </c>
      <c r="C1394" s="55">
        <v>359.1</v>
      </c>
      <c r="D1394" s="70">
        <f t="shared" si="43"/>
        <v>-0.70743034055727549</v>
      </c>
      <c r="E1394" s="180">
        <v>-3.1230480949406619E-3</v>
      </c>
      <c r="G1394" s="78">
        <v>1392</v>
      </c>
      <c r="H1394" s="180">
        <f t="shared" ca="1" si="44"/>
        <v>-4.8563894072093911E-2</v>
      </c>
    </row>
    <row r="1395" spans="2:8" x14ac:dyDescent="0.3">
      <c r="B1395" s="69">
        <v>44964</v>
      </c>
      <c r="C1395" s="55">
        <v>1227.4000000000001</v>
      </c>
      <c r="D1395" s="70">
        <f t="shared" si="43"/>
        <v>3.828006686989871</v>
      </c>
      <c r="E1395" s="180">
        <v>-3.1269035532994183E-3</v>
      </c>
      <c r="G1395" s="78">
        <v>1393</v>
      </c>
      <c r="H1395" s="180">
        <f t="shared" ca="1" si="44"/>
        <v>-2.8468378228172506E-4</v>
      </c>
    </row>
    <row r="1396" spans="2:8" x14ac:dyDescent="0.3">
      <c r="B1396" s="69">
        <v>42860</v>
      </c>
      <c r="C1396" s="55">
        <v>254.22500000000002</v>
      </c>
      <c r="D1396" s="70">
        <f t="shared" si="43"/>
        <v>-0.83306246408930484</v>
      </c>
      <c r="E1396" s="180">
        <v>-3.1369473581020798E-3</v>
      </c>
      <c r="G1396" s="78">
        <v>1394</v>
      </c>
      <c r="H1396" s="180">
        <f t="shared" ca="1" si="44"/>
        <v>-4.4014091085036386E-3</v>
      </c>
    </row>
    <row r="1397" spans="2:8" x14ac:dyDescent="0.3">
      <c r="B1397" s="69">
        <v>44869</v>
      </c>
      <c r="C1397" s="55">
        <v>1522.875</v>
      </c>
      <c r="D1397" s="70">
        <f t="shared" si="43"/>
        <v>3.6706793436589482</v>
      </c>
      <c r="E1397" s="180">
        <v>-3.2072785586883478E-3</v>
      </c>
      <c r="G1397" s="78">
        <v>1395</v>
      </c>
      <c r="H1397" s="180">
        <f t="shared" ca="1" si="44"/>
        <v>2.7904930816828304E-3</v>
      </c>
    </row>
    <row r="1398" spans="2:8" x14ac:dyDescent="0.3">
      <c r="B1398" s="69">
        <v>43300</v>
      </c>
      <c r="C1398" s="55">
        <v>326.05</v>
      </c>
      <c r="D1398" s="70">
        <f t="shared" si="43"/>
        <v>-0.91628474228127599</v>
      </c>
      <c r="E1398" s="180">
        <v>-3.2100275145215875E-3</v>
      </c>
      <c r="G1398" s="78">
        <v>1396</v>
      </c>
      <c r="H1398" s="180">
        <f t="shared" ca="1" si="44"/>
        <v>-8.7220534609399498E-3</v>
      </c>
    </row>
    <row r="1399" spans="2:8" x14ac:dyDescent="0.3">
      <c r="B1399" s="69">
        <v>45378</v>
      </c>
      <c r="C1399" s="55">
        <v>3894.75</v>
      </c>
      <c r="D1399" s="70">
        <f t="shared" si="43"/>
        <v>4.7929572751273568</v>
      </c>
      <c r="E1399" s="180">
        <v>-3.2183143198991175E-3</v>
      </c>
      <c r="G1399" s="78">
        <v>1397</v>
      </c>
      <c r="H1399" s="180">
        <f t="shared" ca="1" si="44"/>
        <v>8.3974505629265256E-3</v>
      </c>
    </row>
    <row r="1400" spans="2:8" x14ac:dyDescent="0.3">
      <c r="B1400" s="69">
        <v>44105</v>
      </c>
      <c r="C1400" s="55">
        <v>672.32500000000005</v>
      </c>
      <c r="D1400" s="70">
        <f t="shared" si="43"/>
        <v>-0.90533133855495906</v>
      </c>
      <c r="E1400" s="180">
        <v>-3.2246108228316597E-3</v>
      </c>
      <c r="G1400" s="78">
        <v>1398</v>
      </c>
      <c r="H1400" s="180">
        <f t="shared" ca="1" si="44"/>
        <v>-8.528095963332863E-4</v>
      </c>
    </row>
    <row r="1401" spans="2:8" x14ac:dyDescent="0.3">
      <c r="B1401" s="69">
        <v>45544</v>
      </c>
      <c r="C1401" s="55">
        <v>7101.875</v>
      </c>
      <c r="D1401" s="70">
        <f t="shared" si="43"/>
        <v>0.72499119515186838</v>
      </c>
      <c r="E1401" s="180">
        <v>-3.2421166390058016E-3</v>
      </c>
      <c r="G1401" s="78">
        <v>1399</v>
      </c>
      <c r="H1401" s="180">
        <f t="shared" ca="1" si="44"/>
        <v>2.7076828872291313E-2</v>
      </c>
    </row>
    <row r="1402" spans="2:8" x14ac:dyDescent="0.3">
      <c r="B1402" s="69">
        <v>46147</v>
      </c>
      <c r="C1402" s="55">
        <v>4117.05</v>
      </c>
      <c r="D1402" s="70">
        <f t="shared" si="43"/>
        <v>12.265828902851618</v>
      </c>
      <c r="E1402" s="180">
        <v>-3.2683298834293478E-3</v>
      </c>
      <c r="G1402" s="78">
        <v>1400</v>
      </c>
      <c r="H1402" s="180">
        <f t="shared" ca="1" si="44"/>
        <v>-1.6616966688883929E-2</v>
      </c>
    </row>
    <row r="1403" spans="2:8" x14ac:dyDescent="0.3">
      <c r="B1403" s="69">
        <v>43285</v>
      </c>
      <c r="C1403" s="55">
        <v>310.35000000000002</v>
      </c>
      <c r="D1403" s="70">
        <f t="shared" si="43"/>
        <v>-0.71220586530659558</v>
      </c>
      <c r="E1403" s="180">
        <v>-3.2918506623845116E-3</v>
      </c>
      <c r="G1403" s="78">
        <v>1401</v>
      </c>
      <c r="H1403" s="180">
        <f t="shared" ca="1" si="44"/>
        <v>1.4930597969464452E-2</v>
      </c>
    </row>
    <row r="1404" spans="2:8" x14ac:dyDescent="0.3">
      <c r="B1404" s="69">
        <v>44571</v>
      </c>
      <c r="C1404" s="55">
        <v>1078.375</v>
      </c>
      <c r="D1404" s="70">
        <f t="shared" si="43"/>
        <v>3.4699481865284976</v>
      </c>
      <c r="E1404" s="180">
        <v>-3.3042192337908827E-3</v>
      </c>
      <c r="G1404" s="78">
        <v>1402</v>
      </c>
      <c r="H1404" s="180">
        <f t="shared" ca="1" si="44"/>
        <v>-3.4964163965553234E-2</v>
      </c>
    </row>
    <row r="1405" spans="2:8" x14ac:dyDescent="0.3">
      <c r="B1405" s="69">
        <v>42797</v>
      </c>
      <c r="C1405" s="55">
        <v>241.25</v>
      </c>
      <c r="D1405" s="70">
        <f t="shared" si="43"/>
        <v>-0.93928488287959533</v>
      </c>
      <c r="E1405" s="180">
        <v>-3.3051022516009556E-3</v>
      </c>
      <c r="G1405" s="78">
        <v>1403</v>
      </c>
      <c r="H1405" s="180">
        <f t="shared" ca="1" si="44"/>
        <v>4.070410005028449E-3</v>
      </c>
    </row>
    <row r="1406" spans="2:8" x14ac:dyDescent="0.3">
      <c r="B1406" s="69">
        <v>45373</v>
      </c>
      <c r="C1406" s="55">
        <v>3973.4749999999999</v>
      </c>
      <c r="D1406" s="70">
        <f t="shared" si="43"/>
        <v>10.514815619792799</v>
      </c>
      <c r="E1406" s="180">
        <v>-3.3172799558531894E-3</v>
      </c>
      <c r="G1406" s="78">
        <v>1404</v>
      </c>
      <c r="H1406" s="180">
        <f t="shared" ca="1" si="44"/>
        <v>-1.781299066091566E-2</v>
      </c>
    </row>
    <row r="1407" spans="2:8" x14ac:dyDescent="0.3">
      <c r="B1407" s="69">
        <v>43194</v>
      </c>
      <c r="C1407" s="55">
        <v>345.07499999999999</v>
      </c>
      <c r="D1407" s="70">
        <f t="shared" si="43"/>
        <v>-0.88724881555301427</v>
      </c>
      <c r="E1407" s="180">
        <v>-3.3215394613330465E-3</v>
      </c>
      <c r="G1407" s="78">
        <v>1405</v>
      </c>
      <c r="H1407" s="180">
        <f t="shared" ca="1" si="44"/>
        <v>1.9663528298778502E-2</v>
      </c>
    </row>
    <row r="1408" spans="2:8" x14ac:dyDescent="0.3">
      <c r="B1408" s="69">
        <v>45299</v>
      </c>
      <c r="C1408" s="55">
        <v>3060.5</v>
      </c>
      <c r="D1408" s="70">
        <f t="shared" si="43"/>
        <v>-0.50296386520503455</v>
      </c>
      <c r="E1408" s="180">
        <v>-3.3460608478316032E-3</v>
      </c>
      <c r="G1408" s="78">
        <v>1406</v>
      </c>
      <c r="H1408" s="180">
        <f t="shared" ca="1" si="44"/>
        <v>-1.4938940313270114E-2</v>
      </c>
    </row>
    <row r="1409" spans="2:8" x14ac:dyDescent="0.3">
      <c r="B1409" s="69">
        <v>45840</v>
      </c>
      <c r="C1409" s="55">
        <v>6157.5</v>
      </c>
      <c r="D1409" s="70">
        <f t="shared" si="43"/>
        <v>17.953443632166216</v>
      </c>
      <c r="E1409" s="180">
        <v>-3.358556225468377E-3</v>
      </c>
      <c r="G1409" s="78">
        <v>1407</v>
      </c>
      <c r="H1409" s="180">
        <f t="shared" ca="1" si="44"/>
        <v>-2.1240673556052424E-2</v>
      </c>
    </row>
    <row r="1410" spans="2:8" x14ac:dyDescent="0.3">
      <c r="B1410" s="69">
        <v>43397</v>
      </c>
      <c r="C1410" s="55">
        <v>324.875</v>
      </c>
      <c r="D1410" s="70">
        <f t="shared" si="43"/>
        <v>-0.73094681049297083</v>
      </c>
      <c r="E1410" s="180">
        <v>-3.3744919088887879E-3</v>
      </c>
      <c r="G1410" s="78">
        <v>1408</v>
      </c>
      <c r="H1410" s="180">
        <f t="shared" ca="1" si="44"/>
        <v>-1.9751862323264004E-2</v>
      </c>
    </row>
    <row r="1411" spans="2:8" x14ac:dyDescent="0.3">
      <c r="B1411" s="69">
        <v>44945</v>
      </c>
      <c r="C1411" s="55">
        <v>1207.4749999999999</v>
      </c>
      <c r="D1411" s="70">
        <f t="shared" ref="D1411:D1474" si="45">(C1411-C1412)/C1412</f>
        <v>-0.82663737746813537</v>
      </c>
      <c r="E1411" s="180">
        <v>-3.3840249262324959E-3</v>
      </c>
      <c r="G1411" s="78">
        <v>1409</v>
      </c>
      <c r="H1411" s="180">
        <f t="shared" ca="1" si="44"/>
        <v>-7.2855107339283463E-3</v>
      </c>
    </row>
    <row r="1412" spans="2:8" x14ac:dyDescent="0.3">
      <c r="B1412" s="69">
        <v>45649</v>
      </c>
      <c r="C1412" s="55">
        <v>6965.0249999999996</v>
      </c>
      <c r="D1412" s="70">
        <f t="shared" si="45"/>
        <v>0.49158377145549342</v>
      </c>
      <c r="E1412" s="180">
        <v>-3.3876114298796891E-3</v>
      </c>
      <c r="G1412" s="78">
        <v>1410</v>
      </c>
      <c r="H1412" s="180">
        <f t="shared" ref="H1412:H1475" ca="1" si="46">_xlfn.NORM.INV(RAND(),$N$4,$N$5)</f>
        <v>-1.363123918033397E-2</v>
      </c>
    </row>
    <row r="1413" spans="2:8" x14ac:dyDescent="0.3">
      <c r="B1413" s="69">
        <v>45967</v>
      </c>
      <c r="C1413" s="55">
        <v>4669.55</v>
      </c>
      <c r="D1413" s="70">
        <f t="shared" si="45"/>
        <v>4.9686201827826419</v>
      </c>
      <c r="E1413" s="180">
        <v>-3.3934840837058634E-3</v>
      </c>
      <c r="G1413" s="78">
        <v>1411</v>
      </c>
      <c r="H1413" s="180">
        <f t="shared" ca="1" si="46"/>
        <v>6.7015620258669459E-2</v>
      </c>
    </row>
    <row r="1414" spans="2:8" x14ac:dyDescent="0.3">
      <c r="B1414" s="69">
        <v>43886</v>
      </c>
      <c r="C1414" s="55">
        <v>782.35</v>
      </c>
      <c r="D1414" s="70">
        <f t="shared" si="45"/>
        <v>1.3817642134104573</v>
      </c>
      <c r="E1414" s="180">
        <v>-3.4075347918856953E-3</v>
      </c>
      <c r="G1414" s="78">
        <v>1412</v>
      </c>
      <c r="H1414" s="180">
        <f t="shared" ca="1" si="46"/>
        <v>-1.5982104555328554E-2</v>
      </c>
    </row>
    <row r="1415" spans="2:8" x14ac:dyDescent="0.3">
      <c r="B1415" s="69">
        <v>43090</v>
      </c>
      <c r="C1415" s="55">
        <v>328.47500000000002</v>
      </c>
      <c r="D1415" s="70">
        <f t="shared" si="45"/>
        <v>-0.95389808385292574</v>
      </c>
      <c r="E1415" s="180">
        <v>-3.4132281553398056E-3</v>
      </c>
      <c r="G1415" s="78">
        <v>1413</v>
      </c>
      <c r="H1415" s="180">
        <f t="shared" ca="1" si="46"/>
        <v>-5.1078328922411001E-3</v>
      </c>
    </row>
    <row r="1416" spans="2:8" x14ac:dyDescent="0.3">
      <c r="B1416" s="69">
        <v>45541</v>
      </c>
      <c r="C1416" s="55">
        <v>7124.9750000000004</v>
      </c>
      <c r="D1416" s="70">
        <f t="shared" si="45"/>
        <v>34.469695084007469</v>
      </c>
      <c r="E1416" s="180">
        <v>-3.4477332727240431E-3</v>
      </c>
      <c r="G1416" s="78">
        <v>1414</v>
      </c>
      <c r="H1416" s="180">
        <f t="shared" ca="1" si="46"/>
        <v>-2.6677838038110614E-2</v>
      </c>
    </row>
    <row r="1417" spans="2:8" x14ac:dyDescent="0.3">
      <c r="B1417" s="69">
        <v>42740</v>
      </c>
      <c r="C1417" s="55">
        <v>200.875</v>
      </c>
      <c r="D1417" s="70">
        <f t="shared" si="45"/>
        <v>-0.38827559954320517</v>
      </c>
      <c r="E1417" s="180">
        <v>-3.4726528587373864E-3</v>
      </c>
      <c r="G1417" s="78">
        <v>1415</v>
      </c>
      <c r="H1417" s="180">
        <f t="shared" ca="1" si="46"/>
        <v>2.6772989025331396E-3</v>
      </c>
    </row>
    <row r="1418" spans="2:8" x14ac:dyDescent="0.3">
      <c r="B1418" s="69">
        <v>43122</v>
      </c>
      <c r="C1418" s="55">
        <v>328.375</v>
      </c>
      <c r="D1418" s="70">
        <f t="shared" si="45"/>
        <v>0.27921698480716794</v>
      </c>
      <c r="E1418" s="180">
        <v>-3.4898717851452161E-3</v>
      </c>
      <c r="G1418" s="78">
        <v>1416</v>
      </c>
      <c r="H1418" s="180">
        <f t="shared" ca="1" si="46"/>
        <v>-1.3697659812365306E-2</v>
      </c>
    </row>
    <row r="1419" spans="2:8" x14ac:dyDescent="0.3">
      <c r="B1419" s="69">
        <v>42933</v>
      </c>
      <c r="C1419" s="55">
        <v>256.7</v>
      </c>
      <c r="D1419" s="70">
        <f t="shared" si="45"/>
        <v>-0.87729738772973875</v>
      </c>
      <c r="E1419" s="180">
        <v>-3.4937888198759083E-3</v>
      </c>
      <c r="G1419" s="78">
        <v>1417</v>
      </c>
      <c r="H1419" s="180">
        <f t="shared" ca="1" si="46"/>
        <v>-1.0628939390192204E-2</v>
      </c>
    </row>
    <row r="1420" spans="2:8" x14ac:dyDescent="0.3">
      <c r="B1420" s="69">
        <v>45180</v>
      </c>
      <c r="C1420" s="55">
        <v>2092.0500000000002</v>
      </c>
      <c r="D1420" s="70">
        <f t="shared" si="45"/>
        <v>-0.48247008256284979</v>
      </c>
      <c r="E1420" s="180">
        <v>-3.5128666182407085E-3</v>
      </c>
      <c r="G1420" s="78">
        <v>1418</v>
      </c>
      <c r="H1420" s="180">
        <f t="shared" ca="1" si="46"/>
        <v>-3.6480060231380985E-2</v>
      </c>
    </row>
    <row r="1421" spans="2:8" x14ac:dyDescent="0.3">
      <c r="B1421" s="69">
        <v>45342</v>
      </c>
      <c r="C1421" s="55">
        <v>4042.375</v>
      </c>
      <c r="D1421" s="70">
        <f t="shared" si="45"/>
        <v>1.7516932711616351</v>
      </c>
      <c r="E1421" s="180">
        <v>-3.5434769211807483E-3</v>
      </c>
      <c r="G1421" s="78">
        <v>1419</v>
      </c>
      <c r="H1421" s="180">
        <f t="shared" ca="1" si="46"/>
        <v>-1.1583436374601774E-2</v>
      </c>
    </row>
    <row r="1422" spans="2:8" x14ac:dyDescent="0.3">
      <c r="B1422" s="69">
        <v>44902</v>
      </c>
      <c r="C1422" s="55">
        <v>1469.05</v>
      </c>
      <c r="D1422" s="70">
        <f t="shared" si="45"/>
        <v>1.2823606466958466E-2</v>
      </c>
      <c r="E1422" s="180">
        <v>-3.5441149039359254E-3</v>
      </c>
      <c r="G1422" s="78">
        <v>1420</v>
      </c>
      <c r="H1422" s="180">
        <f t="shared" ca="1" si="46"/>
        <v>-2.4890919172006164E-2</v>
      </c>
    </row>
    <row r="1423" spans="2:8" x14ac:dyDescent="0.3">
      <c r="B1423" s="69">
        <v>44904</v>
      </c>
      <c r="C1423" s="55">
        <v>1450.45</v>
      </c>
      <c r="D1423" s="70">
        <f t="shared" si="45"/>
        <v>1.471375021298347</v>
      </c>
      <c r="E1423" s="180">
        <v>-3.5551738943752371E-3</v>
      </c>
      <c r="G1423" s="78">
        <v>1421</v>
      </c>
      <c r="H1423" s="180">
        <f t="shared" ca="1" si="46"/>
        <v>3.5847643234031293E-2</v>
      </c>
    </row>
    <row r="1424" spans="2:8" x14ac:dyDescent="0.3">
      <c r="B1424" s="69">
        <v>43860</v>
      </c>
      <c r="C1424" s="55">
        <v>586.90000000000009</v>
      </c>
      <c r="D1424" s="70">
        <f t="shared" si="45"/>
        <v>-0.88939458186101306</v>
      </c>
      <c r="E1424" s="180">
        <v>-3.5653650254667386E-3</v>
      </c>
      <c r="G1424" s="78">
        <v>1422</v>
      </c>
      <c r="H1424" s="180">
        <f t="shared" ca="1" si="46"/>
        <v>5.0602844788011636E-3</v>
      </c>
    </row>
    <row r="1425" spans="2:8" x14ac:dyDescent="0.3">
      <c r="B1425" s="69">
        <v>45877</v>
      </c>
      <c r="C1425" s="55">
        <v>5306.25</v>
      </c>
      <c r="D1425" s="70">
        <f t="shared" si="45"/>
        <v>12.217710798355961</v>
      </c>
      <c r="E1425" s="180">
        <v>-3.5679076099713629E-3</v>
      </c>
      <c r="G1425" s="78">
        <v>1423</v>
      </c>
      <c r="H1425" s="180">
        <f t="shared" ca="1" si="46"/>
        <v>2.5815532677187929E-2</v>
      </c>
    </row>
    <row r="1426" spans="2:8" x14ac:dyDescent="0.3">
      <c r="B1426" s="69">
        <v>43677</v>
      </c>
      <c r="C1426" s="55">
        <v>401.45</v>
      </c>
      <c r="D1426" s="70">
        <f t="shared" si="45"/>
        <v>-0.726346284935242</v>
      </c>
      <c r="E1426" s="180">
        <v>-3.5989079175973906E-3</v>
      </c>
      <c r="G1426" s="78">
        <v>1424</v>
      </c>
      <c r="H1426" s="180">
        <f t="shared" ca="1" si="46"/>
        <v>2.4705754110720693E-2</v>
      </c>
    </row>
    <row r="1427" spans="2:8" x14ac:dyDescent="0.3">
      <c r="B1427" s="69">
        <v>44826</v>
      </c>
      <c r="C1427" s="55">
        <v>1467</v>
      </c>
      <c r="D1427" s="70">
        <f t="shared" si="45"/>
        <v>3.3319060977410304</v>
      </c>
      <c r="E1427" s="180">
        <v>-3.5998098213678971E-3</v>
      </c>
      <c r="G1427" s="78">
        <v>1425</v>
      </c>
      <c r="H1427" s="180">
        <f t="shared" ca="1" si="46"/>
        <v>2.6269372610140628E-2</v>
      </c>
    </row>
    <row r="1428" spans="2:8" x14ac:dyDescent="0.3">
      <c r="B1428" s="69">
        <v>43297</v>
      </c>
      <c r="C1428" s="55">
        <v>338.65</v>
      </c>
      <c r="D1428" s="70">
        <f t="shared" si="45"/>
        <v>-0.93761111264634633</v>
      </c>
      <c r="E1428" s="180">
        <v>-3.6042662743656427E-3</v>
      </c>
      <c r="G1428" s="78">
        <v>1426</v>
      </c>
      <c r="H1428" s="180">
        <f t="shared" ca="1" si="46"/>
        <v>2.0654450342890585E-2</v>
      </c>
    </row>
    <row r="1429" spans="2:8" x14ac:dyDescent="0.3">
      <c r="B1429" s="69">
        <v>45685</v>
      </c>
      <c r="C1429" s="55">
        <v>5428.0499999999993</v>
      </c>
      <c r="D1429" s="70">
        <f t="shared" si="45"/>
        <v>5.1234627675026491E-2</v>
      </c>
      <c r="E1429" s="180">
        <v>-3.6115993373382633E-3</v>
      </c>
      <c r="G1429" s="78">
        <v>1427</v>
      </c>
      <c r="H1429" s="180">
        <f t="shared" ca="1" si="46"/>
        <v>2.889553786145195E-2</v>
      </c>
    </row>
    <row r="1430" spans="2:8" x14ac:dyDescent="0.3">
      <c r="B1430" s="69">
        <v>45912</v>
      </c>
      <c r="C1430" s="55">
        <v>5163.5</v>
      </c>
      <c r="D1430" s="70">
        <f t="shared" si="45"/>
        <v>16.365058012443246</v>
      </c>
      <c r="E1430" s="180">
        <v>-3.6181195426696899E-3</v>
      </c>
      <c r="G1430" s="78">
        <v>1428</v>
      </c>
      <c r="H1430" s="180">
        <f t="shared" ca="1" si="46"/>
        <v>-2.2022153905226799E-2</v>
      </c>
    </row>
    <row r="1431" spans="2:8" x14ac:dyDescent="0.3">
      <c r="B1431" s="69">
        <v>42991</v>
      </c>
      <c r="C1431" s="55">
        <v>297.35000000000002</v>
      </c>
      <c r="D1431" s="70">
        <f t="shared" si="45"/>
        <v>-0.55892605503226278</v>
      </c>
      <c r="E1431" s="180">
        <v>-3.6857094990784584E-3</v>
      </c>
      <c r="G1431" s="78">
        <v>1429</v>
      </c>
      <c r="H1431" s="180">
        <f t="shared" ca="1" si="46"/>
        <v>-3.1606569120178334E-2</v>
      </c>
    </row>
    <row r="1432" spans="2:8" x14ac:dyDescent="0.3">
      <c r="B1432" s="69">
        <v>44111</v>
      </c>
      <c r="C1432" s="55">
        <v>674.15</v>
      </c>
      <c r="D1432" s="70">
        <f t="shared" si="45"/>
        <v>-0.49823229503926175</v>
      </c>
      <c r="E1432" s="180">
        <v>-3.7314811393948017E-3</v>
      </c>
      <c r="G1432" s="78">
        <v>1430</v>
      </c>
      <c r="H1432" s="180">
        <f t="shared" ca="1" si="46"/>
        <v>-1.9774504523033545E-2</v>
      </c>
    </row>
    <row r="1433" spans="2:8" x14ac:dyDescent="0.3">
      <c r="B1433" s="69">
        <v>44978</v>
      </c>
      <c r="C1433" s="55">
        <v>1343.5500000000002</v>
      </c>
      <c r="D1433" s="70">
        <f t="shared" si="45"/>
        <v>1.0471583117476768</v>
      </c>
      <c r="E1433" s="180">
        <v>-3.7446240545749129E-3</v>
      </c>
      <c r="G1433" s="78">
        <v>1431</v>
      </c>
      <c r="H1433" s="180">
        <f t="shared" ca="1" si="46"/>
        <v>-2.6364469065734801E-2</v>
      </c>
    </row>
    <row r="1434" spans="2:8" x14ac:dyDescent="0.3">
      <c r="B1434" s="69">
        <v>44119</v>
      </c>
      <c r="C1434" s="55">
        <v>656.3</v>
      </c>
      <c r="D1434" s="70">
        <f t="shared" si="45"/>
        <v>0.2906588003933136</v>
      </c>
      <c r="E1434" s="180">
        <v>-3.7569731698987104E-3</v>
      </c>
      <c r="G1434" s="78">
        <v>1432</v>
      </c>
      <c r="H1434" s="180">
        <f t="shared" ca="1" si="46"/>
        <v>-5.3891555146883298E-3</v>
      </c>
    </row>
    <row r="1435" spans="2:8" x14ac:dyDescent="0.3">
      <c r="B1435" s="69">
        <v>43782</v>
      </c>
      <c r="C1435" s="55">
        <v>508.5</v>
      </c>
      <c r="D1435" s="70">
        <f t="shared" si="45"/>
        <v>-0.13232659329408747</v>
      </c>
      <c r="E1435" s="180">
        <v>-3.7713669980897384E-3</v>
      </c>
      <c r="G1435" s="78">
        <v>1433</v>
      </c>
      <c r="H1435" s="180">
        <f t="shared" ca="1" si="46"/>
        <v>3.4211108315222835E-4</v>
      </c>
    </row>
    <row r="1436" spans="2:8" x14ac:dyDescent="0.3">
      <c r="B1436" s="69">
        <v>43854</v>
      </c>
      <c r="C1436" s="55">
        <v>586.04999999999995</v>
      </c>
      <c r="D1436" s="70">
        <f t="shared" si="45"/>
        <v>0.78810068649885567</v>
      </c>
      <c r="E1436" s="180">
        <v>-3.782244698482891E-3</v>
      </c>
      <c r="G1436" s="78">
        <v>1434</v>
      </c>
      <c r="H1436" s="180">
        <f t="shared" ca="1" si="46"/>
        <v>5.449972934713467E-4</v>
      </c>
    </row>
    <row r="1437" spans="2:8" x14ac:dyDescent="0.3">
      <c r="B1437" s="69">
        <v>43244</v>
      </c>
      <c r="C1437" s="55">
        <v>327.75</v>
      </c>
      <c r="D1437" s="70">
        <f t="shared" si="45"/>
        <v>-0.44786051212938005</v>
      </c>
      <c r="E1437" s="180">
        <v>-3.7993920972644378E-3</v>
      </c>
      <c r="G1437" s="78">
        <v>1435</v>
      </c>
      <c r="H1437" s="180">
        <f t="shared" ca="1" si="46"/>
        <v>5.5132433120631756E-2</v>
      </c>
    </row>
    <row r="1438" spans="2:8" x14ac:dyDescent="0.3">
      <c r="B1438" s="69">
        <v>43852</v>
      </c>
      <c r="C1438" s="55">
        <v>593.6</v>
      </c>
      <c r="D1438" s="70">
        <f t="shared" si="45"/>
        <v>-0.23487899977443369</v>
      </c>
      <c r="E1438" s="180">
        <v>-3.8179148311306521E-3</v>
      </c>
      <c r="G1438" s="78">
        <v>1436</v>
      </c>
      <c r="H1438" s="180">
        <f t="shared" ca="1" si="46"/>
        <v>1.868354709552799E-2</v>
      </c>
    </row>
    <row r="1439" spans="2:8" x14ac:dyDescent="0.3">
      <c r="B1439" s="69">
        <v>44316</v>
      </c>
      <c r="C1439" s="55">
        <v>775.82500000000005</v>
      </c>
      <c r="D1439" s="70">
        <f t="shared" si="45"/>
        <v>-0.54296023564064799</v>
      </c>
      <c r="E1439" s="180">
        <v>-3.8199794555725595E-3</v>
      </c>
      <c r="G1439" s="78">
        <v>1437</v>
      </c>
      <c r="H1439" s="180">
        <f t="shared" ca="1" si="46"/>
        <v>2.2347088252677456E-2</v>
      </c>
    </row>
    <row r="1440" spans="2:8" x14ac:dyDescent="0.3">
      <c r="B1440" s="69">
        <v>45145</v>
      </c>
      <c r="C1440" s="55">
        <v>1697.5</v>
      </c>
      <c r="D1440" s="70">
        <f t="shared" si="45"/>
        <v>-0.17610085787436441</v>
      </c>
      <c r="E1440" s="180">
        <v>-3.8291691729875387E-3</v>
      </c>
      <c r="G1440" s="78">
        <v>1438</v>
      </c>
      <c r="H1440" s="180">
        <f t="shared" ca="1" si="46"/>
        <v>2.2756204304222788E-2</v>
      </c>
    </row>
    <row r="1441" spans="2:8" x14ac:dyDescent="0.3">
      <c r="B1441" s="69">
        <v>45187</v>
      </c>
      <c r="C1441" s="55">
        <v>2060.3249999999998</v>
      </c>
      <c r="D1441" s="70">
        <f t="shared" si="45"/>
        <v>0.5375272849387136</v>
      </c>
      <c r="E1441" s="180">
        <v>-3.8437828625305015E-3</v>
      </c>
      <c r="G1441" s="78">
        <v>1439</v>
      </c>
      <c r="H1441" s="180">
        <f t="shared" ca="1" si="46"/>
        <v>2.0509994290020577E-2</v>
      </c>
    </row>
    <row r="1442" spans="2:8" x14ac:dyDescent="0.3">
      <c r="B1442" s="69">
        <v>44929</v>
      </c>
      <c r="C1442" s="55">
        <v>1340.0250000000001</v>
      </c>
      <c r="D1442" s="70">
        <f t="shared" si="45"/>
        <v>4.1833478387003193</v>
      </c>
      <c r="E1442" s="180">
        <v>-3.8470115967885478E-3</v>
      </c>
      <c r="G1442" s="78">
        <v>1440</v>
      </c>
      <c r="H1442" s="180">
        <f t="shared" ca="1" si="46"/>
        <v>4.2695381252323202E-2</v>
      </c>
    </row>
    <row r="1443" spans="2:8" x14ac:dyDescent="0.3">
      <c r="B1443" s="69">
        <v>42937</v>
      </c>
      <c r="C1443" s="55">
        <v>258.52499999999998</v>
      </c>
      <c r="D1443" s="70">
        <f t="shared" si="45"/>
        <v>-0.84647931234133522</v>
      </c>
      <c r="E1443" s="180">
        <v>-3.8531933339755325E-3</v>
      </c>
      <c r="G1443" s="78">
        <v>1441</v>
      </c>
      <c r="H1443" s="180">
        <f t="shared" ca="1" si="46"/>
        <v>3.1047986629110874E-2</v>
      </c>
    </row>
    <row r="1444" spans="2:8" x14ac:dyDescent="0.3">
      <c r="B1444" s="69">
        <v>45119</v>
      </c>
      <c r="C1444" s="55">
        <v>1683.9749999999999</v>
      </c>
      <c r="D1444" s="70">
        <f t="shared" si="45"/>
        <v>5.8846075224856911</v>
      </c>
      <c r="E1444" s="180">
        <v>-3.8598047914818641E-3</v>
      </c>
      <c r="G1444" s="78">
        <v>1442</v>
      </c>
      <c r="H1444" s="180">
        <f t="shared" ca="1" si="46"/>
        <v>6.3354043839011981E-4</v>
      </c>
    </row>
    <row r="1445" spans="2:8" x14ac:dyDescent="0.3">
      <c r="B1445" s="69">
        <v>42908</v>
      </c>
      <c r="C1445" s="55">
        <v>244.6</v>
      </c>
      <c r="D1445" s="70">
        <f t="shared" si="45"/>
        <v>-0.6420444151757948</v>
      </c>
      <c r="E1445" s="180">
        <v>-3.8688658114437672E-3</v>
      </c>
      <c r="G1445" s="78">
        <v>1443</v>
      </c>
      <c r="H1445" s="180">
        <f t="shared" ca="1" si="46"/>
        <v>-1.4171986740286579E-3</v>
      </c>
    </row>
    <row r="1446" spans="2:8" x14ac:dyDescent="0.3">
      <c r="B1446" s="69">
        <v>44189</v>
      </c>
      <c r="C1446" s="55">
        <v>683.32500000000005</v>
      </c>
      <c r="D1446" s="70">
        <f t="shared" si="45"/>
        <v>-0.82561344409141368</v>
      </c>
      <c r="E1446" s="180">
        <v>-3.8994169096209248E-3</v>
      </c>
      <c r="G1446" s="78">
        <v>1444</v>
      </c>
      <c r="H1446" s="180">
        <f t="shared" ca="1" si="46"/>
        <v>2.113595685272442E-2</v>
      </c>
    </row>
    <row r="1447" spans="2:8" x14ac:dyDescent="0.3">
      <c r="B1447" s="69">
        <v>46041</v>
      </c>
      <c r="C1447" s="55">
        <v>3918.45</v>
      </c>
      <c r="D1447" s="70">
        <f t="shared" si="45"/>
        <v>0.97500031501619167</v>
      </c>
      <c r="E1447" s="180">
        <v>-3.9274002897888285E-3</v>
      </c>
      <c r="G1447" s="78">
        <v>1445</v>
      </c>
      <c r="H1447" s="180">
        <f t="shared" ca="1" si="46"/>
        <v>-1.3852069897739475E-2</v>
      </c>
    </row>
    <row r="1448" spans="2:8" x14ac:dyDescent="0.3">
      <c r="B1448" s="69">
        <v>45159</v>
      </c>
      <c r="C1448" s="55">
        <v>1984.0250000000001</v>
      </c>
      <c r="D1448" s="70">
        <f t="shared" si="45"/>
        <v>-0.71895672498052277</v>
      </c>
      <c r="E1448" s="180">
        <v>-3.9285086728417396E-3</v>
      </c>
      <c r="G1448" s="78">
        <v>1446</v>
      </c>
      <c r="H1448" s="180">
        <f t="shared" ca="1" si="46"/>
        <v>-7.6045180669272261E-3</v>
      </c>
    </row>
    <row r="1449" spans="2:8" x14ac:dyDescent="0.3">
      <c r="B1449" s="69">
        <v>45539</v>
      </c>
      <c r="C1449" s="55">
        <v>7059.5</v>
      </c>
      <c r="D1449" s="70">
        <f t="shared" si="45"/>
        <v>27.055638350720319</v>
      </c>
      <c r="E1449" s="180">
        <v>-3.9506172839506174E-3</v>
      </c>
      <c r="G1449" s="78">
        <v>1447</v>
      </c>
      <c r="H1449" s="180">
        <f t="shared" ca="1" si="46"/>
        <v>-9.2831356410898232E-3</v>
      </c>
    </row>
    <row r="1450" spans="2:8" x14ac:dyDescent="0.3">
      <c r="B1450" s="69">
        <v>42788</v>
      </c>
      <c r="C1450" s="55">
        <v>251.625</v>
      </c>
      <c r="D1450" s="70">
        <f t="shared" si="45"/>
        <v>-0.62774613506916199</v>
      </c>
      <c r="E1450" s="180">
        <v>-3.9584364176150424E-3</v>
      </c>
      <c r="G1450" s="78">
        <v>1448</v>
      </c>
      <c r="H1450" s="180">
        <f t="shared" ca="1" si="46"/>
        <v>9.1918448907436796E-3</v>
      </c>
    </row>
    <row r="1451" spans="2:8" x14ac:dyDescent="0.3">
      <c r="B1451" s="69">
        <v>44201</v>
      </c>
      <c r="C1451" s="55">
        <v>675.95</v>
      </c>
      <c r="D1451" s="70">
        <f t="shared" si="45"/>
        <v>0.89900266891417324</v>
      </c>
      <c r="E1451" s="180">
        <v>-3.9784867015397211E-3</v>
      </c>
      <c r="G1451" s="78">
        <v>1449</v>
      </c>
      <c r="H1451" s="180">
        <f t="shared" ca="1" si="46"/>
        <v>-1.3729250307795097E-2</v>
      </c>
    </row>
    <row r="1452" spans="2:8" x14ac:dyDescent="0.3">
      <c r="B1452" s="69">
        <v>43579</v>
      </c>
      <c r="C1452" s="55">
        <v>355.95000000000005</v>
      </c>
      <c r="D1452" s="70">
        <f t="shared" si="45"/>
        <v>-0.94745388652283347</v>
      </c>
      <c r="E1452" s="180">
        <v>-3.9874081846798309E-3</v>
      </c>
      <c r="G1452" s="78">
        <v>1450</v>
      </c>
      <c r="H1452" s="180">
        <f t="shared" ca="1" si="46"/>
        <v>1.3587767057059065E-2</v>
      </c>
    </row>
    <row r="1453" spans="2:8" x14ac:dyDescent="0.3">
      <c r="B1453" s="69">
        <v>45625</v>
      </c>
      <c r="C1453" s="55">
        <v>6774.05</v>
      </c>
      <c r="D1453" s="70">
        <f t="shared" si="45"/>
        <v>4.0357195955991676</v>
      </c>
      <c r="E1453" s="180">
        <v>-3.999264841021844E-3</v>
      </c>
      <c r="G1453" s="78">
        <v>1451</v>
      </c>
      <c r="H1453" s="180">
        <f t="shared" ca="1" si="46"/>
        <v>7.2759714858279742E-3</v>
      </c>
    </row>
    <row r="1454" spans="2:8" x14ac:dyDescent="0.3">
      <c r="B1454" s="69">
        <v>44928</v>
      </c>
      <c r="C1454" s="55">
        <v>1345.2</v>
      </c>
      <c r="D1454" s="70">
        <f t="shared" si="45"/>
        <v>-0.8162238593399388</v>
      </c>
      <c r="E1454" s="180">
        <v>-4.0166589541878427E-3</v>
      </c>
      <c r="G1454" s="78">
        <v>1452</v>
      </c>
      <c r="H1454" s="180">
        <f t="shared" ca="1" si="46"/>
        <v>1.6558091676254869E-2</v>
      </c>
    </row>
    <row r="1455" spans="2:8" x14ac:dyDescent="0.3">
      <c r="B1455" s="69">
        <v>45554</v>
      </c>
      <c r="C1455" s="55">
        <v>7319.7749999999996</v>
      </c>
      <c r="D1455" s="70">
        <f t="shared" si="45"/>
        <v>19.857030916084909</v>
      </c>
      <c r="E1455" s="180">
        <v>-4.0343292162312756E-3</v>
      </c>
      <c r="G1455" s="78">
        <v>1453</v>
      </c>
      <c r="H1455" s="180">
        <f t="shared" ca="1" si="46"/>
        <v>-6.5796304086087063E-3</v>
      </c>
    </row>
    <row r="1456" spans="2:8" x14ac:dyDescent="0.3">
      <c r="B1456" s="69">
        <v>43217</v>
      </c>
      <c r="C1456" s="55">
        <v>350.95000000000005</v>
      </c>
      <c r="D1456" s="70">
        <f t="shared" si="45"/>
        <v>3.8620893755549182E-2</v>
      </c>
      <c r="E1456" s="180">
        <v>-4.0439872295138833E-3</v>
      </c>
      <c r="G1456" s="78">
        <v>1454</v>
      </c>
      <c r="H1456" s="180">
        <f t="shared" ca="1" si="46"/>
        <v>-9.0575862134178505E-3</v>
      </c>
    </row>
    <row r="1457" spans="2:8" x14ac:dyDescent="0.3">
      <c r="B1457" s="69">
        <v>43531</v>
      </c>
      <c r="C1457" s="55">
        <v>337.9</v>
      </c>
      <c r="D1457" s="70">
        <f t="shared" si="45"/>
        <v>-0.95145463687953458</v>
      </c>
      <c r="E1457" s="180">
        <v>-4.0527595608282367E-3</v>
      </c>
      <c r="G1457" s="78">
        <v>1455</v>
      </c>
      <c r="H1457" s="180">
        <f t="shared" ca="1" si="46"/>
        <v>-1.2261462003262214E-2</v>
      </c>
    </row>
    <row r="1458" spans="2:8" x14ac:dyDescent="0.3">
      <c r="B1458" s="69">
        <v>45643</v>
      </c>
      <c r="C1458" s="55">
        <v>6960.5</v>
      </c>
      <c r="D1458" s="70">
        <f t="shared" si="45"/>
        <v>0.62550647470253729</v>
      </c>
      <c r="E1458" s="180">
        <v>-4.0600239666613008E-3</v>
      </c>
      <c r="G1458" s="78">
        <v>1456</v>
      </c>
      <c r="H1458" s="180">
        <f t="shared" ca="1" si="46"/>
        <v>-2.4879703939772568E-2</v>
      </c>
    </row>
    <row r="1459" spans="2:8" x14ac:dyDescent="0.3">
      <c r="B1459" s="69">
        <v>45988</v>
      </c>
      <c r="C1459" s="55">
        <v>4282.05</v>
      </c>
      <c r="D1459" s="70">
        <f t="shared" si="45"/>
        <v>6.8735864668566702</v>
      </c>
      <c r="E1459" s="180">
        <v>-4.0701933923317554E-3</v>
      </c>
      <c r="G1459" s="78">
        <v>1457</v>
      </c>
      <c r="H1459" s="180">
        <f t="shared" ca="1" si="46"/>
        <v>-3.610636449741707E-3</v>
      </c>
    </row>
    <row r="1460" spans="2:8" x14ac:dyDescent="0.3">
      <c r="B1460" s="69">
        <v>43776</v>
      </c>
      <c r="C1460" s="55">
        <v>543.85</v>
      </c>
      <c r="D1460" s="70">
        <f t="shared" si="45"/>
        <v>-0.61579625933840798</v>
      </c>
      <c r="E1460" s="180">
        <v>-4.0745318866456486E-3</v>
      </c>
      <c r="G1460" s="78">
        <v>1458</v>
      </c>
      <c r="H1460" s="180">
        <f t="shared" ca="1" si="46"/>
        <v>2.4469291733492833E-2</v>
      </c>
    </row>
    <row r="1461" spans="2:8" x14ac:dyDescent="0.3">
      <c r="B1461" s="69">
        <v>44880</v>
      </c>
      <c r="C1461" s="55">
        <v>1415.5250000000001</v>
      </c>
      <c r="D1461" s="70">
        <f t="shared" si="45"/>
        <v>3.0816753171856988</v>
      </c>
      <c r="E1461" s="180">
        <v>-4.0806993474396978E-3</v>
      </c>
      <c r="G1461" s="78">
        <v>1459</v>
      </c>
      <c r="H1461" s="180">
        <f t="shared" ca="1" si="46"/>
        <v>-2.1844562511038361E-3</v>
      </c>
    </row>
    <row r="1462" spans="2:8" x14ac:dyDescent="0.3">
      <c r="B1462" s="69">
        <v>43458</v>
      </c>
      <c r="C1462" s="55">
        <v>346.79999999999995</v>
      </c>
      <c r="D1462" s="70">
        <f t="shared" si="45"/>
        <v>5.7155921353452044E-2</v>
      </c>
      <c r="E1462" s="180">
        <v>-4.0921817790223799E-3</v>
      </c>
      <c r="G1462" s="78">
        <v>1460</v>
      </c>
      <c r="H1462" s="180">
        <f t="shared" ca="1" si="46"/>
        <v>1.118877286898521E-2</v>
      </c>
    </row>
    <row r="1463" spans="2:8" x14ac:dyDescent="0.3">
      <c r="B1463" s="69">
        <v>43074</v>
      </c>
      <c r="C1463" s="55">
        <v>328.05</v>
      </c>
      <c r="D1463" s="70">
        <f t="shared" si="45"/>
        <v>-0.66308924720139684</v>
      </c>
      <c r="E1463" s="180">
        <v>-4.0983606557376019E-3</v>
      </c>
      <c r="G1463" s="78">
        <v>1461</v>
      </c>
      <c r="H1463" s="180">
        <f t="shared" ca="1" si="46"/>
        <v>6.5415171385260762E-3</v>
      </c>
    </row>
    <row r="1464" spans="2:8" x14ac:dyDescent="0.3">
      <c r="B1464" s="69">
        <v>44460</v>
      </c>
      <c r="C1464" s="55">
        <v>973.7</v>
      </c>
      <c r="D1464" s="70">
        <f t="shared" si="45"/>
        <v>-0.77048639347546821</v>
      </c>
      <c r="E1464" s="180">
        <v>-4.1166994809378682E-3</v>
      </c>
      <c r="G1464" s="78">
        <v>1462</v>
      </c>
      <c r="H1464" s="180">
        <f t="shared" ca="1" si="46"/>
        <v>-1.7318734547073347E-2</v>
      </c>
    </row>
    <row r="1465" spans="2:8" x14ac:dyDescent="0.3">
      <c r="B1465" s="69">
        <v>45992</v>
      </c>
      <c r="C1465" s="55">
        <v>4242.45</v>
      </c>
      <c r="D1465" s="70">
        <f t="shared" si="45"/>
        <v>1.5073952038298439</v>
      </c>
      <c r="E1465" s="180">
        <v>-4.1197183098591978E-3</v>
      </c>
      <c r="G1465" s="78">
        <v>1463</v>
      </c>
      <c r="H1465" s="180">
        <f t="shared" ca="1" si="46"/>
        <v>-2.4478295054701744E-2</v>
      </c>
    </row>
    <row r="1466" spans="2:8" x14ac:dyDescent="0.3">
      <c r="B1466" s="69">
        <v>45125</v>
      </c>
      <c r="C1466" s="55">
        <v>1691.9749999999999</v>
      </c>
      <c r="D1466" s="70">
        <f t="shared" si="45"/>
        <v>-0.46072509960159364</v>
      </c>
      <c r="E1466" s="180">
        <v>-4.1201312556100001E-3</v>
      </c>
      <c r="G1466" s="78">
        <v>1464</v>
      </c>
      <c r="H1466" s="180">
        <f t="shared" ca="1" si="46"/>
        <v>2.6966782545779541E-2</v>
      </c>
    </row>
    <row r="1467" spans="2:8" x14ac:dyDescent="0.3">
      <c r="B1467" s="69">
        <v>45309</v>
      </c>
      <c r="C1467" s="55">
        <v>3137.5</v>
      </c>
      <c r="D1467" s="70">
        <f t="shared" si="45"/>
        <v>1.34496160242157</v>
      </c>
      <c r="E1467" s="180">
        <v>-4.1421339131263368E-3</v>
      </c>
      <c r="G1467" s="78">
        <v>1465</v>
      </c>
      <c r="H1467" s="180">
        <f t="shared" ca="1" si="46"/>
        <v>-2.3393672754683716E-2</v>
      </c>
    </row>
    <row r="1468" spans="2:8" x14ac:dyDescent="0.3">
      <c r="B1468" s="69">
        <v>44979</v>
      </c>
      <c r="C1468" s="55">
        <v>1337.9749999999999</v>
      </c>
      <c r="D1468" s="70">
        <f t="shared" si="45"/>
        <v>-0.21221443711728696</v>
      </c>
      <c r="E1468" s="180">
        <v>-4.14945480257547E-3</v>
      </c>
      <c r="G1468" s="78">
        <v>1466</v>
      </c>
      <c r="H1468" s="180">
        <f t="shared" ca="1" si="46"/>
        <v>1.6801712747022014E-3</v>
      </c>
    </row>
    <row r="1469" spans="2:8" x14ac:dyDescent="0.3">
      <c r="B1469" s="69">
        <v>45092</v>
      </c>
      <c r="C1469" s="55">
        <v>1698.4</v>
      </c>
      <c r="D1469" s="70">
        <f t="shared" si="45"/>
        <v>-0.66970050563982886</v>
      </c>
      <c r="E1469" s="180">
        <v>-4.1630020521840573E-3</v>
      </c>
      <c r="G1469" s="78">
        <v>1467</v>
      </c>
      <c r="H1469" s="180">
        <f t="shared" ca="1" si="46"/>
        <v>9.9485697280401568E-3</v>
      </c>
    </row>
    <row r="1470" spans="2:8" x14ac:dyDescent="0.3">
      <c r="B1470" s="69">
        <v>45915</v>
      </c>
      <c r="C1470" s="55">
        <v>5142</v>
      </c>
      <c r="D1470" s="70">
        <f t="shared" si="45"/>
        <v>14.676829268292684</v>
      </c>
      <c r="E1470" s="180">
        <v>-4.1638423549917696E-3</v>
      </c>
      <c r="G1470" s="78">
        <v>1468</v>
      </c>
      <c r="H1470" s="180">
        <f t="shared" ca="1" si="46"/>
        <v>-9.7209038751691558E-4</v>
      </c>
    </row>
    <row r="1471" spans="2:8" x14ac:dyDescent="0.3">
      <c r="B1471" s="69">
        <v>43413</v>
      </c>
      <c r="C1471" s="55">
        <v>328</v>
      </c>
      <c r="D1471" s="70">
        <f t="shared" si="45"/>
        <v>-6.5460502884820915E-2</v>
      </c>
      <c r="E1471" s="180">
        <v>-4.1745730550284627E-3</v>
      </c>
      <c r="G1471" s="78">
        <v>1469</v>
      </c>
      <c r="H1471" s="180">
        <f t="shared" ca="1" si="46"/>
        <v>-2.9443138937306622E-2</v>
      </c>
    </row>
    <row r="1472" spans="2:8" x14ac:dyDescent="0.3">
      <c r="B1472" s="69">
        <v>43452</v>
      </c>
      <c r="C1472" s="55">
        <v>350.97500000000002</v>
      </c>
      <c r="D1472" s="70">
        <f t="shared" si="45"/>
        <v>0.37367906066536211</v>
      </c>
      <c r="E1472" s="180">
        <v>-4.1849907788337809E-3</v>
      </c>
      <c r="G1472" s="78">
        <v>1470</v>
      </c>
      <c r="H1472" s="180">
        <f t="shared" ca="1" si="46"/>
        <v>-3.360384001580799E-3</v>
      </c>
    </row>
    <row r="1473" spans="2:8" x14ac:dyDescent="0.3">
      <c r="B1473" s="69">
        <v>42867</v>
      </c>
      <c r="C1473" s="55">
        <v>255.5</v>
      </c>
      <c r="D1473" s="70">
        <f t="shared" si="45"/>
        <v>-0.95498907758438445</v>
      </c>
      <c r="E1473" s="180">
        <v>-4.1898080483291252E-3</v>
      </c>
      <c r="G1473" s="78">
        <v>1471</v>
      </c>
      <c r="H1473" s="180">
        <f t="shared" ca="1" si="46"/>
        <v>2.4592263242867269E-3</v>
      </c>
    </row>
    <row r="1474" spans="2:8" x14ac:dyDescent="0.3">
      <c r="B1474" s="69">
        <v>45489</v>
      </c>
      <c r="C1474" s="55">
        <v>5676.4</v>
      </c>
      <c r="D1474" s="70">
        <f t="shared" si="45"/>
        <v>0.50865769225658108</v>
      </c>
      <c r="E1474" s="180">
        <v>-4.2014963993440273E-3</v>
      </c>
      <c r="G1474" s="78">
        <v>1472</v>
      </c>
      <c r="H1474" s="180">
        <f t="shared" ca="1" si="46"/>
        <v>1.998787507465272E-2</v>
      </c>
    </row>
    <row r="1475" spans="2:8" x14ac:dyDescent="0.3">
      <c r="B1475" s="69">
        <v>45331</v>
      </c>
      <c r="C1475" s="55">
        <v>3762.55</v>
      </c>
      <c r="D1475" s="70">
        <f t="shared" ref="D1475:D1538" si="47">(C1475-C1476)/C1476</f>
        <v>7.193260384343187</v>
      </c>
      <c r="E1475" s="180">
        <v>-4.2278402286606304E-3</v>
      </c>
      <c r="G1475" s="78">
        <v>1473</v>
      </c>
      <c r="H1475" s="180">
        <f t="shared" ca="1" si="46"/>
        <v>-2.4014912936578849E-2</v>
      </c>
    </row>
    <row r="1476" spans="2:8" x14ac:dyDescent="0.3">
      <c r="B1476" s="69">
        <v>43717</v>
      </c>
      <c r="C1476" s="55">
        <v>459.22500000000002</v>
      </c>
      <c r="D1476" s="70">
        <f t="shared" si="47"/>
        <v>-0.93919764324252752</v>
      </c>
      <c r="E1476" s="180">
        <v>-4.2283298097251336E-3</v>
      </c>
      <c r="G1476" s="78">
        <v>1474</v>
      </c>
      <c r="H1476" s="180">
        <f t="shared" ref="H1476:H1539" ca="1" si="48">_xlfn.NORM.INV(RAND(),$N$4,$N$5)</f>
        <v>-3.1238856985103633E-2</v>
      </c>
    </row>
    <row r="1477" spans="2:8" x14ac:dyDescent="0.3">
      <c r="B1477" s="69">
        <v>45568</v>
      </c>
      <c r="C1477" s="55">
        <v>7552.75</v>
      </c>
      <c r="D1477" s="70">
        <f t="shared" si="47"/>
        <v>14.704631699329417</v>
      </c>
      <c r="E1477" s="180">
        <v>-4.2321206088453116E-3</v>
      </c>
      <c r="G1477" s="78">
        <v>1475</v>
      </c>
      <c r="H1477" s="180">
        <f t="shared" ca="1" si="48"/>
        <v>-5.0371026147664243E-3</v>
      </c>
    </row>
    <row r="1478" spans="2:8" x14ac:dyDescent="0.3">
      <c r="B1478" s="69">
        <v>43956</v>
      </c>
      <c r="C1478" s="55">
        <v>480.92500000000001</v>
      </c>
      <c r="D1478" s="70">
        <f t="shared" si="47"/>
        <v>-0.87317378691983116</v>
      </c>
      <c r="E1478" s="180">
        <v>-4.2445261141881279E-3</v>
      </c>
      <c r="G1478" s="78">
        <v>1476</v>
      </c>
      <c r="H1478" s="180">
        <f t="shared" ca="1" si="48"/>
        <v>8.66875316259858E-3</v>
      </c>
    </row>
    <row r="1479" spans="2:8" x14ac:dyDescent="0.3">
      <c r="B1479" s="69">
        <v>46045</v>
      </c>
      <c r="C1479" s="55">
        <v>3792</v>
      </c>
      <c r="D1479" s="70">
        <f t="shared" si="47"/>
        <v>3.4145638697284557</v>
      </c>
      <c r="E1479" s="180">
        <v>-4.2670517954441012E-3</v>
      </c>
      <c r="G1479" s="78">
        <v>1477</v>
      </c>
      <c r="H1479" s="180">
        <f t="shared" ca="1" si="48"/>
        <v>1.1378870456617132E-2</v>
      </c>
    </row>
    <row r="1480" spans="2:8" x14ac:dyDescent="0.3">
      <c r="B1480" s="69">
        <v>44363</v>
      </c>
      <c r="C1480" s="55">
        <v>858.97499999999991</v>
      </c>
      <c r="D1480" s="70">
        <f t="shared" si="47"/>
        <v>-0.58395592419930986</v>
      </c>
      <c r="E1480" s="180">
        <v>-4.2889848436549636E-3</v>
      </c>
      <c r="G1480" s="78">
        <v>1478</v>
      </c>
      <c r="H1480" s="180">
        <f t="shared" ca="1" si="48"/>
        <v>-7.9959155420989709E-3</v>
      </c>
    </row>
    <row r="1481" spans="2:8" x14ac:dyDescent="0.3">
      <c r="B1481" s="69">
        <v>45191</v>
      </c>
      <c r="C1481" s="55">
        <v>2064.625</v>
      </c>
      <c r="D1481" s="70">
        <f t="shared" si="47"/>
        <v>0.49531948795017122</v>
      </c>
      <c r="E1481" s="180">
        <v>-4.3042125822865046E-3</v>
      </c>
      <c r="G1481" s="78">
        <v>1479</v>
      </c>
      <c r="H1481" s="180">
        <f t="shared" ca="1" si="48"/>
        <v>2.402543913239949E-2</v>
      </c>
    </row>
    <row r="1482" spans="2:8" x14ac:dyDescent="0.3">
      <c r="B1482" s="69">
        <v>45041</v>
      </c>
      <c r="C1482" s="55">
        <v>1380.7249999999999</v>
      </c>
      <c r="D1482" s="70">
        <f t="shared" si="47"/>
        <v>3.1550556725850134</v>
      </c>
      <c r="E1482" s="180">
        <v>-4.3267410625754928E-3</v>
      </c>
      <c r="G1482" s="78">
        <v>1480</v>
      </c>
      <c r="H1482" s="180">
        <f t="shared" ca="1" si="48"/>
        <v>1.5293005054952258E-2</v>
      </c>
    </row>
    <row r="1483" spans="2:8" x14ac:dyDescent="0.3">
      <c r="B1483" s="69">
        <v>43241</v>
      </c>
      <c r="C1483" s="55">
        <v>332.3</v>
      </c>
      <c r="D1483" s="70">
        <f t="shared" si="47"/>
        <v>-0.66012938198368654</v>
      </c>
      <c r="E1483" s="180">
        <v>-4.3445692883894793E-3</v>
      </c>
      <c r="G1483" s="78">
        <v>1481</v>
      </c>
      <c r="H1483" s="180">
        <f t="shared" ca="1" si="48"/>
        <v>-1.8319614492299349E-2</v>
      </c>
    </row>
    <row r="1484" spans="2:8" x14ac:dyDescent="0.3">
      <c r="B1484" s="69">
        <v>44459</v>
      </c>
      <c r="C1484" s="55">
        <v>977.72500000000002</v>
      </c>
      <c r="D1484" s="70">
        <f t="shared" si="47"/>
        <v>3.8874031492126964</v>
      </c>
      <c r="E1484" s="180">
        <v>-4.3533604887983478E-3</v>
      </c>
      <c r="G1484" s="78">
        <v>1482</v>
      </c>
      <c r="H1484" s="180">
        <f t="shared" ca="1" si="48"/>
        <v>-2.6748498057620571E-2</v>
      </c>
    </row>
    <row r="1485" spans="2:8" x14ac:dyDescent="0.3">
      <c r="B1485" s="69">
        <v>42746</v>
      </c>
      <c r="C1485" s="55">
        <v>200.05</v>
      </c>
      <c r="D1485" s="70">
        <f t="shared" si="47"/>
        <v>-0.39111246385633847</v>
      </c>
      <c r="E1485" s="180">
        <v>-4.3548587781510511E-3</v>
      </c>
      <c r="G1485" s="78">
        <v>1483</v>
      </c>
      <c r="H1485" s="180">
        <f t="shared" ca="1" si="48"/>
        <v>-2.4784866497605832E-3</v>
      </c>
    </row>
    <row r="1486" spans="2:8" x14ac:dyDescent="0.3">
      <c r="B1486" s="69">
        <v>43517</v>
      </c>
      <c r="C1486" s="55">
        <v>328.55</v>
      </c>
      <c r="D1486" s="70">
        <f t="shared" si="47"/>
        <v>-0.74540382417326956</v>
      </c>
      <c r="E1486" s="180">
        <v>-4.3939393939393598E-3</v>
      </c>
      <c r="G1486" s="78">
        <v>1484</v>
      </c>
      <c r="H1486" s="180">
        <f t="shared" ca="1" si="48"/>
        <v>1.535062795585684E-2</v>
      </c>
    </row>
    <row r="1487" spans="2:8" x14ac:dyDescent="0.3">
      <c r="B1487" s="69">
        <v>44644</v>
      </c>
      <c r="C1487" s="55">
        <v>1290.4749999999999</v>
      </c>
      <c r="D1487" s="70">
        <f t="shared" si="47"/>
        <v>0.426727473742399</v>
      </c>
      <c r="E1487" s="180">
        <v>-4.3975543425849488E-3</v>
      </c>
      <c r="G1487" s="78">
        <v>1485</v>
      </c>
      <c r="H1487" s="180">
        <f t="shared" ca="1" si="48"/>
        <v>-1.180542112299421E-2</v>
      </c>
    </row>
    <row r="1488" spans="2:8" x14ac:dyDescent="0.3">
      <c r="B1488" s="69">
        <v>44383</v>
      </c>
      <c r="C1488" s="55">
        <v>904.5</v>
      </c>
      <c r="D1488" s="70">
        <f t="shared" si="47"/>
        <v>2.3450443786982254</v>
      </c>
      <c r="E1488" s="180">
        <v>-4.4028618602091358E-3</v>
      </c>
      <c r="G1488" s="78">
        <v>1486</v>
      </c>
      <c r="H1488" s="180">
        <f t="shared" ca="1" si="48"/>
        <v>-1.4355761705010526E-2</v>
      </c>
    </row>
    <row r="1489" spans="2:8" x14ac:dyDescent="0.3">
      <c r="B1489" s="69">
        <v>42836</v>
      </c>
      <c r="C1489" s="55">
        <v>270.39999999999998</v>
      </c>
      <c r="D1489" s="70">
        <f t="shared" si="47"/>
        <v>-0.26591556943124756</v>
      </c>
      <c r="E1489" s="180">
        <v>-4.4182621502210804E-3</v>
      </c>
      <c r="G1489" s="78">
        <v>1487</v>
      </c>
      <c r="H1489" s="180">
        <f t="shared" ca="1" si="48"/>
        <v>-9.9547183774948839E-3</v>
      </c>
    </row>
    <row r="1490" spans="2:8" x14ac:dyDescent="0.3">
      <c r="B1490" s="69">
        <v>43606</v>
      </c>
      <c r="C1490" s="55">
        <v>368.35</v>
      </c>
      <c r="D1490" s="70">
        <f t="shared" si="47"/>
        <v>-0.90893583357025431</v>
      </c>
      <c r="E1490" s="180">
        <v>-4.4594594594593983E-3</v>
      </c>
      <c r="G1490" s="78">
        <v>1488</v>
      </c>
      <c r="H1490" s="180">
        <f t="shared" ca="1" si="48"/>
        <v>1.3749920583669093E-2</v>
      </c>
    </row>
    <row r="1491" spans="2:8" x14ac:dyDescent="0.3">
      <c r="B1491" s="69">
        <v>45369</v>
      </c>
      <c r="C1491" s="55">
        <v>4044.95</v>
      </c>
      <c r="D1491" s="70">
        <f t="shared" si="47"/>
        <v>0.31724076169696563</v>
      </c>
      <c r="E1491" s="180">
        <v>-4.4731579756960918E-3</v>
      </c>
      <c r="G1491" s="78">
        <v>1489</v>
      </c>
      <c r="H1491" s="180">
        <f t="shared" ca="1" si="48"/>
        <v>2.373856467011571E-2</v>
      </c>
    </row>
    <row r="1492" spans="2:8" x14ac:dyDescent="0.3">
      <c r="B1492" s="69">
        <v>45296</v>
      </c>
      <c r="C1492" s="55">
        <v>3070.7750000000001</v>
      </c>
      <c r="D1492" s="70">
        <f t="shared" si="47"/>
        <v>-0.60197600793254735</v>
      </c>
      <c r="E1492" s="180">
        <v>-4.4980791986123378E-3</v>
      </c>
      <c r="G1492" s="78">
        <v>1490</v>
      </c>
      <c r="H1492" s="180">
        <f t="shared" ca="1" si="48"/>
        <v>-8.7371599940383425E-3</v>
      </c>
    </row>
    <row r="1493" spans="2:8" x14ac:dyDescent="0.3">
      <c r="B1493" s="69">
        <v>45583</v>
      </c>
      <c r="C1493" s="55">
        <v>7715.05</v>
      </c>
      <c r="D1493" s="70">
        <f t="shared" si="47"/>
        <v>-5.2376872741118796E-2</v>
      </c>
      <c r="E1493" s="180">
        <v>-4.525733455911978E-3</v>
      </c>
      <c r="G1493" s="78">
        <v>1491</v>
      </c>
      <c r="H1493" s="180">
        <f t="shared" ca="1" si="48"/>
        <v>1.9332876313937264E-2</v>
      </c>
    </row>
    <row r="1494" spans="2:8" x14ac:dyDescent="0.3">
      <c r="B1494" s="69">
        <v>45575</v>
      </c>
      <c r="C1494" s="55">
        <v>8141.4750000000004</v>
      </c>
      <c r="D1494" s="70">
        <f t="shared" si="47"/>
        <v>14.527535402660563</v>
      </c>
      <c r="E1494" s="180">
        <v>-4.5392854522778954E-3</v>
      </c>
      <c r="G1494" s="78">
        <v>1492</v>
      </c>
      <c r="H1494" s="180">
        <f t="shared" ca="1" si="48"/>
        <v>-3.4965948435911075E-2</v>
      </c>
    </row>
    <row r="1495" spans="2:8" x14ac:dyDescent="0.3">
      <c r="B1495" s="69">
        <v>43823</v>
      </c>
      <c r="C1495" s="55">
        <v>524.32500000000005</v>
      </c>
      <c r="D1495" s="70">
        <f t="shared" si="47"/>
        <v>0.60589586523736616</v>
      </c>
      <c r="E1495" s="180">
        <v>-4.5564573544066905E-3</v>
      </c>
      <c r="G1495" s="78">
        <v>1493</v>
      </c>
      <c r="H1495" s="180">
        <f t="shared" ca="1" si="48"/>
        <v>-2.3778168276066301E-2</v>
      </c>
    </row>
    <row r="1496" spans="2:8" x14ac:dyDescent="0.3">
      <c r="B1496" s="69">
        <v>43416</v>
      </c>
      <c r="C1496" s="55">
        <v>326.5</v>
      </c>
      <c r="D1496" s="70">
        <f t="shared" si="47"/>
        <v>5.2971055389825078E-2</v>
      </c>
      <c r="E1496" s="180">
        <v>-4.5731707317073168E-3</v>
      </c>
      <c r="G1496" s="78">
        <v>1494</v>
      </c>
      <c r="H1496" s="180">
        <f t="shared" ca="1" si="48"/>
        <v>-1.4748779471353122E-2</v>
      </c>
    </row>
    <row r="1497" spans="2:8" x14ac:dyDescent="0.3">
      <c r="B1497" s="69">
        <v>43287</v>
      </c>
      <c r="C1497" s="55">
        <v>310.07499999999999</v>
      </c>
      <c r="D1497" s="70">
        <f t="shared" si="47"/>
        <v>0.21717369970559366</v>
      </c>
      <c r="E1497" s="180">
        <v>-4.5746388443018019E-3</v>
      </c>
      <c r="G1497" s="78">
        <v>1495</v>
      </c>
      <c r="H1497" s="180">
        <f t="shared" ca="1" si="48"/>
        <v>1.7746926967685685E-2</v>
      </c>
    </row>
    <row r="1498" spans="2:8" x14ac:dyDescent="0.3">
      <c r="B1498" s="69">
        <v>42864</v>
      </c>
      <c r="C1498" s="55">
        <v>254.75</v>
      </c>
      <c r="D1498" s="70">
        <f t="shared" si="47"/>
        <v>-0.29801598236428761</v>
      </c>
      <c r="E1498" s="180">
        <v>-4.591188824851075E-3</v>
      </c>
      <c r="G1498" s="78">
        <v>1496</v>
      </c>
      <c r="H1498" s="180">
        <f t="shared" ca="1" si="48"/>
        <v>-2.6919397632684978E-2</v>
      </c>
    </row>
    <row r="1499" spans="2:8" x14ac:dyDescent="0.3">
      <c r="B1499" s="69">
        <v>43347</v>
      </c>
      <c r="C1499" s="55">
        <v>362.9</v>
      </c>
      <c r="D1499" s="70">
        <f t="shared" si="47"/>
        <v>-0.78342086416805912</v>
      </c>
      <c r="E1499" s="180">
        <v>-4.5943907289309784E-3</v>
      </c>
      <c r="G1499" s="78">
        <v>1497</v>
      </c>
      <c r="H1499" s="180">
        <f t="shared" ca="1" si="48"/>
        <v>-4.6126748185828077E-2</v>
      </c>
    </row>
    <row r="1500" spans="2:8" x14ac:dyDescent="0.3">
      <c r="B1500" s="69">
        <v>45121</v>
      </c>
      <c r="C1500" s="55">
        <v>1675.6</v>
      </c>
      <c r="D1500" s="70">
        <f t="shared" si="47"/>
        <v>-0.70037372816193699</v>
      </c>
      <c r="E1500" s="180">
        <v>-4.6334798621837838E-3</v>
      </c>
      <c r="G1500" s="78">
        <v>1498</v>
      </c>
      <c r="H1500" s="180">
        <f t="shared" ca="1" si="48"/>
        <v>-1.0008315418434223E-2</v>
      </c>
    </row>
    <row r="1501" spans="2:8" x14ac:dyDescent="0.3">
      <c r="B1501" s="69">
        <v>45482</v>
      </c>
      <c r="C1501" s="55">
        <v>5592.3</v>
      </c>
      <c r="D1501" s="70">
        <f t="shared" si="47"/>
        <v>21.907526881720432</v>
      </c>
      <c r="E1501" s="180">
        <v>-4.6631663255316935E-3</v>
      </c>
      <c r="G1501" s="78">
        <v>1499</v>
      </c>
      <c r="H1501" s="180">
        <f t="shared" ca="1" si="48"/>
        <v>4.5672226653133297E-3</v>
      </c>
    </row>
    <row r="1502" spans="2:8" x14ac:dyDescent="0.3">
      <c r="B1502" s="69">
        <v>42886</v>
      </c>
      <c r="C1502" s="55">
        <v>244.125</v>
      </c>
      <c r="D1502" s="70">
        <f t="shared" si="47"/>
        <v>-0.16331077028532254</v>
      </c>
      <c r="E1502" s="180">
        <v>-4.6886148200999105E-3</v>
      </c>
      <c r="G1502" s="78">
        <v>1500</v>
      </c>
      <c r="H1502" s="180">
        <f t="shared" ca="1" si="48"/>
        <v>-7.3656301467154078E-3</v>
      </c>
    </row>
    <row r="1503" spans="2:8" x14ac:dyDescent="0.3">
      <c r="B1503" s="69">
        <v>43005</v>
      </c>
      <c r="C1503" s="55">
        <v>291.77499999999998</v>
      </c>
      <c r="D1503" s="70">
        <f t="shared" si="47"/>
        <v>-0.80489802741558003</v>
      </c>
      <c r="E1503" s="180">
        <v>-4.6904315196998128E-3</v>
      </c>
      <c r="G1503" s="78">
        <v>1501</v>
      </c>
      <c r="H1503" s="180">
        <f t="shared" ca="1" si="48"/>
        <v>-3.049267978297196E-2</v>
      </c>
    </row>
    <row r="1504" spans="2:8" x14ac:dyDescent="0.3">
      <c r="B1504" s="69">
        <v>45070</v>
      </c>
      <c r="C1504" s="55">
        <v>1495.5</v>
      </c>
      <c r="D1504" s="70">
        <f t="shared" si="47"/>
        <v>0.95848611838659004</v>
      </c>
      <c r="E1504" s="180">
        <v>-4.6920235599482085E-3</v>
      </c>
      <c r="G1504" s="78">
        <v>1502</v>
      </c>
      <c r="H1504" s="180">
        <f t="shared" ca="1" si="48"/>
        <v>-1.248278629216611E-2</v>
      </c>
    </row>
    <row r="1505" spans="2:8" x14ac:dyDescent="0.3">
      <c r="B1505" s="69">
        <v>44285</v>
      </c>
      <c r="C1505" s="55">
        <v>763.59999999999991</v>
      </c>
      <c r="D1505" s="70">
        <f t="shared" si="47"/>
        <v>0.13500055739288758</v>
      </c>
      <c r="E1505" s="180">
        <v>-4.6923879040669135E-3</v>
      </c>
      <c r="G1505" s="78">
        <v>1503</v>
      </c>
      <c r="H1505" s="180">
        <f t="shared" ca="1" si="48"/>
        <v>-1.5288299602404596E-3</v>
      </c>
    </row>
    <row r="1506" spans="2:8" x14ac:dyDescent="0.3">
      <c r="B1506" s="69">
        <v>44217</v>
      </c>
      <c r="C1506" s="55">
        <v>672.77499999999998</v>
      </c>
      <c r="D1506" s="70">
        <f t="shared" si="47"/>
        <v>-0.11471149417724859</v>
      </c>
      <c r="E1506" s="180">
        <v>-4.7707100591716312E-3</v>
      </c>
      <c r="G1506" s="78">
        <v>1504</v>
      </c>
      <c r="H1506" s="180">
        <f t="shared" ca="1" si="48"/>
        <v>-5.6306210838689254E-3</v>
      </c>
    </row>
    <row r="1507" spans="2:8" x14ac:dyDescent="0.3">
      <c r="B1507" s="69">
        <v>44286</v>
      </c>
      <c r="C1507" s="55">
        <v>759.95</v>
      </c>
      <c r="D1507" s="70">
        <f t="shared" si="47"/>
        <v>-0.48385234489082074</v>
      </c>
      <c r="E1507" s="180">
        <v>-4.7799895233104558E-3</v>
      </c>
      <c r="G1507" s="78">
        <v>1505</v>
      </c>
      <c r="H1507" s="180">
        <f t="shared" ca="1" si="48"/>
        <v>2.0587055663645239E-2</v>
      </c>
    </row>
    <row r="1508" spans="2:8" x14ac:dyDescent="0.3">
      <c r="B1508" s="69">
        <v>44876</v>
      </c>
      <c r="C1508" s="55">
        <v>1472.35</v>
      </c>
      <c r="D1508" s="70">
        <f t="shared" si="47"/>
        <v>0.7444905213270141</v>
      </c>
      <c r="E1508" s="180">
        <v>-4.7822633793534958E-3</v>
      </c>
      <c r="G1508" s="78">
        <v>1506</v>
      </c>
      <c r="H1508" s="180">
        <f t="shared" ca="1" si="48"/>
        <v>-2.7571777647337623E-2</v>
      </c>
    </row>
    <row r="1509" spans="2:8" x14ac:dyDescent="0.3">
      <c r="B1509" s="69">
        <v>44349</v>
      </c>
      <c r="C1509" s="55">
        <v>844</v>
      </c>
      <c r="D1509" s="70">
        <f t="shared" si="47"/>
        <v>0.31756624907309827</v>
      </c>
      <c r="E1509" s="180">
        <v>-4.8049995578221798E-3</v>
      </c>
      <c r="G1509" s="78">
        <v>1507</v>
      </c>
      <c r="H1509" s="180">
        <f t="shared" ca="1" si="48"/>
        <v>-2.1742856664345032E-2</v>
      </c>
    </row>
    <row r="1510" spans="2:8" x14ac:dyDescent="0.3">
      <c r="B1510" s="69">
        <v>44127</v>
      </c>
      <c r="C1510" s="55">
        <v>640.57500000000005</v>
      </c>
      <c r="D1510" s="70">
        <f t="shared" si="47"/>
        <v>-0.55639618427658799</v>
      </c>
      <c r="E1510" s="180">
        <v>-4.8547459996892963E-3</v>
      </c>
      <c r="G1510" s="78">
        <v>1508</v>
      </c>
      <c r="H1510" s="180">
        <f t="shared" ca="1" si="48"/>
        <v>2.5300603139436547E-2</v>
      </c>
    </row>
    <row r="1511" spans="2:8" x14ac:dyDescent="0.3">
      <c r="B1511" s="69">
        <v>44910</v>
      </c>
      <c r="C1511" s="55">
        <v>1444.0250000000001</v>
      </c>
      <c r="D1511" s="70">
        <f t="shared" si="47"/>
        <v>-0.73128169341707372</v>
      </c>
      <c r="E1511" s="180">
        <v>-4.8584669986042953E-3</v>
      </c>
      <c r="G1511" s="78">
        <v>1509</v>
      </c>
      <c r="H1511" s="180">
        <f t="shared" ca="1" si="48"/>
        <v>-5.427285039062972E-3</v>
      </c>
    </row>
    <row r="1512" spans="2:8" x14ac:dyDescent="0.3">
      <c r="B1512" s="69">
        <v>45859</v>
      </c>
      <c r="C1512" s="55">
        <v>5373.75</v>
      </c>
      <c r="D1512" s="70">
        <f t="shared" si="47"/>
        <v>1.6074456857964261</v>
      </c>
      <c r="E1512" s="180">
        <v>-4.8611111111111112E-3</v>
      </c>
      <c r="G1512" s="78">
        <v>1510</v>
      </c>
      <c r="H1512" s="180">
        <f t="shared" ca="1" si="48"/>
        <v>7.9143921108316903E-3</v>
      </c>
    </row>
    <row r="1513" spans="2:8" x14ac:dyDescent="0.3">
      <c r="B1513" s="69">
        <v>45208</v>
      </c>
      <c r="C1513" s="55">
        <v>2060.9250000000002</v>
      </c>
      <c r="D1513" s="70">
        <f t="shared" si="47"/>
        <v>5.3015593945879838</v>
      </c>
      <c r="E1513" s="180">
        <v>-4.8647996137130946E-3</v>
      </c>
      <c r="G1513" s="78">
        <v>1511</v>
      </c>
      <c r="H1513" s="180">
        <f t="shared" ca="1" si="48"/>
        <v>1.8187205353759582E-2</v>
      </c>
    </row>
    <row r="1514" spans="2:8" x14ac:dyDescent="0.3">
      <c r="B1514" s="69">
        <v>43521</v>
      </c>
      <c r="C1514" s="55">
        <v>327.05</v>
      </c>
      <c r="D1514" s="70">
        <f t="shared" si="47"/>
        <v>-0.51808737935607452</v>
      </c>
      <c r="E1514" s="180">
        <v>-4.8684010345351166E-3</v>
      </c>
      <c r="G1514" s="78">
        <v>1512</v>
      </c>
      <c r="H1514" s="180">
        <f t="shared" ca="1" si="48"/>
        <v>3.1428029079574107E-3</v>
      </c>
    </row>
    <row r="1515" spans="2:8" x14ac:dyDescent="0.3">
      <c r="B1515" s="69">
        <v>44200</v>
      </c>
      <c r="C1515" s="55">
        <v>678.65</v>
      </c>
      <c r="D1515" s="70">
        <f t="shared" si="47"/>
        <v>-0.1787626682801392</v>
      </c>
      <c r="E1515" s="180">
        <v>-4.8755452912497459E-3</v>
      </c>
      <c r="G1515" s="78">
        <v>1513</v>
      </c>
      <c r="H1515" s="180">
        <f t="shared" ca="1" si="48"/>
        <v>3.9684144647907527E-3</v>
      </c>
    </row>
    <row r="1516" spans="2:8" x14ac:dyDescent="0.3">
      <c r="B1516" s="69">
        <v>44343</v>
      </c>
      <c r="C1516" s="55">
        <v>826.375</v>
      </c>
      <c r="D1516" s="70">
        <f t="shared" si="47"/>
        <v>0.28378903215783741</v>
      </c>
      <c r="E1516" s="180">
        <v>-4.8770208026010231E-3</v>
      </c>
      <c r="G1516" s="78">
        <v>1514</v>
      </c>
      <c r="H1516" s="180">
        <f t="shared" ca="1" si="48"/>
        <v>-1.924282840129616E-2</v>
      </c>
    </row>
    <row r="1517" spans="2:8" x14ac:dyDescent="0.3">
      <c r="B1517" s="69">
        <v>44126</v>
      </c>
      <c r="C1517" s="55">
        <v>643.70000000000005</v>
      </c>
      <c r="D1517" s="70">
        <f t="shared" si="47"/>
        <v>1.0309197034232527</v>
      </c>
      <c r="E1517" s="180">
        <v>-4.9082125603864034E-3</v>
      </c>
      <c r="G1517" s="78">
        <v>1515</v>
      </c>
      <c r="H1517" s="180">
        <f t="shared" ca="1" si="48"/>
        <v>-2.296902239251607E-2</v>
      </c>
    </row>
    <row r="1518" spans="2:8" x14ac:dyDescent="0.3">
      <c r="B1518" s="69">
        <v>43276</v>
      </c>
      <c r="C1518" s="55">
        <v>316.95000000000005</v>
      </c>
      <c r="D1518" s="70">
        <f t="shared" si="47"/>
        <v>-0.82021611503445924</v>
      </c>
      <c r="E1518" s="180">
        <v>-4.9446668236400029E-3</v>
      </c>
      <c r="G1518" s="78">
        <v>1516</v>
      </c>
      <c r="H1518" s="180">
        <f t="shared" ca="1" si="48"/>
        <v>2.0001896842607749E-2</v>
      </c>
    </row>
    <row r="1519" spans="2:8" x14ac:dyDescent="0.3">
      <c r="B1519" s="69">
        <v>45110</v>
      </c>
      <c r="C1519" s="55">
        <v>1762.95</v>
      </c>
      <c r="D1519" s="70">
        <f t="shared" si="47"/>
        <v>4.586911741403898</v>
      </c>
      <c r="E1519" s="180">
        <v>-4.9528002370570288E-3</v>
      </c>
      <c r="G1519" s="78">
        <v>1517</v>
      </c>
      <c r="H1519" s="180">
        <f t="shared" ca="1" si="48"/>
        <v>3.8250132096504887E-2</v>
      </c>
    </row>
    <row r="1520" spans="2:8" x14ac:dyDescent="0.3">
      <c r="B1520" s="69">
        <v>43154</v>
      </c>
      <c r="C1520" s="55">
        <v>315.55</v>
      </c>
      <c r="D1520" s="70">
        <f t="shared" si="47"/>
        <v>-0.92524814630564045</v>
      </c>
      <c r="E1520" s="180">
        <v>-4.9664958612534128E-3</v>
      </c>
      <c r="G1520" s="78">
        <v>1518</v>
      </c>
      <c r="H1520" s="180">
        <f t="shared" ca="1" si="48"/>
        <v>1.8642019985220491E-2</v>
      </c>
    </row>
    <row r="1521" spans="2:8" x14ac:dyDescent="0.3">
      <c r="B1521" s="69">
        <v>45993</v>
      </c>
      <c r="C1521" s="55">
        <v>4221.3</v>
      </c>
      <c r="D1521" s="70">
        <f t="shared" si="47"/>
        <v>-4.9818519456402421E-2</v>
      </c>
      <c r="E1521" s="180">
        <v>-4.985326874801032E-3</v>
      </c>
      <c r="G1521" s="78">
        <v>1519</v>
      </c>
      <c r="H1521" s="180">
        <f t="shared" ca="1" si="48"/>
        <v>5.155276213439388E-2</v>
      </c>
    </row>
    <row r="1522" spans="2:8" x14ac:dyDescent="0.3">
      <c r="B1522" s="69">
        <v>45422</v>
      </c>
      <c r="C1522" s="55">
        <v>4442.625</v>
      </c>
      <c r="D1522" s="70">
        <f t="shared" si="47"/>
        <v>5.9701902333790944</v>
      </c>
      <c r="E1522" s="180">
        <v>-4.9889135254988105E-3</v>
      </c>
      <c r="G1522" s="78">
        <v>1520</v>
      </c>
      <c r="H1522" s="180">
        <f t="shared" ca="1" si="48"/>
        <v>2.181927018094789E-2</v>
      </c>
    </row>
    <row r="1523" spans="2:8" x14ac:dyDescent="0.3">
      <c r="B1523" s="69">
        <v>44130</v>
      </c>
      <c r="C1523" s="55">
        <v>637.375</v>
      </c>
      <c r="D1523" s="70">
        <f t="shared" si="47"/>
        <v>0.95020270787118499</v>
      </c>
      <c r="E1523" s="180">
        <v>-4.9955118448269838E-3</v>
      </c>
      <c r="G1523" s="78">
        <v>1521</v>
      </c>
      <c r="H1523" s="180">
        <f t="shared" ca="1" si="48"/>
        <v>-1.5612770455256128E-2</v>
      </c>
    </row>
    <row r="1524" spans="2:8" x14ac:dyDescent="0.3">
      <c r="B1524" s="69">
        <v>43124</v>
      </c>
      <c r="C1524" s="55">
        <v>326.82499999999999</v>
      </c>
      <c r="D1524" s="70">
        <f t="shared" si="47"/>
        <v>-0.68113856435522813</v>
      </c>
      <c r="E1524" s="180">
        <v>-5.0232133343482274E-3</v>
      </c>
      <c r="G1524" s="78">
        <v>1522</v>
      </c>
      <c r="H1524" s="180">
        <f t="shared" ca="1" si="48"/>
        <v>1.8044228901874154E-2</v>
      </c>
    </row>
    <row r="1525" spans="2:8" x14ac:dyDescent="0.3">
      <c r="B1525" s="69">
        <v>44735</v>
      </c>
      <c r="C1525" s="55">
        <v>1024.9749999999999</v>
      </c>
      <c r="D1525" s="70">
        <f t="shared" si="47"/>
        <v>-0.80210927695723522</v>
      </c>
      <c r="E1525" s="180">
        <v>-5.0235402611271962E-3</v>
      </c>
      <c r="G1525" s="78">
        <v>1523</v>
      </c>
      <c r="H1525" s="180">
        <f t="shared" ca="1" si="48"/>
        <v>-2.6895806436730545E-2</v>
      </c>
    </row>
    <row r="1526" spans="2:8" x14ac:dyDescent="0.3">
      <c r="B1526" s="69">
        <v>45918</v>
      </c>
      <c r="C1526" s="55">
        <v>5179.5</v>
      </c>
      <c r="D1526" s="70">
        <f t="shared" si="47"/>
        <v>15.431120628122768</v>
      </c>
      <c r="E1526" s="180">
        <v>-5.0425010805359455E-3</v>
      </c>
      <c r="G1526" s="78">
        <v>1524</v>
      </c>
      <c r="H1526" s="180">
        <f t="shared" ca="1" si="48"/>
        <v>4.9601527885768789E-3</v>
      </c>
    </row>
    <row r="1527" spans="2:8" x14ac:dyDescent="0.3">
      <c r="B1527" s="69">
        <v>43031</v>
      </c>
      <c r="C1527" s="55">
        <v>315.22500000000002</v>
      </c>
      <c r="D1527" s="70">
        <f t="shared" si="47"/>
        <v>-2.5579598145285865E-2</v>
      </c>
      <c r="E1527" s="180">
        <v>-5.0501065256844183E-3</v>
      </c>
      <c r="G1527" s="78">
        <v>1525</v>
      </c>
      <c r="H1527" s="180">
        <f t="shared" ca="1" si="48"/>
        <v>-7.0597353275913552E-3</v>
      </c>
    </row>
    <row r="1528" spans="2:8" x14ac:dyDescent="0.3">
      <c r="B1528" s="69">
        <v>43256</v>
      </c>
      <c r="C1528" s="55">
        <v>323.5</v>
      </c>
      <c r="D1528" s="70">
        <f t="shared" si="47"/>
        <v>-7.9789503626795502E-2</v>
      </c>
      <c r="E1528" s="180">
        <v>-5.0745809626325617E-3</v>
      </c>
      <c r="G1528" s="78">
        <v>1526</v>
      </c>
      <c r="H1528" s="180">
        <f t="shared" ca="1" si="48"/>
        <v>-2.0302201149011372E-2</v>
      </c>
    </row>
    <row r="1529" spans="2:8" x14ac:dyDescent="0.3">
      <c r="B1529" s="69">
        <v>43206</v>
      </c>
      <c r="C1529" s="55">
        <v>351.54999999999995</v>
      </c>
      <c r="D1529" s="70">
        <f t="shared" si="47"/>
        <v>-0.7466854013546621</v>
      </c>
      <c r="E1529" s="180">
        <v>-5.0940993349372242E-3</v>
      </c>
      <c r="G1529" s="78">
        <v>1527</v>
      </c>
      <c r="H1529" s="180">
        <f t="shared" ca="1" si="48"/>
        <v>2.8388816024102993E-3</v>
      </c>
    </row>
    <row r="1530" spans="2:8" x14ac:dyDescent="0.3">
      <c r="B1530" s="69">
        <v>44883</v>
      </c>
      <c r="C1530" s="55">
        <v>1387.8000000000002</v>
      </c>
      <c r="D1530" s="70">
        <f t="shared" si="47"/>
        <v>3.0202780996523759</v>
      </c>
      <c r="E1530" s="180">
        <v>-5.1078014947038538E-3</v>
      </c>
      <c r="G1530" s="78">
        <v>1528</v>
      </c>
      <c r="H1530" s="180">
        <f t="shared" ca="1" si="48"/>
        <v>1.8404811956295299E-3</v>
      </c>
    </row>
    <row r="1531" spans="2:8" x14ac:dyDescent="0.3">
      <c r="B1531" s="69">
        <v>43174</v>
      </c>
      <c r="C1531" s="55">
        <v>345.2</v>
      </c>
      <c r="D1531" s="70">
        <f t="shared" si="47"/>
        <v>-0.78381425059886334</v>
      </c>
      <c r="E1531" s="180">
        <v>-5.1156423373442872E-3</v>
      </c>
      <c r="G1531" s="78">
        <v>1529</v>
      </c>
      <c r="H1531" s="180">
        <f t="shared" ca="1" si="48"/>
        <v>1.4390219397560038E-2</v>
      </c>
    </row>
    <row r="1532" spans="2:8" x14ac:dyDescent="0.3">
      <c r="B1532" s="69">
        <v>45089</v>
      </c>
      <c r="C1532" s="55">
        <v>1596.7750000000001</v>
      </c>
      <c r="D1532" s="70">
        <f t="shared" si="47"/>
        <v>-0.62517018779342726</v>
      </c>
      <c r="E1532" s="180">
        <v>-5.1246105919002544E-3</v>
      </c>
      <c r="G1532" s="78">
        <v>1530</v>
      </c>
      <c r="H1532" s="180">
        <f t="shared" ca="1" si="48"/>
        <v>-2.2658596756448178E-2</v>
      </c>
    </row>
    <row r="1533" spans="2:8" x14ac:dyDescent="0.3">
      <c r="B1533" s="69">
        <v>45989</v>
      </c>
      <c r="C1533" s="55">
        <v>4260</v>
      </c>
      <c r="D1533" s="70">
        <f t="shared" si="47"/>
        <v>11.01184266177922</v>
      </c>
      <c r="E1533" s="180">
        <v>-5.1494027393421795E-3</v>
      </c>
      <c r="G1533" s="78">
        <v>1531</v>
      </c>
      <c r="H1533" s="180">
        <f t="shared" ca="1" si="48"/>
        <v>2.2225560627735598E-2</v>
      </c>
    </row>
    <row r="1534" spans="2:8" x14ac:dyDescent="0.3">
      <c r="B1534" s="69">
        <v>43362</v>
      </c>
      <c r="C1534" s="55">
        <v>354.65</v>
      </c>
      <c r="D1534" s="70">
        <f t="shared" si="47"/>
        <v>-0.7380627054174822</v>
      </c>
      <c r="E1534" s="180">
        <v>-5.1893408134642991E-3</v>
      </c>
      <c r="G1534" s="78">
        <v>1532</v>
      </c>
      <c r="H1534" s="180">
        <f t="shared" ca="1" si="48"/>
        <v>1.5491498273764251E-3</v>
      </c>
    </row>
    <row r="1535" spans="2:8" x14ac:dyDescent="0.3">
      <c r="B1535" s="69">
        <v>45027</v>
      </c>
      <c r="C1535" s="55">
        <v>1353.95</v>
      </c>
      <c r="D1535" s="70">
        <f t="shared" si="47"/>
        <v>0.98410023446658867</v>
      </c>
      <c r="E1535" s="180">
        <v>-5.216560743543687E-3</v>
      </c>
      <c r="G1535" s="78">
        <v>1533</v>
      </c>
      <c r="H1535" s="180">
        <f t="shared" ca="1" si="48"/>
        <v>-1.3807325588962676E-2</v>
      </c>
    </row>
    <row r="1536" spans="2:8" x14ac:dyDescent="0.3">
      <c r="B1536" s="69">
        <v>44113</v>
      </c>
      <c r="C1536" s="55">
        <v>682.4</v>
      </c>
      <c r="D1536" s="70">
        <f t="shared" si="47"/>
        <v>-0.89857651906706459</v>
      </c>
      <c r="E1536" s="180">
        <v>-5.2478134110787505E-3</v>
      </c>
      <c r="G1536" s="78">
        <v>1534</v>
      </c>
      <c r="H1536" s="180">
        <f t="shared" ca="1" si="48"/>
        <v>1.1626861929192961E-2</v>
      </c>
    </row>
    <row r="1537" spans="2:8" x14ac:dyDescent="0.3">
      <c r="B1537" s="69">
        <v>45622</v>
      </c>
      <c r="C1537" s="55">
        <v>6728.2250000000004</v>
      </c>
      <c r="D1537" s="70">
        <f t="shared" si="47"/>
        <v>25.757705309206607</v>
      </c>
      <c r="E1537" s="180">
        <v>-5.3331460757210384E-3</v>
      </c>
      <c r="G1537" s="78">
        <v>1535</v>
      </c>
      <c r="H1537" s="180">
        <f t="shared" ca="1" si="48"/>
        <v>-1.424762428712833E-2</v>
      </c>
    </row>
    <row r="1538" spans="2:8" x14ac:dyDescent="0.3">
      <c r="B1538" s="69">
        <v>42872</v>
      </c>
      <c r="C1538" s="55">
        <v>251.45</v>
      </c>
      <c r="D1538" s="70">
        <f t="shared" si="47"/>
        <v>6.2024809923968902E-3</v>
      </c>
      <c r="E1538" s="180">
        <v>-5.3401898734178116E-3</v>
      </c>
      <c r="G1538" s="78">
        <v>1536</v>
      </c>
      <c r="H1538" s="180">
        <f t="shared" ca="1" si="48"/>
        <v>2.8400114670180551E-2</v>
      </c>
    </row>
    <row r="1539" spans="2:8" x14ac:dyDescent="0.3">
      <c r="B1539" s="69">
        <v>42894</v>
      </c>
      <c r="C1539" s="55">
        <v>249.9</v>
      </c>
      <c r="D1539" s="70">
        <f t="shared" ref="D1539:D1602" si="49">(C1539-C1540)/C1540</f>
        <v>-3.0173668380712157E-2</v>
      </c>
      <c r="E1539" s="180">
        <v>-5.373134328358186E-3</v>
      </c>
      <c r="G1539" s="78">
        <v>1537</v>
      </c>
      <c r="H1539" s="180">
        <f t="shared" ca="1" si="48"/>
        <v>9.3924410806369221E-3</v>
      </c>
    </row>
    <row r="1540" spans="2:8" x14ac:dyDescent="0.3">
      <c r="B1540" s="69">
        <v>42942</v>
      </c>
      <c r="C1540" s="55">
        <v>257.67500000000001</v>
      </c>
      <c r="D1540" s="70">
        <f t="shared" si="49"/>
        <v>-0.19287392325763505</v>
      </c>
      <c r="E1540" s="180">
        <v>-5.4038405867026049E-3</v>
      </c>
      <c r="G1540" s="78">
        <v>1538</v>
      </c>
      <c r="H1540" s="180">
        <f t="shared" ref="H1540:H1603" ca="1" si="50">_xlfn.NORM.INV(RAND(),$N$4,$N$5)</f>
        <v>-4.0224082851721913E-4</v>
      </c>
    </row>
    <row r="1541" spans="2:8" x14ac:dyDescent="0.3">
      <c r="B1541" s="69">
        <v>43270</v>
      </c>
      <c r="C1541" s="55">
        <v>319.25</v>
      </c>
      <c r="D1541" s="70">
        <f t="shared" si="49"/>
        <v>-0.71510162193516713</v>
      </c>
      <c r="E1541" s="180">
        <v>-5.451713395638629E-3</v>
      </c>
      <c r="G1541" s="78">
        <v>1539</v>
      </c>
      <c r="H1541" s="180">
        <f t="shared" ca="1" si="50"/>
        <v>4.0353883319385413E-4</v>
      </c>
    </row>
    <row r="1542" spans="2:8" x14ac:dyDescent="0.3">
      <c r="B1542" s="69">
        <v>44522</v>
      </c>
      <c r="C1542" s="55">
        <v>1120.5749999999998</v>
      </c>
      <c r="D1542" s="70">
        <f t="shared" si="49"/>
        <v>-0.7816898664510662</v>
      </c>
      <c r="E1542" s="180">
        <v>-5.4803638784115217E-3</v>
      </c>
      <c r="G1542" s="78">
        <v>1540</v>
      </c>
      <c r="H1542" s="180">
        <f t="shared" ca="1" si="50"/>
        <v>-2.0251181544105493E-2</v>
      </c>
    </row>
    <row r="1543" spans="2:8" x14ac:dyDescent="0.3">
      <c r="B1543" s="69">
        <v>45496</v>
      </c>
      <c r="C1543" s="55">
        <v>5132.95</v>
      </c>
      <c r="D1543" s="70">
        <f t="shared" si="49"/>
        <v>2.6760424686229922</v>
      </c>
      <c r="E1543" s="180">
        <v>-5.483167837248764E-3</v>
      </c>
      <c r="G1543" s="78">
        <v>1541</v>
      </c>
      <c r="H1543" s="180">
        <f t="shared" ca="1" si="50"/>
        <v>-5.5683408319533473E-2</v>
      </c>
    </row>
    <row r="1544" spans="2:8" x14ac:dyDescent="0.3">
      <c r="B1544" s="69">
        <v>45049</v>
      </c>
      <c r="C1544" s="55">
        <v>1396.325</v>
      </c>
      <c r="D1544" s="70">
        <f t="shared" si="49"/>
        <v>3.0003581148832552</v>
      </c>
      <c r="E1544" s="180">
        <v>-5.4842328306120222E-3</v>
      </c>
      <c r="G1544" s="78">
        <v>1542</v>
      </c>
      <c r="H1544" s="180">
        <f t="shared" ca="1" si="50"/>
        <v>9.6845638013474261E-3</v>
      </c>
    </row>
    <row r="1545" spans="2:8" x14ac:dyDescent="0.3">
      <c r="B1545" s="69">
        <v>43453</v>
      </c>
      <c r="C1545" s="55">
        <v>349.04999999999995</v>
      </c>
      <c r="D1545" s="70">
        <f t="shared" si="49"/>
        <v>-0.68383152173913042</v>
      </c>
      <c r="E1545" s="180">
        <v>-5.4847211339840961E-3</v>
      </c>
      <c r="G1545" s="78">
        <v>1543</v>
      </c>
      <c r="H1545" s="180">
        <f t="shared" ca="1" si="50"/>
        <v>-1.3353297926201128E-2</v>
      </c>
    </row>
    <row r="1546" spans="2:8" x14ac:dyDescent="0.3">
      <c r="B1546" s="69">
        <v>44524</v>
      </c>
      <c r="C1546" s="55">
        <v>1104</v>
      </c>
      <c r="D1546" s="70">
        <f t="shared" si="49"/>
        <v>2.1439555745407946</v>
      </c>
      <c r="E1546" s="180">
        <v>-5.4950004504097918E-3</v>
      </c>
      <c r="G1546" s="78">
        <v>1544</v>
      </c>
      <c r="H1546" s="180">
        <f t="shared" ca="1" si="50"/>
        <v>-2.0962556215119225E-2</v>
      </c>
    </row>
    <row r="1547" spans="2:8" x14ac:dyDescent="0.3">
      <c r="B1547" s="69">
        <v>43475</v>
      </c>
      <c r="C1547" s="55">
        <v>351.15</v>
      </c>
      <c r="D1547" s="70">
        <f t="shared" si="49"/>
        <v>-0.46914093503155829</v>
      </c>
      <c r="E1547" s="180">
        <v>-5.5225148683093889E-3</v>
      </c>
      <c r="G1547" s="78">
        <v>1545</v>
      </c>
      <c r="H1547" s="180">
        <f t="shared" ca="1" si="50"/>
        <v>2.3128165572399519E-2</v>
      </c>
    </row>
    <row r="1548" spans="2:8" x14ac:dyDescent="0.3">
      <c r="B1548" s="69">
        <v>44137</v>
      </c>
      <c r="C1548" s="55">
        <v>661.47500000000002</v>
      </c>
      <c r="D1548" s="70">
        <f t="shared" si="49"/>
        <v>1.7294202599546111</v>
      </c>
      <c r="E1548" s="180">
        <v>-5.5250695331879344E-3</v>
      </c>
      <c r="G1548" s="78">
        <v>1546</v>
      </c>
      <c r="H1548" s="180">
        <f t="shared" ca="1" si="50"/>
        <v>2.3330418270907365E-2</v>
      </c>
    </row>
    <row r="1549" spans="2:8" x14ac:dyDescent="0.3">
      <c r="B1549" s="69">
        <v>42879</v>
      </c>
      <c r="C1549" s="55">
        <v>242.35</v>
      </c>
      <c r="D1549" s="70">
        <f t="shared" si="49"/>
        <v>-0.66206511887331798</v>
      </c>
      <c r="E1549" s="180">
        <v>-5.5395978662289473E-3</v>
      </c>
      <c r="G1549" s="78">
        <v>1547</v>
      </c>
      <c r="H1549" s="180">
        <f t="shared" ca="1" si="50"/>
        <v>-2.7900772906427999E-3</v>
      </c>
    </row>
    <row r="1550" spans="2:8" x14ac:dyDescent="0.3">
      <c r="B1550" s="69">
        <v>44162</v>
      </c>
      <c r="C1550" s="55">
        <v>717.15</v>
      </c>
      <c r="D1550" s="70">
        <f t="shared" si="49"/>
        <v>1.8452687958738343</v>
      </c>
      <c r="E1550" s="180">
        <v>-5.5811696190244771E-3</v>
      </c>
      <c r="G1550" s="78">
        <v>1548</v>
      </c>
      <c r="H1550" s="180">
        <f t="shared" ca="1" si="50"/>
        <v>2.7605802289568184E-2</v>
      </c>
    </row>
    <row r="1551" spans="2:8" x14ac:dyDescent="0.3">
      <c r="B1551" s="69">
        <v>42901</v>
      </c>
      <c r="C1551" s="55">
        <v>252.05</v>
      </c>
      <c r="D1551" s="70">
        <f t="shared" si="49"/>
        <v>-0.3014619275271947</v>
      </c>
      <c r="E1551" s="180">
        <v>-5.6218561988361096E-3</v>
      </c>
      <c r="G1551" s="78">
        <v>1549</v>
      </c>
      <c r="H1551" s="180">
        <f t="shared" ca="1" si="50"/>
        <v>-2.2280253135678302E-2</v>
      </c>
    </row>
    <row r="1552" spans="2:8" x14ac:dyDescent="0.3">
      <c r="B1552" s="69">
        <v>43556</v>
      </c>
      <c r="C1552" s="55">
        <v>360.82500000000005</v>
      </c>
      <c r="D1552" s="70">
        <f t="shared" si="49"/>
        <v>-0.91724007431363108</v>
      </c>
      <c r="E1552" s="180">
        <v>-5.6493282810884038E-3</v>
      </c>
      <c r="G1552" s="78">
        <v>1550</v>
      </c>
      <c r="H1552" s="180">
        <f t="shared" ca="1" si="50"/>
        <v>-3.1775908298278394E-3</v>
      </c>
    </row>
    <row r="1553" spans="2:8" x14ac:dyDescent="0.3">
      <c r="B1553" s="69">
        <v>45980</v>
      </c>
      <c r="C1553" s="55">
        <v>4359.8999999999996</v>
      </c>
      <c r="D1553" s="70">
        <f t="shared" si="49"/>
        <v>2.1213487972508585</v>
      </c>
      <c r="E1553" s="180">
        <v>-5.7013842961070949E-3</v>
      </c>
      <c r="G1553" s="78">
        <v>1551</v>
      </c>
      <c r="H1553" s="180">
        <f t="shared" ca="1" si="50"/>
        <v>-5.3456648994924812E-2</v>
      </c>
    </row>
    <row r="1554" spans="2:8" x14ac:dyDescent="0.3">
      <c r="B1554" s="69">
        <v>44809</v>
      </c>
      <c r="C1554" s="55">
        <v>1396.8000000000002</v>
      </c>
      <c r="D1554" s="70">
        <f t="shared" si="49"/>
        <v>3.3392357875116501</v>
      </c>
      <c r="E1554" s="180">
        <v>-5.7124552880249407E-3</v>
      </c>
      <c r="G1554" s="78">
        <v>1552</v>
      </c>
      <c r="H1554" s="180">
        <f t="shared" ca="1" si="50"/>
        <v>3.2237457873729336E-2</v>
      </c>
    </row>
    <row r="1555" spans="2:8" x14ac:dyDescent="0.3">
      <c r="B1555" s="69">
        <v>43444</v>
      </c>
      <c r="C1555" s="55">
        <v>321.89999999999998</v>
      </c>
      <c r="D1555" s="70">
        <f t="shared" si="49"/>
        <v>-0.93829994201842959</v>
      </c>
      <c r="E1555" s="180">
        <v>-5.7142857142857845E-3</v>
      </c>
      <c r="G1555" s="78">
        <v>1553</v>
      </c>
      <c r="H1555" s="180">
        <f t="shared" ca="1" si="50"/>
        <v>-1.8869653693679843E-2</v>
      </c>
    </row>
    <row r="1556" spans="2:8" x14ac:dyDescent="0.3">
      <c r="B1556" s="69">
        <v>45736</v>
      </c>
      <c r="C1556" s="55">
        <v>5217.1750000000002</v>
      </c>
      <c r="D1556" s="70">
        <f t="shared" si="49"/>
        <v>10.254826879516772</v>
      </c>
      <c r="E1556" s="180">
        <v>-5.7315736814521545E-3</v>
      </c>
      <c r="G1556" s="78">
        <v>1554</v>
      </c>
      <c r="H1556" s="180">
        <f t="shared" ca="1" si="50"/>
        <v>2.6225875085680644E-3</v>
      </c>
    </row>
    <row r="1557" spans="2:8" x14ac:dyDescent="0.3">
      <c r="B1557" s="69">
        <v>43980</v>
      </c>
      <c r="C1557" s="55">
        <v>463.55</v>
      </c>
      <c r="D1557" s="70">
        <f t="shared" si="49"/>
        <v>-0.64640146458675007</v>
      </c>
      <c r="E1557" s="180">
        <v>-5.7375730602177303E-3</v>
      </c>
      <c r="G1557" s="78">
        <v>1555</v>
      </c>
      <c r="H1557" s="180">
        <f t="shared" ca="1" si="50"/>
        <v>2.2975156711570344E-2</v>
      </c>
    </row>
    <row r="1558" spans="2:8" x14ac:dyDescent="0.3">
      <c r="B1558" s="69">
        <v>44971</v>
      </c>
      <c r="C1558" s="55">
        <v>1310.95</v>
      </c>
      <c r="D1558" s="70">
        <f t="shared" si="49"/>
        <v>4.5203705653226658</v>
      </c>
      <c r="E1558" s="180">
        <v>-5.7450560285167481E-3</v>
      </c>
      <c r="G1558" s="78">
        <v>1556</v>
      </c>
      <c r="H1558" s="180">
        <f t="shared" ca="1" si="50"/>
        <v>-2.1791740405531822E-3</v>
      </c>
    </row>
    <row r="1559" spans="2:8" x14ac:dyDescent="0.3">
      <c r="B1559" s="69">
        <v>42921</v>
      </c>
      <c r="C1559" s="55">
        <v>237.47499999999999</v>
      </c>
      <c r="D1559" s="70">
        <f t="shared" si="49"/>
        <v>-0.96308257936137798</v>
      </c>
      <c r="E1559" s="180">
        <v>-5.7567510990161191E-3</v>
      </c>
      <c r="G1559" s="78">
        <v>1557</v>
      </c>
      <c r="H1559" s="180">
        <f t="shared" ca="1" si="50"/>
        <v>-5.1930697647595645E-3</v>
      </c>
    </row>
    <row r="1560" spans="2:8" x14ac:dyDescent="0.3">
      <c r="B1560" s="69">
        <v>45617</v>
      </c>
      <c r="C1560" s="55">
        <v>6432.6</v>
      </c>
      <c r="D1560" s="70">
        <f t="shared" si="49"/>
        <v>25.336131013306041</v>
      </c>
      <c r="E1560" s="180">
        <v>-5.7574750573815463E-3</v>
      </c>
      <c r="G1560" s="78">
        <v>1558</v>
      </c>
      <c r="H1560" s="180">
        <f t="shared" ca="1" si="50"/>
        <v>-3.4660826356307843E-2</v>
      </c>
    </row>
    <row r="1561" spans="2:8" x14ac:dyDescent="0.3">
      <c r="B1561" s="69">
        <v>42877</v>
      </c>
      <c r="C1561" s="55">
        <v>244.25</v>
      </c>
      <c r="D1561" s="70">
        <f t="shared" si="49"/>
        <v>-0.27661779949651999</v>
      </c>
      <c r="E1561" s="180">
        <v>-5.800345985550061E-3</v>
      </c>
      <c r="G1561" s="78">
        <v>1559</v>
      </c>
      <c r="H1561" s="180">
        <f t="shared" ca="1" si="50"/>
        <v>-2.6865984765874675E-2</v>
      </c>
    </row>
    <row r="1562" spans="2:8" x14ac:dyDescent="0.3">
      <c r="B1562" s="69">
        <v>43229</v>
      </c>
      <c r="C1562" s="55">
        <v>337.65</v>
      </c>
      <c r="D1562" s="70">
        <f t="shared" si="49"/>
        <v>-0.93922239222392234</v>
      </c>
      <c r="E1562" s="180">
        <v>-5.8884145443839249E-3</v>
      </c>
      <c r="G1562" s="78">
        <v>1560</v>
      </c>
      <c r="H1562" s="180">
        <f t="shared" ca="1" si="50"/>
        <v>2.3991042581747234E-2</v>
      </c>
    </row>
    <row r="1563" spans="2:8" x14ac:dyDescent="0.3">
      <c r="B1563" s="69">
        <v>45905</v>
      </c>
      <c r="C1563" s="55">
        <v>5555.5</v>
      </c>
      <c r="D1563" s="70">
        <f t="shared" si="49"/>
        <v>16.689858302818021</v>
      </c>
      <c r="E1563" s="180">
        <v>-5.9049834481524561E-3</v>
      </c>
      <c r="G1563" s="78">
        <v>1561</v>
      </c>
      <c r="H1563" s="180">
        <f t="shared" ca="1" si="50"/>
        <v>3.2676803797359585E-2</v>
      </c>
    </row>
    <row r="1564" spans="2:8" x14ac:dyDescent="0.3">
      <c r="B1564" s="69">
        <v>43164</v>
      </c>
      <c r="C1564" s="55">
        <v>314.05</v>
      </c>
      <c r="D1564" s="70">
        <f t="shared" si="49"/>
        <v>-0.55999999999999994</v>
      </c>
      <c r="E1564" s="180">
        <v>-5.9349529160400202E-3</v>
      </c>
      <c r="G1564" s="78">
        <v>1562</v>
      </c>
      <c r="H1564" s="180">
        <f t="shared" ca="1" si="50"/>
        <v>2.8155532565404175E-3</v>
      </c>
    </row>
    <row r="1565" spans="2:8" x14ac:dyDescent="0.3">
      <c r="B1565" s="69">
        <v>44293</v>
      </c>
      <c r="C1565" s="55">
        <v>713.75</v>
      </c>
      <c r="D1565" s="70">
        <f t="shared" si="49"/>
        <v>-0.8584524464672606</v>
      </c>
      <c r="E1565" s="180">
        <v>-5.9538316910970751E-3</v>
      </c>
      <c r="G1565" s="78">
        <v>1563</v>
      </c>
      <c r="H1565" s="180">
        <f t="shared" ca="1" si="50"/>
        <v>3.471246772667344E-3</v>
      </c>
    </row>
    <row r="1566" spans="2:8" x14ac:dyDescent="0.3">
      <c r="B1566" s="69">
        <v>45723</v>
      </c>
      <c r="C1566" s="55">
        <v>5042.4750000000004</v>
      </c>
      <c r="D1566" s="70">
        <f t="shared" si="49"/>
        <v>19.665881147540986</v>
      </c>
      <c r="E1566" s="180">
        <v>-5.9632643204589244E-3</v>
      </c>
      <c r="G1566" s="78">
        <v>1564</v>
      </c>
      <c r="H1566" s="180">
        <f t="shared" ca="1" si="50"/>
        <v>-1.2667400298535907E-2</v>
      </c>
    </row>
    <row r="1567" spans="2:8" x14ac:dyDescent="0.3">
      <c r="B1567" s="69">
        <v>42928</v>
      </c>
      <c r="C1567" s="55">
        <v>244</v>
      </c>
      <c r="D1567" s="70">
        <f t="shared" si="49"/>
        <v>-0.81653100738763462</v>
      </c>
      <c r="E1567" s="180">
        <v>-6.0087585293817879E-3</v>
      </c>
      <c r="G1567" s="78">
        <v>1565</v>
      </c>
      <c r="H1567" s="180">
        <f t="shared" ca="1" si="50"/>
        <v>4.5017453538648049E-2</v>
      </c>
    </row>
    <row r="1568" spans="2:8" x14ac:dyDescent="0.3">
      <c r="B1568" s="69">
        <v>44980</v>
      </c>
      <c r="C1568" s="55">
        <v>1329.925</v>
      </c>
      <c r="D1568" s="70">
        <f t="shared" si="49"/>
        <v>0.71012955283376733</v>
      </c>
      <c r="E1568" s="180">
        <v>-6.0165548683644727E-3</v>
      </c>
      <c r="G1568" s="78">
        <v>1566</v>
      </c>
      <c r="H1568" s="180">
        <f t="shared" ca="1" si="50"/>
        <v>-1.7340509973130545E-2</v>
      </c>
    </row>
    <row r="1569" spans="2:8" x14ac:dyDescent="0.3">
      <c r="B1569" s="69">
        <v>44159</v>
      </c>
      <c r="C1569" s="55">
        <v>777.67499999999995</v>
      </c>
      <c r="D1569" s="70">
        <f t="shared" si="49"/>
        <v>0.54753494851002438</v>
      </c>
      <c r="E1569" s="180">
        <v>-6.0708694124037453E-3</v>
      </c>
      <c r="G1569" s="78">
        <v>1567</v>
      </c>
      <c r="H1569" s="180">
        <f t="shared" ca="1" si="50"/>
        <v>2.2498753277153446E-2</v>
      </c>
    </row>
    <row r="1570" spans="2:8" x14ac:dyDescent="0.3">
      <c r="B1570" s="69">
        <v>43805</v>
      </c>
      <c r="C1570" s="55">
        <v>502.52499999999998</v>
      </c>
      <c r="D1570" s="70">
        <f t="shared" si="49"/>
        <v>0.57766266384114284</v>
      </c>
      <c r="E1570" s="180">
        <v>-6.0818829113924947E-3</v>
      </c>
      <c r="G1570" s="78">
        <v>1568</v>
      </c>
      <c r="H1570" s="180">
        <f t="shared" ca="1" si="50"/>
        <v>2.841611917936927E-2</v>
      </c>
    </row>
    <row r="1571" spans="2:8" x14ac:dyDescent="0.3">
      <c r="B1571" s="69">
        <v>43273</v>
      </c>
      <c r="C1571" s="55">
        <v>318.52499999999998</v>
      </c>
      <c r="D1571" s="70">
        <f t="shared" si="49"/>
        <v>-7.0000000000000062E-2</v>
      </c>
      <c r="E1571" s="180">
        <v>-6.0847179967237547E-3</v>
      </c>
      <c r="G1571" s="78">
        <v>1569</v>
      </c>
      <c r="H1571" s="180">
        <f t="shared" ca="1" si="50"/>
        <v>-3.7405424786428006E-2</v>
      </c>
    </row>
    <row r="1572" spans="2:8" x14ac:dyDescent="0.3">
      <c r="B1572" s="69">
        <v>43510</v>
      </c>
      <c r="C1572" s="55">
        <v>342.5</v>
      </c>
      <c r="D1572" s="70">
        <f t="shared" si="49"/>
        <v>-0.31079585471375387</v>
      </c>
      <c r="E1572" s="180">
        <v>-6.0940220545560725E-3</v>
      </c>
      <c r="G1572" s="78">
        <v>1570</v>
      </c>
      <c r="H1572" s="180">
        <f t="shared" ca="1" si="50"/>
        <v>1.476923267467866E-3</v>
      </c>
    </row>
    <row r="1573" spans="2:8" x14ac:dyDescent="0.3">
      <c r="B1573" s="69">
        <v>43810</v>
      </c>
      <c r="C1573" s="55">
        <v>496.95</v>
      </c>
      <c r="D1573" s="70">
        <f t="shared" si="49"/>
        <v>0.44725154714233706</v>
      </c>
      <c r="E1573" s="180">
        <v>-6.1000000000000229E-3</v>
      </c>
      <c r="G1573" s="78">
        <v>1571</v>
      </c>
      <c r="H1573" s="180">
        <f t="shared" ca="1" si="50"/>
        <v>-1.5097657429026823E-2</v>
      </c>
    </row>
    <row r="1574" spans="2:8" x14ac:dyDescent="0.3">
      <c r="B1574" s="69">
        <v>43186</v>
      </c>
      <c r="C1574" s="55">
        <v>343.375</v>
      </c>
      <c r="D1574" s="70">
        <f t="shared" si="49"/>
        <v>-0.90017443128134311</v>
      </c>
      <c r="E1574" s="180">
        <v>-6.1505065123010133E-3</v>
      </c>
      <c r="G1574" s="78">
        <v>1572</v>
      </c>
      <c r="H1574" s="180">
        <f t="shared" ca="1" si="50"/>
        <v>1.5074835682222096E-2</v>
      </c>
    </row>
    <row r="1575" spans="2:8" x14ac:dyDescent="0.3">
      <c r="B1575" s="69">
        <v>46108</v>
      </c>
      <c r="C1575" s="55">
        <v>3439.75</v>
      </c>
      <c r="D1575" s="70">
        <f t="shared" si="49"/>
        <v>-0.26620232101715169</v>
      </c>
      <c r="E1575" s="180">
        <v>-6.1829160828048742E-3</v>
      </c>
      <c r="G1575" s="78">
        <v>1573</v>
      </c>
      <c r="H1575" s="180">
        <f t="shared" ca="1" si="50"/>
        <v>-5.3630315467578958E-3</v>
      </c>
    </row>
    <row r="1576" spans="2:8" x14ac:dyDescent="0.3">
      <c r="B1576" s="69">
        <v>45964</v>
      </c>
      <c r="C1576" s="55">
        <v>4687.6000000000004</v>
      </c>
      <c r="D1576" s="70">
        <f t="shared" si="49"/>
        <v>3.2737902582453904</v>
      </c>
      <c r="E1576" s="180">
        <v>-6.2433088476905934E-3</v>
      </c>
      <c r="G1576" s="78">
        <v>1574</v>
      </c>
      <c r="H1576" s="180">
        <f t="shared" ca="1" si="50"/>
        <v>7.6097112686048553E-3</v>
      </c>
    </row>
    <row r="1577" spans="2:8" x14ac:dyDescent="0.3">
      <c r="B1577" s="69">
        <v>44504</v>
      </c>
      <c r="C1577" s="55">
        <v>1096.825</v>
      </c>
      <c r="D1577" s="70">
        <f t="shared" si="49"/>
        <v>2.00850305149832</v>
      </c>
      <c r="E1577" s="180">
        <v>-6.2515572266641272E-3</v>
      </c>
      <c r="G1577" s="78">
        <v>1575</v>
      </c>
      <c r="H1577" s="180">
        <f t="shared" ca="1" si="50"/>
        <v>1.5039161910709213E-2</v>
      </c>
    </row>
    <row r="1578" spans="2:8" x14ac:dyDescent="0.3">
      <c r="B1578" s="69">
        <v>43346</v>
      </c>
      <c r="C1578" s="55">
        <v>364.57499999999999</v>
      </c>
      <c r="D1578" s="70">
        <f t="shared" si="49"/>
        <v>1.2075785967103798E-2</v>
      </c>
      <c r="E1578" s="180">
        <v>-6.2691652470187702E-3</v>
      </c>
      <c r="G1578" s="78">
        <v>1576</v>
      </c>
      <c r="H1578" s="180">
        <f t="shared" ca="1" si="50"/>
        <v>-8.1573705328231907E-3</v>
      </c>
    </row>
    <row r="1579" spans="2:8" x14ac:dyDescent="0.3">
      <c r="B1579" s="69">
        <v>43354</v>
      </c>
      <c r="C1579" s="55">
        <v>360.22500000000002</v>
      </c>
      <c r="D1579" s="70">
        <f t="shared" si="49"/>
        <v>-0.30862242694688347</v>
      </c>
      <c r="E1579" s="180">
        <v>-6.2758620689654541E-3</v>
      </c>
      <c r="G1579" s="78">
        <v>1577</v>
      </c>
      <c r="H1579" s="180">
        <f t="shared" ca="1" si="50"/>
        <v>1.985692055484143E-2</v>
      </c>
    </row>
    <row r="1580" spans="2:8" x14ac:dyDescent="0.3">
      <c r="B1580" s="69">
        <v>43825</v>
      </c>
      <c r="C1580" s="55">
        <v>521.02499999999998</v>
      </c>
      <c r="D1580" s="70">
        <f t="shared" si="49"/>
        <v>-0.8673198495005634</v>
      </c>
      <c r="E1580" s="180">
        <v>-6.2938063224146626E-3</v>
      </c>
      <c r="G1580" s="78">
        <v>1578</v>
      </c>
      <c r="H1580" s="180">
        <f t="shared" ca="1" si="50"/>
        <v>-3.1654629436807205E-2</v>
      </c>
    </row>
    <row r="1581" spans="2:8" x14ac:dyDescent="0.3">
      <c r="B1581" s="69">
        <v>45391</v>
      </c>
      <c r="C1581" s="55">
        <v>3926.9250000000002</v>
      </c>
      <c r="D1581" s="70">
        <f t="shared" si="49"/>
        <v>2.7797054718706389</v>
      </c>
      <c r="E1581" s="180">
        <v>-6.2945999291462119E-3</v>
      </c>
      <c r="G1581" s="78">
        <v>1579</v>
      </c>
      <c r="H1581" s="180">
        <f t="shared" ca="1" si="50"/>
        <v>1.2395836055838215E-2</v>
      </c>
    </row>
    <row r="1582" spans="2:8" x14ac:dyDescent="0.3">
      <c r="B1582" s="69">
        <v>44559</v>
      </c>
      <c r="C1582" s="55">
        <v>1038.95</v>
      </c>
      <c r="D1582" s="70">
        <f t="shared" si="49"/>
        <v>4.3803687145225319E-2</v>
      </c>
      <c r="E1582" s="180">
        <v>-6.312467122566983E-3</v>
      </c>
      <c r="G1582" s="78">
        <v>1580</v>
      </c>
      <c r="H1582" s="180">
        <f t="shared" ca="1" si="50"/>
        <v>-7.4895829997111809E-3</v>
      </c>
    </row>
    <row r="1583" spans="2:8" x14ac:dyDescent="0.3">
      <c r="B1583" s="69">
        <v>44466</v>
      </c>
      <c r="C1583" s="55">
        <v>995.35</v>
      </c>
      <c r="D1583" s="70">
        <f t="shared" si="49"/>
        <v>-0.73584480036092947</v>
      </c>
      <c r="E1583" s="180">
        <v>-6.3144233409039184E-3</v>
      </c>
      <c r="G1583" s="78">
        <v>1581</v>
      </c>
      <c r="H1583" s="180">
        <f t="shared" ca="1" si="50"/>
        <v>1.3454829820122477E-2</v>
      </c>
    </row>
    <row r="1584" spans="2:8" x14ac:dyDescent="0.3">
      <c r="B1584" s="69">
        <v>46049</v>
      </c>
      <c r="C1584" s="55">
        <v>3768.05</v>
      </c>
      <c r="D1584" s="70">
        <f t="shared" si="49"/>
        <v>2.6494430992736078</v>
      </c>
      <c r="E1584" s="180">
        <v>-6.3159282700421459E-3</v>
      </c>
      <c r="G1584" s="78">
        <v>1582</v>
      </c>
      <c r="H1584" s="180">
        <f t="shared" ca="1" si="50"/>
        <v>-7.6256117906642611E-4</v>
      </c>
    </row>
    <row r="1585" spans="2:8" x14ac:dyDescent="0.3">
      <c r="B1585" s="69">
        <v>44540</v>
      </c>
      <c r="C1585" s="55">
        <v>1032.5</v>
      </c>
      <c r="D1585" s="70">
        <f t="shared" si="49"/>
        <v>2.1280769522078313</v>
      </c>
      <c r="E1585" s="180">
        <v>-6.3516504667499854E-3</v>
      </c>
      <c r="G1585" s="78">
        <v>1583</v>
      </c>
      <c r="H1585" s="180">
        <f t="shared" ca="1" si="50"/>
        <v>-1.1542130544349874E-2</v>
      </c>
    </row>
    <row r="1586" spans="2:8" x14ac:dyDescent="0.3">
      <c r="B1586" s="69">
        <v>43438</v>
      </c>
      <c r="C1586" s="55">
        <v>330.07500000000005</v>
      </c>
      <c r="D1586" s="70">
        <f t="shared" si="49"/>
        <v>-0.48973913043478257</v>
      </c>
      <c r="E1586" s="180">
        <v>-6.3967489464178198E-3</v>
      </c>
      <c r="G1586" s="78">
        <v>1584</v>
      </c>
      <c r="H1586" s="180">
        <f t="shared" ca="1" si="50"/>
        <v>-4.4643629390156035E-3</v>
      </c>
    </row>
    <row r="1587" spans="2:8" x14ac:dyDescent="0.3">
      <c r="B1587" s="69">
        <v>44125</v>
      </c>
      <c r="C1587" s="55">
        <v>646.875</v>
      </c>
      <c r="D1587" s="70">
        <f t="shared" si="49"/>
        <v>-0.87517487577789566</v>
      </c>
      <c r="E1587" s="180">
        <v>-6.4127179172105905E-3</v>
      </c>
      <c r="G1587" s="78">
        <v>1585</v>
      </c>
      <c r="H1587" s="180">
        <f t="shared" ca="1" si="50"/>
        <v>3.4894224428539374E-3</v>
      </c>
    </row>
    <row r="1588" spans="2:8" x14ac:dyDescent="0.3">
      <c r="B1588" s="69">
        <v>45911</v>
      </c>
      <c r="C1588" s="55">
        <v>5182.25</v>
      </c>
      <c r="D1588" s="70">
        <f t="shared" si="49"/>
        <v>14.162753273352354</v>
      </c>
      <c r="E1588" s="180">
        <v>-6.4228538561089009E-3</v>
      </c>
      <c r="G1588" s="78">
        <v>1586</v>
      </c>
      <c r="H1588" s="180">
        <f t="shared" ca="1" si="50"/>
        <v>2.5606718490173857E-2</v>
      </c>
    </row>
    <row r="1589" spans="2:8" x14ac:dyDescent="0.3">
      <c r="B1589" s="69">
        <v>43180</v>
      </c>
      <c r="C1589" s="55">
        <v>341.77499999999998</v>
      </c>
      <c r="D1589" s="70">
        <f t="shared" si="49"/>
        <v>7.4933165592074191E-2</v>
      </c>
      <c r="E1589" s="180">
        <v>-6.46802325581402E-3</v>
      </c>
      <c r="G1589" s="78">
        <v>1587</v>
      </c>
      <c r="H1589" s="180">
        <f t="shared" ca="1" si="50"/>
        <v>5.5702188986733138E-3</v>
      </c>
    </row>
    <row r="1590" spans="2:8" x14ac:dyDescent="0.3">
      <c r="B1590" s="69">
        <v>43146</v>
      </c>
      <c r="C1590" s="55">
        <v>317.95</v>
      </c>
      <c r="D1590" s="70">
        <f t="shared" si="49"/>
        <v>-0.93177770625469369</v>
      </c>
      <c r="E1590" s="180">
        <v>-6.483868447777482E-3</v>
      </c>
      <c r="G1590" s="78">
        <v>1588</v>
      </c>
      <c r="H1590" s="180">
        <f t="shared" ca="1" si="50"/>
        <v>-2.2126081434417216E-2</v>
      </c>
    </row>
    <row r="1591" spans="2:8" x14ac:dyDescent="0.3">
      <c r="B1591" s="69">
        <v>45943</v>
      </c>
      <c r="C1591" s="55">
        <v>4660.5</v>
      </c>
      <c r="D1591" s="70">
        <f t="shared" si="49"/>
        <v>0.11428571428571428</v>
      </c>
      <c r="E1591" s="180">
        <v>-6.5018119803879771E-3</v>
      </c>
      <c r="G1591" s="78">
        <v>1589</v>
      </c>
      <c r="H1591" s="180">
        <f t="shared" ca="1" si="50"/>
        <v>2.2961564075722488E-2</v>
      </c>
    </row>
    <row r="1592" spans="2:8" x14ac:dyDescent="0.3">
      <c r="B1592" s="69">
        <v>45405</v>
      </c>
      <c r="C1592" s="55">
        <v>4182.5</v>
      </c>
      <c r="D1592" s="70">
        <f t="shared" si="49"/>
        <v>10.55626165642053</v>
      </c>
      <c r="E1592" s="180">
        <v>-6.5084681346349411E-3</v>
      </c>
      <c r="G1592" s="78">
        <v>1590</v>
      </c>
      <c r="H1592" s="180">
        <f t="shared" ca="1" si="50"/>
        <v>-9.875586818410078E-3</v>
      </c>
    </row>
    <row r="1593" spans="2:8" x14ac:dyDescent="0.3">
      <c r="B1593" s="69">
        <v>43488</v>
      </c>
      <c r="C1593" s="55">
        <v>361.92499999999995</v>
      </c>
      <c r="D1593" s="70">
        <f t="shared" si="49"/>
        <v>0.10511450381679376</v>
      </c>
      <c r="E1593" s="180">
        <v>-6.5193521822675179E-3</v>
      </c>
      <c r="G1593" s="78">
        <v>1591</v>
      </c>
      <c r="H1593" s="180">
        <f t="shared" ca="1" si="50"/>
        <v>1.3263716766586622E-2</v>
      </c>
    </row>
    <row r="1594" spans="2:8" x14ac:dyDescent="0.3">
      <c r="B1594" s="69">
        <v>43083</v>
      </c>
      <c r="C1594" s="55">
        <v>327.5</v>
      </c>
      <c r="D1594" s="70">
        <f t="shared" si="49"/>
        <v>-0.32696259761611185</v>
      </c>
      <c r="E1594" s="180">
        <v>-6.5220688609130212E-3</v>
      </c>
      <c r="G1594" s="78">
        <v>1592</v>
      </c>
      <c r="H1594" s="180">
        <f t="shared" ca="1" si="50"/>
        <v>2.4273684009737121E-2</v>
      </c>
    </row>
    <row r="1595" spans="2:8" x14ac:dyDescent="0.3">
      <c r="B1595" s="69">
        <v>43945</v>
      </c>
      <c r="C1595" s="55">
        <v>486.6</v>
      </c>
      <c r="D1595" s="70">
        <f t="shared" si="49"/>
        <v>-0.87580715142543586</v>
      </c>
      <c r="E1595" s="180">
        <v>-6.5332788893425657E-3</v>
      </c>
      <c r="G1595" s="78">
        <v>1593</v>
      </c>
      <c r="H1595" s="180">
        <f t="shared" ca="1" si="50"/>
        <v>2.3545347313526709E-2</v>
      </c>
    </row>
    <row r="1596" spans="2:8" x14ac:dyDescent="0.3">
      <c r="B1596" s="69">
        <v>46036</v>
      </c>
      <c r="C1596" s="55">
        <v>3918.1</v>
      </c>
      <c r="D1596" s="70">
        <f t="shared" si="49"/>
        <v>2.3327095649215326</v>
      </c>
      <c r="E1596" s="180">
        <v>-6.5417480159233703E-3</v>
      </c>
      <c r="G1596" s="78">
        <v>1594</v>
      </c>
      <c r="H1596" s="180">
        <f t="shared" ca="1" si="50"/>
        <v>-6.5721463575022865E-3</v>
      </c>
    </row>
    <row r="1597" spans="2:8" x14ac:dyDescent="0.3">
      <c r="B1597" s="69">
        <v>44956</v>
      </c>
      <c r="C1597" s="55">
        <v>1175.6500000000001</v>
      </c>
      <c r="D1597" s="70">
        <f t="shared" si="49"/>
        <v>0.80577528607633853</v>
      </c>
      <c r="E1597" s="180">
        <v>-6.6328686100548453E-3</v>
      </c>
      <c r="G1597" s="78">
        <v>1595</v>
      </c>
      <c r="H1597" s="180">
        <f t="shared" ca="1" si="50"/>
        <v>7.5999418508385097E-3</v>
      </c>
    </row>
    <row r="1598" spans="2:8" x14ac:dyDescent="0.3">
      <c r="B1598" s="69">
        <v>44124</v>
      </c>
      <c r="C1598" s="55">
        <v>651.04999999999995</v>
      </c>
      <c r="D1598" s="70">
        <f t="shared" si="49"/>
        <v>1.6794937750797405</v>
      </c>
      <c r="E1598" s="180">
        <v>-6.637168141592955E-3</v>
      </c>
      <c r="G1598" s="78">
        <v>1596</v>
      </c>
      <c r="H1598" s="180">
        <f t="shared" ca="1" si="50"/>
        <v>1.1113833182907619E-3</v>
      </c>
    </row>
    <row r="1599" spans="2:8" x14ac:dyDescent="0.3">
      <c r="B1599" s="69">
        <v>42909</v>
      </c>
      <c r="C1599" s="55">
        <v>242.97499999999999</v>
      </c>
      <c r="D1599" s="70">
        <f t="shared" si="49"/>
        <v>-0.95513755539143275</v>
      </c>
      <c r="E1599" s="180">
        <v>-6.6434995911692557E-3</v>
      </c>
      <c r="G1599" s="78">
        <v>1597</v>
      </c>
      <c r="H1599" s="180">
        <f t="shared" ca="1" si="50"/>
        <v>-1.105210252368442E-2</v>
      </c>
    </row>
    <row r="1600" spans="2:8" x14ac:dyDescent="0.3">
      <c r="B1600" s="69">
        <v>45848</v>
      </c>
      <c r="C1600" s="55">
        <v>5416</v>
      </c>
      <c r="D1600" s="70">
        <f t="shared" si="49"/>
        <v>-0.27954772198204192</v>
      </c>
      <c r="E1600" s="180">
        <v>-6.6486312990049982E-3</v>
      </c>
      <c r="G1600" s="78">
        <v>1598</v>
      </c>
      <c r="H1600" s="180">
        <f t="shared" ca="1" si="50"/>
        <v>-1.3392988626500558E-2</v>
      </c>
    </row>
    <row r="1601" spans="2:8" x14ac:dyDescent="0.3">
      <c r="B1601" s="69">
        <v>45588</v>
      </c>
      <c r="C1601" s="55">
        <v>7517.5</v>
      </c>
      <c r="D1601" s="70">
        <f t="shared" si="49"/>
        <v>7.8770148196256722</v>
      </c>
      <c r="E1601" s="180">
        <v>-6.6662702581280027E-3</v>
      </c>
      <c r="G1601" s="78">
        <v>1599</v>
      </c>
      <c r="H1601" s="180">
        <f t="shared" ca="1" si="50"/>
        <v>-1.1626953450071897E-3</v>
      </c>
    </row>
    <row r="1602" spans="2:8" x14ac:dyDescent="0.3">
      <c r="B1602" s="69">
        <v>44368</v>
      </c>
      <c r="C1602" s="55">
        <v>846.84999999999991</v>
      </c>
      <c r="D1602" s="70">
        <f t="shared" si="49"/>
        <v>-0.39770989651861605</v>
      </c>
      <c r="E1602" s="180">
        <v>-6.6858248783063113E-3</v>
      </c>
      <c r="G1602" s="78">
        <v>1600</v>
      </c>
      <c r="H1602" s="180">
        <f t="shared" ca="1" si="50"/>
        <v>1.2114408617829898E-2</v>
      </c>
    </row>
    <row r="1603" spans="2:8" x14ac:dyDescent="0.3">
      <c r="B1603" s="69">
        <v>44881</v>
      </c>
      <c r="C1603" s="55">
        <v>1406.05</v>
      </c>
      <c r="D1603" s="70">
        <f t="shared" ref="D1603:D1666" si="51">(C1603-C1604)/C1604</f>
        <v>-0.31311675622862728</v>
      </c>
      <c r="E1603" s="180">
        <v>-6.6936295720669966E-3</v>
      </c>
      <c r="G1603" s="78">
        <v>1601</v>
      </c>
      <c r="H1603" s="180">
        <f t="shared" ca="1" si="50"/>
        <v>1.6953722236116821E-2</v>
      </c>
    </row>
    <row r="1604" spans="2:8" x14ac:dyDescent="0.3">
      <c r="B1604" s="69">
        <v>45218</v>
      </c>
      <c r="C1604" s="55">
        <v>2047</v>
      </c>
      <c r="D1604" s="70">
        <f t="shared" si="51"/>
        <v>4.7637617907926231</v>
      </c>
      <c r="E1604" s="180">
        <v>-6.6964285714286595E-3</v>
      </c>
      <c r="G1604" s="78">
        <v>1602</v>
      </c>
      <c r="H1604" s="180">
        <f t="shared" ref="H1604:H1667" ca="1" si="52">_xlfn.NORM.INV(RAND(),$N$4,$N$5)</f>
        <v>1.1587168056642816E-2</v>
      </c>
    </row>
    <row r="1605" spans="2:8" x14ac:dyDescent="0.3">
      <c r="B1605" s="69">
        <v>43502</v>
      </c>
      <c r="C1605" s="55">
        <v>355.15</v>
      </c>
      <c r="D1605" s="70">
        <f t="shared" si="51"/>
        <v>-0.29627978401941851</v>
      </c>
      <c r="E1605" s="180">
        <v>-6.7123479233674567E-3</v>
      </c>
      <c r="G1605" s="78">
        <v>1603</v>
      </c>
      <c r="H1605" s="180">
        <f t="shared" ca="1" si="52"/>
        <v>2.6776457242095035E-2</v>
      </c>
    </row>
    <row r="1606" spans="2:8" x14ac:dyDescent="0.3">
      <c r="B1606" s="69">
        <v>43796</v>
      </c>
      <c r="C1606" s="55">
        <v>504.67500000000001</v>
      </c>
      <c r="D1606" s="70">
        <f t="shared" si="51"/>
        <v>-0.9056990703975335</v>
      </c>
      <c r="E1606" s="180">
        <v>-6.7407990553040959E-3</v>
      </c>
      <c r="G1606" s="78">
        <v>1604</v>
      </c>
      <c r="H1606" s="180">
        <f t="shared" ca="1" si="52"/>
        <v>2.6432943761180321E-2</v>
      </c>
    </row>
    <row r="1607" spans="2:8" x14ac:dyDescent="0.3">
      <c r="B1607" s="69">
        <v>45791</v>
      </c>
      <c r="C1607" s="55">
        <v>5351.75</v>
      </c>
      <c r="D1607" s="70">
        <f t="shared" si="51"/>
        <v>8.8667957227138654</v>
      </c>
      <c r="E1607" s="180">
        <v>-6.7739989792604278E-3</v>
      </c>
      <c r="G1607" s="78">
        <v>1605</v>
      </c>
      <c r="H1607" s="180">
        <f t="shared" ca="1" si="52"/>
        <v>2.6595296834083251E-2</v>
      </c>
    </row>
    <row r="1608" spans="2:8" x14ac:dyDescent="0.3">
      <c r="B1608" s="69">
        <v>43767</v>
      </c>
      <c r="C1608" s="55">
        <v>542.4</v>
      </c>
      <c r="D1608" s="70">
        <f t="shared" si="51"/>
        <v>-0.8991680996421435</v>
      </c>
      <c r="E1608" s="180">
        <v>-6.7753158762132309E-3</v>
      </c>
      <c r="G1608" s="78">
        <v>1606</v>
      </c>
      <c r="H1608" s="180">
        <f t="shared" ca="1" si="52"/>
        <v>-1.7160757733608881E-2</v>
      </c>
    </row>
    <row r="1609" spans="2:8" x14ac:dyDescent="0.3">
      <c r="B1609" s="69">
        <v>45849</v>
      </c>
      <c r="C1609" s="55">
        <v>5379.25</v>
      </c>
      <c r="D1609" s="70">
        <f t="shared" si="51"/>
        <v>9.7752015624217528</v>
      </c>
      <c r="E1609" s="180">
        <v>-6.7854505169867062E-3</v>
      </c>
      <c r="G1609" s="78">
        <v>1607</v>
      </c>
      <c r="H1609" s="180">
        <f t="shared" ca="1" si="52"/>
        <v>2.7788708557128908E-2</v>
      </c>
    </row>
    <row r="1610" spans="2:8" x14ac:dyDescent="0.3">
      <c r="B1610" s="69">
        <v>43784</v>
      </c>
      <c r="C1610" s="55">
        <v>499.22500000000002</v>
      </c>
      <c r="D1610" s="70">
        <f t="shared" si="51"/>
        <v>-0.87171728851886121</v>
      </c>
      <c r="E1610" s="180">
        <v>-6.813886402068944E-3</v>
      </c>
      <c r="G1610" s="78">
        <v>1608</v>
      </c>
      <c r="H1610" s="180">
        <f t="shared" ca="1" si="52"/>
        <v>1.6916761908781826E-2</v>
      </c>
    </row>
    <row r="1611" spans="2:8" x14ac:dyDescent="0.3">
      <c r="B1611" s="69">
        <v>46042</v>
      </c>
      <c r="C1611" s="55">
        <v>3891.6000000000004</v>
      </c>
      <c r="D1611" s="70">
        <f t="shared" si="51"/>
        <v>-0.44261590684484159</v>
      </c>
      <c r="E1611" s="180">
        <v>-6.8521992114227454E-3</v>
      </c>
      <c r="G1611" s="78">
        <v>1609</v>
      </c>
      <c r="H1611" s="180">
        <f t="shared" ca="1" si="52"/>
        <v>-2.5695848862592491E-2</v>
      </c>
    </row>
    <row r="1612" spans="2:8" x14ac:dyDescent="0.3">
      <c r="B1612" s="69">
        <v>45657</v>
      </c>
      <c r="C1612" s="55">
        <v>6981.9</v>
      </c>
      <c r="D1612" s="70">
        <f t="shared" si="51"/>
        <v>0.75733702491819777</v>
      </c>
      <c r="E1612" s="180">
        <v>-6.8632959467436689E-3</v>
      </c>
      <c r="G1612" s="78">
        <v>1610</v>
      </c>
      <c r="H1612" s="180">
        <f t="shared" ca="1" si="52"/>
        <v>-6.8643637522785477E-3</v>
      </c>
    </row>
    <row r="1613" spans="2:8" x14ac:dyDescent="0.3">
      <c r="B1613" s="69">
        <v>45398</v>
      </c>
      <c r="C1613" s="55">
        <v>3973</v>
      </c>
      <c r="D1613" s="70">
        <f t="shared" si="51"/>
        <v>-0.27017221584385764</v>
      </c>
      <c r="E1613" s="180">
        <v>-6.8741407324084489E-3</v>
      </c>
      <c r="G1613" s="78">
        <v>1611</v>
      </c>
      <c r="H1613" s="180">
        <f t="shared" ca="1" si="52"/>
        <v>7.2950112883322597E-3</v>
      </c>
    </row>
    <row r="1614" spans="2:8" x14ac:dyDescent="0.3">
      <c r="B1614" s="69">
        <v>45846</v>
      </c>
      <c r="C1614" s="55">
        <v>5443.75</v>
      </c>
      <c r="D1614" s="70">
        <f t="shared" si="51"/>
        <v>14.917397660818713</v>
      </c>
      <c r="E1614" s="180">
        <v>-6.886801058104533E-3</v>
      </c>
      <c r="G1614" s="78">
        <v>1612</v>
      </c>
      <c r="H1614" s="180">
        <f t="shared" ca="1" si="52"/>
        <v>-2.9790918592839402E-2</v>
      </c>
    </row>
    <row r="1615" spans="2:8" x14ac:dyDescent="0.3">
      <c r="B1615" s="69">
        <v>43508</v>
      </c>
      <c r="C1615" s="55">
        <v>342</v>
      </c>
      <c r="D1615" s="70">
        <f t="shared" si="51"/>
        <v>-0.92850348597769394</v>
      </c>
      <c r="E1615" s="180">
        <v>-6.8965517241379309E-3</v>
      </c>
      <c r="G1615" s="78">
        <v>1613</v>
      </c>
      <c r="H1615" s="180">
        <f t="shared" ca="1" si="52"/>
        <v>5.9400141213678268E-3</v>
      </c>
    </row>
    <row r="1616" spans="2:8" x14ac:dyDescent="0.3">
      <c r="B1616" s="69">
        <v>45954</v>
      </c>
      <c r="C1616" s="55">
        <v>4783.45</v>
      </c>
      <c r="D1616" s="70">
        <f t="shared" si="51"/>
        <v>0.14104934222296442</v>
      </c>
      <c r="E1616" s="180">
        <v>-6.9030664147652961E-3</v>
      </c>
      <c r="G1616" s="78">
        <v>1614</v>
      </c>
      <c r="H1616" s="180">
        <f t="shared" ca="1" si="52"/>
        <v>4.5533607500172777E-3</v>
      </c>
    </row>
    <row r="1617" spans="2:8" x14ac:dyDescent="0.3">
      <c r="B1617" s="69">
        <v>45994</v>
      </c>
      <c r="C1617" s="55">
        <v>4192.1499999999996</v>
      </c>
      <c r="D1617" s="70">
        <f t="shared" si="51"/>
        <v>5.7787524760480249</v>
      </c>
      <c r="E1617" s="180">
        <v>-6.9054556653165011E-3</v>
      </c>
      <c r="G1617" s="78">
        <v>1615</v>
      </c>
      <c r="H1617" s="180">
        <f t="shared" ca="1" si="52"/>
        <v>5.4560453730864052E-3</v>
      </c>
    </row>
    <row r="1618" spans="2:8" x14ac:dyDescent="0.3">
      <c r="B1618" s="69">
        <v>44014</v>
      </c>
      <c r="C1618" s="55">
        <v>618.42499999999995</v>
      </c>
      <c r="D1618" s="70">
        <f t="shared" si="51"/>
        <v>-0.39686448529770324</v>
      </c>
      <c r="E1618" s="180">
        <v>-6.9450020072260865E-3</v>
      </c>
      <c r="G1618" s="78">
        <v>1616</v>
      </c>
      <c r="H1618" s="180">
        <f t="shared" ca="1" si="52"/>
        <v>-2.7747309316293902E-2</v>
      </c>
    </row>
    <row r="1619" spans="2:8" x14ac:dyDescent="0.3">
      <c r="B1619" s="69">
        <v>44533</v>
      </c>
      <c r="C1619" s="55">
        <v>1025.3499999999999</v>
      </c>
      <c r="D1619" s="70">
        <f t="shared" si="51"/>
        <v>1.872128851540616</v>
      </c>
      <c r="E1619" s="180">
        <v>-6.9489842860949429E-3</v>
      </c>
      <c r="G1619" s="78">
        <v>1617</v>
      </c>
      <c r="H1619" s="180">
        <f t="shared" ca="1" si="52"/>
        <v>2.0632947879357308E-2</v>
      </c>
    </row>
    <row r="1620" spans="2:8" x14ac:dyDescent="0.3">
      <c r="B1620" s="69">
        <v>43349</v>
      </c>
      <c r="C1620" s="55">
        <v>357</v>
      </c>
      <c r="D1620" s="70">
        <f t="shared" si="51"/>
        <v>-0.73056603773584905</v>
      </c>
      <c r="E1620" s="180">
        <v>-6.954102920723227E-3</v>
      </c>
      <c r="G1620" s="78">
        <v>1618</v>
      </c>
      <c r="H1620" s="180">
        <f t="shared" ca="1" si="52"/>
        <v>-1.1724304593482416E-2</v>
      </c>
    </row>
    <row r="1621" spans="2:8" x14ac:dyDescent="0.3">
      <c r="B1621" s="69">
        <v>45009</v>
      </c>
      <c r="C1621" s="55">
        <v>1325</v>
      </c>
      <c r="D1621" s="70">
        <f t="shared" si="51"/>
        <v>-0.5555704630452647</v>
      </c>
      <c r="E1621" s="180">
        <v>-6.9699467885784164E-3</v>
      </c>
      <c r="G1621" s="78">
        <v>1619</v>
      </c>
      <c r="H1621" s="180">
        <f t="shared" ca="1" si="52"/>
        <v>2.4582814869359915E-2</v>
      </c>
    </row>
    <row r="1622" spans="2:8" x14ac:dyDescent="0.3">
      <c r="B1622" s="69">
        <v>45278</v>
      </c>
      <c r="C1622" s="55">
        <v>2981.35</v>
      </c>
      <c r="D1622" s="70">
        <f t="shared" si="51"/>
        <v>0.90925537535422085</v>
      </c>
      <c r="E1622" s="180">
        <v>-6.9779835459481965E-3</v>
      </c>
      <c r="G1622" s="78">
        <v>1620</v>
      </c>
      <c r="H1622" s="180">
        <f t="shared" ca="1" si="52"/>
        <v>1.7649901923532666E-2</v>
      </c>
    </row>
    <row r="1623" spans="2:8" x14ac:dyDescent="0.3">
      <c r="B1623" s="69">
        <v>45078</v>
      </c>
      <c r="C1623" s="55">
        <v>1561.5250000000001</v>
      </c>
      <c r="D1623" s="70">
        <f t="shared" si="51"/>
        <v>0.18241362991008053</v>
      </c>
      <c r="E1623" s="180">
        <v>-6.979332273449863E-3</v>
      </c>
      <c r="G1623" s="78">
        <v>1621</v>
      </c>
      <c r="H1623" s="180">
        <f t="shared" ca="1" si="52"/>
        <v>-1.0161264273937948E-2</v>
      </c>
    </row>
    <row r="1624" spans="2:8" x14ac:dyDescent="0.3">
      <c r="B1624" s="69">
        <v>44981</v>
      </c>
      <c r="C1624" s="55">
        <v>1320.625</v>
      </c>
      <c r="D1624" s="70">
        <f t="shared" si="51"/>
        <v>0.12736624197024973</v>
      </c>
      <c r="E1624" s="180">
        <v>-6.9928755380942193E-3</v>
      </c>
      <c r="G1624" s="78">
        <v>1622</v>
      </c>
      <c r="H1624" s="180">
        <f t="shared" ca="1" si="52"/>
        <v>-1.3487934331565708E-3</v>
      </c>
    </row>
    <row r="1625" spans="2:8" x14ac:dyDescent="0.3">
      <c r="B1625" s="69">
        <v>44578</v>
      </c>
      <c r="C1625" s="55">
        <v>1171.4250000000002</v>
      </c>
      <c r="D1625" s="70">
        <f t="shared" si="51"/>
        <v>3.1918947933440691</v>
      </c>
      <c r="E1625" s="180">
        <v>-6.993451586241972E-3</v>
      </c>
      <c r="G1625" s="78">
        <v>1623</v>
      </c>
      <c r="H1625" s="180">
        <f t="shared" ca="1" si="52"/>
        <v>-1.7174543686887686E-2</v>
      </c>
    </row>
    <row r="1626" spans="2:8" x14ac:dyDescent="0.3">
      <c r="B1626" s="69">
        <v>42955</v>
      </c>
      <c r="C1626" s="55">
        <v>279.45</v>
      </c>
      <c r="D1626" s="70">
        <f t="shared" si="51"/>
        <v>-0.90901913544574775</v>
      </c>
      <c r="E1626" s="180">
        <v>-7.0178555565426765E-3</v>
      </c>
      <c r="G1626" s="78">
        <v>1624</v>
      </c>
      <c r="H1626" s="180">
        <f t="shared" ca="1" si="52"/>
        <v>3.5716007901435011E-2</v>
      </c>
    </row>
    <row r="1627" spans="2:8" x14ac:dyDescent="0.3">
      <c r="B1627" s="69">
        <v>45328</v>
      </c>
      <c r="C1627" s="55">
        <v>3071.5250000000001</v>
      </c>
      <c r="D1627" s="70">
        <f t="shared" si="51"/>
        <v>7.8205183430253431</v>
      </c>
      <c r="E1627" s="180">
        <v>-7.0554576753357424E-3</v>
      </c>
      <c r="G1627" s="78">
        <v>1625</v>
      </c>
      <c r="H1627" s="180">
        <f t="shared" ca="1" si="52"/>
        <v>-8.411794982426982E-3</v>
      </c>
    </row>
    <row r="1628" spans="2:8" x14ac:dyDescent="0.3">
      <c r="B1628" s="69">
        <v>43455</v>
      </c>
      <c r="C1628" s="55">
        <v>348.22500000000002</v>
      </c>
      <c r="D1628" s="70">
        <f t="shared" si="51"/>
        <v>-0.91047337468264933</v>
      </c>
      <c r="E1628" s="180">
        <v>-7.0573139435413917E-3</v>
      </c>
      <c r="G1628" s="78">
        <v>1626</v>
      </c>
      <c r="H1628" s="180">
        <f t="shared" ca="1" si="52"/>
        <v>-4.9237749784408263E-3</v>
      </c>
    </row>
    <row r="1629" spans="2:8" x14ac:dyDescent="0.3">
      <c r="B1629" s="69">
        <v>45355</v>
      </c>
      <c r="C1629" s="55">
        <v>3889.625</v>
      </c>
      <c r="D1629" s="70">
        <f t="shared" si="51"/>
        <v>7.2298333774133825</v>
      </c>
      <c r="E1629" s="180">
        <v>-7.071151870217513E-3</v>
      </c>
      <c r="G1629" s="78">
        <v>1627</v>
      </c>
      <c r="H1629" s="180">
        <f t="shared" ca="1" si="52"/>
        <v>2.5237390615872862E-2</v>
      </c>
    </row>
    <row r="1630" spans="2:8" x14ac:dyDescent="0.3">
      <c r="B1630" s="69">
        <v>43922</v>
      </c>
      <c r="C1630" s="55">
        <v>472.625</v>
      </c>
      <c r="D1630" s="70">
        <f t="shared" si="51"/>
        <v>9.189095529629196E-2</v>
      </c>
      <c r="E1630" s="180">
        <v>-7.0903361344537815E-3</v>
      </c>
      <c r="G1630" s="78">
        <v>1628</v>
      </c>
      <c r="H1630" s="180">
        <f t="shared" ca="1" si="52"/>
        <v>2.3283901164479173E-2</v>
      </c>
    </row>
    <row r="1631" spans="2:8" x14ac:dyDescent="0.3">
      <c r="B1631" s="69">
        <v>43642</v>
      </c>
      <c r="C1631" s="55">
        <v>432.85</v>
      </c>
      <c r="D1631" s="70">
        <f t="shared" si="51"/>
        <v>-0.42554744525547444</v>
      </c>
      <c r="E1631" s="180">
        <v>-7.1109072141299825E-3</v>
      </c>
      <c r="G1631" s="78">
        <v>1629</v>
      </c>
      <c r="H1631" s="180">
        <f t="shared" ca="1" si="52"/>
        <v>-3.0084204554601215E-2</v>
      </c>
    </row>
    <row r="1632" spans="2:8" x14ac:dyDescent="0.3">
      <c r="B1632" s="69">
        <v>44153</v>
      </c>
      <c r="C1632" s="55">
        <v>753.5</v>
      </c>
      <c r="D1632" s="70">
        <f t="shared" si="51"/>
        <v>-0.1536798360149384</v>
      </c>
      <c r="E1632" s="180">
        <v>-7.1155619976281167E-3</v>
      </c>
      <c r="G1632" s="78">
        <v>1630</v>
      </c>
      <c r="H1632" s="180">
        <f t="shared" ca="1" si="52"/>
        <v>-4.2673552458364246E-2</v>
      </c>
    </row>
    <row r="1633" spans="2:8" x14ac:dyDescent="0.3">
      <c r="B1633" s="69">
        <v>44421</v>
      </c>
      <c r="C1633" s="55">
        <v>890.32500000000005</v>
      </c>
      <c r="D1633" s="70">
        <f t="shared" si="51"/>
        <v>-0.85342031610141589</v>
      </c>
      <c r="E1633" s="180">
        <v>-7.1647616392528065E-3</v>
      </c>
      <c r="G1633" s="78">
        <v>1631</v>
      </c>
      <c r="H1633" s="180">
        <f t="shared" ca="1" si="52"/>
        <v>2.7133906005979556E-2</v>
      </c>
    </row>
    <row r="1634" spans="2:8" x14ac:dyDescent="0.3">
      <c r="B1634" s="69">
        <v>45834</v>
      </c>
      <c r="C1634" s="55">
        <v>6074</v>
      </c>
      <c r="D1634" s="70">
        <f t="shared" si="51"/>
        <v>0.5125066922320306</v>
      </c>
      <c r="E1634" s="180">
        <v>-7.1918927754168029E-3</v>
      </c>
      <c r="G1634" s="78">
        <v>1632</v>
      </c>
      <c r="H1634" s="180">
        <f t="shared" ca="1" si="52"/>
        <v>-1.8080346736977827E-3</v>
      </c>
    </row>
    <row r="1635" spans="2:8" x14ac:dyDescent="0.3">
      <c r="B1635" s="69">
        <v>45370</v>
      </c>
      <c r="C1635" s="55">
        <v>4015.85</v>
      </c>
      <c r="D1635" s="70">
        <f t="shared" si="51"/>
        <v>3.0091346993785413</v>
      </c>
      <c r="E1635" s="180">
        <v>-7.1941556755954735E-3</v>
      </c>
      <c r="G1635" s="78">
        <v>1633</v>
      </c>
      <c r="H1635" s="180">
        <f t="shared" ca="1" si="52"/>
        <v>-1.7615957094392589E-2</v>
      </c>
    </row>
    <row r="1636" spans="2:8" x14ac:dyDescent="0.3">
      <c r="B1636" s="69">
        <v>44463</v>
      </c>
      <c r="C1636" s="55">
        <v>1001.675</v>
      </c>
      <c r="D1636" s="70">
        <f t="shared" si="51"/>
        <v>-5.157884770155767E-2</v>
      </c>
      <c r="E1636" s="180">
        <v>-7.2104663263789989E-3</v>
      </c>
      <c r="G1636" s="78">
        <v>1634</v>
      </c>
      <c r="H1636" s="180">
        <f t="shared" ca="1" si="52"/>
        <v>-9.8623576101168932E-3</v>
      </c>
    </row>
    <row r="1637" spans="2:8" x14ac:dyDescent="0.3">
      <c r="B1637" s="69">
        <v>44706</v>
      </c>
      <c r="C1637" s="55">
        <v>1056.1500000000001</v>
      </c>
      <c r="D1637" s="70">
        <f t="shared" si="51"/>
        <v>-0.80222836009550125</v>
      </c>
      <c r="E1637" s="180">
        <v>-7.2378624806126984E-3</v>
      </c>
      <c r="G1637" s="78">
        <v>1635</v>
      </c>
      <c r="H1637" s="180">
        <f t="shared" ca="1" si="52"/>
        <v>2.5486149729768093E-2</v>
      </c>
    </row>
    <row r="1638" spans="2:8" x14ac:dyDescent="0.3">
      <c r="B1638" s="69">
        <v>45852</v>
      </c>
      <c r="C1638" s="55">
        <v>5340.25</v>
      </c>
      <c r="D1638" s="70">
        <f t="shared" si="51"/>
        <v>15.45939281861612</v>
      </c>
      <c r="E1638" s="180">
        <v>-7.2500813310405728E-3</v>
      </c>
      <c r="G1638" s="78">
        <v>1636</v>
      </c>
      <c r="H1638" s="180">
        <f t="shared" ca="1" si="52"/>
        <v>5.6625235807698264E-3</v>
      </c>
    </row>
    <row r="1639" spans="2:8" x14ac:dyDescent="0.3">
      <c r="B1639" s="69">
        <v>43125</v>
      </c>
      <c r="C1639" s="55">
        <v>324.45</v>
      </c>
      <c r="D1639" s="70">
        <f t="shared" si="51"/>
        <v>-0.93441943666811533</v>
      </c>
      <c r="E1639" s="180">
        <v>-7.2668859481373827E-3</v>
      </c>
      <c r="G1639" s="78">
        <v>1637</v>
      </c>
      <c r="H1639" s="180">
        <f t="shared" ca="1" si="52"/>
        <v>-9.5540973265942734E-3</v>
      </c>
    </row>
    <row r="1640" spans="2:8" x14ac:dyDescent="0.3">
      <c r="B1640" s="69">
        <v>45454</v>
      </c>
      <c r="C1640" s="55">
        <v>4947.3500000000004</v>
      </c>
      <c r="D1640" s="70">
        <f t="shared" si="51"/>
        <v>0.40274745527233574</v>
      </c>
      <c r="E1640" s="180">
        <v>-7.2887979252258253E-3</v>
      </c>
      <c r="G1640" s="78">
        <v>1638</v>
      </c>
      <c r="H1640" s="180">
        <f t="shared" ca="1" si="52"/>
        <v>-4.4924906916292712E-3</v>
      </c>
    </row>
    <row r="1641" spans="2:8" x14ac:dyDescent="0.3">
      <c r="B1641" s="69">
        <v>46094</v>
      </c>
      <c r="C1641" s="55">
        <v>3526.8999999999996</v>
      </c>
      <c r="D1641" s="70">
        <f t="shared" si="51"/>
        <v>10.969794671644323</v>
      </c>
      <c r="E1641" s="180">
        <v>-7.2900247691962804E-3</v>
      </c>
      <c r="G1641" s="78">
        <v>1639</v>
      </c>
      <c r="H1641" s="180">
        <f t="shared" ca="1" si="52"/>
        <v>-1.469682104826432E-2</v>
      </c>
    </row>
    <row r="1642" spans="2:8" x14ac:dyDescent="0.3">
      <c r="B1642" s="69">
        <v>43011</v>
      </c>
      <c r="C1642" s="55">
        <v>294.64999999999998</v>
      </c>
      <c r="D1642" s="70">
        <f t="shared" si="51"/>
        <v>-0.95208573019867393</v>
      </c>
      <c r="E1642" s="180">
        <v>-7.3275499031418105E-3</v>
      </c>
      <c r="G1642" s="78">
        <v>1640</v>
      </c>
      <c r="H1642" s="180">
        <f t="shared" ca="1" si="52"/>
        <v>-7.3388568908888821E-3</v>
      </c>
    </row>
    <row r="1643" spans="2:8" x14ac:dyDescent="0.3">
      <c r="B1643" s="69">
        <v>45677</v>
      </c>
      <c r="C1643" s="55">
        <v>6149.5249999999996</v>
      </c>
      <c r="D1643" s="70">
        <f t="shared" si="51"/>
        <v>18.373159013940299</v>
      </c>
      <c r="E1643" s="180">
        <v>-7.3405972558515517E-3</v>
      </c>
      <c r="G1643" s="78">
        <v>1641</v>
      </c>
      <c r="H1643" s="180">
        <f t="shared" ca="1" si="52"/>
        <v>-1.5561560362264094E-2</v>
      </c>
    </row>
    <row r="1644" spans="2:8" x14ac:dyDescent="0.3">
      <c r="B1644" s="69">
        <v>43152</v>
      </c>
      <c r="C1644" s="55">
        <v>317.42500000000001</v>
      </c>
      <c r="D1644" s="70">
        <f t="shared" si="51"/>
        <v>-7.7923021060275932E-2</v>
      </c>
      <c r="E1644" s="180">
        <v>-7.3489172074113554E-3</v>
      </c>
      <c r="G1644" s="78">
        <v>1642</v>
      </c>
      <c r="H1644" s="180">
        <f t="shared" ca="1" si="52"/>
        <v>8.1278418248438792E-3</v>
      </c>
    </row>
    <row r="1645" spans="2:8" x14ac:dyDescent="0.3">
      <c r="B1645" s="69">
        <v>43460</v>
      </c>
      <c r="C1645" s="55">
        <v>344.25</v>
      </c>
      <c r="D1645" s="70">
        <f t="shared" si="51"/>
        <v>-0.89863223450773688</v>
      </c>
      <c r="E1645" s="180">
        <v>-7.352941176470458E-3</v>
      </c>
      <c r="G1645" s="78">
        <v>1643</v>
      </c>
      <c r="H1645" s="180">
        <f t="shared" ca="1" si="52"/>
        <v>-2.4218956959514325E-2</v>
      </c>
    </row>
    <row r="1646" spans="2:8" x14ac:dyDescent="0.3">
      <c r="B1646" s="69">
        <v>46105</v>
      </c>
      <c r="C1646" s="55">
        <v>3396.05</v>
      </c>
      <c r="D1646" s="70">
        <f t="shared" si="51"/>
        <v>3.9655298461088573</v>
      </c>
      <c r="E1646" s="180">
        <v>-7.3657289002557009E-3</v>
      </c>
      <c r="G1646" s="78">
        <v>1644</v>
      </c>
      <c r="H1646" s="180">
        <f t="shared" ca="1" si="52"/>
        <v>-2.8951938776131354E-2</v>
      </c>
    </row>
    <row r="1647" spans="2:8" x14ac:dyDescent="0.3">
      <c r="B1647" s="69">
        <v>44175</v>
      </c>
      <c r="C1647" s="55">
        <v>683.92499999999995</v>
      </c>
      <c r="D1647" s="70">
        <f t="shared" si="51"/>
        <v>1.7852779474648746</v>
      </c>
      <c r="E1647" s="180">
        <v>-7.3657474600871487E-3</v>
      </c>
      <c r="G1647" s="78">
        <v>1645</v>
      </c>
      <c r="H1647" s="180">
        <f t="shared" ca="1" si="52"/>
        <v>1.2767165007414338E-4</v>
      </c>
    </row>
    <row r="1648" spans="2:8" x14ac:dyDescent="0.3">
      <c r="B1648" s="69">
        <v>42907</v>
      </c>
      <c r="C1648" s="55">
        <v>245.55</v>
      </c>
      <c r="D1648" s="70">
        <f t="shared" si="51"/>
        <v>-0.82537114410169798</v>
      </c>
      <c r="E1648" s="180">
        <v>-7.3774633653359827E-3</v>
      </c>
      <c r="G1648" s="78">
        <v>1646</v>
      </c>
      <c r="H1648" s="180">
        <f t="shared" ca="1" si="52"/>
        <v>-3.9733279291533892E-3</v>
      </c>
    </row>
    <row r="1649" spans="2:8" x14ac:dyDescent="0.3">
      <c r="B1649" s="69">
        <v>44914</v>
      </c>
      <c r="C1649" s="55">
        <v>1406.125</v>
      </c>
      <c r="D1649" s="70">
        <f t="shared" si="51"/>
        <v>6.0006407719417204E-2</v>
      </c>
      <c r="E1649" s="180">
        <v>-7.4820448569764136E-3</v>
      </c>
      <c r="G1649" s="78">
        <v>1647</v>
      </c>
      <c r="H1649" s="180">
        <f t="shared" ca="1" si="52"/>
        <v>7.7243598161197717E-5</v>
      </c>
    </row>
    <row r="1650" spans="2:8" x14ac:dyDescent="0.3">
      <c r="B1650" s="69">
        <v>45001</v>
      </c>
      <c r="C1650" s="55">
        <v>1326.5250000000001</v>
      </c>
      <c r="D1650" s="70">
        <f t="shared" si="51"/>
        <v>4.3505092265806198</v>
      </c>
      <c r="E1650" s="180">
        <v>-7.4820897476665224E-3</v>
      </c>
      <c r="G1650" s="78">
        <v>1648</v>
      </c>
      <c r="H1650" s="180">
        <f t="shared" ca="1" si="52"/>
        <v>-8.2729607384079561E-4</v>
      </c>
    </row>
    <row r="1651" spans="2:8" x14ac:dyDescent="0.3">
      <c r="B1651" s="69">
        <v>42783</v>
      </c>
      <c r="C1651" s="55">
        <v>247.92500000000001</v>
      </c>
      <c r="D1651" s="70">
        <f t="shared" si="51"/>
        <v>-0.85460649777152242</v>
      </c>
      <c r="E1651" s="180">
        <v>-7.5060048038430738E-3</v>
      </c>
      <c r="G1651" s="78">
        <v>1649</v>
      </c>
      <c r="H1651" s="180">
        <f t="shared" ca="1" si="52"/>
        <v>8.8131451352357129E-3</v>
      </c>
    </row>
    <row r="1652" spans="2:8" x14ac:dyDescent="0.3">
      <c r="B1652" s="69">
        <v>45132</v>
      </c>
      <c r="C1652" s="55">
        <v>1705.2</v>
      </c>
      <c r="D1652" s="70">
        <f t="shared" si="51"/>
        <v>6.0887549366036167</v>
      </c>
      <c r="E1652" s="180">
        <v>-7.5227355401964085E-3</v>
      </c>
      <c r="G1652" s="78">
        <v>1650</v>
      </c>
      <c r="H1652" s="180">
        <f t="shared" ca="1" si="52"/>
        <v>-1.0735782477605286E-2</v>
      </c>
    </row>
    <row r="1653" spans="2:8" x14ac:dyDescent="0.3">
      <c r="B1653" s="69">
        <v>42766</v>
      </c>
      <c r="C1653" s="55">
        <v>240.55</v>
      </c>
      <c r="D1653" s="70">
        <f t="shared" si="51"/>
        <v>-0.26884498480243157</v>
      </c>
      <c r="E1653" s="180">
        <v>-7.529654461062356E-3</v>
      </c>
      <c r="G1653" s="78">
        <v>1651</v>
      </c>
      <c r="H1653" s="180">
        <f t="shared" ca="1" si="52"/>
        <v>-2.0607016362076194E-2</v>
      </c>
    </row>
    <row r="1654" spans="2:8" x14ac:dyDescent="0.3">
      <c r="B1654" s="69">
        <v>43243</v>
      </c>
      <c r="C1654" s="55">
        <v>329</v>
      </c>
      <c r="D1654" s="70">
        <f t="shared" si="51"/>
        <v>-8.9903181189488243E-2</v>
      </c>
      <c r="E1654" s="180">
        <v>-7.5414781297134239E-3</v>
      </c>
      <c r="G1654" s="78">
        <v>1652</v>
      </c>
      <c r="H1654" s="180">
        <f t="shared" ca="1" si="52"/>
        <v>3.1842409699608196E-3</v>
      </c>
    </row>
    <row r="1655" spans="2:8" x14ac:dyDescent="0.3">
      <c r="B1655" s="69">
        <v>43466</v>
      </c>
      <c r="C1655" s="55">
        <v>361.5</v>
      </c>
      <c r="D1655" s="70">
        <f t="shared" si="51"/>
        <v>-0.49055806087936865</v>
      </c>
      <c r="E1655" s="180">
        <v>-7.5497597803706245E-3</v>
      </c>
      <c r="G1655" s="78">
        <v>1653</v>
      </c>
      <c r="H1655" s="180">
        <f t="shared" ca="1" si="52"/>
        <v>-3.4114639254199065E-3</v>
      </c>
    </row>
    <row r="1656" spans="2:8" x14ac:dyDescent="0.3">
      <c r="B1656" s="69">
        <v>44182</v>
      </c>
      <c r="C1656" s="55">
        <v>709.6</v>
      </c>
      <c r="D1656" s="70">
        <f t="shared" si="51"/>
        <v>1.7702518055826668</v>
      </c>
      <c r="E1656" s="180">
        <v>-7.5524475524475203E-3</v>
      </c>
      <c r="G1656" s="78">
        <v>1654</v>
      </c>
      <c r="H1656" s="180">
        <f t="shared" ca="1" si="52"/>
        <v>8.6707716670308046E-3</v>
      </c>
    </row>
    <row r="1657" spans="2:8" x14ac:dyDescent="0.3">
      <c r="B1657" s="69">
        <v>42944</v>
      </c>
      <c r="C1657" s="55">
        <v>256.14999999999998</v>
      </c>
      <c r="D1657" s="70">
        <f t="shared" si="51"/>
        <v>-0.80652957948601744</v>
      </c>
      <c r="E1657" s="180">
        <v>-7.5552111584658863E-3</v>
      </c>
      <c r="G1657" s="78">
        <v>1655</v>
      </c>
      <c r="H1657" s="180">
        <f t="shared" ca="1" si="52"/>
        <v>1.3407495683933405E-2</v>
      </c>
    </row>
    <row r="1658" spans="2:8" x14ac:dyDescent="0.3">
      <c r="B1658" s="69">
        <v>44999</v>
      </c>
      <c r="C1658" s="55">
        <v>1323.9749999999999</v>
      </c>
      <c r="D1658" s="70">
        <f t="shared" si="51"/>
        <v>0.27735166425470326</v>
      </c>
      <c r="E1658" s="180">
        <v>-7.5707887487584356E-3</v>
      </c>
      <c r="G1658" s="78">
        <v>1656</v>
      </c>
      <c r="H1658" s="180">
        <f t="shared" ca="1" si="52"/>
        <v>-1.1537877083765042E-2</v>
      </c>
    </row>
    <row r="1659" spans="2:8" x14ac:dyDescent="0.3">
      <c r="B1659" s="69">
        <v>44554</v>
      </c>
      <c r="C1659" s="55">
        <v>1036.5</v>
      </c>
      <c r="D1659" s="70">
        <f t="shared" si="51"/>
        <v>4.2210049112202501</v>
      </c>
      <c r="E1659" s="180">
        <v>-7.5879072216769559E-3</v>
      </c>
      <c r="G1659" s="78">
        <v>1657</v>
      </c>
      <c r="H1659" s="180">
        <f t="shared" ca="1" si="52"/>
        <v>-3.3389376616882521E-3</v>
      </c>
    </row>
    <row r="1660" spans="2:8" x14ac:dyDescent="0.3">
      <c r="B1660" s="69">
        <v>42747</v>
      </c>
      <c r="C1660" s="55">
        <v>198.52499999999998</v>
      </c>
      <c r="D1660" s="70">
        <f t="shared" si="51"/>
        <v>-0.81146723646723651</v>
      </c>
      <c r="E1660" s="180">
        <v>-7.6230942264435596E-3</v>
      </c>
      <c r="G1660" s="78">
        <v>1658</v>
      </c>
      <c r="H1660" s="180">
        <f t="shared" ca="1" si="52"/>
        <v>1.3864895832580172E-2</v>
      </c>
    </row>
    <row r="1661" spans="2:8" x14ac:dyDescent="0.3">
      <c r="B1661" s="69">
        <v>44740</v>
      </c>
      <c r="C1661" s="55">
        <v>1053</v>
      </c>
      <c r="D1661" s="70">
        <f t="shared" si="51"/>
        <v>-0.80059556216239247</v>
      </c>
      <c r="E1661" s="180">
        <v>-7.6335877862594567E-3</v>
      </c>
      <c r="G1661" s="78">
        <v>1659</v>
      </c>
      <c r="H1661" s="180">
        <f t="shared" ca="1" si="52"/>
        <v>-3.0858856768879901E-4</v>
      </c>
    </row>
    <row r="1662" spans="2:8" x14ac:dyDescent="0.3">
      <c r="B1662" s="69">
        <v>45498</v>
      </c>
      <c r="C1662" s="55">
        <v>5280.7250000000004</v>
      </c>
      <c r="D1662" s="70">
        <f t="shared" si="51"/>
        <v>10.67011049723757</v>
      </c>
      <c r="E1662" s="180">
        <v>-7.6716370230477619E-3</v>
      </c>
      <c r="G1662" s="78">
        <v>1660</v>
      </c>
      <c r="H1662" s="180">
        <f t="shared" ca="1" si="52"/>
        <v>-2.3982260473024576E-2</v>
      </c>
    </row>
    <row r="1663" spans="2:8" x14ac:dyDescent="0.3">
      <c r="B1663" s="69">
        <v>43724</v>
      </c>
      <c r="C1663" s="55">
        <v>452.5</v>
      </c>
      <c r="D1663" s="70">
        <f t="shared" si="51"/>
        <v>-0.93319233594289241</v>
      </c>
      <c r="E1663" s="180">
        <v>-7.6754385964912276E-3</v>
      </c>
      <c r="G1663" s="78">
        <v>1661</v>
      </c>
      <c r="H1663" s="180">
        <f t="shared" ca="1" si="52"/>
        <v>1.7248345451076331E-2</v>
      </c>
    </row>
    <row r="1664" spans="2:8" x14ac:dyDescent="0.3">
      <c r="B1664" s="69">
        <v>45629</v>
      </c>
      <c r="C1664" s="55">
        <v>6773.1750000000002</v>
      </c>
      <c r="D1664" s="70">
        <f t="shared" si="51"/>
        <v>18.160325318246112</v>
      </c>
      <c r="E1664" s="180">
        <v>-7.7097190072958482E-3</v>
      </c>
      <c r="G1664" s="78">
        <v>1662</v>
      </c>
      <c r="H1664" s="180">
        <f t="shared" ca="1" si="52"/>
        <v>-9.5018666467229177E-3</v>
      </c>
    </row>
    <row r="1665" spans="2:8" x14ac:dyDescent="0.3">
      <c r="B1665" s="69">
        <v>43490</v>
      </c>
      <c r="C1665" s="55">
        <v>353.5</v>
      </c>
      <c r="D1665" s="70">
        <f t="shared" si="51"/>
        <v>-0.91054709246419352</v>
      </c>
      <c r="E1665" s="180">
        <v>-7.7192982456140355E-3</v>
      </c>
      <c r="G1665" s="78">
        <v>1663</v>
      </c>
      <c r="H1665" s="180">
        <f t="shared" ca="1" si="52"/>
        <v>-3.3860452610111188E-3</v>
      </c>
    </row>
    <row r="1666" spans="2:8" x14ac:dyDescent="0.3">
      <c r="B1666" s="69">
        <v>45390</v>
      </c>
      <c r="C1666" s="55">
        <v>3951.8</v>
      </c>
      <c r="D1666" s="70">
        <f t="shared" si="51"/>
        <v>13.668893838158873</v>
      </c>
      <c r="E1666" s="180">
        <v>-7.7211836637330351E-3</v>
      </c>
      <c r="G1666" s="78">
        <v>1664</v>
      </c>
      <c r="H1666" s="180">
        <f t="shared" ca="1" si="52"/>
        <v>-3.5121919719245567E-2</v>
      </c>
    </row>
    <row r="1667" spans="2:8" x14ac:dyDescent="0.3">
      <c r="B1667" s="69">
        <v>42831</v>
      </c>
      <c r="C1667" s="55">
        <v>269.39999999999998</v>
      </c>
      <c r="D1667" s="70">
        <f t="shared" ref="D1667:D1730" si="53">(C1667-C1668)/C1668</f>
        <v>5.5052719977606527E-3</v>
      </c>
      <c r="E1667" s="180">
        <v>-7.7348066298343378E-3</v>
      </c>
      <c r="G1667" s="78">
        <v>1665</v>
      </c>
      <c r="H1667" s="180">
        <f t="shared" ca="1" si="52"/>
        <v>1.4474798293868989E-2</v>
      </c>
    </row>
    <row r="1668" spans="2:8" x14ac:dyDescent="0.3">
      <c r="B1668" s="69">
        <v>42842</v>
      </c>
      <c r="C1668" s="55">
        <v>267.92499999999995</v>
      </c>
      <c r="D1668" s="70">
        <f t="shared" si="53"/>
        <v>-0.33653191357642565</v>
      </c>
      <c r="E1668" s="180">
        <v>-7.7770576798445439E-3</v>
      </c>
      <c r="G1668" s="78">
        <v>1666</v>
      </c>
      <c r="H1668" s="180">
        <f t="shared" ref="H1668:H1731" ca="1" si="54">_xlfn.NORM.INV(RAND(),$N$4,$N$5)</f>
        <v>-1.1465679478786833E-2</v>
      </c>
    </row>
    <row r="1669" spans="2:8" x14ac:dyDescent="0.3">
      <c r="B1669" s="69">
        <v>43675</v>
      </c>
      <c r="C1669" s="55">
        <v>403.82500000000005</v>
      </c>
      <c r="D1669" s="70">
        <f t="shared" si="53"/>
        <v>-0.89394934149191796</v>
      </c>
      <c r="E1669" s="180">
        <v>-7.8009828009826896E-3</v>
      </c>
      <c r="G1669" s="78">
        <v>1667</v>
      </c>
      <c r="H1669" s="180">
        <f t="shared" ca="1" si="54"/>
        <v>1.8650065372047643E-2</v>
      </c>
    </row>
    <row r="1670" spans="2:8" x14ac:dyDescent="0.3">
      <c r="B1670" s="69">
        <v>46051</v>
      </c>
      <c r="C1670" s="55">
        <v>3807.85</v>
      </c>
      <c r="D1670" s="70">
        <f t="shared" si="53"/>
        <v>10.415273926403358</v>
      </c>
      <c r="E1670" s="180">
        <v>-7.8039501797905761E-3</v>
      </c>
      <c r="G1670" s="78">
        <v>1668</v>
      </c>
      <c r="H1670" s="180">
        <f t="shared" ca="1" si="54"/>
        <v>-2.3273795674912091E-2</v>
      </c>
    </row>
    <row r="1671" spans="2:8" x14ac:dyDescent="0.3">
      <c r="B1671" s="69">
        <v>43076</v>
      </c>
      <c r="C1671" s="55">
        <v>333.57499999999999</v>
      </c>
      <c r="D1671" s="70">
        <f t="shared" si="53"/>
        <v>-0.46713258785942496</v>
      </c>
      <c r="E1671" s="180">
        <v>-7.8078524687685905E-3</v>
      </c>
      <c r="G1671" s="78">
        <v>1669</v>
      </c>
      <c r="H1671" s="180">
        <f t="shared" ca="1" si="54"/>
        <v>-1.9915529772191871E-2</v>
      </c>
    </row>
    <row r="1672" spans="2:8" x14ac:dyDescent="0.3">
      <c r="B1672" s="69">
        <v>44097</v>
      </c>
      <c r="C1672" s="55">
        <v>626</v>
      </c>
      <c r="D1672" s="70">
        <f t="shared" si="53"/>
        <v>-0.86728993756691153</v>
      </c>
      <c r="E1672" s="180">
        <v>-7.8453126238212934E-3</v>
      </c>
      <c r="G1672" s="78">
        <v>1670</v>
      </c>
      <c r="H1672" s="180">
        <f t="shared" ca="1" si="54"/>
        <v>-4.4108836051566418E-3</v>
      </c>
    </row>
    <row r="1673" spans="2:8" x14ac:dyDescent="0.3">
      <c r="B1673" s="69">
        <v>45961</v>
      </c>
      <c r="C1673" s="55">
        <v>4717.0499999999993</v>
      </c>
      <c r="D1673" s="70">
        <f t="shared" si="53"/>
        <v>0.48147392058793481</v>
      </c>
      <c r="E1673" s="180">
        <v>-7.8558808682484358E-3</v>
      </c>
      <c r="G1673" s="78">
        <v>1671</v>
      </c>
      <c r="H1673" s="180">
        <f t="shared" ca="1" si="54"/>
        <v>4.009758001417757E-2</v>
      </c>
    </row>
    <row r="1674" spans="2:8" x14ac:dyDescent="0.3">
      <c r="B1674" s="69">
        <v>45307</v>
      </c>
      <c r="C1674" s="55">
        <v>3184.0250000000001</v>
      </c>
      <c r="D1674" s="70">
        <f t="shared" si="53"/>
        <v>8.7192460317460316</v>
      </c>
      <c r="E1674" s="180">
        <v>-7.8600919217885513E-3</v>
      </c>
      <c r="G1674" s="78">
        <v>1672</v>
      </c>
      <c r="H1674" s="180">
        <f t="shared" ca="1" si="54"/>
        <v>6.7623630018363162E-3</v>
      </c>
    </row>
    <row r="1675" spans="2:8" x14ac:dyDescent="0.3">
      <c r="B1675" s="69">
        <v>43251</v>
      </c>
      <c r="C1675" s="55">
        <v>327.60000000000002</v>
      </c>
      <c r="D1675" s="70">
        <f t="shared" si="53"/>
        <v>-0.94095435497679447</v>
      </c>
      <c r="E1675" s="180">
        <v>-7.8740157480313936E-3</v>
      </c>
      <c r="G1675" s="78">
        <v>1673</v>
      </c>
      <c r="H1675" s="180">
        <f t="shared" ca="1" si="54"/>
        <v>6.1329733698886342E-2</v>
      </c>
    </row>
    <row r="1676" spans="2:8" x14ac:dyDescent="0.3">
      <c r="B1676" s="69">
        <v>45483</v>
      </c>
      <c r="C1676" s="55">
        <v>5548.25</v>
      </c>
      <c r="D1676" s="70">
        <f t="shared" si="53"/>
        <v>2.9774539849812713</v>
      </c>
      <c r="E1676" s="180">
        <v>-7.8769021690539096E-3</v>
      </c>
      <c r="G1676" s="78">
        <v>1674</v>
      </c>
      <c r="H1676" s="180">
        <f t="shared" ca="1" si="54"/>
        <v>1.1863328160796976E-2</v>
      </c>
    </row>
    <row r="1677" spans="2:8" x14ac:dyDescent="0.3">
      <c r="B1677" s="69">
        <v>44882</v>
      </c>
      <c r="C1677" s="55">
        <v>1394.925</v>
      </c>
      <c r="D1677" s="70">
        <f t="shared" si="53"/>
        <v>3.2415051311288483</v>
      </c>
      <c r="E1677" s="180">
        <v>-7.9122364069556562E-3</v>
      </c>
      <c r="G1677" s="78">
        <v>1675</v>
      </c>
      <c r="H1677" s="180">
        <f t="shared" ca="1" si="54"/>
        <v>1.2744291048462565E-2</v>
      </c>
    </row>
    <row r="1678" spans="2:8" x14ac:dyDescent="0.3">
      <c r="B1678" s="69">
        <v>43096</v>
      </c>
      <c r="C1678" s="55">
        <v>328.875</v>
      </c>
      <c r="D1678" s="70">
        <f t="shared" si="53"/>
        <v>-0.80470025832120906</v>
      </c>
      <c r="E1678" s="180">
        <v>-7.9185520361990946E-3</v>
      </c>
      <c r="G1678" s="78">
        <v>1676</v>
      </c>
      <c r="H1678" s="180">
        <f t="shared" ca="1" si="54"/>
        <v>-8.7163112822719706E-3</v>
      </c>
    </row>
    <row r="1679" spans="2:8" x14ac:dyDescent="0.3">
      <c r="B1679" s="69">
        <v>45141</v>
      </c>
      <c r="C1679" s="55">
        <v>1683.95</v>
      </c>
      <c r="D1679" s="70">
        <f t="shared" si="53"/>
        <v>2.3679000000000001</v>
      </c>
      <c r="E1679" s="180">
        <v>-7.9238835866619808E-3</v>
      </c>
      <c r="G1679" s="78">
        <v>1677</v>
      </c>
      <c r="H1679" s="180">
        <f t="shared" ca="1" si="54"/>
        <v>1.5088424249476802E-2</v>
      </c>
    </row>
    <row r="1680" spans="2:8" x14ac:dyDescent="0.3">
      <c r="B1680" s="69">
        <v>43809</v>
      </c>
      <c r="C1680" s="55">
        <v>500</v>
      </c>
      <c r="D1680" s="70">
        <f t="shared" si="53"/>
        <v>-0.63275798751377155</v>
      </c>
      <c r="E1680" s="180">
        <v>-7.9365079365079361E-3</v>
      </c>
      <c r="G1680" s="78">
        <v>1678</v>
      </c>
      <c r="H1680" s="180">
        <f t="shared" ca="1" si="54"/>
        <v>1.8452522136990182E-2</v>
      </c>
    </row>
    <row r="1681" spans="2:8" x14ac:dyDescent="0.3">
      <c r="B1681" s="69">
        <v>45021</v>
      </c>
      <c r="C1681" s="55">
        <v>1361.5</v>
      </c>
      <c r="D1681" s="70">
        <f t="shared" si="53"/>
        <v>-0.70651318696715915</v>
      </c>
      <c r="E1681" s="180">
        <v>-7.9422908772953157E-3</v>
      </c>
      <c r="G1681" s="78">
        <v>1679</v>
      </c>
      <c r="H1681" s="180">
        <f t="shared" ca="1" si="54"/>
        <v>1.3315428444660736E-2</v>
      </c>
    </row>
    <row r="1682" spans="2:8" x14ac:dyDescent="0.3">
      <c r="B1682" s="69">
        <v>45939</v>
      </c>
      <c r="C1682" s="55">
        <v>4639.0499999999993</v>
      </c>
      <c r="D1682" s="70">
        <f t="shared" si="53"/>
        <v>9.3979603272441992</v>
      </c>
      <c r="E1682" s="180">
        <v>-7.9444848381165362E-3</v>
      </c>
      <c r="G1682" s="78">
        <v>1680</v>
      </c>
      <c r="H1682" s="180">
        <f t="shared" ca="1" si="54"/>
        <v>2.6585704002813276E-2</v>
      </c>
    </row>
    <row r="1683" spans="2:8" x14ac:dyDescent="0.3">
      <c r="B1683" s="69">
        <v>43691</v>
      </c>
      <c r="C1683" s="55">
        <v>446.15</v>
      </c>
      <c r="D1683" s="70">
        <f t="shared" si="53"/>
        <v>0.41893933370438091</v>
      </c>
      <c r="E1683" s="180">
        <v>-7.9493023514370896E-3</v>
      </c>
      <c r="G1683" s="78">
        <v>1681</v>
      </c>
      <c r="H1683" s="180">
        <f t="shared" ca="1" si="54"/>
        <v>-3.0003197827779401E-3</v>
      </c>
    </row>
    <row r="1684" spans="2:8" x14ac:dyDescent="0.3">
      <c r="B1684" s="69">
        <v>43277</v>
      </c>
      <c r="C1684" s="55">
        <v>314.42500000000001</v>
      </c>
      <c r="D1684" s="70">
        <f t="shared" si="53"/>
        <v>-0.93717468405015236</v>
      </c>
      <c r="E1684" s="180">
        <v>-7.9665562391545465E-3</v>
      </c>
      <c r="G1684" s="78">
        <v>1682</v>
      </c>
      <c r="H1684" s="180">
        <f t="shared" ca="1" si="54"/>
        <v>-2.682788404933165E-2</v>
      </c>
    </row>
    <row r="1685" spans="2:8" x14ac:dyDescent="0.3">
      <c r="B1685" s="69">
        <v>45867</v>
      </c>
      <c r="C1685" s="55">
        <v>5004.75</v>
      </c>
      <c r="D1685" s="70">
        <f t="shared" si="53"/>
        <v>13.36392336944823</v>
      </c>
      <c r="E1685" s="180">
        <v>-7.978196233894945E-3</v>
      </c>
      <c r="G1685" s="78">
        <v>1683</v>
      </c>
      <c r="H1685" s="180">
        <f t="shared" ca="1" si="54"/>
        <v>1.1322643871044676E-2</v>
      </c>
    </row>
    <row r="1686" spans="2:8" x14ac:dyDescent="0.3">
      <c r="B1686" s="69">
        <v>43469</v>
      </c>
      <c r="C1686" s="55">
        <v>348.42500000000001</v>
      </c>
      <c r="D1686" s="70">
        <f t="shared" si="53"/>
        <v>-0.6563178141645295</v>
      </c>
      <c r="E1686" s="180">
        <v>-8.0427046263344872E-3</v>
      </c>
      <c r="G1686" s="78">
        <v>1684</v>
      </c>
      <c r="H1686" s="180">
        <f t="shared" ca="1" si="54"/>
        <v>3.1341935280858515E-3</v>
      </c>
    </row>
    <row r="1687" spans="2:8" x14ac:dyDescent="0.3">
      <c r="B1687" s="69">
        <v>44498</v>
      </c>
      <c r="C1687" s="55">
        <v>1013.8</v>
      </c>
      <c r="D1687" s="70">
        <f t="shared" si="53"/>
        <v>1.78287125995059</v>
      </c>
      <c r="E1687" s="180">
        <v>-8.0962747352201075E-3</v>
      </c>
      <c r="G1687" s="78">
        <v>1685</v>
      </c>
      <c r="H1687" s="180">
        <f t="shared" ca="1" si="54"/>
        <v>-3.130727963907768E-2</v>
      </c>
    </row>
    <row r="1688" spans="2:8" x14ac:dyDescent="0.3">
      <c r="B1688" s="69">
        <v>43487</v>
      </c>
      <c r="C1688" s="55">
        <v>364.3</v>
      </c>
      <c r="D1688" s="70">
        <f t="shared" si="53"/>
        <v>0.19071743748978578</v>
      </c>
      <c r="E1688" s="180">
        <v>-8.1001973997684735E-3</v>
      </c>
      <c r="G1688" s="78">
        <v>1686</v>
      </c>
      <c r="H1688" s="180">
        <f t="shared" ca="1" si="54"/>
        <v>-1.609246386282575E-2</v>
      </c>
    </row>
    <row r="1689" spans="2:8" x14ac:dyDescent="0.3">
      <c r="B1689" s="69">
        <v>43053</v>
      </c>
      <c r="C1689" s="55">
        <v>305.95000000000005</v>
      </c>
      <c r="D1689" s="70">
        <f t="shared" si="53"/>
        <v>0.24268887083671836</v>
      </c>
      <c r="E1689" s="180">
        <v>-8.105041335710628E-3</v>
      </c>
      <c r="G1689" s="78">
        <v>1687</v>
      </c>
      <c r="H1689" s="180">
        <f t="shared" ca="1" si="54"/>
        <v>-1.4527006914918076E-2</v>
      </c>
    </row>
    <row r="1690" spans="2:8" x14ac:dyDescent="0.3">
      <c r="B1690" s="69">
        <v>42795</v>
      </c>
      <c r="C1690" s="55">
        <v>246.2</v>
      </c>
      <c r="D1690" s="70">
        <f t="shared" si="53"/>
        <v>-0.80016233766233757</v>
      </c>
      <c r="E1690" s="180">
        <v>-8.1579212408097717E-3</v>
      </c>
      <c r="G1690" s="78">
        <v>1688</v>
      </c>
      <c r="H1690" s="180">
        <f t="shared" ca="1" si="54"/>
        <v>1.4394920181174149E-2</v>
      </c>
    </row>
    <row r="1691" spans="2:8" x14ac:dyDescent="0.3">
      <c r="B1691" s="69">
        <v>44669</v>
      </c>
      <c r="C1691" s="55">
        <v>1232</v>
      </c>
      <c r="D1691" s="70">
        <f t="shared" si="53"/>
        <v>-0.71117102332669091</v>
      </c>
      <c r="E1691" s="180">
        <v>-8.1713158636236294E-3</v>
      </c>
      <c r="G1691" s="78">
        <v>1689</v>
      </c>
      <c r="H1691" s="180">
        <f t="shared" ca="1" si="54"/>
        <v>2.7366864372965777E-3</v>
      </c>
    </row>
    <row r="1692" spans="2:8" x14ac:dyDescent="0.3">
      <c r="B1692" s="69">
        <v>46020</v>
      </c>
      <c r="C1692" s="55">
        <v>4265.5</v>
      </c>
      <c r="D1692" s="70">
        <f t="shared" si="53"/>
        <v>4.4607981191913525E-2</v>
      </c>
      <c r="E1692" s="180">
        <v>-8.1847141163066059E-3</v>
      </c>
      <c r="G1692" s="78">
        <v>1690</v>
      </c>
      <c r="H1692" s="180">
        <f t="shared" ca="1" si="54"/>
        <v>-1.5487009536595193E-2</v>
      </c>
    </row>
    <row r="1693" spans="2:8" x14ac:dyDescent="0.3">
      <c r="B1693" s="69">
        <v>46073</v>
      </c>
      <c r="C1693" s="55">
        <v>4083.35</v>
      </c>
      <c r="D1693" s="70">
        <f t="shared" si="53"/>
        <v>8.0529874736725429</v>
      </c>
      <c r="E1693" s="180">
        <v>-8.185472607813913E-3</v>
      </c>
      <c r="G1693" s="78">
        <v>1691</v>
      </c>
      <c r="H1693" s="180">
        <f t="shared" ca="1" si="54"/>
        <v>-1.4130867770368672E-2</v>
      </c>
    </row>
    <row r="1694" spans="2:8" x14ac:dyDescent="0.3">
      <c r="B1694" s="69">
        <v>43965</v>
      </c>
      <c r="C1694" s="55">
        <v>451.04999999999995</v>
      </c>
      <c r="D1694" s="70">
        <f t="shared" si="53"/>
        <v>-0.31651324014092513</v>
      </c>
      <c r="E1694" s="180">
        <v>-8.1908636138750442E-3</v>
      </c>
      <c r="G1694" s="78">
        <v>1692</v>
      </c>
      <c r="H1694" s="180">
        <f t="shared" ca="1" si="54"/>
        <v>3.2826335102970561E-2</v>
      </c>
    </row>
    <row r="1695" spans="2:8" x14ac:dyDescent="0.3">
      <c r="B1695" s="69">
        <v>44070</v>
      </c>
      <c r="C1695" s="55">
        <v>659.92499999999995</v>
      </c>
      <c r="D1695" s="70">
        <f t="shared" si="53"/>
        <v>-0.1875096186401552</v>
      </c>
      <c r="E1695" s="180">
        <v>-8.2281334535618013E-3</v>
      </c>
      <c r="G1695" s="78">
        <v>1693</v>
      </c>
      <c r="H1695" s="180">
        <f t="shared" ca="1" si="54"/>
        <v>2.3292592760916143E-2</v>
      </c>
    </row>
    <row r="1696" spans="2:8" x14ac:dyDescent="0.3">
      <c r="B1696" s="69">
        <v>44279</v>
      </c>
      <c r="C1696" s="55">
        <v>812.22500000000002</v>
      </c>
      <c r="D1696" s="70">
        <f t="shared" si="53"/>
        <v>1.5399890548041595</v>
      </c>
      <c r="E1696" s="180">
        <v>-8.2420098293597335E-3</v>
      </c>
      <c r="G1696" s="78">
        <v>1694</v>
      </c>
      <c r="H1696" s="180">
        <f t="shared" ca="1" si="54"/>
        <v>-1.5441952804689434E-3</v>
      </c>
    </row>
    <row r="1697" spans="2:8" x14ac:dyDescent="0.3">
      <c r="B1697" s="69">
        <v>43151</v>
      </c>
      <c r="C1697" s="55">
        <v>319.77499999999998</v>
      </c>
      <c r="D1697" s="70">
        <f t="shared" si="53"/>
        <v>-9.0641462658818343E-3</v>
      </c>
      <c r="E1697" s="180">
        <v>-8.2958598232284429E-3</v>
      </c>
      <c r="G1697" s="78">
        <v>1695</v>
      </c>
      <c r="H1697" s="180">
        <f t="shared" ca="1" si="54"/>
        <v>-6.9088713203103039E-3</v>
      </c>
    </row>
    <row r="1698" spans="2:8" x14ac:dyDescent="0.3">
      <c r="B1698" s="69">
        <v>43426</v>
      </c>
      <c r="C1698" s="55">
        <v>322.70000000000005</v>
      </c>
      <c r="D1698" s="70">
        <f t="shared" si="53"/>
        <v>0.21452766277756891</v>
      </c>
      <c r="E1698" s="180">
        <v>-8.2974800245849169E-3</v>
      </c>
      <c r="G1698" s="78">
        <v>1696</v>
      </c>
      <c r="H1698" s="180">
        <f t="shared" ca="1" si="54"/>
        <v>-2.3506306539827864E-2</v>
      </c>
    </row>
    <row r="1699" spans="2:8" x14ac:dyDescent="0.3">
      <c r="B1699" s="69">
        <v>42843</v>
      </c>
      <c r="C1699" s="55">
        <v>265.7</v>
      </c>
      <c r="D1699" s="70">
        <f t="shared" si="53"/>
        <v>0.11381261789981126</v>
      </c>
      <c r="E1699" s="180">
        <v>-8.3045628440793738E-3</v>
      </c>
      <c r="G1699" s="78">
        <v>1697</v>
      </c>
      <c r="H1699" s="180">
        <f t="shared" ca="1" si="54"/>
        <v>-5.5915667306994411E-3</v>
      </c>
    </row>
    <row r="1700" spans="2:8" x14ac:dyDescent="0.3">
      <c r="B1700" s="69">
        <v>42767</v>
      </c>
      <c r="C1700" s="55">
        <v>238.55</v>
      </c>
      <c r="D1700" s="70">
        <f t="shared" si="53"/>
        <v>-0.23767675960693457</v>
      </c>
      <c r="E1700" s="180">
        <v>-8.3142797755144451E-3</v>
      </c>
      <c r="G1700" s="78">
        <v>1698</v>
      </c>
      <c r="H1700" s="180">
        <f t="shared" ca="1" si="54"/>
        <v>8.2126495766901078E-3</v>
      </c>
    </row>
    <row r="1701" spans="2:8" x14ac:dyDescent="0.3">
      <c r="B1701" s="69">
        <v>43157</v>
      </c>
      <c r="C1701" s="55">
        <v>312.92500000000001</v>
      </c>
      <c r="D1701" s="70">
        <f t="shared" si="53"/>
        <v>-0.78489800828306788</v>
      </c>
      <c r="E1701" s="180">
        <v>-8.3188084297258751E-3</v>
      </c>
      <c r="G1701" s="78">
        <v>1699</v>
      </c>
      <c r="H1701" s="180">
        <f t="shared" ca="1" si="54"/>
        <v>2.7518835060034125E-2</v>
      </c>
    </row>
    <row r="1702" spans="2:8" x14ac:dyDescent="0.3">
      <c r="B1702" s="69">
        <v>44827</v>
      </c>
      <c r="C1702" s="55">
        <v>1454.7750000000001</v>
      </c>
      <c r="D1702" s="70">
        <f t="shared" si="53"/>
        <v>3.5736854515444474</v>
      </c>
      <c r="E1702" s="180">
        <v>-8.3333333333332708E-3</v>
      </c>
      <c r="G1702" s="78">
        <v>1700</v>
      </c>
      <c r="H1702" s="180">
        <f t="shared" ca="1" si="54"/>
        <v>1.6892091904333696E-2</v>
      </c>
    </row>
    <row r="1703" spans="2:8" x14ac:dyDescent="0.3">
      <c r="B1703" s="69">
        <v>43262</v>
      </c>
      <c r="C1703" s="55">
        <v>318.07499999999999</v>
      </c>
      <c r="D1703" s="70">
        <f t="shared" si="53"/>
        <v>-3.0850091407678245E-2</v>
      </c>
      <c r="E1703" s="180">
        <v>-8.4171148000934878E-3</v>
      </c>
      <c r="G1703" s="78">
        <v>1701</v>
      </c>
      <c r="H1703" s="180">
        <f t="shared" ca="1" si="54"/>
        <v>2.7734087843320893E-2</v>
      </c>
    </row>
    <row r="1704" spans="2:8" x14ac:dyDescent="0.3">
      <c r="B1704" s="69">
        <v>43424</v>
      </c>
      <c r="C1704" s="55">
        <v>328.2</v>
      </c>
      <c r="D1704" s="70">
        <f t="shared" si="53"/>
        <v>-0.73385232940031619</v>
      </c>
      <c r="E1704" s="180">
        <v>-8.4592145015106087E-3</v>
      </c>
      <c r="G1704" s="78">
        <v>1702</v>
      </c>
      <c r="H1704" s="180">
        <f t="shared" ca="1" si="54"/>
        <v>-6.8200523785983428E-3</v>
      </c>
    </row>
    <row r="1705" spans="2:8" x14ac:dyDescent="0.3">
      <c r="B1705" s="69">
        <v>44767</v>
      </c>
      <c r="C1705" s="55">
        <v>1233.1500000000001</v>
      </c>
      <c r="D1705" s="70">
        <f t="shared" si="53"/>
        <v>2.7345548152634769</v>
      </c>
      <c r="E1705" s="180">
        <v>-8.4827530755003048E-3</v>
      </c>
      <c r="G1705" s="78">
        <v>1703</v>
      </c>
      <c r="H1705" s="180">
        <f t="shared" ca="1" si="54"/>
        <v>-2.0814569527570909E-2</v>
      </c>
    </row>
    <row r="1706" spans="2:8" x14ac:dyDescent="0.3">
      <c r="B1706" s="69">
        <v>43250</v>
      </c>
      <c r="C1706" s="55">
        <v>330.2</v>
      </c>
      <c r="D1706" s="70">
        <f t="shared" si="53"/>
        <v>0.11131678586453508</v>
      </c>
      <c r="E1706" s="180">
        <v>-8.4828466331356173E-3</v>
      </c>
      <c r="G1706" s="78">
        <v>1704</v>
      </c>
      <c r="H1706" s="180">
        <f t="shared" ca="1" si="54"/>
        <v>2.8785930662949037E-2</v>
      </c>
    </row>
    <row r="1707" spans="2:8" x14ac:dyDescent="0.3">
      <c r="B1707" s="69">
        <v>43046</v>
      </c>
      <c r="C1707" s="55">
        <v>297.125</v>
      </c>
      <c r="D1707" s="70">
        <f t="shared" si="53"/>
        <v>-8.6893054701905281E-2</v>
      </c>
      <c r="E1707" s="180">
        <v>-8.5092183198465388E-3</v>
      </c>
      <c r="G1707" s="78">
        <v>1705</v>
      </c>
      <c r="H1707" s="180">
        <f t="shared" ca="1" si="54"/>
        <v>1.0889629505331061E-2</v>
      </c>
    </row>
    <row r="1708" spans="2:8" x14ac:dyDescent="0.3">
      <c r="B1708" s="69">
        <v>43425</v>
      </c>
      <c r="C1708" s="55">
        <v>325.39999999999998</v>
      </c>
      <c r="D1708" s="70">
        <f t="shared" si="53"/>
        <v>-0.77383145091225014</v>
      </c>
      <c r="E1708" s="180">
        <v>-8.5313833028641418E-3</v>
      </c>
      <c r="G1708" s="78">
        <v>1706</v>
      </c>
      <c r="H1708" s="180">
        <f t="shared" ca="1" si="54"/>
        <v>-1.1471049230138594E-2</v>
      </c>
    </row>
    <row r="1709" spans="2:8" x14ac:dyDescent="0.3">
      <c r="B1709" s="69">
        <v>44819</v>
      </c>
      <c r="C1709" s="55">
        <v>1438.75</v>
      </c>
      <c r="D1709" s="70">
        <f t="shared" si="53"/>
        <v>3.4371626831148805</v>
      </c>
      <c r="E1709" s="180">
        <v>-8.5449471109120979E-3</v>
      </c>
      <c r="G1709" s="78">
        <v>1707</v>
      </c>
      <c r="H1709" s="180">
        <f t="shared" ca="1" si="54"/>
        <v>8.0368590085470124E-3</v>
      </c>
    </row>
    <row r="1710" spans="2:8" x14ac:dyDescent="0.3">
      <c r="B1710" s="69">
        <v>43522</v>
      </c>
      <c r="C1710" s="55">
        <v>324.25</v>
      </c>
      <c r="D1710" s="70">
        <f t="shared" si="53"/>
        <v>2.8222609798636361E-2</v>
      </c>
      <c r="E1710" s="180">
        <v>-8.5613820516740897E-3</v>
      </c>
      <c r="G1710" s="78">
        <v>1708</v>
      </c>
      <c r="H1710" s="180">
        <f t="shared" ca="1" si="54"/>
        <v>2.2332823100313658E-2</v>
      </c>
    </row>
    <row r="1711" spans="2:8" x14ac:dyDescent="0.3">
      <c r="B1711" s="69">
        <v>43263</v>
      </c>
      <c r="C1711" s="55">
        <v>315.35000000000002</v>
      </c>
      <c r="D1711" s="70">
        <f t="shared" si="53"/>
        <v>6.9708276797829066E-2</v>
      </c>
      <c r="E1711" s="180">
        <v>-8.5671618329009377E-3</v>
      </c>
      <c r="G1711" s="78">
        <v>1709</v>
      </c>
      <c r="H1711" s="180">
        <f t="shared" ca="1" si="54"/>
        <v>3.3713325066411802E-2</v>
      </c>
    </row>
    <row r="1712" spans="2:8" x14ac:dyDescent="0.3">
      <c r="B1712" s="69">
        <v>42992</v>
      </c>
      <c r="C1712" s="55">
        <v>294.8</v>
      </c>
      <c r="D1712" s="70">
        <f t="shared" si="53"/>
        <v>-0.80703964916299853</v>
      </c>
      <c r="E1712" s="180">
        <v>-8.5757524802421766E-3</v>
      </c>
      <c r="G1712" s="78">
        <v>1710</v>
      </c>
      <c r="H1712" s="180">
        <f t="shared" ca="1" si="54"/>
        <v>-3.207788507464357E-2</v>
      </c>
    </row>
    <row r="1713" spans="2:8" x14ac:dyDescent="0.3">
      <c r="B1713" s="69">
        <v>44868</v>
      </c>
      <c r="C1713" s="55">
        <v>1527.7750000000001</v>
      </c>
      <c r="D1713" s="70">
        <f t="shared" si="53"/>
        <v>2.3871522004212395</v>
      </c>
      <c r="E1713" s="180">
        <v>-8.6303392112648345E-3</v>
      </c>
      <c r="G1713" s="78">
        <v>1711</v>
      </c>
      <c r="H1713" s="180">
        <f t="shared" ca="1" si="54"/>
        <v>-2.725769091506209E-2</v>
      </c>
    </row>
    <row r="1714" spans="2:8" x14ac:dyDescent="0.3">
      <c r="B1714" s="69">
        <v>43650</v>
      </c>
      <c r="C1714" s="55">
        <v>451.05</v>
      </c>
      <c r="D1714" s="70">
        <f t="shared" si="53"/>
        <v>0.33131641086186542</v>
      </c>
      <c r="E1714" s="180">
        <v>-8.6813186813186564E-3</v>
      </c>
      <c r="G1714" s="78">
        <v>1712</v>
      </c>
      <c r="H1714" s="180">
        <f t="shared" ca="1" si="54"/>
        <v>3.009589111131955E-2</v>
      </c>
    </row>
    <row r="1715" spans="2:8" x14ac:dyDescent="0.3">
      <c r="B1715" s="69">
        <v>43181</v>
      </c>
      <c r="C1715" s="55">
        <v>338.8</v>
      </c>
      <c r="D1715" s="70">
        <f t="shared" si="53"/>
        <v>-0.77406931964056491</v>
      </c>
      <c r="E1715" s="180">
        <v>-8.7045570916537661E-3</v>
      </c>
      <c r="G1715" s="78">
        <v>1713</v>
      </c>
      <c r="H1715" s="180">
        <f t="shared" ca="1" si="54"/>
        <v>8.5850938740375214E-3</v>
      </c>
    </row>
    <row r="1716" spans="2:8" x14ac:dyDescent="0.3">
      <c r="B1716" s="69">
        <v>45063</v>
      </c>
      <c r="C1716" s="55">
        <v>1499.575</v>
      </c>
      <c r="D1716" s="70">
        <f t="shared" si="53"/>
        <v>-0.71998039307221884</v>
      </c>
      <c r="E1716" s="180">
        <v>-8.725686238865691E-3</v>
      </c>
      <c r="G1716" s="78">
        <v>1714</v>
      </c>
      <c r="H1716" s="180">
        <f t="shared" ca="1" si="54"/>
        <v>-1.141739243093313E-2</v>
      </c>
    </row>
    <row r="1717" spans="2:8" x14ac:dyDescent="0.3">
      <c r="B1717" s="69">
        <v>45861</v>
      </c>
      <c r="C1717" s="55">
        <v>5355.25</v>
      </c>
      <c r="D1717" s="70">
        <f t="shared" si="53"/>
        <v>-2.0082342177493138E-2</v>
      </c>
      <c r="E1717" s="180">
        <v>-8.7459509486348917E-3</v>
      </c>
      <c r="G1717" s="78">
        <v>1715</v>
      </c>
      <c r="H1717" s="180">
        <f t="shared" ca="1" si="54"/>
        <v>6.1607849833361806E-3</v>
      </c>
    </row>
    <row r="1718" spans="2:8" x14ac:dyDescent="0.3">
      <c r="B1718" s="69">
        <v>45889</v>
      </c>
      <c r="C1718" s="55">
        <v>5465</v>
      </c>
      <c r="D1718" s="70">
        <f t="shared" si="53"/>
        <v>-8.7516437672878981E-3</v>
      </c>
      <c r="E1718" s="180">
        <v>-8.7516437672878981E-3</v>
      </c>
      <c r="G1718" s="78">
        <v>1716</v>
      </c>
      <c r="H1718" s="180">
        <f t="shared" ca="1" si="54"/>
        <v>-1.2167853108251846E-2</v>
      </c>
    </row>
    <row r="1719" spans="2:8" x14ac:dyDescent="0.3">
      <c r="B1719" s="69">
        <v>45888</v>
      </c>
      <c r="C1719" s="55">
        <v>5513.25</v>
      </c>
      <c r="D1719" s="70">
        <f t="shared" si="53"/>
        <v>-0.19923456512187776</v>
      </c>
      <c r="E1719" s="180">
        <v>-8.7648327939590081E-3</v>
      </c>
      <c r="G1719" s="78">
        <v>1717</v>
      </c>
      <c r="H1719" s="180">
        <f t="shared" ca="1" si="54"/>
        <v>-1.224009090979078E-2</v>
      </c>
    </row>
    <row r="1720" spans="2:8" x14ac:dyDescent="0.3">
      <c r="B1720" s="69">
        <v>45636</v>
      </c>
      <c r="C1720" s="55">
        <v>6884.9750000000004</v>
      </c>
      <c r="D1720" s="70">
        <f t="shared" si="53"/>
        <v>6.6004250097736791E-2</v>
      </c>
      <c r="E1720" s="180">
        <v>-8.8070369917147302E-3</v>
      </c>
      <c r="G1720" s="78">
        <v>1718</v>
      </c>
      <c r="H1720" s="180">
        <f t="shared" ca="1" si="54"/>
        <v>-6.0128876079692138E-3</v>
      </c>
    </row>
    <row r="1721" spans="2:8" x14ac:dyDescent="0.3">
      <c r="B1721" s="69">
        <v>45610</v>
      </c>
      <c r="C1721" s="55">
        <v>6458.6750000000002</v>
      </c>
      <c r="D1721" s="70">
        <f t="shared" si="53"/>
        <v>6.7572363680038432</v>
      </c>
      <c r="E1721" s="180">
        <v>-8.8089839358815904E-3</v>
      </c>
      <c r="G1721" s="78">
        <v>1719</v>
      </c>
      <c r="H1721" s="180">
        <f t="shared" ca="1" si="54"/>
        <v>-1.5830325321419342E-2</v>
      </c>
    </row>
    <row r="1722" spans="2:8" x14ac:dyDescent="0.3">
      <c r="B1722" s="69">
        <v>44273</v>
      </c>
      <c r="C1722" s="55">
        <v>832.6</v>
      </c>
      <c r="D1722" s="70">
        <f t="shared" si="53"/>
        <v>0.21925681859784005</v>
      </c>
      <c r="E1722" s="180">
        <v>-8.8095238095237827E-3</v>
      </c>
      <c r="G1722" s="78">
        <v>1720</v>
      </c>
      <c r="H1722" s="180">
        <f t="shared" ca="1" si="54"/>
        <v>-2.6049192498828694E-3</v>
      </c>
    </row>
    <row r="1723" spans="2:8" x14ac:dyDescent="0.3">
      <c r="B1723" s="69">
        <v>44236</v>
      </c>
      <c r="C1723" s="55">
        <v>682.875</v>
      </c>
      <c r="D1723" s="70">
        <f t="shared" si="53"/>
        <v>1.7635572642654795</v>
      </c>
      <c r="E1723" s="180">
        <v>-8.8177661659047026E-3</v>
      </c>
      <c r="G1723" s="78">
        <v>1721</v>
      </c>
      <c r="H1723" s="180">
        <f t="shared" ca="1" si="54"/>
        <v>5.3909033123716893E-2</v>
      </c>
    </row>
    <row r="1724" spans="2:8" x14ac:dyDescent="0.3">
      <c r="B1724" s="69">
        <v>42905</v>
      </c>
      <c r="C1724" s="55">
        <v>247.1</v>
      </c>
      <c r="D1724" s="70">
        <f t="shared" si="53"/>
        <v>-0.93650304186662048</v>
      </c>
      <c r="E1724" s="180">
        <v>-8.8247091857200834E-3</v>
      </c>
      <c r="G1724" s="78">
        <v>1722</v>
      </c>
      <c r="H1724" s="180">
        <f t="shared" ca="1" si="54"/>
        <v>3.1763197282770078E-2</v>
      </c>
    </row>
    <row r="1725" spans="2:8" x14ac:dyDescent="0.3">
      <c r="B1725" s="69">
        <v>45384</v>
      </c>
      <c r="C1725" s="55">
        <v>3891.5250000000001</v>
      </c>
      <c r="D1725" s="70">
        <f t="shared" si="53"/>
        <v>-0.24601114071203681</v>
      </c>
      <c r="E1725" s="180">
        <v>-8.8380059726582832E-3</v>
      </c>
      <c r="G1725" s="78">
        <v>1723</v>
      </c>
      <c r="H1725" s="180">
        <f t="shared" ca="1" si="54"/>
        <v>-1.5759943701149515E-2</v>
      </c>
    </row>
    <row r="1726" spans="2:8" x14ac:dyDescent="0.3">
      <c r="B1726" s="69">
        <v>45495</v>
      </c>
      <c r="C1726" s="55">
        <v>5161.25</v>
      </c>
      <c r="D1726" s="70">
        <f t="shared" si="53"/>
        <v>-5.1981448317031734E-2</v>
      </c>
      <c r="E1726" s="180">
        <v>-8.8385960027076802E-3</v>
      </c>
      <c r="G1726" s="78">
        <v>1724</v>
      </c>
      <c r="H1726" s="180">
        <f t="shared" ca="1" si="54"/>
        <v>-2.6485538058317593E-2</v>
      </c>
    </row>
    <row r="1727" spans="2:8" x14ac:dyDescent="0.3">
      <c r="B1727" s="69">
        <v>45891</v>
      </c>
      <c r="C1727" s="55">
        <v>5444.25</v>
      </c>
      <c r="D1727" s="70">
        <f t="shared" si="53"/>
        <v>0.33634020618556704</v>
      </c>
      <c r="E1727" s="180">
        <v>-8.8749317312943748E-3</v>
      </c>
      <c r="G1727" s="78">
        <v>1725</v>
      </c>
      <c r="H1727" s="180">
        <f t="shared" ca="1" si="54"/>
        <v>1.6863579591558521E-2</v>
      </c>
    </row>
    <row r="1728" spans="2:8" x14ac:dyDescent="0.3">
      <c r="B1728" s="69">
        <v>46155</v>
      </c>
      <c r="C1728" s="55">
        <v>4074</v>
      </c>
      <c r="D1728" s="70">
        <f t="shared" si="53"/>
        <v>1.3522279478629888</v>
      </c>
      <c r="E1728" s="180">
        <v>-8.8917541448225133E-3</v>
      </c>
      <c r="G1728" s="78">
        <v>1726</v>
      </c>
      <c r="H1728" s="180">
        <f t="shared" ca="1" si="54"/>
        <v>2.4367037446650194E-2</v>
      </c>
    </row>
    <row r="1729" spans="2:8" x14ac:dyDescent="0.3">
      <c r="B1729" s="69">
        <v>45139</v>
      </c>
      <c r="C1729" s="55">
        <v>1731.9749999999999</v>
      </c>
      <c r="D1729" s="70">
        <f t="shared" si="53"/>
        <v>-0.57528292401819547</v>
      </c>
      <c r="E1729" s="180">
        <v>-8.8982990229039254E-3</v>
      </c>
      <c r="G1729" s="78">
        <v>1727</v>
      </c>
      <c r="H1729" s="180">
        <f t="shared" ca="1" si="54"/>
        <v>2.4913251439712104E-2</v>
      </c>
    </row>
    <row r="1730" spans="2:8" x14ac:dyDescent="0.3">
      <c r="B1730" s="69">
        <v>46008</v>
      </c>
      <c r="C1730" s="55">
        <v>4077.95</v>
      </c>
      <c r="D1730" s="70">
        <f t="shared" si="53"/>
        <v>5.0776481985170827</v>
      </c>
      <c r="E1730" s="180">
        <v>-8.9073056919264423E-3</v>
      </c>
      <c r="G1730" s="78">
        <v>1728</v>
      </c>
      <c r="H1730" s="180">
        <f t="shared" ca="1" si="54"/>
        <v>2.0201948339131238E-2</v>
      </c>
    </row>
    <row r="1731" spans="2:8" x14ac:dyDescent="0.3">
      <c r="B1731" s="69">
        <v>44231</v>
      </c>
      <c r="C1731" s="55">
        <v>670.97500000000002</v>
      </c>
      <c r="D1731" s="70">
        <f t="shared" ref="D1731:D1794" si="55">(C1731-C1732)/C1732</f>
        <v>0.14058051081552003</v>
      </c>
      <c r="E1731" s="180">
        <v>-8.9361544994645027E-3</v>
      </c>
      <c r="G1731" s="78">
        <v>1729</v>
      </c>
      <c r="H1731" s="180">
        <f t="shared" ca="1" si="54"/>
        <v>-2.6111060396583563E-2</v>
      </c>
    </row>
    <row r="1732" spans="2:8" x14ac:dyDescent="0.3">
      <c r="B1732" s="69">
        <v>43853</v>
      </c>
      <c r="C1732" s="55">
        <v>588.27499999999998</v>
      </c>
      <c r="D1732" s="70">
        <f t="shared" si="55"/>
        <v>-0.89542707314905345</v>
      </c>
      <c r="E1732" s="180">
        <v>-8.9706873315364647E-3</v>
      </c>
      <c r="G1732" s="78">
        <v>1730</v>
      </c>
      <c r="H1732" s="180">
        <f t="shared" ref="H1732:H1795" ca="1" si="56">_xlfn.NORM.INV(RAND(),$N$4,$N$5)</f>
        <v>1.3198255350554151E-2</v>
      </c>
    </row>
    <row r="1733" spans="2:8" x14ac:dyDescent="0.3">
      <c r="B1733" s="69">
        <v>45810</v>
      </c>
      <c r="C1733" s="55">
        <v>5625.5</v>
      </c>
      <c r="D1733" s="70">
        <f t="shared" si="55"/>
        <v>8.5270570078132532E-2</v>
      </c>
      <c r="E1733" s="180">
        <v>-8.9844094072051434E-3</v>
      </c>
      <c r="G1733" s="78">
        <v>1731</v>
      </c>
      <c r="H1733" s="180">
        <f t="shared" ca="1" si="56"/>
        <v>-7.597410334366895E-3</v>
      </c>
    </row>
    <row r="1734" spans="2:8" x14ac:dyDescent="0.3">
      <c r="B1734" s="69">
        <v>45775</v>
      </c>
      <c r="C1734" s="55">
        <v>5183.5</v>
      </c>
      <c r="D1734" s="70">
        <f t="shared" si="55"/>
        <v>13.484107579462103</v>
      </c>
      <c r="E1734" s="180">
        <v>-8.9857566198260196E-3</v>
      </c>
      <c r="G1734" s="78">
        <v>1732</v>
      </c>
      <c r="H1734" s="180">
        <f t="shared" ca="1" si="56"/>
        <v>4.7011269974286517E-4</v>
      </c>
    </row>
    <row r="1735" spans="2:8" x14ac:dyDescent="0.3">
      <c r="B1735" s="69">
        <v>43325</v>
      </c>
      <c r="C1735" s="55">
        <v>357.875</v>
      </c>
      <c r="D1735" s="70">
        <f t="shared" si="55"/>
        <v>-0.93279658232007889</v>
      </c>
      <c r="E1735" s="180">
        <v>-9.0682541880104592E-3</v>
      </c>
      <c r="G1735" s="78">
        <v>1733</v>
      </c>
      <c r="H1735" s="180">
        <f t="shared" ca="1" si="56"/>
        <v>-4.1989386366843746E-3</v>
      </c>
    </row>
    <row r="1736" spans="2:8" x14ac:dyDescent="0.3">
      <c r="B1736" s="69">
        <v>45876</v>
      </c>
      <c r="C1736" s="55">
        <v>5325.25</v>
      </c>
      <c r="D1736" s="70">
        <f t="shared" si="55"/>
        <v>7.6836526701997556</v>
      </c>
      <c r="E1736" s="180">
        <v>-9.0714551544473394E-3</v>
      </c>
      <c r="G1736" s="78">
        <v>1734</v>
      </c>
      <c r="H1736" s="180">
        <f t="shared" ca="1" si="56"/>
        <v>3.8387957921073718E-2</v>
      </c>
    </row>
    <row r="1737" spans="2:8" x14ac:dyDescent="0.3">
      <c r="B1737" s="69">
        <v>44033</v>
      </c>
      <c r="C1737" s="55">
        <v>613.25</v>
      </c>
      <c r="D1737" s="70">
        <f t="shared" si="55"/>
        <v>1.530431194553332</v>
      </c>
      <c r="E1737" s="180">
        <v>-9.0890729145627139E-3</v>
      </c>
      <c r="G1737" s="78">
        <v>1735</v>
      </c>
      <c r="H1737" s="180">
        <f t="shared" ca="1" si="56"/>
        <v>5.1502973170093561E-3</v>
      </c>
    </row>
    <row r="1738" spans="2:8" x14ac:dyDescent="0.3">
      <c r="B1738" s="69">
        <v>42884</v>
      </c>
      <c r="C1738" s="55">
        <v>242.35</v>
      </c>
      <c r="D1738" s="70">
        <f t="shared" si="55"/>
        <v>-0.96702463117862958</v>
      </c>
      <c r="E1738" s="180">
        <v>-9.0974138812225068E-3</v>
      </c>
      <c r="G1738" s="78">
        <v>1736</v>
      </c>
      <c r="H1738" s="180">
        <f t="shared" ca="1" si="56"/>
        <v>-5.2341958259146757E-3</v>
      </c>
    </row>
    <row r="1739" spans="2:8" x14ac:dyDescent="0.3">
      <c r="B1739" s="69">
        <v>45553</v>
      </c>
      <c r="C1739" s="55">
        <v>7349.4250000000002</v>
      </c>
      <c r="D1739" s="70">
        <f t="shared" si="55"/>
        <v>4.0489823958780597</v>
      </c>
      <c r="E1739" s="180">
        <v>-9.0974665965564399E-3</v>
      </c>
      <c r="G1739" s="78">
        <v>1737</v>
      </c>
      <c r="H1739" s="180">
        <f t="shared" ca="1" si="56"/>
        <v>4.5125919342867929E-2</v>
      </c>
    </row>
    <row r="1740" spans="2:8" x14ac:dyDescent="0.3">
      <c r="B1740" s="69">
        <v>44903</v>
      </c>
      <c r="C1740" s="55">
        <v>1455.625</v>
      </c>
      <c r="D1740" s="70">
        <f t="shared" si="55"/>
        <v>-0.67398485968330757</v>
      </c>
      <c r="E1740" s="180">
        <v>-9.1385589326435143E-3</v>
      </c>
      <c r="G1740" s="78">
        <v>1738</v>
      </c>
      <c r="H1740" s="180">
        <f t="shared" ca="1" si="56"/>
        <v>-1.5247051317699973E-2</v>
      </c>
    </row>
    <row r="1741" spans="2:8" x14ac:dyDescent="0.3">
      <c r="B1741" s="69">
        <v>45421</v>
      </c>
      <c r="C1741" s="55">
        <v>4464.8999999999996</v>
      </c>
      <c r="D1741" s="70">
        <f t="shared" si="55"/>
        <v>10.108788953162902</v>
      </c>
      <c r="E1741" s="180">
        <v>-9.1651502374506637E-3</v>
      </c>
      <c r="G1741" s="78">
        <v>1739</v>
      </c>
      <c r="H1741" s="180">
        <f t="shared" ca="1" si="56"/>
        <v>-2.12738426329598E-4</v>
      </c>
    </row>
    <row r="1742" spans="2:8" x14ac:dyDescent="0.3">
      <c r="B1742" s="69">
        <v>43627</v>
      </c>
      <c r="C1742" s="55">
        <v>401.92500000000001</v>
      </c>
      <c r="D1742" s="70">
        <f t="shared" si="55"/>
        <v>-0.69904530138524901</v>
      </c>
      <c r="E1742" s="180">
        <v>-9.1827930481941725E-3</v>
      </c>
      <c r="G1742" s="78">
        <v>1740</v>
      </c>
      <c r="H1742" s="180">
        <f t="shared" ca="1" si="56"/>
        <v>1.665348424406812E-2</v>
      </c>
    </row>
    <row r="1743" spans="2:8" x14ac:dyDescent="0.3">
      <c r="B1743" s="69">
        <v>45005</v>
      </c>
      <c r="C1743" s="55">
        <v>1335.5</v>
      </c>
      <c r="D1743" s="70">
        <f t="shared" si="55"/>
        <v>4.0731244064577394</v>
      </c>
      <c r="E1743" s="180">
        <v>-9.217871914238519E-3</v>
      </c>
      <c r="G1743" s="78">
        <v>1741</v>
      </c>
      <c r="H1743" s="180">
        <f t="shared" ca="1" si="56"/>
        <v>-9.227093806543003E-3</v>
      </c>
    </row>
    <row r="1744" spans="2:8" x14ac:dyDescent="0.3">
      <c r="B1744" s="69">
        <v>42844</v>
      </c>
      <c r="C1744" s="55">
        <v>263.25</v>
      </c>
      <c r="D1744" s="70">
        <f t="shared" si="55"/>
        <v>-0.94353130446440536</v>
      </c>
      <c r="E1744" s="180">
        <v>-9.2209258562287871E-3</v>
      </c>
      <c r="G1744" s="78">
        <v>1742</v>
      </c>
      <c r="H1744" s="180">
        <f t="shared" ca="1" si="56"/>
        <v>-2.4000599033110765E-2</v>
      </c>
    </row>
    <row r="1745" spans="2:8" x14ac:dyDescent="0.3">
      <c r="B1745" s="69">
        <v>45440</v>
      </c>
      <c r="C1745" s="55">
        <v>4661.875</v>
      </c>
      <c r="D1745" s="70">
        <f t="shared" si="55"/>
        <v>13.965890850722312</v>
      </c>
      <c r="E1745" s="180">
        <v>-9.2552744969902137E-3</v>
      </c>
      <c r="G1745" s="78">
        <v>1743</v>
      </c>
      <c r="H1745" s="180">
        <f t="shared" ca="1" si="56"/>
        <v>-3.7766494072919007E-3</v>
      </c>
    </row>
    <row r="1746" spans="2:8" x14ac:dyDescent="0.3">
      <c r="B1746" s="69">
        <v>43278</v>
      </c>
      <c r="C1746" s="55">
        <v>311.5</v>
      </c>
      <c r="D1746" s="70">
        <f t="shared" si="55"/>
        <v>-0.58495719662902634</v>
      </c>
      <c r="E1746" s="180">
        <v>-9.3026953963584683E-3</v>
      </c>
      <c r="G1746" s="78">
        <v>1744</v>
      </c>
      <c r="H1746" s="180">
        <f t="shared" ca="1" si="56"/>
        <v>1.4280303875614639E-2</v>
      </c>
    </row>
    <row r="1747" spans="2:8" x14ac:dyDescent="0.3">
      <c r="B1747" s="69">
        <v>44155</v>
      </c>
      <c r="C1747" s="55">
        <v>750.52499999999998</v>
      </c>
      <c r="D1747" s="70">
        <f t="shared" si="55"/>
        <v>-0.63787363392921759</v>
      </c>
      <c r="E1747" s="180">
        <v>-9.3060093060093954E-3</v>
      </c>
      <c r="G1747" s="78">
        <v>1745</v>
      </c>
      <c r="H1747" s="180">
        <f t="shared" ca="1" si="56"/>
        <v>4.4968566260042931E-3</v>
      </c>
    </row>
    <row r="1748" spans="2:8" x14ac:dyDescent="0.3">
      <c r="B1748" s="69">
        <v>45181</v>
      </c>
      <c r="C1748" s="55">
        <v>2072.5500000000002</v>
      </c>
      <c r="D1748" s="70">
        <f t="shared" si="55"/>
        <v>0.86699396450770227</v>
      </c>
      <c r="E1748" s="180">
        <v>-9.3210009321000927E-3</v>
      </c>
      <c r="G1748" s="78">
        <v>1746</v>
      </c>
      <c r="H1748" s="180">
        <f t="shared" ca="1" si="56"/>
        <v>1.6396110979461503E-2</v>
      </c>
    </row>
    <row r="1749" spans="2:8" x14ac:dyDescent="0.3">
      <c r="B1749" s="69">
        <v>44523</v>
      </c>
      <c r="C1749" s="55">
        <v>1110.0999999999999</v>
      </c>
      <c r="D1749" s="70">
        <f t="shared" si="55"/>
        <v>2.0878998609179416</v>
      </c>
      <c r="E1749" s="180">
        <v>-9.3478794368961563E-3</v>
      </c>
      <c r="G1749" s="78">
        <v>1747</v>
      </c>
      <c r="H1749" s="180">
        <f t="shared" ca="1" si="56"/>
        <v>2.3611549393931366E-2</v>
      </c>
    </row>
    <row r="1750" spans="2:8" x14ac:dyDescent="0.3">
      <c r="B1750" s="69">
        <v>43348</v>
      </c>
      <c r="C1750" s="55">
        <v>359.5</v>
      </c>
      <c r="D1750" s="70">
        <f t="shared" si="55"/>
        <v>-0.22046945302759258</v>
      </c>
      <c r="E1750" s="180">
        <v>-9.3689721686414373E-3</v>
      </c>
      <c r="G1750" s="78">
        <v>1748</v>
      </c>
      <c r="H1750" s="180">
        <f t="shared" ca="1" si="56"/>
        <v>1.3799969176375708E-2</v>
      </c>
    </row>
    <row r="1751" spans="2:8" x14ac:dyDescent="0.3">
      <c r="B1751" s="69">
        <v>43714</v>
      </c>
      <c r="C1751" s="55">
        <v>461.17500000000001</v>
      </c>
      <c r="D1751" s="70">
        <f t="shared" si="55"/>
        <v>-0.89723005270253708</v>
      </c>
      <c r="E1751" s="180">
        <v>-9.3974868435182986E-3</v>
      </c>
      <c r="G1751" s="78">
        <v>1749</v>
      </c>
      <c r="H1751" s="180">
        <f t="shared" ca="1" si="56"/>
        <v>-6.4379400687011755E-3</v>
      </c>
    </row>
    <row r="1752" spans="2:8" x14ac:dyDescent="0.3">
      <c r="B1752" s="69">
        <v>45419</v>
      </c>
      <c r="C1752" s="55">
        <v>4487.45</v>
      </c>
      <c r="D1752" s="70">
        <f t="shared" si="55"/>
        <v>5.9384615384615378</v>
      </c>
      <c r="E1752" s="180">
        <v>-9.4202698601032388E-3</v>
      </c>
      <c r="G1752" s="78">
        <v>1750</v>
      </c>
      <c r="H1752" s="180">
        <f t="shared" ca="1" si="56"/>
        <v>4.312542306091155E-3</v>
      </c>
    </row>
    <row r="1753" spans="2:8" x14ac:dyDescent="0.3">
      <c r="B1753" s="69">
        <v>44078</v>
      </c>
      <c r="C1753" s="55">
        <v>646.75</v>
      </c>
      <c r="D1753" s="70">
        <f t="shared" si="55"/>
        <v>0.42142857142857143</v>
      </c>
      <c r="E1753" s="180">
        <v>-9.4574415131905738E-3</v>
      </c>
      <c r="G1753" s="78">
        <v>1751</v>
      </c>
      <c r="H1753" s="180">
        <f t="shared" ca="1" si="56"/>
        <v>-3.7910019835521265E-3</v>
      </c>
    </row>
    <row r="1754" spans="2:8" x14ac:dyDescent="0.3">
      <c r="B1754" s="69">
        <v>43649</v>
      </c>
      <c r="C1754" s="55">
        <v>455</v>
      </c>
      <c r="D1754" s="70">
        <f t="shared" si="55"/>
        <v>-0.89502826162187099</v>
      </c>
      <c r="E1754" s="180">
        <v>-9.4699031239795853E-3</v>
      </c>
      <c r="G1754" s="78">
        <v>1752</v>
      </c>
      <c r="H1754" s="180">
        <f t="shared" ca="1" si="56"/>
        <v>-2.4037714794644231E-2</v>
      </c>
    </row>
    <row r="1755" spans="2:8" x14ac:dyDescent="0.3">
      <c r="B1755" s="69">
        <v>45985</v>
      </c>
      <c r="C1755" s="55">
        <v>4334.5</v>
      </c>
      <c r="D1755" s="70">
        <f t="shared" si="55"/>
        <v>13.844178082191782</v>
      </c>
      <c r="E1755" s="180">
        <v>-9.4835466179159049E-3</v>
      </c>
      <c r="G1755" s="78">
        <v>1753</v>
      </c>
      <c r="H1755" s="180">
        <f t="shared" ca="1" si="56"/>
        <v>4.6089486053309557E-2</v>
      </c>
    </row>
    <row r="1756" spans="2:8" x14ac:dyDescent="0.3">
      <c r="B1756" s="69">
        <v>42993</v>
      </c>
      <c r="C1756" s="55">
        <v>292</v>
      </c>
      <c r="D1756" s="70">
        <f t="shared" si="55"/>
        <v>-0.92502824278525209</v>
      </c>
      <c r="E1756" s="180">
        <v>-9.4979647218453572E-3</v>
      </c>
      <c r="G1756" s="78">
        <v>1754</v>
      </c>
      <c r="H1756" s="180">
        <f t="shared" ca="1" si="56"/>
        <v>1.9980308236762927E-2</v>
      </c>
    </row>
    <row r="1757" spans="2:8" x14ac:dyDescent="0.3">
      <c r="B1757" s="69">
        <v>46079</v>
      </c>
      <c r="C1757" s="55">
        <v>3894.8</v>
      </c>
      <c r="D1757" s="70">
        <f t="shared" si="55"/>
        <v>9.6277372262773717</v>
      </c>
      <c r="E1757" s="180">
        <v>-9.5238095238094778E-3</v>
      </c>
      <c r="G1757" s="78">
        <v>1755</v>
      </c>
      <c r="H1757" s="180">
        <f t="shared" ca="1" si="56"/>
        <v>-8.6522984404308542E-3</v>
      </c>
    </row>
    <row r="1758" spans="2:8" x14ac:dyDescent="0.3">
      <c r="B1758" s="69">
        <v>43601</v>
      </c>
      <c r="C1758" s="55">
        <v>366.47500000000002</v>
      </c>
      <c r="D1758" s="70">
        <f t="shared" si="55"/>
        <v>-0.46810595065312044</v>
      </c>
      <c r="E1758" s="180">
        <v>-9.5270270270269661E-3</v>
      </c>
      <c r="G1758" s="78">
        <v>1756</v>
      </c>
      <c r="H1758" s="180">
        <f t="shared" ca="1" si="56"/>
        <v>-3.9121309548884667E-3</v>
      </c>
    </row>
    <row r="1759" spans="2:8" x14ac:dyDescent="0.3">
      <c r="B1759" s="69">
        <v>44174</v>
      </c>
      <c r="C1759" s="55">
        <v>689</v>
      </c>
      <c r="D1759" s="70">
        <f t="shared" si="55"/>
        <v>-0.34536817102137768</v>
      </c>
      <c r="E1759" s="180">
        <v>-9.5594048731403574E-3</v>
      </c>
      <c r="G1759" s="78">
        <v>1757</v>
      </c>
      <c r="H1759" s="180">
        <f t="shared" ca="1" si="56"/>
        <v>6.9561647388299251E-3</v>
      </c>
    </row>
    <row r="1760" spans="2:8" x14ac:dyDescent="0.3">
      <c r="B1760" s="69">
        <v>44610</v>
      </c>
      <c r="C1760" s="55">
        <v>1052.5</v>
      </c>
      <c r="D1760" s="70">
        <f t="shared" si="55"/>
        <v>-0.3898462296555022</v>
      </c>
      <c r="E1760" s="180">
        <v>-9.5748935469453789E-3</v>
      </c>
      <c r="G1760" s="78">
        <v>1758</v>
      </c>
      <c r="H1760" s="180">
        <f t="shared" ca="1" si="56"/>
        <v>-1.1105686177428728E-2</v>
      </c>
    </row>
    <row r="1761" spans="2:8" x14ac:dyDescent="0.3">
      <c r="B1761" s="69">
        <v>45114</v>
      </c>
      <c r="C1761" s="55">
        <v>1724.9749999999999</v>
      </c>
      <c r="D1761" s="70">
        <f t="shared" si="55"/>
        <v>-0.78899388379204893</v>
      </c>
      <c r="E1761" s="180">
        <v>-9.6026870299133812E-3</v>
      </c>
      <c r="G1761" s="78">
        <v>1759</v>
      </c>
      <c r="H1761" s="180">
        <f t="shared" ca="1" si="56"/>
        <v>3.2493038438510383E-2</v>
      </c>
    </row>
    <row r="1762" spans="2:8" x14ac:dyDescent="0.3">
      <c r="B1762" s="69">
        <v>45580</v>
      </c>
      <c r="C1762" s="55">
        <v>8175</v>
      </c>
      <c r="D1762" s="70">
        <f t="shared" si="55"/>
        <v>10.847826086956522</v>
      </c>
      <c r="E1762" s="180">
        <v>-9.6131130858275165E-3</v>
      </c>
      <c r="G1762" s="78">
        <v>1760</v>
      </c>
      <c r="H1762" s="180">
        <f t="shared" ca="1" si="56"/>
        <v>-2.7579963923095707E-2</v>
      </c>
    </row>
    <row r="1763" spans="2:8" x14ac:dyDescent="0.3">
      <c r="B1763" s="69">
        <v>44208</v>
      </c>
      <c r="C1763" s="55">
        <v>690</v>
      </c>
      <c r="D1763" s="70">
        <f t="shared" si="55"/>
        <v>1.7378236286082731</v>
      </c>
      <c r="E1763" s="180">
        <v>-9.6167647480982412E-3</v>
      </c>
      <c r="G1763" s="78">
        <v>1761</v>
      </c>
      <c r="H1763" s="180">
        <f t="shared" ca="1" si="56"/>
        <v>-5.9277035778963136E-3</v>
      </c>
    </row>
    <row r="1764" spans="2:8" x14ac:dyDescent="0.3">
      <c r="B1764" s="69">
        <v>42780</v>
      </c>
      <c r="C1764" s="55">
        <v>252.02500000000001</v>
      </c>
      <c r="D1764" s="70">
        <f t="shared" si="55"/>
        <v>-0.96677257955002416</v>
      </c>
      <c r="E1764" s="180">
        <v>-9.6276648000786589E-3</v>
      </c>
      <c r="G1764" s="78">
        <v>1762</v>
      </c>
      <c r="H1764" s="180">
        <f t="shared" ca="1" si="56"/>
        <v>6.6480912259304339E-4</v>
      </c>
    </row>
    <row r="1765" spans="2:8" x14ac:dyDescent="0.3">
      <c r="B1765" s="69">
        <v>45566</v>
      </c>
      <c r="C1765" s="55">
        <v>7584.85</v>
      </c>
      <c r="D1765" s="70">
        <f t="shared" si="55"/>
        <v>17.635995085995088</v>
      </c>
      <c r="E1765" s="180">
        <v>-9.6620249776402465E-3</v>
      </c>
      <c r="G1765" s="78">
        <v>1763</v>
      </c>
      <c r="H1765" s="180">
        <f t="shared" ca="1" si="56"/>
        <v>7.9359103760789761E-3</v>
      </c>
    </row>
    <row r="1766" spans="2:8" x14ac:dyDescent="0.3">
      <c r="B1766" s="69">
        <v>43672</v>
      </c>
      <c r="C1766" s="55">
        <v>407</v>
      </c>
      <c r="D1766" s="70">
        <f t="shared" si="55"/>
        <v>-0.62224748822423837</v>
      </c>
      <c r="E1766" s="180">
        <v>-9.6721211752540236E-3</v>
      </c>
      <c r="G1766" s="78">
        <v>1764</v>
      </c>
      <c r="H1766" s="180">
        <f t="shared" ca="1" si="56"/>
        <v>-2.655119401480871E-2</v>
      </c>
    </row>
    <row r="1767" spans="2:8" x14ac:dyDescent="0.3">
      <c r="B1767" s="69">
        <v>44721</v>
      </c>
      <c r="C1767" s="55">
        <v>1077.425</v>
      </c>
      <c r="D1767" s="70">
        <f t="shared" si="55"/>
        <v>1.3167938931297709</v>
      </c>
      <c r="E1767" s="180">
        <v>-9.6741578197528291E-3</v>
      </c>
      <c r="G1767" s="78">
        <v>1765</v>
      </c>
      <c r="H1767" s="180">
        <f t="shared" ca="1" si="56"/>
        <v>-3.9140785398531018E-2</v>
      </c>
    </row>
    <row r="1768" spans="2:8" x14ac:dyDescent="0.3">
      <c r="B1768" s="69">
        <v>43959</v>
      </c>
      <c r="C1768" s="55">
        <v>465.05</v>
      </c>
      <c r="D1768" s="70">
        <f t="shared" si="55"/>
        <v>-0.28837031369548582</v>
      </c>
      <c r="E1768" s="180">
        <v>-9.6890971039182514E-3</v>
      </c>
      <c r="G1768" s="78">
        <v>1766</v>
      </c>
      <c r="H1768" s="180">
        <f t="shared" ca="1" si="56"/>
        <v>-2.1593394660747462E-3</v>
      </c>
    </row>
    <row r="1769" spans="2:8" x14ac:dyDescent="0.3">
      <c r="B1769" s="69">
        <v>44071</v>
      </c>
      <c r="C1769" s="55">
        <v>653.5</v>
      </c>
      <c r="D1769" s="70">
        <f t="shared" si="55"/>
        <v>-0.84178862379102048</v>
      </c>
      <c r="E1769" s="180">
        <v>-9.7359548433533435E-3</v>
      </c>
      <c r="G1769" s="78">
        <v>1767</v>
      </c>
      <c r="H1769" s="180">
        <f t="shared" ca="1" si="56"/>
        <v>-5.8527498789218125E-4</v>
      </c>
    </row>
    <row r="1770" spans="2:8" x14ac:dyDescent="0.3">
      <c r="B1770" s="69">
        <v>46146</v>
      </c>
      <c r="C1770" s="55">
        <v>4130.5499999999993</v>
      </c>
      <c r="D1770" s="70">
        <f t="shared" si="55"/>
        <v>1.9110418098208144</v>
      </c>
      <c r="E1770" s="180">
        <v>-9.7453970080553665E-3</v>
      </c>
      <c r="G1770" s="78">
        <v>1768</v>
      </c>
      <c r="H1770" s="180">
        <f t="shared" ca="1" si="56"/>
        <v>2.0815681441299208E-2</v>
      </c>
    </row>
    <row r="1771" spans="2:8" x14ac:dyDescent="0.3">
      <c r="B1771" s="69">
        <v>44846</v>
      </c>
      <c r="C1771" s="55">
        <v>1418.925</v>
      </c>
      <c r="D1771" s="70">
        <f t="shared" si="55"/>
        <v>-0.28727679132029033</v>
      </c>
      <c r="E1771" s="180">
        <v>-9.7875013084895435E-3</v>
      </c>
      <c r="G1771" s="78">
        <v>1769</v>
      </c>
      <c r="H1771" s="180">
        <f t="shared" ca="1" si="56"/>
        <v>3.9303178651219378E-2</v>
      </c>
    </row>
    <row r="1772" spans="2:8" x14ac:dyDescent="0.3">
      <c r="B1772" s="69">
        <v>45224</v>
      </c>
      <c r="C1772" s="55">
        <v>1990.85</v>
      </c>
      <c r="D1772" s="70">
        <f t="shared" si="55"/>
        <v>0.66177667410947161</v>
      </c>
      <c r="E1772" s="180">
        <v>-9.8106263133681346E-3</v>
      </c>
      <c r="G1772" s="78">
        <v>1770</v>
      </c>
      <c r="H1772" s="180">
        <f t="shared" ca="1" si="56"/>
        <v>-2.4130120256976074E-2</v>
      </c>
    </row>
    <row r="1773" spans="2:8" x14ac:dyDescent="0.3">
      <c r="B1773" s="69">
        <v>44754</v>
      </c>
      <c r="C1773" s="55">
        <v>1198.0250000000001</v>
      </c>
      <c r="D1773" s="70">
        <f t="shared" si="55"/>
        <v>-0.7398114867139397</v>
      </c>
      <c r="E1773" s="180">
        <v>-9.8148607322919249E-3</v>
      </c>
      <c r="G1773" s="78">
        <v>1771</v>
      </c>
      <c r="H1773" s="180">
        <f t="shared" ca="1" si="56"/>
        <v>1.5035698464394938E-2</v>
      </c>
    </row>
    <row r="1774" spans="2:8" x14ac:dyDescent="0.3">
      <c r="B1774" s="69">
        <v>45443</v>
      </c>
      <c r="C1774" s="55">
        <v>4604.45</v>
      </c>
      <c r="D1774" s="70">
        <f t="shared" si="55"/>
        <v>2.2464570260170627</v>
      </c>
      <c r="E1774" s="180">
        <v>-9.8169931829424194E-3</v>
      </c>
      <c r="G1774" s="78">
        <v>1772</v>
      </c>
      <c r="H1774" s="180">
        <f t="shared" ca="1" si="56"/>
        <v>-1.251479263243448E-2</v>
      </c>
    </row>
    <row r="1775" spans="2:8" x14ac:dyDescent="0.3">
      <c r="B1775" s="69">
        <v>44854</v>
      </c>
      <c r="C1775" s="55">
        <v>1418.3</v>
      </c>
      <c r="D1775" s="70">
        <f t="shared" si="55"/>
        <v>2.8203367003367004</v>
      </c>
      <c r="E1775" s="180">
        <v>-9.8436191008099243E-3</v>
      </c>
      <c r="G1775" s="78">
        <v>1773</v>
      </c>
      <c r="H1775" s="180">
        <f t="shared" ca="1" si="56"/>
        <v>6.8463723302691029E-2</v>
      </c>
    </row>
    <row r="1776" spans="2:8" x14ac:dyDescent="0.3">
      <c r="B1776" s="69">
        <v>43595</v>
      </c>
      <c r="C1776" s="55">
        <v>371.25</v>
      </c>
      <c r="D1776" s="70">
        <f t="shared" si="55"/>
        <v>-0.72019143804642749</v>
      </c>
      <c r="E1776" s="180">
        <v>-9.8679823976529912E-3</v>
      </c>
      <c r="G1776" s="78">
        <v>1774</v>
      </c>
      <c r="H1776" s="180">
        <f t="shared" ca="1" si="56"/>
        <v>2.5265823261718966E-2</v>
      </c>
    </row>
    <row r="1777" spans="2:8" x14ac:dyDescent="0.3">
      <c r="B1777" s="69">
        <v>44930</v>
      </c>
      <c r="C1777" s="55">
        <v>1326.8</v>
      </c>
      <c r="D1777" s="70">
        <f t="shared" si="55"/>
        <v>2.6248890103135034</v>
      </c>
      <c r="E1777" s="180">
        <v>-9.8692188578572305E-3</v>
      </c>
      <c r="G1777" s="78">
        <v>1775</v>
      </c>
      <c r="H1777" s="180">
        <f t="shared" ca="1" si="56"/>
        <v>-3.0252416420515127E-2</v>
      </c>
    </row>
    <row r="1778" spans="2:8" x14ac:dyDescent="0.3">
      <c r="B1778" s="69">
        <v>43546</v>
      </c>
      <c r="C1778" s="55">
        <v>366.02499999999998</v>
      </c>
      <c r="D1778" s="70">
        <f t="shared" si="55"/>
        <v>-0.88518213543504687</v>
      </c>
      <c r="E1778" s="180">
        <v>-9.8735375667817239E-3</v>
      </c>
      <c r="G1778" s="78">
        <v>1776</v>
      </c>
      <c r="H1778" s="180">
        <f t="shared" ca="1" si="56"/>
        <v>1.5980275248925847E-2</v>
      </c>
    </row>
    <row r="1779" spans="2:8" x14ac:dyDescent="0.3">
      <c r="B1779" s="69">
        <v>45314</v>
      </c>
      <c r="C1779" s="55">
        <v>3187.875</v>
      </c>
      <c r="D1779" s="70">
        <f t="shared" si="55"/>
        <v>-0.31138856337450116</v>
      </c>
      <c r="E1779" s="180">
        <v>-9.915212124976763E-3</v>
      </c>
      <c r="G1779" s="78">
        <v>1777</v>
      </c>
      <c r="H1779" s="180">
        <f t="shared" ca="1" si="56"/>
        <v>-9.0839445607890507E-3</v>
      </c>
    </row>
    <row r="1780" spans="2:8" x14ac:dyDescent="0.3">
      <c r="B1780" s="69">
        <v>45434</v>
      </c>
      <c r="C1780" s="55">
        <v>4629.4250000000002</v>
      </c>
      <c r="D1780" s="70">
        <f t="shared" si="55"/>
        <v>2.5251665714829623</v>
      </c>
      <c r="E1780" s="180">
        <v>-9.9180888831855718E-3</v>
      </c>
      <c r="G1780" s="78">
        <v>1778</v>
      </c>
      <c r="H1780" s="180">
        <f t="shared" ca="1" si="56"/>
        <v>1.7458228348478145E-2</v>
      </c>
    </row>
    <row r="1781" spans="2:8" x14ac:dyDescent="0.3">
      <c r="B1781" s="69">
        <v>45013</v>
      </c>
      <c r="C1781" s="55">
        <v>1313.25</v>
      </c>
      <c r="D1781" s="70">
        <f t="shared" si="55"/>
        <v>-0.6890059795157184</v>
      </c>
      <c r="E1781" s="180">
        <v>-9.9513739681102338E-3</v>
      </c>
      <c r="G1781" s="78">
        <v>1779</v>
      </c>
      <c r="H1781" s="180">
        <f t="shared" ca="1" si="56"/>
        <v>-2.9515845688371827E-2</v>
      </c>
    </row>
    <row r="1782" spans="2:8" x14ac:dyDescent="0.3">
      <c r="B1782" s="69">
        <v>46021</v>
      </c>
      <c r="C1782" s="55">
        <v>4222.75</v>
      </c>
      <c r="D1782" s="70">
        <f t="shared" si="55"/>
        <v>-0.20736743312998593</v>
      </c>
      <c r="E1782" s="180">
        <v>-1.002227171492205E-2</v>
      </c>
      <c r="G1782" s="78">
        <v>1780</v>
      </c>
      <c r="H1782" s="180">
        <f t="shared" ca="1" si="56"/>
        <v>-2.0888272456322503E-4</v>
      </c>
    </row>
    <row r="1783" spans="2:8" x14ac:dyDescent="0.3">
      <c r="B1783" s="69">
        <v>45469</v>
      </c>
      <c r="C1783" s="55">
        <v>5327.5</v>
      </c>
      <c r="D1783" s="70">
        <f t="shared" si="55"/>
        <v>15.46449818434675</v>
      </c>
      <c r="E1783" s="180">
        <v>-1.0038975940834548E-2</v>
      </c>
      <c r="G1783" s="78">
        <v>1781</v>
      </c>
      <c r="H1783" s="180">
        <f t="shared" ca="1" si="56"/>
        <v>-3.7189244903592603E-3</v>
      </c>
    </row>
    <row r="1784" spans="2:8" x14ac:dyDescent="0.3">
      <c r="B1784" s="69">
        <v>43384</v>
      </c>
      <c r="C1784" s="55">
        <v>323.57500000000005</v>
      </c>
      <c r="D1784" s="70">
        <f t="shared" si="55"/>
        <v>-0.93202848470207655</v>
      </c>
      <c r="E1784" s="180">
        <v>-1.0095602294454928E-2</v>
      </c>
      <c r="G1784" s="78">
        <v>1782</v>
      </c>
      <c r="H1784" s="180">
        <f t="shared" ca="1" si="56"/>
        <v>-1.6515452656100263E-3</v>
      </c>
    </row>
    <row r="1785" spans="2:8" x14ac:dyDescent="0.3">
      <c r="B1785" s="69">
        <v>45958</v>
      </c>
      <c r="C1785" s="55">
        <v>4760.45</v>
      </c>
      <c r="D1785" s="70">
        <f t="shared" si="55"/>
        <v>9.7459367945823931</v>
      </c>
      <c r="E1785" s="180">
        <v>-1.0105946080826662E-2</v>
      </c>
      <c r="G1785" s="78">
        <v>1783</v>
      </c>
      <c r="H1785" s="180">
        <f t="shared" ca="1" si="56"/>
        <v>1.077863429651626E-2</v>
      </c>
    </row>
    <row r="1786" spans="2:8" x14ac:dyDescent="0.3">
      <c r="B1786" s="69">
        <v>43684</v>
      </c>
      <c r="C1786" s="55">
        <v>443</v>
      </c>
      <c r="D1786" s="70">
        <f t="shared" si="55"/>
        <v>-0.68423115989807004</v>
      </c>
      <c r="E1786" s="180">
        <v>-1.0111166973912022E-2</v>
      </c>
      <c r="G1786" s="78">
        <v>1784</v>
      </c>
      <c r="H1786" s="180">
        <f t="shared" ca="1" si="56"/>
        <v>-1.2428088881631047E-3</v>
      </c>
    </row>
    <row r="1787" spans="2:8" x14ac:dyDescent="0.3">
      <c r="B1787" s="69">
        <v>44848</v>
      </c>
      <c r="C1787" s="55">
        <v>1402.925</v>
      </c>
      <c r="D1787" s="70">
        <f t="shared" si="55"/>
        <v>0.99733058086560367</v>
      </c>
      <c r="E1787" s="180">
        <v>-1.0142524518450576E-2</v>
      </c>
      <c r="G1787" s="78">
        <v>1785</v>
      </c>
      <c r="H1787" s="180">
        <f t="shared" ca="1" si="56"/>
        <v>2.8432223105052962E-2</v>
      </c>
    </row>
    <row r="1788" spans="2:8" x14ac:dyDescent="0.3">
      <c r="B1788" s="69">
        <v>44183</v>
      </c>
      <c r="C1788" s="55">
        <v>702.4</v>
      </c>
      <c r="D1788" s="70">
        <f t="shared" si="55"/>
        <v>-0.86129541864139025</v>
      </c>
      <c r="E1788" s="180">
        <v>-1.014656144306658E-2</v>
      </c>
      <c r="G1788" s="78">
        <v>1786</v>
      </c>
      <c r="H1788" s="180">
        <f t="shared" ca="1" si="56"/>
        <v>-3.6016789543223869E-2</v>
      </c>
    </row>
    <row r="1789" spans="2:8" x14ac:dyDescent="0.3">
      <c r="B1789" s="69">
        <v>45922</v>
      </c>
      <c r="C1789" s="55">
        <v>5064</v>
      </c>
      <c r="D1789" s="70">
        <f t="shared" si="55"/>
        <v>16.080698203895771</v>
      </c>
      <c r="E1789" s="180">
        <v>-1.0164190774042221E-2</v>
      </c>
      <c r="G1789" s="78">
        <v>1787</v>
      </c>
      <c r="H1789" s="180">
        <f t="shared" ca="1" si="56"/>
        <v>9.6739804898886457E-3</v>
      </c>
    </row>
    <row r="1790" spans="2:8" x14ac:dyDescent="0.3">
      <c r="B1790" s="69">
        <v>42979</v>
      </c>
      <c r="C1790" s="55">
        <v>296.47500000000002</v>
      </c>
      <c r="D1790" s="70">
        <f t="shared" si="55"/>
        <v>-0.40087905425886633</v>
      </c>
      <c r="E1790" s="180">
        <v>-1.0182789416576094E-2</v>
      </c>
      <c r="G1790" s="78">
        <v>1788</v>
      </c>
      <c r="H1790" s="180">
        <f t="shared" ca="1" si="56"/>
        <v>1.7889489987818127E-4</v>
      </c>
    </row>
    <row r="1791" spans="2:8" x14ac:dyDescent="0.3">
      <c r="B1791" s="69">
        <v>43790</v>
      </c>
      <c r="C1791" s="55">
        <v>494.85</v>
      </c>
      <c r="D1791" s="70">
        <f t="shared" si="55"/>
        <v>0.52543156596794094</v>
      </c>
      <c r="E1791" s="180">
        <v>-1.0201020102010246E-2</v>
      </c>
      <c r="G1791" s="78">
        <v>1789</v>
      </c>
      <c r="H1791" s="180">
        <f t="shared" ca="1" si="56"/>
        <v>2.0218016093031223E-2</v>
      </c>
    </row>
    <row r="1792" spans="2:8" x14ac:dyDescent="0.3">
      <c r="B1792" s="69">
        <v>43258</v>
      </c>
      <c r="C1792" s="55">
        <v>324.39999999999998</v>
      </c>
      <c r="D1792" s="70">
        <f t="shared" si="55"/>
        <v>0.24781228964323473</v>
      </c>
      <c r="E1792" s="180">
        <v>-1.0221205186880314E-2</v>
      </c>
      <c r="G1792" s="78">
        <v>1790</v>
      </c>
      <c r="H1792" s="180">
        <f t="shared" ca="1" si="56"/>
        <v>-1.706101120683089E-2</v>
      </c>
    </row>
    <row r="1793" spans="2:8" x14ac:dyDescent="0.3">
      <c r="B1793" s="69">
        <v>42850</v>
      </c>
      <c r="C1793" s="55">
        <v>259.97500000000002</v>
      </c>
      <c r="D1793" s="70">
        <f t="shared" si="55"/>
        <v>-0.93280520034376035</v>
      </c>
      <c r="E1793" s="180">
        <v>-1.0278861711239868E-2</v>
      </c>
      <c r="G1793" s="78">
        <v>1791</v>
      </c>
      <c r="H1793" s="180">
        <f t="shared" ca="1" si="56"/>
        <v>-3.4639555332443483E-3</v>
      </c>
    </row>
    <row r="1794" spans="2:8" x14ac:dyDescent="0.3">
      <c r="B1794" s="69">
        <v>45348</v>
      </c>
      <c r="C1794" s="55">
        <v>3868.9749999999999</v>
      </c>
      <c r="D1794" s="70">
        <f t="shared" si="55"/>
        <v>5.0079583834776189</v>
      </c>
      <c r="E1794" s="180">
        <v>-1.0296158445727734E-2</v>
      </c>
      <c r="G1794" s="78">
        <v>1792</v>
      </c>
      <c r="H1794" s="180">
        <f t="shared" ca="1" si="56"/>
        <v>1.8969519606707039E-2</v>
      </c>
    </row>
    <row r="1795" spans="2:8" x14ac:dyDescent="0.3">
      <c r="B1795" s="69">
        <v>44082</v>
      </c>
      <c r="C1795" s="55">
        <v>643.97500000000002</v>
      </c>
      <c r="D1795" s="70">
        <f t="shared" ref="D1795:D1858" si="57">(C1795-C1796)/C1796</f>
        <v>-0.17160315163209516</v>
      </c>
      <c r="E1795" s="180">
        <v>-1.0296999269988753E-2</v>
      </c>
      <c r="G1795" s="78">
        <v>1793</v>
      </c>
      <c r="H1795" s="180">
        <f t="shared" ca="1" si="56"/>
        <v>6.1960030162802682E-3</v>
      </c>
    </row>
    <row r="1796" spans="2:8" x14ac:dyDescent="0.3">
      <c r="B1796" s="69">
        <v>44314</v>
      </c>
      <c r="C1796" s="55">
        <v>777.375</v>
      </c>
      <c r="D1796" s="70">
        <f t="shared" si="57"/>
        <v>0.29995819397993312</v>
      </c>
      <c r="E1796" s="180">
        <v>-1.0312231452305958E-2</v>
      </c>
      <c r="G1796" s="78">
        <v>1794</v>
      </c>
      <c r="H1796" s="180">
        <f t="shared" ref="H1796:H1859" ca="1" si="58">_xlfn.NORM.INV(RAND(),$N$4,$N$5)</f>
        <v>2.8875883087304866E-2</v>
      </c>
    </row>
    <row r="1797" spans="2:8" x14ac:dyDescent="0.3">
      <c r="B1797" s="69">
        <v>44035</v>
      </c>
      <c r="C1797" s="55">
        <v>598</v>
      </c>
      <c r="D1797" s="70">
        <f t="shared" si="57"/>
        <v>0.73032407407407396</v>
      </c>
      <c r="E1797" s="180">
        <v>-1.0343400910219279E-2</v>
      </c>
      <c r="G1797" s="78">
        <v>1795</v>
      </c>
      <c r="H1797" s="180">
        <f t="shared" ca="1" si="58"/>
        <v>3.4455031496712626E-2</v>
      </c>
    </row>
    <row r="1798" spans="2:8" x14ac:dyDescent="0.3">
      <c r="B1798" s="69">
        <v>43369</v>
      </c>
      <c r="C1798" s="55">
        <v>345.6</v>
      </c>
      <c r="D1798" s="70">
        <f t="shared" si="57"/>
        <v>-0.93515947467166971</v>
      </c>
      <c r="E1798" s="180">
        <v>-1.0450966356478103E-2</v>
      </c>
      <c r="G1798" s="78">
        <v>1796</v>
      </c>
      <c r="H1798" s="180">
        <f t="shared" ca="1" si="58"/>
        <v>-1.010562339707443E-2</v>
      </c>
    </row>
    <row r="1799" spans="2:8" x14ac:dyDescent="0.3">
      <c r="B1799" s="69">
        <v>45698</v>
      </c>
      <c r="C1799" s="55">
        <v>5330</v>
      </c>
      <c r="D1799" s="70">
        <f t="shared" si="57"/>
        <v>0.6917681039818443</v>
      </c>
      <c r="E1799" s="180">
        <v>-1.0466222645099905E-2</v>
      </c>
      <c r="G1799" s="78">
        <v>1797</v>
      </c>
      <c r="H1799" s="180">
        <f t="shared" ca="1" si="58"/>
        <v>-8.3274047127939749E-3</v>
      </c>
    </row>
    <row r="1800" spans="2:8" x14ac:dyDescent="0.3">
      <c r="B1800" s="69">
        <v>45308</v>
      </c>
      <c r="C1800" s="55">
        <v>3150.55</v>
      </c>
      <c r="D1800" s="70">
        <f t="shared" si="57"/>
        <v>11.66298231511254</v>
      </c>
      <c r="E1800" s="180">
        <v>-1.0513422476268217E-2</v>
      </c>
      <c r="G1800" s="78">
        <v>1798</v>
      </c>
      <c r="H1800" s="180">
        <f t="shared" ca="1" si="58"/>
        <v>7.8680646579460303E-3</v>
      </c>
    </row>
    <row r="1801" spans="2:8" x14ac:dyDescent="0.3">
      <c r="B1801" s="69">
        <v>42873</v>
      </c>
      <c r="C1801" s="55">
        <v>248.8</v>
      </c>
      <c r="D1801" s="70">
        <f t="shared" si="57"/>
        <v>-0.71853611629617065</v>
      </c>
      <c r="E1801" s="180">
        <v>-1.0538874527739023E-2</v>
      </c>
      <c r="G1801" s="78">
        <v>1799</v>
      </c>
      <c r="H1801" s="180">
        <f t="shared" ca="1" si="58"/>
        <v>-2.4294860173576276E-2</v>
      </c>
    </row>
    <row r="1802" spans="2:8" x14ac:dyDescent="0.3">
      <c r="B1802" s="69">
        <v>44431</v>
      </c>
      <c r="C1802" s="55">
        <v>883.95</v>
      </c>
      <c r="D1802" s="70">
        <f t="shared" si="57"/>
        <v>-0.30883359071094857</v>
      </c>
      <c r="E1802" s="180">
        <v>-1.054988106897994E-2</v>
      </c>
      <c r="G1802" s="78">
        <v>1800</v>
      </c>
      <c r="H1802" s="180">
        <f t="shared" ca="1" si="58"/>
        <v>-2.8788266363921258E-3</v>
      </c>
    </row>
    <row r="1803" spans="2:8" x14ac:dyDescent="0.3">
      <c r="B1803" s="69">
        <v>44662</v>
      </c>
      <c r="C1803" s="55">
        <v>1278.925</v>
      </c>
      <c r="D1803" s="70">
        <f t="shared" si="57"/>
        <v>0.20349589479379843</v>
      </c>
      <c r="E1803" s="180">
        <v>-1.0560315648995119E-2</v>
      </c>
      <c r="G1803" s="78">
        <v>1801</v>
      </c>
      <c r="H1803" s="180">
        <f t="shared" ca="1" si="58"/>
        <v>-4.0635477921722781E-3</v>
      </c>
    </row>
    <row r="1804" spans="2:8" x14ac:dyDescent="0.3">
      <c r="B1804" s="69">
        <v>44609</v>
      </c>
      <c r="C1804" s="55">
        <v>1062.6750000000002</v>
      </c>
      <c r="D1804" s="70">
        <f t="shared" si="57"/>
        <v>-0.10349263930484645</v>
      </c>
      <c r="E1804" s="180">
        <v>-1.0567724214985599E-2</v>
      </c>
      <c r="G1804" s="78">
        <v>1802</v>
      </c>
      <c r="H1804" s="180">
        <f t="shared" ca="1" si="58"/>
        <v>-2.2218731459784299E-2</v>
      </c>
    </row>
    <row r="1805" spans="2:8" x14ac:dyDescent="0.3">
      <c r="B1805" s="69">
        <v>44755</v>
      </c>
      <c r="C1805" s="55">
        <v>1185.3499999999999</v>
      </c>
      <c r="D1805" s="70">
        <f t="shared" si="57"/>
        <v>2.3626950354609928</v>
      </c>
      <c r="E1805" s="180">
        <v>-1.0579912773105887E-2</v>
      </c>
      <c r="G1805" s="78">
        <v>1803</v>
      </c>
      <c r="H1805" s="180">
        <f t="shared" ca="1" si="58"/>
        <v>2.0277499366339963E-2</v>
      </c>
    </row>
    <row r="1806" spans="2:8" x14ac:dyDescent="0.3">
      <c r="B1806" s="69">
        <v>43481</v>
      </c>
      <c r="C1806" s="55">
        <v>352.5</v>
      </c>
      <c r="D1806" s="70">
        <f t="shared" si="57"/>
        <v>-0.54053701772679874</v>
      </c>
      <c r="E1806" s="180">
        <v>-1.0595747666830335E-2</v>
      </c>
      <c r="G1806" s="78">
        <v>1804</v>
      </c>
      <c r="H1806" s="180">
        <f t="shared" ca="1" si="58"/>
        <v>-2.3063284236538431E-2</v>
      </c>
    </row>
    <row r="1807" spans="2:8" x14ac:dyDescent="0.3">
      <c r="B1807" s="69">
        <v>44281</v>
      </c>
      <c r="C1807" s="55">
        <v>767.2</v>
      </c>
      <c r="D1807" s="70">
        <f t="shared" si="57"/>
        <v>1.1865336658354115</v>
      </c>
      <c r="E1807" s="180">
        <v>-1.0638983815848862E-2</v>
      </c>
      <c r="G1807" s="78">
        <v>1805</v>
      </c>
      <c r="H1807" s="180">
        <f t="shared" ca="1" si="58"/>
        <v>-1.5495385549598764E-2</v>
      </c>
    </row>
    <row r="1808" spans="2:8" x14ac:dyDescent="0.3">
      <c r="B1808" s="69">
        <v>43364</v>
      </c>
      <c r="C1808" s="55">
        <v>350.875</v>
      </c>
      <c r="D1808" s="70">
        <f t="shared" si="57"/>
        <v>-0.21363738233975793</v>
      </c>
      <c r="E1808" s="180">
        <v>-1.0644297194416967E-2</v>
      </c>
      <c r="G1808" s="78">
        <v>1806</v>
      </c>
      <c r="H1808" s="180">
        <f t="shared" ca="1" si="58"/>
        <v>-6.6016589972282417E-3</v>
      </c>
    </row>
    <row r="1809" spans="2:8" x14ac:dyDescent="0.3">
      <c r="B1809" s="69">
        <v>43966</v>
      </c>
      <c r="C1809" s="55">
        <v>446.2</v>
      </c>
      <c r="D1809" s="70">
        <f t="shared" si="57"/>
        <v>0.46187238922106627</v>
      </c>
      <c r="E1809" s="180">
        <v>-1.0752688172042937E-2</v>
      </c>
      <c r="G1809" s="78">
        <v>1807</v>
      </c>
      <c r="H1809" s="180">
        <f t="shared" ca="1" si="58"/>
        <v>3.3394738060536821E-3</v>
      </c>
    </row>
    <row r="1810" spans="2:8" x14ac:dyDescent="0.3">
      <c r="B1810" s="69">
        <v>42998</v>
      </c>
      <c r="C1810" s="55">
        <v>305.22500000000002</v>
      </c>
      <c r="D1810" s="70">
        <f t="shared" si="57"/>
        <v>-7.0754716981130603E-3</v>
      </c>
      <c r="E1810" s="180">
        <v>-1.0776211310970632E-2</v>
      </c>
      <c r="G1810" s="78">
        <v>1808</v>
      </c>
      <c r="H1810" s="180">
        <f t="shared" ca="1" si="58"/>
        <v>4.5244887425360683E-3</v>
      </c>
    </row>
    <row r="1811" spans="2:8" x14ac:dyDescent="0.3">
      <c r="B1811" s="69">
        <v>43020</v>
      </c>
      <c r="C1811" s="55">
        <v>307.39999999999998</v>
      </c>
      <c r="D1811" s="70">
        <f t="shared" si="57"/>
        <v>-0.92480798395381825</v>
      </c>
      <c r="E1811" s="180">
        <v>-1.0780370072405544E-2</v>
      </c>
      <c r="G1811" s="78">
        <v>1809</v>
      </c>
      <c r="H1811" s="180">
        <f t="shared" ca="1" si="58"/>
        <v>1.3102574640198978E-2</v>
      </c>
    </row>
    <row r="1812" spans="2:8" x14ac:dyDescent="0.3">
      <c r="B1812" s="69">
        <v>46157</v>
      </c>
      <c r="C1812" s="55">
        <v>4088.2</v>
      </c>
      <c r="D1812" s="70">
        <f t="shared" si="57"/>
        <v>-0.186241627437125</v>
      </c>
      <c r="E1812" s="180">
        <v>-1.0803682688701632E-2</v>
      </c>
      <c r="G1812" s="78">
        <v>1810</v>
      </c>
      <c r="H1812" s="180">
        <f t="shared" ca="1" si="58"/>
        <v>6.8545666606052401E-3</v>
      </c>
    </row>
    <row r="1813" spans="2:8" x14ac:dyDescent="0.3">
      <c r="B1813" s="69">
        <v>45706</v>
      </c>
      <c r="C1813" s="55">
        <v>5023.8500000000004</v>
      </c>
      <c r="D1813" s="70">
        <f t="shared" si="57"/>
        <v>19.151825110308863</v>
      </c>
      <c r="E1813" s="180">
        <v>-1.0804877208354458E-2</v>
      </c>
      <c r="G1813" s="78">
        <v>1811</v>
      </c>
      <c r="H1813" s="180">
        <f t="shared" ca="1" si="58"/>
        <v>2.1801563362458184E-2</v>
      </c>
    </row>
    <row r="1814" spans="2:8" x14ac:dyDescent="0.3">
      <c r="B1814" s="69">
        <v>42902</v>
      </c>
      <c r="C1814" s="55">
        <v>249.3</v>
      </c>
      <c r="D1814" s="70">
        <f t="shared" si="57"/>
        <v>-0.21381267738883636</v>
      </c>
      <c r="E1814" s="180">
        <v>-1.0910533624280896E-2</v>
      </c>
      <c r="G1814" s="78">
        <v>1812</v>
      </c>
      <c r="H1814" s="180">
        <f t="shared" ca="1" si="58"/>
        <v>2.7161746406091338E-2</v>
      </c>
    </row>
    <row r="1815" spans="2:8" x14ac:dyDescent="0.3">
      <c r="B1815" s="69">
        <v>43026</v>
      </c>
      <c r="C1815" s="55">
        <v>317.10000000000002</v>
      </c>
      <c r="D1815" s="70">
        <f t="shared" si="57"/>
        <v>-0.62805700545422549</v>
      </c>
      <c r="E1815" s="180">
        <v>-1.0917030567685589E-2</v>
      </c>
      <c r="G1815" s="78">
        <v>1813</v>
      </c>
      <c r="H1815" s="180">
        <f t="shared" ca="1" si="58"/>
        <v>2.8658633820939149E-2</v>
      </c>
    </row>
    <row r="1816" spans="2:8" x14ac:dyDescent="0.3">
      <c r="B1816" s="69">
        <v>44365</v>
      </c>
      <c r="C1816" s="55">
        <v>852.55</v>
      </c>
      <c r="D1816" s="70">
        <f t="shared" si="57"/>
        <v>0.13427573590553793</v>
      </c>
      <c r="E1816" s="180">
        <v>-1.0934191826909212E-2</v>
      </c>
      <c r="G1816" s="78">
        <v>1814</v>
      </c>
      <c r="H1816" s="180">
        <f t="shared" ca="1" si="58"/>
        <v>3.0613692547616159E-2</v>
      </c>
    </row>
    <row r="1817" spans="2:8" x14ac:dyDescent="0.3">
      <c r="B1817" s="69">
        <v>44287</v>
      </c>
      <c r="C1817" s="55">
        <v>751.625</v>
      </c>
      <c r="D1817" s="70">
        <f t="shared" si="57"/>
        <v>-0.62582451773490977</v>
      </c>
      <c r="E1817" s="180">
        <v>-1.0954668070267839E-2</v>
      </c>
      <c r="G1817" s="78">
        <v>1815</v>
      </c>
      <c r="H1817" s="180">
        <f t="shared" ca="1" si="58"/>
        <v>4.7948874403774414E-3</v>
      </c>
    </row>
    <row r="1818" spans="2:8" x14ac:dyDescent="0.3">
      <c r="B1818" s="69">
        <v>45166</v>
      </c>
      <c r="C1818" s="55">
        <v>2008.75</v>
      </c>
      <c r="D1818" s="70">
        <f t="shared" si="57"/>
        <v>5.8792808219178081</v>
      </c>
      <c r="E1818" s="180">
        <v>-1.0967368693147593E-2</v>
      </c>
      <c r="G1818" s="78">
        <v>1816</v>
      </c>
      <c r="H1818" s="180">
        <f t="shared" ca="1" si="58"/>
        <v>3.5072718509640215E-2</v>
      </c>
    </row>
    <row r="1819" spans="2:8" x14ac:dyDescent="0.3">
      <c r="B1819" s="69">
        <v>42986</v>
      </c>
      <c r="C1819" s="55">
        <v>292</v>
      </c>
      <c r="D1819" s="70">
        <f t="shared" si="57"/>
        <v>-0.71514279442967588</v>
      </c>
      <c r="E1819" s="180">
        <v>-1.100762066045724E-2</v>
      </c>
      <c r="G1819" s="78">
        <v>1817</v>
      </c>
      <c r="H1819" s="180">
        <f t="shared" ca="1" si="58"/>
        <v>-5.2259926499688943E-3</v>
      </c>
    </row>
    <row r="1820" spans="2:8" x14ac:dyDescent="0.3">
      <c r="B1820" s="69">
        <v>44697</v>
      </c>
      <c r="C1820" s="55">
        <v>1025.075</v>
      </c>
      <c r="D1820" s="70">
        <f t="shared" si="57"/>
        <v>0.50762951796153999</v>
      </c>
      <c r="E1820" s="180">
        <v>-1.104652565061146E-2</v>
      </c>
      <c r="G1820" s="78">
        <v>1818</v>
      </c>
      <c r="H1820" s="180">
        <f t="shared" ca="1" si="58"/>
        <v>1.0735980343437005E-3</v>
      </c>
    </row>
    <row r="1821" spans="2:8" x14ac:dyDescent="0.3">
      <c r="B1821" s="69">
        <v>44169</v>
      </c>
      <c r="C1821" s="55">
        <v>679.92499999999995</v>
      </c>
      <c r="D1821" s="70">
        <f t="shared" si="57"/>
        <v>-0.43651846019972662</v>
      </c>
      <c r="E1821" s="180">
        <v>-1.1054143485691463E-2</v>
      </c>
      <c r="G1821" s="78">
        <v>1819</v>
      </c>
      <c r="H1821" s="180">
        <f t="shared" ca="1" si="58"/>
        <v>-3.7878533761316592E-2</v>
      </c>
    </row>
    <row r="1822" spans="2:8" x14ac:dyDescent="0.3">
      <c r="B1822" s="69">
        <v>44761</v>
      </c>
      <c r="C1822" s="55">
        <v>1206.6500000000001</v>
      </c>
      <c r="D1822" s="70">
        <f t="shared" si="57"/>
        <v>2.6138065289008692</v>
      </c>
      <c r="E1822" s="180">
        <v>-1.110473692837236E-2</v>
      </c>
      <c r="G1822" s="78">
        <v>1820</v>
      </c>
      <c r="H1822" s="180">
        <f t="shared" ca="1" si="58"/>
        <v>4.2873780789658228E-2</v>
      </c>
    </row>
    <row r="1823" spans="2:8" x14ac:dyDescent="0.3">
      <c r="B1823" s="69">
        <v>43230</v>
      </c>
      <c r="C1823" s="55">
        <v>333.9</v>
      </c>
      <c r="D1823" s="70">
        <f t="shared" si="57"/>
        <v>-4.3951324266284959E-2</v>
      </c>
      <c r="E1823" s="180">
        <v>-1.1106175033318526E-2</v>
      </c>
      <c r="G1823" s="78">
        <v>1821</v>
      </c>
      <c r="H1823" s="180">
        <f t="shared" ca="1" si="58"/>
        <v>1.976324893855641E-2</v>
      </c>
    </row>
    <row r="1824" spans="2:8" x14ac:dyDescent="0.3">
      <c r="B1824" s="69">
        <v>43368</v>
      </c>
      <c r="C1824" s="55">
        <v>349.25</v>
      </c>
      <c r="D1824" s="70">
        <f t="shared" si="57"/>
        <v>-0.37368303071060299</v>
      </c>
      <c r="E1824" s="180">
        <v>-1.1113470659021763E-2</v>
      </c>
      <c r="G1824" s="78">
        <v>1822</v>
      </c>
      <c r="H1824" s="180">
        <f t="shared" ca="1" si="58"/>
        <v>-2.975533777487189E-3</v>
      </c>
    </row>
    <row r="1825" spans="2:8" x14ac:dyDescent="0.3">
      <c r="B1825" s="69">
        <v>44046</v>
      </c>
      <c r="C1825" s="55">
        <v>557.625</v>
      </c>
      <c r="D1825" s="70">
        <f t="shared" si="57"/>
        <v>-0.87690737010568143</v>
      </c>
      <c r="E1825" s="180">
        <v>-1.1127859549565485E-2</v>
      </c>
      <c r="G1825" s="78">
        <v>1823</v>
      </c>
      <c r="H1825" s="180">
        <f t="shared" ca="1" si="58"/>
        <v>-8.2164948599600576E-3</v>
      </c>
    </row>
    <row r="1826" spans="2:8" x14ac:dyDescent="0.3">
      <c r="B1826" s="69">
        <v>45418</v>
      </c>
      <c r="C1826" s="55">
        <v>4530.125</v>
      </c>
      <c r="D1826" s="70">
        <f t="shared" si="57"/>
        <v>3.3753470964626344</v>
      </c>
      <c r="E1826" s="180">
        <v>-1.1165014106334949E-2</v>
      </c>
      <c r="G1826" s="78">
        <v>1824</v>
      </c>
      <c r="H1826" s="180">
        <f t="shared" ca="1" si="58"/>
        <v>5.0857267133903733E-3</v>
      </c>
    </row>
    <row r="1827" spans="2:8" x14ac:dyDescent="0.3">
      <c r="B1827" s="69">
        <v>44495</v>
      </c>
      <c r="C1827" s="55">
        <v>1035.375</v>
      </c>
      <c r="D1827" s="70">
        <f t="shared" si="57"/>
        <v>2.2277297170914196</v>
      </c>
      <c r="E1827" s="180">
        <v>-1.1173984671585173E-2</v>
      </c>
      <c r="G1827" s="78">
        <v>1825</v>
      </c>
      <c r="H1827" s="180">
        <f t="shared" ca="1" si="58"/>
        <v>-1.3556845822387129E-2</v>
      </c>
    </row>
    <row r="1828" spans="2:8" x14ac:dyDescent="0.3">
      <c r="B1828" s="69">
        <v>43259</v>
      </c>
      <c r="C1828" s="55">
        <v>320.77499999999998</v>
      </c>
      <c r="D1828" s="70">
        <f t="shared" si="57"/>
        <v>-8.1005586592178866E-2</v>
      </c>
      <c r="E1828" s="180">
        <v>-1.1174475955610358E-2</v>
      </c>
      <c r="G1828" s="78">
        <v>1826</v>
      </c>
      <c r="H1828" s="180">
        <f t="shared" ca="1" si="58"/>
        <v>-4.094679114507874E-4</v>
      </c>
    </row>
    <row r="1829" spans="2:8" x14ac:dyDescent="0.3">
      <c r="B1829" s="69">
        <v>43202</v>
      </c>
      <c r="C1829" s="55">
        <v>349.05</v>
      </c>
      <c r="D1829" s="70">
        <f t="shared" si="57"/>
        <v>-0.21737668161434975</v>
      </c>
      <c r="E1829" s="180">
        <v>-1.1189801699716681E-2</v>
      </c>
      <c r="G1829" s="78">
        <v>1827</v>
      </c>
      <c r="H1829" s="180">
        <f t="shared" ca="1" si="58"/>
        <v>1.3980868392143908E-2</v>
      </c>
    </row>
    <row r="1830" spans="2:8" x14ac:dyDescent="0.3">
      <c r="B1830" s="69">
        <v>43651</v>
      </c>
      <c r="C1830" s="55">
        <v>446</v>
      </c>
      <c r="D1830" s="70">
        <f t="shared" si="57"/>
        <v>-0.69967846741747042</v>
      </c>
      <c r="E1830" s="180">
        <v>-1.1196097993570582E-2</v>
      </c>
      <c r="G1830" s="78">
        <v>1828</v>
      </c>
      <c r="H1830" s="180">
        <f t="shared" ca="1" si="58"/>
        <v>-1.0711819213099985E-2</v>
      </c>
    </row>
    <row r="1831" spans="2:8" x14ac:dyDescent="0.3">
      <c r="B1831" s="69">
        <v>45065</v>
      </c>
      <c r="C1831" s="55">
        <v>1485.0749999999998</v>
      </c>
      <c r="D1831" s="70">
        <f t="shared" si="57"/>
        <v>-0.70563429137760159</v>
      </c>
      <c r="E1831" s="180">
        <v>-1.1202476862640837E-2</v>
      </c>
      <c r="G1831" s="78">
        <v>1829</v>
      </c>
      <c r="H1831" s="180">
        <f t="shared" ca="1" si="58"/>
        <v>-9.9559723417654497E-3</v>
      </c>
    </row>
    <row r="1832" spans="2:8" x14ac:dyDescent="0.3">
      <c r="B1832" s="69">
        <v>45866</v>
      </c>
      <c r="C1832" s="55">
        <v>5045</v>
      </c>
      <c r="D1832" s="70">
        <f t="shared" si="57"/>
        <v>0.30160798250762716</v>
      </c>
      <c r="E1832" s="180">
        <v>-1.1220539957861727E-2</v>
      </c>
      <c r="G1832" s="78">
        <v>1830</v>
      </c>
      <c r="H1832" s="180">
        <f t="shared" ca="1" si="58"/>
        <v>-1.9223356193006934E-2</v>
      </c>
    </row>
    <row r="1833" spans="2:8" x14ac:dyDescent="0.3">
      <c r="B1833" s="69">
        <v>45351</v>
      </c>
      <c r="C1833" s="55">
        <v>3875.9749999999999</v>
      </c>
      <c r="D1833" s="70">
        <f t="shared" si="57"/>
        <v>4.1269510582010582</v>
      </c>
      <c r="E1833" s="180">
        <v>-1.1224561381131258E-2</v>
      </c>
      <c r="G1833" s="78">
        <v>1831</v>
      </c>
      <c r="H1833" s="180">
        <f t="shared" ca="1" si="58"/>
        <v>5.5134386841418762E-2</v>
      </c>
    </row>
    <row r="1834" spans="2:8" x14ac:dyDescent="0.3">
      <c r="B1834" s="69">
        <v>44326</v>
      </c>
      <c r="C1834" s="55">
        <v>756</v>
      </c>
      <c r="D1834" s="70">
        <f t="shared" si="57"/>
        <v>-0.8653894092090737</v>
      </c>
      <c r="E1834" s="180">
        <v>-1.1280039234919078E-2</v>
      </c>
      <c r="G1834" s="78">
        <v>1832</v>
      </c>
      <c r="H1834" s="180">
        <f t="shared" ca="1" si="58"/>
        <v>-1.3007659306650356E-2</v>
      </c>
    </row>
    <row r="1835" spans="2:8" x14ac:dyDescent="0.3">
      <c r="B1835" s="69">
        <v>45751</v>
      </c>
      <c r="C1835" s="55">
        <v>5616.2</v>
      </c>
      <c r="D1835" s="70">
        <f t="shared" si="57"/>
        <v>22.817642069550462</v>
      </c>
      <c r="E1835" s="180">
        <v>-1.1319426106856822E-2</v>
      </c>
      <c r="G1835" s="78">
        <v>1833</v>
      </c>
      <c r="H1835" s="180">
        <f t="shared" ca="1" si="58"/>
        <v>3.6182883723645129E-2</v>
      </c>
    </row>
    <row r="1836" spans="2:8" x14ac:dyDescent="0.3">
      <c r="B1836" s="69">
        <v>42914</v>
      </c>
      <c r="C1836" s="55">
        <v>235.8</v>
      </c>
      <c r="D1836" s="70">
        <f t="shared" si="57"/>
        <v>-0.78856758574310692</v>
      </c>
      <c r="E1836" s="180">
        <v>-1.1320754716981084E-2</v>
      </c>
      <c r="G1836" s="78">
        <v>1834</v>
      </c>
      <c r="H1836" s="180">
        <f t="shared" ca="1" si="58"/>
        <v>3.5285780835743151E-2</v>
      </c>
    </row>
    <row r="1837" spans="2:8" x14ac:dyDescent="0.3">
      <c r="B1837" s="69">
        <v>44718</v>
      </c>
      <c r="C1837" s="55">
        <v>1115.25</v>
      </c>
      <c r="D1837" s="70">
        <f t="shared" si="57"/>
        <v>2.4447876447876449</v>
      </c>
      <c r="E1837" s="180">
        <v>-1.1347014759984004E-2</v>
      </c>
      <c r="G1837" s="78">
        <v>1835</v>
      </c>
      <c r="H1837" s="180">
        <f t="shared" ca="1" si="58"/>
        <v>-1.8485431671589649E-4</v>
      </c>
    </row>
    <row r="1838" spans="2:8" x14ac:dyDescent="0.3">
      <c r="B1838" s="69">
        <v>43441</v>
      </c>
      <c r="C1838" s="55">
        <v>323.75</v>
      </c>
      <c r="D1838" s="70">
        <f t="shared" si="57"/>
        <v>-0.92442281205499921</v>
      </c>
      <c r="E1838" s="180">
        <v>-1.1374914115581411E-2</v>
      </c>
      <c r="G1838" s="78">
        <v>1836</v>
      </c>
      <c r="H1838" s="180">
        <f t="shared" ca="1" si="58"/>
        <v>2.6725564201533707E-2</v>
      </c>
    </row>
    <row r="1839" spans="2:8" x14ac:dyDescent="0.3">
      <c r="B1839" s="69">
        <v>45411</v>
      </c>
      <c r="C1839" s="55">
        <v>4283.7</v>
      </c>
      <c r="D1839" s="70">
        <f t="shared" si="57"/>
        <v>2.5985383064516125</v>
      </c>
      <c r="E1839" s="180">
        <v>-1.1429131882143333E-2</v>
      </c>
      <c r="G1839" s="78">
        <v>1837</v>
      </c>
      <c r="H1839" s="180">
        <f t="shared" ca="1" si="58"/>
        <v>2.9057070984108133E-2</v>
      </c>
    </row>
    <row r="1840" spans="2:8" x14ac:dyDescent="0.3">
      <c r="B1840" s="69">
        <v>44943</v>
      </c>
      <c r="C1840" s="55">
        <v>1190.4000000000001</v>
      </c>
      <c r="D1840" s="70">
        <f t="shared" si="57"/>
        <v>1.3682482840943004</v>
      </c>
      <c r="E1840" s="180">
        <v>-1.1480412713570819E-2</v>
      </c>
      <c r="G1840" s="78">
        <v>1838</v>
      </c>
      <c r="H1840" s="180">
        <f t="shared" ca="1" si="58"/>
        <v>-9.6203911327147722E-3</v>
      </c>
    </row>
    <row r="1841" spans="2:8" x14ac:dyDescent="0.3">
      <c r="B1841" s="69">
        <v>43783</v>
      </c>
      <c r="C1841" s="55">
        <v>502.65</v>
      </c>
      <c r="D1841" s="70">
        <f t="shared" si="57"/>
        <v>-0.90362843311124963</v>
      </c>
      <c r="E1841" s="180">
        <v>-1.1504424778761107E-2</v>
      </c>
      <c r="G1841" s="78">
        <v>1839</v>
      </c>
      <c r="H1841" s="180">
        <f t="shared" ca="1" si="58"/>
        <v>-3.0112663114866843E-2</v>
      </c>
    </row>
    <row r="1842" spans="2:8" x14ac:dyDescent="0.3">
      <c r="B1842" s="69">
        <v>45910</v>
      </c>
      <c r="C1842" s="55">
        <v>5215.75</v>
      </c>
      <c r="D1842" s="70">
        <f t="shared" si="57"/>
        <v>7.4291543776009048</v>
      </c>
      <c r="E1842" s="180">
        <v>-1.1513313749644651E-2</v>
      </c>
      <c r="G1842" s="78">
        <v>1840</v>
      </c>
      <c r="H1842" s="180">
        <f t="shared" ca="1" si="58"/>
        <v>6.948460472091778E-3</v>
      </c>
    </row>
    <row r="1843" spans="2:8" x14ac:dyDescent="0.3">
      <c r="B1843" s="69">
        <v>44098</v>
      </c>
      <c r="C1843" s="55">
        <v>618.77500000000009</v>
      </c>
      <c r="D1843" s="70">
        <f t="shared" si="57"/>
        <v>0.11995475113122188</v>
      </c>
      <c r="E1843" s="180">
        <v>-1.1541533546325733E-2</v>
      </c>
      <c r="G1843" s="78">
        <v>1841</v>
      </c>
      <c r="H1843" s="180">
        <f t="shared" ca="1" si="58"/>
        <v>1.2294946620891067E-2</v>
      </c>
    </row>
    <row r="1844" spans="2:8" x14ac:dyDescent="0.3">
      <c r="B1844" s="69">
        <v>43907</v>
      </c>
      <c r="C1844" s="55">
        <v>552.5</v>
      </c>
      <c r="D1844" s="70">
        <f t="shared" si="57"/>
        <v>1.1502237789453202</v>
      </c>
      <c r="E1844" s="180">
        <v>-1.1627906976744186E-2</v>
      </c>
      <c r="G1844" s="78">
        <v>1842</v>
      </c>
      <c r="H1844" s="180">
        <f t="shared" ca="1" si="58"/>
        <v>2.0892246500571383E-2</v>
      </c>
    </row>
    <row r="1845" spans="2:8" x14ac:dyDescent="0.3">
      <c r="B1845" s="69">
        <v>42851</v>
      </c>
      <c r="C1845" s="55">
        <v>256.95</v>
      </c>
      <c r="D1845" s="70">
        <f t="shared" si="57"/>
        <v>-0.90964395604395609</v>
      </c>
      <c r="E1845" s="180">
        <v>-1.163573420521217E-2</v>
      </c>
      <c r="G1845" s="78">
        <v>1843</v>
      </c>
      <c r="H1845" s="180">
        <f t="shared" ca="1" si="58"/>
        <v>6.6851609199800174E-3</v>
      </c>
    </row>
    <row r="1846" spans="2:8" x14ac:dyDescent="0.3">
      <c r="B1846" s="69">
        <v>45268</v>
      </c>
      <c r="C1846" s="55">
        <v>2843.75</v>
      </c>
      <c r="D1846" s="70">
        <f t="shared" si="57"/>
        <v>1.1086682485540562</v>
      </c>
      <c r="E1846" s="180">
        <v>-1.165164956425788E-2</v>
      </c>
      <c r="G1846" s="78">
        <v>1844</v>
      </c>
      <c r="H1846" s="180">
        <f t="shared" ca="1" si="58"/>
        <v>6.8696352606667423E-5</v>
      </c>
    </row>
    <row r="1847" spans="2:8" x14ac:dyDescent="0.3">
      <c r="B1847" s="69">
        <v>44977</v>
      </c>
      <c r="C1847" s="55">
        <v>1348.6</v>
      </c>
      <c r="D1847" s="70">
        <f t="shared" si="57"/>
        <v>1.6994945703848268</v>
      </c>
      <c r="E1847" s="180">
        <v>-1.1670727908979448E-2</v>
      </c>
      <c r="G1847" s="78">
        <v>1845</v>
      </c>
      <c r="H1847" s="180">
        <f t="shared" ca="1" si="58"/>
        <v>8.9656292610194241E-3</v>
      </c>
    </row>
    <row r="1848" spans="2:8" x14ac:dyDescent="0.3">
      <c r="B1848" s="69">
        <v>43755</v>
      </c>
      <c r="C1848" s="55">
        <v>499.57499999999999</v>
      </c>
      <c r="D1848" s="70">
        <f t="shared" si="57"/>
        <v>0.58105862805601693</v>
      </c>
      <c r="E1848" s="180">
        <v>-1.1672189524704554E-2</v>
      </c>
      <c r="G1848" s="78">
        <v>1846</v>
      </c>
      <c r="H1848" s="180">
        <f t="shared" ca="1" si="58"/>
        <v>-1.0247371742484393E-2</v>
      </c>
    </row>
    <row r="1849" spans="2:8" x14ac:dyDescent="0.3">
      <c r="B1849" s="69">
        <v>43131</v>
      </c>
      <c r="C1849" s="55">
        <v>315.97500000000002</v>
      </c>
      <c r="D1849" s="70">
        <f t="shared" si="57"/>
        <v>-0.94206280082512028</v>
      </c>
      <c r="E1849" s="180">
        <v>-1.172882946281961E-2</v>
      </c>
      <c r="G1849" s="78">
        <v>1847</v>
      </c>
      <c r="H1849" s="180">
        <f t="shared" ca="1" si="58"/>
        <v>1.3000821607880488E-2</v>
      </c>
    </row>
    <row r="1850" spans="2:8" x14ac:dyDescent="0.3">
      <c r="B1850" s="69">
        <v>45798</v>
      </c>
      <c r="C1850" s="55">
        <v>5453.75</v>
      </c>
      <c r="D1850" s="70">
        <f t="shared" si="57"/>
        <v>2.6237541528239201</v>
      </c>
      <c r="E1850" s="180">
        <v>-1.1733260849868624E-2</v>
      </c>
      <c r="G1850" s="78">
        <v>1848</v>
      </c>
      <c r="H1850" s="180">
        <f t="shared" ca="1" si="58"/>
        <v>-1.4802667530623608E-2</v>
      </c>
    </row>
    <row r="1851" spans="2:8" x14ac:dyDescent="0.3">
      <c r="B1851" s="69">
        <v>44872</v>
      </c>
      <c r="C1851" s="55">
        <v>1505</v>
      </c>
      <c r="D1851" s="70">
        <f t="shared" si="57"/>
        <v>0.13011319904634974</v>
      </c>
      <c r="E1851" s="180">
        <v>-1.173766724123779E-2</v>
      </c>
      <c r="G1851" s="78">
        <v>1849</v>
      </c>
      <c r="H1851" s="180">
        <f t="shared" ca="1" si="58"/>
        <v>-2.186782025272528E-3</v>
      </c>
    </row>
    <row r="1852" spans="2:8" x14ac:dyDescent="0.3">
      <c r="B1852" s="69">
        <v>44995</v>
      </c>
      <c r="C1852" s="55">
        <v>1331.7249999999999</v>
      </c>
      <c r="D1852" s="70">
        <f t="shared" si="57"/>
        <v>-0.74855322161907012</v>
      </c>
      <c r="E1852" s="180">
        <v>-1.1743534562725146E-2</v>
      </c>
      <c r="G1852" s="78">
        <v>1850</v>
      </c>
      <c r="H1852" s="180">
        <f t="shared" ca="1" si="58"/>
        <v>-2.538892393484397E-3</v>
      </c>
    </row>
    <row r="1853" spans="2:8" x14ac:dyDescent="0.3">
      <c r="B1853" s="69">
        <v>45770</v>
      </c>
      <c r="C1853" s="55">
        <v>5296.25</v>
      </c>
      <c r="D1853" s="70">
        <f t="shared" si="57"/>
        <v>15.407218091697647</v>
      </c>
      <c r="E1853" s="180">
        <v>-1.1755376218687316E-2</v>
      </c>
      <c r="G1853" s="78">
        <v>1851</v>
      </c>
      <c r="H1853" s="180">
        <f t="shared" ca="1" si="58"/>
        <v>-5.8120976335628008E-3</v>
      </c>
    </row>
    <row r="1854" spans="2:8" x14ac:dyDescent="0.3">
      <c r="B1854" s="69">
        <v>43404</v>
      </c>
      <c r="C1854" s="55">
        <v>322.79999999999995</v>
      </c>
      <c r="D1854" s="70">
        <f t="shared" si="57"/>
        <v>-0.92440989134507301</v>
      </c>
      <c r="E1854" s="180">
        <v>-1.1786315628348455E-2</v>
      </c>
      <c r="G1854" s="78">
        <v>1852</v>
      </c>
      <c r="H1854" s="180">
        <f t="shared" ca="1" si="58"/>
        <v>4.5127344415001276E-2</v>
      </c>
    </row>
    <row r="1855" spans="2:8" x14ac:dyDescent="0.3">
      <c r="B1855" s="69">
        <v>46150</v>
      </c>
      <c r="C1855" s="55">
        <v>4270.3999999999996</v>
      </c>
      <c r="D1855" s="70">
        <f t="shared" si="57"/>
        <v>6.1904361003535939</v>
      </c>
      <c r="E1855" s="180">
        <v>-1.1790297013664878E-2</v>
      </c>
      <c r="G1855" s="78">
        <v>1853</v>
      </c>
      <c r="H1855" s="180">
        <f t="shared" ca="1" si="58"/>
        <v>2.5777999162730738E-2</v>
      </c>
    </row>
    <row r="1856" spans="2:8" x14ac:dyDescent="0.3">
      <c r="B1856" s="69">
        <v>43866</v>
      </c>
      <c r="C1856" s="55">
        <v>593.9</v>
      </c>
      <c r="D1856" s="70">
        <f t="shared" si="57"/>
        <v>-0.89238017577240203</v>
      </c>
      <c r="E1856" s="180">
        <v>-1.1813643926788723E-2</v>
      </c>
      <c r="G1856" s="78">
        <v>1854</v>
      </c>
      <c r="H1856" s="180">
        <f t="shared" ca="1" si="58"/>
        <v>1.2474906960286221E-2</v>
      </c>
    </row>
    <row r="1857" spans="2:8" x14ac:dyDescent="0.3">
      <c r="B1857" s="69">
        <v>45797</v>
      </c>
      <c r="C1857" s="55">
        <v>5518.5</v>
      </c>
      <c r="D1857" s="70">
        <f t="shared" si="57"/>
        <v>3.0748740100791938</v>
      </c>
      <c r="E1857" s="180">
        <v>-1.18184260005372E-2</v>
      </c>
      <c r="G1857" s="78">
        <v>1855</v>
      </c>
      <c r="H1857" s="180">
        <f t="shared" ca="1" si="58"/>
        <v>-2.4343767102704132E-2</v>
      </c>
    </row>
    <row r="1858" spans="2:8" x14ac:dyDescent="0.3">
      <c r="B1858" s="69">
        <v>45033</v>
      </c>
      <c r="C1858" s="55">
        <v>1354.2750000000001</v>
      </c>
      <c r="D1858" s="70">
        <f t="shared" si="57"/>
        <v>3.0371888507974365</v>
      </c>
      <c r="E1858" s="180">
        <v>-1.191084196702161E-2</v>
      </c>
      <c r="G1858" s="78">
        <v>1856</v>
      </c>
      <c r="H1858" s="180">
        <f t="shared" ca="1" si="58"/>
        <v>-1.6182260362236085E-2</v>
      </c>
    </row>
    <row r="1859" spans="2:8" x14ac:dyDescent="0.3">
      <c r="B1859" s="69">
        <v>43080</v>
      </c>
      <c r="C1859" s="55">
        <v>335.45</v>
      </c>
      <c r="D1859" s="70">
        <f t="shared" ref="D1859:D1922" si="59">(C1859-C1860)/C1860</f>
        <v>-0.31005758946935419</v>
      </c>
      <c r="E1859" s="180">
        <v>-1.1929307805596499E-2</v>
      </c>
      <c r="G1859" s="78">
        <v>1857</v>
      </c>
      <c r="H1859" s="180">
        <f t="shared" ca="1" si="58"/>
        <v>-4.5062935273592784E-3</v>
      </c>
    </row>
    <row r="1860" spans="2:8" x14ac:dyDescent="0.3">
      <c r="B1860" s="69">
        <v>43949</v>
      </c>
      <c r="C1860" s="55">
        <v>486.2</v>
      </c>
      <c r="D1860" s="70">
        <f t="shared" si="59"/>
        <v>-0.22301238513783461</v>
      </c>
      <c r="E1860" s="180">
        <v>-1.1939236904943466E-2</v>
      </c>
      <c r="G1860" s="78">
        <v>1858</v>
      </c>
      <c r="H1860" s="180">
        <f t="shared" ref="H1860:H1923" ca="1" si="60">_xlfn.NORM.INV(RAND(),$N$4,$N$5)</f>
        <v>-2.2711198203108698E-3</v>
      </c>
    </row>
    <row r="1861" spans="2:8" x14ac:dyDescent="0.3">
      <c r="B1861" s="69">
        <v>44021</v>
      </c>
      <c r="C1861" s="55">
        <v>625.75</v>
      </c>
      <c r="D1861" s="70">
        <f t="shared" si="59"/>
        <v>-0.84086718799669402</v>
      </c>
      <c r="E1861" s="180">
        <v>-1.1960683693206561E-2</v>
      </c>
      <c r="G1861" s="78">
        <v>1859</v>
      </c>
      <c r="H1861" s="180">
        <f t="shared" ca="1" si="60"/>
        <v>-1.2476037500203286E-2</v>
      </c>
    </row>
    <row r="1862" spans="2:8" x14ac:dyDescent="0.3">
      <c r="B1862" s="69">
        <v>46078</v>
      </c>
      <c r="C1862" s="55">
        <v>3932.25</v>
      </c>
      <c r="D1862" s="70">
        <f t="shared" si="59"/>
        <v>9.4483858110801116</v>
      </c>
      <c r="E1862" s="180">
        <v>-1.2009899373123498E-2</v>
      </c>
      <c r="G1862" s="78">
        <v>1860</v>
      </c>
      <c r="H1862" s="180">
        <f t="shared" ca="1" si="60"/>
        <v>1.4677683376143506E-2</v>
      </c>
    </row>
    <row r="1863" spans="2:8" x14ac:dyDescent="0.3">
      <c r="B1863" s="69">
        <v>43341</v>
      </c>
      <c r="C1863" s="55">
        <v>376.35</v>
      </c>
      <c r="D1863" s="70">
        <f t="shared" si="59"/>
        <v>0.47501469723691953</v>
      </c>
      <c r="E1863" s="180">
        <v>-1.2010238235873025E-2</v>
      </c>
      <c r="G1863" s="78">
        <v>1861</v>
      </c>
      <c r="H1863" s="180">
        <f t="shared" ca="1" si="60"/>
        <v>1.9908288749679787E-2</v>
      </c>
    </row>
    <row r="1864" spans="2:8" x14ac:dyDescent="0.3">
      <c r="B1864" s="69">
        <v>42935</v>
      </c>
      <c r="C1864" s="55">
        <v>255.15</v>
      </c>
      <c r="D1864" s="70">
        <f t="shared" si="59"/>
        <v>2.6450769385497404E-2</v>
      </c>
      <c r="E1864" s="180">
        <v>-1.2099506340141213E-2</v>
      </c>
      <c r="G1864" s="78">
        <v>1862</v>
      </c>
      <c r="H1864" s="180">
        <f t="shared" ca="1" si="60"/>
        <v>-9.1685564701319989E-3</v>
      </c>
    </row>
    <row r="1865" spans="2:8" x14ac:dyDescent="0.3">
      <c r="B1865" s="69">
        <v>42789</v>
      </c>
      <c r="C1865" s="55">
        <v>248.57499999999999</v>
      </c>
      <c r="D1865" s="70">
        <f t="shared" si="59"/>
        <v>-0.24093442247499819</v>
      </c>
      <c r="E1865" s="180">
        <v>-1.2121212121212166E-2</v>
      </c>
      <c r="G1865" s="78">
        <v>1863</v>
      </c>
      <c r="H1865" s="180">
        <f t="shared" ca="1" si="60"/>
        <v>-3.5881313557675903E-2</v>
      </c>
    </row>
    <row r="1866" spans="2:8" x14ac:dyDescent="0.3">
      <c r="B1866" s="69">
        <v>43440</v>
      </c>
      <c r="C1866" s="55">
        <v>327.47500000000002</v>
      </c>
      <c r="D1866" s="70">
        <f t="shared" si="59"/>
        <v>-0.45043003985735258</v>
      </c>
      <c r="E1866" s="180">
        <v>-1.2141779788838543E-2</v>
      </c>
      <c r="G1866" s="78">
        <v>1864</v>
      </c>
      <c r="H1866" s="180">
        <f t="shared" ca="1" si="60"/>
        <v>-3.6166034815837529E-2</v>
      </c>
    </row>
    <row r="1867" spans="2:8" x14ac:dyDescent="0.3">
      <c r="B1867" s="69">
        <v>43851</v>
      </c>
      <c r="C1867" s="55">
        <v>595.875</v>
      </c>
      <c r="D1867" s="70">
        <f t="shared" si="59"/>
        <v>-0.88709142586451917</v>
      </c>
      <c r="E1867" s="180">
        <v>-1.2143567639257368E-2</v>
      </c>
      <c r="G1867" s="78">
        <v>1865</v>
      </c>
      <c r="H1867" s="180">
        <f t="shared" ca="1" si="60"/>
        <v>-2.2574030020978499E-2</v>
      </c>
    </row>
    <row r="1868" spans="2:8" x14ac:dyDescent="0.3">
      <c r="B1868" s="69">
        <v>45777</v>
      </c>
      <c r="C1868" s="55">
        <v>5277.5</v>
      </c>
      <c r="D1868" s="70">
        <f t="shared" si="59"/>
        <v>16.569704535996671</v>
      </c>
      <c r="E1868" s="180">
        <v>-1.2166588675713618E-2</v>
      </c>
      <c r="G1868" s="78">
        <v>1866</v>
      </c>
      <c r="H1868" s="180">
        <f t="shared" ca="1" si="60"/>
        <v>-1.2583888834938426E-3</v>
      </c>
    </row>
    <row r="1869" spans="2:8" x14ac:dyDescent="0.3">
      <c r="B1869" s="69">
        <v>43280</v>
      </c>
      <c r="C1869" s="55">
        <v>300.375</v>
      </c>
      <c r="D1869" s="70">
        <f t="shared" si="59"/>
        <v>-0.77400970545085201</v>
      </c>
      <c r="E1869" s="180">
        <v>-1.2168050645399947E-2</v>
      </c>
      <c r="G1869" s="78">
        <v>1867</v>
      </c>
      <c r="H1869" s="180">
        <f t="shared" ca="1" si="60"/>
        <v>-6.4121796016308125E-3</v>
      </c>
    </row>
    <row r="1870" spans="2:8" x14ac:dyDescent="0.3">
      <c r="B1870" s="69">
        <v>44924</v>
      </c>
      <c r="C1870" s="55">
        <v>1329.15</v>
      </c>
      <c r="D1870" s="70">
        <f t="shared" si="59"/>
        <v>-0.64555527407032087</v>
      </c>
      <c r="E1870" s="180">
        <v>-1.2188324476979573E-2</v>
      </c>
      <c r="G1870" s="78">
        <v>1868</v>
      </c>
      <c r="H1870" s="180">
        <f t="shared" ca="1" si="60"/>
        <v>-2.4077567485271865E-2</v>
      </c>
    </row>
    <row r="1871" spans="2:8" x14ac:dyDescent="0.3">
      <c r="B1871" s="69">
        <v>46054</v>
      </c>
      <c r="C1871" s="55">
        <v>3749.95</v>
      </c>
      <c r="D1871" s="70">
        <f t="shared" si="59"/>
        <v>12.585544787609818</v>
      </c>
      <c r="E1871" s="180">
        <v>-1.2248284581648646E-2</v>
      </c>
      <c r="G1871" s="78">
        <v>1869</v>
      </c>
      <c r="H1871" s="180">
        <f t="shared" ca="1" si="60"/>
        <v>1.2280193686547496E-2</v>
      </c>
    </row>
    <row r="1872" spans="2:8" x14ac:dyDescent="0.3">
      <c r="B1872" s="69">
        <v>42956</v>
      </c>
      <c r="C1872" s="55">
        <v>276.02499999999998</v>
      </c>
      <c r="D1872" s="70">
        <f t="shared" si="59"/>
        <v>-0.94604671618451919</v>
      </c>
      <c r="E1872" s="180">
        <v>-1.2256217570227273E-2</v>
      </c>
      <c r="G1872" s="78">
        <v>1870</v>
      </c>
      <c r="H1872" s="180">
        <f t="shared" ca="1" si="60"/>
        <v>-2.7903211429762733E-3</v>
      </c>
    </row>
    <row r="1873" spans="2:8" x14ac:dyDescent="0.3">
      <c r="B1873" s="69">
        <v>45919</v>
      </c>
      <c r="C1873" s="55">
        <v>5116</v>
      </c>
      <c r="D1873" s="70">
        <f t="shared" si="59"/>
        <v>14.704090246335664</v>
      </c>
      <c r="E1873" s="180">
        <v>-1.2259870643884545E-2</v>
      </c>
      <c r="G1873" s="78">
        <v>1871</v>
      </c>
      <c r="H1873" s="180">
        <f t="shared" ca="1" si="60"/>
        <v>-6.5870510448060781E-3</v>
      </c>
    </row>
    <row r="1874" spans="2:8" x14ac:dyDescent="0.3">
      <c r="B1874" s="69">
        <v>43087</v>
      </c>
      <c r="C1874" s="55">
        <v>325.77499999999998</v>
      </c>
      <c r="D1874" s="70">
        <f t="shared" si="59"/>
        <v>-0.76233813605690304</v>
      </c>
      <c r="E1874" s="180">
        <v>-1.2279238990373718E-2</v>
      </c>
      <c r="G1874" s="78">
        <v>1872</v>
      </c>
      <c r="H1874" s="180">
        <f t="shared" ca="1" si="60"/>
        <v>1.9613599182155512E-2</v>
      </c>
    </row>
    <row r="1875" spans="2:8" x14ac:dyDescent="0.3">
      <c r="B1875" s="69">
        <v>44886</v>
      </c>
      <c r="C1875" s="55">
        <v>1370.75</v>
      </c>
      <c r="D1875" s="70">
        <f t="shared" si="59"/>
        <v>3.2722455976312919</v>
      </c>
      <c r="E1875" s="180">
        <v>-1.2285631935437512E-2</v>
      </c>
      <c r="G1875" s="78">
        <v>1873</v>
      </c>
      <c r="H1875" s="180">
        <f t="shared" ca="1" si="60"/>
        <v>-3.6001419843633411E-3</v>
      </c>
    </row>
    <row r="1876" spans="2:8" x14ac:dyDescent="0.3">
      <c r="B1876" s="69">
        <v>43398</v>
      </c>
      <c r="C1876" s="55">
        <v>320.85000000000002</v>
      </c>
      <c r="D1876" s="70">
        <f t="shared" si="59"/>
        <v>-0.94212923298913287</v>
      </c>
      <c r="E1876" s="180">
        <v>-1.2389380530973382E-2</v>
      </c>
      <c r="G1876" s="78">
        <v>1874</v>
      </c>
      <c r="H1876" s="180">
        <f t="shared" ca="1" si="60"/>
        <v>6.1241521478688464E-3</v>
      </c>
    </row>
    <row r="1877" spans="2:8" x14ac:dyDescent="0.3">
      <c r="B1877" s="69">
        <v>45812</v>
      </c>
      <c r="C1877" s="55">
        <v>5544.25</v>
      </c>
      <c r="D1877" s="70">
        <f t="shared" si="59"/>
        <v>9.5009706899000914</v>
      </c>
      <c r="E1877" s="180">
        <v>-1.2424296401852511E-2</v>
      </c>
      <c r="G1877" s="78">
        <v>1875</v>
      </c>
      <c r="H1877" s="180">
        <f t="shared" ca="1" si="60"/>
        <v>3.9571843212220644E-3</v>
      </c>
    </row>
    <row r="1878" spans="2:8" x14ac:dyDescent="0.3">
      <c r="B1878" s="69">
        <v>43838</v>
      </c>
      <c r="C1878" s="55">
        <v>527.97499999999991</v>
      </c>
      <c r="D1878" s="70">
        <f t="shared" si="59"/>
        <v>0.30396394171400332</v>
      </c>
      <c r="E1878" s="180">
        <v>-1.2438625204582821E-2</v>
      </c>
      <c r="G1878" s="78">
        <v>1876</v>
      </c>
      <c r="H1878" s="180">
        <f t="shared" ca="1" si="60"/>
        <v>-4.8042063887238449E-3</v>
      </c>
    </row>
    <row r="1879" spans="2:8" x14ac:dyDescent="0.3">
      <c r="B1879" s="69">
        <v>43623</v>
      </c>
      <c r="C1879" s="55">
        <v>404.9</v>
      </c>
      <c r="D1879" s="70">
        <f t="shared" si="59"/>
        <v>0.1404830645729174</v>
      </c>
      <c r="E1879" s="180">
        <v>-1.2439024390243959E-2</v>
      </c>
      <c r="G1879" s="78">
        <v>1877</v>
      </c>
      <c r="H1879" s="180">
        <f t="shared" ca="1" si="60"/>
        <v>3.5696925160290355E-2</v>
      </c>
    </row>
    <row r="1880" spans="2:8" x14ac:dyDescent="0.3">
      <c r="B1880" s="69">
        <v>43318</v>
      </c>
      <c r="C1880" s="55">
        <v>355.02499999999998</v>
      </c>
      <c r="D1880" s="70">
        <f t="shared" si="59"/>
        <v>-0.91376713909231122</v>
      </c>
      <c r="E1880" s="180">
        <v>-1.2447844228094638E-2</v>
      </c>
      <c r="G1880" s="78">
        <v>1878</v>
      </c>
      <c r="H1880" s="180">
        <f t="shared" ca="1" si="60"/>
        <v>1.4475757794419401E-2</v>
      </c>
    </row>
    <row r="1881" spans="2:8" x14ac:dyDescent="0.3">
      <c r="B1881" s="69">
        <v>46072</v>
      </c>
      <c r="C1881" s="55">
        <v>4117.05</v>
      </c>
      <c r="D1881" s="70">
        <f t="shared" si="59"/>
        <v>15.758115396356976</v>
      </c>
      <c r="E1881" s="180">
        <v>-1.2461021827776402E-2</v>
      </c>
      <c r="G1881" s="78">
        <v>1879</v>
      </c>
      <c r="H1881" s="180">
        <f t="shared" ca="1" si="60"/>
        <v>-1.5647203868477639E-2</v>
      </c>
    </row>
    <row r="1882" spans="2:8" x14ac:dyDescent="0.3">
      <c r="B1882" s="69">
        <v>42874</v>
      </c>
      <c r="C1882" s="55">
        <v>245.67500000000001</v>
      </c>
      <c r="D1882" s="70">
        <f t="shared" si="59"/>
        <v>-0.75967816879019823</v>
      </c>
      <c r="E1882" s="180">
        <v>-1.2560289389067524E-2</v>
      </c>
      <c r="G1882" s="78">
        <v>1880</v>
      </c>
      <c r="H1882" s="180">
        <f t="shared" ca="1" si="60"/>
        <v>1.3650221250218126E-2</v>
      </c>
    </row>
    <row r="1883" spans="2:8" x14ac:dyDescent="0.3">
      <c r="B1883" s="69">
        <v>44531</v>
      </c>
      <c r="C1883" s="55">
        <v>1022.275</v>
      </c>
      <c r="D1883" s="70">
        <f t="shared" si="59"/>
        <v>0.97350386100386099</v>
      </c>
      <c r="E1883" s="180">
        <v>-1.258089442673619E-2</v>
      </c>
      <c r="G1883" s="78">
        <v>1881</v>
      </c>
      <c r="H1883" s="180">
        <f t="shared" ca="1" si="60"/>
        <v>-2.633793263550567E-2</v>
      </c>
    </row>
    <row r="1884" spans="2:8" x14ac:dyDescent="0.3">
      <c r="B1884" s="69">
        <v>43803</v>
      </c>
      <c r="C1884" s="55">
        <v>518</v>
      </c>
      <c r="D1884" s="70">
        <f t="shared" si="59"/>
        <v>0.47757255936675441</v>
      </c>
      <c r="E1884" s="180">
        <v>-1.2581014105985555E-2</v>
      </c>
      <c r="G1884" s="78">
        <v>1882</v>
      </c>
      <c r="H1884" s="180">
        <f t="shared" ca="1" si="60"/>
        <v>1.2663251322845322E-2</v>
      </c>
    </row>
    <row r="1885" spans="2:8" x14ac:dyDescent="0.3">
      <c r="B1885" s="69">
        <v>43500</v>
      </c>
      <c r="C1885" s="55">
        <v>350.57500000000005</v>
      </c>
      <c r="D1885" s="70">
        <f t="shared" si="59"/>
        <v>-0.70595512686097706</v>
      </c>
      <c r="E1885" s="180">
        <v>-1.2603858611463077E-2</v>
      </c>
      <c r="G1885" s="78">
        <v>1883</v>
      </c>
      <c r="H1885" s="180">
        <f t="shared" ca="1" si="60"/>
        <v>-8.502276138644101E-5</v>
      </c>
    </row>
    <row r="1886" spans="2:8" x14ac:dyDescent="0.3">
      <c r="B1886" s="69">
        <v>44946</v>
      </c>
      <c r="C1886" s="55">
        <v>1192.25</v>
      </c>
      <c r="D1886" s="70">
        <f t="shared" si="59"/>
        <v>-0.82835815523707379</v>
      </c>
      <c r="E1886" s="180">
        <v>-1.2608956707178128E-2</v>
      </c>
      <c r="G1886" s="78">
        <v>1884</v>
      </c>
      <c r="H1886" s="180">
        <f t="shared" ca="1" si="60"/>
        <v>2.714632529521421E-2</v>
      </c>
    </row>
    <row r="1887" spans="2:8" x14ac:dyDescent="0.3">
      <c r="B1887" s="69">
        <v>45635</v>
      </c>
      <c r="C1887" s="55">
        <v>6946.15</v>
      </c>
      <c r="D1887" s="70">
        <f t="shared" si="59"/>
        <v>21.227679999999999</v>
      </c>
      <c r="E1887" s="180">
        <v>-1.2633217365965295E-2</v>
      </c>
      <c r="G1887" s="78">
        <v>1885</v>
      </c>
      <c r="H1887" s="180">
        <f t="shared" ca="1" si="60"/>
        <v>-4.8770910763823706E-2</v>
      </c>
    </row>
    <row r="1888" spans="2:8" x14ac:dyDescent="0.3">
      <c r="B1888" s="69">
        <v>43166</v>
      </c>
      <c r="C1888" s="55">
        <v>312.5</v>
      </c>
      <c r="D1888" s="70">
        <f t="shared" si="59"/>
        <v>-0.65789977831905633</v>
      </c>
      <c r="E1888" s="180">
        <v>-1.2638230647709321E-2</v>
      </c>
      <c r="G1888" s="78">
        <v>1886</v>
      </c>
      <c r="H1888" s="180">
        <f t="shared" ca="1" si="60"/>
        <v>-3.537100000031751E-2</v>
      </c>
    </row>
    <row r="1889" spans="2:8" x14ac:dyDescent="0.3">
      <c r="B1889" s="69">
        <v>44392</v>
      </c>
      <c r="C1889" s="55">
        <v>913.47500000000002</v>
      </c>
      <c r="D1889" s="70">
        <f t="shared" si="59"/>
        <v>-0.25035903327725584</v>
      </c>
      <c r="E1889" s="180">
        <v>-1.2646256113708143E-2</v>
      </c>
      <c r="G1889" s="78">
        <v>1887</v>
      </c>
      <c r="H1889" s="180">
        <f t="shared" ca="1" si="60"/>
        <v>4.4596902611370129E-2</v>
      </c>
    </row>
    <row r="1890" spans="2:8" x14ac:dyDescent="0.3">
      <c r="B1890" s="69">
        <v>44936</v>
      </c>
      <c r="C1890" s="55">
        <v>1218.5500000000002</v>
      </c>
      <c r="D1890" s="70">
        <f t="shared" si="59"/>
        <v>3.0406200779242316</v>
      </c>
      <c r="E1890" s="180">
        <v>-1.2660279133834159E-2</v>
      </c>
      <c r="G1890" s="78">
        <v>1888</v>
      </c>
      <c r="H1890" s="180">
        <f t="shared" ca="1" si="60"/>
        <v>-1.4937978587340731E-2</v>
      </c>
    </row>
    <row r="1891" spans="2:8" x14ac:dyDescent="0.3">
      <c r="B1891" s="69">
        <v>43000</v>
      </c>
      <c r="C1891" s="55">
        <v>301.57499999999999</v>
      </c>
      <c r="D1891" s="70">
        <f t="shared" si="59"/>
        <v>-0.69830432172869139</v>
      </c>
      <c r="E1891" s="180">
        <v>-1.2686200687510231E-2</v>
      </c>
      <c r="G1891" s="78">
        <v>1889</v>
      </c>
      <c r="H1891" s="180">
        <f t="shared" ca="1" si="60"/>
        <v>3.1698168618742507E-2</v>
      </c>
    </row>
    <row r="1892" spans="2:8" x14ac:dyDescent="0.3">
      <c r="B1892" s="69">
        <v>44441</v>
      </c>
      <c r="C1892" s="55">
        <v>999.59999999999991</v>
      </c>
      <c r="D1892" s="70">
        <f t="shared" si="59"/>
        <v>1.6977936711422981</v>
      </c>
      <c r="E1892" s="180">
        <v>-1.2691984789372449E-2</v>
      </c>
      <c r="G1892" s="78">
        <v>1890</v>
      </c>
      <c r="H1892" s="180">
        <f t="shared" ca="1" si="60"/>
        <v>3.1465009888889124E-2</v>
      </c>
    </row>
    <row r="1893" spans="2:8" x14ac:dyDescent="0.3">
      <c r="B1893" s="69">
        <v>43552</v>
      </c>
      <c r="C1893" s="55">
        <v>370.52499999999998</v>
      </c>
      <c r="D1893" s="70">
        <f t="shared" si="59"/>
        <v>-0.85324434850630249</v>
      </c>
      <c r="E1893" s="180">
        <v>-1.2723154809485835E-2</v>
      </c>
      <c r="G1893" s="78">
        <v>1891</v>
      </c>
      <c r="H1893" s="180">
        <f t="shared" ca="1" si="60"/>
        <v>-1.9920343794205455E-2</v>
      </c>
    </row>
    <row r="1894" spans="2:8" x14ac:dyDescent="0.3">
      <c r="B1894" s="69">
        <v>45246</v>
      </c>
      <c r="C1894" s="55">
        <v>2524.7750000000001</v>
      </c>
      <c r="D1894" s="70">
        <f t="shared" si="59"/>
        <v>5.8888813096862211</v>
      </c>
      <c r="E1894" s="180">
        <v>-1.2728143665744374E-2</v>
      </c>
      <c r="G1894" s="78">
        <v>1892</v>
      </c>
      <c r="H1894" s="180">
        <f t="shared" ca="1" si="60"/>
        <v>-2.7199857827217962E-2</v>
      </c>
    </row>
    <row r="1895" spans="2:8" x14ac:dyDescent="0.3">
      <c r="B1895" s="69">
        <v>43598</v>
      </c>
      <c r="C1895" s="55">
        <v>366.5</v>
      </c>
      <c r="D1895" s="70">
        <f t="shared" si="59"/>
        <v>-0.93597694121757358</v>
      </c>
      <c r="E1895" s="180">
        <v>-1.2794612794612794E-2</v>
      </c>
      <c r="G1895" s="78">
        <v>1893</v>
      </c>
      <c r="H1895" s="180">
        <f t="shared" ca="1" si="60"/>
        <v>-3.7229968358391097E-2</v>
      </c>
    </row>
    <row r="1896" spans="2:8" x14ac:dyDescent="0.3">
      <c r="B1896" s="69">
        <v>45820</v>
      </c>
      <c r="C1896" s="55">
        <v>5724.5</v>
      </c>
      <c r="D1896" s="70">
        <f t="shared" si="59"/>
        <v>8.8702530281477632</v>
      </c>
      <c r="E1896" s="180">
        <v>-1.280448372494072E-2</v>
      </c>
      <c r="G1896" s="78">
        <v>1894</v>
      </c>
      <c r="H1896" s="180">
        <f t="shared" ca="1" si="60"/>
        <v>-3.4021991331720743E-2</v>
      </c>
    </row>
    <row r="1897" spans="2:8" x14ac:dyDescent="0.3">
      <c r="B1897" s="69">
        <v>43862</v>
      </c>
      <c r="C1897" s="55">
        <v>579.97500000000002</v>
      </c>
      <c r="D1897" s="70">
        <f t="shared" si="59"/>
        <v>-0.91272797038642106</v>
      </c>
      <c r="E1897" s="180">
        <v>-1.2808510638297833E-2</v>
      </c>
      <c r="G1897" s="78">
        <v>1895</v>
      </c>
      <c r="H1897" s="180">
        <f t="shared" ca="1" si="60"/>
        <v>-3.4143352995106624E-2</v>
      </c>
    </row>
    <row r="1898" spans="2:8" x14ac:dyDescent="0.3">
      <c r="B1898" s="69">
        <v>45666</v>
      </c>
      <c r="C1898" s="55">
        <v>6645.6</v>
      </c>
      <c r="D1898" s="70">
        <f t="shared" si="59"/>
        <v>4.746800415081287</v>
      </c>
      <c r="E1898" s="180">
        <v>-1.2823226640225465E-2</v>
      </c>
      <c r="G1898" s="78">
        <v>1896</v>
      </c>
      <c r="H1898" s="180">
        <f t="shared" ca="1" si="60"/>
        <v>2.0799301119591856E-2</v>
      </c>
    </row>
    <row r="1899" spans="2:8" x14ac:dyDescent="0.3">
      <c r="B1899" s="69">
        <v>44579</v>
      </c>
      <c r="C1899" s="55">
        <v>1156.4000000000001</v>
      </c>
      <c r="D1899" s="70">
        <f t="shared" si="59"/>
        <v>0.29239194210835123</v>
      </c>
      <c r="E1899" s="180">
        <v>-1.2826258616642199E-2</v>
      </c>
      <c r="G1899" s="78">
        <v>1897</v>
      </c>
      <c r="H1899" s="180">
        <f t="shared" ca="1" si="60"/>
        <v>-1.341341785033057E-2</v>
      </c>
    </row>
    <row r="1900" spans="2:8" x14ac:dyDescent="0.3">
      <c r="B1900" s="69">
        <v>44263</v>
      </c>
      <c r="C1900" s="55">
        <v>894.77500000000009</v>
      </c>
      <c r="D1900" s="70">
        <f t="shared" si="59"/>
        <v>2.5478786677240288</v>
      </c>
      <c r="E1900" s="180">
        <v>-1.2852690514934897E-2</v>
      </c>
      <c r="G1900" s="78">
        <v>1898</v>
      </c>
      <c r="H1900" s="180">
        <f t="shared" ca="1" si="60"/>
        <v>1.1130352734138239E-2</v>
      </c>
    </row>
    <row r="1901" spans="2:8" x14ac:dyDescent="0.3">
      <c r="B1901" s="69">
        <v>42870</v>
      </c>
      <c r="C1901" s="55">
        <v>252.2</v>
      </c>
      <c r="D1901" s="70">
        <f t="shared" si="59"/>
        <v>-0.93734550649028014</v>
      </c>
      <c r="E1901" s="180">
        <v>-1.2915851272015701E-2</v>
      </c>
      <c r="G1901" s="78">
        <v>1899</v>
      </c>
      <c r="H1901" s="180">
        <f t="shared" ca="1" si="60"/>
        <v>-2.8863762565186551E-2</v>
      </c>
    </row>
    <row r="1902" spans="2:8" x14ac:dyDescent="0.3">
      <c r="B1902" s="69">
        <v>46009</v>
      </c>
      <c r="C1902" s="55">
        <v>4025.25</v>
      </c>
      <c r="D1902" s="70">
        <f t="shared" si="59"/>
        <v>2.6230873087308733</v>
      </c>
      <c r="E1902" s="180">
        <v>-1.2923159921038712E-2</v>
      </c>
      <c r="G1902" s="78">
        <v>1900</v>
      </c>
      <c r="H1902" s="180">
        <f t="shared" ca="1" si="60"/>
        <v>1.3426719338413171E-2</v>
      </c>
    </row>
    <row r="1903" spans="2:8" x14ac:dyDescent="0.3">
      <c r="B1903" s="69">
        <v>44714</v>
      </c>
      <c r="C1903" s="55">
        <v>1111</v>
      </c>
      <c r="D1903" s="70">
        <f t="shared" si="59"/>
        <v>2.3715196115620971</v>
      </c>
      <c r="E1903" s="180">
        <v>-1.2992781787895613E-2</v>
      </c>
      <c r="G1903" s="78">
        <v>1901</v>
      </c>
      <c r="H1903" s="180">
        <f t="shared" ca="1" si="60"/>
        <v>-1.2893850555812426E-2</v>
      </c>
    </row>
    <row r="1904" spans="2:8" x14ac:dyDescent="0.3">
      <c r="B1904" s="69">
        <v>43119</v>
      </c>
      <c r="C1904" s="55">
        <v>329.52499999999998</v>
      </c>
      <c r="D1904" s="70">
        <f t="shared" si="59"/>
        <v>-0.51504782928623993</v>
      </c>
      <c r="E1904" s="180">
        <v>-1.3028828154249413E-2</v>
      </c>
      <c r="G1904" s="78">
        <v>1902</v>
      </c>
      <c r="H1904" s="180">
        <f t="shared" ca="1" si="60"/>
        <v>2.2993001707520013E-4</v>
      </c>
    </row>
    <row r="1905" spans="2:8" x14ac:dyDescent="0.3">
      <c r="B1905" s="69">
        <v>44194</v>
      </c>
      <c r="C1905" s="55">
        <v>679.5</v>
      </c>
      <c r="D1905" s="70">
        <f t="shared" si="59"/>
        <v>-0.84115109931855103</v>
      </c>
      <c r="E1905" s="180">
        <v>-1.3071895424836602E-2</v>
      </c>
      <c r="G1905" s="78">
        <v>1903</v>
      </c>
      <c r="H1905" s="180">
        <f t="shared" ca="1" si="60"/>
        <v>2.1953815790761483E-3</v>
      </c>
    </row>
    <row r="1906" spans="2:8" x14ac:dyDescent="0.3">
      <c r="B1906" s="69">
        <v>45986</v>
      </c>
      <c r="C1906" s="55">
        <v>4277.6499999999996</v>
      </c>
      <c r="D1906" s="70">
        <f t="shared" si="59"/>
        <v>1.1061532969805883</v>
      </c>
      <c r="E1906" s="180">
        <v>-1.311569961933334E-2</v>
      </c>
      <c r="G1906" s="78">
        <v>1904</v>
      </c>
      <c r="H1906" s="180">
        <f t="shared" ca="1" si="60"/>
        <v>1.7072531155820178E-2</v>
      </c>
    </row>
    <row r="1907" spans="2:8" x14ac:dyDescent="0.3">
      <c r="B1907" s="69">
        <v>45163</v>
      </c>
      <c r="C1907" s="55">
        <v>2031.0250000000001</v>
      </c>
      <c r="D1907" s="70">
        <f t="shared" si="59"/>
        <v>3.5818622751113871</v>
      </c>
      <c r="E1907" s="180">
        <v>-1.3155337447159915E-2</v>
      </c>
      <c r="G1907" s="78">
        <v>1905</v>
      </c>
      <c r="H1907" s="180">
        <f t="shared" ca="1" si="60"/>
        <v>-1.0803626744265696E-2</v>
      </c>
    </row>
    <row r="1908" spans="2:8" x14ac:dyDescent="0.3">
      <c r="B1908" s="69">
        <v>43665</v>
      </c>
      <c r="C1908" s="55">
        <v>443.27499999999998</v>
      </c>
      <c r="D1908" s="70">
        <f t="shared" si="59"/>
        <v>-0.55605908863294939</v>
      </c>
      <c r="E1908" s="180">
        <v>-1.3190115761353543E-2</v>
      </c>
      <c r="G1908" s="78">
        <v>1906</v>
      </c>
      <c r="H1908" s="180">
        <f t="shared" ca="1" si="60"/>
        <v>-9.360649414304166E-3</v>
      </c>
    </row>
    <row r="1909" spans="2:8" x14ac:dyDescent="0.3">
      <c r="B1909" s="69">
        <v>44454</v>
      </c>
      <c r="C1909" s="55">
        <v>998.5</v>
      </c>
      <c r="D1909" s="70">
        <f t="shared" si="59"/>
        <v>-0.75149791877951511</v>
      </c>
      <c r="E1909" s="180">
        <v>-1.3242415258424723E-2</v>
      </c>
      <c r="G1909" s="78">
        <v>1907</v>
      </c>
      <c r="H1909" s="180">
        <f t="shared" ca="1" si="60"/>
        <v>2.589637970822389E-2</v>
      </c>
    </row>
    <row r="1910" spans="2:8" x14ac:dyDescent="0.3">
      <c r="B1910" s="69">
        <v>45363</v>
      </c>
      <c r="C1910" s="55">
        <v>4018.0749999999998</v>
      </c>
      <c r="D1910" s="70">
        <f t="shared" si="59"/>
        <v>0.94945721390017579</v>
      </c>
      <c r="E1910" s="180">
        <v>-1.3248936340027339E-2</v>
      </c>
      <c r="G1910" s="78">
        <v>1908</v>
      </c>
      <c r="H1910" s="180">
        <f t="shared" ca="1" si="60"/>
        <v>-1.9934005122112578E-2</v>
      </c>
    </row>
    <row r="1911" spans="2:8" x14ac:dyDescent="0.3">
      <c r="B1911" s="69">
        <v>45198</v>
      </c>
      <c r="C1911" s="55">
        <v>2061.125</v>
      </c>
      <c r="D1911" s="70">
        <f t="shared" si="59"/>
        <v>5.1733433171096967</v>
      </c>
      <c r="E1911" s="180">
        <v>-1.3296471827277558E-2</v>
      </c>
      <c r="G1911" s="78">
        <v>1909</v>
      </c>
      <c r="H1911" s="180">
        <f t="shared" ca="1" si="60"/>
        <v>2.9003533546321618E-2</v>
      </c>
    </row>
    <row r="1912" spans="2:8" x14ac:dyDescent="0.3">
      <c r="B1912" s="69">
        <v>43118</v>
      </c>
      <c r="C1912" s="55">
        <v>333.875</v>
      </c>
      <c r="D1912" s="70">
        <f t="shared" si="59"/>
        <v>-0.73541881290118083</v>
      </c>
      <c r="E1912" s="180">
        <v>-1.3298854820834873E-2</v>
      </c>
      <c r="G1912" s="78">
        <v>1910</v>
      </c>
      <c r="H1912" s="180">
        <f t="shared" ca="1" si="60"/>
        <v>-6.6177388698511483E-3</v>
      </c>
    </row>
    <row r="1913" spans="2:8" x14ac:dyDescent="0.3">
      <c r="B1913" s="69">
        <v>44663</v>
      </c>
      <c r="C1913" s="55">
        <v>1261.9000000000001</v>
      </c>
      <c r="D1913" s="70">
        <f t="shared" si="59"/>
        <v>8.4805501826778498E-2</v>
      </c>
      <c r="E1913" s="180">
        <v>-1.3311961217428593E-2</v>
      </c>
      <c r="G1913" s="78">
        <v>1911</v>
      </c>
      <c r="H1913" s="180">
        <f t="shared" ca="1" si="60"/>
        <v>-2.5600753956613681E-2</v>
      </c>
    </row>
    <row r="1914" spans="2:8" x14ac:dyDescent="0.3">
      <c r="B1914" s="69">
        <v>44635</v>
      </c>
      <c r="C1914" s="55">
        <v>1163.25</v>
      </c>
      <c r="D1914" s="70">
        <f t="shared" si="59"/>
        <v>2.2613723978411722</v>
      </c>
      <c r="E1914" s="180">
        <v>-1.3337857036832766E-2</v>
      </c>
      <c r="G1914" s="78">
        <v>1912</v>
      </c>
      <c r="H1914" s="180">
        <f t="shared" ca="1" si="60"/>
        <v>-2.18487381347172E-4</v>
      </c>
    </row>
    <row r="1915" spans="2:8" x14ac:dyDescent="0.3">
      <c r="B1915" s="69">
        <v>43467</v>
      </c>
      <c r="C1915" s="55">
        <v>356.67499999999995</v>
      </c>
      <c r="D1915" s="70">
        <f t="shared" si="59"/>
        <v>-1.3299734005320532E-3</v>
      </c>
      <c r="E1915" s="180">
        <v>-1.3347164591977996E-2</v>
      </c>
      <c r="G1915" s="78">
        <v>1913</v>
      </c>
      <c r="H1915" s="180">
        <f t="shared" ca="1" si="60"/>
        <v>-3.934108925733453E-3</v>
      </c>
    </row>
    <row r="1916" spans="2:8" x14ac:dyDescent="0.3">
      <c r="B1916" s="69">
        <v>43314</v>
      </c>
      <c r="C1916" s="55">
        <v>357.15</v>
      </c>
      <c r="D1916" s="70">
        <f t="shared" si="59"/>
        <v>0.33876862524599383</v>
      </c>
      <c r="E1916" s="180">
        <v>-1.3397790055248682E-2</v>
      </c>
      <c r="G1916" s="78">
        <v>1914</v>
      </c>
      <c r="H1916" s="180">
        <f t="shared" ca="1" si="60"/>
        <v>3.4303991982765986E-2</v>
      </c>
    </row>
    <row r="1917" spans="2:8" x14ac:dyDescent="0.3">
      <c r="B1917" s="69">
        <v>42837</v>
      </c>
      <c r="C1917" s="55">
        <v>266.77499999999998</v>
      </c>
      <c r="D1917" s="70">
        <f t="shared" si="59"/>
        <v>-0.96160930788104682</v>
      </c>
      <c r="E1917" s="180">
        <v>-1.3406065088757397E-2</v>
      </c>
      <c r="G1917" s="78">
        <v>1915</v>
      </c>
      <c r="H1917" s="180">
        <f t="shared" ca="1" si="60"/>
        <v>2.7006195518897141E-2</v>
      </c>
    </row>
    <row r="1918" spans="2:8" x14ac:dyDescent="0.3">
      <c r="B1918" s="69">
        <v>45639</v>
      </c>
      <c r="C1918" s="55">
        <v>6948.95</v>
      </c>
      <c r="D1918" s="70">
        <f t="shared" si="59"/>
        <v>0.67907842118616413</v>
      </c>
      <c r="E1918" s="180">
        <v>-1.3409716898088966E-2</v>
      </c>
      <c r="G1918" s="78">
        <v>1916</v>
      </c>
      <c r="H1918" s="180">
        <f t="shared" ca="1" si="60"/>
        <v>-1.99424475256086E-2</v>
      </c>
    </row>
    <row r="1919" spans="2:8" x14ac:dyDescent="0.3">
      <c r="B1919" s="69">
        <v>45999</v>
      </c>
      <c r="C1919" s="55">
        <v>4138.55</v>
      </c>
      <c r="D1919" s="70">
        <f t="shared" si="59"/>
        <v>1.9626143135816168</v>
      </c>
      <c r="E1919" s="180">
        <v>-1.345649582836706E-2</v>
      </c>
      <c r="G1919" s="78">
        <v>1917</v>
      </c>
      <c r="H1919" s="180">
        <f t="shared" ca="1" si="60"/>
        <v>3.8361561214258204E-2</v>
      </c>
    </row>
    <row r="1920" spans="2:8" x14ac:dyDescent="0.3">
      <c r="B1920" s="69">
        <v>44813</v>
      </c>
      <c r="C1920" s="55">
        <v>1396.925</v>
      </c>
      <c r="D1920" s="70">
        <f t="shared" si="59"/>
        <v>5.9460381866100268E-2</v>
      </c>
      <c r="E1920" s="180">
        <v>-1.3471045197740145E-2</v>
      </c>
      <c r="G1920" s="78">
        <v>1918</v>
      </c>
      <c r="H1920" s="180">
        <f t="shared" ca="1" si="60"/>
        <v>-4.0544588840282399E-2</v>
      </c>
    </row>
    <row r="1921" spans="2:8" x14ac:dyDescent="0.3">
      <c r="B1921" s="69">
        <v>44970</v>
      </c>
      <c r="C1921" s="55">
        <v>1318.5250000000001</v>
      </c>
      <c r="D1921" s="70">
        <f t="shared" si="59"/>
        <v>0.78577233019570669</v>
      </c>
      <c r="E1921" s="180">
        <v>-1.352311836001782E-2</v>
      </c>
      <c r="G1921" s="78">
        <v>1919</v>
      </c>
      <c r="H1921" s="180">
        <f t="shared" ca="1" si="60"/>
        <v>2.4365453917112152E-2</v>
      </c>
    </row>
    <row r="1922" spans="2:8" x14ac:dyDescent="0.3">
      <c r="B1922" s="69">
        <v>43888</v>
      </c>
      <c r="C1922" s="55">
        <v>738.35</v>
      </c>
      <c r="D1922" s="70">
        <f t="shared" si="59"/>
        <v>0.19474110032362463</v>
      </c>
      <c r="E1922" s="180">
        <v>-1.3560454241816938E-2</v>
      </c>
      <c r="G1922" s="78">
        <v>1920</v>
      </c>
      <c r="H1922" s="180">
        <f t="shared" ca="1" si="60"/>
        <v>7.0599206159365144E-3</v>
      </c>
    </row>
    <row r="1923" spans="2:8" x14ac:dyDescent="0.3">
      <c r="B1923" s="69">
        <v>44025</v>
      </c>
      <c r="C1923" s="55">
        <v>618</v>
      </c>
      <c r="D1923" s="70">
        <f t="shared" ref="D1923:D1986" si="61">(C1923-C1924)/C1924</f>
        <v>1.4921867123701984</v>
      </c>
      <c r="E1923" s="180">
        <v>-1.3567438148443736E-2</v>
      </c>
      <c r="G1923" s="78">
        <v>1921</v>
      </c>
      <c r="H1923" s="180">
        <f t="shared" ca="1" si="60"/>
        <v>-1.549189104436704E-2</v>
      </c>
    </row>
    <row r="1924" spans="2:8" x14ac:dyDescent="0.3">
      <c r="B1924" s="69">
        <v>42772</v>
      </c>
      <c r="C1924" s="55">
        <v>247.97500000000002</v>
      </c>
      <c r="D1924" s="70">
        <f t="shared" si="61"/>
        <v>-0.47211282597126125</v>
      </c>
      <c r="E1924" s="180">
        <v>-1.3623707239458962E-2</v>
      </c>
      <c r="G1924" s="78">
        <v>1922</v>
      </c>
      <c r="H1924" s="180">
        <f t="shared" ref="H1924:H1987" ca="1" si="62">_xlfn.NORM.INV(RAND(),$N$4,$N$5)</f>
        <v>1.3107974652487543E-2</v>
      </c>
    </row>
    <row r="1925" spans="2:8" x14ac:dyDescent="0.3">
      <c r="B1925" s="69">
        <v>43707</v>
      </c>
      <c r="C1925" s="55">
        <v>469.75</v>
      </c>
      <c r="D1925" s="70">
        <f t="shared" si="61"/>
        <v>-0.1623946863995008</v>
      </c>
      <c r="E1925" s="180">
        <v>-1.3648293963254593E-2</v>
      </c>
      <c r="G1925" s="78">
        <v>1923</v>
      </c>
      <c r="H1925" s="180">
        <f t="shared" ca="1" si="62"/>
        <v>-1.1919729807799189E-2</v>
      </c>
    </row>
    <row r="1926" spans="2:8" x14ac:dyDescent="0.3">
      <c r="B1926" s="69">
        <v>44055</v>
      </c>
      <c r="C1926" s="55">
        <v>560.82500000000005</v>
      </c>
      <c r="D1926" s="70">
        <f t="shared" si="61"/>
        <v>-5.3207998935840021E-3</v>
      </c>
      <c r="E1926" s="180">
        <v>-1.3673935983116385E-2</v>
      </c>
      <c r="G1926" s="78">
        <v>1924</v>
      </c>
      <c r="H1926" s="180">
        <f t="shared" ca="1" si="62"/>
        <v>-5.9256372084536806E-3</v>
      </c>
    </row>
    <row r="1927" spans="2:8" x14ac:dyDescent="0.3">
      <c r="B1927" s="69">
        <v>44060</v>
      </c>
      <c r="C1927" s="55">
        <v>563.82500000000005</v>
      </c>
      <c r="D1927" s="70">
        <f t="shared" si="61"/>
        <v>0.16818605614834781</v>
      </c>
      <c r="E1927" s="180">
        <v>-1.3688445727280559E-2</v>
      </c>
      <c r="G1927" s="78">
        <v>1925</v>
      </c>
      <c r="H1927" s="180">
        <f t="shared" ca="1" si="62"/>
        <v>2.9335486066625414E-2</v>
      </c>
    </row>
    <row r="1928" spans="2:8" x14ac:dyDescent="0.3">
      <c r="B1928" s="69">
        <v>43739</v>
      </c>
      <c r="C1928" s="55">
        <v>482.65</v>
      </c>
      <c r="D1928" s="70">
        <f t="shared" si="61"/>
        <v>-0.38272157564906001</v>
      </c>
      <c r="E1928" s="180">
        <v>-1.3742017879948961E-2</v>
      </c>
      <c r="G1928" s="78">
        <v>1926</v>
      </c>
      <c r="H1928" s="180">
        <f t="shared" ca="1" si="62"/>
        <v>-1.6472676169576126E-2</v>
      </c>
    </row>
    <row r="1929" spans="2:8" x14ac:dyDescent="0.3">
      <c r="B1929" s="69">
        <v>44322</v>
      </c>
      <c r="C1929" s="55">
        <v>781.9</v>
      </c>
      <c r="D1929" s="70">
        <f t="shared" si="61"/>
        <v>-0.35842786518697817</v>
      </c>
      <c r="E1929" s="180">
        <v>-1.3748738647830447E-2</v>
      </c>
      <c r="G1929" s="78">
        <v>1927</v>
      </c>
      <c r="H1929" s="180">
        <f t="shared" ca="1" si="62"/>
        <v>-1.1841426911473637E-2</v>
      </c>
    </row>
    <row r="1930" spans="2:8" x14ac:dyDescent="0.3">
      <c r="B1930" s="69">
        <v>44683</v>
      </c>
      <c r="C1930" s="55">
        <v>1218.7249999999999</v>
      </c>
      <c r="D1930" s="70">
        <f t="shared" si="61"/>
        <v>0.81865323633650422</v>
      </c>
      <c r="E1930" s="180">
        <v>-1.3777058466518383E-2</v>
      </c>
      <c r="G1930" s="78">
        <v>1928</v>
      </c>
      <c r="H1930" s="180">
        <f t="shared" ca="1" si="62"/>
        <v>-8.7311356784907004E-3</v>
      </c>
    </row>
    <row r="1931" spans="2:8" x14ac:dyDescent="0.3">
      <c r="B1931" s="69">
        <v>44195</v>
      </c>
      <c r="C1931" s="55">
        <v>670.125</v>
      </c>
      <c r="D1931" s="70">
        <f t="shared" si="61"/>
        <v>0.94351798143851506</v>
      </c>
      <c r="E1931" s="180">
        <v>-1.379690949227373E-2</v>
      </c>
      <c r="G1931" s="78">
        <v>1929</v>
      </c>
      <c r="H1931" s="180">
        <f t="shared" ca="1" si="62"/>
        <v>-1.5118847964937716E-2</v>
      </c>
    </row>
    <row r="1932" spans="2:8" x14ac:dyDescent="0.3">
      <c r="B1932" s="69">
        <v>43116</v>
      </c>
      <c r="C1932" s="55">
        <v>344.8</v>
      </c>
      <c r="D1932" s="70">
        <f t="shared" si="61"/>
        <v>-0.94053890924768269</v>
      </c>
      <c r="E1932" s="180">
        <v>-1.3800500536288849E-2</v>
      </c>
      <c r="G1932" s="78">
        <v>1930</v>
      </c>
      <c r="H1932" s="180">
        <f t="shared" ca="1" si="62"/>
        <v>1.6747801779809425E-3</v>
      </c>
    </row>
    <row r="1933" spans="2:8" x14ac:dyDescent="0.3">
      <c r="B1933" s="69">
        <v>45819</v>
      </c>
      <c r="C1933" s="55">
        <v>5798.75</v>
      </c>
      <c r="D1933" s="70">
        <f t="shared" si="61"/>
        <v>17.064641744548286</v>
      </c>
      <c r="E1933" s="180">
        <v>-1.3818027210884353E-2</v>
      </c>
      <c r="G1933" s="78">
        <v>1931</v>
      </c>
      <c r="H1933" s="180">
        <f t="shared" ca="1" si="62"/>
        <v>-2.3433124407561144E-2</v>
      </c>
    </row>
    <row r="1934" spans="2:8" x14ac:dyDescent="0.3">
      <c r="B1934" s="69">
        <v>43269</v>
      </c>
      <c r="C1934" s="55">
        <v>321</v>
      </c>
      <c r="D1934" s="70">
        <f t="shared" si="61"/>
        <v>-3.6686923250056333E-2</v>
      </c>
      <c r="E1934" s="180">
        <v>-1.3824884792626729E-2</v>
      </c>
      <c r="G1934" s="78">
        <v>1932</v>
      </c>
      <c r="H1934" s="180">
        <f t="shared" ca="1" si="62"/>
        <v>-2.2208723492706098E-2</v>
      </c>
    </row>
    <row r="1935" spans="2:8" x14ac:dyDescent="0.3">
      <c r="B1935" s="69">
        <v>43532</v>
      </c>
      <c r="C1935" s="55">
        <v>333.22500000000002</v>
      </c>
      <c r="D1935" s="70">
        <f t="shared" si="61"/>
        <v>-0.94914924462078432</v>
      </c>
      <c r="E1935" s="180">
        <v>-1.3835454276413006E-2</v>
      </c>
      <c r="G1935" s="78">
        <v>1933</v>
      </c>
      <c r="H1935" s="180">
        <f t="shared" ca="1" si="62"/>
        <v>3.0991828200316714E-2</v>
      </c>
    </row>
    <row r="1936" spans="2:8" x14ac:dyDescent="0.3">
      <c r="B1936" s="69">
        <v>45667</v>
      </c>
      <c r="C1936" s="55">
        <v>6553</v>
      </c>
      <c r="D1936" s="70">
        <f t="shared" si="61"/>
        <v>5.9956497371160156</v>
      </c>
      <c r="E1936" s="180">
        <v>-1.3934031539665397E-2</v>
      </c>
      <c r="G1936" s="78">
        <v>1934</v>
      </c>
      <c r="H1936" s="180">
        <f t="shared" ca="1" si="62"/>
        <v>-5.4306938902308678E-2</v>
      </c>
    </row>
    <row r="1937" spans="2:8" x14ac:dyDescent="0.3">
      <c r="B1937" s="69">
        <v>44412</v>
      </c>
      <c r="C1937" s="55">
        <v>936.72500000000002</v>
      </c>
      <c r="D1937" s="70">
        <f t="shared" si="61"/>
        <v>2.5660987912820032</v>
      </c>
      <c r="E1937" s="180">
        <v>-1.3947735466722689E-2</v>
      </c>
      <c r="G1937" s="78">
        <v>1935</v>
      </c>
      <c r="H1937" s="180">
        <f t="shared" ca="1" si="62"/>
        <v>9.203782725569808E-5</v>
      </c>
    </row>
    <row r="1938" spans="2:8" x14ac:dyDescent="0.3">
      <c r="B1938" s="69">
        <v>42849</v>
      </c>
      <c r="C1938" s="55">
        <v>262.67499999999995</v>
      </c>
      <c r="D1938" s="70">
        <f t="shared" si="61"/>
        <v>-0.92838545216608959</v>
      </c>
      <c r="E1938" s="180">
        <v>-1.398273273273282E-2</v>
      </c>
      <c r="G1938" s="78">
        <v>1936</v>
      </c>
      <c r="H1938" s="180">
        <f t="shared" ca="1" si="62"/>
        <v>4.4643233334510833E-2</v>
      </c>
    </row>
    <row r="1939" spans="2:8" x14ac:dyDescent="0.3">
      <c r="B1939" s="69">
        <v>46092</v>
      </c>
      <c r="C1939" s="55">
        <v>3667.8999999999996</v>
      </c>
      <c r="D1939" s="70">
        <f t="shared" si="61"/>
        <v>-0.47516705538941439</v>
      </c>
      <c r="E1939" s="180">
        <v>-1.3992123550047765E-2</v>
      </c>
      <c r="G1939" s="78">
        <v>1937</v>
      </c>
      <c r="H1939" s="180">
        <f t="shared" ca="1" si="62"/>
        <v>1.2736632053245841E-2</v>
      </c>
    </row>
    <row r="1940" spans="2:8" x14ac:dyDescent="0.3">
      <c r="B1940" s="69">
        <v>45646</v>
      </c>
      <c r="C1940" s="55">
        <v>6988.7</v>
      </c>
      <c r="D1940" s="70">
        <f t="shared" si="61"/>
        <v>7.2532160848363475E-2</v>
      </c>
      <c r="E1940" s="180">
        <v>-1.4009593679458265E-2</v>
      </c>
      <c r="G1940" s="78">
        <v>1938</v>
      </c>
      <c r="H1940" s="180">
        <f t="shared" ca="1" si="62"/>
        <v>-5.4729445738526021E-3</v>
      </c>
    </row>
    <row r="1941" spans="2:8" x14ac:dyDescent="0.3">
      <c r="B1941" s="69">
        <v>45609</v>
      </c>
      <c r="C1941" s="55">
        <v>6516.0749999999998</v>
      </c>
      <c r="D1941" s="70">
        <f t="shared" si="61"/>
        <v>2.182842837953352</v>
      </c>
      <c r="E1941" s="180">
        <v>-1.405291309512101E-2</v>
      </c>
      <c r="G1941" s="78">
        <v>1939</v>
      </c>
      <c r="H1941" s="180">
        <f t="shared" ca="1" si="62"/>
        <v>1.1271802550941793E-2</v>
      </c>
    </row>
    <row r="1942" spans="2:8" x14ac:dyDescent="0.3">
      <c r="B1942" s="69">
        <v>45173</v>
      </c>
      <c r="C1942" s="55">
        <v>2047.25</v>
      </c>
      <c r="D1942" s="70">
        <f t="shared" si="61"/>
        <v>-0.47369435839428253</v>
      </c>
      <c r="E1942" s="180">
        <v>-1.4074332703259087E-2</v>
      </c>
      <c r="G1942" s="78">
        <v>1940</v>
      </c>
      <c r="H1942" s="180">
        <f t="shared" ca="1" si="62"/>
        <v>2.1437121363644127E-3</v>
      </c>
    </row>
    <row r="1943" spans="2:8" x14ac:dyDescent="0.3">
      <c r="B1943" s="69">
        <v>46121</v>
      </c>
      <c r="C1943" s="55">
        <v>3889.85</v>
      </c>
      <c r="D1943" s="70">
        <f t="shared" si="61"/>
        <v>10.068003983496942</v>
      </c>
      <c r="E1943" s="180">
        <v>-1.4079687737618538E-2</v>
      </c>
      <c r="G1943" s="78">
        <v>1941</v>
      </c>
      <c r="H1943" s="180">
        <f t="shared" ca="1" si="62"/>
        <v>2.4909724869806856E-2</v>
      </c>
    </row>
    <row r="1944" spans="2:8" x14ac:dyDescent="0.3">
      <c r="B1944" s="69">
        <v>43504</v>
      </c>
      <c r="C1944" s="55">
        <v>351.45</v>
      </c>
      <c r="D1944" s="70">
        <f t="shared" si="61"/>
        <v>-0.58160714285714288</v>
      </c>
      <c r="E1944" s="180">
        <v>-1.4096360193562056E-2</v>
      </c>
      <c r="G1944" s="78">
        <v>1942</v>
      </c>
      <c r="H1944" s="180">
        <f t="shared" ca="1" si="62"/>
        <v>1.6091240465052069E-2</v>
      </c>
    </row>
    <row r="1945" spans="2:8" x14ac:dyDescent="0.3">
      <c r="B1945" s="69">
        <v>44272</v>
      </c>
      <c r="C1945" s="55">
        <v>840</v>
      </c>
      <c r="D1945" s="70">
        <f t="shared" si="61"/>
        <v>1.1198738170347002</v>
      </c>
      <c r="E1945" s="180">
        <v>-1.4113435638625733E-2</v>
      </c>
      <c r="G1945" s="78">
        <v>1943</v>
      </c>
      <c r="H1945" s="180">
        <f t="shared" ca="1" si="62"/>
        <v>1.0879158565764038E-2</v>
      </c>
    </row>
    <row r="1946" spans="2:8" x14ac:dyDescent="0.3">
      <c r="B1946" s="69">
        <v>43628</v>
      </c>
      <c r="C1946" s="55">
        <v>396.25</v>
      </c>
      <c r="D1946" s="70">
        <f t="shared" si="61"/>
        <v>-0.9173738974497988</v>
      </c>
      <c r="E1946" s="180">
        <v>-1.41195496672265E-2</v>
      </c>
      <c r="G1946" s="78">
        <v>1944</v>
      </c>
      <c r="H1946" s="180">
        <f t="shared" ca="1" si="62"/>
        <v>-3.7779551314111731E-3</v>
      </c>
    </row>
    <row r="1947" spans="2:8" x14ac:dyDescent="0.3">
      <c r="B1947" s="69">
        <v>45716</v>
      </c>
      <c r="C1947" s="55">
        <v>4795.7</v>
      </c>
      <c r="D1947" s="70">
        <f t="shared" si="61"/>
        <v>13.203168961942842</v>
      </c>
      <c r="E1947" s="180">
        <v>-1.4153416040538254E-2</v>
      </c>
      <c r="G1947" s="78">
        <v>1945</v>
      </c>
      <c r="H1947" s="180">
        <f t="shared" ca="1" si="62"/>
        <v>6.0425188898636543E-3</v>
      </c>
    </row>
    <row r="1948" spans="2:8" x14ac:dyDescent="0.3">
      <c r="B1948" s="69">
        <v>43511</v>
      </c>
      <c r="C1948" s="55">
        <v>337.65</v>
      </c>
      <c r="D1948" s="70">
        <f t="shared" si="61"/>
        <v>-0.9151633165829145</v>
      </c>
      <c r="E1948" s="180">
        <v>-1.4160583941605905E-2</v>
      </c>
      <c r="G1948" s="78">
        <v>1946</v>
      </c>
      <c r="H1948" s="180">
        <f t="shared" ca="1" si="62"/>
        <v>1.0694483871395148E-2</v>
      </c>
    </row>
    <row r="1949" spans="2:8" x14ac:dyDescent="0.3">
      <c r="B1949" s="69">
        <v>46031</v>
      </c>
      <c r="C1949" s="55">
        <v>3980</v>
      </c>
      <c r="D1949" s="70">
        <f t="shared" si="61"/>
        <v>-0.43844797178130512</v>
      </c>
      <c r="E1949" s="180">
        <v>-1.4180444609573349E-2</v>
      </c>
      <c r="G1949" s="78">
        <v>1947</v>
      </c>
      <c r="H1949" s="180">
        <f t="shared" ca="1" si="62"/>
        <v>4.2612511932361161E-3</v>
      </c>
    </row>
    <row r="1950" spans="2:8" x14ac:dyDescent="0.3">
      <c r="B1950" s="69">
        <v>45538</v>
      </c>
      <c r="C1950" s="55">
        <v>7087.5</v>
      </c>
      <c r="D1950" s="70">
        <f t="shared" si="61"/>
        <v>5.5128994463461138</v>
      </c>
      <c r="E1950" s="180">
        <v>-1.4194212433323391E-2</v>
      </c>
      <c r="G1950" s="78">
        <v>1948</v>
      </c>
      <c r="H1950" s="180">
        <f t="shared" ca="1" si="62"/>
        <v>-9.258120949554971E-3</v>
      </c>
    </row>
    <row r="1951" spans="2:8" x14ac:dyDescent="0.3">
      <c r="B1951" s="69">
        <v>44525</v>
      </c>
      <c r="C1951" s="55">
        <v>1088.2249999999999</v>
      </c>
      <c r="D1951" s="70">
        <f t="shared" si="61"/>
        <v>-7.400867937372356E-2</v>
      </c>
      <c r="E1951" s="180">
        <v>-1.4288949275362402E-2</v>
      </c>
      <c r="G1951" s="78">
        <v>1949</v>
      </c>
      <c r="H1951" s="180">
        <f t="shared" ca="1" si="62"/>
        <v>-4.0182524443618854E-2</v>
      </c>
    </row>
    <row r="1952" spans="2:8" x14ac:dyDescent="0.3">
      <c r="B1952" s="69">
        <v>44949</v>
      </c>
      <c r="C1952" s="55">
        <v>1175.1999999999998</v>
      </c>
      <c r="D1952" s="70">
        <f t="shared" si="61"/>
        <v>2.4113207547169808</v>
      </c>
      <c r="E1952" s="180">
        <v>-1.4300691968966392E-2</v>
      </c>
      <c r="G1952" s="78">
        <v>1950</v>
      </c>
      <c r="H1952" s="180">
        <f t="shared" ca="1" si="62"/>
        <v>-3.6892185007910186E-4</v>
      </c>
    </row>
    <row r="1953" spans="2:8" x14ac:dyDescent="0.3">
      <c r="B1953" s="69">
        <v>43178</v>
      </c>
      <c r="C1953" s="55">
        <v>344.5</v>
      </c>
      <c r="D1953" s="70">
        <f t="shared" si="61"/>
        <v>-0.9186723167176194</v>
      </c>
      <c r="E1953" s="180">
        <v>-1.4306151645207439E-2</v>
      </c>
      <c r="G1953" s="78">
        <v>1951</v>
      </c>
      <c r="H1953" s="180">
        <f t="shared" ca="1" si="62"/>
        <v>-1.0344550311504785E-2</v>
      </c>
    </row>
    <row r="1954" spans="2:8" x14ac:dyDescent="0.3">
      <c r="B1954" s="69">
        <v>46140</v>
      </c>
      <c r="C1954" s="55">
        <v>4235.95</v>
      </c>
      <c r="D1954" s="70">
        <f t="shared" si="61"/>
        <v>4.250797979484954</v>
      </c>
      <c r="E1954" s="180">
        <v>-1.4310812225854869E-2</v>
      </c>
      <c r="G1954" s="78">
        <v>1952</v>
      </c>
      <c r="H1954" s="180">
        <f t="shared" ca="1" si="62"/>
        <v>-1.3930005317262326E-2</v>
      </c>
    </row>
    <row r="1955" spans="2:8" x14ac:dyDescent="0.3">
      <c r="B1955" s="69">
        <v>44250</v>
      </c>
      <c r="C1955" s="55">
        <v>806.72500000000002</v>
      </c>
      <c r="D1955" s="70">
        <f t="shared" si="61"/>
        <v>1.2893934019155731</v>
      </c>
      <c r="E1955" s="180">
        <v>-1.4325859857046885E-2</v>
      </c>
      <c r="G1955" s="78">
        <v>1953</v>
      </c>
      <c r="H1955" s="180">
        <f t="shared" ca="1" si="62"/>
        <v>-1.7212895356183214E-2</v>
      </c>
    </row>
    <row r="1956" spans="2:8" x14ac:dyDescent="0.3">
      <c r="B1956" s="69">
        <v>43216</v>
      </c>
      <c r="C1956" s="55">
        <v>352.375</v>
      </c>
      <c r="D1956" s="70">
        <f t="shared" si="61"/>
        <v>-0.33435655253837071</v>
      </c>
      <c r="E1956" s="180">
        <v>-1.4335664335664336E-2</v>
      </c>
      <c r="G1956" s="78">
        <v>1954</v>
      </c>
      <c r="H1956" s="180">
        <f t="shared" ca="1" si="62"/>
        <v>1.0021712244656249E-2</v>
      </c>
    </row>
    <row r="1957" spans="2:8" x14ac:dyDescent="0.3">
      <c r="B1957" s="69">
        <v>43831</v>
      </c>
      <c r="C1957" s="55">
        <v>529.375</v>
      </c>
      <c r="D1957" s="70">
        <f t="shared" si="61"/>
        <v>-0.39675801948606915</v>
      </c>
      <c r="E1957" s="180">
        <v>-1.4336917562724098E-2</v>
      </c>
      <c r="G1957" s="78">
        <v>1955</v>
      </c>
      <c r="H1957" s="180">
        <f t="shared" ca="1" si="62"/>
        <v>-8.0590593325814072E-3</v>
      </c>
    </row>
    <row r="1958" spans="2:8" x14ac:dyDescent="0.3">
      <c r="B1958" s="69">
        <v>44424</v>
      </c>
      <c r="C1958" s="55">
        <v>877.55</v>
      </c>
      <c r="D1958" s="70">
        <f t="shared" si="61"/>
        <v>0.96760089686098649</v>
      </c>
      <c r="E1958" s="180">
        <v>-1.4348692893044777E-2</v>
      </c>
      <c r="G1958" s="78">
        <v>1956</v>
      </c>
      <c r="H1958" s="180">
        <f t="shared" ca="1" si="62"/>
        <v>-4.890247790968296E-4</v>
      </c>
    </row>
    <row r="1959" spans="2:8" x14ac:dyDescent="0.3">
      <c r="B1959" s="69">
        <v>43725</v>
      </c>
      <c r="C1959" s="55">
        <v>446</v>
      </c>
      <c r="D1959" s="70">
        <f t="shared" si="61"/>
        <v>0.28354557881861997</v>
      </c>
      <c r="E1959" s="180">
        <v>-1.4364640883977901E-2</v>
      </c>
      <c r="G1959" s="78">
        <v>1957</v>
      </c>
      <c r="H1959" s="180">
        <f t="shared" ca="1" si="62"/>
        <v>4.7826293395150141E-2</v>
      </c>
    </row>
    <row r="1960" spans="2:8" x14ac:dyDescent="0.3">
      <c r="B1960" s="69">
        <v>43208</v>
      </c>
      <c r="C1960" s="55">
        <v>347.47500000000002</v>
      </c>
      <c r="D1960" s="70">
        <f t="shared" si="61"/>
        <v>-0.82989217570098028</v>
      </c>
      <c r="E1960" s="180">
        <v>-1.4395121259395797E-2</v>
      </c>
      <c r="G1960" s="78">
        <v>1958</v>
      </c>
      <c r="H1960" s="180">
        <f t="shared" ca="1" si="62"/>
        <v>3.4773852753229107E-3</v>
      </c>
    </row>
    <row r="1961" spans="2:8" x14ac:dyDescent="0.3">
      <c r="B1961" s="69">
        <v>45182</v>
      </c>
      <c r="C1961" s="55">
        <v>2042.675</v>
      </c>
      <c r="D1961" s="70">
        <f t="shared" si="61"/>
        <v>1.0165107727239071</v>
      </c>
      <c r="E1961" s="180">
        <v>-1.4414610021471243E-2</v>
      </c>
      <c r="G1961" s="78">
        <v>1959</v>
      </c>
      <c r="H1961" s="180">
        <f t="shared" ca="1" si="62"/>
        <v>1.8364833268810592E-2</v>
      </c>
    </row>
    <row r="1962" spans="2:8" x14ac:dyDescent="0.3">
      <c r="B1962" s="69">
        <v>44452</v>
      </c>
      <c r="C1962" s="55">
        <v>1012.975</v>
      </c>
      <c r="D1962" s="70">
        <f t="shared" si="61"/>
        <v>0.18338200934579441</v>
      </c>
      <c r="E1962" s="180">
        <v>-1.4447984822318778E-2</v>
      </c>
      <c r="G1962" s="78">
        <v>1960</v>
      </c>
      <c r="H1962" s="180">
        <f t="shared" ca="1" si="62"/>
        <v>-5.4225603352917899E-3</v>
      </c>
    </row>
    <row r="1963" spans="2:8" x14ac:dyDescent="0.3">
      <c r="B1963" s="69">
        <v>44377</v>
      </c>
      <c r="C1963" s="55">
        <v>856</v>
      </c>
      <c r="D1963" s="70">
        <f t="shared" si="61"/>
        <v>0.25882352941176473</v>
      </c>
      <c r="E1963" s="180">
        <v>-1.4449369639053543E-2</v>
      </c>
      <c r="G1963" s="78">
        <v>1961</v>
      </c>
      <c r="H1963" s="180">
        <f t="shared" ca="1" si="62"/>
        <v>5.9266054818040495E-3</v>
      </c>
    </row>
    <row r="1964" spans="2:8" x14ac:dyDescent="0.3">
      <c r="B1964" s="69">
        <v>44209</v>
      </c>
      <c r="C1964" s="55">
        <v>680</v>
      </c>
      <c r="D1964" s="70">
        <f t="shared" si="61"/>
        <v>3.7534330180042756E-2</v>
      </c>
      <c r="E1964" s="180">
        <v>-1.4492753623188406E-2</v>
      </c>
      <c r="G1964" s="78">
        <v>1962</v>
      </c>
      <c r="H1964" s="180">
        <f t="shared" ca="1" si="62"/>
        <v>2.3457851487180263E-2</v>
      </c>
    </row>
    <row r="1965" spans="2:8" x14ac:dyDescent="0.3">
      <c r="B1965" s="69">
        <v>44123</v>
      </c>
      <c r="C1965" s="55">
        <v>655.4</v>
      </c>
      <c r="D1965" s="70">
        <f t="shared" si="61"/>
        <v>-0.23077374490185157</v>
      </c>
      <c r="E1965" s="180">
        <v>-1.4510187203969594E-2</v>
      </c>
      <c r="G1965" s="78">
        <v>1963</v>
      </c>
      <c r="H1965" s="180">
        <f t="shared" ca="1" si="62"/>
        <v>1.0997986948848182E-2</v>
      </c>
    </row>
    <row r="1966" spans="2:8" x14ac:dyDescent="0.3">
      <c r="B1966" s="69">
        <v>44271</v>
      </c>
      <c r="C1966" s="55">
        <v>852.02500000000009</v>
      </c>
      <c r="D1966" s="70">
        <f t="shared" si="61"/>
        <v>-0.29623970099324759</v>
      </c>
      <c r="E1966" s="180">
        <v>-1.4544297941244427E-2</v>
      </c>
      <c r="G1966" s="78">
        <v>1964</v>
      </c>
      <c r="H1966" s="180">
        <f t="shared" ca="1" si="62"/>
        <v>4.2266710009147826E-3</v>
      </c>
    </row>
    <row r="1967" spans="2:8" x14ac:dyDescent="0.3">
      <c r="B1967" s="69">
        <v>44959</v>
      </c>
      <c r="C1967" s="55">
        <v>1210.6750000000002</v>
      </c>
      <c r="D1967" s="70">
        <f t="shared" si="61"/>
        <v>-0.12777147385673882</v>
      </c>
      <c r="E1967" s="180">
        <v>-1.4569725088008353E-2</v>
      </c>
      <c r="G1967" s="78">
        <v>1965</v>
      </c>
      <c r="H1967" s="180">
        <f t="shared" ca="1" si="62"/>
        <v>-1.0444808732704593E-2</v>
      </c>
    </row>
    <row r="1968" spans="2:8" x14ac:dyDescent="0.3">
      <c r="B1968" s="69">
        <v>44916</v>
      </c>
      <c r="C1968" s="55">
        <v>1388.0250000000001</v>
      </c>
      <c r="D1968" s="70">
        <f t="shared" si="61"/>
        <v>0.26719769936549981</v>
      </c>
      <c r="E1968" s="180">
        <v>-1.4589212501996508E-2</v>
      </c>
      <c r="G1968" s="78">
        <v>1966</v>
      </c>
      <c r="H1968" s="180">
        <f t="shared" ca="1" si="62"/>
        <v>1.8937167023641541E-2</v>
      </c>
    </row>
    <row r="1969" spans="2:8" x14ac:dyDescent="0.3">
      <c r="B1969" s="69">
        <v>44490</v>
      </c>
      <c r="C1969" s="55">
        <v>1095.3499999999999</v>
      </c>
      <c r="D1969" s="70">
        <f t="shared" si="61"/>
        <v>0.20842871721322775</v>
      </c>
      <c r="E1969" s="180">
        <v>-1.4618567830154734E-2</v>
      </c>
      <c r="G1969" s="78">
        <v>1967</v>
      </c>
      <c r="H1969" s="180">
        <f t="shared" ca="1" si="62"/>
        <v>2.0783209322073604E-2</v>
      </c>
    </row>
    <row r="1970" spans="2:8" x14ac:dyDescent="0.3">
      <c r="B1970" s="69">
        <v>44260</v>
      </c>
      <c r="C1970" s="55">
        <v>906.42499999999995</v>
      </c>
      <c r="D1970" s="70">
        <f t="shared" si="61"/>
        <v>-0.17911157399021924</v>
      </c>
      <c r="E1970" s="180">
        <v>-1.4621551841282832E-2</v>
      </c>
      <c r="G1970" s="78">
        <v>1968</v>
      </c>
      <c r="H1970" s="180">
        <f t="shared" ca="1" si="62"/>
        <v>4.6999506626161675E-2</v>
      </c>
    </row>
    <row r="1971" spans="2:8" x14ac:dyDescent="0.3">
      <c r="B1971" s="69">
        <v>44624</v>
      </c>
      <c r="C1971" s="55">
        <v>1104.2</v>
      </c>
      <c r="D1971" s="70">
        <f t="shared" si="61"/>
        <v>3.792827936269224E-2</v>
      </c>
      <c r="E1971" s="180">
        <v>-1.4656999442275475E-2</v>
      </c>
      <c r="G1971" s="78">
        <v>1969</v>
      </c>
      <c r="H1971" s="180">
        <f t="shared" ca="1" si="62"/>
        <v>-5.1287899676040073E-3</v>
      </c>
    </row>
    <row r="1972" spans="2:8" x14ac:dyDescent="0.3">
      <c r="B1972" s="69">
        <v>44705</v>
      </c>
      <c r="C1972" s="55">
        <v>1063.8499999999999</v>
      </c>
      <c r="D1972" s="70">
        <f t="shared" si="61"/>
        <v>-0.83283312382149588</v>
      </c>
      <c r="E1972" s="180">
        <v>-1.46571885058004E-2</v>
      </c>
      <c r="G1972" s="78">
        <v>1970</v>
      </c>
      <c r="H1972" s="180">
        <f t="shared" ca="1" si="62"/>
        <v>-2.8154677734206615E-2</v>
      </c>
    </row>
    <row r="1973" spans="2:8" x14ac:dyDescent="0.3">
      <c r="B1973" s="69">
        <v>45614</v>
      </c>
      <c r="C1973" s="55">
        <v>6364</v>
      </c>
      <c r="D1973" s="70">
        <f t="shared" si="61"/>
        <v>9.5320645428216793</v>
      </c>
      <c r="E1973" s="180">
        <v>-1.4658579352576214E-2</v>
      </c>
      <c r="G1973" s="78">
        <v>1971</v>
      </c>
      <c r="H1973" s="180">
        <f t="shared" ca="1" si="62"/>
        <v>3.1791298129605169E-2</v>
      </c>
    </row>
    <row r="1974" spans="2:8" x14ac:dyDescent="0.3">
      <c r="B1974" s="69">
        <v>44034</v>
      </c>
      <c r="C1974" s="55">
        <v>604.25</v>
      </c>
      <c r="D1974" s="70">
        <f t="shared" si="61"/>
        <v>-0.86116217085611879</v>
      </c>
      <c r="E1974" s="180">
        <v>-1.4675907052588666E-2</v>
      </c>
      <c r="G1974" s="78">
        <v>1972</v>
      </c>
      <c r="H1974" s="180">
        <f t="shared" ca="1" si="62"/>
        <v>1.6670244398847265E-2</v>
      </c>
    </row>
    <row r="1975" spans="2:8" x14ac:dyDescent="0.3">
      <c r="B1975" s="69">
        <v>46135</v>
      </c>
      <c r="C1975" s="55">
        <v>4352.2</v>
      </c>
      <c r="D1975" s="70">
        <f t="shared" si="61"/>
        <v>7.0317416378316029</v>
      </c>
      <c r="E1975" s="180">
        <v>-1.4737509338283649E-2</v>
      </c>
      <c r="G1975" s="78">
        <v>1973</v>
      </c>
      <c r="H1975" s="180">
        <f t="shared" ca="1" si="62"/>
        <v>2.1448480431001941E-2</v>
      </c>
    </row>
    <row r="1976" spans="2:8" x14ac:dyDescent="0.3">
      <c r="B1976" s="69">
        <v>43773</v>
      </c>
      <c r="C1976" s="55">
        <v>541.875</v>
      </c>
      <c r="D1976" s="70">
        <f t="shared" si="61"/>
        <v>0.67064899028826874</v>
      </c>
      <c r="E1976" s="180">
        <v>-1.4772727272727272E-2</v>
      </c>
      <c r="G1976" s="78">
        <v>1974</v>
      </c>
      <c r="H1976" s="180">
        <f t="shared" ca="1" si="62"/>
        <v>1.9156167115064879E-2</v>
      </c>
    </row>
    <row r="1977" spans="2:8" x14ac:dyDescent="0.3">
      <c r="B1977" s="69">
        <v>43304</v>
      </c>
      <c r="C1977" s="55">
        <v>324.35000000000002</v>
      </c>
      <c r="D1977" s="70">
        <f t="shared" si="61"/>
        <v>-0.93761300250048074</v>
      </c>
      <c r="E1977" s="180">
        <v>-1.4807502467917077E-2</v>
      </c>
      <c r="G1977" s="78">
        <v>1975</v>
      </c>
      <c r="H1977" s="180">
        <f t="shared" ca="1" si="62"/>
        <v>8.808057339516848E-3</v>
      </c>
    </row>
    <row r="1978" spans="2:8" x14ac:dyDescent="0.3">
      <c r="B1978" s="69">
        <v>45779</v>
      </c>
      <c r="C1978" s="55">
        <v>5199</v>
      </c>
      <c r="D1978" s="70">
        <f t="shared" si="61"/>
        <v>4.241059502507623</v>
      </c>
      <c r="E1978" s="180">
        <v>-1.4874467077214589E-2</v>
      </c>
      <c r="G1978" s="78">
        <v>1976</v>
      </c>
      <c r="H1978" s="180">
        <f t="shared" ca="1" si="62"/>
        <v>-5.2284396289371008E-3</v>
      </c>
    </row>
    <row r="1979" spans="2:8" x14ac:dyDescent="0.3">
      <c r="B1979" s="69">
        <v>44468</v>
      </c>
      <c r="C1979" s="55">
        <v>991.97500000000002</v>
      </c>
      <c r="D1979" s="70">
        <f t="shared" si="61"/>
        <v>1.7547209108580948</v>
      </c>
      <c r="E1979" s="180">
        <v>-1.4896099704560689E-2</v>
      </c>
      <c r="G1979" s="78">
        <v>1977</v>
      </c>
      <c r="H1979" s="180">
        <f t="shared" ca="1" si="62"/>
        <v>2.5956293195505912E-2</v>
      </c>
    </row>
    <row r="1980" spans="2:8" x14ac:dyDescent="0.3">
      <c r="B1980" s="69">
        <v>43200</v>
      </c>
      <c r="C1980" s="55">
        <v>360.1</v>
      </c>
      <c r="D1980" s="70">
        <f t="shared" si="61"/>
        <v>-0.82761261908181349</v>
      </c>
      <c r="E1980" s="180">
        <v>-1.4909041170838432E-2</v>
      </c>
      <c r="G1980" s="78">
        <v>1978</v>
      </c>
      <c r="H1980" s="180">
        <f t="shared" ca="1" si="62"/>
        <v>1.2046677727005321E-2</v>
      </c>
    </row>
    <row r="1981" spans="2:8" x14ac:dyDescent="0.3">
      <c r="B1981" s="69">
        <v>45197</v>
      </c>
      <c r="C1981" s="55">
        <v>2088.9</v>
      </c>
      <c r="D1981" s="70">
        <f t="shared" si="61"/>
        <v>5.2318019093078751</v>
      </c>
      <c r="E1981" s="180">
        <v>-1.4913759564258638E-2</v>
      </c>
      <c r="G1981" s="78">
        <v>1979</v>
      </c>
      <c r="H1981" s="180">
        <f t="shared" ca="1" si="62"/>
        <v>1.8696937246803491E-2</v>
      </c>
    </row>
    <row r="1982" spans="2:8" x14ac:dyDescent="0.3">
      <c r="B1982" s="69">
        <v>43070</v>
      </c>
      <c r="C1982" s="55">
        <v>335.20000000000005</v>
      </c>
      <c r="D1982" s="70">
        <f t="shared" si="61"/>
        <v>-5.9747545582047555E-2</v>
      </c>
      <c r="E1982" s="180">
        <v>-1.4986776373787734E-2</v>
      </c>
      <c r="G1982" s="78">
        <v>1980</v>
      </c>
      <c r="H1982" s="180">
        <f t="shared" ca="1" si="62"/>
        <v>-1.1904314727608433E-3</v>
      </c>
    </row>
    <row r="1983" spans="2:8" x14ac:dyDescent="0.3">
      <c r="B1983" s="69">
        <v>43361</v>
      </c>
      <c r="C1983" s="55">
        <v>356.5</v>
      </c>
      <c r="D1983" s="70">
        <f t="shared" si="61"/>
        <v>9.1298691359914447E-2</v>
      </c>
      <c r="E1983" s="180">
        <v>-1.49892933618844E-2</v>
      </c>
      <c r="G1983" s="78">
        <v>1981</v>
      </c>
      <c r="H1983" s="180">
        <f t="shared" ca="1" si="62"/>
        <v>-1.7127294886298765E-2</v>
      </c>
    </row>
    <row r="1984" spans="2:8" x14ac:dyDescent="0.3">
      <c r="B1984" s="69">
        <v>43382</v>
      </c>
      <c r="C1984" s="55">
        <v>326.67499999999995</v>
      </c>
      <c r="D1984" s="70">
        <f t="shared" si="61"/>
        <v>-0.91745889368260813</v>
      </c>
      <c r="E1984" s="180">
        <v>-1.5000753806724025E-2</v>
      </c>
      <c r="G1984" s="78">
        <v>1982</v>
      </c>
      <c r="H1984" s="180">
        <f t="shared" ca="1" si="62"/>
        <v>1.2834249523147802E-2</v>
      </c>
    </row>
    <row r="1985" spans="2:8" x14ac:dyDescent="0.3">
      <c r="B1985" s="69">
        <v>45364</v>
      </c>
      <c r="C1985" s="55">
        <v>3957.7249999999999</v>
      </c>
      <c r="D1985" s="70">
        <f t="shared" si="61"/>
        <v>1.6751778562617234</v>
      </c>
      <c r="E1985" s="180">
        <v>-1.5019630046726334E-2</v>
      </c>
      <c r="G1985" s="78">
        <v>1983</v>
      </c>
      <c r="H1985" s="180">
        <f t="shared" ca="1" si="62"/>
        <v>-2.5534602276787648E-2</v>
      </c>
    </row>
    <row r="1986" spans="2:8" x14ac:dyDescent="0.3">
      <c r="B1986" s="69">
        <v>44875</v>
      </c>
      <c r="C1986" s="55">
        <v>1479.425</v>
      </c>
      <c r="D1986" s="70">
        <f t="shared" si="61"/>
        <v>3.2912980420594633</v>
      </c>
      <c r="E1986" s="180">
        <v>-1.5046354088647082E-2</v>
      </c>
      <c r="G1986" s="78">
        <v>1984</v>
      </c>
      <c r="H1986" s="180">
        <f t="shared" ca="1" si="62"/>
        <v>-2.1216928688780549E-2</v>
      </c>
    </row>
    <row r="1987" spans="2:8" x14ac:dyDescent="0.3">
      <c r="B1987" s="69">
        <v>43312</v>
      </c>
      <c r="C1987" s="55">
        <v>344.75</v>
      </c>
      <c r="D1987" s="70">
        <f t="shared" ref="D1987:D2050" si="63">(C1987-C1988)/C1988</f>
        <v>-0.66821451772008755</v>
      </c>
      <c r="E1987" s="180">
        <v>-1.5070352117705814E-2</v>
      </c>
      <c r="G1987" s="78">
        <v>1985</v>
      </c>
      <c r="H1987" s="180">
        <f t="shared" ca="1" si="62"/>
        <v>-3.2747902623210187E-2</v>
      </c>
    </row>
    <row r="1988" spans="2:8" x14ac:dyDescent="0.3">
      <c r="B1988" s="69">
        <v>44473</v>
      </c>
      <c r="C1988" s="55">
        <v>1039.075</v>
      </c>
      <c r="D1988" s="70">
        <f t="shared" si="63"/>
        <v>1.3047022291227681</v>
      </c>
      <c r="E1988" s="180">
        <v>-1.5094786729857777E-2</v>
      </c>
      <c r="G1988" s="78">
        <v>1986</v>
      </c>
      <c r="H1988" s="180">
        <f t="shared" ref="H1988:H2051" ca="1" si="64">_xlfn.NORM.INV(RAND(),$N$4,$N$5)</f>
        <v>3.1092021295482882E-2</v>
      </c>
    </row>
    <row r="1989" spans="2:8" x14ac:dyDescent="0.3">
      <c r="B1989" s="69">
        <v>43963</v>
      </c>
      <c r="C1989" s="55">
        <v>450.85</v>
      </c>
      <c r="D1989" s="70">
        <f t="shared" si="63"/>
        <v>0.35086142322097386</v>
      </c>
      <c r="E1989" s="180">
        <v>-1.5127518977663601E-2</v>
      </c>
      <c r="G1989" s="78">
        <v>1987</v>
      </c>
      <c r="H1989" s="180">
        <f t="shared" ca="1" si="64"/>
        <v>1.4888582625866901E-2</v>
      </c>
    </row>
    <row r="1990" spans="2:8" x14ac:dyDescent="0.3">
      <c r="B1990" s="69">
        <v>43238</v>
      </c>
      <c r="C1990" s="55">
        <v>333.75</v>
      </c>
      <c r="D1990" s="70">
        <f t="shared" si="63"/>
        <v>7.4962518740629683E-4</v>
      </c>
      <c r="E1990" s="180">
        <v>-1.5196223074653225E-2</v>
      </c>
      <c r="G1990" s="78">
        <v>1988</v>
      </c>
      <c r="H1990" s="180">
        <f t="shared" ca="1" si="64"/>
        <v>6.5002496932901185E-3</v>
      </c>
    </row>
    <row r="1991" spans="2:8" x14ac:dyDescent="0.3">
      <c r="B1991" s="69">
        <v>43298</v>
      </c>
      <c r="C1991" s="55">
        <v>333.5</v>
      </c>
      <c r="D1991" s="70">
        <f t="shared" si="63"/>
        <v>-5.0533807829181494E-2</v>
      </c>
      <c r="E1991" s="180">
        <v>-1.5207441311088078E-2</v>
      </c>
      <c r="G1991" s="78">
        <v>1989</v>
      </c>
      <c r="H1991" s="180">
        <f t="shared" ca="1" si="64"/>
        <v>3.1228403171060248E-2</v>
      </c>
    </row>
    <row r="1992" spans="2:8" x14ac:dyDescent="0.3">
      <c r="B1992" s="69">
        <v>43468</v>
      </c>
      <c r="C1992" s="55">
        <v>351.25</v>
      </c>
      <c r="D1992" s="70">
        <f t="shared" si="63"/>
        <v>-0.39137968377734461</v>
      </c>
      <c r="E1992" s="180">
        <v>-1.520992500175217E-2</v>
      </c>
      <c r="G1992" s="78">
        <v>1990</v>
      </c>
      <c r="H1992" s="180">
        <f t="shared" ca="1" si="64"/>
        <v>-1.0673572844272271E-2</v>
      </c>
    </row>
    <row r="1993" spans="2:8" x14ac:dyDescent="0.3">
      <c r="B1993" s="69">
        <v>43857</v>
      </c>
      <c r="C1993" s="55">
        <v>577.125</v>
      </c>
      <c r="D1993" s="70">
        <f t="shared" si="63"/>
        <v>-0.1323385702473126</v>
      </c>
      <c r="E1993" s="180">
        <v>-1.5229076017404582E-2</v>
      </c>
      <c r="G1993" s="78">
        <v>1991</v>
      </c>
      <c r="H1993" s="180">
        <f t="shared" ca="1" si="64"/>
        <v>2.3997761459947555E-2</v>
      </c>
    </row>
    <row r="1994" spans="2:8" x14ac:dyDescent="0.3">
      <c r="B1994" s="69">
        <v>44134</v>
      </c>
      <c r="C1994" s="55">
        <v>665.15</v>
      </c>
      <c r="D1994" s="70">
        <f t="shared" si="63"/>
        <v>-0.8814507864367509</v>
      </c>
      <c r="E1994" s="180">
        <v>-1.5358424928759114E-2</v>
      </c>
      <c r="G1994" s="78">
        <v>1992</v>
      </c>
      <c r="H1994" s="180">
        <f t="shared" ca="1" si="64"/>
        <v>-9.996868171696191E-3</v>
      </c>
    </row>
    <row r="1995" spans="2:8" x14ac:dyDescent="0.3">
      <c r="B1995" s="69">
        <v>45681</v>
      </c>
      <c r="C1995" s="55">
        <v>5610.75</v>
      </c>
      <c r="D1995" s="70">
        <f t="shared" si="63"/>
        <v>2.3579312232053271E-2</v>
      </c>
      <c r="E1995" s="180">
        <v>-1.5441982890984866E-2</v>
      </c>
      <c r="G1995" s="78">
        <v>1993</v>
      </c>
      <c r="H1995" s="180">
        <f t="shared" ca="1" si="64"/>
        <v>1.3758834226609553E-2</v>
      </c>
    </row>
    <row r="1996" spans="2:8" x14ac:dyDescent="0.3">
      <c r="B1996" s="69">
        <v>45845</v>
      </c>
      <c r="C1996" s="55">
        <v>5481.5</v>
      </c>
      <c r="D1996" s="70">
        <f t="shared" si="63"/>
        <v>19.688809209284774</v>
      </c>
      <c r="E1996" s="180">
        <v>-1.5446789402784015E-2</v>
      </c>
      <c r="G1996" s="78">
        <v>1994</v>
      </c>
      <c r="H1996" s="180">
        <f t="shared" ca="1" si="64"/>
        <v>-3.1495965399930936E-2</v>
      </c>
    </row>
    <row r="1997" spans="2:8" x14ac:dyDescent="0.3">
      <c r="B1997" s="69">
        <v>42958</v>
      </c>
      <c r="C1997" s="55">
        <v>264.95</v>
      </c>
      <c r="D1997" s="70">
        <f t="shared" si="63"/>
        <v>-0.5453843514070007</v>
      </c>
      <c r="E1997" s="180">
        <v>-1.5513237343242029E-2</v>
      </c>
      <c r="G1997" s="78">
        <v>1995</v>
      </c>
      <c r="H1997" s="180">
        <f t="shared" ca="1" si="64"/>
        <v>3.3881830366790304E-3</v>
      </c>
    </row>
    <row r="1998" spans="2:8" x14ac:dyDescent="0.3">
      <c r="B1998" s="69">
        <v>43847</v>
      </c>
      <c r="C1998" s="55">
        <v>582.79999999999995</v>
      </c>
      <c r="D1998" s="70">
        <f t="shared" si="63"/>
        <v>-0.507562315166878</v>
      </c>
      <c r="E1998" s="180">
        <v>-1.5540540540540618E-2</v>
      </c>
      <c r="G1998" s="78">
        <v>1996</v>
      </c>
      <c r="H1998" s="180">
        <f t="shared" ca="1" si="64"/>
        <v>-1.5020990244434205E-2</v>
      </c>
    </row>
    <row r="1999" spans="2:8" x14ac:dyDescent="0.3">
      <c r="B1999" s="69">
        <v>44953</v>
      </c>
      <c r="C1999" s="55">
        <v>1183.5</v>
      </c>
      <c r="D1999" s="70">
        <f t="shared" si="63"/>
        <v>-0.41136242119791605</v>
      </c>
      <c r="E1999" s="180">
        <v>-1.5616227568567998E-2</v>
      </c>
      <c r="G1999" s="78">
        <v>1997</v>
      </c>
      <c r="H1999" s="180">
        <f t="shared" ca="1" si="64"/>
        <v>8.1118071945844097E-3</v>
      </c>
    </row>
    <row r="2000" spans="2:8" x14ac:dyDescent="0.3">
      <c r="B2000" s="69">
        <v>45222</v>
      </c>
      <c r="C2000" s="55">
        <v>2010.575</v>
      </c>
      <c r="D2000" s="70">
        <f t="shared" si="63"/>
        <v>3.3920594178362737</v>
      </c>
      <c r="E2000" s="180">
        <v>-1.5630354957160319E-2</v>
      </c>
      <c r="G2000" s="78">
        <v>1998</v>
      </c>
      <c r="H2000" s="180">
        <f t="shared" ca="1" si="64"/>
        <v>1.4758990888687462E-2</v>
      </c>
    </row>
    <row r="2001" spans="2:8" x14ac:dyDescent="0.3">
      <c r="B2001" s="69">
        <v>43962</v>
      </c>
      <c r="C2001" s="55">
        <v>457.77499999999998</v>
      </c>
      <c r="D2001" s="70">
        <f t="shared" si="63"/>
        <v>-0.63146560399307661</v>
      </c>
      <c r="E2001" s="180">
        <v>-1.5643479195785473E-2</v>
      </c>
      <c r="G2001" s="78">
        <v>1999</v>
      </c>
      <c r="H2001" s="180">
        <f t="shared" ca="1" si="64"/>
        <v>3.4782830682325034E-3</v>
      </c>
    </row>
    <row r="2002" spans="2:8" x14ac:dyDescent="0.3">
      <c r="B2002" s="69">
        <v>44664</v>
      </c>
      <c r="C2002" s="55">
        <v>1242.1500000000001</v>
      </c>
      <c r="D2002" s="70">
        <f t="shared" si="63"/>
        <v>-0.76823397705009799</v>
      </c>
      <c r="E2002" s="180">
        <v>-1.5651002456613043E-2</v>
      </c>
      <c r="G2002" s="78">
        <v>2000</v>
      </c>
      <c r="H2002" s="180">
        <f t="shared" ca="1" si="64"/>
        <v>1.425589950852367E-2</v>
      </c>
    </row>
    <row r="2003" spans="2:8" x14ac:dyDescent="0.3">
      <c r="B2003" s="69">
        <v>45895</v>
      </c>
      <c r="C2003" s="55">
        <v>5359.5</v>
      </c>
      <c r="D2003" s="70">
        <f t="shared" si="63"/>
        <v>5.6532731421474573E-2</v>
      </c>
      <c r="E2003" s="180">
        <v>-1.565728454015336E-2</v>
      </c>
      <c r="G2003" s="78">
        <v>2001</v>
      </c>
      <c r="H2003" s="180">
        <f t="shared" ca="1" si="64"/>
        <v>2.9192128904511985E-3</v>
      </c>
    </row>
    <row r="2004" spans="2:8" x14ac:dyDescent="0.3">
      <c r="B2004" s="69">
        <v>45722</v>
      </c>
      <c r="C2004" s="55">
        <v>5072.7250000000004</v>
      </c>
      <c r="D2004" s="70">
        <f t="shared" si="63"/>
        <v>13.239228070175439</v>
      </c>
      <c r="E2004" s="180">
        <v>-1.5673813912874673E-2</v>
      </c>
      <c r="G2004" s="78">
        <v>2002</v>
      </c>
      <c r="H2004" s="180">
        <f t="shared" ca="1" si="64"/>
        <v>5.0114624814618113E-2</v>
      </c>
    </row>
    <row r="2005" spans="2:8" x14ac:dyDescent="0.3">
      <c r="B2005" s="69">
        <v>43489</v>
      </c>
      <c r="C2005" s="55">
        <v>356.25</v>
      </c>
      <c r="D2005" s="70">
        <f t="shared" si="63"/>
        <v>-8.5952533675432971E-2</v>
      </c>
      <c r="E2005" s="180">
        <v>-1.5680044208054029E-2</v>
      </c>
      <c r="G2005" s="78">
        <v>2003</v>
      </c>
      <c r="H2005" s="180">
        <f t="shared" ca="1" si="64"/>
        <v>1.8283864376715378E-2</v>
      </c>
    </row>
    <row r="2006" spans="2:8" x14ac:dyDescent="0.3">
      <c r="B2006" s="69">
        <v>43633</v>
      </c>
      <c r="C2006" s="55">
        <v>389.75</v>
      </c>
      <c r="D2006" s="70">
        <f t="shared" si="63"/>
        <v>-0.17338282078472958</v>
      </c>
      <c r="E2006" s="180">
        <v>-1.5720689437464543E-2</v>
      </c>
      <c r="G2006" s="78">
        <v>2004</v>
      </c>
      <c r="H2006" s="180">
        <f t="shared" ca="1" si="64"/>
        <v>-4.1817438458261989E-3</v>
      </c>
    </row>
    <row r="2007" spans="2:8" x14ac:dyDescent="0.3">
      <c r="B2007" s="69">
        <v>43699</v>
      </c>
      <c r="C2007" s="55">
        <v>471.5</v>
      </c>
      <c r="D2007" s="70">
        <f t="shared" si="63"/>
        <v>-0.56263624136171797</v>
      </c>
      <c r="E2007" s="180">
        <v>-1.5760359043941158E-2</v>
      </c>
      <c r="G2007" s="78">
        <v>2005</v>
      </c>
      <c r="H2007" s="180">
        <f t="shared" ca="1" si="64"/>
        <v>-1.9701610633846602E-2</v>
      </c>
    </row>
    <row r="2008" spans="2:8" x14ac:dyDescent="0.3">
      <c r="B2008" s="69">
        <v>44491</v>
      </c>
      <c r="C2008" s="55">
        <v>1078.0500000000002</v>
      </c>
      <c r="D2008" s="70">
        <f t="shared" si="63"/>
        <v>-0.72342445194145488</v>
      </c>
      <c r="E2008" s="180">
        <v>-1.5794038435203113E-2</v>
      </c>
      <c r="G2008" s="78">
        <v>2006</v>
      </c>
      <c r="H2008" s="180">
        <f t="shared" ca="1" si="64"/>
        <v>-2.5264624159276348E-2</v>
      </c>
    </row>
    <row r="2009" spans="2:8" x14ac:dyDescent="0.3">
      <c r="B2009" s="69">
        <v>45344</v>
      </c>
      <c r="C2009" s="55">
        <v>3897.85</v>
      </c>
      <c r="D2009" s="70">
        <f t="shared" si="63"/>
        <v>2.8626994351402244</v>
      </c>
      <c r="E2009" s="180">
        <v>-1.5806284639371768E-2</v>
      </c>
      <c r="G2009" s="78">
        <v>2007</v>
      </c>
      <c r="H2009" s="180">
        <f t="shared" ca="1" si="64"/>
        <v>2.8322092583436181E-2</v>
      </c>
    </row>
    <row r="2010" spans="2:8" x14ac:dyDescent="0.3">
      <c r="B2010" s="69">
        <v>44536</v>
      </c>
      <c r="C2010" s="55">
        <v>1009.0999999999999</v>
      </c>
      <c r="D2010" s="70">
        <f t="shared" si="63"/>
        <v>1.3145822581570041</v>
      </c>
      <c r="E2010" s="180">
        <v>-1.5848246940069245E-2</v>
      </c>
      <c r="G2010" s="78">
        <v>2008</v>
      </c>
      <c r="H2010" s="180">
        <f t="shared" ca="1" si="64"/>
        <v>2.2155146872632338E-2</v>
      </c>
    </row>
    <row r="2011" spans="2:8" x14ac:dyDescent="0.3">
      <c r="B2011" s="69">
        <v>43685</v>
      </c>
      <c r="C2011" s="55">
        <v>435.97500000000002</v>
      </c>
      <c r="D2011" s="70">
        <f t="shared" si="63"/>
        <v>-0.52208824335434367</v>
      </c>
      <c r="E2011" s="180">
        <v>-1.5857787810383696E-2</v>
      </c>
      <c r="G2011" s="78">
        <v>2009</v>
      </c>
      <c r="H2011" s="180">
        <f t="shared" ca="1" si="64"/>
        <v>2.4455539145128057E-2</v>
      </c>
    </row>
    <row r="2012" spans="2:8" x14ac:dyDescent="0.3">
      <c r="B2012" s="69">
        <v>44386</v>
      </c>
      <c r="C2012" s="55">
        <v>912.25</v>
      </c>
      <c r="D2012" s="70">
        <f t="shared" si="63"/>
        <v>-0.8300260853363145</v>
      </c>
      <c r="E2012" s="180">
        <v>-1.5885002292402733E-2</v>
      </c>
      <c r="G2012" s="78">
        <v>2010</v>
      </c>
      <c r="H2012" s="180">
        <f t="shared" ca="1" si="64"/>
        <v>-5.9960116147022582E-4</v>
      </c>
    </row>
    <row r="2013" spans="2:8" x14ac:dyDescent="0.3">
      <c r="B2013" s="69">
        <v>45799</v>
      </c>
      <c r="C2013" s="55">
        <v>5367</v>
      </c>
      <c r="D2013" s="70">
        <f t="shared" si="63"/>
        <v>13.204989082247073</v>
      </c>
      <c r="E2013" s="180">
        <v>-1.5906486362594546E-2</v>
      </c>
      <c r="G2013" s="78">
        <v>2011</v>
      </c>
      <c r="H2013" s="180">
        <f t="shared" ca="1" si="64"/>
        <v>2.9424838202433152E-3</v>
      </c>
    </row>
    <row r="2014" spans="2:8" x14ac:dyDescent="0.3">
      <c r="B2014" s="69">
        <v>43543</v>
      </c>
      <c r="C2014" s="55">
        <v>377.82499999999999</v>
      </c>
      <c r="D2014" s="70">
        <f t="shared" si="63"/>
        <v>-0.92840053629718067</v>
      </c>
      <c r="E2014" s="180">
        <v>-1.6016667751806848E-2</v>
      </c>
      <c r="G2014" s="78">
        <v>2012</v>
      </c>
      <c r="H2014" s="180">
        <f t="shared" ca="1" si="64"/>
        <v>-3.5953993064387658E-2</v>
      </c>
    </row>
    <row r="2015" spans="2:8" x14ac:dyDescent="0.3">
      <c r="B2015" s="69">
        <v>45464</v>
      </c>
      <c r="C2015" s="55">
        <v>5276.9250000000002</v>
      </c>
      <c r="D2015" s="70">
        <f t="shared" si="63"/>
        <v>-0.23922782761640787</v>
      </c>
      <c r="E2015" s="180">
        <v>-1.6146097948643749E-2</v>
      </c>
      <c r="G2015" s="78">
        <v>2013</v>
      </c>
      <c r="H2015" s="180">
        <f t="shared" ca="1" si="64"/>
        <v>1.5213657080697064E-2</v>
      </c>
    </row>
    <row r="2016" spans="2:8" x14ac:dyDescent="0.3">
      <c r="B2016" s="69">
        <v>45601</v>
      </c>
      <c r="C2016" s="55">
        <v>6936.2749999999996</v>
      </c>
      <c r="D2016" s="70">
        <f t="shared" si="63"/>
        <v>0.84499933501795443</v>
      </c>
      <c r="E2016" s="180">
        <v>-1.6152138606979994E-2</v>
      </c>
      <c r="G2016" s="78">
        <v>2014</v>
      </c>
      <c r="H2016" s="180">
        <f t="shared" ca="1" si="64"/>
        <v>-9.2631086748187659E-3</v>
      </c>
    </row>
    <row r="2017" spans="2:8" x14ac:dyDescent="0.3">
      <c r="B2017" s="69">
        <v>46085</v>
      </c>
      <c r="C2017" s="55">
        <v>3759.5</v>
      </c>
      <c r="D2017" s="70">
        <f t="shared" si="63"/>
        <v>10.562355835768107</v>
      </c>
      <c r="E2017" s="180">
        <v>-1.617250673854452E-2</v>
      </c>
      <c r="G2017" s="78">
        <v>2015</v>
      </c>
      <c r="H2017" s="180">
        <f t="shared" ca="1" si="64"/>
        <v>6.118899407299417E-3</v>
      </c>
    </row>
    <row r="2018" spans="2:8" x14ac:dyDescent="0.3">
      <c r="B2018" s="69">
        <v>43255</v>
      </c>
      <c r="C2018" s="55">
        <v>325.14999999999998</v>
      </c>
      <c r="D2018" s="70">
        <f t="shared" si="63"/>
        <v>-0.6971404619970194</v>
      </c>
      <c r="E2018" s="180">
        <v>-1.6187594553706573E-2</v>
      </c>
      <c r="G2018" s="78">
        <v>2016</v>
      </c>
      <c r="H2018" s="180">
        <f t="shared" ca="1" si="64"/>
        <v>-1.3696194838342668E-2</v>
      </c>
    </row>
    <row r="2019" spans="2:8" x14ac:dyDescent="0.3">
      <c r="B2019" s="69">
        <v>44743</v>
      </c>
      <c r="C2019" s="55">
        <v>1073.5999999999999</v>
      </c>
      <c r="D2019" s="70">
        <f t="shared" si="63"/>
        <v>2.4276377217552839E-3</v>
      </c>
      <c r="E2019" s="180">
        <v>-1.6196650706742279E-2</v>
      </c>
      <c r="G2019" s="78">
        <v>2017</v>
      </c>
      <c r="H2019" s="180">
        <f t="shared" ca="1" si="64"/>
        <v>-2.6432802683085434E-2</v>
      </c>
    </row>
    <row r="2020" spans="2:8" x14ac:dyDescent="0.3">
      <c r="B2020" s="69">
        <v>44596</v>
      </c>
      <c r="C2020" s="55">
        <v>1071</v>
      </c>
      <c r="D2020" s="70">
        <f t="shared" si="63"/>
        <v>2.2454545454545456</v>
      </c>
      <c r="E2020" s="180">
        <v>-1.6235331940202498E-2</v>
      </c>
      <c r="G2020" s="78">
        <v>2018</v>
      </c>
      <c r="H2020" s="180">
        <f t="shared" ca="1" si="64"/>
        <v>-3.1268822493965995E-2</v>
      </c>
    </row>
    <row r="2021" spans="2:8" x14ac:dyDescent="0.3">
      <c r="B2021" s="69">
        <v>43081</v>
      </c>
      <c r="C2021" s="55">
        <v>330</v>
      </c>
      <c r="D2021" s="70">
        <f t="shared" si="63"/>
        <v>-0.91442796390415937</v>
      </c>
      <c r="E2021" s="180">
        <v>-1.6246832612908001E-2</v>
      </c>
      <c r="G2021" s="78">
        <v>2019</v>
      </c>
      <c r="H2021" s="180">
        <f t="shared" ca="1" si="64"/>
        <v>1.1819367107577356E-2</v>
      </c>
    </row>
    <row r="2022" spans="2:8" x14ac:dyDescent="0.3">
      <c r="B2022" s="69">
        <v>46125</v>
      </c>
      <c r="C2022" s="55">
        <v>3856.4</v>
      </c>
      <c r="D2022" s="70">
        <f t="shared" si="63"/>
        <v>9.1853557689791192E-3</v>
      </c>
      <c r="E2022" s="180">
        <v>-1.6262132826550004E-2</v>
      </c>
      <c r="G2022" s="78">
        <v>2020</v>
      </c>
      <c r="H2022" s="180">
        <f t="shared" ca="1" si="64"/>
        <v>-1.3795976680489343E-2</v>
      </c>
    </row>
    <row r="2023" spans="2:8" x14ac:dyDescent="0.3">
      <c r="B2023" s="69">
        <v>46083</v>
      </c>
      <c r="C2023" s="55">
        <v>3821.3</v>
      </c>
      <c r="D2023" s="70">
        <f t="shared" si="63"/>
        <v>0.85427989130434778</v>
      </c>
      <c r="E2023" s="180">
        <v>-1.639639639639635E-2</v>
      </c>
      <c r="G2023" s="78">
        <v>2021</v>
      </c>
      <c r="H2023" s="180">
        <f t="shared" ca="1" si="64"/>
        <v>1.0461772339594487E-2</v>
      </c>
    </row>
    <row r="2024" spans="2:8" x14ac:dyDescent="0.3">
      <c r="B2024" s="69">
        <v>45217</v>
      </c>
      <c r="C2024" s="55">
        <v>2060.8000000000002</v>
      </c>
      <c r="D2024" s="70">
        <f t="shared" si="63"/>
        <v>5.0741286566944224</v>
      </c>
      <c r="E2024" s="180">
        <v>-1.6488892070537012E-2</v>
      </c>
      <c r="G2024" s="78">
        <v>2022</v>
      </c>
      <c r="H2024" s="180">
        <f t="shared" ca="1" si="64"/>
        <v>9.54589406580841E-3</v>
      </c>
    </row>
    <row r="2025" spans="2:8" x14ac:dyDescent="0.3">
      <c r="B2025" s="69">
        <v>43530</v>
      </c>
      <c r="C2025" s="55">
        <v>339.27499999999998</v>
      </c>
      <c r="D2025" s="70">
        <f t="shared" si="63"/>
        <v>-0.75984781454609795</v>
      </c>
      <c r="E2025" s="180">
        <v>-1.6522936444670035E-2</v>
      </c>
      <c r="G2025" s="78">
        <v>2023</v>
      </c>
      <c r="H2025" s="180">
        <f t="shared" ca="1" si="64"/>
        <v>-1.4781906237309225E-3</v>
      </c>
    </row>
    <row r="2026" spans="2:8" x14ac:dyDescent="0.3">
      <c r="B2026" s="69">
        <v>44823</v>
      </c>
      <c r="C2026" s="55">
        <v>1412.75</v>
      </c>
      <c r="D2026" s="70">
        <f t="shared" si="63"/>
        <v>3.3603395061728394</v>
      </c>
      <c r="E2026" s="180">
        <v>-1.6550355893562654E-2</v>
      </c>
      <c r="G2026" s="78">
        <v>2024</v>
      </c>
      <c r="H2026" s="180">
        <f t="shared" ca="1" si="64"/>
        <v>-2.1670502510219958E-2</v>
      </c>
    </row>
    <row r="2027" spans="2:8" x14ac:dyDescent="0.3">
      <c r="B2027" s="69">
        <v>43409</v>
      </c>
      <c r="C2027" s="55">
        <v>324</v>
      </c>
      <c r="D2027" s="70">
        <f t="shared" si="63"/>
        <v>-0.91707881990876106</v>
      </c>
      <c r="E2027" s="180">
        <v>-1.6617345777373161E-2</v>
      </c>
      <c r="G2027" s="78">
        <v>2025</v>
      </c>
      <c r="H2027" s="180">
        <f t="shared" ca="1" si="64"/>
        <v>6.1548264959741337E-3</v>
      </c>
    </row>
    <row r="2028" spans="2:8" x14ac:dyDescent="0.3">
      <c r="B2028" s="69">
        <v>45377</v>
      </c>
      <c r="C2028" s="55">
        <v>3907.3249999999998</v>
      </c>
      <c r="D2028" s="70">
        <f t="shared" si="63"/>
        <v>5.962792715833435E-2</v>
      </c>
      <c r="E2028" s="180">
        <v>-1.6647896362755547E-2</v>
      </c>
      <c r="G2028" s="78">
        <v>2026</v>
      </c>
      <c r="H2028" s="180">
        <f t="shared" ca="1" si="64"/>
        <v>-1.8281226790671446E-2</v>
      </c>
    </row>
    <row r="2029" spans="2:8" x14ac:dyDescent="0.3">
      <c r="B2029" s="69">
        <v>46055</v>
      </c>
      <c r="C2029" s="55">
        <v>3687.45</v>
      </c>
      <c r="D2029" s="70">
        <f t="shared" si="63"/>
        <v>7.9937804878048775</v>
      </c>
      <c r="E2029" s="180">
        <v>-1.6666888891851892E-2</v>
      </c>
      <c r="G2029" s="78">
        <v>2027</v>
      </c>
      <c r="H2029" s="180">
        <f t="shared" ca="1" si="64"/>
        <v>1.675009994931205E-2</v>
      </c>
    </row>
    <row r="2030" spans="2:8" x14ac:dyDescent="0.3">
      <c r="B2030" s="69">
        <v>43622</v>
      </c>
      <c r="C2030" s="55">
        <v>410</v>
      </c>
      <c r="D2030" s="70">
        <f t="shared" si="63"/>
        <v>-0.94184520896718504</v>
      </c>
      <c r="E2030" s="180">
        <v>-1.6668665307590813E-2</v>
      </c>
      <c r="G2030" s="78">
        <v>2028</v>
      </c>
      <c r="H2030" s="180">
        <f t="shared" ca="1" si="64"/>
        <v>1.1106845339667557E-2</v>
      </c>
    </row>
    <row r="2031" spans="2:8" x14ac:dyDescent="0.3">
      <c r="B2031" s="69">
        <v>45600</v>
      </c>
      <c r="C2031" s="55">
        <v>7050.15</v>
      </c>
      <c r="D2031" s="70">
        <f t="shared" si="63"/>
        <v>28.126833298905183</v>
      </c>
      <c r="E2031" s="180">
        <v>-1.6708624188453224E-2</v>
      </c>
      <c r="G2031" s="78">
        <v>2029</v>
      </c>
      <c r="H2031" s="180">
        <f t="shared" ca="1" si="64"/>
        <v>2.8298420031483477E-2</v>
      </c>
    </row>
    <row r="2032" spans="2:8" x14ac:dyDescent="0.3">
      <c r="B2032" s="69">
        <v>42796</v>
      </c>
      <c r="C2032" s="55">
        <v>242.05</v>
      </c>
      <c r="D2032" s="70">
        <f t="shared" si="63"/>
        <v>-0.29142271662763469</v>
      </c>
      <c r="E2032" s="180">
        <v>-1.6856214459788698E-2</v>
      </c>
      <c r="G2032" s="78">
        <v>2030</v>
      </c>
      <c r="H2032" s="180">
        <f t="shared" ca="1" si="64"/>
        <v>-1.4682613831698195E-2</v>
      </c>
    </row>
    <row r="2033" spans="2:8" x14ac:dyDescent="0.3">
      <c r="B2033" s="69">
        <v>43209</v>
      </c>
      <c r="C2033" s="55">
        <v>341.6</v>
      </c>
      <c r="D2033" s="70">
        <f t="shared" si="63"/>
        <v>-0.50731953558808685</v>
      </c>
      <c r="E2033" s="180">
        <v>-1.6907691200805812E-2</v>
      </c>
      <c r="G2033" s="78">
        <v>2031</v>
      </c>
      <c r="H2033" s="180">
        <f t="shared" ca="1" si="64"/>
        <v>-7.970855433040859E-3</v>
      </c>
    </row>
    <row r="2034" spans="2:8" x14ac:dyDescent="0.3">
      <c r="B2034" s="69">
        <v>43895</v>
      </c>
      <c r="C2034" s="55">
        <v>693.35</v>
      </c>
      <c r="D2034" s="70">
        <f t="shared" si="63"/>
        <v>-0.82668416447944004</v>
      </c>
      <c r="E2034" s="180">
        <v>-1.6943144761094472E-2</v>
      </c>
      <c r="G2034" s="78">
        <v>2032</v>
      </c>
      <c r="H2034" s="180">
        <f t="shared" ca="1" si="64"/>
        <v>3.7633393138061695E-3</v>
      </c>
    </row>
    <row r="2035" spans="2:8" x14ac:dyDescent="0.3">
      <c r="B2035" s="69">
        <v>45397</v>
      </c>
      <c r="C2035" s="55">
        <v>4000.5</v>
      </c>
      <c r="D2035" s="70">
        <f t="shared" si="63"/>
        <v>1.4351276655087581E-2</v>
      </c>
      <c r="E2035" s="180">
        <v>-1.6949360789782444E-2</v>
      </c>
      <c r="G2035" s="78">
        <v>2033</v>
      </c>
      <c r="H2035" s="180">
        <f t="shared" ca="1" si="64"/>
        <v>3.8686367070732922E-3</v>
      </c>
    </row>
    <row r="2036" spans="2:8" x14ac:dyDescent="0.3">
      <c r="B2036" s="69">
        <v>46035</v>
      </c>
      <c r="C2036" s="55">
        <v>3943.9</v>
      </c>
      <c r="D2036" s="70">
        <f t="shared" si="63"/>
        <v>-5.5907311876862618E-2</v>
      </c>
      <c r="E2036" s="180">
        <v>-1.7084325038318169E-2</v>
      </c>
      <c r="G2036" s="78">
        <v>2034</v>
      </c>
      <c r="H2036" s="180">
        <f t="shared" ca="1" si="64"/>
        <v>-6.8286934275062624E-3</v>
      </c>
    </row>
    <row r="2037" spans="2:8" x14ac:dyDescent="0.3">
      <c r="B2037" s="69">
        <v>46070</v>
      </c>
      <c r="C2037" s="55">
        <v>4177.45</v>
      </c>
      <c r="D2037" s="70">
        <f t="shared" si="63"/>
        <v>0.40214645934901366</v>
      </c>
      <c r="E2037" s="180">
        <v>-1.7128404211517012E-2</v>
      </c>
      <c r="G2037" s="78">
        <v>2035</v>
      </c>
      <c r="H2037" s="180">
        <f t="shared" ca="1" si="64"/>
        <v>-3.1041749241929532E-2</v>
      </c>
    </row>
    <row r="2038" spans="2:8" x14ac:dyDescent="0.3">
      <c r="B2038" s="69">
        <v>45293</v>
      </c>
      <c r="C2038" s="55">
        <v>2979.3249999999998</v>
      </c>
      <c r="D2038" s="70">
        <f t="shared" si="63"/>
        <v>9.0908552074513125</v>
      </c>
      <c r="E2038" s="180">
        <v>-1.7129896907216554E-2</v>
      </c>
      <c r="G2038" s="78">
        <v>2036</v>
      </c>
      <c r="H2038" s="180">
        <f t="shared" ca="1" si="64"/>
        <v>-3.0663990559237519E-2</v>
      </c>
    </row>
    <row r="2039" spans="2:8" x14ac:dyDescent="0.3">
      <c r="B2039" s="69">
        <v>42985</v>
      </c>
      <c r="C2039" s="55">
        <v>295.25</v>
      </c>
      <c r="D2039" s="70">
        <f t="shared" si="63"/>
        <v>-0.7942365321625201</v>
      </c>
      <c r="E2039" s="180">
        <v>-1.7143808255659046E-2</v>
      </c>
      <c r="G2039" s="78">
        <v>2037</v>
      </c>
      <c r="H2039" s="180">
        <f t="shared" ca="1" si="64"/>
        <v>1.5389086077935807E-2</v>
      </c>
    </row>
    <row r="2040" spans="2:8" x14ac:dyDescent="0.3">
      <c r="B2040" s="69">
        <v>44844</v>
      </c>
      <c r="C2040" s="55">
        <v>1434.9</v>
      </c>
      <c r="D2040" s="70">
        <f t="shared" si="63"/>
        <v>3.3561020036429876</v>
      </c>
      <c r="E2040" s="180">
        <v>-1.7208609441619151E-2</v>
      </c>
      <c r="G2040" s="78">
        <v>2038</v>
      </c>
      <c r="H2040" s="180">
        <f t="shared" ca="1" si="64"/>
        <v>-2.2628703845986959E-3</v>
      </c>
    </row>
    <row r="2041" spans="2:8" x14ac:dyDescent="0.3">
      <c r="B2041" s="69">
        <v>43073</v>
      </c>
      <c r="C2041" s="55">
        <v>329.4</v>
      </c>
      <c r="D2041" s="70">
        <f t="shared" si="63"/>
        <v>-0.95647434245733653</v>
      </c>
      <c r="E2041" s="180">
        <v>-1.7303102625298529E-2</v>
      </c>
      <c r="G2041" s="78">
        <v>2039</v>
      </c>
      <c r="H2041" s="180">
        <f t="shared" ca="1" si="64"/>
        <v>-9.8932765385574013E-3</v>
      </c>
    </row>
    <row r="2042" spans="2:8" x14ac:dyDescent="0.3">
      <c r="B2042" s="69">
        <v>45587</v>
      </c>
      <c r="C2042" s="55">
        <v>7567.95</v>
      </c>
      <c r="D2042" s="70">
        <f t="shared" si="63"/>
        <v>1.5875987280746744</v>
      </c>
      <c r="E2042" s="180">
        <v>-1.7308878428826512E-2</v>
      </c>
      <c r="G2042" s="78">
        <v>2040</v>
      </c>
      <c r="H2042" s="180">
        <f t="shared" ca="1" si="64"/>
        <v>-2.1291922722491342E-2</v>
      </c>
    </row>
    <row r="2043" spans="2:8" x14ac:dyDescent="0.3">
      <c r="B2043" s="69">
        <v>45281</v>
      </c>
      <c r="C2043" s="55">
        <v>2924.7</v>
      </c>
      <c r="D2043" s="70">
        <f t="shared" si="63"/>
        <v>-0.58397758227064855</v>
      </c>
      <c r="E2043" s="180">
        <v>-1.7353469854015854E-2</v>
      </c>
      <c r="G2043" s="78">
        <v>2041</v>
      </c>
      <c r="H2043" s="180">
        <f t="shared" ca="1" si="64"/>
        <v>6.6925920037281357E-4</v>
      </c>
    </row>
    <row r="2044" spans="2:8" x14ac:dyDescent="0.3">
      <c r="B2044" s="69">
        <v>45656</v>
      </c>
      <c r="C2044" s="55">
        <v>7030.15</v>
      </c>
      <c r="D2044" s="70">
        <f t="shared" si="63"/>
        <v>0.7445190267627827</v>
      </c>
      <c r="E2044" s="180">
        <v>-1.7380669508700868E-2</v>
      </c>
      <c r="G2044" s="78">
        <v>2042</v>
      </c>
      <c r="H2044" s="180">
        <f t="shared" ca="1" si="64"/>
        <v>-1.3832704261800761E-2</v>
      </c>
    </row>
    <row r="2045" spans="2:8" x14ac:dyDescent="0.3">
      <c r="B2045" s="69">
        <v>46029</v>
      </c>
      <c r="C2045" s="55">
        <v>4029.85</v>
      </c>
      <c r="D2045" s="70">
        <f t="shared" si="63"/>
        <v>-3.9631567031683745E-2</v>
      </c>
      <c r="E2045" s="180">
        <v>-1.7385367518866594E-2</v>
      </c>
      <c r="G2045" s="78">
        <v>2043</v>
      </c>
      <c r="H2045" s="180">
        <f t="shared" ca="1" si="64"/>
        <v>-1.1388125593619607E-2</v>
      </c>
    </row>
    <row r="2046" spans="2:8" x14ac:dyDescent="0.3">
      <c r="B2046" s="69">
        <v>46153</v>
      </c>
      <c r="C2046" s="55">
        <v>4196.1499999999996</v>
      </c>
      <c r="D2046" s="70">
        <f t="shared" si="63"/>
        <v>2.4903200316080598</v>
      </c>
      <c r="E2046" s="180">
        <v>-1.7387130011240166E-2</v>
      </c>
      <c r="G2046" s="78">
        <v>2044</v>
      </c>
      <c r="H2046" s="180">
        <f t="shared" ca="1" si="64"/>
        <v>6.2284656093421955E-3</v>
      </c>
    </row>
    <row r="2047" spans="2:8" x14ac:dyDescent="0.3">
      <c r="B2047" s="69">
        <v>44939</v>
      </c>
      <c r="C2047" s="55">
        <v>1202.2249999999999</v>
      </c>
      <c r="D2047" s="70">
        <f t="shared" si="63"/>
        <v>0.33755180374377641</v>
      </c>
      <c r="E2047" s="180">
        <v>-1.7388639149979641E-2</v>
      </c>
      <c r="G2047" s="78">
        <v>2045</v>
      </c>
      <c r="H2047" s="180">
        <f t="shared" ca="1" si="64"/>
        <v>-3.4336219903590683E-2</v>
      </c>
    </row>
    <row r="2048" spans="2:8" x14ac:dyDescent="0.3">
      <c r="B2048" s="69">
        <v>44267</v>
      </c>
      <c r="C2048" s="55">
        <v>898.82500000000005</v>
      </c>
      <c r="D2048" s="70">
        <f t="shared" si="63"/>
        <v>-0.16640389520055643</v>
      </c>
      <c r="E2048" s="180">
        <v>-1.7409128177097517E-2</v>
      </c>
      <c r="G2048" s="78">
        <v>2046</v>
      </c>
      <c r="H2048" s="180">
        <f t="shared" ca="1" si="64"/>
        <v>1.3789742342296048E-2</v>
      </c>
    </row>
    <row r="2049" spans="2:8" x14ac:dyDescent="0.3">
      <c r="B2049" s="69">
        <v>44726</v>
      </c>
      <c r="C2049" s="55">
        <v>1078.25</v>
      </c>
      <c r="D2049" s="70">
        <f t="shared" si="63"/>
        <v>3.2371549268100992</v>
      </c>
      <c r="E2049" s="180">
        <v>-1.7539863325740319E-2</v>
      </c>
      <c r="G2049" s="78">
        <v>2047</v>
      </c>
      <c r="H2049" s="180">
        <f t="shared" ca="1" si="64"/>
        <v>-2.8605296434749763E-2</v>
      </c>
    </row>
    <row r="2050" spans="2:8" x14ac:dyDescent="0.3">
      <c r="B2050" s="69">
        <v>42776</v>
      </c>
      <c r="C2050" s="55">
        <v>254.47499999999999</v>
      </c>
      <c r="D2050" s="70">
        <f t="shared" si="63"/>
        <v>-0.93341923836684504</v>
      </c>
      <c r="E2050" s="180">
        <v>-1.7565872020075219E-2</v>
      </c>
      <c r="G2050" s="78">
        <v>2048</v>
      </c>
      <c r="H2050" s="180">
        <f t="shared" ca="1" si="64"/>
        <v>-3.1650805843219569E-3</v>
      </c>
    </row>
    <row r="2051" spans="2:8" x14ac:dyDescent="0.3">
      <c r="B2051" s="69">
        <v>45357</v>
      </c>
      <c r="C2051" s="55">
        <v>3822.05</v>
      </c>
      <c r="D2051" s="70">
        <f t="shared" ref="D2051:D2114" si="65">(C2051-C2052)/C2052</f>
        <v>-0.38626254516258529</v>
      </c>
      <c r="E2051" s="180">
        <v>-1.7581513706640527E-2</v>
      </c>
      <c r="G2051" s="78">
        <v>2049</v>
      </c>
      <c r="H2051" s="180">
        <f t="shared" ca="1" si="64"/>
        <v>-2.0827478938734063E-2</v>
      </c>
    </row>
    <row r="2052" spans="2:8" x14ac:dyDescent="0.3">
      <c r="B2052" s="69">
        <v>45671</v>
      </c>
      <c r="C2052" s="55">
        <v>6227.5</v>
      </c>
      <c r="D2052" s="70">
        <f t="shared" si="65"/>
        <v>20.070884791067499</v>
      </c>
      <c r="E2052" s="180">
        <v>-1.7655386726714201E-2</v>
      </c>
      <c r="G2052" s="78">
        <v>2050</v>
      </c>
      <c r="H2052" s="180">
        <f t="shared" ref="H2052:H2115" ca="1" si="66">_xlfn.NORM.INV(RAND(),$N$4,$N$5)</f>
        <v>8.9561649815233235E-3</v>
      </c>
    </row>
    <row r="2053" spans="2:8" x14ac:dyDescent="0.3">
      <c r="B2053" s="69">
        <v>43035</v>
      </c>
      <c r="C2053" s="55">
        <v>295.55</v>
      </c>
      <c r="D2053" s="70">
        <f t="shared" si="65"/>
        <v>0.17165510406342918</v>
      </c>
      <c r="E2053" s="180">
        <v>-1.7779993353273401E-2</v>
      </c>
      <c r="G2053" s="78">
        <v>2051</v>
      </c>
      <c r="H2053" s="180">
        <f t="shared" ca="1" si="66"/>
        <v>-2.3233373374094046E-2</v>
      </c>
    </row>
    <row r="2054" spans="2:8" x14ac:dyDescent="0.3">
      <c r="B2054" s="69">
        <v>42853</v>
      </c>
      <c r="C2054" s="55">
        <v>252.25</v>
      </c>
      <c r="D2054" s="70">
        <f t="shared" si="65"/>
        <v>-0.704607998126354</v>
      </c>
      <c r="E2054" s="180">
        <v>-1.7813686362308921E-2</v>
      </c>
      <c r="G2054" s="78">
        <v>2052</v>
      </c>
      <c r="H2054" s="180">
        <f t="shared" ca="1" si="66"/>
        <v>3.9870220754350183E-3</v>
      </c>
    </row>
    <row r="2055" spans="2:8" x14ac:dyDescent="0.3">
      <c r="B2055" s="69">
        <v>44397</v>
      </c>
      <c r="C2055" s="55">
        <v>853.95</v>
      </c>
      <c r="D2055" s="70">
        <f t="shared" si="65"/>
        <v>0.44675984752223641</v>
      </c>
      <c r="E2055" s="180">
        <v>-1.7883841288096555E-2</v>
      </c>
      <c r="G2055" s="78">
        <v>2053</v>
      </c>
      <c r="H2055" s="180">
        <f t="shared" ca="1" si="66"/>
        <v>1.8942010367615232E-2</v>
      </c>
    </row>
    <row r="2056" spans="2:8" x14ac:dyDescent="0.3">
      <c r="B2056" s="69">
        <v>43903</v>
      </c>
      <c r="C2056" s="55">
        <v>590.25</v>
      </c>
      <c r="D2056" s="70">
        <f t="shared" si="65"/>
        <v>-0.89850923346745071</v>
      </c>
      <c r="E2056" s="180">
        <v>-1.7886855241264561E-2</v>
      </c>
      <c r="G2056" s="78">
        <v>2054</v>
      </c>
      <c r="H2056" s="180">
        <f t="shared" ca="1" si="66"/>
        <v>-2.5591259763031789E-2</v>
      </c>
    </row>
    <row r="2057" spans="2:8" x14ac:dyDescent="0.3">
      <c r="B2057" s="69">
        <v>45693</v>
      </c>
      <c r="C2057" s="55">
        <v>5815.7999999999993</v>
      </c>
      <c r="D2057" s="70">
        <f t="shared" si="65"/>
        <v>0.16220118402318073</v>
      </c>
      <c r="E2057" s="180">
        <v>-1.7887524327793183E-2</v>
      </c>
      <c r="G2057" s="78">
        <v>2055</v>
      </c>
      <c r="H2057" s="180">
        <f t="shared" ca="1" si="66"/>
        <v>-7.2912215211114123E-3</v>
      </c>
    </row>
    <row r="2058" spans="2:8" x14ac:dyDescent="0.3">
      <c r="B2058" s="69">
        <v>45712</v>
      </c>
      <c r="C2058" s="55">
        <v>5004.125</v>
      </c>
      <c r="D2058" s="70">
        <f t="shared" si="65"/>
        <v>3.8979616805735677</v>
      </c>
      <c r="E2058" s="180">
        <v>-1.7927671119964354E-2</v>
      </c>
      <c r="G2058" s="78">
        <v>2056</v>
      </c>
      <c r="H2058" s="180">
        <f t="shared" ca="1" si="66"/>
        <v>-8.9853611444084772E-3</v>
      </c>
    </row>
    <row r="2059" spans="2:8" x14ac:dyDescent="0.3">
      <c r="B2059" s="69">
        <v>44544</v>
      </c>
      <c r="C2059" s="55">
        <v>1021.675</v>
      </c>
      <c r="D2059" s="70">
        <f t="shared" si="65"/>
        <v>2.0920027237648484</v>
      </c>
      <c r="E2059" s="180">
        <v>-1.7950689671745044E-2</v>
      </c>
      <c r="G2059" s="78">
        <v>2057</v>
      </c>
      <c r="H2059" s="180">
        <f t="shared" ca="1" si="66"/>
        <v>-6.8496018829981051E-4</v>
      </c>
    </row>
    <row r="2060" spans="2:8" x14ac:dyDescent="0.3">
      <c r="B2060" s="69">
        <v>43102</v>
      </c>
      <c r="C2060" s="55">
        <v>330.42500000000001</v>
      </c>
      <c r="D2060" s="70">
        <f t="shared" si="65"/>
        <v>-0.83737126404252438</v>
      </c>
      <c r="E2060" s="180">
        <v>-1.7980533472026185E-2</v>
      </c>
      <c r="G2060" s="78">
        <v>2058</v>
      </c>
      <c r="H2060" s="180">
        <f t="shared" ca="1" si="66"/>
        <v>7.9877835577427964E-3</v>
      </c>
    </row>
    <row r="2061" spans="2:8" x14ac:dyDescent="0.3">
      <c r="B2061" s="69">
        <v>45203</v>
      </c>
      <c r="C2061" s="55">
        <v>2031.7749999999999</v>
      </c>
      <c r="D2061" s="70">
        <f t="shared" si="65"/>
        <v>1.7568181818181816</v>
      </c>
      <c r="E2061" s="180">
        <v>-1.8062972718266065E-2</v>
      </c>
      <c r="G2061" s="78">
        <v>2059</v>
      </c>
      <c r="H2061" s="180">
        <f t="shared" ca="1" si="66"/>
        <v>2.4870827019539504E-2</v>
      </c>
    </row>
    <row r="2062" spans="2:8" x14ac:dyDescent="0.3">
      <c r="B2062" s="69">
        <v>43893</v>
      </c>
      <c r="C2062" s="55">
        <v>737</v>
      </c>
      <c r="D2062" s="70">
        <f t="shared" si="65"/>
        <v>-0.89281753894817206</v>
      </c>
      <c r="E2062" s="180">
        <v>-1.8086133963961023E-2</v>
      </c>
      <c r="G2062" s="78">
        <v>2060</v>
      </c>
      <c r="H2062" s="180">
        <f t="shared" ca="1" si="66"/>
        <v>-1.5342007630650878E-2</v>
      </c>
    </row>
    <row r="2063" spans="2:8" x14ac:dyDescent="0.3">
      <c r="B2063" s="69">
        <v>45531</v>
      </c>
      <c r="C2063" s="55">
        <v>6876.125</v>
      </c>
      <c r="D2063" s="70">
        <f t="shared" si="65"/>
        <v>0.31462097313832332</v>
      </c>
      <c r="E2063" s="180">
        <v>-1.8106719692128546E-2</v>
      </c>
      <c r="G2063" s="78">
        <v>2061</v>
      </c>
      <c r="H2063" s="180">
        <f t="shared" ca="1" si="66"/>
        <v>8.6903984454737484E-3</v>
      </c>
    </row>
    <row r="2064" spans="2:8" x14ac:dyDescent="0.3">
      <c r="B2064" s="69">
        <v>45772</v>
      </c>
      <c r="C2064" s="55">
        <v>5230.5</v>
      </c>
      <c r="D2064" s="70">
        <f t="shared" si="65"/>
        <v>7.3990365315134481</v>
      </c>
      <c r="E2064" s="180">
        <v>-1.8207414359455654E-2</v>
      </c>
      <c r="G2064" s="78">
        <v>2062</v>
      </c>
      <c r="H2064" s="180">
        <f t="shared" ca="1" si="66"/>
        <v>-7.956165037621617E-3</v>
      </c>
    </row>
    <row r="2065" spans="2:8" x14ac:dyDescent="0.3">
      <c r="B2065" s="69">
        <v>44013</v>
      </c>
      <c r="C2065" s="55">
        <v>622.75</v>
      </c>
      <c r="D2065" s="70">
        <f t="shared" si="65"/>
        <v>-0.63226501719836425</v>
      </c>
      <c r="E2065" s="180">
        <v>-1.8209049345735386E-2</v>
      </c>
      <c r="G2065" s="78">
        <v>2063</v>
      </c>
      <c r="H2065" s="180">
        <f t="shared" ca="1" si="66"/>
        <v>3.7053222106777993E-2</v>
      </c>
    </row>
    <row r="2066" spans="2:8" x14ac:dyDescent="0.3">
      <c r="B2066" s="69">
        <v>45117</v>
      </c>
      <c r="C2066" s="55">
        <v>1693.4749999999999</v>
      </c>
      <c r="D2066" s="70">
        <f t="shared" si="65"/>
        <v>6.0841874084919469</v>
      </c>
      <c r="E2066" s="180">
        <v>-1.8261134219336513E-2</v>
      </c>
      <c r="G2066" s="78">
        <v>2064</v>
      </c>
      <c r="H2066" s="180">
        <f t="shared" ca="1" si="66"/>
        <v>-8.9404724576187776E-3</v>
      </c>
    </row>
    <row r="2067" spans="2:8" x14ac:dyDescent="0.3">
      <c r="B2067" s="69">
        <v>42821</v>
      </c>
      <c r="C2067" s="55">
        <v>239.05</v>
      </c>
      <c r="D2067" s="70">
        <f t="shared" si="65"/>
        <v>-0.7565682281059064</v>
      </c>
      <c r="E2067" s="180">
        <v>-1.8275154004106731E-2</v>
      </c>
      <c r="G2067" s="78">
        <v>2065</v>
      </c>
      <c r="H2067" s="180">
        <f t="shared" ca="1" si="66"/>
        <v>2.8224770156393311E-2</v>
      </c>
    </row>
    <row r="2068" spans="2:8" x14ac:dyDescent="0.3">
      <c r="B2068" s="69">
        <v>44456</v>
      </c>
      <c r="C2068" s="55">
        <v>982</v>
      </c>
      <c r="D2068" s="70">
        <f t="shared" si="65"/>
        <v>0.13654118804432744</v>
      </c>
      <c r="E2068" s="180">
        <v>-1.8294511646506004E-2</v>
      </c>
      <c r="G2068" s="78">
        <v>2066</v>
      </c>
      <c r="H2068" s="180">
        <f t="shared" ca="1" si="66"/>
        <v>6.6673296581867226E-3</v>
      </c>
    </row>
    <row r="2069" spans="2:8" x14ac:dyDescent="0.3">
      <c r="B2069" s="69">
        <v>44361</v>
      </c>
      <c r="C2069" s="55">
        <v>864.02499999999998</v>
      </c>
      <c r="D2069" s="70">
        <f t="shared" si="65"/>
        <v>0.13456109250869941</v>
      </c>
      <c r="E2069" s="180">
        <v>-1.8320740782821237E-2</v>
      </c>
      <c r="G2069" s="78">
        <v>2067</v>
      </c>
      <c r="H2069" s="180">
        <f t="shared" ca="1" si="66"/>
        <v>-1.4681500211871911E-2</v>
      </c>
    </row>
    <row r="2070" spans="2:8" x14ac:dyDescent="0.3">
      <c r="B2070" s="69">
        <v>44319</v>
      </c>
      <c r="C2070" s="55">
        <v>761.55</v>
      </c>
      <c r="D2070" s="70">
        <f t="shared" si="65"/>
        <v>2.1930817610062889</v>
      </c>
      <c r="E2070" s="180">
        <v>-1.8399767988915142E-2</v>
      </c>
      <c r="G2070" s="78">
        <v>2068</v>
      </c>
      <c r="H2070" s="180">
        <f t="shared" ca="1" si="66"/>
        <v>1.7899970957622188E-2</v>
      </c>
    </row>
    <row r="2071" spans="2:8" x14ac:dyDescent="0.3">
      <c r="B2071" s="69">
        <v>42913</v>
      </c>
      <c r="C2071" s="55">
        <v>238.5</v>
      </c>
      <c r="D2071" s="70">
        <f t="shared" si="65"/>
        <v>-0.9441713483146067</v>
      </c>
      <c r="E2071" s="180">
        <v>-1.8417532667969933E-2</v>
      </c>
      <c r="G2071" s="78">
        <v>2069</v>
      </c>
      <c r="H2071" s="180">
        <f t="shared" ca="1" si="66"/>
        <v>-1.5438616768446411E-2</v>
      </c>
    </row>
    <row r="2072" spans="2:8" x14ac:dyDescent="0.3">
      <c r="B2072" s="69">
        <v>46136</v>
      </c>
      <c r="C2072" s="55">
        <v>4272</v>
      </c>
      <c r="D2072" s="70">
        <f t="shared" si="65"/>
        <v>11.347712985042271</v>
      </c>
      <c r="E2072" s="180">
        <v>-1.8427461973254865E-2</v>
      </c>
      <c r="G2072" s="78">
        <v>2070</v>
      </c>
      <c r="H2072" s="180">
        <f t="shared" ca="1" si="66"/>
        <v>-1.816143302560279E-4</v>
      </c>
    </row>
    <row r="2073" spans="2:8" x14ac:dyDescent="0.3">
      <c r="B2073" s="69">
        <v>43563</v>
      </c>
      <c r="C2073" s="55">
        <v>345.97500000000002</v>
      </c>
      <c r="D2073" s="70">
        <f t="shared" si="65"/>
        <v>-0.66252103299436682</v>
      </c>
      <c r="E2073" s="180">
        <v>-1.8510638297872275E-2</v>
      </c>
      <c r="G2073" s="78">
        <v>2071</v>
      </c>
      <c r="H2073" s="180">
        <f t="shared" ca="1" si="66"/>
        <v>5.7788018006709272E-3</v>
      </c>
    </row>
    <row r="2074" spans="2:8" x14ac:dyDescent="0.3">
      <c r="B2074" s="69">
        <v>44589</v>
      </c>
      <c r="C2074" s="55">
        <v>1025.175</v>
      </c>
      <c r="D2074" s="70">
        <f t="shared" si="65"/>
        <v>0.51759742422560229</v>
      </c>
      <c r="E2074" s="180">
        <v>-1.857214656678562E-2</v>
      </c>
      <c r="G2074" s="78">
        <v>2072</v>
      </c>
      <c r="H2074" s="180">
        <f t="shared" ca="1" si="66"/>
        <v>1.5330508237091676E-2</v>
      </c>
    </row>
    <row r="2075" spans="2:8" x14ac:dyDescent="0.3">
      <c r="B2075" s="69">
        <v>44133</v>
      </c>
      <c r="C2075" s="55">
        <v>675.52499999999998</v>
      </c>
      <c r="D2075" s="70">
        <f t="shared" si="65"/>
        <v>-0.46212950614089215</v>
      </c>
      <c r="E2075" s="180">
        <v>-1.8595866778048257E-2</v>
      </c>
      <c r="G2075" s="78">
        <v>2073</v>
      </c>
      <c r="H2075" s="180">
        <f t="shared" ca="1" si="66"/>
        <v>3.3108060501496693E-2</v>
      </c>
    </row>
    <row r="2076" spans="2:8" x14ac:dyDescent="0.3">
      <c r="B2076" s="69">
        <v>44676</v>
      </c>
      <c r="C2076" s="55">
        <v>1255.925</v>
      </c>
      <c r="D2076" s="70">
        <f t="shared" si="65"/>
        <v>0.21592119275825331</v>
      </c>
      <c r="E2076" s="180">
        <v>-1.8616917366673213E-2</v>
      </c>
      <c r="G2076" s="78">
        <v>2074</v>
      </c>
      <c r="H2076" s="180">
        <f t="shared" ca="1" si="66"/>
        <v>1.6643545907627139E-2</v>
      </c>
    </row>
    <row r="2077" spans="2:8" x14ac:dyDescent="0.3">
      <c r="B2077" s="69">
        <v>44613</v>
      </c>
      <c r="C2077" s="55">
        <v>1032.9000000000001</v>
      </c>
      <c r="D2077" s="70">
        <f t="shared" si="65"/>
        <v>2.052530476542298</v>
      </c>
      <c r="E2077" s="180">
        <v>-1.8622327790973784E-2</v>
      </c>
      <c r="G2077" s="78">
        <v>2075</v>
      </c>
      <c r="H2077" s="180">
        <f t="shared" ca="1" si="66"/>
        <v>-1.4778167836502482E-2</v>
      </c>
    </row>
    <row r="2078" spans="2:8" x14ac:dyDescent="0.3">
      <c r="B2078" s="69">
        <v>43117</v>
      </c>
      <c r="C2078" s="55">
        <v>338.375</v>
      </c>
      <c r="D2078" s="70">
        <f t="shared" si="65"/>
        <v>-0.25794956140350878</v>
      </c>
      <c r="E2078" s="180">
        <v>-1.8633990719257573E-2</v>
      </c>
      <c r="G2078" s="78">
        <v>2076</v>
      </c>
      <c r="H2078" s="180">
        <f t="shared" ca="1" si="66"/>
        <v>-1.4153021249335393E-2</v>
      </c>
    </row>
    <row r="2079" spans="2:8" x14ac:dyDescent="0.3">
      <c r="B2079" s="69">
        <v>43721</v>
      </c>
      <c r="C2079" s="55">
        <v>456</v>
      </c>
      <c r="D2079" s="70">
        <f t="shared" si="65"/>
        <v>-0.6781309004923326</v>
      </c>
      <c r="E2079" s="180">
        <v>-1.8827326519634213E-2</v>
      </c>
      <c r="G2079" s="78">
        <v>2077</v>
      </c>
      <c r="H2079" s="180">
        <f t="shared" ca="1" si="66"/>
        <v>-7.9191524705022245E-3</v>
      </c>
    </row>
    <row r="2080" spans="2:8" x14ac:dyDescent="0.3">
      <c r="B2080" s="69">
        <v>44911</v>
      </c>
      <c r="C2080" s="55">
        <v>1416.7249999999999</v>
      </c>
      <c r="D2080" s="70">
        <f t="shared" si="65"/>
        <v>1.9318284018346909E-2</v>
      </c>
      <c r="E2080" s="180">
        <v>-1.8905489863402767E-2</v>
      </c>
      <c r="G2080" s="78">
        <v>2078</v>
      </c>
      <c r="H2080" s="180">
        <f t="shared" ca="1" si="66"/>
        <v>3.1084055796073515E-3</v>
      </c>
    </row>
    <row r="2081" spans="2:8" x14ac:dyDescent="0.3">
      <c r="B2081" s="69">
        <v>44832</v>
      </c>
      <c r="C2081" s="55">
        <v>1389.875</v>
      </c>
      <c r="D2081" s="70">
        <f t="shared" si="65"/>
        <v>1.1057914472936632</v>
      </c>
      <c r="E2081" s="180">
        <v>-1.8934848591797872E-2</v>
      </c>
      <c r="G2081" s="78">
        <v>2079</v>
      </c>
      <c r="H2081" s="180">
        <f t="shared" ca="1" si="66"/>
        <v>-3.7769027238266528E-2</v>
      </c>
    </row>
    <row r="2082" spans="2:8" x14ac:dyDescent="0.3">
      <c r="B2082" s="69">
        <v>44218</v>
      </c>
      <c r="C2082" s="55">
        <v>660.02499999999998</v>
      </c>
      <c r="D2082" s="70">
        <f t="shared" si="65"/>
        <v>-0.28176179335110729</v>
      </c>
      <c r="E2082" s="180">
        <v>-1.8951358180669616E-2</v>
      </c>
      <c r="G2082" s="78">
        <v>2080</v>
      </c>
      <c r="H2082" s="180">
        <f t="shared" ca="1" si="66"/>
        <v>2.3083857059131824E-2</v>
      </c>
    </row>
    <row r="2083" spans="2:8" x14ac:dyDescent="0.3">
      <c r="B2083" s="69">
        <v>44413</v>
      </c>
      <c r="C2083" s="55">
        <v>918.95</v>
      </c>
      <c r="D2083" s="70">
        <f t="shared" si="65"/>
        <v>0.73994130455363072</v>
      </c>
      <c r="E2083" s="180">
        <v>-1.8975686567562492E-2</v>
      </c>
      <c r="G2083" s="78">
        <v>2081</v>
      </c>
      <c r="H2083" s="180">
        <f t="shared" ca="1" si="66"/>
        <v>-4.2405334636773919E-3</v>
      </c>
    </row>
    <row r="2084" spans="2:8" x14ac:dyDescent="0.3">
      <c r="B2084" s="69">
        <v>43836</v>
      </c>
      <c r="C2084" s="55">
        <v>528.15</v>
      </c>
      <c r="D2084" s="70">
        <f t="shared" si="65"/>
        <v>1.2650369893856543</v>
      </c>
      <c r="E2084" s="180">
        <v>-1.9037890044576525E-2</v>
      </c>
      <c r="G2084" s="78">
        <v>2082</v>
      </c>
      <c r="H2084" s="180">
        <f t="shared" ca="1" si="66"/>
        <v>5.8874668919398944E-3</v>
      </c>
    </row>
    <row r="2085" spans="2:8" x14ac:dyDescent="0.3">
      <c r="B2085" s="69">
        <v>42916</v>
      </c>
      <c r="C2085" s="55">
        <v>233.17500000000001</v>
      </c>
      <c r="D2085" s="70">
        <f t="shared" si="65"/>
        <v>-0.28714460409660658</v>
      </c>
      <c r="E2085" s="180">
        <v>-1.9139762330423856E-2</v>
      </c>
      <c r="G2085" s="78">
        <v>2083</v>
      </c>
      <c r="H2085" s="180">
        <f t="shared" ca="1" si="66"/>
        <v>-1.0098025024491563E-2</v>
      </c>
    </row>
    <row r="2086" spans="2:8" x14ac:dyDescent="0.3">
      <c r="B2086" s="69">
        <v>43299</v>
      </c>
      <c r="C2086" s="55">
        <v>327.10000000000002</v>
      </c>
      <c r="D2086" s="70">
        <f t="shared" si="65"/>
        <v>-0.93777228193664974</v>
      </c>
      <c r="E2086" s="180">
        <v>-1.9190404797601132E-2</v>
      </c>
      <c r="G2086" s="78">
        <v>2084</v>
      </c>
      <c r="H2086" s="180">
        <f t="shared" ca="1" si="66"/>
        <v>3.1692137952892543E-3</v>
      </c>
    </row>
    <row r="2087" spans="2:8" x14ac:dyDescent="0.3">
      <c r="B2087" s="69">
        <v>45897</v>
      </c>
      <c r="C2087" s="55">
        <v>5256.5</v>
      </c>
      <c r="D2087" s="70">
        <f t="shared" si="65"/>
        <v>13.643080994498222</v>
      </c>
      <c r="E2087" s="180">
        <v>-1.9218210653978916E-2</v>
      </c>
      <c r="G2087" s="78">
        <v>2085</v>
      </c>
      <c r="H2087" s="180">
        <f t="shared" ca="1" si="66"/>
        <v>2.6249331619569265E-2</v>
      </c>
    </row>
    <row r="2088" spans="2:8" x14ac:dyDescent="0.3">
      <c r="B2088" s="69">
        <v>43549</v>
      </c>
      <c r="C2088" s="55">
        <v>358.97500000000002</v>
      </c>
      <c r="D2088" s="70">
        <f t="shared" si="65"/>
        <v>-0.91015180146920793</v>
      </c>
      <c r="E2088" s="180">
        <v>-1.926097944129487E-2</v>
      </c>
      <c r="G2088" s="78">
        <v>2086</v>
      </c>
      <c r="H2088" s="180">
        <f t="shared" ca="1" si="66"/>
        <v>1.7206533844023736E-2</v>
      </c>
    </row>
    <row r="2089" spans="2:8" x14ac:dyDescent="0.3">
      <c r="B2089" s="69">
        <v>46002</v>
      </c>
      <c r="C2089" s="55">
        <v>3995.35</v>
      </c>
      <c r="D2089" s="70">
        <f t="shared" si="65"/>
        <v>11.857119871279163</v>
      </c>
      <c r="E2089" s="180">
        <v>-1.9317386875467968E-2</v>
      </c>
      <c r="G2089" s="78">
        <v>2087</v>
      </c>
      <c r="H2089" s="180">
        <f t="shared" ca="1" si="66"/>
        <v>1.9677808288650334E-2</v>
      </c>
    </row>
    <row r="2090" spans="2:8" x14ac:dyDescent="0.3">
      <c r="B2090" s="69">
        <v>43019</v>
      </c>
      <c r="C2090" s="55">
        <v>310.75</v>
      </c>
      <c r="D2090" s="70">
        <f t="shared" si="65"/>
        <v>-0.93881338328025243</v>
      </c>
      <c r="E2090" s="180">
        <v>-1.9329388560157791E-2</v>
      </c>
      <c r="G2090" s="78">
        <v>2088</v>
      </c>
      <c r="H2090" s="180">
        <f t="shared" ca="1" si="66"/>
        <v>1.3635396652426374E-2</v>
      </c>
    </row>
    <row r="2091" spans="2:8" x14ac:dyDescent="0.3">
      <c r="B2091" s="69">
        <v>45705</v>
      </c>
      <c r="C2091" s="55">
        <v>5078.7250000000004</v>
      </c>
      <c r="D2091" s="70">
        <f t="shared" si="65"/>
        <v>6.3869677466273966</v>
      </c>
      <c r="E2091" s="180">
        <v>-1.938078044447877E-2</v>
      </c>
      <c r="G2091" s="78">
        <v>2089</v>
      </c>
      <c r="H2091" s="180">
        <f t="shared" ca="1" si="66"/>
        <v>-5.0049912240225205E-3</v>
      </c>
    </row>
    <row r="2092" spans="2:8" x14ac:dyDescent="0.3">
      <c r="B2092" s="69">
        <v>44168</v>
      </c>
      <c r="C2092" s="55">
        <v>687.52499999999998</v>
      </c>
      <c r="D2092" s="70">
        <f t="shared" si="65"/>
        <v>1.6542804748576394</v>
      </c>
      <c r="E2092" s="180">
        <v>-1.9572192513369016E-2</v>
      </c>
      <c r="G2092" s="78">
        <v>2090</v>
      </c>
      <c r="H2092" s="180">
        <f t="shared" ca="1" si="66"/>
        <v>1.8518299404074033E-2</v>
      </c>
    </row>
    <row r="2093" spans="2:8" x14ac:dyDescent="0.3">
      <c r="B2093" s="69">
        <v>42775</v>
      </c>
      <c r="C2093" s="55">
        <v>259.02499999999998</v>
      </c>
      <c r="D2093" s="70">
        <f t="shared" si="65"/>
        <v>-0.26621813031161479</v>
      </c>
      <c r="E2093" s="180">
        <v>-1.9587433762301331E-2</v>
      </c>
      <c r="G2093" s="78">
        <v>2091</v>
      </c>
      <c r="H2093" s="180">
        <f t="shared" ca="1" si="66"/>
        <v>2.1088804355857381E-2</v>
      </c>
    </row>
    <row r="2094" spans="2:8" x14ac:dyDescent="0.3">
      <c r="B2094" s="69">
        <v>43201</v>
      </c>
      <c r="C2094" s="55">
        <v>353</v>
      </c>
      <c r="D2094" s="70">
        <f t="shared" si="65"/>
        <v>-0.83353179047641501</v>
      </c>
      <c r="E2094" s="180">
        <v>-1.9716745348514364E-2</v>
      </c>
      <c r="G2094" s="78">
        <v>2092</v>
      </c>
      <c r="H2094" s="180">
        <f t="shared" ca="1" si="66"/>
        <v>1.1580833380563317E-2</v>
      </c>
    </row>
    <row r="2095" spans="2:8" x14ac:dyDescent="0.3">
      <c r="B2095" s="69">
        <v>45196</v>
      </c>
      <c r="C2095" s="55">
        <v>2120.5249999999996</v>
      </c>
      <c r="D2095" s="70">
        <f t="shared" si="65"/>
        <v>-0.58473800420054944</v>
      </c>
      <c r="E2095" s="180">
        <v>-1.9739047024697049E-2</v>
      </c>
      <c r="G2095" s="78">
        <v>2093</v>
      </c>
      <c r="H2095" s="180">
        <f t="shared" ca="1" si="66"/>
        <v>3.0984874279811045E-2</v>
      </c>
    </row>
    <row r="2096" spans="2:8" x14ac:dyDescent="0.3">
      <c r="B2096" s="69">
        <v>45740</v>
      </c>
      <c r="C2096" s="55">
        <v>5106.4750000000004</v>
      </c>
      <c r="D2096" s="70">
        <f t="shared" si="65"/>
        <v>2.0084099210557325</v>
      </c>
      <c r="E2096" s="180">
        <v>-1.9771666050801662E-2</v>
      </c>
      <c r="G2096" s="78">
        <v>2094</v>
      </c>
      <c r="H2096" s="180">
        <f t="shared" ca="1" si="66"/>
        <v>1.7935055317307963E-2</v>
      </c>
    </row>
    <row r="2097" spans="2:8" x14ac:dyDescent="0.3">
      <c r="B2097" s="69">
        <v>45140</v>
      </c>
      <c r="C2097" s="55">
        <v>1697.4</v>
      </c>
      <c r="D2097" s="70">
        <f t="shared" si="65"/>
        <v>4.3089373680506684</v>
      </c>
      <c r="E2097" s="180">
        <v>-1.9962759277703097E-2</v>
      </c>
      <c r="G2097" s="78">
        <v>2095</v>
      </c>
      <c r="H2097" s="180">
        <f t="shared" ca="1" si="66"/>
        <v>1.0770605884374536E-2</v>
      </c>
    </row>
    <row r="2098" spans="2:8" x14ac:dyDescent="0.3">
      <c r="B2098" s="69">
        <v>43130</v>
      </c>
      <c r="C2098" s="55">
        <v>319.72500000000002</v>
      </c>
      <c r="D2098" s="70">
        <f t="shared" si="65"/>
        <v>-0.71237405541561705</v>
      </c>
      <c r="E2098" s="180">
        <v>-1.9999999999999931E-2</v>
      </c>
      <c r="G2098" s="78">
        <v>2096</v>
      </c>
      <c r="H2098" s="180">
        <f t="shared" ca="1" si="66"/>
        <v>1.4854459282677283E-2</v>
      </c>
    </row>
    <row r="2099" spans="2:8" x14ac:dyDescent="0.3">
      <c r="B2099" s="69">
        <v>44489</v>
      </c>
      <c r="C2099" s="55">
        <v>1111.5999999999999</v>
      </c>
      <c r="D2099" s="70">
        <f t="shared" si="65"/>
        <v>1.9719938506784305</v>
      </c>
      <c r="E2099" s="180">
        <v>-2.0077134986225976E-2</v>
      </c>
      <c r="G2099" s="78">
        <v>2097</v>
      </c>
      <c r="H2099" s="180">
        <f t="shared" ca="1" si="66"/>
        <v>-3.7106555930663367E-3</v>
      </c>
    </row>
    <row r="2100" spans="2:8" x14ac:dyDescent="0.3">
      <c r="B2100" s="69">
        <v>43609</v>
      </c>
      <c r="C2100" s="55">
        <v>374.02499999999998</v>
      </c>
      <c r="D2100" s="70">
        <f t="shared" si="65"/>
        <v>8.6098003629763997E-2</v>
      </c>
      <c r="E2100" s="180">
        <v>-2.0107414199633251E-2</v>
      </c>
      <c r="G2100" s="78">
        <v>2098</v>
      </c>
      <c r="H2100" s="180">
        <f t="shared" ca="1" si="66"/>
        <v>-1.4138789639888015E-2</v>
      </c>
    </row>
    <row r="2101" spans="2:8" x14ac:dyDescent="0.3">
      <c r="B2101" s="69">
        <v>43507</v>
      </c>
      <c r="C2101" s="55">
        <v>344.375</v>
      </c>
      <c r="D2101" s="70">
        <f t="shared" si="65"/>
        <v>3.6649608669476079E-2</v>
      </c>
      <c r="E2101" s="180">
        <v>-2.0130886328069395E-2</v>
      </c>
      <c r="G2101" s="78">
        <v>2099</v>
      </c>
      <c r="H2101" s="180">
        <f t="shared" ca="1" si="66"/>
        <v>1.613568050764071E-2</v>
      </c>
    </row>
    <row r="2102" spans="2:8" x14ac:dyDescent="0.3">
      <c r="B2102" s="69">
        <v>43437</v>
      </c>
      <c r="C2102" s="55">
        <v>332.20000000000005</v>
      </c>
      <c r="D2102" s="70">
        <f t="shared" si="65"/>
        <v>-0.73726149283242703</v>
      </c>
      <c r="E2102" s="180">
        <v>-2.0203509806813052E-2</v>
      </c>
      <c r="G2102" s="78">
        <v>2100</v>
      </c>
      <c r="H2102" s="180">
        <f t="shared" ca="1" si="66"/>
        <v>3.7155764518490127E-2</v>
      </c>
    </row>
    <row r="2103" spans="2:8" x14ac:dyDescent="0.3">
      <c r="B2103" s="69">
        <v>44645</v>
      </c>
      <c r="C2103" s="55">
        <v>1264.375</v>
      </c>
      <c r="D2103" s="70">
        <f t="shared" si="65"/>
        <v>-0.68074966228585132</v>
      </c>
      <c r="E2103" s="180">
        <v>-2.0225110908773831E-2</v>
      </c>
      <c r="G2103" s="78">
        <v>2101</v>
      </c>
      <c r="H2103" s="180">
        <f t="shared" ca="1" si="66"/>
        <v>1.7900362356397498E-2</v>
      </c>
    </row>
    <row r="2104" spans="2:8" x14ac:dyDescent="0.3">
      <c r="B2104" s="69">
        <v>45343</v>
      </c>
      <c r="C2104" s="55">
        <v>3960.45</v>
      </c>
      <c r="D2104" s="70">
        <f t="shared" si="65"/>
        <v>10.638113429327063</v>
      </c>
      <c r="E2104" s="180">
        <v>-2.0266551222981585E-2</v>
      </c>
      <c r="G2104" s="78">
        <v>2102</v>
      </c>
      <c r="H2104" s="180">
        <f t="shared" ca="1" si="66"/>
        <v>9.1490760126193248E-3</v>
      </c>
    </row>
    <row r="2105" spans="2:8" x14ac:dyDescent="0.3">
      <c r="B2105" s="69">
        <v>43069</v>
      </c>
      <c r="C2105" s="55">
        <v>340.3</v>
      </c>
      <c r="D2105" s="70">
        <f t="shared" si="65"/>
        <v>-2.0296530876637429E-2</v>
      </c>
      <c r="E2105" s="180">
        <v>-2.0296530876637429E-2</v>
      </c>
      <c r="G2105" s="78">
        <v>2103</v>
      </c>
      <c r="H2105" s="180">
        <f t="shared" ca="1" si="66"/>
        <v>3.7190860762007401E-3</v>
      </c>
    </row>
    <row r="2106" spans="2:8" x14ac:dyDescent="0.3">
      <c r="B2106" s="69">
        <v>43068</v>
      </c>
      <c r="C2106" s="55">
        <v>347.35</v>
      </c>
      <c r="D2106" s="70">
        <f t="shared" si="65"/>
        <v>-0.36962932716301444</v>
      </c>
      <c r="E2106" s="180">
        <v>-2.0307431956000533E-2</v>
      </c>
      <c r="G2106" s="78">
        <v>2104</v>
      </c>
      <c r="H2106" s="180">
        <f t="shared" ca="1" si="66"/>
        <v>2.9418302256787915E-3</v>
      </c>
    </row>
    <row r="2107" spans="2:8" x14ac:dyDescent="0.3">
      <c r="B2107" s="69">
        <v>43992</v>
      </c>
      <c r="C2107" s="55">
        <v>551.02500000000009</v>
      </c>
      <c r="D2107" s="70">
        <f t="shared" si="65"/>
        <v>0.52606799141452609</v>
      </c>
      <c r="E2107" s="180">
        <v>-2.0312916703706912E-2</v>
      </c>
      <c r="G2107" s="78">
        <v>2105</v>
      </c>
      <c r="H2107" s="180">
        <f t="shared" ca="1" si="66"/>
        <v>-1.228164573272417E-2</v>
      </c>
    </row>
    <row r="2108" spans="2:8" x14ac:dyDescent="0.3">
      <c r="B2108" s="69">
        <v>43336</v>
      </c>
      <c r="C2108" s="55">
        <v>361.07500000000005</v>
      </c>
      <c r="D2108" s="70">
        <f t="shared" si="65"/>
        <v>5.801772763900101E-2</v>
      </c>
      <c r="E2108" s="180">
        <v>-2.034864003255767E-2</v>
      </c>
      <c r="G2108" s="78">
        <v>2106</v>
      </c>
      <c r="H2108" s="180">
        <f t="shared" ca="1" si="66"/>
        <v>3.1045787444740711E-3</v>
      </c>
    </row>
    <row r="2109" spans="2:8" x14ac:dyDescent="0.3">
      <c r="B2109" s="69">
        <v>43109</v>
      </c>
      <c r="C2109" s="55">
        <v>341.27499999999998</v>
      </c>
      <c r="D2109" s="70">
        <f t="shared" si="65"/>
        <v>-0.91697583048497155</v>
      </c>
      <c r="E2109" s="180">
        <v>-2.0380337280229702E-2</v>
      </c>
      <c r="G2109" s="78">
        <v>2107</v>
      </c>
      <c r="H2109" s="180">
        <f t="shared" ca="1" si="66"/>
        <v>-5.0539886457089621E-4</v>
      </c>
    </row>
    <row r="2110" spans="2:8" x14ac:dyDescent="0.3">
      <c r="B2110" s="69">
        <v>46154</v>
      </c>
      <c r="C2110" s="55">
        <v>4110.55</v>
      </c>
      <c r="D2110" s="70">
        <f t="shared" si="65"/>
        <v>-0.42689536662983579</v>
      </c>
      <c r="E2110" s="180">
        <v>-2.0399652062009093E-2</v>
      </c>
      <c r="G2110" s="78">
        <v>2108</v>
      </c>
      <c r="H2110" s="180">
        <f t="shared" ca="1" si="66"/>
        <v>-1.888029935653638E-2</v>
      </c>
    </row>
    <row r="2111" spans="2:8" x14ac:dyDescent="0.3">
      <c r="B2111" s="69">
        <v>45596</v>
      </c>
      <c r="C2111" s="55">
        <v>7172.4250000000002</v>
      </c>
      <c r="D2111" s="70">
        <f t="shared" si="65"/>
        <v>0.1577764326069411</v>
      </c>
      <c r="E2111" s="180">
        <v>-2.0414783048115854E-2</v>
      </c>
      <c r="G2111" s="78">
        <v>2109</v>
      </c>
      <c r="H2111" s="180">
        <f t="shared" ca="1" si="66"/>
        <v>2.7087013229818345E-2</v>
      </c>
    </row>
    <row r="2112" spans="2:8" x14ac:dyDescent="0.3">
      <c r="B2112" s="69">
        <v>45674</v>
      </c>
      <c r="C2112" s="55">
        <v>6195</v>
      </c>
      <c r="D2112" s="70">
        <f t="shared" si="65"/>
        <v>9.1399459857598817</v>
      </c>
      <c r="E2112" s="180">
        <v>-2.043720599280547E-2</v>
      </c>
      <c r="G2112" s="78">
        <v>2110</v>
      </c>
      <c r="H2112" s="180">
        <f t="shared" ca="1" si="66"/>
        <v>-2.7369058836327616E-2</v>
      </c>
    </row>
    <row r="2113" spans="2:8" x14ac:dyDescent="0.3">
      <c r="B2113" s="69">
        <v>44028</v>
      </c>
      <c r="C2113" s="55">
        <v>610.95000000000005</v>
      </c>
      <c r="D2113" s="70">
        <f t="shared" si="65"/>
        <v>0.25975565750811902</v>
      </c>
      <c r="E2113" s="180">
        <v>-2.0442520442520443E-2</v>
      </c>
      <c r="G2113" s="78">
        <v>2111</v>
      </c>
      <c r="H2113" s="180">
        <f t="shared" ca="1" si="66"/>
        <v>2.9994375293023137E-2</v>
      </c>
    </row>
    <row r="2114" spans="2:8" x14ac:dyDescent="0.3">
      <c r="B2114" s="69">
        <v>43745</v>
      </c>
      <c r="C2114" s="55">
        <v>484.97500000000002</v>
      </c>
      <c r="D2114" s="70">
        <f t="shared" si="65"/>
        <v>-0.40597727899072167</v>
      </c>
      <c r="E2114" s="180">
        <v>-2.0450414057766108E-2</v>
      </c>
      <c r="G2114" s="78">
        <v>2112</v>
      </c>
      <c r="H2114" s="180">
        <f t="shared" ca="1" si="66"/>
        <v>-2.9695077757794217E-2</v>
      </c>
    </row>
    <row r="2115" spans="2:8" x14ac:dyDescent="0.3">
      <c r="B2115" s="69">
        <v>44336</v>
      </c>
      <c r="C2115" s="55">
        <v>816.42499999999995</v>
      </c>
      <c r="D2115" s="70">
        <f t="shared" ref="D2115:D2178" si="67">(C2115-C2116)/C2116</f>
        <v>1.2498794350671718</v>
      </c>
      <c r="E2115" s="180">
        <v>-2.051528148525842E-2</v>
      </c>
      <c r="G2115" s="78">
        <v>2113</v>
      </c>
      <c r="H2115" s="180">
        <f t="shared" ca="1" si="66"/>
        <v>-2.0284476458125273E-2</v>
      </c>
    </row>
    <row r="2116" spans="2:8" x14ac:dyDescent="0.3">
      <c r="B2116" s="69">
        <v>43553</v>
      </c>
      <c r="C2116" s="55">
        <v>362.875</v>
      </c>
      <c r="D2116" s="70">
        <f t="shared" si="67"/>
        <v>-0.91046865940464594</v>
      </c>
      <c r="E2116" s="180">
        <v>-2.0646380136293038E-2</v>
      </c>
      <c r="G2116" s="78">
        <v>2114</v>
      </c>
      <c r="H2116" s="180">
        <f t="shared" ref="H2116:H2179" ca="1" si="68">_xlfn.NORM.INV(RAND(),$N$4,$N$5)</f>
        <v>4.093136753414435E-2</v>
      </c>
    </row>
    <row r="2117" spans="2:8" x14ac:dyDescent="0.3">
      <c r="B2117" s="69">
        <v>46000</v>
      </c>
      <c r="C2117" s="55">
        <v>4053.05</v>
      </c>
      <c r="D2117" s="70">
        <f t="shared" si="67"/>
        <v>-0.2215777596389302</v>
      </c>
      <c r="E2117" s="180">
        <v>-2.0659409696632876E-2</v>
      </c>
      <c r="G2117" s="78">
        <v>2115</v>
      </c>
      <c r="H2117" s="180">
        <f t="shared" ca="1" si="68"/>
        <v>-2.8813221473042005E-2</v>
      </c>
    </row>
    <row r="2118" spans="2:8" x14ac:dyDescent="0.3">
      <c r="B2118" s="69">
        <v>45784</v>
      </c>
      <c r="C2118" s="55">
        <v>5206.75</v>
      </c>
      <c r="D2118" s="70">
        <f t="shared" si="67"/>
        <v>8.4655274280779889</v>
      </c>
      <c r="E2118" s="180">
        <v>-2.0689330888230592E-2</v>
      </c>
      <c r="G2118" s="78">
        <v>2116</v>
      </c>
      <c r="H2118" s="180">
        <f t="shared" ca="1" si="68"/>
        <v>-6.4404931347839195E-3</v>
      </c>
    </row>
    <row r="2119" spans="2:8" x14ac:dyDescent="0.3">
      <c r="B2119" s="69">
        <v>44040</v>
      </c>
      <c r="C2119" s="55">
        <v>550.07500000000005</v>
      </c>
      <c r="D2119" s="70">
        <f t="shared" si="67"/>
        <v>-0.152753176742395</v>
      </c>
      <c r="E2119" s="180">
        <v>-2.0696101121595156E-2</v>
      </c>
      <c r="G2119" s="78">
        <v>2117</v>
      </c>
      <c r="H2119" s="180">
        <f t="shared" ca="1" si="68"/>
        <v>-2.9625622041469565E-3</v>
      </c>
    </row>
    <row r="2120" spans="2:8" x14ac:dyDescent="0.3">
      <c r="B2120" s="69">
        <v>44211</v>
      </c>
      <c r="C2120" s="55">
        <v>649.25</v>
      </c>
      <c r="D2120" s="70">
        <f t="shared" si="67"/>
        <v>-0.27417551704863052</v>
      </c>
      <c r="E2120" s="180">
        <v>-2.0739064856711915E-2</v>
      </c>
      <c r="G2120" s="78">
        <v>2118</v>
      </c>
      <c r="H2120" s="180">
        <f t="shared" ca="1" si="68"/>
        <v>-1.251343873326001E-2</v>
      </c>
    </row>
    <row r="2121" spans="2:8" x14ac:dyDescent="0.3">
      <c r="B2121" s="69">
        <v>44393</v>
      </c>
      <c r="C2121" s="55">
        <v>894.5</v>
      </c>
      <c r="D2121" s="70">
        <f t="shared" si="67"/>
        <v>-0.81439020594490841</v>
      </c>
      <c r="E2121" s="180">
        <v>-2.0772325460466923E-2</v>
      </c>
      <c r="G2121" s="78">
        <v>2119</v>
      </c>
      <c r="H2121" s="180">
        <f t="shared" ca="1" si="68"/>
        <v>1.1631618841769345E-2</v>
      </c>
    </row>
    <row r="2122" spans="2:8" x14ac:dyDescent="0.3">
      <c r="B2122" s="69">
        <v>45925</v>
      </c>
      <c r="C2122" s="55">
        <v>4819.25</v>
      </c>
      <c r="D2122" s="70">
        <f t="shared" si="67"/>
        <v>2.8873540502934123</v>
      </c>
      <c r="E2122" s="180">
        <v>-2.0776186122117242E-2</v>
      </c>
      <c r="G2122" s="78">
        <v>2120</v>
      </c>
      <c r="H2122" s="180">
        <f t="shared" ca="1" si="68"/>
        <v>9.5146261421674757E-3</v>
      </c>
    </row>
    <row r="2123" spans="2:8" x14ac:dyDescent="0.3">
      <c r="B2123" s="69">
        <v>44678</v>
      </c>
      <c r="C2123" s="55">
        <v>1239.7249999999999</v>
      </c>
      <c r="D2123" s="70">
        <f t="shared" si="67"/>
        <v>4.9645176810199665</v>
      </c>
      <c r="E2123" s="180">
        <v>-2.0831687860358584E-2</v>
      </c>
      <c r="G2123" s="78">
        <v>2121</v>
      </c>
      <c r="H2123" s="180">
        <f t="shared" ca="1" si="68"/>
        <v>5.8014439104228238E-3</v>
      </c>
    </row>
    <row r="2124" spans="2:8" x14ac:dyDescent="0.3">
      <c r="B2124" s="69">
        <v>42755</v>
      </c>
      <c r="C2124" s="55">
        <v>207.85</v>
      </c>
      <c r="D2124" s="70">
        <f t="shared" si="67"/>
        <v>-0.95594064652888178</v>
      </c>
      <c r="E2124" s="180">
        <v>-2.084560122482634E-2</v>
      </c>
      <c r="G2124" s="78">
        <v>2122</v>
      </c>
      <c r="H2124" s="180">
        <f t="shared" ca="1" si="68"/>
        <v>1.3196788722866856E-2</v>
      </c>
    </row>
    <row r="2125" spans="2:8" x14ac:dyDescent="0.3">
      <c r="B2125" s="69">
        <v>45926</v>
      </c>
      <c r="C2125" s="55">
        <v>4717.5</v>
      </c>
      <c r="D2125" s="70">
        <f t="shared" si="67"/>
        <v>-8.9127454577050125E-2</v>
      </c>
      <c r="E2125" s="180">
        <v>-2.1113243761996161E-2</v>
      </c>
      <c r="G2125" s="78">
        <v>2123</v>
      </c>
      <c r="H2125" s="180">
        <f t="shared" ca="1" si="68"/>
        <v>-2.2673538014940292E-2</v>
      </c>
    </row>
    <row r="2126" spans="2:8" x14ac:dyDescent="0.3">
      <c r="B2126" s="69">
        <v>45702</v>
      </c>
      <c r="C2126" s="55">
        <v>5179.1000000000004</v>
      </c>
      <c r="D2126" s="70">
        <f t="shared" si="67"/>
        <v>12.824758091424759</v>
      </c>
      <c r="E2126" s="180">
        <v>-2.117687081258314E-2</v>
      </c>
      <c r="G2126" s="78">
        <v>2124</v>
      </c>
      <c r="H2126" s="180">
        <f t="shared" ca="1" si="68"/>
        <v>-9.2499420949055597E-3</v>
      </c>
    </row>
    <row r="2127" spans="2:8" x14ac:dyDescent="0.3">
      <c r="B2127" s="69">
        <v>43592</v>
      </c>
      <c r="C2127" s="55">
        <v>374.625</v>
      </c>
      <c r="D2127" s="70">
        <f t="shared" si="67"/>
        <v>-0.91018771576524737</v>
      </c>
      <c r="E2127" s="180">
        <v>-2.1227955584585238E-2</v>
      </c>
      <c r="G2127" s="78">
        <v>2125</v>
      </c>
      <c r="H2127" s="180">
        <f t="shared" ca="1" si="68"/>
        <v>-3.1528559192457187E-2</v>
      </c>
    </row>
    <row r="2128" spans="2:8" x14ac:dyDescent="0.3">
      <c r="B2128" s="69">
        <v>46142</v>
      </c>
      <c r="C2128" s="55">
        <v>4171.2</v>
      </c>
      <c r="D2128" s="70">
        <f t="shared" si="67"/>
        <v>1.4194895591647332</v>
      </c>
      <c r="E2128" s="180">
        <v>-2.1235657132130371E-2</v>
      </c>
      <c r="G2128" s="78">
        <v>2126</v>
      </c>
      <c r="H2128" s="180">
        <f t="shared" ca="1" si="68"/>
        <v>6.3308627817544628E-3</v>
      </c>
    </row>
    <row r="2129" spans="2:8" x14ac:dyDescent="0.3">
      <c r="B2129" s="69">
        <v>45112</v>
      </c>
      <c r="C2129" s="55">
        <v>1724</v>
      </c>
      <c r="D2129" s="70">
        <f t="shared" si="67"/>
        <v>-0.44267541661952253</v>
      </c>
      <c r="E2129" s="180">
        <v>-2.1260893014278037E-2</v>
      </c>
      <c r="G2129" s="78">
        <v>2127</v>
      </c>
      <c r="H2129" s="180">
        <f t="shared" ca="1" si="68"/>
        <v>1.168070739036315E-2</v>
      </c>
    </row>
    <row r="2130" spans="2:8" x14ac:dyDescent="0.3">
      <c r="B2130" s="69">
        <v>45327</v>
      </c>
      <c r="C2130" s="55">
        <v>3093.35</v>
      </c>
      <c r="D2130" s="70">
        <f t="shared" si="67"/>
        <v>3.7013184391504237</v>
      </c>
      <c r="E2130" s="180">
        <v>-2.1269863869707226E-2</v>
      </c>
      <c r="G2130" s="78">
        <v>2128</v>
      </c>
      <c r="H2130" s="180">
        <f t="shared" ca="1" si="68"/>
        <v>-1.3096423759126745E-2</v>
      </c>
    </row>
    <row r="2131" spans="2:8" x14ac:dyDescent="0.3">
      <c r="B2131" s="69">
        <v>44109</v>
      </c>
      <c r="C2131" s="55">
        <v>657.97500000000002</v>
      </c>
      <c r="D2131" s="70">
        <f t="shared" si="67"/>
        <v>0.31608160816081599</v>
      </c>
      <c r="E2131" s="180">
        <v>-2.1343844123006019E-2</v>
      </c>
      <c r="G2131" s="78">
        <v>2129</v>
      </c>
      <c r="H2131" s="180">
        <f t="shared" ca="1" si="68"/>
        <v>-5.379595020993333E-3</v>
      </c>
    </row>
    <row r="2132" spans="2:8" x14ac:dyDescent="0.3">
      <c r="B2132" s="69">
        <v>43789</v>
      </c>
      <c r="C2132" s="55">
        <v>499.95000000000005</v>
      </c>
      <c r="D2132" s="70">
        <f t="shared" si="67"/>
        <v>0.62150328387253728</v>
      </c>
      <c r="E2132" s="180">
        <v>-2.13848788842671E-2</v>
      </c>
      <c r="G2132" s="78">
        <v>2130</v>
      </c>
      <c r="H2132" s="180">
        <f t="shared" ca="1" si="68"/>
        <v>9.9235753090564979E-3</v>
      </c>
    </row>
    <row r="2133" spans="2:8" x14ac:dyDescent="0.3">
      <c r="B2133" s="69">
        <v>43033</v>
      </c>
      <c r="C2133" s="55">
        <v>308.32499999999999</v>
      </c>
      <c r="D2133" s="70">
        <f t="shared" si="67"/>
        <v>-0.3052613789995493</v>
      </c>
      <c r="E2133" s="180">
        <v>-2.1423470602237562E-2</v>
      </c>
      <c r="G2133" s="78">
        <v>2131</v>
      </c>
      <c r="H2133" s="180">
        <f t="shared" ca="1" si="68"/>
        <v>-4.2768532235926145E-2</v>
      </c>
    </row>
    <row r="2134" spans="2:8" x14ac:dyDescent="0.3">
      <c r="B2134" s="69">
        <v>43662</v>
      </c>
      <c r="C2134" s="55">
        <v>443.79999999999995</v>
      </c>
      <c r="D2134" s="70">
        <f t="shared" si="67"/>
        <v>8.1186430355076264E-2</v>
      </c>
      <c r="E2134" s="180">
        <v>-2.1443139848960967E-2</v>
      </c>
      <c r="G2134" s="78">
        <v>2132</v>
      </c>
      <c r="H2134" s="180">
        <f t="shared" ca="1" si="68"/>
        <v>-2.4113050380080998E-2</v>
      </c>
    </row>
    <row r="2135" spans="2:8" x14ac:dyDescent="0.3">
      <c r="B2135" s="69">
        <v>43670</v>
      </c>
      <c r="C2135" s="55">
        <v>410.47500000000002</v>
      </c>
      <c r="D2135" s="70">
        <f t="shared" si="67"/>
        <v>0.11036721444512074</v>
      </c>
      <c r="E2135" s="180">
        <v>-2.145539066690506E-2</v>
      </c>
      <c r="G2135" s="78">
        <v>2133</v>
      </c>
      <c r="H2135" s="180">
        <f t="shared" ca="1" si="68"/>
        <v>-1.7904888607030899E-2</v>
      </c>
    </row>
    <row r="2136" spans="2:8" x14ac:dyDescent="0.3">
      <c r="B2136" s="69">
        <v>43544</v>
      </c>
      <c r="C2136" s="55">
        <v>369.67500000000001</v>
      </c>
      <c r="D2136" s="70">
        <f t="shared" si="67"/>
        <v>-0.9280157725635283</v>
      </c>
      <c r="E2136" s="180">
        <v>-2.1570833057632442E-2</v>
      </c>
      <c r="G2136" s="78">
        <v>2134</v>
      </c>
      <c r="H2136" s="180">
        <f t="shared" ca="1" si="68"/>
        <v>-1.1921163255798652E-2</v>
      </c>
    </row>
    <row r="2137" spans="2:8" x14ac:dyDescent="0.3">
      <c r="B2137" s="69">
        <v>45786</v>
      </c>
      <c r="C2137" s="55">
        <v>5135.5</v>
      </c>
      <c r="D2137" s="70">
        <f t="shared" si="67"/>
        <v>14.611795105639155</v>
      </c>
      <c r="E2137" s="180">
        <v>-2.1669762347001954E-2</v>
      </c>
      <c r="G2137" s="78">
        <v>2135</v>
      </c>
      <c r="H2137" s="180">
        <f t="shared" ca="1" si="68"/>
        <v>-2.4680202556884908E-3</v>
      </c>
    </row>
    <row r="2138" spans="2:8" x14ac:dyDescent="0.3">
      <c r="B2138" s="69">
        <v>43374</v>
      </c>
      <c r="C2138" s="55">
        <v>328.95</v>
      </c>
      <c r="D2138" s="70">
        <f t="shared" si="67"/>
        <v>-2.7285129604366653E-3</v>
      </c>
      <c r="E2138" s="180">
        <v>-2.1710037174721225E-2</v>
      </c>
      <c r="G2138" s="78">
        <v>2136</v>
      </c>
      <c r="H2138" s="180">
        <f t="shared" ca="1" si="68"/>
        <v>-2.7159682851848548E-2</v>
      </c>
    </row>
    <row r="2139" spans="2:8" x14ac:dyDescent="0.3">
      <c r="B2139" s="69">
        <v>43392</v>
      </c>
      <c r="C2139" s="55">
        <v>329.85</v>
      </c>
      <c r="D2139" s="70">
        <f t="shared" si="67"/>
        <v>-0.55127027854300581</v>
      </c>
      <c r="E2139" s="180">
        <v>-2.1942179392142259E-2</v>
      </c>
      <c r="G2139" s="78">
        <v>2137</v>
      </c>
      <c r="H2139" s="180">
        <f t="shared" ca="1" si="68"/>
        <v>2.8784712413394278E-2</v>
      </c>
    </row>
    <row r="2140" spans="2:8" x14ac:dyDescent="0.3">
      <c r="B2140" s="69">
        <v>44291</v>
      </c>
      <c r="C2140" s="55">
        <v>735.07500000000005</v>
      </c>
      <c r="D2140" s="70">
        <f t="shared" si="67"/>
        <v>-3.8646395291809653E-2</v>
      </c>
      <c r="E2140" s="180">
        <v>-2.201895892233488E-2</v>
      </c>
      <c r="G2140" s="78">
        <v>2138</v>
      </c>
      <c r="H2140" s="180">
        <f t="shared" ca="1" si="68"/>
        <v>-2.5692465496663349E-3</v>
      </c>
    </row>
    <row r="2141" spans="2:8" x14ac:dyDescent="0.3">
      <c r="B2141" s="69">
        <v>44323</v>
      </c>
      <c r="C2141" s="55">
        <v>764.625</v>
      </c>
      <c r="D2141" s="70">
        <f t="shared" si="67"/>
        <v>2.1337090163934427</v>
      </c>
      <c r="E2141" s="180">
        <v>-2.2093618109732673E-2</v>
      </c>
      <c r="G2141" s="78">
        <v>2139</v>
      </c>
      <c r="H2141" s="180">
        <f t="shared" ca="1" si="68"/>
        <v>-1.0549923257370971E-2</v>
      </c>
    </row>
    <row r="2142" spans="2:8" x14ac:dyDescent="0.3">
      <c r="B2142" s="69">
        <v>42816</v>
      </c>
      <c r="C2142" s="55">
        <v>244</v>
      </c>
      <c r="D2142" s="70">
        <f t="shared" si="67"/>
        <v>-0.76314129010338305</v>
      </c>
      <c r="E2142" s="180">
        <v>-2.2142069932872481E-2</v>
      </c>
      <c r="G2142" s="78">
        <v>2140</v>
      </c>
      <c r="H2142" s="180">
        <f t="shared" ca="1" si="68"/>
        <v>-9.1286158971254187E-3</v>
      </c>
    </row>
    <row r="2143" spans="2:8" x14ac:dyDescent="0.3">
      <c r="B2143" s="69">
        <v>44734</v>
      </c>
      <c r="C2143" s="55">
        <v>1030.1500000000001</v>
      </c>
      <c r="D2143" s="70">
        <f t="shared" si="67"/>
        <v>0.83154058138501197</v>
      </c>
      <c r="E2143" s="180">
        <v>-2.2210621232974102E-2</v>
      </c>
      <c r="G2143" s="78">
        <v>2141</v>
      </c>
      <c r="H2143" s="180">
        <f t="shared" ca="1" si="68"/>
        <v>-2.1247434191501324E-2</v>
      </c>
    </row>
    <row r="2144" spans="2:8" x14ac:dyDescent="0.3">
      <c r="B2144" s="69">
        <v>43991</v>
      </c>
      <c r="C2144" s="55">
        <v>562.45000000000005</v>
      </c>
      <c r="D2144" s="70">
        <f t="shared" si="67"/>
        <v>-0.8925545632551698</v>
      </c>
      <c r="E2144" s="180">
        <v>-2.2421134961327846E-2</v>
      </c>
      <c r="G2144" s="78">
        <v>2142</v>
      </c>
      <c r="H2144" s="180">
        <f t="shared" ca="1" si="68"/>
        <v>-2.1057855879740767E-2</v>
      </c>
    </row>
    <row r="2145" spans="2:8" x14ac:dyDescent="0.3">
      <c r="B2145" s="69">
        <v>45862</v>
      </c>
      <c r="C2145" s="55">
        <v>5234.75</v>
      </c>
      <c r="D2145" s="70">
        <f t="shared" si="67"/>
        <v>4.0002388002674563</v>
      </c>
      <c r="E2145" s="180">
        <v>-2.250128378693805E-2</v>
      </c>
      <c r="G2145" s="78">
        <v>2143</v>
      </c>
      <c r="H2145" s="180">
        <f t="shared" ca="1" si="68"/>
        <v>6.2783091482994779E-3</v>
      </c>
    </row>
    <row r="2146" spans="2:8" x14ac:dyDescent="0.3">
      <c r="B2146" s="69">
        <v>44599</v>
      </c>
      <c r="C2146" s="55">
        <v>1046.9000000000001</v>
      </c>
      <c r="D2146" s="70">
        <f t="shared" si="67"/>
        <v>-0.1517410415864848</v>
      </c>
      <c r="E2146" s="180">
        <v>-2.2502334267040066E-2</v>
      </c>
      <c r="G2146" s="78">
        <v>2144</v>
      </c>
      <c r="H2146" s="180">
        <f t="shared" ca="1" si="68"/>
        <v>-3.3227492151091866E-2</v>
      </c>
    </row>
    <row r="2147" spans="2:8" x14ac:dyDescent="0.3">
      <c r="B2147" s="69">
        <v>44935</v>
      </c>
      <c r="C2147" s="55">
        <v>1234.175</v>
      </c>
      <c r="D2147" s="70">
        <f t="shared" si="67"/>
        <v>2.3555600870038065</v>
      </c>
      <c r="E2147" s="180">
        <v>-2.2648532002930162E-2</v>
      </c>
      <c r="G2147" s="78">
        <v>2145</v>
      </c>
      <c r="H2147" s="180">
        <f t="shared" ca="1" si="68"/>
        <v>2.0344798908072403E-2</v>
      </c>
    </row>
    <row r="2148" spans="2:8" x14ac:dyDescent="0.3">
      <c r="B2148" s="69">
        <v>43342</v>
      </c>
      <c r="C2148" s="55">
        <v>367.8</v>
      </c>
      <c r="D2148" s="70">
        <f t="shared" si="67"/>
        <v>-0.70873671081546596</v>
      </c>
      <c r="E2148" s="180">
        <v>-2.2718214428059016E-2</v>
      </c>
      <c r="G2148" s="78">
        <v>2146</v>
      </c>
      <c r="H2148" s="180">
        <f t="shared" ca="1" si="68"/>
        <v>-1.8336119156873852E-2</v>
      </c>
    </row>
    <row r="2149" spans="2:8" x14ac:dyDescent="0.3">
      <c r="B2149" s="69">
        <v>44932</v>
      </c>
      <c r="C2149" s="55">
        <v>1262.7750000000001</v>
      </c>
      <c r="D2149" s="70">
        <f t="shared" si="67"/>
        <v>-0.83512211363324784</v>
      </c>
      <c r="E2149" s="180">
        <v>-2.2733428781488214E-2</v>
      </c>
      <c r="G2149" s="78">
        <v>2147</v>
      </c>
      <c r="H2149" s="180">
        <f t="shared" ca="1" si="68"/>
        <v>1.0335214267564908E-2</v>
      </c>
    </row>
    <row r="2150" spans="2:8" x14ac:dyDescent="0.3">
      <c r="B2150" s="69">
        <v>45565</v>
      </c>
      <c r="C2150" s="55">
        <v>7658.85</v>
      </c>
      <c r="D2150" s="70">
        <f t="shared" si="67"/>
        <v>22.495206687629416</v>
      </c>
      <c r="E2150" s="180">
        <v>-2.2753734604624615E-2</v>
      </c>
      <c r="G2150" s="78">
        <v>2148</v>
      </c>
      <c r="H2150" s="180">
        <f t="shared" ca="1" si="68"/>
        <v>-1.6019300608030066E-3</v>
      </c>
    </row>
    <row r="2151" spans="2:8" x14ac:dyDescent="0.3">
      <c r="B2151" s="69">
        <v>43396</v>
      </c>
      <c r="C2151" s="55">
        <v>325.97500000000002</v>
      </c>
      <c r="D2151" s="70">
        <f t="shared" si="67"/>
        <v>-0.91692999668713848</v>
      </c>
      <c r="E2151" s="180">
        <v>-2.2783481975567611E-2</v>
      </c>
      <c r="G2151" s="78">
        <v>2149</v>
      </c>
      <c r="H2151" s="180">
        <f t="shared" ca="1" si="68"/>
        <v>3.7099103877363988E-2</v>
      </c>
    </row>
    <row r="2152" spans="2:8" x14ac:dyDescent="0.3">
      <c r="B2152" s="69">
        <v>45371</v>
      </c>
      <c r="C2152" s="55">
        <v>3924.1</v>
      </c>
      <c r="D2152" s="70">
        <f t="shared" si="67"/>
        <v>2.7869188641463003</v>
      </c>
      <c r="E2152" s="180">
        <v>-2.2846968885790058E-2</v>
      </c>
      <c r="G2152" s="78">
        <v>2150</v>
      </c>
      <c r="H2152" s="180">
        <f t="shared" ca="1" si="68"/>
        <v>3.0000146809927047E-2</v>
      </c>
    </row>
    <row r="2153" spans="2:8" x14ac:dyDescent="0.3">
      <c r="B2153" s="69">
        <v>44732</v>
      </c>
      <c r="C2153" s="55">
        <v>1036.2249999999999</v>
      </c>
      <c r="D2153" s="70">
        <f t="shared" si="67"/>
        <v>-0.24403144321435738</v>
      </c>
      <c r="E2153" s="180">
        <v>-2.2890146157472976E-2</v>
      </c>
      <c r="G2153" s="78">
        <v>2151</v>
      </c>
      <c r="H2153" s="180">
        <f t="shared" ca="1" si="68"/>
        <v>-1.4565987649970096E-2</v>
      </c>
    </row>
    <row r="2154" spans="2:8" x14ac:dyDescent="0.3">
      <c r="B2154" s="69">
        <v>44851</v>
      </c>
      <c r="C2154" s="55">
        <v>1370.7249999999999</v>
      </c>
      <c r="D2154" s="70">
        <f t="shared" si="67"/>
        <v>-0.74745981299801945</v>
      </c>
      <c r="E2154" s="180">
        <v>-2.2952046616889744E-2</v>
      </c>
      <c r="G2154" s="78">
        <v>2152</v>
      </c>
      <c r="H2154" s="180">
        <f t="shared" ca="1" si="68"/>
        <v>1.1518269843562957E-2</v>
      </c>
    </row>
    <row r="2155" spans="2:8" x14ac:dyDescent="0.3">
      <c r="B2155" s="69">
        <v>45908</v>
      </c>
      <c r="C2155" s="55">
        <v>5427.75</v>
      </c>
      <c r="D2155" s="70">
        <f t="shared" si="67"/>
        <v>3.9818724185406151</v>
      </c>
      <c r="E2155" s="180">
        <v>-2.2995229952299523E-2</v>
      </c>
      <c r="G2155" s="78">
        <v>2153</v>
      </c>
      <c r="H2155" s="180">
        <f t="shared" ca="1" si="68"/>
        <v>7.3868243499010154E-3</v>
      </c>
    </row>
    <row r="2156" spans="2:8" x14ac:dyDescent="0.3">
      <c r="B2156" s="69">
        <v>44719</v>
      </c>
      <c r="C2156" s="55">
        <v>1089.5</v>
      </c>
      <c r="D2156" s="70">
        <f t="shared" si="67"/>
        <v>3.4951005673027336</v>
      </c>
      <c r="E2156" s="180">
        <v>-2.3088993499215421E-2</v>
      </c>
      <c r="G2156" s="78">
        <v>2154</v>
      </c>
      <c r="H2156" s="180">
        <f t="shared" ca="1" si="68"/>
        <v>-1.4796666150162219E-3</v>
      </c>
    </row>
    <row r="2157" spans="2:8" x14ac:dyDescent="0.3">
      <c r="B2157" s="69">
        <v>42765</v>
      </c>
      <c r="C2157" s="55">
        <v>242.375</v>
      </c>
      <c r="D2157" s="70">
        <f t="shared" si="67"/>
        <v>-0.66244211552522547</v>
      </c>
      <c r="E2157" s="180">
        <v>-2.3173803526448364E-2</v>
      </c>
      <c r="G2157" s="78">
        <v>2155</v>
      </c>
      <c r="H2157" s="180">
        <f t="shared" ca="1" si="68"/>
        <v>3.5558687307233319E-3</v>
      </c>
    </row>
    <row r="2158" spans="2:8" x14ac:dyDescent="0.3">
      <c r="B2158" s="69">
        <v>44292</v>
      </c>
      <c r="C2158" s="55">
        <v>718.02499999999998</v>
      </c>
      <c r="D2158" s="70">
        <f t="shared" si="67"/>
        <v>-0.44450031913041788</v>
      </c>
      <c r="E2158" s="180">
        <v>-2.3194912083801065E-2</v>
      </c>
      <c r="G2158" s="78">
        <v>2156</v>
      </c>
      <c r="H2158" s="180">
        <f t="shared" ca="1" si="68"/>
        <v>1.0444078243273253E-2</v>
      </c>
    </row>
    <row r="2159" spans="2:8" x14ac:dyDescent="0.3">
      <c r="B2159" s="69">
        <v>44659</v>
      </c>
      <c r="C2159" s="55">
        <v>1292.5749999999998</v>
      </c>
      <c r="D2159" s="70">
        <f t="shared" si="67"/>
        <v>3.464082196511828</v>
      </c>
      <c r="E2159" s="180">
        <v>-2.3310727846307978E-2</v>
      </c>
      <c r="G2159" s="78">
        <v>2157</v>
      </c>
      <c r="H2159" s="180">
        <f t="shared" ca="1" si="68"/>
        <v>-2.868313620475996E-3</v>
      </c>
    </row>
    <row r="2160" spans="2:8" x14ac:dyDescent="0.3">
      <c r="B2160" s="69">
        <v>42982</v>
      </c>
      <c r="C2160" s="55">
        <v>289.55</v>
      </c>
      <c r="D2160" s="70">
        <f t="shared" si="67"/>
        <v>0.19500619067271976</v>
      </c>
      <c r="E2160" s="180">
        <v>-2.3357787334513908E-2</v>
      </c>
      <c r="G2160" s="78">
        <v>2158</v>
      </c>
      <c r="H2160" s="180">
        <f t="shared" ca="1" si="68"/>
        <v>2.3963889886307502E-2</v>
      </c>
    </row>
    <row r="2161" spans="2:8" x14ac:dyDescent="0.3">
      <c r="B2161" s="69">
        <v>42803</v>
      </c>
      <c r="C2161" s="55">
        <v>242.3</v>
      </c>
      <c r="D2161" s="70">
        <f t="shared" si="67"/>
        <v>-0.81211956732446788</v>
      </c>
      <c r="E2161" s="180">
        <v>-2.3377670294236128E-2</v>
      </c>
      <c r="G2161" s="78">
        <v>2159</v>
      </c>
      <c r="H2161" s="180">
        <f t="shared" ca="1" si="68"/>
        <v>2.7928083236288771E-3</v>
      </c>
    </row>
    <row r="2162" spans="2:8" x14ac:dyDescent="0.3">
      <c r="B2162" s="69">
        <v>44984</v>
      </c>
      <c r="C2162" s="55">
        <v>1289.6500000000001</v>
      </c>
      <c r="D2162" s="70">
        <f t="shared" si="67"/>
        <v>2.1232063934128478</v>
      </c>
      <c r="E2162" s="180">
        <v>-2.3454803596781759E-2</v>
      </c>
      <c r="G2162" s="78">
        <v>2160</v>
      </c>
      <c r="H2162" s="180">
        <f t="shared" ca="1" si="68"/>
        <v>6.5821220466619869E-3</v>
      </c>
    </row>
    <row r="2163" spans="2:8" x14ac:dyDescent="0.3">
      <c r="B2163" s="69">
        <v>43970</v>
      </c>
      <c r="C2163" s="55">
        <v>412.92500000000001</v>
      </c>
      <c r="D2163" s="70">
        <f t="shared" si="67"/>
        <v>-0.22247328531751639</v>
      </c>
      <c r="E2163" s="180">
        <v>-2.3471680264869364E-2</v>
      </c>
      <c r="G2163" s="78">
        <v>2161</v>
      </c>
      <c r="H2163" s="180">
        <f t="shared" ca="1" si="68"/>
        <v>-1.2422398072581395E-2</v>
      </c>
    </row>
    <row r="2164" spans="2:8" x14ac:dyDescent="0.3">
      <c r="B2164" s="69">
        <v>43777</v>
      </c>
      <c r="C2164" s="55">
        <v>531.07500000000005</v>
      </c>
      <c r="D2164" s="70">
        <f t="shared" si="67"/>
        <v>-0.60637785354284013</v>
      </c>
      <c r="E2164" s="180">
        <v>-2.3489932885905996E-2</v>
      </c>
      <c r="G2164" s="78">
        <v>2162</v>
      </c>
      <c r="H2164" s="180">
        <f t="shared" ca="1" si="68"/>
        <v>1.459597219065337E-2</v>
      </c>
    </row>
    <row r="2165" spans="2:8" x14ac:dyDescent="0.3">
      <c r="B2165" s="69">
        <v>44802</v>
      </c>
      <c r="C2165" s="55">
        <v>1349.2</v>
      </c>
      <c r="D2165" s="70">
        <f t="shared" si="67"/>
        <v>3.4370632245334209</v>
      </c>
      <c r="E2165" s="180">
        <v>-2.3698397192372933E-2</v>
      </c>
      <c r="G2165" s="78">
        <v>2163</v>
      </c>
      <c r="H2165" s="180">
        <f t="shared" ca="1" si="68"/>
        <v>-1.2661929795577309E-3</v>
      </c>
    </row>
    <row r="2166" spans="2:8" x14ac:dyDescent="0.3">
      <c r="B2166" s="69">
        <v>43279</v>
      </c>
      <c r="C2166" s="55">
        <v>304.07499999999999</v>
      </c>
      <c r="D2166" s="70">
        <f t="shared" si="67"/>
        <v>-0.6559459153654672</v>
      </c>
      <c r="E2166" s="180">
        <v>-2.3836276083467133E-2</v>
      </c>
      <c r="G2166" s="78">
        <v>2164</v>
      </c>
      <c r="H2166" s="180">
        <f t="shared" ca="1" si="68"/>
        <v>2.5366117769730169E-2</v>
      </c>
    </row>
    <row r="2167" spans="2:8" x14ac:dyDescent="0.3">
      <c r="B2167" s="69">
        <v>44403</v>
      </c>
      <c r="C2167" s="55">
        <v>883.8</v>
      </c>
      <c r="D2167" s="70">
        <f t="shared" si="67"/>
        <v>0.748022151898734</v>
      </c>
      <c r="E2167" s="180">
        <v>-2.3856858846918638E-2</v>
      </c>
      <c r="G2167" s="78">
        <v>2165</v>
      </c>
      <c r="H2167" s="180">
        <f t="shared" ca="1" si="68"/>
        <v>-1.6833915308061E-3</v>
      </c>
    </row>
    <row r="2168" spans="2:8" x14ac:dyDescent="0.3">
      <c r="B2168" s="69">
        <v>43804</v>
      </c>
      <c r="C2168" s="55">
        <v>505.6</v>
      </c>
      <c r="D2168" s="70">
        <f t="shared" si="67"/>
        <v>-0.58213149303690237</v>
      </c>
      <c r="E2168" s="180">
        <v>-2.3938223938223896E-2</v>
      </c>
      <c r="G2168" s="78">
        <v>2166</v>
      </c>
      <c r="H2168" s="180">
        <f t="shared" ca="1" si="68"/>
        <v>-4.2152748314497439E-2</v>
      </c>
    </row>
    <row r="2169" spans="2:8" x14ac:dyDescent="0.3">
      <c r="B2169" s="69">
        <v>44679</v>
      </c>
      <c r="C2169" s="55">
        <v>1209.95</v>
      </c>
      <c r="D2169" s="70">
        <f t="shared" si="67"/>
        <v>3.0211033565968766</v>
      </c>
      <c r="E2169" s="180">
        <v>-2.4017423218858913E-2</v>
      </c>
      <c r="G2169" s="78">
        <v>2167</v>
      </c>
      <c r="H2169" s="180">
        <f t="shared" ca="1" si="68"/>
        <v>-3.6227046085148679E-4</v>
      </c>
    </row>
    <row r="2170" spans="2:8" x14ac:dyDescent="0.3">
      <c r="B2170" s="69">
        <v>43034</v>
      </c>
      <c r="C2170" s="55">
        <v>300.89999999999998</v>
      </c>
      <c r="D2170" s="70">
        <f t="shared" si="67"/>
        <v>-0.93025115610621112</v>
      </c>
      <c r="E2170" s="180">
        <v>-2.4081731938701084E-2</v>
      </c>
      <c r="G2170" s="78">
        <v>2168</v>
      </c>
      <c r="H2170" s="180">
        <f t="shared" ca="1" si="68"/>
        <v>2.767888390645238E-2</v>
      </c>
    </row>
    <row r="2171" spans="2:8" x14ac:dyDescent="0.3">
      <c r="B2171" s="69">
        <v>45972</v>
      </c>
      <c r="C2171" s="55">
        <v>4314.05</v>
      </c>
      <c r="D2171" s="70">
        <f t="shared" si="67"/>
        <v>8.1935002663825252</v>
      </c>
      <c r="E2171" s="180">
        <v>-2.4246536612948785E-2</v>
      </c>
      <c r="G2171" s="78">
        <v>2169</v>
      </c>
      <c r="H2171" s="180">
        <f t="shared" ca="1" si="68"/>
        <v>-3.787048286897886E-3</v>
      </c>
    </row>
    <row r="2172" spans="2:8" x14ac:dyDescent="0.3">
      <c r="B2172" s="69">
        <v>43957</v>
      </c>
      <c r="C2172" s="55">
        <v>469.25</v>
      </c>
      <c r="D2172" s="70">
        <f t="shared" si="67"/>
        <v>-0.59040719242351503</v>
      </c>
      <c r="E2172" s="180">
        <v>-2.4276134532411522E-2</v>
      </c>
      <c r="G2172" s="78">
        <v>2170</v>
      </c>
      <c r="H2172" s="180">
        <f t="shared" ca="1" si="68"/>
        <v>1.8896890778239948E-2</v>
      </c>
    </row>
    <row r="2173" spans="2:8" x14ac:dyDescent="0.3">
      <c r="B2173" s="69">
        <v>44585</v>
      </c>
      <c r="C2173" s="55">
        <v>1145.6500000000001</v>
      </c>
      <c r="D2173" s="70">
        <f t="shared" si="67"/>
        <v>0.96383115491750604</v>
      </c>
      <c r="E2173" s="180">
        <v>-2.4376743096804411E-2</v>
      </c>
      <c r="G2173" s="78">
        <v>2171</v>
      </c>
      <c r="H2173" s="180">
        <f t="shared" ca="1" si="68"/>
        <v>-5.8139531894595272E-3</v>
      </c>
    </row>
    <row r="2174" spans="2:8" x14ac:dyDescent="0.3">
      <c r="B2174" s="69">
        <v>44036</v>
      </c>
      <c r="C2174" s="55">
        <v>583.375</v>
      </c>
      <c r="D2174" s="70">
        <f t="shared" si="67"/>
        <v>-0.48573002754820938</v>
      </c>
      <c r="E2174" s="180">
        <v>-2.4456521739130436E-2</v>
      </c>
      <c r="G2174" s="78">
        <v>2172</v>
      </c>
      <c r="H2174" s="180">
        <f t="shared" ca="1" si="68"/>
        <v>4.4474165625602254E-2</v>
      </c>
    </row>
    <row r="2175" spans="2:8" x14ac:dyDescent="0.3">
      <c r="B2175" s="69">
        <v>44488</v>
      </c>
      <c r="C2175" s="55">
        <v>1134.375</v>
      </c>
      <c r="D2175" s="70">
        <f t="shared" si="67"/>
        <v>-0.71498473637265869</v>
      </c>
      <c r="E2175" s="180">
        <v>-2.4466278244791816E-2</v>
      </c>
      <c r="G2175" s="78">
        <v>2173</v>
      </c>
      <c r="H2175" s="180">
        <f t="shared" ca="1" si="68"/>
        <v>-6.1596248827042849E-4</v>
      </c>
    </row>
    <row r="2176" spans="2:8" x14ac:dyDescent="0.3">
      <c r="B2176" s="69">
        <v>46077</v>
      </c>
      <c r="C2176" s="55">
        <v>3980.05</v>
      </c>
      <c r="D2176" s="70">
        <f t="shared" si="67"/>
        <v>-0.42829132356796318</v>
      </c>
      <c r="E2176" s="180">
        <v>-2.4485594186203174E-2</v>
      </c>
      <c r="G2176" s="78">
        <v>2174</v>
      </c>
      <c r="H2176" s="180">
        <f t="shared" ca="1" si="68"/>
        <v>-1.9200492061119821E-2</v>
      </c>
    </row>
    <row r="2177" spans="2:8" x14ac:dyDescent="0.3">
      <c r="B2177" s="69">
        <v>45664</v>
      </c>
      <c r="C2177" s="55">
        <v>6961.6750000000002</v>
      </c>
      <c r="D2177" s="70">
        <f t="shared" si="67"/>
        <v>15.59616186900292</v>
      </c>
      <c r="E2177" s="180">
        <v>-2.4555393254097526E-2</v>
      </c>
      <c r="G2177" s="78">
        <v>2175</v>
      </c>
      <c r="H2177" s="180">
        <f t="shared" ca="1" si="68"/>
        <v>1.291307541768163E-2</v>
      </c>
    </row>
    <row r="2178" spans="2:8" x14ac:dyDescent="0.3">
      <c r="B2178" s="69">
        <v>43669</v>
      </c>
      <c r="C2178" s="55">
        <v>419.47500000000002</v>
      </c>
      <c r="D2178" s="70">
        <f t="shared" si="67"/>
        <v>0.21569337777133771</v>
      </c>
      <c r="E2178" s="180">
        <v>-2.4590163934426201E-2</v>
      </c>
      <c r="G2178" s="78">
        <v>2176</v>
      </c>
      <c r="H2178" s="180">
        <f t="shared" ca="1" si="68"/>
        <v>-1.4613077816271148E-2</v>
      </c>
    </row>
    <row r="2179" spans="2:8" x14ac:dyDescent="0.3">
      <c r="B2179" s="69">
        <v>43223</v>
      </c>
      <c r="C2179" s="55">
        <v>345.04999999999995</v>
      </c>
      <c r="D2179" s="70">
        <f t="shared" ref="D2179:D2242" si="69">(C2179-C2180)/C2180</f>
        <v>-0.93909010269332782</v>
      </c>
      <c r="E2179" s="180">
        <v>-2.4662568016394666E-2</v>
      </c>
      <c r="G2179" s="78">
        <v>2177</v>
      </c>
      <c r="H2179" s="180">
        <f t="shared" ca="1" si="68"/>
        <v>-2.2405745482144464E-2</v>
      </c>
    </row>
    <row r="2180" spans="2:8" x14ac:dyDescent="0.3">
      <c r="B2180" s="69">
        <v>45506</v>
      </c>
      <c r="C2180" s="55">
        <v>5664.9250000000002</v>
      </c>
      <c r="D2180" s="70">
        <f t="shared" si="69"/>
        <v>6.8679513888888888</v>
      </c>
      <c r="E2180" s="180">
        <v>-2.4713887896564962E-2</v>
      </c>
      <c r="G2180" s="78">
        <v>2178</v>
      </c>
      <c r="H2180" s="180">
        <f t="shared" ref="H2180:H2243" ca="1" si="70">_xlfn.NORM.INV(RAND(),$N$4,$N$5)</f>
        <v>-3.8278447583775192E-3</v>
      </c>
    </row>
    <row r="2181" spans="2:8" x14ac:dyDescent="0.3">
      <c r="B2181" s="69">
        <v>43889</v>
      </c>
      <c r="C2181" s="55">
        <v>720</v>
      </c>
      <c r="D2181" s="70">
        <f t="shared" si="69"/>
        <v>-0.90222671858608972</v>
      </c>
      <c r="E2181" s="180">
        <v>-2.4852712128394423E-2</v>
      </c>
      <c r="G2181" s="78">
        <v>2179</v>
      </c>
      <c r="H2181" s="180">
        <f t="shared" ca="1" si="70"/>
        <v>5.8149656365699541E-2</v>
      </c>
    </row>
    <row r="2182" spans="2:8" x14ac:dyDescent="0.3">
      <c r="B2182" s="69">
        <v>45569</v>
      </c>
      <c r="C2182" s="55">
        <v>7363.9750000000004</v>
      </c>
      <c r="D2182" s="70">
        <f t="shared" si="69"/>
        <v>26.362656758012079</v>
      </c>
      <c r="E2182" s="180">
        <v>-2.4994207407897737E-2</v>
      </c>
      <c r="G2182" s="78">
        <v>2180</v>
      </c>
      <c r="H2182" s="180">
        <f t="shared" ca="1" si="70"/>
        <v>-3.3913431239386846E-3</v>
      </c>
    </row>
    <row r="2183" spans="2:8" x14ac:dyDescent="0.3">
      <c r="B2183" s="69">
        <v>42957</v>
      </c>
      <c r="C2183" s="55">
        <v>269.125</v>
      </c>
      <c r="D2183" s="70">
        <f t="shared" si="69"/>
        <v>-0.59407993966817496</v>
      </c>
      <c r="E2183" s="180">
        <v>-2.4997735712344815E-2</v>
      </c>
      <c r="G2183" s="78">
        <v>2181</v>
      </c>
      <c r="H2183" s="180">
        <f t="shared" ca="1" si="70"/>
        <v>-2.9071089585221508E-2</v>
      </c>
    </row>
    <row r="2184" spans="2:8" x14ac:dyDescent="0.3">
      <c r="B2184" s="69">
        <v>44210</v>
      </c>
      <c r="C2184" s="55">
        <v>663</v>
      </c>
      <c r="D2184" s="70">
        <f t="shared" si="69"/>
        <v>-0.9144529926936662</v>
      </c>
      <c r="E2184" s="180">
        <v>-2.5000000000000001E-2</v>
      </c>
      <c r="G2184" s="78">
        <v>2182</v>
      </c>
      <c r="H2184" s="180">
        <f t="shared" ca="1" si="70"/>
        <v>-4.9473027112781811E-3</v>
      </c>
    </row>
    <row r="2185" spans="2:8" x14ac:dyDescent="0.3">
      <c r="B2185" s="69">
        <v>45582</v>
      </c>
      <c r="C2185" s="55">
        <v>7750.125</v>
      </c>
      <c r="D2185" s="70">
        <f t="shared" si="69"/>
        <v>14.392502482621648</v>
      </c>
      <c r="E2185" s="180">
        <v>-2.5116984075071094E-2</v>
      </c>
      <c r="G2185" s="78">
        <v>2183</v>
      </c>
      <c r="H2185" s="180">
        <f t="shared" ca="1" si="70"/>
        <v>2.8943280934086289E-2</v>
      </c>
    </row>
    <row r="2186" spans="2:8" x14ac:dyDescent="0.3">
      <c r="B2186" s="69">
        <v>43735</v>
      </c>
      <c r="C2186" s="55">
        <v>503.5</v>
      </c>
      <c r="D2186" s="70">
        <f t="shared" si="69"/>
        <v>9.9585062240663949E-2</v>
      </c>
      <c r="E2186" s="180">
        <v>-2.516940948693127E-2</v>
      </c>
      <c r="G2186" s="78">
        <v>2184</v>
      </c>
      <c r="H2186" s="180">
        <f t="shared" ca="1" si="70"/>
        <v>9.8149297023897297E-3</v>
      </c>
    </row>
    <row r="2187" spans="2:8" x14ac:dyDescent="0.3">
      <c r="B2187" s="69">
        <v>43711</v>
      </c>
      <c r="C2187" s="55">
        <v>457.9</v>
      </c>
      <c r="D2187" s="70">
        <f t="shared" si="69"/>
        <v>-0.3813834098892192</v>
      </c>
      <c r="E2187" s="180">
        <v>-2.5226184140500315E-2</v>
      </c>
      <c r="G2187" s="78">
        <v>2185</v>
      </c>
      <c r="H2187" s="180">
        <f t="shared" ca="1" si="70"/>
        <v>1.6542802595679397E-2</v>
      </c>
    </row>
    <row r="2188" spans="2:8" x14ac:dyDescent="0.3">
      <c r="B2188" s="69">
        <v>43879</v>
      </c>
      <c r="C2188" s="55">
        <v>740.2</v>
      </c>
      <c r="D2188" s="70">
        <f t="shared" si="69"/>
        <v>-0.8549267480033319</v>
      </c>
      <c r="E2188" s="180">
        <v>-2.5283118251250899E-2</v>
      </c>
      <c r="G2188" s="78">
        <v>2186</v>
      </c>
      <c r="H2188" s="180">
        <f t="shared" ca="1" si="70"/>
        <v>-1.0180819757709019E-2</v>
      </c>
    </row>
    <row r="2189" spans="2:8" x14ac:dyDescent="0.3">
      <c r="B2189" s="69">
        <v>45863</v>
      </c>
      <c r="C2189" s="55">
        <v>5102.25</v>
      </c>
      <c r="D2189" s="70">
        <f t="shared" si="69"/>
        <v>3.9567688347015113</v>
      </c>
      <c r="E2189" s="180">
        <v>-2.5311619466068101E-2</v>
      </c>
      <c r="G2189" s="78">
        <v>2187</v>
      </c>
      <c r="H2189" s="180">
        <f t="shared" ca="1" si="70"/>
        <v>3.659766181613533E-2</v>
      </c>
    </row>
    <row r="2190" spans="2:8" x14ac:dyDescent="0.3">
      <c r="B2190" s="69">
        <v>44707</v>
      </c>
      <c r="C2190" s="55">
        <v>1029.3499999999999</v>
      </c>
      <c r="D2190" s="70">
        <f t="shared" si="69"/>
        <v>2.8340627618958929</v>
      </c>
      <c r="E2190" s="180">
        <v>-2.5375183449320816E-2</v>
      </c>
      <c r="G2190" s="78">
        <v>2188</v>
      </c>
      <c r="H2190" s="180">
        <f t="shared" ca="1" si="70"/>
        <v>3.5956894359294243E-2</v>
      </c>
    </row>
    <row r="2191" spans="2:8" x14ac:dyDescent="0.3">
      <c r="B2191" s="69">
        <v>42965</v>
      </c>
      <c r="C2191" s="55">
        <v>268.47500000000002</v>
      </c>
      <c r="D2191" s="70">
        <f t="shared" si="69"/>
        <v>-0.94829561868078949</v>
      </c>
      <c r="E2191" s="180">
        <v>-2.5499092558983583E-2</v>
      </c>
      <c r="G2191" s="78">
        <v>2189</v>
      </c>
      <c r="H2191" s="180">
        <f t="shared" ca="1" si="70"/>
        <v>1.4458078510878951E-2</v>
      </c>
    </row>
    <row r="2192" spans="2:8" x14ac:dyDescent="0.3">
      <c r="B2192" s="69">
        <v>45699</v>
      </c>
      <c r="C2192" s="55">
        <v>5192.5</v>
      </c>
      <c r="D2192" s="70">
        <f t="shared" si="69"/>
        <v>4.0803512462392684</v>
      </c>
      <c r="E2192" s="180">
        <v>-2.5797373358348967E-2</v>
      </c>
      <c r="G2192" s="78">
        <v>2190</v>
      </c>
      <c r="H2192" s="180">
        <f t="shared" ca="1" si="70"/>
        <v>-8.3066317877604594E-3</v>
      </c>
    </row>
    <row r="2193" spans="2:8" x14ac:dyDescent="0.3">
      <c r="B2193" s="69">
        <v>44497</v>
      </c>
      <c r="C2193" s="55">
        <v>1022.075</v>
      </c>
      <c r="D2193" s="70">
        <f t="shared" si="69"/>
        <v>-0.79279813491460138</v>
      </c>
      <c r="E2193" s="180">
        <v>-2.5899451989516278E-2</v>
      </c>
      <c r="G2193" s="78">
        <v>2191</v>
      </c>
      <c r="H2193" s="180">
        <f t="shared" ca="1" si="70"/>
        <v>3.3182195039462093E-3</v>
      </c>
    </row>
    <row r="2194" spans="2:8" x14ac:dyDescent="0.3">
      <c r="B2194" s="69">
        <v>45923</v>
      </c>
      <c r="C2194" s="55">
        <v>4932.75</v>
      </c>
      <c r="D2194" s="70">
        <f t="shared" si="69"/>
        <v>2.8174747513833531</v>
      </c>
      <c r="E2194" s="180">
        <v>-2.5918246445497631E-2</v>
      </c>
      <c r="G2194" s="78">
        <v>2192</v>
      </c>
      <c r="H2194" s="180">
        <f t="shared" ca="1" si="70"/>
        <v>-1.4551936751032153E-2</v>
      </c>
    </row>
    <row r="2195" spans="2:8" x14ac:dyDescent="0.3">
      <c r="B2195" s="69">
        <v>44931</v>
      </c>
      <c r="C2195" s="55">
        <v>1292.1500000000001</v>
      </c>
      <c r="D2195" s="70">
        <f t="shared" si="69"/>
        <v>4.2649485586227973</v>
      </c>
      <c r="E2195" s="180">
        <v>-2.6115465782333331E-2</v>
      </c>
      <c r="G2195" s="78">
        <v>2193</v>
      </c>
      <c r="H2195" s="180">
        <f t="shared" ca="1" si="70"/>
        <v>-7.3631773746255852E-3</v>
      </c>
    </row>
    <row r="2196" spans="2:8" x14ac:dyDescent="0.3">
      <c r="B2196" s="69">
        <v>42781</v>
      </c>
      <c r="C2196" s="55">
        <v>245.42500000000001</v>
      </c>
      <c r="D2196" s="70">
        <f t="shared" si="69"/>
        <v>-0.28650337960607603</v>
      </c>
      <c r="E2196" s="180">
        <v>-2.6187878186687805E-2</v>
      </c>
      <c r="G2196" s="78">
        <v>2194</v>
      </c>
      <c r="H2196" s="180">
        <f t="shared" ca="1" si="70"/>
        <v>2.0631316053032265E-3</v>
      </c>
    </row>
    <row r="2197" spans="2:8" x14ac:dyDescent="0.3">
      <c r="B2197" s="69">
        <v>43493</v>
      </c>
      <c r="C2197" s="55">
        <v>343.97500000000002</v>
      </c>
      <c r="D2197" s="70">
        <f t="shared" si="69"/>
        <v>0.11517263738045075</v>
      </c>
      <c r="E2197" s="180">
        <v>-2.6944837340876882E-2</v>
      </c>
      <c r="G2197" s="78">
        <v>2195</v>
      </c>
      <c r="H2197" s="180">
        <f t="shared" ca="1" si="70"/>
        <v>2.2587588372249444E-3</v>
      </c>
    </row>
    <row r="2198" spans="2:8" x14ac:dyDescent="0.3">
      <c r="B2198" s="69">
        <v>43052</v>
      </c>
      <c r="C2198" s="55">
        <v>308.45</v>
      </c>
      <c r="D2198" s="70">
        <f t="shared" si="69"/>
        <v>-8.2676579925650598E-2</v>
      </c>
      <c r="E2198" s="180">
        <v>-2.6971608832807605E-2</v>
      </c>
      <c r="G2198" s="78">
        <v>2196</v>
      </c>
      <c r="H2198" s="180">
        <f t="shared" ca="1" si="70"/>
        <v>4.4537562474800209E-2</v>
      </c>
    </row>
    <row r="2199" spans="2:8" x14ac:dyDescent="0.3">
      <c r="B2199" s="69">
        <v>43371</v>
      </c>
      <c r="C2199" s="55">
        <v>336.25</v>
      </c>
      <c r="D2199" s="70">
        <f t="shared" si="69"/>
        <v>-0.50140865954922897</v>
      </c>
      <c r="E2199" s="180">
        <v>-2.7124773960216998E-2</v>
      </c>
      <c r="G2199" s="78">
        <v>2197</v>
      </c>
      <c r="H2199" s="180">
        <f t="shared" ca="1" si="70"/>
        <v>-3.4294480208059114E-2</v>
      </c>
    </row>
    <row r="2200" spans="2:8" x14ac:dyDescent="0.3">
      <c r="B2200" s="69">
        <v>43896</v>
      </c>
      <c r="C2200" s="55">
        <v>674.4</v>
      </c>
      <c r="D2200" s="70">
        <f t="shared" si="69"/>
        <v>-0.3628268417696105</v>
      </c>
      <c r="E2200" s="180">
        <v>-2.7331073772265155E-2</v>
      </c>
      <c r="G2200" s="78">
        <v>2198</v>
      </c>
      <c r="H2200" s="180">
        <f t="shared" ca="1" si="70"/>
        <v>-1.3694016713552712E-2</v>
      </c>
    </row>
    <row r="2201" spans="2:8" x14ac:dyDescent="0.3">
      <c r="B2201" s="69">
        <v>44526</v>
      </c>
      <c r="C2201" s="55">
        <v>1058.425</v>
      </c>
      <c r="D2201" s="70">
        <f t="shared" si="69"/>
        <v>4.3888847794462116E-2</v>
      </c>
      <c r="E2201" s="180">
        <v>-2.7384042822026656E-2</v>
      </c>
      <c r="G2201" s="78">
        <v>2199</v>
      </c>
      <c r="H2201" s="180">
        <f t="shared" ca="1" si="70"/>
        <v>-5.9543862008310366E-3</v>
      </c>
    </row>
    <row r="2202" spans="2:8" x14ac:dyDescent="0.3">
      <c r="B2202" s="69">
        <v>44693</v>
      </c>
      <c r="C2202" s="55">
        <v>1013.925</v>
      </c>
      <c r="D2202" s="70">
        <f t="shared" si="69"/>
        <v>-0.87245905557372505</v>
      </c>
      <c r="E2202" s="180">
        <v>-2.7480037407380638E-2</v>
      </c>
      <c r="G2202" s="78">
        <v>2200</v>
      </c>
      <c r="H2202" s="180">
        <f t="shared" ca="1" si="70"/>
        <v>9.1228943985939767E-3</v>
      </c>
    </row>
    <row r="2203" spans="2:8" x14ac:dyDescent="0.3">
      <c r="B2203" s="69">
        <v>45581</v>
      </c>
      <c r="C2203" s="55">
        <v>7949.8</v>
      </c>
      <c r="D2203" s="70">
        <f t="shared" si="69"/>
        <v>6.7236890043962978</v>
      </c>
      <c r="E2203" s="180">
        <v>-2.7547400611620775E-2</v>
      </c>
      <c r="G2203" s="78">
        <v>2201</v>
      </c>
      <c r="H2203" s="180">
        <f t="shared" ca="1" si="70"/>
        <v>-2.2513068878963014E-3</v>
      </c>
    </row>
    <row r="2204" spans="2:8" x14ac:dyDescent="0.3">
      <c r="B2204" s="69">
        <v>44546</v>
      </c>
      <c r="C2204" s="55">
        <v>1029.2750000000001</v>
      </c>
      <c r="D2204" s="70">
        <f t="shared" si="69"/>
        <v>-0.8049322467544775</v>
      </c>
      <c r="E2204" s="180">
        <v>-2.77935203551525E-2</v>
      </c>
      <c r="G2204" s="78">
        <v>2202</v>
      </c>
      <c r="H2204" s="180">
        <f t="shared" ca="1" si="70"/>
        <v>-9.5248807210765452E-3</v>
      </c>
    </row>
    <row r="2205" spans="2:8" x14ac:dyDescent="0.3">
      <c r="B2205" s="69">
        <v>45909</v>
      </c>
      <c r="C2205" s="55">
        <v>5276.5</v>
      </c>
      <c r="D2205" s="70">
        <f t="shared" si="69"/>
        <v>5.0684301322599197</v>
      </c>
      <c r="E2205" s="180">
        <v>-2.7866058679931832E-2</v>
      </c>
      <c r="G2205" s="78">
        <v>2203</v>
      </c>
      <c r="H2205" s="180">
        <f t="shared" ca="1" si="70"/>
        <v>1.8551082152314574E-2</v>
      </c>
    </row>
    <row r="2206" spans="2:8" x14ac:dyDescent="0.3">
      <c r="B2206" s="69">
        <v>44396</v>
      </c>
      <c r="C2206" s="55">
        <v>869.5</v>
      </c>
      <c r="D2206" s="70">
        <f t="shared" si="69"/>
        <v>-0.35549625676376839</v>
      </c>
      <c r="E2206" s="180">
        <v>-2.7948574622694244E-2</v>
      </c>
      <c r="G2206" s="78">
        <v>2204</v>
      </c>
      <c r="H2206" s="180">
        <f t="shared" ca="1" si="70"/>
        <v>-3.7178988295523609E-2</v>
      </c>
    </row>
    <row r="2207" spans="2:8" x14ac:dyDescent="0.3">
      <c r="B2207" s="69">
        <v>44917</v>
      </c>
      <c r="C2207" s="55">
        <v>1349.1</v>
      </c>
      <c r="D2207" s="70">
        <f t="shared" si="69"/>
        <v>1.756781609195402</v>
      </c>
      <c r="E2207" s="180">
        <v>-2.804344302155954E-2</v>
      </c>
      <c r="G2207" s="78">
        <v>2205</v>
      </c>
      <c r="H2207" s="180">
        <f t="shared" ca="1" si="70"/>
        <v>-2.6624449387037338E-2</v>
      </c>
    </row>
    <row r="2208" spans="2:8" x14ac:dyDescent="0.3">
      <c r="B2208" s="69">
        <v>43738</v>
      </c>
      <c r="C2208" s="55">
        <v>489.375</v>
      </c>
      <c r="D2208" s="70">
        <f t="shared" si="69"/>
        <v>0.66965199590583402</v>
      </c>
      <c r="E2208" s="180">
        <v>-2.8053624627606754E-2</v>
      </c>
      <c r="G2208" s="78">
        <v>2206</v>
      </c>
      <c r="H2208" s="180">
        <f t="shared" ca="1" si="70"/>
        <v>1.9103695587432965E-3</v>
      </c>
    </row>
    <row r="2209" spans="2:8" x14ac:dyDescent="0.3">
      <c r="B2209" s="69">
        <v>43003</v>
      </c>
      <c r="C2209" s="55">
        <v>293.10000000000002</v>
      </c>
      <c r="D2209" s="70">
        <f t="shared" si="69"/>
        <v>-0.53833431777909035</v>
      </c>
      <c r="E2209" s="180">
        <v>-2.8102462074110806E-2</v>
      </c>
      <c r="G2209" s="78">
        <v>2207</v>
      </c>
      <c r="H2209" s="180">
        <f t="shared" ca="1" si="70"/>
        <v>-1.1890259599149772E-2</v>
      </c>
    </row>
    <row r="2210" spans="2:8" x14ac:dyDescent="0.3">
      <c r="B2210" s="69">
        <v>44074</v>
      </c>
      <c r="C2210" s="55">
        <v>634.875</v>
      </c>
      <c r="D2210" s="70">
        <f t="shared" si="69"/>
        <v>-0.52642473519319699</v>
      </c>
      <c r="E2210" s="180">
        <v>-2.8500382555470542E-2</v>
      </c>
      <c r="G2210" s="78">
        <v>2208</v>
      </c>
      <c r="H2210" s="180">
        <f t="shared" ca="1" si="70"/>
        <v>-2.6164151077080994E-2</v>
      </c>
    </row>
    <row r="2211" spans="2:8" x14ac:dyDescent="0.3">
      <c r="B2211" s="69">
        <v>45044</v>
      </c>
      <c r="C2211" s="55">
        <v>1340.6</v>
      </c>
      <c r="D2211" s="70">
        <f t="shared" si="69"/>
        <v>-0.75111276136548233</v>
      </c>
      <c r="E2211" s="180">
        <v>-2.8585920799971049E-2</v>
      </c>
      <c r="G2211" s="78">
        <v>2209</v>
      </c>
      <c r="H2211" s="180">
        <f t="shared" ca="1" si="70"/>
        <v>-1.7974965323988699E-2</v>
      </c>
    </row>
    <row r="2212" spans="2:8" x14ac:dyDescent="0.3">
      <c r="B2212" s="69">
        <v>45695</v>
      </c>
      <c r="C2212" s="55">
        <v>5386.375</v>
      </c>
      <c r="D2212" s="70">
        <f t="shared" si="69"/>
        <v>0.14943663174067978</v>
      </c>
      <c r="E2212" s="180">
        <v>-2.8606853020739405E-2</v>
      </c>
      <c r="G2212" s="78">
        <v>2210</v>
      </c>
      <c r="H2212" s="180">
        <f t="shared" ca="1" si="70"/>
        <v>3.3216238132412881E-2</v>
      </c>
    </row>
    <row r="2213" spans="2:8" x14ac:dyDescent="0.3">
      <c r="B2213" s="69">
        <v>45756</v>
      </c>
      <c r="C2213" s="55">
        <v>4686.1000000000004</v>
      </c>
      <c r="D2213" s="70">
        <f t="shared" si="69"/>
        <v>2.5527672479150874</v>
      </c>
      <c r="E2213" s="180">
        <v>-2.8611406213561969E-2</v>
      </c>
      <c r="G2213" s="78">
        <v>2211</v>
      </c>
      <c r="H2213" s="180">
        <f t="shared" ca="1" si="70"/>
        <v>1.6077316020439651E-2</v>
      </c>
    </row>
    <row r="2214" spans="2:8" x14ac:dyDescent="0.3">
      <c r="B2214" s="69">
        <v>44796</v>
      </c>
      <c r="C2214" s="55">
        <v>1319</v>
      </c>
      <c r="D2214" s="70">
        <f t="shared" si="69"/>
        <v>0.25969963947186203</v>
      </c>
      <c r="E2214" s="180">
        <v>-2.8682941198129565E-2</v>
      </c>
      <c r="G2214" s="78">
        <v>2212</v>
      </c>
      <c r="H2214" s="180">
        <f t="shared" ca="1" si="70"/>
        <v>-2.3954639994777271E-2</v>
      </c>
    </row>
    <row r="2215" spans="2:8" x14ac:dyDescent="0.3">
      <c r="B2215" s="69">
        <v>44494</v>
      </c>
      <c r="C2215" s="55">
        <v>1047.075</v>
      </c>
      <c r="D2215" s="70">
        <f t="shared" si="69"/>
        <v>2.1571687019448218</v>
      </c>
      <c r="E2215" s="180">
        <v>-2.8732433560595641E-2</v>
      </c>
      <c r="G2215" s="78">
        <v>2213</v>
      </c>
      <c r="H2215" s="180">
        <f t="shared" ca="1" si="70"/>
        <v>5.8972242510503719E-3</v>
      </c>
    </row>
    <row r="2216" spans="2:8" x14ac:dyDescent="0.3">
      <c r="B2216" s="69">
        <v>43381</v>
      </c>
      <c r="C2216" s="55">
        <v>331.65</v>
      </c>
      <c r="D2216" s="70">
        <f t="shared" si="69"/>
        <v>-0.93912137635434978</v>
      </c>
      <c r="E2216" s="180">
        <v>-2.8985507246376909E-2</v>
      </c>
      <c r="G2216" s="78">
        <v>2214</v>
      </c>
      <c r="H2216" s="180">
        <f t="shared" ca="1" si="70"/>
        <v>1.484422469862033E-2</v>
      </c>
    </row>
    <row r="2217" spans="2:8" x14ac:dyDescent="0.3">
      <c r="B2217" s="69">
        <v>45684</v>
      </c>
      <c r="C2217" s="55">
        <v>5447.7250000000004</v>
      </c>
      <c r="D2217" s="70">
        <f t="shared" si="69"/>
        <v>15.80100231303007</v>
      </c>
      <c r="E2217" s="180">
        <v>-2.9055830325713967E-2</v>
      </c>
      <c r="G2217" s="78">
        <v>2215</v>
      </c>
      <c r="H2217" s="180">
        <f t="shared" ca="1" si="70"/>
        <v>8.2426332345893888E-3</v>
      </c>
    </row>
    <row r="2218" spans="2:8" x14ac:dyDescent="0.3">
      <c r="B2218" s="69">
        <v>43388</v>
      </c>
      <c r="C2218" s="55">
        <v>324.25</v>
      </c>
      <c r="D2218" s="70">
        <f t="shared" si="69"/>
        <v>-3.2089552238805968E-2</v>
      </c>
      <c r="E2218" s="180">
        <v>-2.9118946028894446E-2</v>
      </c>
      <c r="G2218" s="78">
        <v>2216</v>
      </c>
      <c r="H2218" s="180">
        <f t="shared" ca="1" si="70"/>
        <v>1.9183827231733317E-2</v>
      </c>
    </row>
    <row r="2219" spans="2:8" x14ac:dyDescent="0.3">
      <c r="B2219" s="69">
        <v>43224</v>
      </c>
      <c r="C2219" s="55">
        <v>335</v>
      </c>
      <c r="D2219" s="70">
        <f t="shared" si="69"/>
        <v>2.2198489587306358E-2</v>
      </c>
      <c r="E2219" s="180">
        <v>-2.9126213592232882E-2</v>
      </c>
      <c r="G2219" s="78">
        <v>2217</v>
      </c>
      <c r="H2219" s="180">
        <f t="shared" ca="1" si="70"/>
        <v>-9.8186138763475175E-3</v>
      </c>
    </row>
    <row r="2220" spans="2:8" x14ac:dyDescent="0.3">
      <c r="B2220" s="69">
        <v>43514</v>
      </c>
      <c r="C2220" s="55">
        <v>327.72500000000002</v>
      </c>
      <c r="D2220" s="70">
        <f t="shared" si="69"/>
        <v>-0.933018925768476</v>
      </c>
      <c r="E2220" s="180">
        <v>-2.9394343254849565E-2</v>
      </c>
      <c r="G2220" s="78">
        <v>2218</v>
      </c>
      <c r="H2220" s="180">
        <f t="shared" ca="1" si="70"/>
        <v>2.1213426458427278E-4</v>
      </c>
    </row>
    <row r="2221" spans="2:8" x14ac:dyDescent="0.3">
      <c r="B2221" s="69">
        <v>45726</v>
      </c>
      <c r="C2221" s="55">
        <v>4892.8</v>
      </c>
      <c r="D2221" s="70">
        <f t="shared" si="69"/>
        <v>13.942128569247215</v>
      </c>
      <c r="E2221" s="180">
        <v>-2.9682844238196556E-2</v>
      </c>
      <c r="G2221" s="78">
        <v>2219</v>
      </c>
      <c r="H2221" s="180">
        <f t="shared" ca="1" si="70"/>
        <v>3.1207768114705679E-2</v>
      </c>
    </row>
    <row r="2222" spans="2:8" x14ac:dyDescent="0.3">
      <c r="B2222" s="69">
        <v>43171</v>
      </c>
      <c r="C2222" s="55">
        <v>327.45</v>
      </c>
      <c r="D2222" s="70">
        <f t="shared" si="69"/>
        <v>-0.92967063649738513</v>
      </c>
      <c r="E2222" s="180">
        <v>-2.9705904141047585E-2</v>
      </c>
      <c r="G2222" s="78">
        <v>2220</v>
      </c>
      <c r="H2222" s="180">
        <f t="shared" ca="1" si="70"/>
        <v>-8.4900645254874091E-3</v>
      </c>
    </row>
    <row r="2223" spans="2:8" x14ac:dyDescent="0.3">
      <c r="B2223" s="69">
        <v>45937</v>
      </c>
      <c r="C2223" s="55">
        <v>4655.95</v>
      </c>
      <c r="D2223" s="70">
        <f t="shared" si="69"/>
        <v>9.826531798628066</v>
      </c>
      <c r="E2223" s="180">
        <v>-2.9767858631324574E-2</v>
      </c>
      <c r="G2223" s="78">
        <v>2221</v>
      </c>
      <c r="H2223" s="180">
        <f t="shared" ca="1" si="70"/>
        <v>-2.156044872038558E-2</v>
      </c>
    </row>
    <row r="2224" spans="2:8" x14ac:dyDescent="0.3">
      <c r="B2224" s="69">
        <v>43668</v>
      </c>
      <c r="C2224" s="55">
        <v>430.05</v>
      </c>
      <c r="D2224" s="70">
        <f t="shared" si="69"/>
        <v>-0.41060782566984166</v>
      </c>
      <c r="E2224" s="180">
        <v>-2.9834752693023443E-2</v>
      </c>
      <c r="G2224" s="78">
        <v>2222</v>
      </c>
      <c r="H2224" s="180">
        <f t="shared" ca="1" si="70"/>
        <v>-1.5200202385646453E-2</v>
      </c>
    </row>
    <row r="2225" spans="2:8" x14ac:dyDescent="0.3">
      <c r="B2225" s="69">
        <v>44091</v>
      </c>
      <c r="C2225" s="55">
        <v>729.65</v>
      </c>
      <c r="D2225" s="70">
        <f t="shared" si="69"/>
        <v>-0.89987821821238068</v>
      </c>
      <c r="E2225" s="180">
        <v>-2.9914245828624609E-2</v>
      </c>
      <c r="G2225" s="78">
        <v>2223</v>
      </c>
      <c r="H2225" s="180">
        <f t="shared" ca="1" si="70"/>
        <v>1.205804886911279E-2</v>
      </c>
    </row>
    <row r="2226" spans="2:8" x14ac:dyDescent="0.3">
      <c r="B2226" s="69">
        <v>45590</v>
      </c>
      <c r="C2226" s="55">
        <v>7287.625</v>
      </c>
      <c r="D2226" s="70">
        <f t="shared" si="69"/>
        <v>5.8718764733616222</v>
      </c>
      <c r="E2226" s="180">
        <v>-3.0072235919652072E-2</v>
      </c>
      <c r="G2226" s="78">
        <v>2224</v>
      </c>
      <c r="H2226" s="180">
        <f t="shared" ca="1" si="70"/>
        <v>-2.6672126528202111E-2</v>
      </c>
    </row>
    <row r="2227" spans="2:8" x14ac:dyDescent="0.3">
      <c r="B2227" s="69">
        <v>44729</v>
      </c>
      <c r="C2227" s="55">
        <v>1060.5</v>
      </c>
      <c r="D2227" s="70">
        <f t="shared" si="69"/>
        <v>-0.80889309366130557</v>
      </c>
      <c r="E2227" s="180">
        <v>-3.0222669288098355E-2</v>
      </c>
      <c r="G2227" s="78">
        <v>2225</v>
      </c>
      <c r="H2227" s="180">
        <f t="shared" ca="1" si="70"/>
        <v>-1.6520200205347026E-2</v>
      </c>
    </row>
    <row r="2228" spans="2:8" x14ac:dyDescent="0.3">
      <c r="B2228" s="69">
        <v>45821</v>
      </c>
      <c r="C2228" s="55">
        <v>5549.25</v>
      </c>
      <c r="D2228" s="70">
        <f t="shared" si="69"/>
        <v>9.3913674453443203</v>
      </c>
      <c r="E2228" s="180">
        <v>-3.0614027425976069E-2</v>
      </c>
      <c r="G2228" s="78">
        <v>2226</v>
      </c>
      <c r="H2228" s="180">
        <f t="shared" ca="1" si="70"/>
        <v>1.4932399771065624E-2</v>
      </c>
    </row>
    <row r="2229" spans="2:8" x14ac:dyDescent="0.3">
      <c r="B2229" s="69">
        <v>43993</v>
      </c>
      <c r="C2229" s="55">
        <v>534.02499999999998</v>
      </c>
      <c r="D2229" s="70">
        <f t="shared" si="69"/>
        <v>-6.0807245867041934E-2</v>
      </c>
      <c r="E2229" s="180">
        <v>-3.0851594755229094E-2</v>
      </c>
      <c r="G2229" s="78">
        <v>2227</v>
      </c>
      <c r="H2229" s="180">
        <f t="shared" ca="1" si="70"/>
        <v>-1.6121028111646837E-2</v>
      </c>
    </row>
    <row r="2230" spans="2:8" x14ac:dyDescent="0.3">
      <c r="B2230" s="69">
        <v>44054</v>
      </c>
      <c r="C2230" s="55">
        <v>568.6</v>
      </c>
      <c r="D2230" s="70">
        <f t="shared" si="69"/>
        <v>-0.84916171477079794</v>
      </c>
      <c r="E2230" s="180">
        <v>-3.0933106092884494E-2</v>
      </c>
      <c r="G2230" s="78">
        <v>2228</v>
      </c>
      <c r="H2230" s="180">
        <f t="shared" ca="1" si="70"/>
        <v>4.5947995328189384E-3</v>
      </c>
    </row>
    <row r="2231" spans="2:8" x14ac:dyDescent="0.3">
      <c r="B2231" s="69">
        <v>46043</v>
      </c>
      <c r="C2231" s="55">
        <v>3769.6</v>
      </c>
      <c r="D2231" s="70">
        <f t="shared" si="69"/>
        <v>6.102229227651422E-2</v>
      </c>
      <c r="E2231" s="180">
        <v>-3.1349573440230351E-2</v>
      </c>
      <c r="G2231" s="78">
        <v>2229</v>
      </c>
      <c r="H2231" s="180">
        <f t="shared" ca="1" si="70"/>
        <v>-2.0410268318410429E-2</v>
      </c>
    </row>
    <row r="2232" spans="2:8" x14ac:dyDescent="0.3">
      <c r="B2232" s="69">
        <v>46093</v>
      </c>
      <c r="C2232" s="55">
        <v>3552.8</v>
      </c>
      <c r="D2232" s="70">
        <f t="shared" si="69"/>
        <v>3.5474384819685771</v>
      </c>
      <c r="E2232" s="180">
        <v>-3.1380353880967167E-2</v>
      </c>
      <c r="G2232" s="78">
        <v>2230</v>
      </c>
      <c r="H2232" s="180">
        <f t="shared" ca="1" si="70"/>
        <v>3.92757972981874E-2</v>
      </c>
    </row>
    <row r="2233" spans="2:8" x14ac:dyDescent="0.3">
      <c r="B2233" s="69">
        <v>44251</v>
      </c>
      <c r="C2233" s="55">
        <v>781.27499999999998</v>
      </c>
      <c r="D2233" s="70">
        <f t="shared" si="69"/>
        <v>-0.4019977420157293</v>
      </c>
      <c r="E2233" s="180">
        <v>-3.1547305463447944E-2</v>
      </c>
      <c r="G2233" s="78">
        <v>2231</v>
      </c>
      <c r="H2233" s="180">
        <f t="shared" ca="1" si="70"/>
        <v>1.2752123977377549E-2</v>
      </c>
    </row>
    <row r="2234" spans="2:8" x14ac:dyDescent="0.3">
      <c r="B2234" s="69">
        <v>44918</v>
      </c>
      <c r="C2234" s="55">
        <v>1306.4749999999999</v>
      </c>
      <c r="D2234" s="70">
        <f t="shared" si="69"/>
        <v>-9.1495427836306292E-2</v>
      </c>
      <c r="E2234" s="180">
        <v>-3.1595137499073458E-2</v>
      </c>
      <c r="G2234" s="78">
        <v>2232</v>
      </c>
      <c r="H2234" s="180">
        <f t="shared" ca="1" si="70"/>
        <v>1.6104259903747226E-2</v>
      </c>
    </row>
    <row r="2235" spans="2:8" x14ac:dyDescent="0.3">
      <c r="B2235" s="69">
        <v>44792</v>
      </c>
      <c r="C2235" s="55">
        <v>1438.0500000000002</v>
      </c>
      <c r="D2235" s="70">
        <f t="shared" si="69"/>
        <v>1.6775590001396454</v>
      </c>
      <c r="E2235" s="180">
        <v>-3.1860641252208916E-2</v>
      </c>
      <c r="G2235" s="78">
        <v>2233</v>
      </c>
      <c r="H2235" s="180">
        <f t="shared" ca="1" si="70"/>
        <v>2.0677663495302055E-2</v>
      </c>
    </row>
    <row r="2236" spans="2:8" x14ac:dyDescent="0.3">
      <c r="B2236" s="69">
        <v>43830</v>
      </c>
      <c r="C2236" s="55">
        <v>537.07500000000005</v>
      </c>
      <c r="D2236" s="70">
        <f t="shared" si="69"/>
        <v>-0.1787844036697247</v>
      </c>
      <c r="E2236" s="180">
        <v>-3.1861198738170268E-2</v>
      </c>
      <c r="G2236" s="78">
        <v>2234</v>
      </c>
      <c r="H2236" s="180">
        <f t="shared" ca="1" si="70"/>
        <v>1.3835074412631357E-2</v>
      </c>
    </row>
    <row r="2237" spans="2:8" x14ac:dyDescent="0.3">
      <c r="B2237" s="69">
        <v>44141</v>
      </c>
      <c r="C2237" s="55">
        <v>654</v>
      </c>
      <c r="D2237" s="70">
        <f t="shared" si="69"/>
        <v>-0.3617332747767531</v>
      </c>
      <c r="E2237" s="180">
        <v>-3.1899933387610033E-2</v>
      </c>
      <c r="G2237" s="78">
        <v>2235</v>
      </c>
      <c r="H2237" s="180">
        <f t="shared" ca="1" si="70"/>
        <v>-5.758704380750765E-3</v>
      </c>
    </row>
    <row r="2238" spans="2:8" x14ac:dyDescent="0.3">
      <c r="B2238" s="69">
        <v>44529</v>
      </c>
      <c r="C2238" s="55">
        <v>1024.6500000000001</v>
      </c>
      <c r="D2238" s="70">
        <f t="shared" si="69"/>
        <v>-0.69225571023111232</v>
      </c>
      <c r="E2238" s="180">
        <v>-3.1910621914637186E-2</v>
      </c>
      <c r="G2238" s="78">
        <v>2236</v>
      </c>
      <c r="H2238" s="180">
        <f t="shared" ca="1" si="70"/>
        <v>-7.2300810990420404E-3</v>
      </c>
    </row>
    <row r="2239" spans="2:8" x14ac:dyDescent="0.3">
      <c r="B2239" s="69">
        <v>46111</v>
      </c>
      <c r="C2239" s="55">
        <v>3329.55</v>
      </c>
      <c r="D2239" s="70">
        <f t="shared" si="69"/>
        <v>3.4253862767901646</v>
      </c>
      <c r="E2239" s="180">
        <v>-3.203721200668648E-2</v>
      </c>
      <c r="G2239" s="78">
        <v>2237</v>
      </c>
      <c r="H2239" s="180">
        <f t="shared" ca="1" si="70"/>
        <v>3.5388264219802658E-2</v>
      </c>
    </row>
    <row r="2240" spans="2:8" x14ac:dyDescent="0.3">
      <c r="B2240" s="69">
        <v>44160</v>
      </c>
      <c r="C2240" s="55">
        <v>752.375</v>
      </c>
      <c r="D2240" s="70">
        <f t="shared" si="69"/>
        <v>-0.88131810061638083</v>
      </c>
      <c r="E2240" s="180">
        <v>-3.2532870415019073E-2</v>
      </c>
      <c r="G2240" s="78">
        <v>2238</v>
      </c>
      <c r="H2240" s="180">
        <f t="shared" ca="1" si="70"/>
        <v>5.0811478637978282E-2</v>
      </c>
    </row>
    <row r="2241" spans="2:8" x14ac:dyDescent="0.3">
      <c r="B2241" s="69">
        <v>45670</v>
      </c>
      <c r="C2241" s="55">
        <v>6339.4250000000002</v>
      </c>
      <c r="D2241" s="70">
        <f t="shared" si="69"/>
        <v>1.0795909329484319</v>
      </c>
      <c r="E2241" s="180">
        <v>-3.2591942621699954E-2</v>
      </c>
      <c r="G2241" s="78">
        <v>2239</v>
      </c>
      <c r="H2241" s="180">
        <f t="shared" ca="1" si="70"/>
        <v>-1.5751592800467E-2</v>
      </c>
    </row>
    <row r="2242" spans="2:8" x14ac:dyDescent="0.3">
      <c r="B2242" s="69">
        <v>45322</v>
      </c>
      <c r="C2242" s="55">
        <v>3048.4</v>
      </c>
      <c r="D2242" s="70">
        <f t="shared" si="69"/>
        <v>-0.54717261407398332</v>
      </c>
      <c r="E2242" s="180">
        <v>-3.2875691024024239E-2</v>
      </c>
      <c r="G2242" s="78">
        <v>2240</v>
      </c>
      <c r="H2242" s="180">
        <f t="shared" ca="1" si="70"/>
        <v>1.1997143127651582E-2</v>
      </c>
    </row>
    <row r="2243" spans="2:8" x14ac:dyDescent="0.3">
      <c r="B2243" s="69">
        <v>45665</v>
      </c>
      <c r="C2243" s="55">
        <v>6731.9250000000002</v>
      </c>
      <c r="D2243" s="70">
        <f t="shared" ref="D2243:D2306" si="71">(C2243-C2244)/C2244</f>
        <v>8.599893048128342</v>
      </c>
      <c r="E2243" s="180">
        <v>-3.3002115151885142E-2</v>
      </c>
      <c r="G2243" s="78">
        <v>2241</v>
      </c>
      <c r="H2243" s="180">
        <f t="shared" ca="1" si="70"/>
        <v>-6.6459094948264968E-3</v>
      </c>
    </row>
    <row r="2244" spans="2:8" x14ac:dyDescent="0.3">
      <c r="B2244" s="69">
        <v>44167</v>
      </c>
      <c r="C2244" s="55">
        <v>701.25</v>
      </c>
      <c r="D2244" s="70">
        <f t="shared" si="71"/>
        <v>-0.77752397268422679</v>
      </c>
      <c r="E2244" s="180">
        <v>-3.30587059188528E-2</v>
      </c>
      <c r="G2244" s="78">
        <v>2242</v>
      </c>
      <c r="H2244" s="180">
        <f t="shared" ref="H2244:H2307" ca="1" si="72">_xlfn.NORM.INV(RAND(),$N$4,$N$5)</f>
        <v>3.4123910149334899E-2</v>
      </c>
    </row>
    <row r="2245" spans="2:8" x14ac:dyDescent="0.3">
      <c r="B2245" s="69">
        <v>45321</v>
      </c>
      <c r="C2245" s="55">
        <v>3152.0250000000001</v>
      </c>
      <c r="D2245" s="70">
        <f t="shared" si="71"/>
        <v>-0.35204181270621127</v>
      </c>
      <c r="E2245" s="180">
        <v>-3.3210134036745109E-2</v>
      </c>
      <c r="G2245" s="78">
        <v>2243</v>
      </c>
      <c r="H2245" s="180">
        <f t="shared" ca="1" si="72"/>
        <v>3.4569142182710205E-2</v>
      </c>
    </row>
    <row r="2246" spans="2:8" x14ac:dyDescent="0.3">
      <c r="B2246" s="69">
        <v>45715</v>
      </c>
      <c r="C2246" s="55">
        <v>4864.55</v>
      </c>
      <c r="D2246" s="70">
        <f t="shared" si="71"/>
        <v>-0.31839692864924318</v>
      </c>
      <c r="E2246" s="180">
        <v>-3.3425893269617549E-2</v>
      </c>
      <c r="G2246" s="78">
        <v>2244</v>
      </c>
      <c r="H2246" s="180">
        <f t="shared" ca="1" si="72"/>
        <v>2.526096234399083E-2</v>
      </c>
    </row>
    <row r="2247" spans="2:8" x14ac:dyDescent="0.3">
      <c r="B2247" s="69">
        <v>45663</v>
      </c>
      <c r="C2247" s="55">
        <v>7136.9250000000002</v>
      </c>
      <c r="D2247" s="70">
        <f t="shared" si="71"/>
        <v>22.911299103777534</v>
      </c>
      <c r="E2247" s="180">
        <v>-3.3797802093663239E-2</v>
      </c>
      <c r="G2247" s="78">
        <v>2245</v>
      </c>
      <c r="H2247" s="180">
        <f t="shared" ca="1" si="72"/>
        <v>4.0711768732159356E-2</v>
      </c>
    </row>
    <row r="2248" spans="2:8" x14ac:dyDescent="0.3">
      <c r="B2248" s="69">
        <v>43136</v>
      </c>
      <c r="C2248" s="55">
        <v>298.47500000000002</v>
      </c>
      <c r="D2248" s="70">
        <f t="shared" si="71"/>
        <v>-3.3905162647677511E-2</v>
      </c>
      <c r="E2248" s="180">
        <v>-3.3905162647677511E-2</v>
      </c>
      <c r="G2248" s="78">
        <v>2246</v>
      </c>
      <c r="H2248" s="180">
        <f t="shared" ca="1" si="72"/>
        <v>-1.3130999196160252E-2</v>
      </c>
    </row>
    <row r="2249" spans="2:8" x14ac:dyDescent="0.3">
      <c r="B2249" s="69">
        <v>43133</v>
      </c>
      <c r="C2249" s="55">
        <v>308.95</v>
      </c>
      <c r="D2249" s="70">
        <f t="shared" si="71"/>
        <v>-0.71487241013335789</v>
      </c>
      <c r="E2249" s="180">
        <v>-3.4229446702094372E-2</v>
      </c>
      <c r="G2249" s="78">
        <v>2247</v>
      </c>
      <c r="H2249" s="180">
        <f t="shared" ca="1" si="72"/>
        <v>-5.1634551032234619E-3</v>
      </c>
    </row>
    <row r="2250" spans="2:8" x14ac:dyDescent="0.3">
      <c r="B2250" s="69">
        <v>44691</v>
      </c>
      <c r="C2250" s="55">
        <v>1083.55</v>
      </c>
      <c r="D2250" s="70">
        <f t="shared" si="71"/>
        <v>3.7311825383529097E-2</v>
      </c>
      <c r="E2250" s="180">
        <v>-3.4398253352938675E-2</v>
      </c>
      <c r="G2250" s="78">
        <v>2248</v>
      </c>
      <c r="H2250" s="180">
        <f t="shared" ca="1" si="72"/>
        <v>-3.4932288980749758E-2</v>
      </c>
    </row>
    <row r="2251" spans="2:8" x14ac:dyDescent="0.3">
      <c r="B2251" s="69">
        <v>44588</v>
      </c>
      <c r="C2251" s="55">
        <v>1044.575</v>
      </c>
      <c r="D2251" s="70">
        <f t="shared" si="71"/>
        <v>0.48292873367404893</v>
      </c>
      <c r="E2251" s="180">
        <v>-3.4432556097335518E-2</v>
      </c>
      <c r="G2251" s="78">
        <v>2249</v>
      </c>
      <c r="H2251" s="180">
        <f t="shared" ca="1" si="72"/>
        <v>9.1033375287172431E-3</v>
      </c>
    </row>
    <row r="2252" spans="2:8" x14ac:dyDescent="0.3">
      <c r="B2252" s="69">
        <v>44298</v>
      </c>
      <c r="C2252" s="55">
        <v>704.4</v>
      </c>
      <c r="D2252" s="70">
        <f t="shared" si="71"/>
        <v>-0.88104817430731763</v>
      </c>
      <c r="E2252" s="180">
        <v>-3.4572554394380707E-2</v>
      </c>
      <c r="G2252" s="78">
        <v>2250</v>
      </c>
      <c r="H2252" s="180">
        <f t="shared" ca="1" si="72"/>
        <v>-3.0634965237903176E-2</v>
      </c>
    </row>
    <row r="2253" spans="2:8" x14ac:dyDescent="0.3">
      <c r="B2253" s="69">
        <v>45692</v>
      </c>
      <c r="C2253" s="55">
        <v>5921.7250000000004</v>
      </c>
      <c r="D2253" s="70">
        <f t="shared" si="71"/>
        <v>3.1663412660721519</v>
      </c>
      <c r="E2253" s="180">
        <v>-3.4641702904604901E-2</v>
      </c>
      <c r="G2253" s="78">
        <v>2251</v>
      </c>
      <c r="H2253" s="180">
        <f t="shared" ca="1" si="72"/>
        <v>1.0633433621385928E-2</v>
      </c>
    </row>
    <row r="2254" spans="2:8" x14ac:dyDescent="0.3">
      <c r="B2254" s="69">
        <v>44879</v>
      </c>
      <c r="C2254" s="55">
        <v>1421.3249999999998</v>
      </c>
      <c r="D2254" s="70">
        <f t="shared" si="71"/>
        <v>-0.60960653711460555</v>
      </c>
      <c r="E2254" s="180">
        <v>-3.4655482731687504E-2</v>
      </c>
      <c r="G2254" s="78">
        <v>2252</v>
      </c>
      <c r="H2254" s="180">
        <f t="shared" ca="1" si="72"/>
        <v>-9.4371924478462276E-3</v>
      </c>
    </row>
    <row r="2255" spans="2:8" x14ac:dyDescent="0.3">
      <c r="B2255" s="69">
        <v>46090</v>
      </c>
      <c r="C2255" s="55">
        <v>3640.75</v>
      </c>
      <c r="D2255" s="70">
        <f t="shared" si="71"/>
        <v>9.3843411294922987</v>
      </c>
      <c r="E2255" s="180">
        <v>-3.4898208037323741E-2</v>
      </c>
      <c r="G2255" s="78">
        <v>2253</v>
      </c>
      <c r="H2255" s="180">
        <f t="shared" ca="1" si="72"/>
        <v>3.2066613313616245E-2</v>
      </c>
    </row>
    <row r="2256" spans="2:8" x14ac:dyDescent="0.3">
      <c r="B2256" s="69">
        <v>43559</v>
      </c>
      <c r="C2256" s="55">
        <v>350.6</v>
      </c>
      <c r="D2256" s="70">
        <f t="shared" si="71"/>
        <v>-0.46113352545629199</v>
      </c>
      <c r="E2256" s="180">
        <v>-3.5222894881672961E-2</v>
      </c>
      <c r="G2256" s="78">
        <v>2254</v>
      </c>
      <c r="H2256" s="180">
        <f t="shared" ca="1" si="72"/>
        <v>1.5130572724474026E-2</v>
      </c>
    </row>
    <row r="2257" spans="2:8" x14ac:dyDescent="0.3">
      <c r="B2257" s="69">
        <v>43899</v>
      </c>
      <c r="C2257" s="55">
        <v>650.625</v>
      </c>
      <c r="D2257" s="70">
        <f t="shared" si="71"/>
        <v>-8.3497675728975887E-2</v>
      </c>
      <c r="E2257" s="180">
        <v>-3.5253558718861176E-2</v>
      </c>
      <c r="G2257" s="78">
        <v>2255</v>
      </c>
      <c r="H2257" s="180">
        <f t="shared" ca="1" si="72"/>
        <v>3.5756528079445458E-3</v>
      </c>
    </row>
    <row r="2258" spans="2:8" x14ac:dyDescent="0.3">
      <c r="B2258" s="69">
        <v>44147</v>
      </c>
      <c r="C2258" s="55">
        <v>709.9</v>
      </c>
      <c r="D2258" s="70">
        <f t="shared" si="71"/>
        <v>0.46984833583518804</v>
      </c>
      <c r="E2258" s="180">
        <v>-3.5396426387662293E-2</v>
      </c>
      <c r="G2258" s="78">
        <v>2256</v>
      </c>
      <c r="H2258" s="180">
        <f t="shared" ca="1" si="72"/>
        <v>1.809525631318927E-2</v>
      </c>
    </row>
    <row r="2259" spans="2:8" x14ac:dyDescent="0.3">
      <c r="B2259" s="69">
        <v>43955</v>
      </c>
      <c r="C2259" s="55">
        <v>482.97500000000002</v>
      </c>
      <c r="D2259" s="70">
        <f t="shared" si="71"/>
        <v>-0.9117305724102639</v>
      </c>
      <c r="E2259" s="180">
        <v>-3.6026146399880159E-2</v>
      </c>
      <c r="G2259" s="78">
        <v>2257</v>
      </c>
      <c r="H2259" s="180">
        <f t="shared" ca="1" si="72"/>
        <v>-4.5254142877122093E-3</v>
      </c>
    </row>
    <row r="2260" spans="2:8" x14ac:dyDescent="0.3">
      <c r="B2260" s="69">
        <v>45491</v>
      </c>
      <c r="C2260" s="55">
        <v>5471.6</v>
      </c>
      <c r="D2260" s="70">
        <f t="shared" si="71"/>
        <v>4.244386935997893</v>
      </c>
      <c r="E2260" s="180">
        <v>-3.6079205130011852E-2</v>
      </c>
      <c r="G2260" s="78">
        <v>2258</v>
      </c>
      <c r="H2260" s="180">
        <f t="shared" ca="1" si="72"/>
        <v>-3.7457767663886123E-2</v>
      </c>
    </row>
    <row r="2261" spans="2:8" x14ac:dyDescent="0.3">
      <c r="B2261" s="69">
        <v>44700</v>
      </c>
      <c r="C2261" s="55">
        <v>1043.3249999999998</v>
      </c>
      <c r="D2261" s="70">
        <f t="shared" si="71"/>
        <v>-0.70496705596244669</v>
      </c>
      <c r="E2261" s="180">
        <v>-3.6545387385723771E-2</v>
      </c>
      <c r="G2261" s="78">
        <v>2259</v>
      </c>
      <c r="H2261" s="180">
        <f t="shared" ca="1" si="72"/>
        <v>-3.4260059418548747E-3</v>
      </c>
    </row>
    <row r="2262" spans="2:8" x14ac:dyDescent="0.3">
      <c r="B2262" s="69">
        <v>46100</v>
      </c>
      <c r="C2262" s="55">
        <v>3536.3</v>
      </c>
      <c r="D2262" s="70">
        <f t="shared" si="71"/>
        <v>-0.44888043855171955</v>
      </c>
      <c r="E2262" s="180">
        <v>-3.6561776324751348E-2</v>
      </c>
      <c r="G2262" s="78">
        <v>2260</v>
      </c>
      <c r="H2262" s="180">
        <f t="shared" ca="1" si="72"/>
        <v>1.7241819028330919E-2</v>
      </c>
    </row>
    <row r="2263" spans="2:8" x14ac:dyDescent="0.3">
      <c r="B2263" s="69">
        <v>45604</v>
      </c>
      <c r="C2263" s="55">
        <v>6416.5749999999998</v>
      </c>
      <c r="D2263" s="70">
        <f t="shared" si="71"/>
        <v>5.4146506048185543</v>
      </c>
      <c r="E2263" s="180">
        <v>-3.6702171579555833E-2</v>
      </c>
      <c r="G2263" s="78">
        <v>2261</v>
      </c>
      <c r="H2263" s="180">
        <f t="shared" ca="1" si="72"/>
        <v>-6.8336842666042686E-3</v>
      </c>
    </row>
    <row r="2264" spans="2:8" x14ac:dyDescent="0.3">
      <c r="B2264" s="69">
        <v>44550</v>
      </c>
      <c r="C2264" s="55">
        <v>1000.3</v>
      </c>
      <c r="D2264" s="70">
        <f t="shared" si="71"/>
        <v>-0.70762148337595898</v>
      </c>
      <c r="E2264" s="180">
        <v>-3.6807009941985158E-2</v>
      </c>
      <c r="G2264" s="78">
        <v>2262</v>
      </c>
      <c r="H2264" s="180">
        <f t="shared" ca="1" si="72"/>
        <v>3.2902684019121914E-2</v>
      </c>
    </row>
    <row r="2265" spans="2:8" x14ac:dyDescent="0.3">
      <c r="B2265" s="69">
        <v>46104</v>
      </c>
      <c r="C2265" s="55">
        <v>3421.25</v>
      </c>
      <c r="D2265" s="70">
        <f t="shared" si="71"/>
        <v>3.7791164658634537</v>
      </c>
      <c r="E2265" s="180">
        <v>-3.6864478351444123E-2</v>
      </c>
      <c r="G2265" s="78">
        <v>2263</v>
      </c>
      <c r="H2265" s="180">
        <f t="shared" ca="1" si="72"/>
        <v>1.0430441125421528E-2</v>
      </c>
    </row>
    <row r="2266" spans="2:8" x14ac:dyDescent="0.3">
      <c r="B2266" s="69">
        <v>44305</v>
      </c>
      <c r="C2266" s="55">
        <v>715.875</v>
      </c>
      <c r="D2266" s="70">
        <f t="shared" si="71"/>
        <v>7.2070385623362043E-2</v>
      </c>
      <c r="E2266" s="180">
        <v>-3.7025827280064538E-2</v>
      </c>
      <c r="G2266" s="78">
        <v>2264</v>
      </c>
      <c r="H2266" s="180">
        <f t="shared" ca="1" si="72"/>
        <v>-1.3691992936633916E-2</v>
      </c>
    </row>
    <row r="2267" spans="2:8" x14ac:dyDescent="0.3">
      <c r="B2267" s="69">
        <v>44011</v>
      </c>
      <c r="C2267" s="55">
        <v>667.75</v>
      </c>
      <c r="D2267" s="70">
        <f t="shared" si="71"/>
        <v>0.18880185152216475</v>
      </c>
      <c r="E2267" s="180">
        <v>-3.7130497476568131E-2</v>
      </c>
      <c r="G2267" s="78">
        <v>2265</v>
      </c>
      <c r="H2267" s="180">
        <f t="shared" ca="1" si="72"/>
        <v>1.3132516815245408E-2</v>
      </c>
    </row>
    <row r="2268" spans="2:8" x14ac:dyDescent="0.3">
      <c r="B2268" s="69">
        <v>44039</v>
      </c>
      <c r="C2268" s="55">
        <v>561.70000000000005</v>
      </c>
      <c r="D2268" s="70">
        <f t="shared" si="71"/>
        <v>-0.29932015218611607</v>
      </c>
      <c r="E2268" s="180">
        <v>-3.7154488965073847E-2</v>
      </c>
      <c r="G2268" s="78">
        <v>2266</v>
      </c>
      <c r="H2268" s="180">
        <f t="shared" ca="1" si="72"/>
        <v>-1.3213434411339058E-2</v>
      </c>
    </row>
    <row r="2269" spans="2:8" x14ac:dyDescent="0.3">
      <c r="B2269" s="69">
        <v>44274</v>
      </c>
      <c r="C2269" s="55">
        <v>801.65</v>
      </c>
      <c r="D2269" s="70">
        <f t="shared" si="71"/>
        <v>-0.23108649257847147</v>
      </c>
      <c r="E2269" s="180">
        <v>-3.7172711986548215E-2</v>
      </c>
      <c r="G2269" s="78">
        <v>2267</v>
      </c>
      <c r="H2269" s="180">
        <f t="shared" ca="1" si="72"/>
        <v>-2.2424191023447563E-2</v>
      </c>
    </row>
    <row r="2270" spans="2:8" x14ac:dyDescent="0.3">
      <c r="B2270" s="69">
        <v>44692</v>
      </c>
      <c r="C2270" s="55">
        <v>1042.5749999999998</v>
      </c>
      <c r="D2270" s="70">
        <f t="shared" si="71"/>
        <v>-0.82377475216145635</v>
      </c>
      <c r="E2270" s="180">
        <v>-3.7815513820312986E-2</v>
      </c>
      <c r="G2270" s="78">
        <v>2268</v>
      </c>
      <c r="H2270" s="180">
        <f t="shared" ca="1" si="72"/>
        <v>-1.807587826931592E-2</v>
      </c>
    </row>
    <row r="2271" spans="2:8" x14ac:dyDescent="0.3">
      <c r="B2271" s="69">
        <v>45678</v>
      </c>
      <c r="C2271" s="55">
        <v>5916.15</v>
      </c>
      <c r="D2271" s="70">
        <f t="shared" si="71"/>
        <v>5.8426439972241493</v>
      </c>
      <c r="E2271" s="180">
        <v>-3.7950085575715199E-2</v>
      </c>
      <c r="G2271" s="78">
        <v>2269</v>
      </c>
      <c r="H2271" s="180">
        <f t="shared" ca="1" si="72"/>
        <v>-2.0112212690198281E-2</v>
      </c>
    </row>
    <row r="2272" spans="2:8" x14ac:dyDescent="0.3">
      <c r="B2272" s="69">
        <v>44270</v>
      </c>
      <c r="C2272" s="55">
        <v>864.6</v>
      </c>
      <c r="D2272" s="70">
        <f t="shared" si="71"/>
        <v>-0.16544401544401544</v>
      </c>
      <c r="E2272" s="180">
        <v>-3.8077490056462625E-2</v>
      </c>
      <c r="G2272" s="78">
        <v>2270</v>
      </c>
      <c r="H2272" s="180">
        <f t="shared" ca="1" si="72"/>
        <v>7.7955448637126445E-3</v>
      </c>
    </row>
    <row r="2273" spans="2:8" x14ac:dyDescent="0.3">
      <c r="B2273" s="69">
        <v>44606</v>
      </c>
      <c r="C2273" s="55">
        <v>1036</v>
      </c>
      <c r="D2273" s="70">
        <f t="shared" si="71"/>
        <v>1.0296811480628889</v>
      </c>
      <c r="E2273" s="180">
        <v>-3.8492772454117183E-2</v>
      </c>
      <c r="G2273" s="78">
        <v>2271</v>
      </c>
      <c r="H2273" s="180">
        <f t="shared" ca="1" si="72"/>
        <v>-6.1988517805603403E-3</v>
      </c>
    </row>
    <row r="2274" spans="2:8" x14ac:dyDescent="0.3">
      <c r="B2274" s="69">
        <v>43780</v>
      </c>
      <c r="C2274" s="55">
        <v>510.42499999999995</v>
      </c>
      <c r="D2274" s="70">
        <f t="shared" si="71"/>
        <v>-0.54699356556467726</v>
      </c>
      <c r="E2274" s="180">
        <v>-3.8883396883679498E-2</v>
      </c>
      <c r="G2274" s="78">
        <v>2272</v>
      </c>
      <c r="H2274" s="180">
        <f t="shared" ca="1" si="72"/>
        <v>-2.4195147042370005E-3</v>
      </c>
    </row>
    <row r="2275" spans="2:8" x14ac:dyDescent="0.3">
      <c r="B2275" s="69">
        <v>44518</v>
      </c>
      <c r="C2275" s="55">
        <v>1126.75</v>
      </c>
      <c r="D2275" s="70">
        <f t="shared" si="71"/>
        <v>6.2971698113207547E-2</v>
      </c>
      <c r="E2275" s="180">
        <v>-3.9019189765458422E-2</v>
      </c>
      <c r="G2275" s="78">
        <v>2273</v>
      </c>
      <c r="H2275" s="180">
        <f t="shared" ca="1" si="72"/>
        <v>1.0452540731653939E-2</v>
      </c>
    </row>
    <row r="2276" spans="2:8" x14ac:dyDescent="0.3">
      <c r="B2276" s="69">
        <v>44627</v>
      </c>
      <c r="C2276" s="55">
        <v>1060</v>
      </c>
      <c r="D2276" s="70">
        <f t="shared" si="71"/>
        <v>-5.5384752484070834E-2</v>
      </c>
      <c r="E2276" s="180">
        <v>-4.0028980257199823E-2</v>
      </c>
      <c r="G2276" s="78">
        <v>2274</v>
      </c>
      <c r="H2276" s="180">
        <f t="shared" ca="1" si="72"/>
        <v>6.9851363161104827E-3</v>
      </c>
    </row>
    <row r="2277" spans="2:8" x14ac:dyDescent="0.3">
      <c r="B2277" s="69">
        <v>44690</v>
      </c>
      <c r="C2277" s="55">
        <v>1122.1500000000001</v>
      </c>
      <c r="D2277" s="70">
        <f t="shared" si="71"/>
        <v>1.4736029979058749</v>
      </c>
      <c r="E2277" s="180">
        <v>-4.0035929680482446E-2</v>
      </c>
      <c r="G2277" s="78">
        <v>2275</v>
      </c>
      <c r="H2277" s="180">
        <f t="shared" ca="1" si="72"/>
        <v>-5.0296499147185385E-3</v>
      </c>
    </row>
    <row r="2278" spans="2:8" x14ac:dyDescent="0.3">
      <c r="B2278" s="69">
        <v>43924</v>
      </c>
      <c r="C2278" s="55">
        <v>453.65</v>
      </c>
      <c r="D2278" s="70">
        <f t="shared" si="71"/>
        <v>5.9929906542056023E-2</v>
      </c>
      <c r="E2278" s="180">
        <v>-4.0148108965882091E-2</v>
      </c>
      <c r="G2278" s="78">
        <v>2276</v>
      </c>
      <c r="H2278" s="180">
        <f t="shared" ca="1" si="72"/>
        <v>5.8089298129077455E-3</v>
      </c>
    </row>
    <row r="2279" spans="2:8" x14ac:dyDescent="0.3">
      <c r="B2279" s="69">
        <v>43654</v>
      </c>
      <c r="C2279" s="55">
        <v>428</v>
      </c>
      <c r="D2279" s="70">
        <f t="shared" si="71"/>
        <v>-0.40652407529379136</v>
      </c>
      <c r="E2279" s="180">
        <v>-4.0358744394618833E-2</v>
      </c>
      <c r="G2279" s="78">
        <v>2277</v>
      </c>
      <c r="H2279" s="180">
        <f t="shared" ca="1" si="72"/>
        <v>-2.3153293427548721E-2</v>
      </c>
    </row>
    <row r="2280" spans="2:8" x14ac:dyDescent="0.3">
      <c r="B2280" s="69">
        <v>44161</v>
      </c>
      <c r="C2280" s="55">
        <v>721.17499999999995</v>
      </c>
      <c r="D2280" s="70">
        <f t="shared" si="71"/>
        <v>3.1908424253264109E-2</v>
      </c>
      <c r="E2280" s="180">
        <v>-4.1468682505399632E-2</v>
      </c>
      <c r="G2280" s="78">
        <v>2278</v>
      </c>
      <c r="H2280" s="180">
        <f t="shared" ca="1" si="72"/>
        <v>-4.5315460361719621E-3</v>
      </c>
    </row>
    <row r="2281" spans="2:8" x14ac:dyDescent="0.3">
      <c r="B2281" s="69">
        <v>44092</v>
      </c>
      <c r="C2281" s="55">
        <v>698.875</v>
      </c>
      <c r="D2281" s="70">
        <f t="shared" si="71"/>
        <v>-9.1095987523039205E-3</v>
      </c>
      <c r="E2281" s="180">
        <v>-4.2177756458576E-2</v>
      </c>
      <c r="G2281" s="78">
        <v>2279</v>
      </c>
      <c r="H2281" s="180">
        <f t="shared" ca="1" si="72"/>
        <v>-2.0891644385018598E-2</v>
      </c>
    </row>
    <row r="2282" spans="2:8" x14ac:dyDescent="0.3">
      <c r="B2282" s="69">
        <v>43894</v>
      </c>
      <c r="C2282" s="55">
        <v>705.3</v>
      </c>
      <c r="D2282" s="70">
        <f t="shared" si="71"/>
        <v>-5.771543086172351E-2</v>
      </c>
      <c r="E2282" s="180">
        <v>-4.3012211668928151E-2</v>
      </c>
      <c r="G2282" s="78">
        <v>2280</v>
      </c>
      <c r="H2282" s="180">
        <f t="shared" ca="1" si="72"/>
        <v>-1.7175269746285311E-2</v>
      </c>
    </row>
    <row r="2283" spans="2:8" x14ac:dyDescent="0.3">
      <c r="B2283" s="69">
        <v>43887</v>
      </c>
      <c r="C2283" s="55">
        <v>748.5</v>
      </c>
      <c r="D2283" s="70">
        <f t="shared" si="71"/>
        <v>-0.86770943796394484</v>
      </c>
      <c r="E2283" s="180">
        <v>-4.3267079951428415E-2</v>
      </c>
      <c r="G2283" s="78">
        <v>2281</v>
      </c>
      <c r="H2283" s="180">
        <f t="shared" ca="1" si="72"/>
        <v>-4.914971748924558E-4</v>
      </c>
    </row>
    <row r="2284" spans="2:8" x14ac:dyDescent="0.3">
      <c r="B2284" s="69">
        <v>45679</v>
      </c>
      <c r="C2284" s="55">
        <v>5658</v>
      </c>
      <c r="D2284" s="70">
        <f t="shared" si="71"/>
        <v>3.0678697246387232</v>
      </c>
      <c r="E2284" s="180">
        <v>-4.3634796277984778E-2</v>
      </c>
      <c r="G2284" s="78">
        <v>2282</v>
      </c>
      <c r="H2284" s="180">
        <f t="shared" ca="1" si="72"/>
        <v>-1.3764018729790495E-2</v>
      </c>
    </row>
    <row r="2285" spans="2:8" x14ac:dyDescent="0.3">
      <c r="B2285" s="69">
        <v>44830</v>
      </c>
      <c r="C2285" s="55">
        <v>1390.9</v>
      </c>
      <c r="D2285" s="70">
        <f t="shared" si="71"/>
        <v>1.9674115952850819</v>
      </c>
      <c r="E2285" s="180">
        <v>-4.3907133405509439E-2</v>
      </c>
      <c r="G2285" s="78">
        <v>2283</v>
      </c>
      <c r="H2285" s="180">
        <f t="shared" ca="1" si="72"/>
        <v>1.0615637255736252E-2</v>
      </c>
    </row>
    <row r="2286" spans="2:8" x14ac:dyDescent="0.3">
      <c r="B2286" s="69">
        <v>43942</v>
      </c>
      <c r="C2286" s="55">
        <v>468.72500000000002</v>
      </c>
      <c r="D2286" s="70">
        <f t="shared" si="71"/>
        <v>-0.2981057202755315</v>
      </c>
      <c r="E2286" s="180">
        <v>-4.4344767827106377E-2</v>
      </c>
      <c r="G2286" s="78">
        <v>2284</v>
      </c>
      <c r="H2286" s="180">
        <f t="shared" ca="1" si="72"/>
        <v>9.4599934914481026E-3</v>
      </c>
    </row>
    <row r="2287" spans="2:8" x14ac:dyDescent="0.3">
      <c r="B2287" s="69">
        <v>44095</v>
      </c>
      <c r="C2287" s="55">
        <v>667.8</v>
      </c>
      <c r="D2287" s="70">
        <f t="shared" si="71"/>
        <v>-0.13882261912437951</v>
      </c>
      <c r="E2287" s="180">
        <v>-4.4464317653371555E-2</v>
      </c>
      <c r="G2287" s="78">
        <v>2285</v>
      </c>
      <c r="H2287" s="180">
        <f t="shared" ca="1" si="72"/>
        <v>6.7970975597194507E-3</v>
      </c>
    </row>
    <row r="2288" spans="2:8" x14ac:dyDescent="0.3">
      <c r="B2288" s="69">
        <v>44280</v>
      </c>
      <c r="C2288" s="55">
        <v>775.45</v>
      </c>
      <c r="D2288" s="70">
        <f t="shared" si="71"/>
        <v>-0.33662688737756102</v>
      </c>
      <c r="E2288" s="180">
        <v>-4.5276862938225214E-2</v>
      </c>
      <c r="G2288" s="78">
        <v>2286</v>
      </c>
      <c r="H2288" s="180">
        <f t="shared" ca="1" si="72"/>
        <v>7.2482265381565098E-3</v>
      </c>
    </row>
    <row r="2289" spans="2:8" x14ac:dyDescent="0.3">
      <c r="B2289" s="69">
        <v>44687</v>
      </c>
      <c r="C2289" s="55">
        <v>1168.95</v>
      </c>
      <c r="D2289" s="70">
        <f t="shared" si="71"/>
        <v>3.7619920562175375</v>
      </c>
      <c r="E2289" s="180">
        <v>-4.534596459707211E-2</v>
      </c>
      <c r="G2289" s="78">
        <v>2287</v>
      </c>
      <c r="H2289" s="180">
        <f t="shared" ca="1" si="72"/>
        <v>8.5680199857529286E-3</v>
      </c>
    </row>
    <row r="2290" spans="2:8" x14ac:dyDescent="0.3">
      <c r="B2290" s="69">
        <v>42927</v>
      </c>
      <c r="C2290" s="55">
        <v>245.47499999999999</v>
      </c>
      <c r="D2290" s="70">
        <f t="shared" si="71"/>
        <v>-0.95573038773669972</v>
      </c>
      <c r="E2290" s="180">
        <v>-4.5679852269414047E-2</v>
      </c>
      <c r="G2290" s="78">
        <v>2288</v>
      </c>
      <c r="H2290" s="180">
        <f t="shared" ca="1" si="72"/>
        <v>-1.4891649153032089E-2</v>
      </c>
    </row>
    <row r="2291" spans="2:8" x14ac:dyDescent="0.3">
      <c r="B2291" s="69">
        <v>45694</v>
      </c>
      <c r="C2291" s="55">
        <v>5545</v>
      </c>
      <c r="D2291" s="70">
        <f t="shared" si="71"/>
        <v>6.4856378816175522E-2</v>
      </c>
      <c r="E2291" s="180">
        <v>-4.6562811651019519E-2</v>
      </c>
      <c r="G2291" s="78">
        <v>2289</v>
      </c>
      <c r="H2291" s="180">
        <f t="shared" ca="1" si="72"/>
        <v>3.9259591289603109E-2</v>
      </c>
    </row>
    <row r="2292" spans="2:8" x14ac:dyDescent="0.3">
      <c r="B2292" s="69">
        <v>45492</v>
      </c>
      <c r="C2292" s="55">
        <v>5207.2749999999996</v>
      </c>
      <c r="D2292" s="70">
        <f t="shared" si="71"/>
        <v>18.193789163287871</v>
      </c>
      <c r="E2292" s="180">
        <v>-4.8308538635865324E-2</v>
      </c>
      <c r="G2292" s="78">
        <v>2290</v>
      </c>
      <c r="H2292" s="180">
        <f t="shared" ca="1" si="72"/>
        <v>3.9218505339874126E-3</v>
      </c>
    </row>
    <row r="2293" spans="2:8" x14ac:dyDescent="0.3">
      <c r="B2293" s="69">
        <v>42949</v>
      </c>
      <c r="C2293" s="55">
        <v>271.3</v>
      </c>
      <c r="D2293" s="70">
        <f t="shared" si="71"/>
        <v>-0.20176535490989331</v>
      </c>
      <c r="E2293" s="180">
        <v>-4.8404068747807824E-2</v>
      </c>
      <c r="G2293" s="78">
        <v>2291</v>
      </c>
      <c r="H2293" s="180">
        <f t="shared" ca="1" si="72"/>
        <v>-1.9590056740906758E-2</v>
      </c>
    </row>
    <row r="2294" spans="2:8" x14ac:dyDescent="0.3">
      <c r="B2294" s="69">
        <v>43294</v>
      </c>
      <c r="C2294" s="55">
        <v>339.875</v>
      </c>
      <c r="D2294" s="70">
        <f t="shared" si="71"/>
        <v>-0.33036154073490298</v>
      </c>
      <c r="E2294" s="180">
        <v>-4.9300699300699302E-2</v>
      </c>
      <c r="G2294" s="78">
        <v>2292</v>
      </c>
      <c r="H2294" s="180">
        <f t="shared" ca="1" si="72"/>
        <v>-1.1010414837265217E-2</v>
      </c>
    </row>
    <row r="2295" spans="2:8" x14ac:dyDescent="0.3">
      <c r="B2295" s="69">
        <v>43994</v>
      </c>
      <c r="C2295" s="55">
        <v>507.55</v>
      </c>
      <c r="D2295" s="70">
        <f t="shared" si="71"/>
        <v>-0.1998265804824215</v>
      </c>
      <c r="E2295" s="180">
        <v>-4.95763306961284E-2</v>
      </c>
      <c r="G2295" s="78">
        <v>2293</v>
      </c>
      <c r="H2295" s="180">
        <f t="shared" ca="1" si="72"/>
        <v>9.5714854746337171E-3</v>
      </c>
    </row>
    <row r="2296" spans="2:8" x14ac:dyDescent="0.3">
      <c r="B2296" s="69">
        <v>44012</v>
      </c>
      <c r="C2296" s="55">
        <v>634.29999999999995</v>
      </c>
      <c r="D2296" s="70">
        <f t="shared" si="71"/>
        <v>-4.9274927867501032E-2</v>
      </c>
      <c r="E2296" s="180">
        <v>-5.0093597903407033E-2</v>
      </c>
      <c r="G2296" s="78">
        <v>2294</v>
      </c>
      <c r="H2296" s="180">
        <f t="shared" ca="1" si="72"/>
        <v>-3.3413486422568511E-3</v>
      </c>
    </row>
    <row r="2297" spans="2:8" x14ac:dyDescent="0.3">
      <c r="B2297" s="69">
        <v>44186</v>
      </c>
      <c r="C2297" s="55">
        <v>667.17499999999995</v>
      </c>
      <c r="D2297" s="70">
        <f t="shared" si="71"/>
        <v>-0.84975228014863191</v>
      </c>
      <c r="E2297" s="180">
        <v>-5.0149487471526227E-2</v>
      </c>
      <c r="G2297" s="78">
        <v>2295</v>
      </c>
      <c r="H2297" s="180">
        <f t="shared" ca="1" si="72"/>
        <v>9.6585610074023161E-3</v>
      </c>
    </row>
    <row r="2298" spans="2:8" x14ac:dyDescent="0.3">
      <c r="B2298" s="69">
        <v>45447</v>
      </c>
      <c r="C2298" s="55">
        <v>4440.5</v>
      </c>
      <c r="D2298" s="70">
        <f t="shared" si="71"/>
        <v>5.7405411559333608</v>
      </c>
      <c r="E2298" s="180">
        <v>-5.019090296568017E-2</v>
      </c>
      <c r="G2298" s="78">
        <v>2296</v>
      </c>
      <c r="H2298" s="180">
        <f t="shared" ca="1" si="72"/>
        <v>-2.25125050694635E-2</v>
      </c>
    </row>
    <row r="2299" spans="2:8" x14ac:dyDescent="0.3">
      <c r="B2299" s="69">
        <v>44118</v>
      </c>
      <c r="C2299" s="55">
        <v>658.77499999999998</v>
      </c>
      <c r="D2299" s="70">
        <f t="shared" si="71"/>
        <v>-0.90110042710984006</v>
      </c>
      <c r="E2299" s="180">
        <v>-5.0517061218607093E-2</v>
      </c>
      <c r="G2299" s="78">
        <v>2297</v>
      </c>
      <c r="H2299" s="180">
        <f t="shared" ca="1" si="72"/>
        <v>4.1285940504571291E-4</v>
      </c>
    </row>
    <row r="2300" spans="2:8" x14ac:dyDescent="0.3">
      <c r="B2300" s="69">
        <v>45603</v>
      </c>
      <c r="C2300" s="55">
        <v>6661.05</v>
      </c>
      <c r="D2300" s="70">
        <f t="shared" si="71"/>
        <v>0.50659881255301109</v>
      </c>
      <c r="E2300" s="180">
        <v>-5.0936446986913249E-2</v>
      </c>
      <c r="G2300" s="78">
        <v>2298</v>
      </c>
      <c r="H2300" s="180">
        <f t="shared" ca="1" si="72"/>
        <v>-1.4891269516547178E-3</v>
      </c>
    </row>
    <row r="2301" spans="2:8" x14ac:dyDescent="0.3">
      <c r="B2301" s="69">
        <v>45971</v>
      </c>
      <c r="C2301" s="55">
        <v>4421.25</v>
      </c>
      <c r="D2301" s="70">
        <f t="shared" si="71"/>
        <v>9.4558354026250448</v>
      </c>
      <c r="E2301" s="180">
        <v>-5.1162640970888296E-2</v>
      </c>
      <c r="G2301" s="78">
        <v>2299</v>
      </c>
      <c r="H2301" s="180">
        <f t="shared" ca="1" si="72"/>
        <v>-2.243225254938469E-2</v>
      </c>
    </row>
    <row r="2302" spans="2:8" x14ac:dyDescent="0.3">
      <c r="B2302" s="69">
        <v>43969</v>
      </c>
      <c r="C2302" s="55">
        <v>422.85</v>
      </c>
      <c r="D2302" s="70">
        <f t="shared" si="71"/>
        <v>-0.24355992844364932</v>
      </c>
      <c r="E2302" s="180">
        <v>-5.2330793366203422E-2</v>
      </c>
      <c r="G2302" s="78">
        <v>2300</v>
      </c>
      <c r="H2302" s="180">
        <f t="shared" ca="1" si="72"/>
        <v>-4.410088185630612E-5</v>
      </c>
    </row>
    <row r="2303" spans="2:8" x14ac:dyDescent="0.3">
      <c r="B2303" s="69">
        <v>43906</v>
      </c>
      <c r="C2303" s="55">
        <v>559</v>
      </c>
      <c r="D2303" s="70">
        <f t="shared" si="71"/>
        <v>-0.37261503928170597</v>
      </c>
      <c r="E2303" s="180">
        <v>-5.2943667937314698E-2</v>
      </c>
      <c r="G2303" s="78">
        <v>2301</v>
      </c>
      <c r="H2303" s="180">
        <f t="shared" ca="1" si="72"/>
        <v>-3.492110105140428E-2</v>
      </c>
    </row>
    <row r="2304" spans="2:8" x14ac:dyDescent="0.3">
      <c r="B2304" s="69">
        <v>44419</v>
      </c>
      <c r="C2304" s="55">
        <v>891</v>
      </c>
      <c r="D2304" s="70">
        <f t="shared" si="71"/>
        <v>-0.11659726353361097</v>
      </c>
      <c r="E2304" s="180">
        <v>-5.4541595925297205E-2</v>
      </c>
      <c r="G2304" s="78">
        <v>2302</v>
      </c>
      <c r="H2304" s="180">
        <f t="shared" ca="1" si="72"/>
        <v>8.3068625015672911E-3</v>
      </c>
    </row>
    <row r="2305" spans="2:8" x14ac:dyDescent="0.3">
      <c r="B2305" s="69">
        <v>44616</v>
      </c>
      <c r="C2305" s="55">
        <v>1008.6</v>
      </c>
      <c r="D2305" s="70">
        <f t="shared" si="71"/>
        <v>0.59854188129011798</v>
      </c>
      <c r="E2305" s="180">
        <v>-5.4732895970009347E-2</v>
      </c>
      <c r="G2305" s="78">
        <v>2303</v>
      </c>
      <c r="H2305" s="180">
        <f t="shared" ca="1" si="72"/>
        <v>6.9542760727100885E-4</v>
      </c>
    </row>
    <row r="2306" spans="2:8" x14ac:dyDescent="0.3">
      <c r="B2306" s="69">
        <v>44096</v>
      </c>
      <c r="C2306" s="55">
        <v>630.95000000000005</v>
      </c>
      <c r="D2306" s="70">
        <f t="shared" si="71"/>
        <v>-0.53536580875584516</v>
      </c>
      <c r="E2306" s="180">
        <v>-5.5181191973644669E-2</v>
      </c>
      <c r="G2306" s="78">
        <v>2304</v>
      </c>
      <c r="H2306" s="180">
        <f t="shared" ca="1" si="72"/>
        <v>1.4992483117336254E-2</v>
      </c>
    </row>
    <row r="2307" spans="2:8" x14ac:dyDescent="0.3">
      <c r="B2307" s="69">
        <v>44795</v>
      </c>
      <c r="C2307" s="55">
        <v>1357.95</v>
      </c>
      <c r="D2307" s="70">
        <f t="shared" ref="D2307:D2319" si="73">(C2307-C2308)/C2308</f>
        <v>0.25523998798326902</v>
      </c>
      <c r="E2307" s="180">
        <v>-5.5700427662459667E-2</v>
      </c>
      <c r="G2307" s="78">
        <v>2305</v>
      </c>
      <c r="H2307" s="180">
        <f t="shared" ca="1" si="72"/>
        <v>-9.8170032847378339E-4</v>
      </c>
    </row>
    <row r="2308" spans="2:8" x14ac:dyDescent="0.3">
      <c r="B2308" s="69">
        <v>44586</v>
      </c>
      <c r="C2308" s="55">
        <v>1081.825</v>
      </c>
      <c r="D2308" s="70">
        <f t="shared" si="73"/>
        <v>1.4015206171263666</v>
      </c>
      <c r="E2308" s="180">
        <v>-5.5710731898922047E-2</v>
      </c>
      <c r="G2308" s="78">
        <v>2306</v>
      </c>
      <c r="H2308" s="180">
        <f t="shared" ref="H2308:H2320" ca="1" si="74">_xlfn.NORM.INV(RAND(),$N$4,$N$5)</f>
        <v>1.5820290437807468E-2</v>
      </c>
    </row>
    <row r="2309" spans="2:8" x14ac:dyDescent="0.3">
      <c r="B2309" s="69">
        <v>43934</v>
      </c>
      <c r="C2309" s="55">
        <v>450.47500000000002</v>
      </c>
      <c r="D2309" s="70">
        <f t="shared" si="73"/>
        <v>-0.27782453609073776</v>
      </c>
      <c r="E2309" s="180">
        <v>-5.6250982035300823E-2</v>
      </c>
      <c r="G2309" s="78">
        <v>2307</v>
      </c>
      <c r="H2309" s="180">
        <f t="shared" ca="1" si="74"/>
        <v>2.8832668195862179E-2</v>
      </c>
    </row>
    <row r="2310" spans="2:8" x14ac:dyDescent="0.3">
      <c r="B2310" s="69">
        <v>44225</v>
      </c>
      <c r="C2310" s="55">
        <v>623.77499999999998</v>
      </c>
      <c r="D2310" s="70">
        <f t="shared" si="73"/>
        <v>-0.88286355442049136</v>
      </c>
      <c r="E2310" s="180">
        <v>-5.7848431068987752E-2</v>
      </c>
      <c r="G2310" s="78">
        <v>2308</v>
      </c>
      <c r="H2310" s="180">
        <f t="shared" ca="1" si="74"/>
        <v>-1.8332328541368282E-2</v>
      </c>
    </row>
    <row r="2311" spans="2:8" x14ac:dyDescent="0.3">
      <c r="B2311" s="69">
        <v>45509</v>
      </c>
      <c r="C2311" s="55">
        <v>5325.2000000000007</v>
      </c>
      <c r="D2311" s="70">
        <f t="shared" si="73"/>
        <v>0.29846506467698114</v>
      </c>
      <c r="E2311" s="180">
        <v>-5.9969902514154988E-2</v>
      </c>
      <c r="G2311" s="78">
        <v>2309</v>
      </c>
      <c r="H2311" s="180">
        <f t="shared" ca="1" si="74"/>
        <v>-1.0269114616502407E-2</v>
      </c>
    </row>
    <row r="2312" spans="2:8" x14ac:dyDescent="0.3">
      <c r="B2312" s="69">
        <v>46028</v>
      </c>
      <c r="C2312" s="55">
        <v>4101.1499999999996</v>
      </c>
      <c r="D2312" s="70">
        <f t="shared" si="73"/>
        <v>7.8348772080999565</v>
      </c>
      <c r="E2312" s="180">
        <v>-6.9400953029271698E-2</v>
      </c>
      <c r="G2312" s="78">
        <v>2310</v>
      </c>
      <c r="H2312" s="180">
        <f t="shared" ca="1" si="74"/>
        <v>1.2901357199395065E-2</v>
      </c>
    </row>
    <row r="2313" spans="2:8" x14ac:dyDescent="0.3">
      <c r="B2313" s="69">
        <v>43920</v>
      </c>
      <c r="C2313" s="55">
        <v>464.2</v>
      </c>
      <c r="D2313" s="70">
        <f t="shared" si="73"/>
        <v>-7.9926663693573138E-2</v>
      </c>
      <c r="E2313" s="180">
        <v>-7.3129336594618885E-2</v>
      </c>
      <c r="G2313" s="78">
        <v>2311</v>
      </c>
      <c r="H2313" s="180">
        <f t="shared" ca="1" si="74"/>
        <v>2.5026215499089153E-2</v>
      </c>
    </row>
    <row r="2314" spans="2:8" x14ac:dyDescent="0.3">
      <c r="B2314" s="69">
        <v>43908</v>
      </c>
      <c r="C2314" s="55">
        <v>504.52499999999998</v>
      </c>
      <c r="D2314" s="70">
        <f t="shared" si="73"/>
        <v>0.14145927601809949</v>
      </c>
      <c r="E2314" s="180">
        <v>-8.6832579185520398E-2</v>
      </c>
      <c r="G2314" s="78">
        <v>2312</v>
      </c>
      <c r="H2314" s="180">
        <f t="shared" ca="1" si="74"/>
        <v>7.6119712179375755E-3</v>
      </c>
    </row>
    <row r="2315" spans="2:8" x14ac:dyDescent="0.3">
      <c r="B2315" s="69">
        <v>43913</v>
      </c>
      <c r="C2315" s="55">
        <v>442</v>
      </c>
      <c r="D2315" s="70">
        <f t="shared" si="73"/>
        <v>-0.92061068702290072</v>
      </c>
      <c r="E2315" s="180">
        <v>-9.1142754330951509E-2</v>
      </c>
      <c r="G2315" s="78">
        <v>2313</v>
      </c>
      <c r="H2315" s="180">
        <f t="shared" ca="1" si="74"/>
        <v>8.5252501698887262E-3</v>
      </c>
    </row>
    <row r="2316" spans="2:8" x14ac:dyDescent="0.3">
      <c r="B2316" s="69">
        <v>45842</v>
      </c>
      <c r="C2316" s="55">
        <v>5567.5</v>
      </c>
      <c r="D2316" s="70">
        <f t="shared" si="73"/>
        <v>11.297073440088349</v>
      </c>
      <c r="E2316" s="180">
        <v>-0.10205233659933068</v>
      </c>
      <c r="G2316" s="78">
        <v>2314</v>
      </c>
      <c r="H2316" s="180">
        <f t="shared" ca="1" si="74"/>
        <v>-1.67170662232626E-3</v>
      </c>
    </row>
    <row r="2317" spans="2:8" x14ac:dyDescent="0.3">
      <c r="B2317" s="69">
        <v>43909</v>
      </c>
      <c r="C2317" s="55">
        <v>452.75</v>
      </c>
      <c r="D2317" s="70">
        <f t="shared" si="73"/>
        <v>-0.24667221297836939</v>
      </c>
      <c r="E2317" s="180">
        <v>-0.10262127743917542</v>
      </c>
      <c r="G2317" s="78">
        <v>2315</v>
      </c>
      <c r="H2317" s="180">
        <f t="shared" ca="1" si="74"/>
        <v>2.611289851886329E-3</v>
      </c>
    </row>
    <row r="2318" spans="2:8" x14ac:dyDescent="0.3">
      <c r="B2318" s="69">
        <v>43902</v>
      </c>
      <c r="C2318" s="55">
        <v>601</v>
      </c>
      <c r="D2318" s="70">
        <f t="shared" si="73"/>
        <v>0.52151898734177216</v>
      </c>
      <c r="E2318" s="180">
        <v>-0.10508878382905862</v>
      </c>
      <c r="G2318" s="78">
        <v>2316</v>
      </c>
      <c r="H2318" s="180">
        <f t="shared" ca="1" si="74"/>
        <v>-4.7462173087547506E-3</v>
      </c>
    </row>
    <row r="2319" spans="2:8" x14ac:dyDescent="0.3">
      <c r="B2319" s="69">
        <v>43914</v>
      </c>
      <c r="C2319" s="55">
        <v>395</v>
      </c>
      <c r="D2319" s="70">
        <f t="shared" si="73"/>
        <v>-0.91679480968129257</v>
      </c>
      <c r="E2319" s="180">
        <v>-0.10633484162895927</v>
      </c>
      <c r="G2319" s="78">
        <v>2317</v>
      </c>
      <c r="H2319" s="180">
        <f t="shared" ca="1" si="74"/>
        <v>-1.1926197396546722E-3</v>
      </c>
    </row>
    <row r="2320" spans="2:8" x14ac:dyDescent="0.3">
      <c r="B2320" s="69">
        <v>45754</v>
      </c>
      <c r="C2320" s="55">
        <v>4747.3</v>
      </c>
      <c r="D2320" s="70" t="e">
        <f>(C2320-C2323)/C2323</f>
        <v>#DIV/0!</v>
      </c>
      <c r="E2320" s="180">
        <v>-0.15471315124105262</v>
      </c>
      <c r="G2320" s="78">
        <v>2318</v>
      </c>
      <c r="H2320" s="180">
        <f t="shared" ca="1" si="74"/>
        <v>2.9825472994757418E-2</v>
      </c>
    </row>
    <row r="2322" spans="2:7" x14ac:dyDescent="0.3">
      <c r="G2322" s="78">
        <v>2319</v>
      </c>
    </row>
    <row r="2323" spans="2:7" x14ac:dyDescent="0.3">
      <c r="B2323" s="69"/>
      <c r="C2323" s="55"/>
      <c r="D2323" s="70"/>
      <c r="G2323" s="78"/>
    </row>
    <row r="2324" spans="2:7" x14ac:dyDescent="0.3">
      <c r="B2324" s="69"/>
      <c r="C2324" s="55"/>
      <c r="D2324" s="70"/>
      <c r="G2324" s="78"/>
    </row>
    <row r="2325" spans="2:7" x14ac:dyDescent="0.3">
      <c r="B2325" s="69"/>
      <c r="C2325" s="55"/>
      <c r="D2325" s="70"/>
      <c r="G2325" s="78"/>
    </row>
    <row r="2326" spans="2:7" x14ac:dyDescent="0.3">
      <c r="B2326" s="69"/>
      <c r="C2326" s="55"/>
      <c r="D2326" s="70"/>
      <c r="G2326" s="78"/>
    </row>
    <row r="2327" spans="2:7" x14ac:dyDescent="0.3">
      <c r="B2327" s="69"/>
      <c r="C2327" s="55"/>
      <c r="D2327" s="70"/>
      <c r="G2327" s="78"/>
    </row>
    <row r="2328" spans="2:7" x14ac:dyDescent="0.3">
      <c r="B2328" s="69"/>
      <c r="C2328" s="55"/>
      <c r="D2328" s="70"/>
      <c r="G2328" s="78"/>
    </row>
    <row r="2329" spans="2:7" x14ac:dyDescent="0.3">
      <c r="B2329" s="69"/>
      <c r="C2329" s="55"/>
      <c r="D2329" s="70"/>
      <c r="G2329" s="78"/>
    </row>
    <row r="2330" spans="2:7" x14ac:dyDescent="0.3">
      <c r="B2330" s="69"/>
      <c r="C2330" s="55"/>
      <c r="D2330" s="70"/>
      <c r="G2330" s="78"/>
    </row>
    <row r="2331" spans="2:7" x14ac:dyDescent="0.3">
      <c r="B2331" s="69"/>
      <c r="C2331" s="55"/>
      <c r="D2331" s="70"/>
      <c r="G2331" s="78"/>
    </row>
    <row r="2332" spans="2:7" x14ac:dyDescent="0.3">
      <c r="B2332" s="69"/>
      <c r="C2332" s="55"/>
      <c r="D2332" s="70"/>
      <c r="G2332" s="78"/>
    </row>
    <row r="2333" spans="2:7" x14ac:dyDescent="0.3">
      <c r="B2333" s="69"/>
      <c r="C2333" s="55"/>
      <c r="D2333" s="70"/>
      <c r="G2333" s="78"/>
    </row>
    <row r="2334" spans="2:7" x14ac:dyDescent="0.3">
      <c r="B2334" s="69"/>
      <c r="C2334" s="55"/>
      <c r="D2334" s="70"/>
      <c r="G2334" s="78"/>
    </row>
    <row r="2335" spans="2:7" x14ac:dyDescent="0.3">
      <c r="B2335" s="69"/>
      <c r="C2335" s="55"/>
      <c r="D2335" s="70"/>
      <c r="G2335" s="78"/>
    </row>
    <row r="2336" spans="2:7" x14ac:dyDescent="0.3">
      <c r="B2336" s="69"/>
      <c r="C2336" s="55"/>
      <c r="D2336" s="70"/>
      <c r="G2336" s="78"/>
    </row>
    <row r="2337" spans="2:7" x14ac:dyDescent="0.3">
      <c r="B2337" s="69"/>
      <c r="C2337" s="55"/>
      <c r="D2337" s="70"/>
      <c r="G2337" s="78"/>
    </row>
    <row r="2338" spans="2:7" x14ac:dyDescent="0.3">
      <c r="B2338" s="69"/>
      <c r="C2338" s="55"/>
      <c r="D2338" s="70"/>
      <c r="G2338" s="78"/>
    </row>
    <row r="2339" spans="2:7" x14ac:dyDescent="0.3">
      <c r="B2339" s="69"/>
      <c r="C2339" s="55"/>
      <c r="D2339" s="70"/>
      <c r="G2339" s="78"/>
    </row>
    <row r="2340" spans="2:7" x14ac:dyDescent="0.3">
      <c r="B2340" s="69"/>
      <c r="C2340" s="55"/>
      <c r="D2340" s="70"/>
      <c r="G2340" s="78"/>
    </row>
    <row r="2341" spans="2:7" x14ac:dyDescent="0.3">
      <c r="B2341" s="69"/>
      <c r="C2341" s="55"/>
      <c r="D2341" s="70"/>
      <c r="G2341" s="78"/>
    </row>
    <row r="2342" spans="2:7" x14ac:dyDescent="0.3">
      <c r="B2342" s="69"/>
      <c r="C2342" s="55"/>
      <c r="D2342" s="70"/>
      <c r="G2342" s="78"/>
    </row>
    <row r="2343" spans="2:7" x14ac:dyDescent="0.3">
      <c r="B2343" s="69"/>
      <c r="C2343" s="55"/>
      <c r="D2343" s="70"/>
      <c r="G2343" s="78"/>
    </row>
    <row r="2344" spans="2:7" x14ac:dyDescent="0.3">
      <c r="B2344" s="69"/>
      <c r="C2344" s="55"/>
      <c r="D2344" s="70"/>
      <c r="G2344" s="78"/>
    </row>
    <row r="2345" spans="2:7" x14ac:dyDescent="0.3">
      <c r="B2345" s="69"/>
      <c r="C2345" s="55"/>
      <c r="D2345" s="70"/>
      <c r="G2345" s="78"/>
    </row>
    <row r="2346" spans="2:7" x14ac:dyDescent="0.3">
      <c r="B2346" s="69"/>
      <c r="C2346" s="55"/>
      <c r="D2346" s="70"/>
      <c r="G2346" s="78"/>
    </row>
    <row r="2347" spans="2:7" x14ac:dyDescent="0.3">
      <c r="B2347" s="69"/>
      <c r="C2347" s="55"/>
      <c r="D2347" s="70"/>
      <c r="G2347" s="78"/>
    </row>
    <row r="2348" spans="2:7" x14ac:dyDescent="0.3">
      <c r="B2348" s="69"/>
      <c r="C2348" s="55"/>
      <c r="D2348" s="70"/>
      <c r="G2348" s="78"/>
    </row>
    <row r="2349" spans="2:7" x14ac:dyDescent="0.3">
      <c r="B2349" s="69"/>
      <c r="C2349" s="55"/>
      <c r="D2349" s="70"/>
      <c r="G2349" s="78"/>
    </row>
    <row r="2350" spans="2:7" x14ac:dyDescent="0.3">
      <c r="B2350" s="69"/>
      <c r="C2350" s="55"/>
      <c r="D2350" s="70"/>
      <c r="G2350" s="78"/>
    </row>
    <row r="2351" spans="2:7" x14ac:dyDescent="0.3">
      <c r="B2351" s="69"/>
      <c r="C2351" s="55"/>
      <c r="D2351" s="70"/>
      <c r="G2351" s="78"/>
    </row>
    <row r="2352" spans="2:7" x14ac:dyDescent="0.3">
      <c r="B2352" s="69"/>
      <c r="C2352" s="55"/>
      <c r="D2352" s="70"/>
      <c r="G2352" s="78"/>
    </row>
    <row r="2353" spans="2:7" x14ac:dyDescent="0.3">
      <c r="B2353" s="69"/>
      <c r="C2353" s="55"/>
      <c r="D2353" s="70"/>
      <c r="G2353" s="78"/>
    </row>
    <row r="2354" spans="2:7" x14ac:dyDescent="0.3">
      <c r="B2354" s="69"/>
      <c r="C2354" s="55"/>
      <c r="D2354" s="70"/>
      <c r="G2354" s="78"/>
    </row>
    <row r="2355" spans="2:7" x14ac:dyDescent="0.3">
      <c r="B2355" s="69"/>
      <c r="C2355" s="55"/>
      <c r="D2355" s="70"/>
      <c r="G2355" s="78"/>
    </row>
    <row r="2356" spans="2:7" x14ac:dyDescent="0.3">
      <c r="B2356" s="69"/>
      <c r="C2356" s="55"/>
      <c r="D2356" s="70"/>
      <c r="G2356" s="78"/>
    </row>
    <row r="2357" spans="2:7" x14ac:dyDescent="0.3">
      <c r="B2357" s="69"/>
      <c r="C2357" s="55"/>
      <c r="D2357" s="70"/>
      <c r="G2357" s="78"/>
    </row>
    <row r="2358" spans="2:7" x14ac:dyDescent="0.3">
      <c r="B2358" s="69"/>
      <c r="C2358" s="55"/>
      <c r="D2358" s="70"/>
      <c r="G2358" s="78"/>
    </row>
    <row r="2359" spans="2:7" x14ac:dyDescent="0.3">
      <c r="B2359" s="69"/>
      <c r="C2359" s="55"/>
      <c r="D2359" s="70"/>
      <c r="G2359" s="78"/>
    </row>
    <row r="2360" spans="2:7" x14ac:dyDescent="0.3">
      <c r="B2360" s="69"/>
      <c r="C2360" s="55"/>
      <c r="D2360" s="70"/>
      <c r="G2360" s="78"/>
    </row>
    <row r="2361" spans="2:7" x14ac:dyDescent="0.3">
      <c r="B2361" s="69"/>
      <c r="C2361" s="55"/>
      <c r="D2361" s="70"/>
      <c r="G2361" s="78"/>
    </row>
    <row r="2362" spans="2:7" x14ac:dyDescent="0.3">
      <c r="B2362" s="69"/>
      <c r="C2362" s="55"/>
      <c r="D2362" s="70"/>
      <c r="G2362" s="78"/>
    </row>
    <row r="2363" spans="2:7" x14ac:dyDescent="0.3">
      <c r="B2363" s="69"/>
      <c r="C2363" s="55"/>
      <c r="D2363" s="70"/>
      <c r="G2363" s="78"/>
    </row>
    <row r="2364" spans="2:7" x14ac:dyDescent="0.3">
      <c r="B2364" s="69"/>
      <c r="C2364" s="55"/>
      <c r="D2364" s="70"/>
      <c r="G2364" s="78"/>
    </row>
    <row r="2365" spans="2:7" x14ac:dyDescent="0.3">
      <c r="B2365" s="69"/>
      <c r="C2365" s="55"/>
      <c r="D2365" s="70"/>
      <c r="G2365" s="78"/>
    </row>
    <row r="2366" spans="2:7" x14ac:dyDescent="0.3">
      <c r="B2366" s="69"/>
      <c r="C2366" s="55"/>
      <c r="D2366" s="70"/>
      <c r="G2366" s="78"/>
    </row>
    <row r="2367" spans="2:7" x14ac:dyDescent="0.3">
      <c r="B2367" s="69"/>
      <c r="C2367" s="55"/>
      <c r="D2367" s="70"/>
      <c r="G2367" s="78"/>
    </row>
    <row r="2368" spans="2:7" x14ac:dyDescent="0.3">
      <c r="B2368" s="69"/>
      <c r="C2368" s="55"/>
      <c r="D2368" s="70"/>
      <c r="G2368" s="78"/>
    </row>
    <row r="2369" spans="2:7" x14ac:dyDescent="0.3">
      <c r="B2369" s="69"/>
      <c r="C2369" s="55"/>
      <c r="D2369" s="70"/>
      <c r="G2369" s="78"/>
    </row>
    <row r="2370" spans="2:7" x14ac:dyDescent="0.3">
      <c r="B2370" s="69"/>
      <c r="C2370" s="55"/>
      <c r="D2370" s="70"/>
      <c r="G2370" s="78"/>
    </row>
    <row r="2371" spans="2:7" x14ac:dyDescent="0.3">
      <c r="B2371" s="69"/>
      <c r="C2371" s="55"/>
      <c r="D2371" s="70"/>
      <c r="G2371" s="78"/>
    </row>
    <row r="2372" spans="2:7" x14ac:dyDescent="0.3">
      <c r="B2372" s="69"/>
      <c r="C2372" s="55"/>
      <c r="D2372" s="70"/>
      <c r="G2372" s="78"/>
    </row>
    <row r="2373" spans="2:7" x14ac:dyDescent="0.3">
      <c r="B2373" s="69"/>
      <c r="C2373" s="55"/>
      <c r="D2373" s="70"/>
      <c r="G2373" s="78"/>
    </row>
    <row r="2374" spans="2:7" x14ac:dyDescent="0.3">
      <c r="B2374" s="69"/>
      <c r="C2374" s="55"/>
      <c r="D2374" s="70"/>
      <c r="G2374" s="78"/>
    </row>
    <row r="2375" spans="2:7" x14ac:dyDescent="0.3">
      <c r="B2375" s="69"/>
      <c r="C2375" s="55"/>
      <c r="D2375" s="70"/>
      <c r="G2375" s="78"/>
    </row>
    <row r="2376" spans="2:7" x14ac:dyDescent="0.3">
      <c r="B2376" s="69"/>
      <c r="C2376" s="55"/>
      <c r="D2376" s="70"/>
      <c r="G2376" s="78"/>
    </row>
    <row r="2377" spans="2:7" x14ac:dyDescent="0.3">
      <c r="B2377" s="69"/>
      <c r="C2377" s="55"/>
      <c r="D2377" s="70"/>
      <c r="G2377" s="78"/>
    </row>
    <row r="2378" spans="2:7" x14ac:dyDescent="0.3">
      <c r="B2378" s="69"/>
      <c r="C2378" s="55"/>
      <c r="D2378" s="70"/>
      <c r="G2378" s="78"/>
    </row>
    <row r="2379" spans="2:7" x14ac:dyDescent="0.3">
      <c r="B2379" s="69"/>
      <c r="C2379" s="55"/>
      <c r="D2379" s="70"/>
      <c r="G2379" s="78"/>
    </row>
    <row r="2380" spans="2:7" x14ac:dyDescent="0.3">
      <c r="B2380" s="69"/>
      <c r="C2380" s="55"/>
      <c r="D2380" s="70"/>
      <c r="G2380" s="78"/>
    </row>
    <row r="2381" spans="2:7" x14ac:dyDescent="0.3">
      <c r="B2381" s="69"/>
      <c r="C2381" s="55"/>
      <c r="D2381" s="70"/>
      <c r="G2381" s="78"/>
    </row>
    <row r="2382" spans="2:7" x14ac:dyDescent="0.3">
      <c r="B2382" s="69"/>
      <c r="C2382" s="55"/>
      <c r="D2382" s="70"/>
      <c r="G2382" s="78"/>
    </row>
    <row r="2383" spans="2:7" x14ac:dyDescent="0.3">
      <c r="B2383" s="69"/>
      <c r="C2383" s="55"/>
      <c r="D2383" s="70"/>
      <c r="G2383" s="78"/>
    </row>
    <row r="2384" spans="2:7" x14ac:dyDescent="0.3">
      <c r="B2384" s="69"/>
      <c r="C2384" s="55"/>
      <c r="D2384" s="70"/>
      <c r="G2384" s="78"/>
    </row>
    <row r="2385" spans="2:7" x14ac:dyDescent="0.3">
      <c r="B2385" s="69"/>
      <c r="C2385" s="55"/>
      <c r="D2385" s="70"/>
      <c r="G2385" s="78"/>
    </row>
    <row r="2386" spans="2:7" x14ac:dyDescent="0.3">
      <c r="B2386" s="69"/>
      <c r="C2386" s="55"/>
      <c r="D2386" s="70"/>
      <c r="G2386" s="78"/>
    </row>
    <row r="2387" spans="2:7" x14ac:dyDescent="0.3">
      <c r="B2387" s="69"/>
      <c r="C2387" s="55"/>
      <c r="D2387" s="70"/>
      <c r="G2387" s="78"/>
    </row>
    <row r="2388" spans="2:7" x14ac:dyDescent="0.3">
      <c r="B2388" s="69"/>
      <c r="C2388" s="55"/>
      <c r="D2388" s="70"/>
      <c r="G2388" s="78"/>
    </row>
    <row r="2389" spans="2:7" x14ac:dyDescent="0.3">
      <c r="B2389" s="69"/>
      <c r="C2389" s="55"/>
      <c r="D2389" s="70"/>
      <c r="G2389" s="78"/>
    </row>
    <row r="2390" spans="2:7" x14ac:dyDescent="0.3">
      <c r="B2390" s="69"/>
      <c r="C2390" s="55"/>
      <c r="D2390" s="70"/>
      <c r="G2390" s="78"/>
    </row>
    <row r="2391" spans="2:7" x14ac:dyDescent="0.3">
      <c r="B2391" s="69"/>
      <c r="C2391" s="55"/>
      <c r="D2391" s="70"/>
      <c r="G2391" s="78"/>
    </row>
    <row r="2392" spans="2:7" x14ac:dyDescent="0.3">
      <c r="B2392" s="69"/>
      <c r="C2392" s="55"/>
      <c r="D2392" s="70"/>
      <c r="G2392" s="78"/>
    </row>
    <row r="2393" spans="2:7" x14ac:dyDescent="0.3">
      <c r="B2393" s="69"/>
      <c r="C2393" s="55"/>
      <c r="D2393" s="70"/>
      <c r="G2393" s="78"/>
    </row>
    <row r="2394" spans="2:7" x14ac:dyDescent="0.3">
      <c r="B2394" s="69"/>
      <c r="C2394" s="55"/>
      <c r="D2394" s="70"/>
      <c r="G2394" s="78"/>
    </row>
    <row r="2395" spans="2:7" x14ac:dyDescent="0.3">
      <c r="B2395" s="69"/>
      <c r="C2395" s="55"/>
      <c r="D2395" s="70"/>
      <c r="G2395" s="78"/>
    </row>
    <row r="2396" spans="2:7" x14ac:dyDescent="0.3">
      <c r="B2396" s="69"/>
      <c r="C2396" s="55"/>
      <c r="D2396" s="70"/>
      <c r="G2396" s="78"/>
    </row>
    <row r="2397" spans="2:7" x14ac:dyDescent="0.3">
      <c r="B2397" s="69"/>
      <c r="C2397" s="55"/>
      <c r="D2397" s="70"/>
      <c r="G2397" s="78"/>
    </row>
    <row r="2398" spans="2:7" x14ac:dyDescent="0.3">
      <c r="B2398" s="69"/>
      <c r="C2398" s="55"/>
      <c r="D2398" s="70"/>
      <c r="G2398" s="78"/>
    </row>
    <row r="2399" spans="2:7" x14ac:dyDescent="0.3">
      <c r="B2399" s="69"/>
      <c r="C2399" s="55"/>
      <c r="D2399" s="70"/>
      <c r="G2399" s="78"/>
    </row>
    <row r="2400" spans="2:7" x14ac:dyDescent="0.3">
      <c r="B2400" s="69"/>
      <c r="C2400" s="55"/>
      <c r="D2400" s="70"/>
      <c r="G2400" s="78"/>
    </row>
    <row r="2401" spans="2:7" x14ac:dyDescent="0.3">
      <c r="B2401" s="69"/>
      <c r="C2401" s="55"/>
      <c r="D2401" s="70"/>
      <c r="G2401" s="78"/>
    </row>
    <row r="2402" spans="2:7" x14ac:dyDescent="0.3">
      <c r="B2402" s="69"/>
      <c r="C2402" s="55"/>
      <c r="D2402" s="70"/>
      <c r="G2402" s="78"/>
    </row>
    <row r="2403" spans="2:7" x14ac:dyDescent="0.3">
      <c r="B2403" s="69"/>
      <c r="C2403" s="55"/>
      <c r="D2403" s="70"/>
      <c r="G2403" s="78"/>
    </row>
    <row r="2404" spans="2:7" x14ac:dyDescent="0.3">
      <c r="B2404" s="69"/>
      <c r="C2404" s="55"/>
      <c r="D2404" s="70"/>
      <c r="G2404" s="78"/>
    </row>
    <row r="2405" spans="2:7" x14ac:dyDescent="0.3">
      <c r="B2405" s="69"/>
      <c r="C2405" s="55"/>
      <c r="D2405" s="70"/>
      <c r="G2405" s="78"/>
    </row>
    <row r="2406" spans="2:7" x14ac:dyDescent="0.3">
      <c r="B2406" s="69"/>
      <c r="C2406" s="55"/>
      <c r="D2406" s="70"/>
      <c r="G2406" s="78"/>
    </row>
    <row r="2407" spans="2:7" x14ac:dyDescent="0.3">
      <c r="B2407" s="69"/>
      <c r="C2407" s="55"/>
      <c r="D2407" s="70"/>
      <c r="G2407" s="78"/>
    </row>
    <row r="2408" spans="2:7" x14ac:dyDescent="0.3">
      <c r="B2408" s="69"/>
      <c r="C2408" s="55"/>
      <c r="D2408" s="70"/>
      <c r="G2408" s="78"/>
    </row>
    <row r="2409" spans="2:7" x14ac:dyDescent="0.3">
      <c r="B2409" s="69"/>
      <c r="C2409" s="55"/>
      <c r="D2409" s="70"/>
      <c r="G2409" s="78"/>
    </row>
    <row r="2410" spans="2:7" x14ac:dyDescent="0.3">
      <c r="B2410" s="69"/>
      <c r="C2410" s="55"/>
      <c r="D2410" s="70"/>
      <c r="G2410" s="78"/>
    </row>
    <row r="2411" spans="2:7" x14ac:dyDescent="0.3">
      <c r="B2411" s="69"/>
      <c r="C2411" s="55"/>
      <c r="D2411" s="70"/>
      <c r="G2411" s="78"/>
    </row>
    <row r="2412" spans="2:7" x14ac:dyDescent="0.3">
      <c r="B2412" s="69"/>
      <c r="C2412" s="55"/>
      <c r="D2412" s="70"/>
      <c r="G2412" s="78"/>
    </row>
    <row r="2413" spans="2:7" x14ac:dyDescent="0.3">
      <c r="B2413" s="69"/>
      <c r="C2413" s="55"/>
      <c r="D2413" s="70"/>
      <c r="G2413" s="78"/>
    </row>
    <row r="2414" spans="2:7" x14ac:dyDescent="0.3">
      <c r="B2414" s="69"/>
      <c r="C2414" s="55"/>
      <c r="D2414" s="70"/>
      <c r="G2414" s="78"/>
    </row>
    <row r="2415" spans="2:7" x14ac:dyDescent="0.3">
      <c r="B2415" s="69"/>
      <c r="C2415" s="55"/>
      <c r="D2415" s="70"/>
      <c r="G2415" s="78"/>
    </row>
    <row r="2416" spans="2:7" x14ac:dyDescent="0.3">
      <c r="B2416" s="69"/>
      <c r="C2416" s="55"/>
      <c r="D2416" s="70"/>
      <c r="G2416" s="78"/>
    </row>
    <row r="2417" spans="2:7" x14ac:dyDescent="0.3">
      <c r="B2417" s="69"/>
      <c r="C2417" s="55"/>
      <c r="D2417" s="70"/>
      <c r="G2417" s="78"/>
    </row>
    <row r="2418" spans="2:7" x14ac:dyDescent="0.3">
      <c r="B2418" s="69"/>
      <c r="C2418" s="55"/>
      <c r="D2418" s="70"/>
      <c r="G2418" s="78"/>
    </row>
    <row r="2419" spans="2:7" x14ac:dyDescent="0.3">
      <c r="B2419" s="69"/>
      <c r="C2419" s="55"/>
      <c r="D2419" s="70"/>
      <c r="G2419" s="78"/>
    </row>
    <row r="2420" spans="2:7" x14ac:dyDescent="0.3">
      <c r="B2420" s="69"/>
      <c r="C2420" s="55"/>
      <c r="D2420" s="70"/>
      <c r="G2420" s="78"/>
    </row>
    <row r="2421" spans="2:7" x14ac:dyDescent="0.3">
      <c r="B2421" s="69"/>
      <c r="C2421" s="55"/>
      <c r="D2421" s="70"/>
      <c r="G2421" s="78"/>
    </row>
    <row r="2422" spans="2:7" x14ac:dyDescent="0.3">
      <c r="B2422" s="69"/>
      <c r="C2422" s="55"/>
      <c r="D2422" s="70"/>
      <c r="G2422" s="78"/>
    </row>
    <row r="2423" spans="2:7" x14ac:dyDescent="0.3">
      <c r="B2423" s="69"/>
      <c r="C2423" s="55"/>
      <c r="D2423" s="70"/>
      <c r="G2423" s="78"/>
    </row>
    <row r="2424" spans="2:7" x14ac:dyDescent="0.3">
      <c r="B2424" s="69"/>
      <c r="C2424" s="55"/>
      <c r="D2424" s="70"/>
      <c r="G2424" s="78"/>
    </row>
    <row r="2425" spans="2:7" x14ac:dyDescent="0.3">
      <c r="B2425" s="69"/>
      <c r="C2425" s="55"/>
      <c r="D2425" s="70"/>
      <c r="G2425" s="78"/>
    </row>
    <row r="2426" spans="2:7" x14ac:dyDescent="0.3">
      <c r="B2426" s="69"/>
      <c r="C2426" s="55"/>
      <c r="D2426" s="70"/>
      <c r="G2426" s="78"/>
    </row>
    <row r="2427" spans="2:7" x14ac:dyDescent="0.3">
      <c r="B2427" s="69"/>
      <c r="C2427" s="55"/>
      <c r="D2427" s="70"/>
      <c r="G2427" s="78"/>
    </row>
    <row r="2428" spans="2:7" x14ac:dyDescent="0.3">
      <c r="B2428" s="69"/>
      <c r="C2428" s="55"/>
      <c r="D2428" s="70"/>
      <c r="G2428" s="78"/>
    </row>
    <row r="2429" spans="2:7" x14ac:dyDescent="0.3">
      <c r="B2429" s="69"/>
      <c r="C2429" s="55"/>
      <c r="D2429" s="70"/>
      <c r="G2429" s="78"/>
    </row>
    <row r="2430" spans="2:7" x14ac:dyDescent="0.3">
      <c r="B2430" s="69"/>
      <c r="C2430" s="55"/>
      <c r="D2430" s="70"/>
      <c r="G2430" s="78"/>
    </row>
    <row r="2431" spans="2:7" x14ac:dyDescent="0.3">
      <c r="B2431" s="69"/>
      <c r="C2431" s="55"/>
      <c r="D2431" s="70"/>
      <c r="G2431" s="78"/>
    </row>
    <row r="2432" spans="2:7" x14ac:dyDescent="0.3">
      <c r="B2432" s="69"/>
      <c r="C2432" s="55"/>
      <c r="D2432" s="70"/>
      <c r="G2432" s="78"/>
    </row>
    <row r="2433" spans="2:7" x14ac:dyDescent="0.3">
      <c r="B2433" s="69"/>
      <c r="C2433" s="55"/>
      <c r="D2433" s="70"/>
      <c r="G2433" s="78"/>
    </row>
    <row r="2434" spans="2:7" x14ac:dyDescent="0.3">
      <c r="B2434" s="69"/>
      <c r="C2434" s="55"/>
      <c r="D2434" s="70"/>
      <c r="G2434" s="78"/>
    </row>
    <row r="2435" spans="2:7" x14ac:dyDescent="0.3">
      <c r="B2435" s="69"/>
      <c r="C2435" s="55"/>
      <c r="D2435" s="70"/>
      <c r="G2435" s="78"/>
    </row>
    <row r="2436" spans="2:7" x14ac:dyDescent="0.3">
      <c r="B2436" s="69"/>
      <c r="C2436" s="55"/>
      <c r="D2436" s="70"/>
      <c r="G2436" s="78"/>
    </row>
    <row r="2437" spans="2:7" x14ac:dyDescent="0.3">
      <c r="B2437" s="69"/>
      <c r="C2437" s="55"/>
      <c r="D2437" s="70"/>
      <c r="G2437" s="78"/>
    </row>
    <row r="2438" spans="2:7" x14ac:dyDescent="0.3">
      <c r="B2438" s="69"/>
      <c r="C2438" s="55"/>
      <c r="D2438" s="70"/>
      <c r="G2438" s="78"/>
    </row>
    <row r="2439" spans="2:7" x14ac:dyDescent="0.3">
      <c r="B2439" s="69"/>
      <c r="C2439" s="55"/>
      <c r="D2439" s="70"/>
      <c r="G2439" s="78"/>
    </row>
    <row r="2440" spans="2:7" x14ac:dyDescent="0.3">
      <c r="B2440" s="69"/>
      <c r="C2440" s="55"/>
      <c r="D2440" s="70"/>
      <c r="G2440" s="78"/>
    </row>
    <row r="2441" spans="2:7" x14ac:dyDescent="0.3">
      <c r="B2441" s="69"/>
      <c r="C2441" s="55"/>
      <c r="D2441" s="70"/>
      <c r="G2441" s="78"/>
    </row>
    <row r="2442" spans="2:7" x14ac:dyDescent="0.3">
      <c r="B2442" s="69"/>
      <c r="C2442" s="55"/>
      <c r="D2442" s="70"/>
      <c r="G2442" s="78"/>
    </row>
    <row r="2443" spans="2:7" x14ac:dyDescent="0.3">
      <c r="B2443" s="69"/>
      <c r="C2443" s="55"/>
      <c r="D2443" s="70"/>
      <c r="G2443" s="78"/>
    </row>
    <row r="2444" spans="2:7" x14ac:dyDescent="0.3">
      <c r="B2444" s="69"/>
      <c r="C2444" s="55"/>
      <c r="D2444" s="70"/>
      <c r="G2444" s="78"/>
    </row>
    <row r="2445" spans="2:7" x14ac:dyDescent="0.3">
      <c r="B2445" s="69"/>
      <c r="C2445" s="55"/>
      <c r="D2445" s="70"/>
      <c r="G2445" s="78"/>
    </row>
    <row r="2446" spans="2:7" x14ac:dyDescent="0.3">
      <c r="B2446" s="69"/>
      <c r="C2446" s="55"/>
      <c r="D2446" s="70"/>
      <c r="G2446" s="78"/>
    </row>
    <row r="2447" spans="2:7" x14ac:dyDescent="0.3">
      <c r="B2447" s="69"/>
      <c r="C2447" s="55"/>
      <c r="D2447" s="70"/>
      <c r="G2447" s="78"/>
    </row>
    <row r="2448" spans="2:7" x14ac:dyDescent="0.3">
      <c r="B2448" s="69"/>
      <c r="C2448" s="55"/>
      <c r="D2448" s="70"/>
      <c r="G2448" s="78"/>
    </row>
    <row r="2449" spans="2:7" x14ac:dyDescent="0.3">
      <c r="B2449" s="69"/>
      <c r="C2449" s="55"/>
      <c r="D2449" s="70"/>
      <c r="G2449" s="78"/>
    </row>
    <row r="2450" spans="2:7" x14ac:dyDescent="0.3">
      <c r="B2450" s="69"/>
      <c r="C2450" s="55"/>
      <c r="D2450" s="70"/>
      <c r="G2450" s="78"/>
    </row>
    <row r="2451" spans="2:7" x14ac:dyDescent="0.3">
      <c r="B2451" s="69"/>
      <c r="C2451" s="55"/>
      <c r="D2451" s="70"/>
      <c r="G2451" s="78"/>
    </row>
    <row r="2452" spans="2:7" x14ac:dyDescent="0.3">
      <c r="B2452" s="69"/>
      <c r="C2452" s="55"/>
      <c r="D2452" s="70"/>
      <c r="G2452" s="78"/>
    </row>
    <row r="2453" spans="2:7" x14ac:dyDescent="0.3">
      <c r="B2453" s="69"/>
      <c r="C2453" s="55"/>
      <c r="D2453" s="70"/>
      <c r="G2453" s="78"/>
    </row>
    <row r="2454" spans="2:7" x14ac:dyDescent="0.3">
      <c r="B2454" s="69"/>
      <c r="C2454" s="55"/>
      <c r="D2454" s="70"/>
      <c r="G2454" s="78"/>
    </row>
    <row r="2455" spans="2:7" x14ac:dyDescent="0.3">
      <c r="B2455" s="69"/>
      <c r="C2455" s="55"/>
      <c r="D2455" s="70"/>
      <c r="G2455" s="78"/>
    </row>
    <row r="2456" spans="2:7" x14ac:dyDescent="0.3">
      <c r="B2456" s="69"/>
      <c r="C2456" s="55"/>
      <c r="D2456" s="70"/>
      <c r="G2456" s="78"/>
    </row>
    <row r="2457" spans="2:7" x14ac:dyDescent="0.3">
      <c r="B2457" s="69"/>
      <c r="C2457" s="55"/>
      <c r="D2457" s="70"/>
      <c r="G2457" s="78"/>
    </row>
    <row r="2458" spans="2:7" x14ac:dyDescent="0.3">
      <c r="B2458" s="69"/>
      <c r="C2458" s="55"/>
      <c r="D2458" s="70"/>
      <c r="G2458" s="78"/>
    </row>
    <row r="2459" spans="2:7" x14ac:dyDescent="0.3">
      <c r="B2459" s="69"/>
      <c r="C2459" s="55"/>
      <c r="D2459" s="70"/>
      <c r="G2459" s="78"/>
    </row>
    <row r="2460" spans="2:7" x14ac:dyDescent="0.3">
      <c r="B2460" s="69"/>
      <c r="C2460" s="55"/>
      <c r="D2460" s="70"/>
      <c r="G2460" s="78"/>
    </row>
    <row r="2461" spans="2:7" x14ac:dyDescent="0.3">
      <c r="B2461" s="69"/>
      <c r="C2461" s="55"/>
      <c r="D2461" s="70"/>
      <c r="G2461" s="78"/>
    </row>
    <row r="2462" spans="2:7" x14ac:dyDescent="0.3">
      <c r="B2462" s="69"/>
      <c r="C2462" s="55"/>
      <c r="D2462" s="70"/>
      <c r="G2462" s="78"/>
    </row>
    <row r="2463" spans="2:7" x14ac:dyDescent="0.3">
      <c r="B2463" s="69"/>
      <c r="C2463" s="55"/>
      <c r="D2463" s="70"/>
      <c r="G2463" s="78"/>
    </row>
    <row r="2464" spans="2:7" x14ac:dyDescent="0.3">
      <c r="B2464" s="69"/>
      <c r="C2464" s="55"/>
      <c r="D2464" s="70"/>
      <c r="G2464" s="78"/>
    </row>
    <row r="2465" spans="2:7" x14ac:dyDescent="0.3">
      <c r="B2465" s="69"/>
      <c r="C2465" s="55"/>
      <c r="D2465" s="70"/>
      <c r="G2465" s="78"/>
    </row>
    <row r="2466" spans="2:7" x14ac:dyDescent="0.3">
      <c r="B2466" s="69"/>
      <c r="C2466" s="55"/>
      <c r="D2466" s="70"/>
      <c r="G2466" s="78"/>
    </row>
    <row r="2467" spans="2:7" x14ac:dyDescent="0.3">
      <c r="B2467" s="69"/>
      <c r="C2467" s="55"/>
      <c r="D2467" s="70"/>
      <c r="G2467" s="78"/>
    </row>
    <row r="2468" spans="2:7" x14ac:dyDescent="0.3">
      <c r="B2468" s="69"/>
      <c r="C2468" s="55"/>
      <c r="D2468" s="70"/>
      <c r="G2468" s="78"/>
    </row>
    <row r="2469" spans="2:7" x14ac:dyDescent="0.3">
      <c r="B2469" s="69"/>
      <c r="C2469" s="55"/>
      <c r="D2469" s="70"/>
      <c r="G2469" s="78"/>
    </row>
    <row r="2470" spans="2:7" x14ac:dyDescent="0.3">
      <c r="B2470" s="69"/>
      <c r="C2470" s="55"/>
      <c r="D2470" s="70"/>
      <c r="G2470" s="78"/>
    </row>
    <row r="2471" spans="2:7" x14ac:dyDescent="0.3">
      <c r="B2471" s="69"/>
      <c r="C2471" s="55"/>
      <c r="D2471" s="70"/>
      <c r="G2471" s="78"/>
    </row>
    <row r="2472" spans="2:7" x14ac:dyDescent="0.3">
      <c r="B2472" s="69"/>
      <c r="C2472" s="55"/>
      <c r="D2472" s="70"/>
      <c r="G2472" s="78"/>
    </row>
    <row r="2473" spans="2:7" x14ac:dyDescent="0.3">
      <c r="B2473" s="69"/>
      <c r="C2473" s="55"/>
      <c r="D2473" s="70"/>
      <c r="G2473" s="78"/>
    </row>
    <row r="2474" spans="2:7" x14ac:dyDescent="0.3">
      <c r="B2474" s="69"/>
      <c r="C2474" s="55"/>
      <c r="D2474" s="70"/>
      <c r="G2474" s="78"/>
    </row>
    <row r="2475" spans="2:7" x14ac:dyDescent="0.3">
      <c r="B2475" s="69"/>
      <c r="C2475" s="55"/>
      <c r="D2475" s="70"/>
      <c r="G2475" s="78"/>
    </row>
    <row r="2476" spans="2:7" x14ac:dyDescent="0.3">
      <c r="B2476" s="69"/>
      <c r="C2476" s="55"/>
      <c r="D2476" s="70"/>
      <c r="G2476" s="78"/>
    </row>
    <row r="2477" spans="2:7" x14ac:dyDescent="0.3">
      <c r="B2477" s="69"/>
      <c r="C2477" s="55"/>
      <c r="D2477" s="70"/>
      <c r="G2477" s="78"/>
    </row>
    <row r="2478" spans="2:7" x14ac:dyDescent="0.3">
      <c r="B2478" s="69"/>
      <c r="C2478" s="55"/>
      <c r="D2478" s="70"/>
      <c r="G2478" s="78"/>
    </row>
    <row r="2479" spans="2:7" x14ac:dyDescent="0.3">
      <c r="B2479" s="69"/>
      <c r="C2479" s="55"/>
      <c r="D2479" s="70"/>
      <c r="G2479" s="78"/>
    </row>
    <row r="2480" spans="2:7" x14ac:dyDescent="0.3">
      <c r="B2480" s="69"/>
      <c r="C2480" s="55"/>
      <c r="D2480" s="70"/>
      <c r="G2480" s="78"/>
    </row>
    <row r="2481" spans="2:7" x14ac:dyDescent="0.3">
      <c r="B2481" s="69"/>
      <c r="C2481" s="55"/>
      <c r="D2481" s="70"/>
      <c r="G2481" s="78"/>
    </row>
    <row r="2482" spans="2:7" x14ac:dyDescent="0.3">
      <c r="B2482" s="69"/>
      <c r="C2482" s="55"/>
      <c r="D2482" s="70"/>
      <c r="G2482" s="78"/>
    </row>
    <row r="2483" spans="2:7" x14ac:dyDescent="0.3">
      <c r="B2483" s="69"/>
      <c r="C2483" s="55"/>
      <c r="D2483" s="70"/>
      <c r="G2483" s="78"/>
    </row>
    <row r="2484" spans="2:7" x14ac:dyDescent="0.3">
      <c r="B2484" s="69"/>
      <c r="C2484" s="55"/>
      <c r="D2484" s="70"/>
      <c r="G2484" s="78"/>
    </row>
    <row r="2485" spans="2:7" x14ac:dyDescent="0.3">
      <c r="B2485" s="69"/>
      <c r="C2485" s="55"/>
      <c r="D2485" s="70"/>
      <c r="G2485" s="78"/>
    </row>
    <row r="2486" spans="2:7" x14ac:dyDescent="0.3">
      <c r="B2486" s="69"/>
      <c r="C2486" s="55"/>
      <c r="D2486" s="70"/>
      <c r="G2486" s="78"/>
    </row>
    <row r="2487" spans="2:7" x14ac:dyDescent="0.3">
      <c r="B2487" s="69"/>
      <c r="C2487" s="55"/>
      <c r="D2487" s="70"/>
      <c r="G2487" s="78"/>
    </row>
    <row r="2488" spans="2:7" x14ac:dyDescent="0.3">
      <c r="B2488" s="69"/>
      <c r="C2488" s="55"/>
      <c r="D2488" s="70"/>
      <c r="G2488" s="78"/>
    </row>
    <row r="2489" spans="2:7" x14ac:dyDescent="0.3">
      <c r="B2489" s="69"/>
      <c r="C2489" s="55"/>
      <c r="D2489" s="70"/>
      <c r="G2489" s="78"/>
    </row>
    <row r="2490" spans="2:7" x14ac:dyDescent="0.3">
      <c r="B2490" s="69"/>
      <c r="C2490" s="55"/>
      <c r="D2490" s="70"/>
      <c r="G2490" s="78"/>
    </row>
    <row r="2491" spans="2:7" x14ac:dyDescent="0.3">
      <c r="B2491" s="69"/>
      <c r="C2491" s="55"/>
      <c r="D2491" s="70"/>
      <c r="G2491" s="78"/>
    </row>
    <row r="2492" spans="2:7" x14ac:dyDescent="0.3">
      <c r="B2492" s="69"/>
      <c r="C2492" s="55"/>
      <c r="D2492" s="70"/>
      <c r="G2492" s="78"/>
    </row>
    <row r="2493" spans="2:7" x14ac:dyDescent="0.3">
      <c r="B2493" s="69"/>
      <c r="C2493" s="55"/>
      <c r="D2493" s="70"/>
      <c r="G2493" s="78"/>
    </row>
    <row r="2494" spans="2:7" x14ac:dyDescent="0.3">
      <c r="B2494" s="69"/>
      <c r="C2494" s="55"/>
      <c r="D2494" s="70"/>
      <c r="G2494" s="78"/>
    </row>
    <row r="2495" spans="2:7" x14ac:dyDescent="0.3">
      <c r="B2495" s="69"/>
      <c r="C2495" s="55"/>
      <c r="D2495" s="70"/>
      <c r="G2495" s="78"/>
    </row>
    <row r="2496" spans="2:7" x14ac:dyDescent="0.3">
      <c r="B2496" s="69"/>
      <c r="C2496" s="55"/>
      <c r="D2496" s="70"/>
      <c r="G2496" s="78"/>
    </row>
    <row r="2497" spans="2:7" x14ac:dyDescent="0.3">
      <c r="B2497" s="69"/>
      <c r="C2497" s="55"/>
      <c r="D2497" s="70"/>
      <c r="G2497" s="78"/>
    </row>
    <row r="2498" spans="2:7" x14ac:dyDescent="0.3">
      <c r="B2498" s="69"/>
      <c r="C2498" s="55"/>
      <c r="D2498" s="70"/>
      <c r="G2498" s="78"/>
    </row>
    <row r="2499" spans="2:7" x14ac:dyDescent="0.3">
      <c r="B2499" s="69"/>
      <c r="C2499" s="55"/>
      <c r="D2499" s="70"/>
      <c r="G2499" s="78"/>
    </row>
    <row r="2500" spans="2:7" x14ac:dyDescent="0.3">
      <c r="B2500" s="69"/>
      <c r="C2500" s="55"/>
      <c r="D2500" s="70"/>
      <c r="G2500" s="78"/>
    </row>
    <row r="2501" spans="2:7" x14ac:dyDescent="0.3">
      <c r="B2501" s="69"/>
      <c r="C2501" s="55"/>
      <c r="D2501" s="70"/>
      <c r="G2501" s="78"/>
    </row>
    <row r="2502" spans="2:7" x14ac:dyDescent="0.3">
      <c r="B2502" s="69"/>
      <c r="C2502" s="55"/>
      <c r="D2502" s="70"/>
      <c r="G2502" s="78"/>
    </row>
    <row r="2503" spans="2:7" x14ac:dyDescent="0.3">
      <c r="B2503" s="69"/>
      <c r="C2503" s="55"/>
      <c r="D2503" s="70"/>
      <c r="G2503" s="78"/>
    </row>
    <row r="2504" spans="2:7" x14ac:dyDescent="0.3">
      <c r="B2504" s="69"/>
      <c r="C2504" s="55"/>
      <c r="D2504" s="70"/>
      <c r="G2504" s="78"/>
    </row>
    <row r="2505" spans="2:7" x14ac:dyDescent="0.3">
      <c r="B2505" s="69"/>
      <c r="C2505" s="55"/>
      <c r="D2505" s="70"/>
      <c r="G2505" s="78"/>
    </row>
    <row r="2506" spans="2:7" x14ac:dyDescent="0.3">
      <c r="B2506" s="69"/>
      <c r="C2506" s="55"/>
      <c r="D2506" s="70"/>
      <c r="G2506" s="78"/>
    </row>
    <row r="2507" spans="2:7" x14ac:dyDescent="0.3">
      <c r="B2507" s="69"/>
      <c r="C2507" s="55"/>
      <c r="D2507" s="70"/>
      <c r="G2507" s="78"/>
    </row>
    <row r="2508" spans="2:7" x14ac:dyDescent="0.3">
      <c r="B2508" s="69"/>
      <c r="C2508" s="55"/>
      <c r="D2508" s="70"/>
      <c r="G2508" s="78"/>
    </row>
    <row r="2509" spans="2:7" x14ac:dyDescent="0.3">
      <c r="B2509" s="69"/>
      <c r="C2509" s="55"/>
      <c r="D2509" s="70"/>
      <c r="G2509" s="78"/>
    </row>
    <row r="2510" spans="2:7" x14ac:dyDescent="0.3">
      <c r="B2510" s="69"/>
      <c r="C2510" s="55"/>
      <c r="D2510" s="70"/>
      <c r="G2510" s="78"/>
    </row>
    <row r="2511" spans="2:7" x14ac:dyDescent="0.3">
      <c r="B2511" s="69"/>
      <c r="C2511" s="55"/>
      <c r="D2511" s="70"/>
      <c r="G2511" s="78"/>
    </row>
    <row r="2512" spans="2:7" x14ac:dyDescent="0.3">
      <c r="B2512" s="69"/>
      <c r="C2512" s="55"/>
      <c r="D2512" s="70"/>
      <c r="G2512" s="78"/>
    </row>
    <row r="2513" spans="2:7" x14ac:dyDescent="0.3">
      <c r="B2513" s="69"/>
      <c r="C2513" s="55"/>
      <c r="D2513" s="70"/>
      <c r="G2513" s="78"/>
    </row>
    <row r="2514" spans="2:7" x14ac:dyDescent="0.3">
      <c r="B2514" s="69"/>
      <c r="C2514" s="55"/>
      <c r="D2514" s="70"/>
      <c r="G2514" s="78"/>
    </row>
    <row r="2515" spans="2:7" x14ac:dyDescent="0.3">
      <c r="B2515" s="69"/>
      <c r="C2515" s="55"/>
      <c r="D2515" s="70"/>
      <c r="G2515" s="78"/>
    </row>
    <row r="2516" spans="2:7" x14ac:dyDescent="0.3">
      <c r="B2516" s="69"/>
      <c r="C2516" s="55"/>
      <c r="D2516" s="70"/>
      <c r="G2516" s="78"/>
    </row>
    <row r="2517" spans="2:7" x14ac:dyDescent="0.3">
      <c r="B2517" s="69"/>
      <c r="C2517" s="55"/>
      <c r="D2517" s="70"/>
      <c r="G2517" s="78"/>
    </row>
    <row r="2518" spans="2:7" x14ac:dyDescent="0.3">
      <c r="B2518" s="69"/>
      <c r="C2518" s="55"/>
      <c r="D2518" s="70"/>
      <c r="G2518" s="78"/>
    </row>
    <row r="2519" spans="2:7" x14ac:dyDescent="0.3">
      <c r="B2519" s="69"/>
      <c r="C2519" s="55"/>
      <c r="D2519" s="70"/>
      <c r="G2519" s="78"/>
    </row>
    <row r="2520" spans="2:7" x14ac:dyDescent="0.3">
      <c r="B2520" s="69"/>
      <c r="C2520" s="55"/>
      <c r="D2520" s="70"/>
      <c r="G2520" s="78"/>
    </row>
    <row r="2521" spans="2:7" x14ac:dyDescent="0.3">
      <c r="B2521" s="69"/>
      <c r="C2521" s="55"/>
      <c r="D2521" s="70"/>
      <c r="G2521" s="78"/>
    </row>
    <row r="2522" spans="2:7" x14ac:dyDescent="0.3">
      <c r="B2522" s="69"/>
      <c r="C2522" s="55"/>
      <c r="D2522" s="70"/>
      <c r="G2522" s="78"/>
    </row>
    <row r="2523" spans="2:7" x14ac:dyDescent="0.3">
      <c r="B2523" s="69"/>
      <c r="C2523" s="55"/>
      <c r="D2523" s="70"/>
      <c r="G2523" s="78"/>
    </row>
    <row r="2524" spans="2:7" x14ac:dyDescent="0.3">
      <c r="B2524" s="69"/>
      <c r="C2524" s="55"/>
      <c r="D2524" s="70"/>
      <c r="G2524" s="78"/>
    </row>
    <row r="2525" spans="2:7" x14ac:dyDescent="0.3">
      <c r="B2525" s="69"/>
      <c r="C2525" s="55"/>
      <c r="D2525" s="70"/>
      <c r="G2525" s="78"/>
    </row>
    <row r="2526" spans="2:7" x14ac:dyDescent="0.3">
      <c r="B2526" s="69"/>
      <c r="C2526" s="55"/>
      <c r="D2526" s="70"/>
      <c r="G2526" s="78"/>
    </row>
    <row r="2527" spans="2:7" x14ac:dyDescent="0.3">
      <c r="B2527" s="69"/>
      <c r="C2527" s="55"/>
      <c r="D2527" s="70"/>
      <c r="G2527" s="78"/>
    </row>
    <row r="2528" spans="2:7" x14ac:dyDescent="0.3">
      <c r="B2528" s="69"/>
      <c r="C2528" s="55"/>
      <c r="D2528" s="70"/>
      <c r="G2528" s="78"/>
    </row>
    <row r="2529" spans="2:7" x14ac:dyDescent="0.3">
      <c r="B2529" s="69"/>
      <c r="C2529" s="55"/>
      <c r="D2529" s="70"/>
      <c r="G2529" s="78"/>
    </row>
    <row r="2530" spans="2:7" x14ac:dyDescent="0.3">
      <c r="B2530" s="69"/>
      <c r="C2530" s="55"/>
      <c r="D2530" s="70"/>
      <c r="G2530" s="78"/>
    </row>
    <row r="2531" spans="2:7" x14ac:dyDescent="0.3">
      <c r="B2531" s="69"/>
      <c r="C2531" s="55"/>
      <c r="D2531" s="70"/>
      <c r="G2531" s="78"/>
    </row>
    <row r="2532" spans="2:7" x14ac:dyDescent="0.3">
      <c r="B2532" s="69"/>
      <c r="C2532" s="55"/>
      <c r="D2532" s="70"/>
      <c r="G2532" s="78"/>
    </row>
    <row r="2533" spans="2:7" x14ac:dyDescent="0.3">
      <c r="B2533" s="69"/>
      <c r="C2533" s="55"/>
      <c r="D2533" s="70"/>
      <c r="G2533" s="78"/>
    </row>
    <row r="2534" spans="2:7" x14ac:dyDescent="0.3">
      <c r="B2534" s="69"/>
      <c r="C2534" s="55"/>
      <c r="D2534" s="70"/>
      <c r="G2534" s="78"/>
    </row>
    <row r="2535" spans="2:7" x14ac:dyDescent="0.3">
      <c r="B2535" s="69"/>
      <c r="C2535" s="55"/>
      <c r="D2535" s="70"/>
      <c r="G2535" s="78"/>
    </row>
    <row r="2536" spans="2:7" x14ac:dyDescent="0.3">
      <c r="B2536" s="69"/>
      <c r="C2536" s="55"/>
      <c r="D2536" s="70"/>
      <c r="G2536" s="78"/>
    </row>
    <row r="2537" spans="2:7" x14ac:dyDescent="0.3">
      <c r="B2537" s="69"/>
      <c r="C2537" s="55"/>
      <c r="D2537" s="70"/>
      <c r="G2537" s="78"/>
    </row>
    <row r="2538" spans="2:7" x14ac:dyDescent="0.3">
      <c r="B2538" s="69"/>
      <c r="C2538" s="55"/>
      <c r="D2538" s="70"/>
      <c r="G2538" s="78"/>
    </row>
    <row r="2539" spans="2:7" x14ac:dyDescent="0.3">
      <c r="B2539" s="69"/>
      <c r="C2539" s="55"/>
      <c r="D2539" s="70"/>
      <c r="G2539" s="78"/>
    </row>
    <row r="2540" spans="2:7" x14ac:dyDescent="0.3">
      <c r="B2540" s="69"/>
      <c r="C2540" s="55"/>
      <c r="D2540" s="70"/>
      <c r="G2540" s="78"/>
    </row>
    <row r="2541" spans="2:7" x14ac:dyDescent="0.3">
      <c r="B2541" s="69"/>
      <c r="C2541" s="55"/>
      <c r="D2541" s="70"/>
      <c r="G2541" s="78"/>
    </row>
    <row r="2542" spans="2:7" x14ac:dyDescent="0.3">
      <c r="B2542" s="69"/>
      <c r="C2542" s="55"/>
      <c r="D2542" s="70"/>
      <c r="G2542" s="78"/>
    </row>
    <row r="2543" spans="2:7" x14ac:dyDescent="0.3">
      <c r="B2543" s="69"/>
      <c r="C2543" s="55"/>
      <c r="D2543" s="70"/>
      <c r="G2543" s="78"/>
    </row>
    <row r="2544" spans="2:7" x14ac:dyDescent="0.3">
      <c r="B2544" s="69"/>
      <c r="C2544" s="55"/>
      <c r="D2544" s="70"/>
      <c r="G2544" s="78"/>
    </row>
    <row r="2545" spans="2:7" x14ac:dyDescent="0.3">
      <c r="B2545" s="69"/>
      <c r="C2545" s="55"/>
      <c r="D2545" s="70"/>
      <c r="G2545" s="78"/>
    </row>
    <row r="2546" spans="2:7" x14ac:dyDescent="0.3">
      <c r="B2546" s="69"/>
      <c r="C2546" s="55"/>
      <c r="D2546" s="70"/>
      <c r="G2546" s="78"/>
    </row>
    <row r="2547" spans="2:7" x14ac:dyDescent="0.3">
      <c r="B2547" s="69"/>
      <c r="C2547" s="55"/>
      <c r="D2547" s="70"/>
      <c r="G2547" s="78"/>
    </row>
    <row r="2548" spans="2:7" x14ac:dyDescent="0.3">
      <c r="B2548" s="69"/>
      <c r="C2548" s="55"/>
      <c r="D2548" s="70"/>
      <c r="G2548" s="78"/>
    </row>
    <row r="2549" spans="2:7" x14ac:dyDescent="0.3">
      <c r="B2549" s="69"/>
      <c r="C2549" s="55"/>
      <c r="D2549" s="70"/>
      <c r="G2549" s="78"/>
    </row>
    <row r="2550" spans="2:7" x14ac:dyDescent="0.3">
      <c r="B2550" s="69"/>
      <c r="C2550" s="55"/>
      <c r="D2550" s="70"/>
      <c r="G2550" s="78"/>
    </row>
    <row r="2551" spans="2:7" x14ac:dyDescent="0.3">
      <c r="B2551" s="69"/>
      <c r="C2551" s="55"/>
      <c r="D2551" s="70"/>
      <c r="G2551" s="78"/>
    </row>
    <row r="2552" spans="2:7" x14ac:dyDescent="0.3">
      <c r="B2552" s="69"/>
      <c r="C2552" s="55"/>
      <c r="D2552" s="70"/>
      <c r="G2552" s="78"/>
    </row>
    <row r="2553" spans="2:7" x14ac:dyDescent="0.3">
      <c r="B2553" s="69"/>
      <c r="C2553" s="55"/>
      <c r="D2553" s="70"/>
      <c r="G2553" s="78"/>
    </row>
    <row r="2554" spans="2:7" x14ac:dyDescent="0.3">
      <c r="B2554" s="69"/>
      <c r="C2554" s="55"/>
      <c r="D2554" s="70"/>
      <c r="G2554" s="78"/>
    </row>
    <row r="2555" spans="2:7" x14ac:dyDescent="0.3">
      <c r="B2555" s="69"/>
      <c r="C2555" s="55"/>
      <c r="D2555" s="70"/>
      <c r="G2555" s="78"/>
    </row>
    <row r="2556" spans="2:7" x14ac:dyDescent="0.3">
      <c r="B2556" s="69"/>
      <c r="C2556" s="55"/>
      <c r="D2556" s="70"/>
      <c r="G2556" s="78"/>
    </row>
    <row r="2557" spans="2:7" x14ac:dyDescent="0.3">
      <c r="B2557" s="69"/>
      <c r="C2557" s="55"/>
      <c r="D2557" s="70"/>
      <c r="G2557" s="78"/>
    </row>
    <row r="2558" spans="2:7" x14ac:dyDescent="0.3">
      <c r="B2558" s="69"/>
      <c r="C2558" s="55"/>
      <c r="D2558" s="70"/>
      <c r="G2558" s="78"/>
    </row>
    <row r="2559" spans="2:7" x14ac:dyDescent="0.3">
      <c r="B2559" s="69"/>
      <c r="C2559" s="55"/>
      <c r="D2559" s="70"/>
      <c r="G2559" s="78"/>
    </row>
    <row r="2560" spans="2:7" x14ac:dyDescent="0.3">
      <c r="B2560" s="69"/>
      <c r="C2560" s="55"/>
      <c r="D2560" s="70"/>
      <c r="G2560" s="78"/>
    </row>
    <row r="2561" spans="2:7" x14ac:dyDescent="0.3">
      <c r="B2561" s="69"/>
      <c r="C2561" s="55"/>
      <c r="D2561" s="70"/>
      <c r="G2561" s="78"/>
    </row>
    <row r="2562" spans="2:7" x14ac:dyDescent="0.3">
      <c r="B2562" s="69"/>
      <c r="C2562" s="55"/>
      <c r="D2562" s="70"/>
      <c r="G2562" s="78"/>
    </row>
    <row r="2563" spans="2:7" x14ac:dyDescent="0.3">
      <c r="B2563" s="69"/>
      <c r="C2563" s="55"/>
      <c r="D2563" s="70"/>
      <c r="G2563" s="78"/>
    </row>
    <row r="2564" spans="2:7" x14ac:dyDescent="0.3">
      <c r="B2564" s="69"/>
      <c r="C2564" s="55"/>
      <c r="D2564" s="70"/>
      <c r="G2564" s="78"/>
    </row>
    <row r="2565" spans="2:7" x14ac:dyDescent="0.3">
      <c r="B2565" s="69"/>
      <c r="C2565" s="55"/>
      <c r="D2565" s="70"/>
      <c r="G2565" s="78"/>
    </row>
    <row r="2566" spans="2:7" x14ac:dyDescent="0.3">
      <c r="B2566" s="69"/>
      <c r="C2566" s="55"/>
      <c r="D2566" s="70"/>
      <c r="G2566" s="78"/>
    </row>
    <row r="2567" spans="2:7" x14ac:dyDescent="0.3">
      <c r="B2567" s="69"/>
      <c r="C2567" s="55"/>
      <c r="D2567" s="70"/>
      <c r="G2567" s="78"/>
    </row>
    <row r="2568" spans="2:7" x14ac:dyDescent="0.3">
      <c r="B2568" s="69"/>
      <c r="C2568" s="55"/>
      <c r="D2568" s="70"/>
      <c r="G2568" s="78"/>
    </row>
    <row r="2569" spans="2:7" x14ac:dyDescent="0.3">
      <c r="B2569" s="69"/>
      <c r="C2569" s="55"/>
      <c r="D2569" s="70"/>
      <c r="G2569" s="78"/>
    </row>
    <row r="2570" spans="2:7" x14ac:dyDescent="0.3">
      <c r="B2570" s="69"/>
      <c r="C2570" s="55"/>
      <c r="D2570" s="70"/>
      <c r="G2570" s="78"/>
    </row>
    <row r="2571" spans="2:7" x14ac:dyDescent="0.3">
      <c r="B2571" s="69"/>
      <c r="C2571" s="55"/>
      <c r="D2571" s="70"/>
      <c r="G2571" s="78"/>
    </row>
    <row r="2572" spans="2:7" x14ac:dyDescent="0.3">
      <c r="B2572" s="69"/>
      <c r="C2572" s="55"/>
      <c r="D2572" s="70"/>
      <c r="G2572" s="78"/>
    </row>
    <row r="2573" spans="2:7" x14ac:dyDescent="0.3">
      <c r="B2573" s="69"/>
      <c r="C2573" s="55"/>
      <c r="D2573" s="70"/>
      <c r="G2573" s="78"/>
    </row>
    <row r="2574" spans="2:7" x14ac:dyDescent="0.3">
      <c r="B2574" s="69"/>
      <c r="C2574" s="55"/>
      <c r="D2574" s="70"/>
      <c r="G2574" s="78"/>
    </row>
    <row r="2575" spans="2:7" x14ac:dyDescent="0.3">
      <c r="B2575" s="69"/>
      <c r="C2575" s="55"/>
      <c r="D2575" s="70"/>
      <c r="G2575" s="78"/>
    </row>
    <row r="2576" spans="2:7" x14ac:dyDescent="0.3">
      <c r="B2576" s="69"/>
      <c r="C2576" s="55"/>
      <c r="D2576" s="70"/>
      <c r="G2576" s="78"/>
    </row>
    <row r="2577" spans="2:7" x14ac:dyDescent="0.3">
      <c r="B2577" s="69"/>
      <c r="C2577" s="55"/>
      <c r="D2577" s="70"/>
      <c r="G2577" s="78"/>
    </row>
    <row r="2578" spans="2:7" x14ac:dyDescent="0.3">
      <c r="B2578" s="69"/>
      <c r="C2578" s="55"/>
      <c r="D2578" s="70"/>
      <c r="G2578" s="78"/>
    </row>
    <row r="2579" spans="2:7" x14ac:dyDescent="0.3">
      <c r="B2579" s="69"/>
      <c r="C2579" s="55"/>
      <c r="D2579" s="70"/>
      <c r="G2579" s="78"/>
    </row>
    <row r="2580" spans="2:7" x14ac:dyDescent="0.3">
      <c r="B2580" s="69"/>
      <c r="C2580" s="55"/>
      <c r="D2580" s="70"/>
      <c r="G2580" s="78"/>
    </row>
    <row r="2581" spans="2:7" x14ac:dyDescent="0.3">
      <c r="B2581" s="69"/>
      <c r="C2581" s="55"/>
      <c r="D2581" s="70"/>
      <c r="G2581" s="78"/>
    </row>
    <row r="2582" spans="2:7" x14ac:dyDescent="0.3">
      <c r="B2582" s="69"/>
      <c r="C2582" s="55"/>
      <c r="D2582" s="70"/>
      <c r="G2582" s="78"/>
    </row>
    <row r="2583" spans="2:7" x14ac:dyDescent="0.3">
      <c r="B2583" s="69"/>
      <c r="C2583" s="55"/>
      <c r="D2583" s="70"/>
      <c r="G2583" s="78"/>
    </row>
    <row r="2584" spans="2:7" x14ac:dyDescent="0.3">
      <c r="B2584" s="69"/>
      <c r="C2584" s="55"/>
      <c r="D2584" s="70"/>
      <c r="G2584" s="78"/>
    </row>
    <row r="2585" spans="2:7" x14ac:dyDescent="0.3">
      <c r="B2585" s="69"/>
      <c r="C2585" s="55"/>
      <c r="D2585" s="70"/>
      <c r="G2585" s="78"/>
    </row>
    <row r="2586" spans="2:7" x14ac:dyDescent="0.3">
      <c r="B2586" s="69"/>
      <c r="C2586" s="55"/>
      <c r="D2586" s="70"/>
      <c r="G2586" s="78"/>
    </row>
    <row r="2587" spans="2:7" x14ac:dyDescent="0.3">
      <c r="B2587" s="69"/>
      <c r="C2587" s="55"/>
      <c r="D2587" s="70"/>
      <c r="G2587" s="78"/>
    </row>
    <row r="2588" spans="2:7" x14ac:dyDescent="0.3">
      <c r="B2588" s="69"/>
      <c r="C2588" s="55"/>
      <c r="D2588" s="70"/>
      <c r="G2588" s="78"/>
    </row>
    <row r="2589" spans="2:7" x14ac:dyDescent="0.3">
      <c r="B2589" s="69"/>
      <c r="C2589" s="55"/>
      <c r="D2589" s="70"/>
      <c r="G2589" s="78"/>
    </row>
    <row r="2590" spans="2:7" x14ac:dyDescent="0.3">
      <c r="B2590" s="69"/>
      <c r="C2590" s="55"/>
      <c r="D2590" s="70"/>
      <c r="G2590" s="78"/>
    </row>
    <row r="2591" spans="2:7" x14ac:dyDescent="0.3">
      <c r="B2591" s="69"/>
      <c r="C2591" s="55"/>
      <c r="D2591" s="70"/>
      <c r="G2591" s="78"/>
    </row>
    <row r="2592" spans="2:7" x14ac:dyDescent="0.3">
      <c r="B2592" s="69"/>
      <c r="C2592" s="55"/>
      <c r="D2592" s="70"/>
      <c r="G2592" s="78"/>
    </row>
    <row r="2593" spans="2:7" x14ac:dyDescent="0.3">
      <c r="B2593" s="69"/>
      <c r="C2593" s="55"/>
      <c r="D2593" s="70"/>
      <c r="G2593" s="78"/>
    </row>
    <row r="2594" spans="2:7" x14ac:dyDescent="0.3">
      <c r="B2594" s="69"/>
      <c r="C2594" s="55"/>
      <c r="D2594" s="70"/>
      <c r="G2594" s="78"/>
    </row>
    <row r="2595" spans="2:7" x14ac:dyDescent="0.3">
      <c r="B2595" s="69"/>
      <c r="C2595" s="55"/>
      <c r="D2595" s="70"/>
      <c r="G2595" s="78"/>
    </row>
    <row r="2596" spans="2:7" x14ac:dyDescent="0.3">
      <c r="B2596" s="69"/>
      <c r="C2596" s="55"/>
      <c r="D2596" s="70"/>
      <c r="G2596" s="78"/>
    </row>
    <row r="2597" spans="2:7" x14ac:dyDescent="0.3">
      <c r="B2597" s="69"/>
      <c r="C2597" s="55"/>
      <c r="D2597" s="70"/>
      <c r="G2597" s="78"/>
    </row>
    <row r="2598" spans="2:7" x14ac:dyDescent="0.3">
      <c r="B2598" s="69"/>
      <c r="C2598" s="55"/>
      <c r="D2598" s="70"/>
      <c r="G2598" s="78"/>
    </row>
    <row r="2599" spans="2:7" x14ac:dyDescent="0.3">
      <c r="B2599" s="69"/>
      <c r="C2599" s="55"/>
      <c r="D2599" s="70"/>
      <c r="G2599" s="78"/>
    </row>
    <row r="2600" spans="2:7" x14ac:dyDescent="0.3">
      <c r="B2600" s="69"/>
      <c r="C2600" s="55"/>
      <c r="D2600" s="70"/>
      <c r="G2600" s="78"/>
    </row>
    <row r="2601" spans="2:7" x14ac:dyDescent="0.3">
      <c r="B2601" s="69"/>
      <c r="C2601" s="55"/>
      <c r="D2601" s="70"/>
      <c r="G2601" s="78"/>
    </row>
    <row r="2602" spans="2:7" x14ac:dyDescent="0.3">
      <c r="B2602" s="69"/>
      <c r="C2602" s="55"/>
      <c r="D2602" s="70"/>
      <c r="G2602" s="78"/>
    </row>
    <row r="2603" spans="2:7" x14ac:dyDescent="0.3">
      <c r="B2603" s="69"/>
      <c r="C2603" s="55"/>
      <c r="D2603" s="70"/>
      <c r="G2603" s="78"/>
    </row>
    <row r="2604" spans="2:7" x14ac:dyDescent="0.3">
      <c r="B2604" s="69"/>
      <c r="C2604" s="55"/>
      <c r="D2604" s="70"/>
      <c r="G2604" s="78"/>
    </row>
    <row r="2605" spans="2:7" x14ac:dyDescent="0.3">
      <c r="B2605" s="69"/>
      <c r="C2605" s="55"/>
      <c r="D2605" s="70"/>
      <c r="G2605" s="78"/>
    </row>
    <row r="2606" spans="2:7" x14ac:dyDescent="0.3">
      <c r="B2606" s="69"/>
      <c r="C2606" s="55"/>
      <c r="D2606" s="70"/>
      <c r="G2606" s="78"/>
    </row>
    <row r="2607" spans="2:7" x14ac:dyDescent="0.3">
      <c r="B2607" s="69"/>
      <c r="C2607" s="55"/>
      <c r="D2607" s="70"/>
      <c r="G2607" s="78"/>
    </row>
    <row r="2608" spans="2:7" x14ac:dyDescent="0.3">
      <c r="B2608" s="69"/>
      <c r="C2608" s="55"/>
      <c r="D2608" s="70"/>
      <c r="G2608" s="78"/>
    </row>
    <row r="2609" spans="2:7" x14ac:dyDescent="0.3">
      <c r="B2609" s="69"/>
      <c r="C2609" s="55"/>
      <c r="D2609" s="70"/>
      <c r="G2609" s="78"/>
    </row>
    <row r="2610" spans="2:7" x14ac:dyDescent="0.3">
      <c r="B2610" s="69"/>
      <c r="C2610" s="55"/>
      <c r="D2610" s="70"/>
      <c r="G2610" s="78"/>
    </row>
    <row r="2611" spans="2:7" x14ac:dyDescent="0.3">
      <c r="B2611" s="69"/>
      <c r="C2611" s="55"/>
      <c r="D2611" s="70"/>
      <c r="G2611" s="78"/>
    </row>
    <row r="2612" spans="2:7" x14ac:dyDescent="0.3">
      <c r="B2612" s="69"/>
      <c r="C2612" s="55"/>
      <c r="D2612" s="70"/>
      <c r="G2612" s="78"/>
    </row>
    <row r="2613" spans="2:7" x14ac:dyDescent="0.3">
      <c r="B2613" s="69"/>
      <c r="C2613" s="55"/>
      <c r="D2613" s="70"/>
      <c r="G2613" s="78"/>
    </row>
    <row r="2614" spans="2:7" x14ac:dyDescent="0.3">
      <c r="B2614" s="69"/>
      <c r="C2614" s="55"/>
      <c r="D2614" s="70"/>
      <c r="G2614" s="78"/>
    </row>
    <row r="2615" spans="2:7" x14ac:dyDescent="0.3">
      <c r="B2615" s="69"/>
      <c r="C2615" s="55"/>
      <c r="D2615" s="70"/>
      <c r="G2615" s="78"/>
    </row>
    <row r="2616" spans="2:7" x14ac:dyDescent="0.3">
      <c r="B2616" s="69"/>
      <c r="C2616" s="55"/>
      <c r="D2616" s="70"/>
      <c r="G2616" s="78"/>
    </row>
    <row r="2617" spans="2:7" x14ac:dyDescent="0.3">
      <c r="B2617" s="69"/>
      <c r="C2617" s="55"/>
      <c r="D2617" s="70"/>
      <c r="G2617" s="78"/>
    </row>
    <row r="2618" spans="2:7" x14ac:dyDescent="0.3">
      <c r="B2618" s="69"/>
      <c r="C2618" s="55"/>
      <c r="D2618" s="70"/>
      <c r="G2618" s="78"/>
    </row>
    <row r="2619" spans="2:7" x14ac:dyDescent="0.3">
      <c r="B2619" s="69"/>
      <c r="C2619" s="55"/>
      <c r="D2619" s="70"/>
      <c r="G2619" s="78"/>
    </row>
    <row r="2620" spans="2:7" x14ac:dyDescent="0.3">
      <c r="B2620" s="69"/>
      <c r="C2620" s="55"/>
      <c r="D2620" s="70"/>
      <c r="G2620" s="78"/>
    </row>
    <row r="2621" spans="2:7" x14ac:dyDescent="0.3">
      <c r="B2621" s="69"/>
      <c r="C2621" s="55"/>
      <c r="D2621" s="70"/>
      <c r="G2621" s="78"/>
    </row>
    <row r="2622" spans="2:7" x14ac:dyDescent="0.3">
      <c r="B2622" s="69"/>
      <c r="C2622" s="55"/>
      <c r="D2622" s="70"/>
      <c r="G2622" s="78"/>
    </row>
    <row r="2623" spans="2:7" x14ac:dyDescent="0.3">
      <c r="B2623" s="69"/>
      <c r="C2623" s="55"/>
      <c r="D2623" s="70"/>
      <c r="G2623" s="78"/>
    </row>
    <row r="2624" spans="2:7" x14ac:dyDescent="0.3">
      <c r="B2624" s="69"/>
      <c r="C2624" s="55"/>
      <c r="D2624" s="70"/>
      <c r="G2624" s="78"/>
    </row>
    <row r="2625" spans="2:7" x14ac:dyDescent="0.3">
      <c r="B2625" s="69"/>
      <c r="C2625" s="55"/>
      <c r="D2625" s="70"/>
      <c r="G2625" s="78"/>
    </row>
    <row r="2626" spans="2:7" x14ac:dyDescent="0.3">
      <c r="B2626" s="69"/>
      <c r="C2626" s="55"/>
      <c r="D2626" s="70"/>
      <c r="G2626" s="78"/>
    </row>
    <row r="2627" spans="2:7" x14ac:dyDescent="0.3">
      <c r="B2627" s="69"/>
      <c r="C2627" s="55"/>
      <c r="D2627" s="70"/>
      <c r="G2627" s="78"/>
    </row>
    <row r="2628" spans="2:7" x14ac:dyDescent="0.3">
      <c r="B2628" s="69"/>
      <c r="C2628" s="55"/>
      <c r="D2628" s="70"/>
      <c r="G2628" s="78"/>
    </row>
    <row r="2629" spans="2:7" x14ac:dyDescent="0.3">
      <c r="B2629" s="69"/>
      <c r="C2629" s="55"/>
      <c r="D2629" s="70"/>
      <c r="G2629" s="78"/>
    </row>
    <row r="2630" spans="2:7" x14ac:dyDescent="0.3">
      <c r="B2630" s="69"/>
      <c r="C2630" s="55"/>
      <c r="D2630" s="70"/>
      <c r="G2630" s="78"/>
    </row>
    <row r="2631" spans="2:7" x14ac:dyDescent="0.3">
      <c r="B2631" s="69"/>
      <c r="C2631" s="55"/>
      <c r="D2631" s="70"/>
      <c r="G2631" s="78"/>
    </row>
    <row r="2632" spans="2:7" x14ac:dyDescent="0.3">
      <c r="B2632" s="69"/>
      <c r="C2632" s="55"/>
      <c r="D2632" s="70"/>
      <c r="G2632" s="78"/>
    </row>
    <row r="2633" spans="2:7" x14ac:dyDescent="0.3">
      <c r="B2633" s="69"/>
      <c r="C2633" s="55"/>
      <c r="D2633" s="70"/>
      <c r="G2633" s="78"/>
    </row>
    <row r="2634" spans="2:7" x14ac:dyDescent="0.3">
      <c r="B2634" s="69"/>
      <c r="C2634" s="55"/>
      <c r="D2634" s="70"/>
      <c r="G2634" s="78"/>
    </row>
    <row r="2635" spans="2:7" x14ac:dyDescent="0.3">
      <c r="B2635" s="69"/>
      <c r="C2635" s="55"/>
      <c r="D2635" s="70"/>
      <c r="G2635" s="78"/>
    </row>
    <row r="2636" spans="2:7" x14ac:dyDescent="0.3">
      <c r="B2636" s="69"/>
      <c r="C2636" s="55"/>
      <c r="D2636" s="70"/>
      <c r="G2636" s="78"/>
    </row>
    <row r="2637" spans="2:7" x14ac:dyDescent="0.3">
      <c r="B2637" s="69"/>
      <c r="C2637" s="55"/>
      <c r="D2637" s="70"/>
      <c r="G2637" s="78"/>
    </row>
    <row r="2638" spans="2:7" x14ac:dyDescent="0.3">
      <c r="B2638" s="69"/>
      <c r="C2638" s="55"/>
      <c r="D2638" s="70"/>
      <c r="G2638" s="78"/>
    </row>
    <row r="2639" spans="2:7" x14ac:dyDescent="0.3">
      <c r="B2639" s="69"/>
      <c r="C2639" s="55"/>
      <c r="D2639" s="70"/>
      <c r="G2639" s="78"/>
    </row>
    <row r="2640" spans="2:7" x14ac:dyDescent="0.3">
      <c r="B2640" s="69"/>
      <c r="C2640" s="55"/>
      <c r="D2640" s="70"/>
      <c r="G2640" s="78"/>
    </row>
    <row r="2641" spans="2:7" x14ac:dyDescent="0.3">
      <c r="B2641" s="69"/>
      <c r="C2641" s="55"/>
      <c r="D2641" s="70"/>
      <c r="G2641" s="78"/>
    </row>
    <row r="2642" spans="2:7" x14ac:dyDescent="0.3">
      <c r="B2642" s="69"/>
      <c r="C2642" s="55"/>
      <c r="D2642" s="70"/>
      <c r="G2642" s="78"/>
    </row>
    <row r="2643" spans="2:7" x14ac:dyDescent="0.3">
      <c r="B2643" s="69"/>
      <c r="C2643" s="55"/>
      <c r="D2643" s="70"/>
      <c r="G2643" s="78"/>
    </row>
    <row r="2644" spans="2:7" x14ac:dyDescent="0.3">
      <c r="B2644" s="69"/>
      <c r="C2644" s="55"/>
      <c r="D2644" s="70"/>
      <c r="G2644" s="78"/>
    </row>
    <row r="2645" spans="2:7" x14ac:dyDescent="0.3">
      <c r="B2645" s="69"/>
      <c r="C2645" s="55"/>
      <c r="D2645" s="70"/>
      <c r="G2645" s="78"/>
    </row>
    <row r="2646" spans="2:7" x14ac:dyDescent="0.3">
      <c r="B2646" s="69"/>
      <c r="C2646" s="55"/>
      <c r="D2646" s="70"/>
      <c r="G2646" s="78"/>
    </row>
    <row r="2647" spans="2:7" x14ac:dyDescent="0.3">
      <c r="B2647" s="69"/>
      <c r="C2647" s="55"/>
      <c r="D2647" s="70"/>
      <c r="G2647" s="78"/>
    </row>
    <row r="2648" spans="2:7" x14ac:dyDescent="0.3">
      <c r="B2648" s="69"/>
      <c r="C2648" s="55"/>
      <c r="D2648" s="70"/>
      <c r="G2648" s="78"/>
    </row>
    <row r="2649" spans="2:7" x14ac:dyDescent="0.3">
      <c r="B2649" s="69"/>
      <c r="C2649" s="55"/>
      <c r="D2649" s="70"/>
      <c r="G2649" s="78"/>
    </row>
    <row r="2650" spans="2:7" x14ac:dyDescent="0.3">
      <c r="B2650" s="69"/>
      <c r="C2650" s="55"/>
      <c r="D2650" s="70"/>
      <c r="G2650" s="78"/>
    </row>
    <row r="2651" spans="2:7" x14ac:dyDescent="0.3">
      <c r="B2651" s="69"/>
      <c r="C2651" s="55"/>
      <c r="D2651" s="70"/>
      <c r="G2651" s="78"/>
    </row>
    <row r="2652" spans="2:7" x14ac:dyDescent="0.3">
      <c r="B2652" s="69"/>
      <c r="C2652" s="55"/>
      <c r="D2652" s="70"/>
      <c r="G2652" s="78"/>
    </row>
    <row r="2653" spans="2:7" x14ac:dyDescent="0.3">
      <c r="B2653" s="69"/>
      <c r="C2653" s="55"/>
      <c r="D2653" s="70"/>
      <c r="G2653" s="78"/>
    </row>
    <row r="2654" spans="2:7" x14ac:dyDescent="0.3">
      <c r="B2654" s="69"/>
      <c r="C2654" s="55"/>
      <c r="D2654" s="70"/>
      <c r="G2654" s="78"/>
    </row>
    <row r="2655" spans="2:7" x14ac:dyDescent="0.3">
      <c r="B2655" s="69"/>
      <c r="C2655" s="55"/>
      <c r="D2655" s="70"/>
      <c r="G2655" s="78"/>
    </row>
    <row r="2656" spans="2:7" x14ac:dyDescent="0.3">
      <c r="B2656" s="69"/>
      <c r="C2656" s="55"/>
      <c r="D2656" s="70"/>
      <c r="G2656" s="78"/>
    </row>
    <row r="2657" spans="2:7" x14ac:dyDescent="0.3">
      <c r="B2657" s="69"/>
      <c r="C2657" s="55"/>
      <c r="D2657" s="70"/>
      <c r="G2657" s="78"/>
    </row>
    <row r="2658" spans="2:7" x14ac:dyDescent="0.3">
      <c r="B2658" s="69"/>
      <c r="C2658" s="55"/>
      <c r="D2658" s="70"/>
      <c r="G2658" s="78"/>
    </row>
    <row r="2659" spans="2:7" x14ac:dyDescent="0.3">
      <c r="B2659" s="69"/>
      <c r="C2659" s="55"/>
      <c r="D2659" s="70"/>
      <c r="G2659" s="78"/>
    </row>
    <row r="2660" spans="2:7" x14ac:dyDescent="0.3">
      <c r="B2660" s="69"/>
      <c r="C2660" s="55"/>
      <c r="D2660" s="70"/>
      <c r="G2660" s="78"/>
    </row>
    <row r="2661" spans="2:7" x14ac:dyDescent="0.3">
      <c r="B2661" s="69"/>
      <c r="C2661" s="55"/>
      <c r="D2661" s="70"/>
      <c r="G2661" s="78"/>
    </row>
    <row r="2662" spans="2:7" x14ac:dyDescent="0.3">
      <c r="B2662" s="69"/>
      <c r="C2662" s="55"/>
      <c r="D2662" s="70"/>
      <c r="G2662" s="78"/>
    </row>
    <row r="2663" spans="2:7" x14ac:dyDescent="0.3">
      <c r="B2663" s="69"/>
      <c r="C2663" s="55"/>
      <c r="D2663" s="70"/>
      <c r="G2663" s="78"/>
    </row>
    <row r="2664" spans="2:7" x14ac:dyDescent="0.3">
      <c r="B2664" s="69"/>
      <c r="C2664" s="55"/>
      <c r="D2664" s="70"/>
      <c r="G2664" s="78"/>
    </row>
    <row r="2665" spans="2:7" x14ac:dyDescent="0.3">
      <c r="B2665" s="69"/>
      <c r="C2665" s="55"/>
      <c r="D2665" s="70"/>
      <c r="G2665" s="78"/>
    </row>
    <row r="2666" spans="2:7" x14ac:dyDescent="0.3">
      <c r="B2666" s="69"/>
      <c r="C2666" s="55"/>
      <c r="D2666" s="70"/>
      <c r="G2666" s="78"/>
    </row>
    <row r="2667" spans="2:7" x14ac:dyDescent="0.3">
      <c r="B2667" s="69"/>
      <c r="C2667" s="55"/>
      <c r="D2667" s="70"/>
      <c r="G2667" s="78"/>
    </row>
    <row r="2668" spans="2:7" x14ac:dyDescent="0.3">
      <c r="B2668" s="69"/>
      <c r="C2668" s="55"/>
      <c r="D2668" s="70"/>
      <c r="G2668" s="78"/>
    </row>
    <row r="2669" spans="2:7" x14ac:dyDescent="0.3">
      <c r="B2669" s="69"/>
      <c r="C2669" s="55"/>
      <c r="D2669" s="70"/>
      <c r="G2669" s="78"/>
    </row>
    <row r="2670" spans="2:7" x14ac:dyDescent="0.3">
      <c r="B2670" s="69"/>
      <c r="C2670" s="55"/>
      <c r="D2670" s="70"/>
      <c r="G2670" s="78"/>
    </row>
    <row r="2671" spans="2:7" x14ac:dyDescent="0.3">
      <c r="B2671" s="69"/>
      <c r="C2671" s="55"/>
      <c r="D2671" s="70"/>
      <c r="G2671" s="78"/>
    </row>
    <row r="2672" spans="2:7" x14ac:dyDescent="0.3">
      <c r="B2672" s="69"/>
      <c r="C2672" s="55"/>
      <c r="D2672" s="70"/>
      <c r="G2672" s="78"/>
    </row>
    <row r="2673" spans="2:7" x14ac:dyDescent="0.3">
      <c r="B2673" s="69"/>
      <c r="C2673" s="55"/>
      <c r="D2673" s="70"/>
      <c r="G2673" s="78"/>
    </row>
    <row r="2674" spans="2:7" x14ac:dyDescent="0.3">
      <c r="B2674" s="69"/>
      <c r="C2674" s="55"/>
      <c r="D2674" s="70"/>
      <c r="G2674" s="78"/>
    </row>
    <row r="2675" spans="2:7" x14ac:dyDescent="0.3">
      <c r="B2675" s="69"/>
      <c r="C2675" s="55"/>
      <c r="D2675" s="70"/>
      <c r="G2675" s="78"/>
    </row>
    <row r="2676" spans="2:7" x14ac:dyDescent="0.3">
      <c r="B2676" s="69"/>
      <c r="C2676" s="55"/>
      <c r="D2676" s="70"/>
      <c r="G2676" s="78"/>
    </row>
    <row r="2677" spans="2:7" x14ac:dyDescent="0.3">
      <c r="B2677" s="69"/>
      <c r="C2677" s="55"/>
      <c r="D2677" s="70"/>
      <c r="G2677" s="78"/>
    </row>
    <row r="2678" spans="2:7" x14ac:dyDescent="0.3">
      <c r="B2678" s="69"/>
      <c r="C2678" s="55"/>
      <c r="D2678" s="70"/>
      <c r="G2678" s="78"/>
    </row>
    <row r="2679" spans="2:7" x14ac:dyDescent="0.3">
      <c r="B2679" s="69"/>
      <c r="C2679" s="55"/>
      <c r="D2679" s="70"/>
      <c r="G2679" s="78"/>
    </row>
    <row r="2680" spans="2:7" x14ac:dyDescent="0.3">
      <c r="B2680" s="69"/>
      <c r="C2680" s="55"/>
      <c r="D2680" s="70"/>
      <c r="G2680" s="78"/>
    </row>
    <row r="2681" spans="2:7" x14ac:dyDescent="0.3">
      <c r="B2681" s="69"/>
      <c r="C2681" s="55"/>
      <c r="D2681" s="70"/>
      <c r="G2681" s="78"/>
    </row>
    <row r="2682" spans="2:7" x14ac:dyDescent="0.3">
      <c r="B2682" s="69"/>
      <c r="C2682" s="55"/>
      <c r="D2682" s="70"/>
      <c r="G2682" s="78"/>
    </row>
    <row r="2683" spans="2:7" x14ac:dyDescent="0.3">
      <c r="B2683" s="69"/>
      <c r="C2683" s="55"/>
      <c r="D2683" s="70"/>
      <c r="G2683" s="78"/>
    </row>
    <row r="2684" spans="2:7" x14ac:dyDescent="0.3">
      <c r="B2684" s="69"/>
      <c r="C2684" s="55"/>
      <c r="D2684" s="70"/>
      <c r="G2684" s="78"/>
    </row>
    <row r="2685" spans="2:7" x14ac:dyDescent="0.3">
      <c r="B2685" s="69"/>
      <c r="C2685" s="55"/>
      <c r="D2685" s="70"/>
      <c r="G2685" s="78"/>
    </row>
    <row r="2686" spans="2:7" x14ac:dyDescent="0.3">
      <c r="B2686" s="69"/>
      <c r="C2686" s="55"/>
      <c r="D2686" s="70"/>
      <c r="G2686" s="78"/>
    </row>
    <row r="2687" spans="2:7" x14ac:dyDescent="0.3">
      <c r="B2687" s="69"/>
      <c r="C2687" s="55"/>
      <c r="D2687" s="70"/>
      <c r="G2687" s="78"/>
    </row>
    <row r="2688" spans="2:7" x14ac:dyDescent="0.3">
      <c r="B2688" s="69"/>
      <c r="C2688" s="55"/>
      <c r="D2688" s="70"/>
      <c r="G2688" s="78"/>
    </row>
    <row r="2689" spans="2:7" x14ac:dyDescent="0.3">
      <c r="B2689" s="69"/>
      <c r="C2689" s="55"/>
      <c r="D2689" s="70"/>
      <c r="G2689" s="78"/>
    </row>
    <row r="2690" spans="2:7" x14ac:dyDescent="0.3">
      <c r="B2690" s="69"/>
      <c r="C2690" s="55"/>
      <c r="D2690" s="70"/>
      <c r="G2690" s="78"/>
    </row>
    <row r="2691" spans="2:7" x14ac:dyDescent="0.3">
      <c r="B2691" s="69"/>
      <c r="C2691" s="55"/>
      <c r="D2691" s="70"/>
      <c r="G2691" s="78"/>
    </row>
    <row r="2692" spans="2:7" x14ac:dyDescent="0.3">
      <c r="B2692" s="69"/>
      <c r="C2692" s="55"/>
      <c r="D2692" s="70"/>
      <c r="G2692" s="78"/>
    </row>
    <row r="2693" spans="2:7" x14ac:dyDescent="0.3">
      <c r="B2693" s="69"/>
      <c r="C2693" s="55"/>
      <c r="D2693" s="70"/>
      <c r="G2693" s="78"/>
    </row>
    <row r="2694" spans="2:7" x14ac:dyDescent="0.3">
      <c r="B2694" s="69"/>
      <c r="C2694" s="55"/>
      <c r="D2694" s="70"/>
      <c r="G2694" s="78"/>
    </row>
    <row r="2695" spans="2:7" x14ac:dyDescent="0.3">
      <c r="B2695" s="69"/>
      <c r="C2695" s="55"/>
      <c r="D2695" s="70"/>
      <c r="G2695" s="78"/>
    </row>
    <row r="2696" spans="2:7" x14ac:dyDescent="0.3">
      <c r="B2696" s="69"/>
      <c r="C2696" s="55"/>
      <c r="D2696" s="70"/>
      <c r="G2696" s="78"/>
    </row>
    <row r="2697" spans="2:7" x14ac:dyDescent="0.3">
      <c r="B2697" s="69"/>
      <c r="C2697" s="55"/>
      <c r="D2697" s="70"/>
      <c r="G2697" s="78"/>
    </row>
    <row r="2698" spans="2:7" x14ac:dyDescent="0.3">
      <c r="B2698" s="69"/>
      <c r="C2698" s="55"/>
      <c r="D2698" s="70"/>
      <c r="G2698" s="78"/>
    </row>
    <row r="2699" spans="2:7" x14ac:dyDescent="0.3">
      <c r="B2699" s="69"/>
      <c r="C2699" s="55"/>
      <c r="D2699" s="70"/>
      <c r="G2699" s="78"/>
    </row>
    <row r="2700" spans="2:7" x14ac:dyDescent="0.3">
      <c r="B2700" s="69"/>
      <c r="C2700" s="55"/>
      <c r="D2700" s="70"/>
      <c r="G2700" s="78"/>
    </row>
    <row r="2701" spans="2:7" x14ac:dyDescent="0.3">
      <c r="B2701" s="69"/>
      <c r="C2701" s="55"/>
      <c r="D2701" s="70"/>
      <c r="G2701" s="78"/>
    </row>
    <row r="2702" spans="2:7" x14ac:dyDescent="0.3">
      <c r="B2702" s="69"/>
      <c r="C2702" s="55"/>
      <c r="D2702" s="70"/>
      <c r="G2702" s="78"/>
    </row>
    <row r="2703" spans="2:7" x14ac:dyDescent="0.3">
      <c r="B2703" s="69"/>
      <c r="C2703" s="55"/>
      <c r="D2703" s="70"/>
      <c r="G2703" s="78"/>
    </row>
    <row r="2704" spans="2:7" x14ac:dyDescent="0.3">
      <c r="B2704" s="69"/>
      <c r="C2704" s="55"/>
      <c r="D2704" s="70"/>
      <c r="G2704" s="78"/>
    </row>
    <row r="2705" spans="2:7" x14ac:dyDescent="0.3">
      <c r="B2705" s="69"/>
      <c r="C2705" s="55"/>
      <c r="D2705" s="70"/>
      <c r="G2705" s="78"/>
    </row>
    <row r="2706" spans="2:7" x14ac:dyDescent="0.3">
      <c r="B2706" s="69"/>
      <c r="C2706" s="55"/>
      <c r="D2706" s="70"/>
      <c r="G2706" s="78"/>
    </row>
    <row r="2707" spans="2:7" x14ac:dyDescent="0.3">
      <c r="B2707" s="69"/>
      <c r="C2707" s="55"/>
      <c r="D2707" s="70"/>
      <c r="G2707" s="78"/>
    </row>
    <row r="2708" spans="2:7" x14ac:dyDescent="0.3">
      <c r="B2708" s="69"/>
      <c r="C2708" s="55"/>
      <c r="D2708" s="70"/>
      <c r="G2708" s="78"/>
    </row>
    <row r="2709" spans="2:7" x14ac:dyDescent="0.3">
      <c r="B2709" s="69"/>
      <c r="C2709" s="55"/>
      <c r="D2709" s="70"/>
      <c r="G2709" s="78"/>
    </row>
    <row r="2710" spans="2:7" x14ac:dyDescent="0.3">
      <c r="B2710" s="69"/>
      <c r="C2710" s="55"/>
      <c r="D2710" s="70"/>
      <c r="G2710" s="78"/>
    </row>
    <row r="2711" spans="2:7" x14ac:dyDescent="0.3">
      <c r="B2711" s="69"/>
      <c r="C2711" s="55"/>
      <c r="D2711" s="70"/>
      <c r="G2711" s="78"/>
    </row>
    <row r="2712" spans="2:7" x14ac:dyDescent="0.3">
      <c r="B2712" s="69"/>
      <c r="C2712" s="55"/>
      <c r="D2712" s="70"/>
      <c r="G2712" s="78"/>
    </row>
    <row r="2713" spans="2:7" x14ac:dyDescent="0.3">
      <c r="B2713" s="69"/>
      <c r="C2713" s="55"/>
      <c r="D2713" s="70"/>
      <c r="G2713" s="78"/>
    </row>
    <row r="2714" spans="2:7" x14ac:dyDescent="0.3">
      <c r="B2714" s="69"/>
      <c r="C2714" s="55"/>
      <c r="D2714" s="70"/>
      <c r="G2714" s="78"/>
    </row>
    <row r="2715" spans="2:7" x14ac:dyDescent="0.3">
      <c r="B2715" s="69"/>
      <c r="C2715" s="55"/>
      <c r="D2715" s="70"/>
      <c r="G2715" s="78"/>
    </row>
    <row r="2716" spans="2:7" x14ac:dyDescent="0.3">
      <c r="B2716" s="69"/>
      <c r="C2716" s="55"/>
      <c r="D2716" s="70"/>
      <c r="G2716" s="78"/>
    </row>
    <row r="2717" spans="2:7" x14ac:dyDescent="0.3">
      <c r="B2717" s="69"/>
      <c r="C2717" s="55"/>
      <c r="D2717" s="70"/>
      <c r="G2717" s="78"/>
    </row>
    <row r="2718" spans="2:7" x14ac:dyDescent="0.3">
      <c r="B2718" s="69"/>
      <c r="C2718" s="55"/>
      <c r="D2718" s="70"/>
      <c r="G2718" s="78"/>
    </row>
    <row r="2719" spans="2:7" x14ac:dyDescent="0.3">
      <c r="B2719" s="69"/>
      <c r="C2719" s="55"/>
      <c r="D2719" s="70"/>
      <c r="G2719" s="78"/>
    </row>
    <row r="2720" spans="2:7" x14ac:dyDescent="0.3">
      <c r="B2720" s="69"/>
      <c r="C2720" s="55"/>
      <c r="D2720" s="70"/>
      <c r="G2720" s="78"/>
    </row>
    <row r="2721" spans="2:7" x14ac:dyDescent="0.3">
      <c r="B2721" s="69"/>
      <c r="C2721" s="55"/>
      <c r="D2721" s="70"/>
      <c r="G2721" s="78"/>
    </row>
    <row r="2722" spans="2:7" x14ac:dyDescent="0.3">
      <c r="B2722" s="69"/>
      <c r="C2722" s="55"/>
      <c r="D2722" s="70"/>
      <c r="G2722" s="78"/>
    </row>
    <row r="2723" spans="2:7" x14ac:dyDescent="0.3">
      <c r="B2723" s="69"/>
      <c r="C2723" s="55"/>
      <c r="D2723" s="70"/>
      <c r="G2723" s="78"/>
    </row>
    <row r="2724" spans="2:7" x14ac:dyDescent="0.3">
      <c r="B2724" s="69"/>
      <c r="C2724" s="55"/>
      <c r="D2724" s="70"/>
      <c r="G2724" s="78"/>
    </row>
    <row r="2725" spans="2:7" x14ac:dyDescent="0.3">
      <c r="B2725" s="69"/>
      <c r="C2725" s="55"/>
      <c r="D2725" s="70"/>
      <c r="G2725" s="78"/>
    </row>
    <row r="2726" spans="2:7" x14ac:dyDescent="0.3">
      <c r="B2726" s="69"/>
      <c r="C2726" s="55"/>
      <c r="D2726" s="70"/>
      <c r="G2726" s="78"/>
    </row>
    <row r="2727" spans="2:7" x14ac:dyDescent="0.3">
      <c r="B2727" s="69"/>
      <c r="C2727" s="55"/>
      <c r="D2727" s="70"/>
      <c r="G2727" s="78"/>
    </row>
    <row r="2728" spans="2:7" x14ac:dyDescent="0.3">
      <c r="B2728" s="69"/>
      <c r="C2728" s="55"/>
      <c r="D2728" s="70"/>
      <c r="G2728" s="78"/>
    </row>
    <row r="2729" spans="2:7" x14ac:dyDescent="0.3">
      <c r="B2729" s="69"/>
      <c r="C2729" s="55"/>
      <c r="D2729" s="70"/>
      <c r="G2729" s="78"/>
    </row>
    <row r="2730" spans="2:7" x14ac:dyDescent="0.3">
      <c r="B2730" s="69"/>
      <c r="C2730" s="55"/>
      <c r="D2730" s="70"/>
      <c r="G2730" s="78"/>
    </row>
    <row r="2731" spans="2:7" x14ac:dyDescent="0.3">
      <c r="B2731" s="69"/>
      <c r="C2731" s="55"/>
      <c r="D2731" s="70"/>
      <c r="G2731" s="78"/>
    </row>
    <row r="2732" spans="2:7" x14ac:dyDescent="0.3">
      <c r="B2732" s="69"/>
      <c r="C2732" s="55"/>
      <c r="D2732" s="70"/>
      <c r="G2732" s="78"/>
    </row>
    <row r="2733" spans="2:7" x14ac:dyDescent="0.3">
      <c r="B2733" s="69"/>
      <c r="C2733" s="55"/>
      <c r="D2733" s="70"/>
      <c r="G2733" s="78"/>
    </row>
    <row r="2734" spans="2:7" x14ac:dyDescent="0.3">
      <c r="B2734" s="69"/>
      <c r="C2734" s="55"/>
      <c r="D2734" s="70"/>
      <c r="G2734" s="78"/>
    </row>
    <row r="2735" spans="2:7" x14ac:dyDescent="0.3">
      <c r="B2735" s="69"/>
      <c r="C2735" s="55"/>
      <c r="D2735" s="70"/>
      <c r="G2735" s="78"/>
    </row>
    <row r="2736" spans="2:7" x14ac:dyDescent="0.3">
      <c r="B2736" s="69"/>
      <c r="C2736" s="55"/>
      <c r="D2736" s="70"/>
      <c r="G2736" s="78"/>
    </row>
    <row r="2737" spans="2:7" x14ac:dyDescent="0.3">
      <c r="B2737" s="69"/>
      <c r="C2737" s="55"/>
      <c r="D2737" s="70"/>
      <c r="G2737" s="78"/>
    </row>
    <row r="2738" spans="2:7" x14ac:dyDescent="0.3">
      <c r="B2738" s="69"/>
      <c r="C2738" s="55"/>
      <c r="D2738" s="70"/>
      <c r="G2738" s="78"/>
    </row>
    <row r="2739" spans="2:7" x14ac:dyDescent="0.3">
      <c r="B2739" s="69"/>
      <c r="C2739" s="55"/>
      <c r="D2739" s="70"/>
      <c r="G2739" s="78"/>
    </row>
    <row r="2740" spans="2:7" x14ac:dyDescent="0.3">
      <c r="B2740" s="69"/>
      <c r="C2740" s="55"/>
      <c r="D2740" s="70"/>
      <c r="G2740" s="78"/>
    </row>
    <row r="2741" spans="2:7" x14ac:dyDescent="0.3">
      <c r="B2741" s="69"/>
      <c r="C2741" s="55"/>
      <c r="D2741" s="70"/>
      <c r="G2741" s="78"/>
    </row>
    <row r="2742" spans="2:7" x14ac:dyDescent="0.3">
      <c r="B2742" s="69"/>
      <c r="C2742" s="55"/>
      <c r="D2742" s="70"/>
      <c r="G2742" s="78"/>
    </row>
    <row r="2743" spans="2:7" x14ac:dyDescent="0.3">
      <c r="B2743" s="69"/>
      <c r="C2743" s="55"/>
      <c r="D2743" s="70"/>
      <c r="G2743" s="78"/>
    </row>
    <row r="2744" spans="2:7" x14ac:dyDescent="0.3">
      <c r="B2744" s="69"/>
      <c r="C2744" s="55"/>
      <c r="D2744" s="70"/>
      <c r="G2744" s="78"/>
    </row>
    <row r="2745" spans="2:7" x14ac:dyDescent="0.3">
      <c r="B2745" s="69"/>
      <c r="C2745" s="55"/>
      <c r="D2745" s="70"/>
      <c r="G2745" s="78"/>
    </row>
    <row r="2746" spans="2:7" x14ac:dyDescent="0.3">
      <c r="B2746" s="69"/>
      <c r="C2746" s="55"/>
      <c r="D2746" s="70"/>
      <c r="G2746" s="78"/>
    </row>
    <row r="2747" spans="2:7" x14ac:dyDescent="0.3">
      <c r="B2747" s="69"/>
      <c r="C2747" s="55"/>
      <c r="D2747" s="70"/>
      <c r="G2747" s="78"/>
    </row>
    <row r="2748" spans="2:7" x14ac:dyDescent="0.3">
      <c r="B2748" s="69"/>
      <c r="C2748" s="55"/>
      <c r="D2748" s="70"/>
      <c r="G2748" s="78"/>
    </row>
    <row r="2749" spans="2:7" x14ac:dyDescent="0.3">
      <c r="B2749" s="69"/>
      <c r="C2749" s="55"/>
      <c r="D2749" s="70"/>
      <c r="G2749" s="78"/>
    </row>
    <row r="2750" spans="2:7" x14ac:dyDescent="0.3">
      <c r="B2750" s="69"/>
      <c r="C2750" s="55"/>
      <c r="D2750" s="70"/>
      <c r="G2750" s="78"/>
    </row>
    <row r="2751" spans="2:7" x14ac:dyDescent="0.3">
      <c r="B2751" s="69"/>
      <c r="C2751" s="55"/>
      <c r="D2751" s="70"/>
      <c r="G2751" s="78"/>
    </row>
    <row r="2752" spans="2:7" x14ac:dyDescent="0.3">
      <c r="B2752" s="69"/>
      <c r="C2752" s="55"/>
      <c r="D2752" s="70"/>
      <c r="G2752" s="78"/>
    </row>
    <row r="2753" spans="2:7" x14ac:dyDescent="0.3">
      <c r="B2753" s="69"/>
      <c r="C2753" s="55"/>
      <c r="D2753" s="70"/>
      <c r="G2753" s="78"/>
    </row>
    <row r="2754" spans="2:7" x14ac:dyDescent="0.3">
      <c r="B2754" s="69"/>
      <c r="C2754" s="55"/>
      <c r="D2754" s="70"/>
      <c r="G2754" s="78"/>
    </row>
    <row r="2755" spans="2:7" x14ac:dyDescent="0.3">
      <c r="B2755" s="69"/>
      <c r="C2755" s="55"/>
      <c r="D2755" s="70"/>
      <c r="G2755" s="78"/>
    </row>
    <row r="2756" spans="2:7" x14ac:dyDescent="0.3">
      <c r="B2756" s="69"/>
      <c r="C2756" s="55"/>
      <c r="D2756" s="70"/>
      <c r="G2756" s="78"/>
    </row>
    <row r="2757" spans="2:7" x14ac:dyDescent="0.3">
      <c r="B2757" s="69"/>
      <c r="C2757" s="55"/>
      <c r="D2757" s="70"/>
      <c r="G2757" s="78"/>
    </row>
    <row r="2758" spans="2:7" x14ac:dyDescent="0.3">
      <c r="B2758" s="69"/>
      <c r="C2758" s="55"/>
      <c r="D2758" s="70"/>
      <c r="G2758" s="78"/>
    </row>
    <row r="2759" spans="2:7" x14ac:dyDescent="0.3">
      <c r="B2759" s="69"/>
      <c r="C2759" s="55"/>
      <c r="D2759" s="70"/>
      <c r="G2759" s="78"/>
    </row>
    <row r="2760" spans="2:7" x14ac:dyDescent="0.3">
      <c r="B2760" s="69"/>
      <c r="C2760" s="55"/>
      <c r="D2760" s="70"/>
      <c r="G2760" s="78"/>
    </row>
    <row r="2761" spans="2:7" x14ac:dyDescent="0.3">
      <c r="B2761" s="69"/>
      <c r="C2761" s="55"/>
      <c r="D2761" s="70"/>
      <c r="G2761" s="78"/>
    </row>
    <row r="2762" spans="2:7" x14ac:dyDescent="0.3">
      <c r="B2762" s="69"/>
      <c r="C2762" s="55"/>
      <c r="D2762" s="70"/>
      <c r="G2762" s="78"/>
    </row>
    <row r="2763" spans="2:7" x14ac:dyDescent="0.3">
      <c r="B2763" s="69"/>
      <c r="C2763" s="55"/>
      <c r="D2763" s="70"/>
      <c r="G2763" s="78"/>
    </row>
    <row r="2764" spans="2:7" x14ac:dyDescent="0.3">
      <c r="B2764" s="69"/>
      <c r="C2764" s="55"/>
      <c r="D2764" s="70"/>
      <c r="G2764" s="78"/>
    </row>
    <row r="2765" spans="2:7" x14ac:dyDescent="0.3">
      <c r="B2765" s="69"/>
      <c r="C2765" s="55"/>
      <c r="D2765" s="70"/>
      <c r="G2765" s="78"/>
    </row>
    <row r="2766" spans="2:7" x14ac:dyDescent="0.3">
      <c r="B2766" s="69"/>
      <c r="C2766" s="55"/>
      <c r="D2766" s="70"/>
      <c r="G2766" s="78"/>
    </row>
    <row r="2767" spans="2:7" x14ac:dyDescent="0.3">
      <c r="B2767" s="69"/>
      <c r="C2767" s="55"/>
      <c r="D2767" s="70"/>
      <c r="G2767" s="78"/>
    </row>
    <row r="2768" spans="2:7" x14ac:dyDescent="0.3">
      <c r="B2768" s="69"/>
      <c r="C2768" s="55"/>
      <c r="D2768" s="70"/>
      <c r="G2768" s="78"/>
    </row>
    <row r="2769" spans="2:7" x14ac:dyDescent="0.3">
      <c r="B2769" s="69"/>
      <c r="C2769" s="55"/>
      <c r="D2769" s="70"/>
      <c r="G2769" s="78"/>
    </row>
    <row r="2770" spans="2:7" x14ac:dyDescent="0.3">
      <c r="B2770" s="69"/>
      <c r="C2770" s="55"/>
      <c r="D2770" s="70"/>
      <c r="G2770" s="78"/>
    </row>
    <row r="2771" spans="2:7" x14ac:dyDescent="0.3">
      <c r="B2771" s="69"/>
      <c r="C2771" s="55"/>
      <c r="D2771" s="70"/>
      <c r="G2771" s="78"/>
    </row>
    <row r="2772" spans="2:7" x14ac:dyDescent="0.3">
      <c r="B2772" s="69"/>
      <c r="C2772" s="55"/>
      <c r="D2772" s="70"/>
      <c r="G2772" s="78"/>
    </row>
    <row r="2773" spans="2:7" x14ac:dyDescent="0.3">
      <c r="B2773" s="69"/>
      <c r="C2773" s="55"/>
      <c r="D2773" s="70"/>
      <c r="G2773" s="78"/>
    </row>
    <row r="2774" spans="2:7" x14ac:dyDescent="0.3">
      <c r="B2774" s="69"/>
      <c r="C2774" s="55"/>
      <c r="D2774" s="70"/>
      <c r="G2774" s="78"/>
    </row>
    <row r="2775" spans="2:7" x14ac:dyDescent="0.3">
      <c r="B2775" s="69"/>
      <c r="C2775" s="55"/>
      <c r="D2775" s="70"/>
      <c r="G2775" s="78"/>
    </row>
    <row r="2776" spans="2:7" x14ac:dyDescent="0.3">
      <c r="B2776" s="69"/>
      <c r="C2776" s="55"/>
      <c r="D2776" s="70"/>
      <c r="G2776" s="78"/>
    </row>
    <row r="2777" spans="2:7" x14ac:dyDescent="0.3">
      <c r="B2777" s="69"/>
      <c r="C2777" s="55"/>
      <c r="D2777" s="70"/>
      <c r="G2777" s="78"/>
    </row>
    <row r="2778" spans="2:7" x14ac:dyDescent="0.3">
      <c r="B2778" s="69"/>
      <c r="C2778" s="55"/>
      <c r="D2778" s="70"/>
      <c r="G2778" s="78"/>
    </row>
    <row r="2779" spans="2:7" x14ac:dyDescent="0.3">
      <c r="B2779" s="69"/>
      <c r="C2779" s="55"/>
      <c r="D2779" s="70"/>
      <c r="G2779" s="78"/>
    </row>
    <row r="2780" spans="2:7" x14ac:dyDescent="0.3">
      <c r="B2780" s="69"/>
      <c r="C2780" s="55"/>
      <c r="D2780" s="70"/>
      <c r="G2780" s="78"/>
    </row>
    <row r="2781" spans="2:7" x14ac:dyDescent="0.3">
      <c r="B2781" s="69"/>
      <c r="C2781" s="55"/>
      <c r="D2781" s="70"/>
      <c r="G2781" s="78"/>
    </row>
    <row r="2782" spans="2:7" x14ac:dyDescent="0.3">
      <c r="B2782" s="69"/>
      <c r="C2782" s="55"/>
      <c r="D2782" s="70"/>
      <c r="G2782" s="78"/>
    </row>
    <row r="2783" spans="2:7" x14ac:dyDescent="0.3">
      <c r="B2783" s="69"/>
      <c r="C2783" s="55"/>
      <c r="D2783" s="70"/>
      <c r="G2783" s="78"/>
    </row>
    <row r="2784" spans="2:7" x14ac:dyDescent="0.3">
      <c r="B2784" s="69"/>
      <c r="C2784" s="55"/>
      <c r="D2784" s="70"/>
      <c r="G2784" s="78"/>
    </row>
    <row r="2785" spans="2:7" x14ac:dyDescent="0.3">
      <c r="B2785" s="69"/>
      <c r="C2785" s="55"/>
      <c r="D2785" s="70"/>
      <c r="G2785" s="78"/>
    </row>
    <row r="2786" spans="2:7" x14ac:dyDescent="0.3">
      <c r="B2786" s="69"/>
      <c r="C2786" s="55"/>
      <c r="D2786" s="70"/>
      <c r="G2786" s="78"/>
    </row>
    <row r="2787" spans="2:7" x14ac:dyDescent="0.3">
      <c r="B2787" s="69"/>
      <c r="C2787" s="55"/>
      <c r="D2787" s="70"/>
      <c r="G2787" s="78"/>
    </row>
    <row r="2788" spans="2:7" x14ac:dyDescent="0.3">
      <c r="B2788" s="69"/>
      <c r="C2788" s="55"/>
      <c r="D2788" s="70"/>
      <c r="G2788" s="78"/>
    </row>
    <row r="2789" spans="2:7" x14ac:dyDescent="0.3">
      <c r="B2789" s="69"/>
      <c r="C2789" s="55"/>
      <c r="D2789" s="70"/>
      <c r="G2789" s="78"/>
    </row>
    <row r="2790" spans="2:7" x14ac:dyDescent="0.3">
      <c r="B2790" s="69"/>
      <c r="C2790" s="55"/>
      <c r="D2790" s="70"/>
      <c r="G2790" s="78"/>
    </row>
    <row r="2791" spans="2:7" x14ac:dyDescent="0.3">
      <c r="B2791" s="69"/>
      <c r="C2791" s="55"/>
      <c r="D2791" s="70"/>
      <c r="G2791" s="78"/>
    </row>
    <row r="2792" spans="2:7" x14ac:dyDescent="0.3">
      <c r="B2792" s="69"/>
      <c r="C2792" s="55"/>
      <c r="D2792" s="70"/>
      <c r="G2792" s="78"/>
    </row>
    <row r="2793" spans="2:7" x14ac:dyDescent="0.3">
      <c r="B2793" s="69"/>
      <c r="C2793" s="55"/>
      <c r="D2793" s="70"/>
      <c r="G2793" s="78"/>
    </row>
    <row r="2794" spans="2:7" x14ac:dyDescent="0.3">
      <c r="B2794" s="69"/>
      <c r="C2794" s="55"/>
      <c r="D2794" s="70"/>
      <c r="G2794" s="78"/>
    </row>
    <row r="2795" spans="2:7" x14ac:dyDescent="0.3">
      <c r="B2795" s="69"/>
      <c r="C2795" s="55"/>
      <c r="D2795" s="70"/>
      <c r="G2795" s="78"/>
    </row>
    <row r="2796" spans="2:7" x14ac:dyDescent="0.3">
      <c r="B2796" s="69"/>
      <c r="C2796" s="55"/>
      <c r="D2796" s="70"/>
      <c r="G2796" s="78"/>
    </row>
    <row r="2797" spans="2:7" x14ac:dyDescent="0.3">
      <c r="B2797" s="69"/>
      <c r="C2797" s="55"/>
      <c r="D2797" s="70"/>
      <c r="G2797" s="78"/>
    </row>
    <row r="2798" spans="2:7" x14ac:dyDescent="0.3">
      <c r="B2798" s="69"/>
      <c r="C2798" s="55"/>
      <c r="D2798" s="70"/>
      <c r="G2798" s="78"/>
    </row>
    <row r="2799" spans="2:7" x14ac:dyDescent="0.3">
      <c r="B2799" s="69"/>
      <c r="C2799" s="55"/>
      <c r="D2799" s="70"/>
      <c r="G2799" s="78"/>
    </row>
    <row r="2800" spans="2:7" x14ac:dyDescent="0.3">
      <c r="B2800" s="69"/>
      <c r="C2800" s="55"/>
      <c r="D2800" s="70"/>
      <c r="G2800" s="78"/>
    </row>
    <row r="2801" spans="2:7" x14ac:dyDescent="0.3">
      <c r="B2801" s="69"/>
      <c r="C2801" s="55"/>
      <c r="D2801" s="70"/>
      <c r="G2801" s="78"/>
    </row>
    <row r="2802" spans="2:7" x14ac:dyDescent="0.3">
      <c r="B2802" s="69"/>
      <c r="C2802" s="55"/>
      <c r="D2802" s="70"/>
      <c r="G2802" s="78"/>
    </row>
    <row r="2803" spans="2:7" x14ac:dyDescent="0.3">
      <c r="B2803" s="69"/>
      <c r="C2803" s="55"/>
      <c r="D2803" s="70"/>
      <c r="G2803" s="78"/>
    </row>
    <row r="2804" spans="2:7" x14ac:dyDescent="0.3">
      <c r="B2804" s="69"/>
      <c r="C2804" s="55"/>
      <c r="D2804" s="70"/>
      <c r="G2804" s="78"/>
    </row>
    <row r="2805" spans="2:7" x14ac:dyDescent="0.3">
      <c r="B2805" s="69"/>
      <c r="C2805" s="55"/>
      <c r="D2805" s="70"/>
      <c r="G2805" s="78"/>
    </row>
    <row r="2806" spans="2:7" x14ac:dyDescent="0.3">
      <c r="B2806" s="69"/>
      <c r="C2806" s="55"/>
      <c r="D2806" s="70"/>
      <c r="G2806" s="78"/>
    </row>
    <row r="2807" spans="2:7" x14ac:dyDescent="0.3">
      <c r="B2807" s="69"/>
      <c r="C2807" s="55"/>
      <c r="D2807" s="70"/>
      <c r="G2807" s="78"/>
    </row>
    <row r="2808" spans="2:7" x14ac:dyDescent="0.3">
      <c r="B2808" s="69"/>
      <c r="C2808" s="55"/>
      <c r="D2808" s="70"/>
      <c r="G2808" s="78"/>
    </row>
    <row r="2809" spans="2:7" x14ac:dyDescent="0.3">
      <c r="B2809" s="69"/>
      <c r="C2809" s="55"/>
      <c r="D2809" s="70"/>
      <c r="G2809" s="78"/>
    </row>
    <row r="2810" spans="2:7" x14ac:dyDescent="0.3">
      <c r="B2810" s="69"/>
      <c r="C2810" s="55"/>
      <c r="D2810" s="70"/>
      <c r="G2810" s="78"/>
    </row>
    <row r="2811" spans="2:7" x14ac:dyDescent="0.3">
      <c r="B2811" s="69"/>
      <c r="C2811" s="55"/>
      <c r="D2811" s="70"/>
      <c r="G2811" s="78"/>
    </row>
    <row r="2812" spans="2:7" x14ac:dyDescent="0.3">
      <c r="B2812" s="69"/>
      <c r="C2812" s="55"/>
      <c r="D2812" s="70"/>
      <c r="G2812" s="78"/>
    </row>
    <row r="2813" spans="2:7" x14ac:dyDescent="0.3">
      <c r="B2813" s="69"/>
      <c r="C2813" s="55"/>
      <c r="D2813" s="70"/>
      <c r="G2813" s="78"/>
    </row>
    <row r="2814" spans="2:7" x14ac:dyDescent="0.3">
      <c r="B2814" s="69"/>
      <c r="C2814" s="55"/>
      <c r="D2814" s="70"/>
      <c r="G2814" s="78"/>
    </row>
    <row r="2815" spans="2:7" x14ac:dyDescent="0.3">
      <c r="B2815" s="69"/>
      <c r="C2815" s="55"/>
      <c r="D2815" s="70"/>
      <c r="G2815" s="78"/>
    </row>
    <row r="2816" spans="2:7" x14ac:dyDescent="0.3">
      <c r="B2816" s="69"/>
      <c r="C2816" s="55"/>
      <c r="D2816" s="70"/>
      <c r="G2816" s="78"/>
    </row>
    <row r="2817" spans="2:7" x14ac:dyDescent="0.3">
      <c r="B2817" s="69"/>
      <c r="C2817" s="55"/>
      <c r="D2817" s="70"/>
      <c r="G2817" s="78"/>
    </row>
    <row r="2818" spans="2:7" x14ac:dyDescent="0.3">
      <c r="B2818" s="69"/>
      <c r="C2818" s="55"/>
      <c r="D2818" s="70"/>
      <c r="G2818" s="78"/>
    </row>
    <row r="2819" spans="2:7" x14ac:dyDescent="0.3">
      <c r="B2819" s="69"/>
      <c r="C2819" s="55"/>
      <c r="D2819" s="70"/>
      <c r="G2819" s="78"/>
    </row>
    <row r="2820" spans="2:7" x14ac:dyDescent="0.3">
      <c r="B2820" s="69"/>
      <c r="C2820" s="55"/>
      <c r="D2820" s="70"/>
      <c r="G2820" s="78"/>
    </row>
    <row r="2821" spans="2:7" x14ac:dyDescent="0.3">
      <c r="B2821" s="69"/>
      <c r="C2821" s="55"/>
      <c r="D2821" s="70"/>
      <c r="G2821" s="78"/>
    </row>
    <row r="2822" spans="2:7" x14ac:dyDescent="0.3">
      <c r="B2822" s="69"/>
      <c r="C2822" s="55"/>
      <c r="D2822" s="70"/>
      <c r="G2822" s="78"/>
    </row>
    <row r="2823" spans="2:7" x14ac:dyDescent="0.3">
      <c r="B2823" s="69"/>
      <c r="C2823" s="55"/>
      <c r="D2823" s="70"/>
      <c r="G2823" s="78"/>
    </row>
    <row r="2824" spans="2:7" x14ac:dyDescent="0.3">
      <c r="B2824" s="69"/>
      <c r="C2824" s="55"/>
      <c r="D2824" s="70"/>
      <c r="G2824" s="78"/>
    </row>
    <row r="2825" spans="2:7" x14ac:dyDescent="0.3">
      <c r="B2825" s="69"/>
      <c r="C2825" s="55"/>
      <c r="D2825" s="70"/>
      <c r="G2825" s="78"/>
    </row>
    <row r="2826" spans="2:7" x14ac:dyDescent="0.3">
      <c r="B2826" s="69"/>
      <c r="C2826" s="55"/>
      <c r="D2826" s="70"/>
      <c r="G2826" s="78"/>
    </row>
    <row r="2827" spans="2:7" x14ac:dyDescent="0.3">
      <c r="B2827" s="69"/>
      <c r="C2827" s="55"/>
      <c r="D2827" s="70"/>
      <c r="G2827" s="78"/>
    </row>
    <row r="2828" spans="2:7" x14ac:dyDescent="0.3">
      <c r="B2828" s="69"/>
      <c r="C2828" s="55"/>
      <c r="D2828" s="70"/>
      <c r="G2828" s="78"/>
    </row>
    <row r="2829" spans="2:7" x14ac:dyDescent="0.3">
      <c r="B2829" s="69"/>
      <c r="C2829" s="55"/>
      <c r="D2829" s="70"/>
      <c r="G2829" s="78"/>
    </row>
    <row r="2830" spans="2:7" x14ac:dyDescent="0.3">
      <c r="B2830" s="69"/>
      <c r="C2830" s="55"/>
      <c r="D2830" s="70"/>
      <c r="G2830" s="78"/>
    </row>
    <row r="2831" spans="2:7" x14ac:dyDescent="0.3">
      <c r="B2831" s="69"/>
      <c r="C2831" s="55"/>
      <c r="D2831" s="70"/>
      <c r="G2831" s="78"/>
    </row>
    <row r="2832" spans="2:7" x14ac:dyDescent="0.3">
      <c r="B2832" s="69"/>
      <c r="C2832" s="55"/>
      <c r="D2832" s="70"/>
      <c r="G2832" s="78"/>
    </row>
    <row r="2833" spans="2:7" x14ac:dyDescent="0.3">
      <c r="B2833" s="69"/>
      <c r="C2833" s="55"/>
      <c r="D2833" s="70"/>
      <c r="G2833" s="78"/>
    </row>
    <row r="2834" spans="2:7" x14ac:dyDescent="0.3">
      <c r="B2834" s="69"/>
      <c r="C2834" s="55"/>
      <c r="D2834" s="70"/>
      <c r="G2834" s="78"/>
    </row>
    <row r="2835" spans="2:7" x14ac:dyDescent="0.3">
      <c r="B2835" s="69"/>
      <c r="C2835" s="55"/>
      <c r="D2835" s="70"/>
      <c r="G2835" s="78"/>
    </row>
    <row r="2836" spans="2:7" x14ac:dyDescent="0.3">
      <c r="B2836" s="69"/>
      <c r="C2836" s="55"/>
      <c r="D2836" s="70"/>
      <c r="G2836" s="78"/>
    </row>
    <row r="2837" spans="2:7" x14ac:dyDescent="0.3">
      <c r="B2837" s="69"/>
      <c r="C2837" s="55"/>
      <c r="D2837" s="70"/>
      <c r="G2837" s="78"/>
    </row>
    <row r="2838" spans="2:7" x14ac:dyDescent="0.3">
      <c r="B2838" s="69"/>
      <c r="C2838" s="55"/>
      <c r="D2838" s="70"/>
      <c r="G2838" s="78"/>
    </row>
    <row r="2839" spans="2:7" x14ac:dyDescent="0.3">
      <c r="B2839" s="69"/>
      <c r="C2839" s="55"/>
      <c r="D2839" s="70"/>
      <c r="G2839" s="78"/>
    </row>
    <row r="2840" spans="2:7" x14ac:dyDescent="0.3">
      <c r="B2840" s="69"/>
      <c r="C2840" s="55"/>
      <c r="D2840" s="70"/>
      <c r="G2840" s="78"/>
    </row>
    <row r="2841" spans="2:7" x14ac:dyDescent="0.3">
      <c r="B2841" s="69"/>
      <c r="C2841" s="55"/>
      <c r="D2841" s="70"/>
      <c r="G2841" s="78"/>
    </row>
    <row r="2842" spans="2:7" x14ac:dyDescent="0.3">
      <c r="B2842" s="69"/>
      <c r="C2842" s="55"/>
      <c r="D2842" s="70"/>
      <c r="G2842" s="78"/>
    </row>
    <row r="2843" spans="2:7" x14ac:dyDescent="0.3">
      <c r="B2843" s="69"/>
      <c r="C2843" s="55"/>
      <c r="D2843" s="70"/>
      <c r="G2843" s="78"/>
    </row>
    <row r="2844" spans="2:7" x14ac:dyDescent="0.3">
      <c r="B2844" s="69"/>
      <c r="C2844" s="55"/>
      <c r="D2844" s="70"/>
      <c r="G2844" s="78"/>
    </row>
    <row r="2845" spans="2:7" x14ac:dyDescent="0.3">
      <c r="B2845" s="69"/>
      <c r="C2845" s="55"/>
      <c r="D2845" s="70"/>
      <c r="G2845" s="78"/>
    </row>
    <row r="2846" spans="2:7" x14ac:dyDescent="0.3">
      <c r="B2846" s="69"/>
      <c r="C2846" s="55"/>
      <c r="D2846" s="70"/>
      <c r="G2846" s="78"/>
    </row>
    <row r="2847" spans="2:7" x14ac:dyDescent="0.3">
      <c r="B2847" s="69"/>
      <c r="C2847" s="55"/>
      <c r="D2847" s="70"/>
      <c r="G2847" s="78"/>
    </row>
    <row r="2848" spans="2:7" x14ac:dyDescent="0.3">
      <c r="B2848" s="69"/>
      <c r="C2848" s="55"/>
      <c r="D2848" s="70"/>
      <c r="G2848" s="78"/>
    </row>
    <row r="2849" spans="2:7" x14ac:dyDescent="0.3">
      <c r="B2849" s="69"/>
      <c r="C2849" s="55"/>
      <c r="D2849" s="70"/>
      <c r="G2849" s="78"/>
    </row>
    <row r="2850" spans="2:7" x14ac:dyDescent="0.3">
      <c r="B2850" s="69"/>
      <c r="C2850" s="55"/>
      <c r="D2850" s="70"/>
      <c r="G2850" s="78"/>
    </row>
    <row r="2851" spans="2:7" x14ac:dyDescent="0.3">
      <c r="B2851" s="69"/>
      <c r="C2851" s="55"/>
      <c r="D2851" s="70"/>
      <c r="G2851" s="78"/>
    </row>
    <row r="2852" spans="2:7" x14ac:dyDescent="0.3">
      <c r="B2852" s="69"/>
      <c r="C2852" s="55"/>
      <c r="D2852" s="70"/>
      <c r="G2852" s="78"/>
    </row>
    <row r="2853" spans="2:7" x14ac:dyDescent="0.3">
      <c r="B2853" s="69"/>
      <c r="C2853" s="55"/>
      <c r="D2853" s="70"/>
      <c r="G2853" s="78"/>
    </row>
    <row r="2854" spans="2:7" x14ac:dyDescent="0.3">
      <c r="B2854" s="69"/>
      <c r="C2854" s="55"/>
      <c r="D2854" s="70"/>
      <c r="G2854" s="78"/>
    </row>
    <row r="2855" spans="2:7" x14ac:dyDescent="0.3">
      <c r="B2855" s="69"/>
      <c r="C2855" s="55"/>
      <c r="D2855" s="70"/>
      <c r="G2855" s="78"/>
    </row>
    <row r="2856" spans="2:7" x14ac:dyDescent="0.3">
      <c r="B2856" s="69"/>
      <c r="C2856" s="55"/>
      <c r="D2856" s="70"/>
      <c r="G2856" s="78"/>
    </row>
    <row r="2857" spans="2:7" x14ac:dyDescent="0.3">
      <c r="B2857" s="69"/>
      <c r="C2857" s="55"/>
      <c r="D2857" s="70"/>
      <c r="G2857" s="78"/>
    </row>
    <row r="2858" spans="2:7" x14ac:dyDescent="0.3">
      <c r="B2858" s="69"/>
      <c r="C2858" s="55"/>
      <c r="D2858" s="70"/>
      <c r="G2858" s="78"/>
    </row>
    <row r="2859" spans="2:7" x14ac:dyDescent="0.3">
      <c r="B2859" s="69"/>
      <c r="C2859" s="55"/>
      <c r="D2859" s="70"/>
      <c r="G2859" s="78"/>
    </row>
    <row r="2860" spans="2:7" x14ac:dyDescent="0.3">
      <c r="B2860" s="69"/>
      <c r="C2860" s="55"/>
      <c r="D2860" s="70"/>
      <c r="G2860" s="78"/>
    </row>
    <row r="2861" spans="2:7" x14ac:dyDescent="0.3">
      <c r="B2861" s="69"/>
      <c r="C2861" s="55"/>
      <c r="D2861" s="70"/>
      <c r="G2861" s="78"/>
    </row>
    <row r="2862" spans="2:7" x14ac:dyDescent="0.3">
      <c r="B2862" s="69"/>
      <c r="C2862" s="55"/>
      <c r="D2862" s="70"/>
      <c r="G2862" s="78"/>
    </row>
    <row r="2863" spans="2:7" x14ac:dyDescent="0.3">
      <c r="B2863" s="69"/>
      <c r="C2863" s="55"/>
      <c r="D2863" s="70"/>
      <c r="G2863" s="78"/>
    </row>
    <row r="2864" spans="2:7" x14ac:dyDescent="0.3">
      <c r="B2864" s="69"/>
      <c r="C2864" s="55"/>
      <c r="D2864" s="70"/>
      <c r="G2864" s="78"/>
    </row>
    <row r="2865" spans="2:7" x14ac:dyDescent="0.3">
      <c r="B2865" s="69"/>
      <c r="C2865" s="55"/>
      <c r="D2865" s="70"/>
      <c r="G2865" s="78"/>
    </row>
    <row r="2866" spans="2:7" x14ac:dyDescent="0.3">
      <c r="B2866" s="69"/>
      <c r="C2866" s="55"/>
      <c r="D2866" s="70"/>
      <c r="G2866" s="78"/>
    </row>
    <row r="2867" spans="2:7" x14ac:dyDescent="0.3">
      <c r="B2867" s="69"/>
      <c r="C2867" s="55"/>
      <c r="D2867" s="70"/>
      <c r="G2867" s="78"/>
    </row>
    <row r="2868" spans="2:7" x14ac:dyDescent="0.3">
      <c r="B2868" s="69"/>
      <c r="C2868" s="55"/>
      <c r="D2868" s="70"/>
      <c r="G2868" s="78"/>
    </row>
    <row r="2869" spans="2:7" x14ac:dyDescent="0.3">
      <c r="B2869" s="69"/>
      <c r="C2869" s="55"/>
      <c r="D2869" s="70"/>
      <c r="G2869" s="78"/>
    </row>
    <row r="2870" spans="2:7" x14ac:dyDescent="0.3">
      <c r="B2870" s="69"/>
      <c r="C2870" s="55"/>
      <c r="D2870" s="70"/>
      <c r="G2870" s="78"/>
    </row>
    <row r="2871" spans="2:7" x14ac:dyDescent="0.3">
      <c r="B2871" s="69"/>
      <c r="C2871" s="55"/>
      <c r="D2871" s="70"/>
      <c r="G2871" s="78"/>
    </row>
    <row r="2872" spans="2:7" x14ac:dyDescent="0.3">
      <c r="B2872" s="69"/>
      <c r="C2872" s="55"/>
      <c r="D2872" s="70"/>
      <c r="G2872" s="78"/>
    </row>
    <row r="2873" spans="2:7" x14ac:dyDescent="0.3">
      <c r="B2873" s="69"/>
      <c r="C2873" s="55"/>
      <c r="D2873" s="70"/>
      <c r="G2873" s="78"/>
    </row>
    <row r="2874" spans="2:7" x14ac:dyDescent="0.3">
      <c r="B2874" s="69"/>
      <c r="C2874" s="55"/>
      <c r="D2874" s="70"/>
      <c r="G2874" s="78"/>
    </row>
    <row r="2875" spans="2:7" x14ac:dyDescent="0.3">
      <c r="B2875" s="69"/>
      <c r="C2875" s="55"/>
      <c r="D2875" s="70"/>
      <c r="G2875" s="78"/>
    </row>
    <row r="2876" spans="2:7" x14ac:dyDescent="0.3">
      <c r="B2876" s="69"/>
      <c r="C2876" s="55"/>
      <c r="D2876" s="70"/>
      <c r="G2876" s="78"/>
    </row>
    <row r="2877" spans="2:7" x14ac:dyDescent="0.3">
      <c r="B2877" s="69"/>
      <c r="C2877" s="55"/>
      <c r="D2877" s="70"/>
      <c r="G2877" s="78"/>
    </row>
    <row r="2878" spans="2:7" x14ac:dyDescent="0.3">
      <c r="B2878" s="69"/>
      <c r="C2878" s="55"/>
      <c r="D2878" s="70"/>
      <c r="G2878" s="78"/>
    </row>
    <row r="2879" spans="2:7" x14ac:dyDescent="0.3">
      <c r="B2879" s="69"/>
      <c r="C2879" s="55"/>
      <c r="D2879" s="70"/>
      <c r="G2879" s="78"/>
    </row>
    <row r="2880" spans="2:7" x14ac:dyDescent="0.3">
      <c r="B2880" s="69"/>
      <c r="C2880" s="55"/>
      <c r="D2880" s="70"/>
      <c r="G2880" s="78"/>
    </row>
    <row r="2881" spans="2:7" x14ac:dyDescent="0.3">
      <c r="B2881" s="69"/>
      <c r="C2881" s="55"/>
      <c r="D2881" s="70"/>
      <c r="G2881" s="78"/>
    </row>
    <row r="2882" spans="2:7" x14ac:dyDescent="0.3">
      <c r="B2882" s="69"/>
      <c r="C2882" s="55"/>
      <c r="D2882" s="70"/>
      <c r="G2882" s="78"/>
    </row>
    <row r="2883" spans="2:7" x14ac:dyDescent="0.3">
      <c r="B2883" s="69"/>
      <c r="C2883" s="55"/>
      <c r="D2883" s="70"/>
      <c r="G2883" s="78"/>
    </row>
    <row r="2884" spans="2:7" x14ac:dyDescent="0.3">
      <c r="B2884" s="69"/>
      <c r="C2884" s="55"/>
      <c r="D2884" s="70"/>
      <c r="G2884" s="78"/>
    </row>
    <row r="2885" spans="2:7" x14ac:dyDescent="0.3">
      <c r="B2885" s="69"/>
      <c r="C2885" s="55"/>
      <c r="D2885" s="70"/>
      <c r="G2885" s="78"/>
    </row>
    <row r="2886" spans="2:7" x14ac:dyDescent="0.3">
      <c r="B2886" s="69"/>
      <c r="C2886" s="55"/>
      <c r="D2886" s="70"/>
      <c r="G2886" s="78"/>
    </row>
    <row r="2887" spans="2:7" x14ac:dyDescent="0.3">
      <c r="B2887" s="69"/>
      <c r="C2887" s="55"/>
      <c r="D2887" s="70"/>
      <c r="G2887" s="78"/>
    </row>
    <row r="2888" spans="2:7" x14ac:dyDescent="0.3">
      <c r="B2888" s="69"/>
      <c r="C2888" s="55"/>
      <c r="D2888" s="70"/>
      <c r="G2888" s="78"/>
    </row>
    <row r="2889" spans="2:7" x14ac:dyDescent="0.3">
      <c r="B2889" s="69"/>
      <c r="C2889" s="55"/>
      <c r="D2889" s="70"/>
      <c r="G2889" s="78"/>
    </row>
    <row r="2890" spans="2:7" x14ac:dyDescent="0.3">
      <c r="B2890" s="69"/>
      <c r="C2890" s="55"/>
      <c r="D2890" s="70"/>
      <c r="G2890" s="78"/>
    </row>
    <row r="2891" spans="2:7" x14ac:dyDescent="0.3">
      <c r="B2891" s="69"/>
      <c r="C2891" s="55"/>
      <c r="D2891" s="70"/>
      <c r="G2891" s="78"/>
    </row>
    <row r="2892" spans="2:7" x14ac:dyDescent="0.3">
      <c r="B2892" s="69"/>
      <c r="C2892" s="55"/>
      <c r="D2892" s="70"/>
      <c r="G2892" s="78"/>
    </row>
    <row r="2893" spans="2:7" x14ac:dyDescent="0.3">
      <c r="B2893" s="69"/>
      <c r="C2893" s="55"/>
      <c r="D2893" s="70"/>
      <c r="G2893" s="78"/>
    </row>
    <row r="2894" spans="2:7" x14ac:dyDescent="0.3">
      <c r="B2894" s="69"/>
      <c r="C2894" s="55"/>
      <c r="D2894" s="70"/>
      <c r="G2894" s="78"/>
    </row>
    <row r="2895" spans="2:7" x14ac:dyDescent="0.3">
      <c r="B2895" s="69"/>
      <c r="C2895" s="55"/>
      <c r="D2895" s="70"/>
      <c r="G2895" s="78"/>
    </row>
    <row r="2896" spans="2:7" x14ac:dyDescent="0.3">
      <c r="B2896" s="69"/>
      <c r="C2896" s="55"/>
      <c r="D2896" s="70"/>
      <c r="G2896" s="78"/>
    </row>
    <row r="2897" spans="2:7" x14ac:dyDescent="0.3">
      <c r="B2897" s="69"/>
      <c r="C2897" s="55"/>
      <c r="D2897" s="70"/>
      <c r="G2897" s="78"/>
    </row>
    <row r="2898" spans="2:7" x14ac:dyDescent="0.3">
      <c r="B2898" s="69"/>
      <c r="C2898" s="55"/>
      <c r="D2898" s="70"/>
      <c r="G2898" s="78"/>
    </row>
    <row r="2899" spans="2:7" x14ac:dyDescent="0.3">
      <c r="B2899" s="69"/>
      <c r="C2899" s="55"/>
      <c r="D2899" s="70"/>
      <c r="G2899" s="78"/>
    </row>
    <row r="2900" spans="2:7" x14ac:dyDescent="0.3">
      <c r="B2900" s="69"/>
      <c r="C2900" s="55"/>
      <c r="D2900" s="70"/>
      <c r="G2900" s="78"/>
    </row>
    <row r="2901" spans="2:7" x14ac:dyDescent="0.3">
      <c r="B2901" s="69"/>
      <c r="C2901" s="55"/>
      <c r="D2901" s="70"/>
      <c r="G2901" s="78"/>
    </row>
    <row r="2902" spans="2:7" x14ac:dyDescent="0.3">
      <c r="B2902" s="69"/>
      <c r="C2902" s="55"/>
      <c r="D2902" s="70"/>
      <c r="G2902" s="78"/>
    </row>
    <row r="2903" spans="2:7" x14ac:dyDescent="0.3">
      <c r="B2903" s="69"/>
      <c r="C2903" s="55"/>
      <c r="D2903" s="70"/>
      <c r="G2903" s="78"/>
    </row>
    <row r="2904" spans="2:7" x14ac:dyDescent="0.3">
      <c r="B2904" s="69"/>
      <c r="C2904" s="55"/>
      <c r="D2904" s="70"/>
      <c r="G2904" s="78"/>
    </row>
    <row r="2905" spans="2:7" x14ac:dyDescent="0.3">
      <c r="B2905" s="69"/>
      <c r="C2905" s="55"/>
      <c r="D2905" s="70"/>
      <c r="G2905" s="78"/>
    </row>
    <row r="2906" spans="2:7" x14ac:dyDescent="0.3">
      <c r="B2906" s="69"/>
      <c r="C2906" s="55"/>
      <c r="D2906" s="70"/>
      <c r="G2906" s="78"/>
    </row>
    <row r="2907" spans="2:7" x14ac:dyDescent="0.3">
      <c r="B2907" s="69"/>
      <c r="C2907" s="55"/>
      <c r="D2907" s="70"/>
      <c r="G2907" s="78"/>
    </row>
    <row r="2908" spans="2:7" x14ac:dyDescent="0.3">
      <c r="B2908" s="69"/>
      <c r="C2908" s="55"/>
      <c r="D2908" s="70"/>
      <c r="G2908" s="78"/>
    </row>
    <row r="2909" spans="2:7" x14ac:dyDescent="0.3">
      <c r="B2909" s="69"/>
      <c r="C2909" s="55"/>
      <c r="D2909" s="70"/>
      <c r="G2909" s="78"/>
    </row>
    <row r="2910" spans="2:7" x14ac:dyDescent="0.3">
      <c r="B2910" s="69"/>
      <c r="C2910" s="55"/>
      <c r="D2910" s="70"/>
      <c r="G2910" s="78"/>
    </row>
    <row r="2911" spans="2:7" x14ac:dyDescent="0.3">
      <c r="B2911" s="69"/>
      <c r="C2911" s="55"/>
      <c r="D2911" s="70"/>
      <c r="G2911" s="78"/>
    </row>
    <row r="2912" spans="2:7" x14ac:dyDescent="0.3">
      <c r="B2912" s="69"/>
      <c r="C2912" s="55"/>
      <c r="D2912" s="70"/>
      <c r="G2912" s="78"/>
    </row>
    <row r="2913" spans="2:7" x14ac:dyDescent="0.3">
      <c r="B2913" s="69"/>
      <c r="C2913" s="55"/>
      <c r="D2913" s="70"/>
      <c r="G2913" s="78"/>
    </row>
    <row r="2914" spans="2:7" x14ac:dyDescent="0.3">
      <c r="B2914" s="69"/>
      <c r="C2914" s="55"/>
      <c r="D2914" s="70"/>
      <c r="G2914" s="78"/>
    </row>
    <row r="2915" spans="2:7" x14ac:dyDescent="0.3">
      <c r="B2915" s="69"/>
      <c r="C2915" s="55"/>
      <c r="D2915" s="70"/>
      <c r="G2915" s="78"/>
    </row>
    <row r="2916" spans="2:7" x14ac:dyDescent="0.3">
      <c r="B2916" s="69"/>
      <c r="C2916" s="55"/>
      <c r="D2916" s="70"/>
      <c r="G2916" s="78"/>
    </row>
    <row r="2917" spans="2:7" x14ac:dyDescent="0.3">
      <c r="B2917" s="69"/>
      <c r="C2917" s="55"/>
      <c r="D2917" s="70"/>
      <c r="G2917" s="78"/>
    </row>
    <row r="2918" spans="2:7" x14ac:dyDescent="0.3">
      <c r="B2918" s="69"/>
      <c r="C2918" s="55"/>
      <c r="D2918" s="70"/>
      <c r="G2918" s="78"/>
    </row>
    <row r="2919" spans="2:7" x14ac:dyDescent="0.3">
      <c r="B2919" s="69"/>
      <c r="C2919" s="55"/>
      <c r="D2919" s="70"/>
      <c r="G2919" s="78"/>
    </row>
    <row r="2920" spans="2:7" x14ac:dyDescent="0.3">
      <c r="B2920" s="69"/>
      <c r="C2920" s="55"/>
      <c r="D2920" s="70"/>
      <c r="G2920" s="78"/>
    </row>
    <row r="2921" spans="2:7" x14ac:dyDescent="0.3">
      <c r="B2921" s="69"/>
      <c r="C2921" s="55"/>
      <c r="D2921" s="70"/>
      <c r="G2921" s="78"/>
    </row>
    <row r="2922" spans="2:7" x14ac:dyDescent="0.3">
      <c r="B2922" s="69"/>
      <c r="C2922" s="55"/>
      <c r="D2922" s="70"/>
      <c r="G2922" s="78"/>
    </row>
    <row r="2923" spans="2:7" x14ac:dyDescent="0.3">
      <c r="B2923" s="69"/>
      <c r="C2923" s="55"/>
      <c r="D2923" s="70"/>
      <c r="G2923" s="78"/>
    </row>
    <row r="2924" spans="2:7" x14ac:dyDescent="0.3">
      <c r="B2924" s="69"/>
      <c r="C2924" s="55"/>
      <c r="D2924" s="70"/>
      <c r="G2924" s="78"/>
    </row>
    <row r="2925" spans="2:7" x14ac:dyDescent="0.3">
      <c r="B2925" s="69"/>
      <c r="C2925" s="55"/>
      <c r="D2925" s="70"/>
      <c r="G2925" s="78"/>
    </row>
    <row r="2926" spans="2:7" x14ac:dyDescent="0.3">
      <c r="B2926" s="69"/>
      <c r="C2926" s="55"/>
      <c r="D2926" s="70"/>
      <c r="G2926" s="78"/>
    </row>
    <row r="2927" spans="2:7" x14ac:dyDescent="0.3">
      <c r="B2927" s="69"/>
      <c r="C2927" s="55"/>
      <c r="D2927" s="70"/>
      <c r="G2927" s="78"/>
    </row>
    <row r="2928" spans="2:7" x14ac:dyDescent="0.3">
      <c r="B2928" s="69"/>
      <c r="C2928" s="55"/>
      <c r="D2928" s="70"/>
      <c r="G2928" s="78"/>
    </row>
    <row r="2929" spans="2:7" x14ac:dyDescent="0.3">
      <c r="B2929" s="69"/>
      <c r="C2929" s="55"/>
      <c r="D2929" s="70"/>
      <c r="G2929" s="78"/>
    </row>
    <row r="2930" spans="2:7" x14ac:dyDescent="0.3">
      <c r="B2930" s="69"/>
      <c r="C2930" s="55"/>
      <c r="D2930" s="70"/>
      <c r="G2930" s="78"/>
    </row>
    <row r="2931" spans="2:7" x14ac:dyDescent="0.3">
      <c r="B2931" s="69"/>
      <c r="C2931" s="55"/>
      <c r="D2931" s="70"/>
      <c r="G2931" s="78"/>
    </row>
    <row r="2932" spans="2:7" x14ac:dyDescent="0.3">
      <c r="B2932" s="69"/>
      <c r="C2932" s="55"/>
      <c r="D2932" s="70"/>
      <c r="G2932" s="78"/>
    </row>
    <row r="2933" spans="2:7" x14ac:dyDescent="0.3">
      <c r="B2933" s="69"/>
      <c r="C2933" s="55"/>
      <c r="D2933" s="70"/>
      <c r="G2933" s="78"/>
    </row>
    <row r="2934" spans="2:7" x14ac:dyDescent="0.3">
      <c r="B2934" s="69"/>
      <c r="C2934" s="55"/>
      <c r="D2934" s="70"/>
      <c r="G2934" s="78"/>
    </row>
    <row r="2935" spans="2:7" x14ac:dyDescent="0.3">
      <c r="B2935" s="69"/>
      <c r="C2935" s="55"/>
      <c r="D2935" s="70"/>
      <c r="G2935" s="78"/>
    </row>
    <row r="2936" spans="2:7" x14ac:dyDescent="0.3">
      <c r="B2936" s="69"/>
      <c r="C2936" s="55"/>
      <c r="D2936" s="70"/>
      <c r="G2936" s="78"/>
    </row>
    <row r="2937" spans="2:7" x14ac:dyDescent="0.3">
      <c r="B2937" s="69"/>
      <c r="C2937" s="55"/>
      <c r="D2937" s="70"/>
      <c r="G2937" s="78"/>
    </row>
    <row r="2938" spans="2:7" x14ac:dyDescent="0.3">
      <c r="B2938" s="69"/>
      <c r="C2938" s="55"/>
      <c r="D2938" s="70"/>
      <c r="G2938" s="78"/>
    </row>
    <row r="2939" spans="2:7" x14ac:dyDescent="0.3">
      <c r="B2939" s="69"/>
      <c r="C2939" s="55"/>
      <c r="D2939" s="70"/>
      <c r="G2939" s="78"/>
    </row>
    <row r="2940" spans="2:7" x14ac:dyDescent="0.3">
      <c r="B2940" s="69"/>
      <c r="C2940" s="55"/>
      <c r="D2940" s="70"/>
      <c r="G2940" s="78"/>
    </row>
    <row r="2941" spans="2:7" x14ac:dyDescent="0.3">
      <c r="B2941" s="69"/>
      <c r="C2941" s="55"/>
      <c r="D2941" s="70"/>
      <c r="G2941" s="78"/>
    </row>
    <row r="2942" spans="2:7" x14ac:dyDescent="0.3">
      <c r="B2942" s="69"/>
      <c r="C2942" s="55"/>
      <c r="D2942" s="70"/>
      <c r="G2942" s="78"/>
    </row>
    <row r="2943" spans="2:7" x14ac:dyDescent="0.3">
      <c r="B2943" s="69"/>
      <c r="C2943" s="55"/>
      <c r="D2943" s="70"/>
      <c r="G2943" s="78"/>
    </row>
    <row r="2944" spans="2:7" x14ac:dyDescent="0.3">
      <c r="B2944" s="69"/>
      <c r="C2944" s="55"/>
      <c r="D2944" s="70"/>
      <c r="G2944" s="78"/>
    </row>
    <row r="2945" spans="2:7" x14ac:dyDescent="0.3">
      <c r="B2945" s="69"/>
      <c r="C2945" s="55"/>
      <c r="D2945" s="70"/>
      <c r="G2945" s="78"/>
    </row>
    <row r="2946" spans="2:7" x14ac:dyDescent="0.3">
      <c r="B2946" s="69"/>
      <c r="C2946" s="55"/>
      <c r="D2946" s="70"/>
      <c r="G2946" s="78"/>
    </row>
    <row r="2947" spans="2:7" x14ac:dyDescent="0.3">
      <c r="B2947" s="69"/>
      <c r="C2947" s="55"/>
      <c r="D2947" s="70"/>
      <c r="G2947" s="78"/>
    </row>
    <row r="2948" spans="2:7" x14ac:dyDescent="0.3">
      <c r="B2948" s="69"/>
      <c r="C2948" s="55"/>
      <c r="D2948" s="70"/>
      <c r="G2948" s="78"/>
    </row>
    <row r="2949" spans="2:7" x14ac:dyDescent="0.3">
      <c r="B2949" s="69"/>
      <c r="C2949" s="55"/>
      <c r="D2949" s="70"/>
      <c r="G2949" s="78"/>
    </row>
    <row r="2950" spans="2:7" x14ac:dyDescent="0.3">
      <c r="B2950" s="69"/>
      <c r="C2950" s="55"/>
      <c r="D2950" s="70"/>
      <c r="G2950" s="78"/>
    </row>
    <row r="2951" spans="2:7" x14ac:dyDescent="0.3">
      <c r="B2951" s="69"/>
      <c r="C2951" s="55"/>
      <c r="D2951" s="70"/>
      <c r="G2951" s="78"/>
    </row>
    <row r="2952" spans="2:7" x14ac:dyDescent="0.3">
      <c r="B2952" s="69"/>
      <c r="C2952" s="55"/>
      <c r="D2952" s="70"/>
      <c r="G2952" s="78"/>
    </row>
    <row r="2953" spans="2:7" x14ac:dyDescent="0.3">
      <c r="B2953" s="69"/>
      <c r="C2953" s="55"/>
      <c r="D2953" s="70"/>
      <c r="G2953" s="78"/>
    </row>
    <row r="2954" spans="2:7" x14ac:dyDescent="0.3">
      <c r="B2954" s="69"/>
      <c r="C2954" s="55"/>
      <c r="D2954" s="70"/>
      <c r="G2954" s="78"/>
    </row>
    <row r="2955" spans="2:7" x14ac:dyDescent="0.3">
      <c r="B2955" s="69"/>
      <c r="C2955" s="55"/>
      <c r="D2955" s="70"/>
      <c r="G2955" s="78"/>
    </row>
    <row r="2956" spans="2:7" x14ac:dyDescent="0.3">
      <c r="B2956" s="69"/>
      <c r="C2956" s="55"/>
      <c r="D2956" s="70"/>
      <c r="G2956" s="78"/>
    </row>
    <row r="2957" spans="2:7" x14ac:dyDescent="0.3">
      <c r="B2957" s="69"/>
      <c r="C2957" s="55"/>
      <c r="D2957" s="70"/>
      <c r="G2957" s="78"/>
    </row>
    <row r="2958" spans="2:7" x14ac:dyDescent="0.3">
      <c r="B2958" s="69"/>
      <c r="C2958" s="55"/>
      <c r="D2958" s="70"/>
      <c r="G2958" s="78"/>
    </row>
    <row r="2959" spans="2:7" x14ac:dyDescent="0.3">
      <c r="B2959" s="69"/>
      <c r="C2959" s="55"/>
      <c r="D2959" s="70"/>
      <c r="G2959" s="78"/>
    </row>
    <row r="2960" spans="2:7" x14ac:dyDescent="0.3">
      <c r="B2960" s="69"/>
      <c r="C2960" s="55"/>
      <c r="D2960" s="70"/>
      <c r="G2960" s="78"/>
    </row>
    <row r="2961" spans="2:7" x14ac:dyDescent="0.3">
      <c r="B2961" s="69"/>
      <c r="C2961" s="55"/>
      <c r="D2961" s="70"/>
      <c r="G2961" s="78"/>
    </row>
    <row r="2962" spans="2:7" x14ac:dyDescent="0.3">
      <c r="B2962" s="69"/>
      <c r="C2962" s="55"/>
      <c r="D2962" s="70"/>
      <c r="G2962" s="78"/>
    </row>
    <row r="2963" spans="2:7" x14ac:dyDescent="0.3">
      <c r="B2963" s="69"/>
      <c r="C2963" s="55"/>
      <c r="D2963" s="70"/>
      <c r="G2963" s="78"/>
    </row>
    <row r="2964" spans="2:7" x14ac:dyDescent="0.3">
      <c r="B2964" s="69"/>
      <c r="C2964" s="55"/>
      <c r="D2964" s="70"/>
      <c r="G2964" s="78"/>
    </row>
    <row r="2965" spans="2:7" x14ac:dyDescent="0.3">
      <c r="B2965" s="69"/>
      <c r="C2965" s="55"/>
      <c r="D2965" s="70"/>
      <c r="G2965" s="78"/>
    </row>
    <row r="2966" spans="2:7" x14ac:dyDescent="0.3">
      <c r="B2966" s="69"/>
      <c r="C2966" s="55"/>
      <c r="D2966" s="70"/>
      <c r="G2966" s="78"/>
    </row>
    <row r="2967" spans="2:7" x14ac:dyDescent="0.3">
      <c r="B2967" s="69"/>
      <c r="C2967" s="55"/>
      <c r="D2967" s="70"/>
      <c r="G2967" s="78"/>
    </row>
    <row r="2968" spans="2:7" x14ac:dyDescent="0.3">
      <c r="B2968" s="69"/>
      <c r="C2968" s="55"/>
      <c r="D2968" s="70"/>
      <c r="G2968" s="78"/>
    </row>
    <row r="2969" spans="2:7" x14ac:dyDescent="0.3">
      <c r="B2969" s="69"/>
      <c r="C2969" s="55"/>
      <c r="D2969" s="70"/>
      <c r="G2969" s="78"/>
    </row>
    <row r="2970" spans="2:7" x14ac:dyDescent="0.3">
      <c r="B2970" s="69"/>
      <c r="C2970" s="55"/>
      <c r="D2970" s="70"/>
      <c r="G2970" s="78"/>
    </row>
    <row r="2971" spans="2:7" x14ac:dyDescent="0.3">
      <c r="B2971" s="69"/>
      <c r="C2971" s="55"/>
      <c r="D2971" s="70"/>
      <c r="G2971" s="78"/>
    </row>
    <row r="2972" spans="2:7" x14ac:dyDescent="0.3">
      <c r="B2972" s="69"/>
      <c r="C2972" s="55"/>
      <c r="D2972" s="70"/>
      <c r="G2972" s="78"/>
    </row>
    <row r="2973" spans="2:7" x14ac:dyDescent="0.3">
      <c r="B2973" s="69"/>
      <c r="C2973" s="55"/>
      <c r="D2973" s="70"/>
      <c r="G2973" s="78"/>
    </row>
    <row r="2974" spans="2:7" x14ac:dyDescent="0.3">
      <c r="B2974" s="69"/>
      <c r="C2974" s="55"/>
      <c r="D2974" s="70"/>
      <c r="G2974" s="78"/>
    </row>
    <row r="2975" spans="2:7" x14ac:dyDescent="0.3">
      <c r="B2975" s="69"/>
      <c r="C2975" s="55"/>
      <c r="D2975" s="70"/>
      <c r="G2975" s="78"/>
    </row>
    <row r="2976" spans="2:7" x14ac:dyDescent="0.3">
      <c r="B2976" s="69"/>
      <c r="C2976" s="55"/>
      <c r="D2976" s="70"/>
      <c r="G2976" s="78"/>
    </row>
    <row r="2977" spans="2:7" x14ac:dyDescent="0.3">
      <c r="B2977" s="69"/>
      <c r="C2977" s="55"/>
      <c r="D2977" s="70"/>
      <c r="G2977" s="78"/>
    </row>
    <row r="2978" spans="2:7" x14ac:dyDescent="0.3">
      <c r="B2978" s="69"/>
      <c r="C2978" s="55"/>
      <c r="D2978" s="70"/>
      <c r="G2978" s="78"/>
    </row>
    <row r="2979" spans="2:7" x14ac:dyDescent="0.3">
      <c r="B2979" s="69"/>
      <c r="C2979" s="55"/>
      <c r="D2979" s="70"/>
      <c r="G2979" s="78"/>
    </row>
    <row r="2980" spans="2:7" x14ac:dyDescent="0.3">
      <c r="B2980" s="69"/>
      <c r="C2980" s="55"/>
      <c r="D2980" s="70"/>
      <c r="G2980" s="78"/>
    </row>
    <row r="2981" spans="2:7" x14ac:dyDescent="0.3">
      <c r="B2981" s="69"/>
      <c r="C2981" s="55"/>
      <c r="D2981" s="70"/>
      <c r="G2981" s="78"/>
    </row>
    <row r="2982" spans="2:7" x14ac:dyDescent="0.3">
      <c r="B2982" s="69"/>
      <c r="C2982" s="55"/>
      <c r="D2982" s="70"/>
      <c r="G2982" s="78"/>
    </row>
    <row r="2983" spans="2:7" x14ac:dyDescent="0.3">
      <c r="B2983" s="69"/>
      <c r="C2983" s="55"/>
      <c r="D2983" s="70"/>
      <c r="G2983" s="78"/>
    </row>
    <row r="2984" spans="2:7" x14ac:dyDescent="0.3">
      <c r="B2984" s="69"/>
      <c r="C2984" s="55"/>
      <c r="D2984" s="70"/>
      <c r="G2984" s="78"/>
    </row>
    <row r="2985" spans="2:7" x14ac:dyDescent="0.3">
      <c r="B2985" s="69"/>
      <c r="C2985" s="55"/>
      <c r="D2985" s="70"/>
      <c r="G2985" s="78"/>
    </row>
    <row r="2986" spans="2:7" x14ac:dyDescent="0.3">
      <c r="B2986" s="69"/>
      <c r="C2986" s="55"/>
      <c r="D2986" s="70"/>
      <c r="G2986" s="78"/>
    </row>
    <row r="2987" spans="2:7" x14ac:dyDescent="0.3">
      <c r="B2987" s="69"/>
      <c r="C2987" s="55"/>
      <c r="D2987" s="70"/>
      <c r="G2987" s="78"/>
    </row>
    <row r="2988" spans="2:7" x14ac:dyDescent="0.3">
      <c r="B2988" s="69"/>
      <c r="C2988" s="55"/>
      <c r="D2988" s="70"/>
      <c r="G2988" s="78"/>
    </row>
    <row r="2989" spans="2:7" x14ac:dyDescent="0.3">
      <c r="B2989" s="69"/>
      <c r="C2989" s="55"/>
      <c r="D2989" s="70"/>
      <c r="G2989" s="78"/>
    </row>
    <row r="2990" spans="2:7" x14ac:dyDescent="0.3">
      <c r="B2990" s="69"/>
      <c r="C2990" s="55"/>
      <c r="D2990" s="70"/>
      <c r="G2990" s="78"/>
    </row>
    <row r="2991" spans="2:7" x14ac:dyDescent="0.3">
      <c r="B2991" s="69"/>
      <c r="C2991" s="55"/>
      <c r="D2991" s="70"/>
      <c r="G2991" s="78"/>
    </row>
    <row r="2992" spans="2:7" x14ac:dyDescent="0.3">
      <c r="B2992" s="69"/>
      <c r="C2992" s="55"/>
      <c r="D2992" s="70"/>
      <c r="G2992" s="78"/>
    </row>
    <row r="2993" spans="2:7" x14ac:dyDescent="0.3">
      <c r="B2993" s="69"/>
      <c r="C2993" s="55"/>
      <c r="D2993" s="70"/>
      <c r="G2993" s="78"/>
    </row>
    <row r="2994" spans="2:7" x14ac:dyDescent="0.3">
      <c r="B2994" s="69"/>
      <c r="C2994" s="55"/>
      <c r="D2994" s="70"/>
      <c r="G2994" s="78"/>
    </row>
    <row r="2995" spans="2:7" x14ac:dyDescent="0.3">
      <c r="B2995" s="69"/>
      <c r="C2995" s="55"/>
      <c r="D2995" s="70"/>
      <c r="G2995" s="78"/>
    </row>
    <row r="2996" spans="2:7" x14ac:dyDescent="0.3">
      <c r="B2996" s="69"/>
      <c r="C2996" s="55"/>
      <c r="D2996" s="70"/>
      <c r="G2996" s="78"/>
    </row>
    <row r="2997" spans="2:7" x14ac:dyDescent="0.3">
      <c r="B2997" s="69"/>
      <c r="C2997" s="55"/>
      <c r="D2997" s="70"/>
      <c r="G2997" s="78"/>
    </row>
    <row r="2998" spans="2:7" x14ac:dyDescent="0.3">
      <c r="B2998" s="69"/>
      <c r="C2998" s="55"/>
      <c r="D2998" s="70"/>
      <c r="G2998" s="78"/>
    </row>
    <row r="2999" spans="2:7" x14ac:dyDescent="0.3">
      <c r="B2999" s="69"/>
      <c r="C2999" s="55"/>
      <c r="D2999" s="70"/>
      <c r="G2999" s="78"/>
    </row>
    <row r="3000" spans="2:7" x14ac:dyDescent="0.3">
      <c r="B3000" s="69"/>
      <c r="C3000" s="55"/>
      <c r="D3000" s="70"/>
      <c r="G3000" s="78"/>
    </row>
    <row r="3001" spans="2:7" x14ac:dyDescent="0.3">
      <c r="B3001" s="69"/>
      <c r="C3001" s="55"/>
      <c r="D3001" s="70"/>
      <c r="G3001" s="78"/>
    </row>
    <row r="3002" spans="2:7" x14ac:dyDescent="0.3">
      <c r="B3002" s="69"/>
      <c r="C3002" s="55"/>
      <c r="D3002" s="70"/>
      <c r="G3002" s="78"/>
    </row>
    <row r="3003" spans="2:7" x14ac:dyDescent="0.3">
      <c r="B3003" s="69"/>
      <c r="C3003" s="55"/>
      <c r="D3003" s="70"/>
      <c r="G3003" s="78"/>
    </row>
    <row r="3004" spans="2:7" x14ac:dyDescent="0.3">
      <c r="B3004" s="69"/>
      <c r="C3004" s="55"/>
      <c r="D3004" s="70"/>
      <c r="G3004" s="78"/>
    </row>
    <row r="3005" spans="2:7" x14ac:dyDescent="0.3">
      <c r="B3005" s="69"/>
      <c r="C3005" s="55"/>
      <c r="D3005" s="70"/>
      <c r="G3005" s="78"/>
    </row>
    <row r="3006" spans="2:7" x14ac:dyDescent="0.3">
      <c r="B3006" s="69"/>
      <c r="C3006" s="55"/>
      <c r="D3006" s="70"/>
      <c r="G3006" s="78"/>
    </row>
    <row r="3007" spans="2:7" x14ac:dyDescent="0.3">
      <c r="B3007" s="69"/>
      <c r="C3007" s="55"/>
      <c r="D3007" s="70"/>
      <c r="G3007" s="78"/>
    </row>
    <row r="3008" spans="2:7" x14ac:dyDescent="0.3">
      <c r="B3008" s="69"/>
      <c r="C3008" s="55"/>
      <c r="D3008" s="70"/>
      <c r="G3008" s="78"/>
    </row>
    <row r="3009" spans="2:7" x14ac:dyDescent="0.3">
      <c r="B3009" s="69"/>
      <c r="C3009" s="55"/>
      <c r="D3009" s="70"/>
      <c r="G3009" s="78"/>
    </row>
    <row r="3010" spans="2:7" x14ac:dyDescent="0.3">
      <c r="B3010" s="69"/>
      <c r="C3010" s="55"/>
      <c r="D3010" s="70"/>
      <c r="G3010" s="78"/>
    </row>
    <row r="3011" spans="2:7" x14ac:dyDescent="0.3">
      <c r="B3011" s="69"/>
      <c r="C3011" s="55"/>
      <c r="D3011" s="70"/>
      <c r="G3011" s="78"/>
    </row>
    <row r="3012" spans="2:7" x14ac:dyDescent="0.3">
      <c r="B3012" s="69"/>
      <c r="C3012" s="55"/>
      <c r="D3012" s="70"/>
      <c r="G3012" s="78"/>
    </row>
    <row r="3013" spans="2:7" x14ac:dyDescent="0.3">
      <c r="B3013" s="69"/>
      <c r="C3013" s="55"/>
      <c r="D3013" s="70"/>
      <c r="G3013" s="78"/>
    </row>
    <row r="3014" spans="2:7" x14ac:dyDescent="0.3">
      <c r="B3014" s="69"/>
      <c r="C3014" s="55"/>
      <c r="D3014" s="70"/>
      <c r="G3014" s="78"/>
    </row>
    <row r="3015" spans="2:7" x14ac:dyDescent="0.3">
      <c r="B3015" s="69"/>
      <c r="C3015" s="55"/>
      <c r="D3015" s="70"/>
      <c r="G3015" s="78"/>
    </row>
    <row r="3016" spans="2:7" x14ac:dyDescent="0.3">
      <c r="B3016" s="69"/>
      <c r="C3016" s="55"/>
      <c r="D3016" s="70"/>
      <c r="G3016" s="78"/>
    </row>
    <row r="3017" spans="2:7" x14ac:dyDescent="0.3">
      <c r="B3017" s="69"/>
      <c r="C3017" s="55"/>
      <c r="D3017" s="70"/>
      <c r="G3017" s="78"/>
    </row>
    <row r="3018" spans="2:7" x14ac:dyDescent="0.3">
      <c r="B3018" s="69"/>
      <c r="C3018" s="55"/>
      <c r="D3018" s="70"/>
      <c r="G3018" s="78"/>
    </row>
    <row r="3019" spans="2:7" x14ac:dyDescent="0.3">
      <c r="B3019" s="69"/>
      <c r="C3019" s="55"/>
      <c r="D3019" s="70"/>
      <c r="G3019" s="78"/>
    </row>
    <row r="3020" spans="2:7" x14ac:dyDescent="0.3">
      <c r="B3020" s="69"/>
      <c r="C3020" s="55"/>
      <c r="D3020" s="70"/>
      <c r="G3020" s="78"/>
    </row>
    <row r="3021" spans="2:7" x14ac:dyDescent="0.3">
      <c r="B3021" s="69"/>
      <c r="C3021" s="55"/>
      <c r="D3021" s="70"/>
      <c r="G3021" s="78"/>
    </row>
    <row r="3022" spans="2:7" x14ac:dyDescent="0.3">
      <c r="B3022" s="69"/>
      <c r="C3022" s="55"/>
      <c r="D3022" s="70"/>
      <c r="G3022" s="78"/>
    </row>
    <row r="3023" spans="2:7" x14ac:dyDescent="0.3">
      <c r="B3023" s="69"/>
      <c r="C3023" s="55"/>
      <c r="D3023" s="70"/>
      <c r="G3023" s="78"/>
    </row>
    <row r="3024" spans="2:7" x14ac:dyDescent="0.3">
      <c r="B3024" s="69"/>
      <c r="C3024" s="55"/>
      <c r="D3024" s="70"/>
      <c r="G3024" s="78"/>
    </row>
    <row r="3025" spans="2:7" x14ac:dyDescent="0.3">
      <c r="B3025" s="69"/>
      <c r="C3025" s="55"/>
      <c r="D3025" s="70"/>
      <c r="G3025" s="78"/>
    </row>
    <row r="3026" spans="2:7" x14ac:dyDescent="0.3">
      <c r="B3026" s="69"/>
      <c r="C3026" s="55"/>
      <c r="D3026" s="70"/>
      <c r="G3026" s="78"/>
    </row>
    <row r="3027" spans="2:7" x14ac:dyDescent="0.3">
      <c r="B3027" s="69"/>
      <c r="C3027" s="55"/>
      <c r="D3027" s="70"/>
      <c r="G3027" s="78"/>
    </row>
    <row r="3028" spans="2:7" x14ac:dyDescent="0.3">
      <c r="B3028" s="69"/>
      <c r="C3028" s="55"/>
      <c r="D3028" s="70"/>
      <c r="G3028" s="78"/>
    </row>
    <row r="3029" spans="2:7" x14ac:dyDescent="0.3">
      <c r="B3029" s="69"/>
      <c r="C3029" s="55"/>
      <c r="D3029" s="70"/>
      <c r="G3029" s="78"/>
    </row>
    <row r="3030" spans="2:7" x14ac:dyDescent="0.3">
      <c r="B3030" s="69"/>
      <c r="C3030" s="55"/>
      <c r="D3030" s="70"/>
      <c r="G3030" s="78"/>
    </row>
    <row r="3031" spans="2:7" x14ac:dyDescent="0.3">
      <c r="B3031" s="69"/>
      <c r="C3031" s="55"/>
      <c r="D3031" s="70"/>
      <c r="G3031" s="78"/>
    </row>
    <row r="3032" spans="2:7" x14ac:dyDescent="0.3">
      <c r="B3032" s="69"/>
      <c r="C3032" s="55"/>
      <c r="D3032" s="70"/>
      <c r="G3032" s="78"/>
    </row>
    <row r="3033" spans="2:7" x14ac:dyDescent="0.3">
      <c r="B3033" s="69"/>
      <c r="C3033" s="55"/>
      <c r="D3033" s="70"/>
      <c r="G3033" s="78"/>
    </row>
    <row r="3034" spans="2:7" x14ac:dyDescent="0.3">
      <c r="B3034" s="69"/>
      <c r="C3034" s="55"/>
      <c r="D3034" s="70"/>
      <c r="G3034" s="78"/>
    </row>
    <row r="3035" spans="2:7" x14ac:dyDescent="0.3">
      <c r="B3035" s="69"/>
      <c r="C3035" s="55"/>
      <c r="D3035" s="70"/>
      <c r="G3035" s="78"/>
    </row>
    <row r="3036" spans="2:7" x14ac:dyDescent="0.3">
      <c r="B3036" s="69"/>
      <c r="C3036" s="55"/>
      <c r="D3036" s="70"/>
      <c r="G3036" s="78"/>
    </row>
    <row r="3037" spans="2:7" x14ac:dyDescent="0.3">
      <c r="B3037" s="69"/>
      <c r="C3037" s="55"/>
      <c r="D3037" s="70"/>
      <c r="G3037" s="78"/>
    </row>
    <row r="3038" spans="2:7" x14ac:dyDescent="0.3">
      <c r="B3038" s="69"/>
      <c r="C3038" s="55"/>
      <c r="D3038" s="70"/>
      <c r="G3038" s="78"/>
    </row>
    <row r="3039" spans="2:7" x14ac:dyDescent="0.3">
      <c r="B3039" s="69"/>
      <c r="C3039" s="55"/>
      <c r="D3039" s="70"/>
      <c r="G3039" s="78"/>
    </row>
    <row r="3040" spans="2:7" x14ac:dyDescent="0.3">
      <c r="B3040" s="69"/>
      <c r="C3040" s="55"/>
      <c r="D3040" s="70"/>
      <c r="G3040" s="78"/>
    </row>
    <row r="3041" spans="2:7" x14ac:dyDescent="0.3">
      <c r="B3041" s="69"/>
      <c r="C3041" s="55"/>
      <c r="D3041" s="70"/>
      <c r="G3041" s="78"/>
    </row>
    <row r="3042" spans="2:7" x14ac:dyDescent="0.3">
      <c r="B3042" s="69"/>
      <c r="C3042" s="55"/>
      <c r="D3042" s="70"/>
      <c r="G3042" s="78"/>
    </row>
    <row r="3043" spans="2:7" x14ac:dyDescent="0.3">
      <c r="B3043" s="69"/>
      <c r="C3043" s="55"/>
      <c r="D3043" s="70"/>
      <c r="G3043" s="78"/>
    </row>
    <row r="3044" spans="2:7" x14ac:dyDescent="0.3">
      <c r="B3044" s="69"/>
      <c r="C3044" s="55"/>
      <c r="D3044" s="70"/>
      <c r="G3044" s="78"/>
    </row>
    <row r="3045" spans="2:7" x14ac:dyDescent="0.3">
      <c r="B3045" s="69"/>
      <c r="C3045" s="55"/>
      <c r="D3045" s="70"/>
      <c r="G3045" s="78"/>
    </row>
    <row r="3046" spans="2:7" x14ac:dyDescent="0.3">
      <c r="B3046" s="69"/>
      <c r="C3046" s="55"/>
      <c r="D3046" s="70"/>
      <c r="G3046" s="78"/>
    </row>
    <row r="3047" spans="2:7" x14ac:dyDescent="0.3">
      <c r="B3047" s="69"/>
      <c r="C3047" s="55"/>
      <c r="D3047" s="70"/>
      <c r="G3047" s="78"/>
    </row>
    <row r="3048" spans="2:7" x14ac:dyDescent="0.3">
      <c r="B3048" s="69"/>
      <c r="C3048" s="55"/>
      <c r="D3048" s="70"/>
      <c r="G3048" s="78"/>
    </row>
    <row r="3049" spans="2:7" x14ac:dyDescent="0.3">
      <c r="B3049" s="69"/>
      <c r="C3049" s="55"/>
      <c r="D3049" s="70"/>
      <c r="G3049" s="78"/>
    </row>
    <row r="3050" spans="2:7" x14ac:dyDescent="0.3">
      <c r="B3050" s="69"/>
      <c r="C3050" s="55"/>
      <c r="D3050" s="70"/>
      <c r="G3050" s="78"/>
    </row>
    <row r="3051" spans="2:7" x14ac:dyDescent="0.3">
      <c r="B3051" s="69"/>
      <c r="C3051" s="55"/>
      <c r="D3051" s="70"/>
      <c r="G3051" s="78"/>
    </row>
    <row r="3052" spans="2:7" x14ac:dyDescent="0.3">
      <c r="B3052" s="69"/>
      <c r="C3052" s="55"/>
      <c r="D3052" s="70"/>
      <c r="G3052" s="78"/>
    </row>
    <row r="3053" spans="2:7" x14ac:dyDescent="0.3">
      <c r="B3053" s="69"/>
      <c r="C3053" s="55"/>
      <c r="D3053" s="70"/>
      <c r="G3053" s="78"/>
    </row>
    <row r="3054" spans="2:7" x14ac:dyDescent="0.3">
      <c r="B3054" s="69"/>
      <c r="C3054" s="55"/>
      <c r="D3054" s="70"/>
      <c r="G3054" s="78"/>
    </row>
    <row r="3055" spans="2:7" x14ac:dyDescent="0.3">
      <c r="B3055" s="69"/>
      <c r="C3055" s="55"/>
      <c r="D3055" s="70"/>
      <c r="G3055" s="78"/>
    </row>
    <row r="3056" spans="2:7" x14ac:dyDescent="0.3">
      <c r="B3056" s="69"/>
      <c r="C3056" s="55"/>
      <c r="D3056" s="70"/>
      <c r="G3056" s="78"/>
    </row>
    <row r="3057" spans="2:7" x14ac:dyDescent="0.3">
      <c r="B3057" s="69"/>
      <c r="C3057" s="55"/>
      <c r="D3057" s="70"/>
      <c r="G3057" s="78"/>
    </row>
    <row r="3058" spans="2:7" x14ac:dyDescent="0.3">
      <c r="B3058" s="69"/>
      <c r="C3058" s="55"/>
      <c r="D3058" s="70"/>
      <c r="G3058" s="78"/>
    </row>
    <row r="3059" spans="2:7" x14ac:dyDescent="0.3">
      <c r="B3059" s="69"/>
      <c r="C3059" s="55"/>
      <c r="D3059" s="70"/>
      <c r="G3059" s="78"/>
    </row>
    <row r="3060" spans="2:7" x14ac:dyDescent="0.3">
      <c r="B3060" s="69"/>
      <c r="C3060" s="55"/>
      <c r="D3060" s="70"/>
      <c r="G3060" s="78"/>
    </row>
    <row r="3061" spans="2:7" x14ac:dyDescent="0.3">
      <c r="B3061" s="69"/>
      <c r="C3061" s="55"/>
      <c r="D3061" s="70"/>
      <c r="G3061" s="78"/>
    </row>
    <row r="3062" spans="2:7" x14ac:dyDescent="0.3">
      <c r="B3062" s="69"/>
      <c r="C3062" s="55"/>
      <c r="D3062" s="70"/>
      <c r="G3062" s="78"/>
    </row>
    <row r="3063" spans="2:7" x14ac:dyDescent="0.3">
      <c r="B3063" s="69"/>
      <c r="C3063" s="55"/>
      <c r="D3063" s="70"/>
      <c r="G3063" s="78"/>
    </row>
    <row r="3064" spans="2:7" x14ac:dyDescent="0.3">
      <c r="B3064" s="69"/>
      <c r="C3064" s="55"/>
      <c r="D3064" s="70"/>
      <c r="G3064" s="78"/>
    </row>
    <row r="3065" spans="2:7" x14ac:dyDescent="0.3">
      <c r="B3065" s="69"/>
      <c r="C3065" s="55"/>
      <c r="D3065" s="70"/>
      <c r="G3065" s="78"/>
    </row>
    <row r="3066" spans="2:7" x14ac:dyDescent="0.3">
      <c r="B3066" s="69"/>
      <c r="C3066" s="55"/>
      <c r="D3066" s="70"/>
      <c r="G3066" s="78"/>
    </row>
    <row r="3067" spans="2:7" x14ac:dyDescent="0.3">
      <c r="B3067" s="69"/>
      <c r="C3067" s="55"/>
      <c r="D3067" s="70"/>
      <c r="G3067" s="78"/>
    </row>
    <row r="3068" spans="2:7" x14ac:dyDescent="0.3">
      <c r="B3068" s="69"/>
      <c r="C3068" s="55"/>
      <c r="D3068" s="70"/>
      <c r="G3068" s="78"/>
    </row>
    <row r="3069" spans="2:7" x14ac:dyDescent="0.3">
      <c r="B3069" s="69"/>
      <c r="C3069" s="55"/>
      <c r="D3069" s="70"/>
      <c r="G3069" s="78"/>
    </row>
    <row r="3070" spans="2:7" x14ac:dyDescent="0.3">
      <c r="B3070" s="69"/>
      <c r="C3070" s="55"/>
      <c r="D3070" s="70"/>
      <c r="G3070" s="78"/>
    </row>
    <row r="3071" spans="2:7" x14ac:dyDescent="0.3">
      <c r="B3071" s="69"/>
      <c r="C3071" s="55"/>
      <c r="D3071" s="70"/>
      <c r="G3071" s="78"/>
    </row>
    <row r="3072" spans="2:7" x14ac:dyDescent="0.3">
      <c r="B3072" s="69"/>
      <c r="C3072" s="55"/>
      <c r="D3072" s="70"/>
      <c r="G3072" s="78"/>
    </row>
    <row r="3073" spans="2:7" x14ac:dyDescent="0.3">
      <c r="B3073" s="69"/>
      <c r="C3073" s="55"/>
      <c r="D3073" s="70"/>
      <c r="G3073" s="78"/>
    </row>
    <row r="3074" spans="2:7" x14ac:dyDescent="0.3">
      <c r="B3074" s="69"/>
      <c r="C3074" s="55"/>
      <c r="D3074" s="70"/>
      <c r="G3074" s="78"/>
    </row>
    <row r="3075" spans="2:7" x14ac:dyDescent="0.3">
      <c r="B3075" s="69"/>
      <c r="C3075" s="55"/>
      <c r="D3075" s="70"/>
      <c r="G3075" s="78"/>
    </row>
    <row r="3076" spans="2:7" x14ac:dyDescent="0.3">
      <c r="B3076" s="69"/>
      <c r="C3076" s="55"/>
      <c r="D3076" s="70"/>
      <c r="G3076" s="78"/>
    </row>
    <row r="3077" spans="2:7" x14ac:dyDescent="0.3">
      <c r="B3077" s="69"/>
      <c r="C3077" s="55"/>
      <c r="D3077" s="70"/>
      <c r="G3077" s="78"/>
    </row>
    <row r="3078" spans="2:7" x14ac:dyDescent="0.3">
      <c r="B3078" s="69"/>
      <c r="C3078" s="55"/>
      <c r="D3078" s="70"/>
      <c r="G3078" s="78"/>
    </row>
    <row r="3079" spans="2:7" x14ac:dyDescent="0.3">
      <c r="B3079" s="69"/>
      <c r="C3079" s="55"/>
      <c r="D3079" s="70"/>
      <c r="G3079" s="78"/>
    </row>
    <row r="3080" spans="2:7" x14ac:dyDescent="0.3">
      <c r="B3080" s="69"/>
      <c r="C3080" s="55"/>
      <c r="D3080" s="70"/>
      <c r="G3080" s="78"/>
    </row>
    <row r="3081" spans="2:7" x14ac:dyDescent="0.3">
      <c r="B3081" s="69"/>
      <c r="C3081" s="55"/>
      <c r="D3081" s="70"/>
      <c r="G3081" s="78"/>
    </row>
    <row r="3082" spans="2:7" x14ac:dyDescent="0.3">
      <c r="B3082" s="69"/>
      <c r="C3082" s="55"/>
      <c r="D3082" s="70"/>
      <c r="G3082" s="78"/>
    </row>
    <row r="3083" spans="2:7" x14ac:dyDescent="0.3">
      <c r="B3083" s="69"/>
      <c r="C3083" s="55"/>
      <c r="D3083" s="70"/>
      <c r="G3083" s="78"/>
    </row>
    <row r="3084" spans="2:7" x14ac:dyDescent="0.3">
      <c r="B3084" s="69"/>
      <c r="C3084" s="55"/>
      <c r="D3084" s="70"/>
      <c r="G3084" s="78"/>
    </row>
    <row r="3085" spans="2:7" x14ac:dyDescent="0.3">
      <c r="B3085" s="69"/>
      <c r="C3085" s="55"/>
      <c r="D3085" s="70"/>
      <c r="G3085" s="78"/>
    </row>
    <row r="3086" spans="2:7" x14ac:dyDescent="0.3">
      <c r="B3086" s="69"/>
      <c r="C3086" s="55"/>
      <c r="D3086" s="70"/>
      <c r="G3086" s="78"/>
    </row>
    <row r="3087" spans="2:7" x14ac:dyDescent="0.3">
      <c r="B3087" s="69"/>
      <c r="C3087" s="55"/>
      <c r="D3087" s="70"/>
      <c r="G3087" s="78"/>
    </row>
    <row r="3088" spans="2:7" x14ac:dyDescent="0.3">
      <c r="B3088" s="69"/>
      <c r="C3088" s="55"/>
      <c r="D3088" s="70"/>
      <c r="G3088" s="78"/>
    </row>
    <row r="3089" spans="2:7" x14ac:dyDescent="0.3">
      <c r="B3089" s="69"/>
      <c r="C3089" s="55"/>
      <c r="D3089" s="70"/>
      <c r="G3089" s="78"/>
    </row>
    <row r="3090" spans="2:7" x14ac:dyDescent="0.3">
      <c r="B3090" s="69"/>
      <c r="C3090" s="55"/>
      <c r="D3090" s="70"/>
      <c r="G3090" s="78"/>
    </row>
    <row r="3091" spans="2:7" x14ac:dyDescent="0.3">
      <c r="B3091" s="69"/>
      <c r="C3091" s="55"/>
      <c r="D3091" s="70"/>
      <c r="G3091" s="78"/>
    </row>
    <row r="3092" spans="2:7" x14ac:dyDescent="0.3">
      <c r="B3092" s="69"/>
      <c r="C3092" s="55"/>
      <c r="D3092" s="70"/>
      <c r="G3092" s="78"/>
    </row>
    <row r="3093" spans="2:7" x14ac:dyDescent="0.3">
      <c r="B3093" s="69"/>
      <c r="C3093" s="55"/>
      <c r="D3093" s="70"/>
      <c r="G3093" s="78"/>
    </row>
    <row r="3094" spans="2:7" x14ac:dyDescent="0.3">
      <c r="B3094" s="69"/>
      <c r="C3094" s="55"/>
      <c r="D3094" s="70"/>
      <c r="G3094" s="78"/>
    </row>
    <row r="3095" spans="2:7" x14ac:dyDescent="0.3">
      <c r="B3095" s="69"/>
      <c r="C3095" s="55"/>
      <c r="D3095" s="70"/>
      <c r="G3095" s="78"/>
    </row>
    <row r="3096" spans="2:7" x14ac:dyDescent="0.3">
      <c r="B3096" s="69"/>
      <c r="C3096" s="55"/>
      <c r="D3096" s="70"/>
      <c r="G3096" s="78"/>
    </row>
    <row r="3097" spans="2:7" x14ac:dyDescent="0.3">
      <c r="B3097" s="69"/>
      <c r="C3097" s="55"/>
      <c r="D3097" s="70"/>
      <c r="G3097" s="78"/>
    </row>
    <row r="3098" spans="2:7" x14ac:dyDescent="0.3">
      <c r="B3098" s="69"/>
      <c r="C3098" s="55"/>
      <c r="D3098" s="70"/>
      <c r="G3098" s="78"/>
    </row>
    <row r="3099" spans="2:7" x14ac:dyDescent="0.3">
      <c r="B3099" s="69"/>
      <c r="C3099" s="55"/>
      <c r="D3099" s="70"/>
      <c r="G3099" s="78"/>
    </row>
    <row r="3100" spans="2:7" x14ac:dyDescent="0.3">
      <c r="B3100" s="69"/>
      <c r="C3100" s="55"/>
      <c r="D3100" s="70"/>
      <c r="G3100" s="78"/>
    </row>
    <row r="3101" spans="2:7" x14ac:dyDescent="0.3">
      <c r="B3101" s="69"/>
      <c r="C3101" s="55"/>
      <c r="D3101" s="70"/>
      <c r="G3101" s="78"/>
    </row>
    <row r="3102" spans="2:7" x14ac:dyDescent="0.3">
      <c r="B3102" s="69"/>
      <c r="C3102" s="55"/>
      <c r="D3102" s="70"/>
      <c r="G3102" s="78"/>
    </row>
    <row r="3103" spans="2:7" x14ac:dyDescent="0.3">
      <c r="B3103" s="69"/>
      <c r="C3103" s="55"/>
      <c r="D3103" s="70"/>
      <c r="G3103" s="78"/>
    </row>
    <row r="3104" spans="2:7" x14ac:dyDescent="0.3">
      <c r="B3104" s="69"/>
      <c r="C3104" s="55"/>
      <c r="D3104" s="70"/>
      <c r="G3104" s="78"/>
    </row>
    <row r="3105" spans="2:7" x14ac:dyDescent="0.3">
      <c r="B3105" s="69"/>
      <c r="C3105" s="55"/>
      <c r="D3105" s="70"/>
      <c r="G3105" s="78"/>
    </row>
    <row r="3106" spans="2:7" x14ac:dyDescent="0.3">
      <c r="B3106" s="69"/>
      <c r="C3106" s="55"/>
      <c r="D3106" s="70"/>
      <c r="G3106" s="78"/>
    </row>
    <row r="3107" spans="2:7" x14ac:dyDescent="0.3">
      <c r="B3107" s="69"/>
      <c r="C3107" s="55"/>
      <c r="D3107" s="70"/>
      <c r="G3107" s="78"/>
    </row>
    <row r="3108" spans="2:7" x14ac:dyDescent="0.3">
      <c r="B3108" s="69"/>
      <c r="C3108" s="55"/>
      <c r="D3108" s="70"/>
      <c r="G3108" s="78"/>
    </row>
    <row r="3109" spans="2:7" x14ac:dyDescent="0.3">
      <c r="B3109" s="69"/>
      <c r="C3109" s="55"/>
      <c r="D3109" s="70"/>
      <c r="G3109" s="78"/>
    </row>
    <row r="3110" spans="2:7" x14ac:dyDescent="0.3">
      <c r="B3110" s="69"/>
      <c r="C3110" s="55"/>
      <c r="D3110" s="70"/>
      <c r="G3110" s="78"/>
    </row>
    <row r="3111" spans="2:7" x14ac:dyDescent="0.3">
      <c r="B3111" s="69"/>
      <c r="C3111" s="55"/>
      <c r="D3111" s="70"/>
      <c r="G3111" s="78"/>
    </row>
    <row r="3112" spans="2:7" x14ac:dyDescent="0.3">
      <c r="B3112" s="69"/>
      <c r="C3112" s="55"/>
      <c r="D3112" s="70"/>
      <c r="G3112" s="78"/>
    </row>
    <row r="3113" spans="2:7" x14ac:dyDescent="0.3">
      <c r="B3113" s="69"/>
      <c r="C3113" s="55"/>
      <c r="D3113" s="70"/>
      <c r="G3113" s="78"/>
    </row>
    <row r="3114" spans="2:7" x14ac:dyDescent="0.3">
      <c r="B3114" s="69"/>
      <c r="C3114" s="55"/>
      <c r="D3114" s="70"/>
      <c r="G3114" s="78"/>
    </row>
    <row r="3115" spans="2:7" x14ac:dyDescent="0.3">
      <c r="B3115" s="69"/>
      <c r="C3115" s="55"/>
      <c r="D3115" s="70"/>
      <c r="G3115" s="78"/>
    </row>
    <row r="3116" spans="2:7" x14ac:dyDescent="0.3">
      <c r="B3116" s="69"/>
      <c r="C3116" s="55"/>
      <c r="D3116" s="70"/>
      <c r="G3116" s="78"/>
    </row>
    <row r="3117" spans="2:7" x14ac:dyDescent="0.3">
      <c r="B3117" s="69"/>
      <c r="C3117" s="55"/>
      <c r="D3117" s="70"/>
      <c r="G3117" s="78"/>
    </row>
    <row r="3118" spans="2:7" x14ac:dyDescent="0.3">
      <c r="B3118" s="69"/>
      <c r="C3118" s="55"/>
      <c r="D3118" s="70"/>
      <c r="G3118" s="78"/>
    </row>
    <row r="3119" spans="2:7" x14ac:dyDescent="0.3">
      <c r="B3119" s="69"/>
      <c r="C3119" s="55"/>
      <c r="D3119" s="70"/>
      <c r="G3119" s="78"/>
    </row>
    <row r="3120" spans="2:7" x14ac:dyDescent="0.3">
      <c r="B3120" s="69"/>
      <c r="C3120" s="55"/>
      <c r="D3120" s="70"/>
      <c r="G3120" s="78"/>
    </row>
    <row r="3121" spans="2:7" x14ac:dyDescent="0.3">
      <c r="B3121" s="69"/>
      <c r="C3121" s="55"/>
      <c r="D3121" s="70"/>
      <c r="G3121" s="78"/>
    </row>
    <row r="3122" spans="2:7" x14ac:dyDescent="0.3">
      <c r="B3122" s="69"/>
      <c r="C3122" s="55"/>
      <c r="D3122" s="70"/>
      <c r="G3122" s="78"/>
    </row>
    <row r="3123" spans="2:7" x14ac:dyDescent="0.3">
      <c r="B3123" s="69"/>
      <c r="C3123" s="55"/>
      <c r="D3123" s="70"/>
      <c r="G3123" s="78"/>
    </row>
    <row r="3124" spans="2:7" x14ac:dyDescent="0.3">
      <c r="B3124" s="69"/>
      <c r="C3124" s="55"/>
      <c r="D3124" s="70"/>
      <c r="G3124" s="78"/>
    </row>
    <row r="3125" spans="2:7" x14ac:dyDescent="0.3">
      <c r="B3125" s="69"/>
      <c r="C3125" s="55"/>
      <c r="D3125" s="70"/>
      <c r="G3125" s="78"/>
    </row>
    <row r="3126" spans="2:7" x14ac:dyDescent="0.3">
      <c r="B3126" s="69"/>
      <c r="C3126" s="55"/>
      <c r="D3126" s="70"/>
      <c r="G3126" s="78"/>
    </row>
    <row r="3127" spans="2:7" x14ac:dyDescent="0.3">
      <c r="B3127" s="69"/>
      <c r="C3127" s="55"/>
      <c r="D3127" s="70"/>
      <c r="G3127" s="78"/>
    </row>
    <row r="3128" spans="2:7" x14ac:dyDescent="0.3">
      <c r="B3128" s="69"/>
      <c r="C3128" s="55"/>
      <c r="D3128" s="70"/>
      <c r="G3128" s="78"/>
    </row>
    <row r="3129" spans="2:7" x14ac:dyDescent="0.3">
      <c r="B3129" s="69"/>
      <c r="C3129" s="55"/>
      <c r="D3129" s="70"/>
      <c r="G3129" s="78"/>
    </row>
    <row r="3130" spans="2:7" x14ac:dyDescent="0.3">
      <c r="B3130" s="69"/>
      <c r="C3130" s="55"/>
      <c r="D3130" s="70"/>
      <c r="G3130" s="78"/>
    </row>
    <row r="3131" spans="2:7" x14ac:dyDescent="0.3">
      <c r="B3131" s="69"/>
      <c r="C3131" s="55"/>
      <c r="D3131" s="70"/>
      <c r="G3131" s="78"/>
    </row>
    <row r="3132" spans="2:7" x14ac:dyDescent="0.3">
      <c r="B3132" s="69"/>
      <c r="C3132" s="55"/>
      <c r="D3132" s="70"/>
      <c r="G3132" s="78"/>
    </row>
    <row r="3133" spans="2:7" x14ac:dyDescent="0.3">
      <c r="B3133" s="69"/>
      <c r="C3133" s="55"/>
      <c r="D3133" s="70"/>
      <c r="G3133" s="78"/>
    </row>
    <row r="3134" spans="2:7" x14ac:dyDescent="0.3">
      <c r="B3134" s="69"/>
      <c r="C3134" s="55"/>
      <c r="D3134" s="70"/>
      <c r="G3134" s="78"/>
    </row>
    <row r="3135" spans="2:7" x14ac:dyDescent="0.3">
      <c r="B3135" s="69"/>
      <c r="C3135" s="55"/>
      <c r="D3135" s="70"/>
      <c r="G3135" s="78"/>
    </row>
    <row r="3136" spans="2:7" x14ac:dyDescent="0.3">
      <c r="B3136" s="69"/>
      <c r="C3136" s="55"/>
      <c r="D3136" s="70"/>
      <c r="G3136" s="78"/>
    </row>
    <row r="3137" spans="2:7" x14ac:dyDescent="0.3">
      <c r="B3137" s="69"/>
      <c r="C3137" s="55"/>
      <c r="D3137" s="70"/>
      <c r="G3137" s="78"/>
    </row>
    <row r="3138" spans="2:7" x14ac:dyDescent="0.3">
      <c r="B3138" s="69"/>
      <c r="C3138" s="55"/>
      <c r="D3138" s="70"/>
      <c r="G3138" s="78"/>
    </row>
    <row r="3139" spans="2:7" x14ac:dyDescent="0.3">
      <c r="B3139" s="69"/>
      <c r="C3139" s="55"/>
      <c r="D3139" s="70"/>
      <c r="G3139" s="78"/>
    </row>
    <row r="3140" spans="2:7" x14ac:dyDescent="0.3">
      <c r="B3140" s="69"/>
      <c r="C3140" s="55"/>
      <c r="D3140" s="70"/>
      <c r="G3140" s="78"/>
    </row>
    <row r="3141" spans="2:7" x14ac:dyDescent="0.3">
      <c r="B3141" s="69"/>
      <c r="C3141" s="55"/>
      <c r="D3141" s="70"/>
      <c r="G3141" s="78"/>
    </row>
    <row r="3142" spans="2:7" x14ac:dyDescent="0.3">
      <c r="B3142" s="69"/>
      <c r="C3142" s="55"/>
      <c r="D3142" s="70"/>
      <c r="G3142" s="78"/>
    </row>
    <row r="3143" spans="2:7" x14ac:dyDescent="0.3">
      <c r="B3143" s="69"/>
      <c r="C3143" s="55"/>
      <c r="D3143" s="70"/>
      <c r="G3143" s="78"/>
    </row>
    <row r="3144" spans="2:7" x14ac:dyDescent="0.3">
      <c r="B3144" s="69"/>
      <c r="C3144" s="55"/>
      <c r="D3144" s="70"/>
      <c r="G3144" s="78"/>
    </row>
    <row r="3145" spans="2:7" x14ac:dyDescent="0.3">
      <c r="B3145" s="69"/>
      <c r="C3145" s="55"/>
      <c r="D3145" s="70"/>
      <c r="G3145" s="78"/>
    </row>
    <row r="3146" spans="2:7" x14ac:dyDescent="0.3">
      <c r="B3146" s="69"/>
      <c r="C3146" s="55"/>
      <c r="D3146" s="70"/>
      <c r="G3146" s="78"/>
    </row>
    <row r="3147" spans="2:7" x14ac:dyDescent="0.3">
      <c r="B3147" s="69"/>
      <c r="C3147" s="55"/>
      <c r="D3147" s="70"/>
      <c r="G3147" s="78"/>
    </row>
    <row r="3148" spans="2:7" x14ac:dyDescent="0.3">
      <c r="B3148" s="69"/>
      <c r="C3148" s="55"/>
      <c r="D3148" s="70"/>
      <c r="G3148" s="78"/>
    </row>
    <row r="3149" spans="2:7" x14ac:dyDescent="0.3">
      <c r="B3149" s="69"/>
      <c r="C3149" s="55"/>
      <c r="D3149" s="70"/>
      <c r="G3149" s="78"/>
    </row>
    <row r="3150" spans="2:7" x14ac:dyDescent="0.3">
      <c r="B3150" s="69"/>
      <c r="C3150" s="55"/>
      <c r="D3150" s="70"/>
      <c r="G3150" s="78"/>
    </row>
    <row r="3151" spans="2:7" x14ac:dyDescent="0.3">
      <c r="B3151" s="69"/>
      <c r="C3151" s="55"/>
      <c r="D3151" s="70"/>
      <c r="G3151" s="78"/>
    </row>
    <row r="3152" spans="2:7" x14ac:dyDescent="0.3">
      <c r="B3152" s="69"/>
      <c r="C3152" s="55"/>
      <c r="D3152" s="70"/>
      <c r="G3152" s="78"/>
    </row>
    <row r="3153" spans="2:7" x14ac:dyDescent="0.3">
      <c r="B3153" s="69"/>
      <c r="C3153" s="55"/>
      <c r="D3153" s="70"/>
      <c r="G3153" s="78"/>
    </row>
    <row r="3154" spans="2:7" x14ac:dyDescent="0.3">
      <c r="B3154" s="69"/>
      <c r="C3154" s="55"/>
      <c r="D3154" s="70"/>
      <c r="G3154" s="78"/>
    </row>
    <row r="3155" spans="2:7" x14ac:dyDescent="0.3">
      <c r="B3155" s="69"/>
      <c r="C3155" s="55"/>
      <c r="D3155" s="70"/>
      <c r="G3155" s="78"/>
    </row>
    <row r="3156" spans="2:7" x14ac:dyDescent="0.3">
      <c r="B3156" s="69"/>
      <c r="C3156" s="55"/>
      <c r="D3156" s="70"/>
      <c r="G3156" s="78"/>
    </row>
    <row r="3157" spans="2:7" x14ac:dyDescent="0.3">
      <c r="B3157" s="69"/>
      <c r="C3157" s="55"/>
      <c r="D3157" s="70"/>
      <c r="G3157" s="78"/>
    </row>
    <row r="3158" spans="2:7" x14ac:dyDescent="0.3">
      <c r="B3158" s="69"/>
      <c r="C3158" s="55"/>
      <c r="D3158" s="70"/>
      <c r="G3158" s="78"/>
    </row>
    <row r="3159" spans="2:7" x14ac:dyDescent="0.3">
      <c r="B3159" s="69"/>
      <c r="C3159" s="55"/>
      <c r="D3159" s="70"/>
      <c r="G3159" s="78"/>
    </row>
    <row r="3160" spans="2:7" x14ac:dyDescent="0.3">
      <c r="B3160" s="69"/>
      <c r="C3160" s="55"/>
      <c r="D3160" s="70"/>
      <c r="G3160" s="78"/>
    </row>
    <row r="3161" spans="2:7" x14ac:dyDescent="0.3">
      <c r="B3161" s="69"/>
      <c r="C3161" s="55"/>
      <c r="D3161" s="70"/>
      <c r="G3161" s="78"/>
    </row>
    <row r="3162" spans="2:7" x14ac:dyDescent="0.3">
      <c r="B3162" s="69"/>
      <c r="C3162" s="55"/>
      <c r="D3162" s="70"/>
      <c r="G3162" s="78"/>
    </row>
    <row r="3163" spans="2:7" x14ac:dyDescent="0.3">
      <c r="B3163" s="69"/>
      <c r="C3163" s="55"/>
      <c r="D3163" s="70"/>
      <c r="G3163" s="78"/>
    </row>
    <row r="3164" spans="2:7" x14ac:dyDescent="0.3">
      <c r="B3164" s="69"/>
      <c r="C3164" s="55"/>
      <c r="D3164" s="70"/>
      <c r="G3164" s="78"/>
    </row>
    <row r="3165" spans="2:7" x14ac:dyDescent="0.3">
      <c r="B3165" s="69"/>
      <c r="C3165" s="55"/>
      <c r="D3165" s="70"/>
      <c r="G3165" s="78"/>
    </row>
    <row r="3166" spans="2:7" x14ac:dyDescent="0.3">
      <c r="B3166" s="69"/>
      <c r="C3166" s="55"/>
      <c r="D3166" s="70"/>
      <c r="G3166" s="78"/>
    </row>
    <row r="3167" spans="2:7" x14ac:dyDescent="0.3">
      <c r="B3167" s="69"/>
      <c r="C3167" s="55"/>
      <c r="D3167" s="70"/>
      <c r="G3167" s="78"/>
    </row>
    <row r="3168" spans="2:7" x14ac:dyDescent="0.3">
      <c r="B3168" s="69"/>
      <c r="C3168" s="55"/>
      <c r="D3168" s="70"/>
      <c r="G3168" s="78"/>
    </row>
    <row r="3169" spans="2:7" x14ac:dyDescent="0.3">
      <c r="B3169" s="69"/>
      <c r="C3169" s="55"/>
      <c r="D3169" s="70"/>
      <c r="G3169" s="78"/>
    </row>
    <row r="3170" spans="2:7" x14ac:dyDescent="0.3">
      <c r="B3170" s="69"/>
      <c r="C3170" s="55"/>
      <c r="D3170" s="70"/>
      <c r="G3170" s="78"/>
    </row>
    <row r="3171" spans="2:7" x14ac:dyDescent="0.3">
      <c r="B3171" s="69"/>
      <c r="C3171" s="55"/>
      <c r="D3171" s="70"/>
      <c r="G3171" s="78"/>
    </row>
    <row r="3172" spans="2:7" x14ac:dyDescent="0.3">
      <c r="B3172" s="69"/>
      <c r="C3172" s="55"/>
      <c r="D3172" s="70"/>
      <c r="G3172" s="78"/>
    </row>
    <row r="3173" spans="2:7" x14ac:dyDescent="0.3">
      <c r="B3173" s="69"/>
      <c r="C3173" s="55"/>
      <c r="D3173" s="70"/>
      <c r="G3173" s="78"/>
    </row>
    <row r="3174" spans="2:7" x14ac:dyDescent="0.3">
      <c r="B3174" s="69"/>
      <c r="C3174" s="55"/>
      <c r="D3174" s="70"/>
      <c r="G3174" s="78"/>
    </row>
    <row r="3175" spans="2:7" x14ac:dyDescent="0.3">
      <c r="B3175" s="69"/>
      <c r="C3175" s="55"/>
      <c r="D3175" s="70"/>
      <c r="G3175" s="78"/>
    </row>
    <row r="3176" spans="2:7" x14ac:dyDescent="0.3">
      <c r="B3176" s="69"/>
      <c r="C3176" s="55"/>
      <c r="D3176" s="70"/>
      <c r="G3176" s="78"/>
    </row>
    <row r="3177" spans="2:7" x14ac:dyDescent="0.3">
      <c r="B3177" s="69"/>
      <c r="C3177" s="55"/>
      <c r="D3177" s="70"/>
      <c r="G3177" s="78"/>
    </row>
    <row r="3178" spans="2:7" x14ac:dyDescent="0.3">
      <c r="B3178" s="69"/>
      <c r="C3178" s="55"/>
      <c r="D3178" s="70"/>
      <c r="G3178" s="78"/>
    </row>
    <row r="3179" spans="2:7" x14ac:dyDescent="0.3">
      <c r="B3179" s="69"/>
      <c r="C3179" s="55"/>
      <c r="D3179" s="70"/>
      <c r="G3179" s="78"/>
    </row>
    <row r="3180" spans="2:7" x14ac:dyDescent="0.3">
      <c r="B3180" s="69"/>
      <c r="C3180" s="55"/>
      <c r="D3180" s="70"/>
      <c r="G3180" s="78"/>
    </row>
    <row r="3181" spans="2:7" x14ac:dyDescent="0.3">
      <c r="B3181" s="69"/>
      <c r="C3181" s="55"/>
      <c r="D3181" s="70"/>
      <c r="G3181" s="78"/>
    </row>
    <row r="3182" spans="2:7" x14ac:dyDescent="0.3">
      <c r="B3182" s="69"/>
      <c r="C3182" s="55"/>
      <c r="D3182" s="70"/>
      <c r="G3182" s="78"/>
    </row>
    <row r="3183" spans="2:7" x14ac:dyDescent="0.3">
      <c r="B3183" s="69"/>
      <c r="C3183" s="55"/>
      <c r="D3183" s="70"/>
      <c r="G3183" s="78"/>
    </row>
    <row r="3184" spans="2:7" x14ac:dyDescent="0.3">
      <c r="B3184" s="69"/>
      <c r="C3184" s="55"/>
      <c r="D3184" s="70"/>
      <c r="G3184" s="78"/>
    </row>
    <row r="3185" spans="2:7" x14ac:dyDescent="0.3">
      <c r="B3185" s="69"/>
      <c r="C3185" s="55"/>
      <c r="D3185" s="70"/>
      <c r="G3185" s="78"/>
    </row>
    <row r="3186" spans="2:7" x14ac:dyDescent="0.3">
      <c r="B3186" s="69"/>
      <c r="C3186" s="55"/>
      <c r="D3186" s="70"/>
      <c r="G3186" s="78"/>
    </row>
    <row r="3187" spans="2:7" x14ac:dyDescent="0.3">
      <c r="B3187" s="69"/>
      <c r="C3187" s="55"/>
      <c r="D3187" s="70"/>
      <c r="G3187" s="78"/>
    </row>
    <row r="3188" spans="2:7" x14ac:dyDescent="0.3">
      <c r="B3188" s="69"/>
      <c r="C3188" s="55"/>
      <c r="D3188" s="70"/>
      <c r="G3188" s="78"/>
    </row>
    <row r="3189" spans="2:7" x14ac:dyDescent="0.3">
      <c r="B3189" s="69"/>
      <c r="C3189" s="55"/>
      <c r="D3189" s="70"/>
      <c r="G3189" s="78"/>
    </row>
    <row r="3190" spans="2:7" x14ac:dyDescent="0.3">
      <c r="B3190" s="69"/>
      <c r="C3190" s="55"/>
      <c r="D3190" s="70"/>
      <c r="G3190" s="78"/>
    </row>
    <row r="3191" spans="2:7" x14ac:dyDescent="0.3">
      <c r="B3191" s="69"/>
      <c r="C3191" s="55"/>
      <c r="D3191" s="70"/>
      <c r="G3191" s="78"/>
    </row>
    <row r="3192" spans="2:7" x14ac:dyDescent="0.3">
      <c r="B3192" s="69"/>
      <c r="C3192" s="55"/>
      <c r="D3192" s="70"/>
      <c r="G3192" s="78"/>
    </row>
    <row r="3193" spans="2:7" x14ac:dyDescent="0.3">
      <c r="B3193" s="69"/>
      <c r="C3193" s="55"/>
      <c r="D3193" s="70"/>
      <c r="G3193" s="78"/>
    </row>
    <row r="3194" spans="2:7" x14ac:dyDescent="0.3">
      <c r="B3194" s="69"/>
      <c r="C3194" s="55"/>
      <c r="D3194" s="70"/>
      <c r="G3194" s="78"/>
    </row>
    <row r="3195" spans="2:7" x14ac:dyDescent="0.3">
      <c r="B3195" s="69"/>
      <c r="C3195" s="55"/>
      <c r="D3195" s="70"/>
      <c r="G3195" s="78"/>
    </row>
    <row r="3196" spans="2:7" x14ac:dyDescent="0.3">
      <c r="B3196" s="69"/>
      <c r="C3196" s="55"/>
      <c r="D3196" s="70"/>
      <c r="G3196" s="78"/>
    </row>
    <row r="3197" spans="2:7" x14ac:dyDescent="0.3">
      <c r="B3197" s="69"/>
      <c r="C3197" s="55"/>
      <c r="D3197" s="70"/>
      <c r="G3197" s="78"/>
    </row>
    <row r="3198" spans="2:7" x14ac:dyDescent="0.3">
      <c r="B3198" s="69"/>
      <c r="C3198" s="55"/>
      <c r="D3198" s="70"/>
      <c r="G3198" s="78"/>
    </row>
    <row r="3199" spans="2:7" x14ac:dyDescent="0.3">
      <c r="B3199" s="69"/>
      <c r="C3199" s="55"/>
      <c r="D3199" s="70"/>
      <c r="G3199" s="78"/>
    </row>
    <row r="3200" spans="2:7" x14ac:dyDescent="0.3">
      <c r="B3200" s="69"/>
      <c r="C3200" s="55"/>
      <c r="D3200" s="70"/>
      <c r="G3200" s="78"/>
    </row>
    <row r="3201" spans="2:7" x14ac:dyDescent="0.3">
      <c r="B3201" s="69"/>
      <c r="C3201" s="55"/>
      <c r="D3201" s="70"/>
      <c r="G3201" s="78"/>
    </row>
    <row r="3202" spans="2:7" x14ac:dyDescent="0.3">
      <c r="B3202" s="69"/>
      <c r="C3202" s="55"/>
      <c r="D3202" s="70"/>
      <c r="G3202" s="78"/>
    </row>
    <row r="3203" spans="2:7" x14ac:dyDescent="0.3">
      <c r="B3203" s="69"/>
      <c r="C3203" s="55"/>
      <c r="D3203" s="70"/>
      <c r="G3203" s="78"/>
    </row>
    <row r="3204" spans="2:7" x14ac:dyDescent="0.3">
      <c r="B3204" s="69"/>
      <c r="C3204" s="55"/>
      <c r="D3204" s="70"/>
      <c r="G3204" s="78"/>
    </row>
    <row r="3205" spans="2:7" x14ac:dyDescent="0.3">
      <c r="B3205" s="69"/>
      <c r="C3205" s="55"/>
      <c r="D3205" s="70"/>
      <c r="G3205" s="78"/>
    </row>
    <row r="3206" spans="2:7" x14ac:dyDescent="0.3">
      <c r="B3206" s="69"/>
      <c r="C3206" s="55"/>
      <c r="D3206" s="70"/>
      <c r="G3206" s="78"/>
    </row>
    <row r="3207" spans="2:7" x14ac:dyDescent="0.3">
      <c r="B3207" s="69"/>
      <c r="C3207" s="55"/>
      <c r="D3207" s="70"/>
      <c r="G3207" s="78"/>
    </row>
    <row r="3208" spans="2:7" x14ac:dyDescent="0.3">
      <c r="B3208" s="69"/>
      <c r="C3208" s="55"/>
      <c r="D3208" s="70"/>
      <c r="G3208" s="78"/>
    </row>
    <row r="3209" spans="2:7" x14ac:dyDescent="0.3">
      <c r="B3209" s="69"/>
      <c r="C3209" s="55"/>
      <c r="D3209" s="70"/>
      <c r="G3209" s="78"/>
    </row>
    <row r="3210" spans="2:7" x14ac:dyDescent="0.3">
      <c r="B3210" s="69"/>
      <c r="C3210" s="55"/>
      <c r="D3210" s="70"/>
      <c r="G3210" s="78"/>
    </row>
    <row r="3211" spans="2:7" x14ac:dyDescent="0.3">
      <c r="B3211" s="69"/>
      <c r="C3211" s="55"/>
      <c r="D3211" s="70"/>
      <c r="G3211" s="78"/>
    </row>
    <row r="3212" spans="2:7" x14ac:dyDescent="0.3">
      <c r="B3212" s="69"/>
      <c r="C3212" s="55"/>
      <c r="D3212" s="70"/>
      <c r="G3212" s="78"/>
    </row>
    <row r="3213" spans="2:7" x14ac:dyDescent="0.3">
      <c r="B3213" s="69"/>
      <c r="C3213" s="55"/>
      <c r="D3213" s="70"/>
      <c r="G3213" s="78"/>
    </row>
    <row r="3214" spans="2:7" x14ac:dyDescent="0.3">
      <c r="B3214" s="69"/>
      <c r="C3214" s="55"/>
      <c r="D3214" s="70"/>
      <c r="G3214" s="78"/>
    </row>
    <row r="3215" spans="2:7" x14ac:dyDescent="0.3">
      <c r="B3215" s="69"/>
      <c r="C3215" s="55"/>
      <c r="D3215" s="70"/>
      <c r="G3215" s="78"/>
    </row>
    <row r="3216" spans="2:7" x14ac:dyDescent="0.3">
      <c r="B3216" s="69"/>
      <c r="C3216" s="55"/>
      <c r="D3216" s="70"/>
      <c r="G3216" s="78"/>
    </row>
    <row r="3217" spans="2:7" x14ac:dyDescent="0.3">
      <c r="B3217" s="69"/>
      <c r="C3217" s="55"/>
      <c r="D3217" s="70"/>
      <c r="G3217" s="78"/>
    </row>
    <row r="3218" spans="2:7" x14ac:dyDescent="0.3">
      <c r="B3218" s="69"/>
      <c r="C3218" s="55"/>
      <c r="D3218" s="70"/>
      <c r="G3218" s="78"/>
    </row>
    <row r="3219" spans="2:7" x14ac:dyDescent="0.3">
      <c r="B3219" s="69"/>
      <c r="C3219" s="55"/>
      <c r="D3219" s="70"/>
      <c r="G3219" s="78"/>
    </row>
    <row r="3220" spans="2:7" x14ac:dyDescent="0.3">
      <c r="B3220" s="69"/>
      <c r="C3220" s="55"/>
      <c r="D3220" s="70"/>
      <c r="G3220" s="78"/>
    </row>
    <row r="3221" spans="2:7" x14ac:dyDescent="0.3">
      <c r="B3221" s="69"/>
      <c r="C3221" s="55"/>
      <c r="D3221" s="70"/>
      <c r="G3221" s="78"/>
    </row>
    <row r="3222" spans="2:7" x14ac:dyDescent="0.3">
      <c r="B3222" s="69"/>
      <c r="C3222" s="55"/>
      <c r="D3222" s="70"/>
      <c r="G3222" s="78"/>
    </row>
    <row r="3223" spans="2:7" x14ac:dyDescent="0.3">
      <c r="B3223" s="69"/>
      <c r="C3223" s="55"/>
      <c r="D3223" s="70"/>
      <c r="G3223" s="78"/>
    </row>
    <row r="3224" spans="2:7" x14ac:dyDescent="0.3">
      <c r="B3224" s="69"/>
      <c r="C3224" s="55"/>
      <c r="D3224" s="70"/>
      <c r="G3224" s="78"/>
    </row>
    <row r="3225" spans="2:7" x14ac:dyDescent="0.3">
      <c r="B3225" s="69"/>
      <c r="C3225" s="55"/>
      <c r="D3225" s="70"/>
      <c r="G3225" s="78"/>
    </row>
    <row r="3226" spans="2:7" x14ac:dyDescent="0.3">
      <c r="B3226" s="69"/>
      <c r="C3226" s="55"/>
      <c r="D3226" s="70"/>
      <c r="G3226" s="78"/>
    </row>
    <row r="3227" spans="2:7" x14ac:dyDescent="0.3">
      <c r="B3227" s="69"/>
      <c r="C3227" s="55"/>
      <c r="D3227" s="70"/>
      <c r="G3227" s="78"/>
    </row>
    <row r="3228" spans="2:7" x14ac:dyDescent="0.3">
      <c r="B3228" s="69"/>
      <c r="C3228" s="55"/>
      <c r="D3228" s="70"/>
      <c r="G3228" s="78"/>
    </row>
    <row r="3229" spans="2:7" x14ac:dyDescent="0.3">
      <c r="B3229" s="69"/>
      <c r="C3229" s="55"/>
      <c r="D3229" s="70"/>
      <c r="G3229" s="78"/>
    </row>
    <row r="3230" spans="2:7" x14ac:dyDescent="0.3">
      <c r="B3230" s="69"/>
      <c r="C3230" s="55"/>
      <c r="D3230" s="70"/>
      <c r="G3230" s="78"/>
    </row>
    <row r="3231" spans="2:7" x14ac:dyDescent="0.3">
      <c r="B3231" s="69"/>
      <c r="C3231" s="55"/>
      <c r="D3231" s="70"/>
      <c r="G3231" s="78"/>
    </row>
    <row r="3232" spans="2:7" x14ac:dyDescent="0.3">
      <c r="B3232" s="69"/>
      <c r="C3232" s="55"/>
      <c r="D3232" s="70"/>
      <c r="G3232" s="78"/>
    </row>
    <row r="3233" spans="2:7" x14ac:dyDescent="0.3">
      <c r="B3233" s="69"/>
      <c r="C3233" s="55"/>
      <c r="D3233" s="70"/>
      <c r="G3233" s="78"/>
    </row>
    <row r="3234" spans="2:7" x14ac:dyDescent="0.3">
      <c r="B3234" s="69"/>
      <c r="C3234" s="55"/>
      <c r="D3234" s="70"/>
      <c r="G3234" s="78"/>
    </row>
    <row r="3235" spans="2:7" x14ac:dyDescent="0.3">
      <c r="B3235" s="69"/>
      <c r="C3235" s="55"/>
      <c r="D3235" s="70"/>
      <c r="G3235" s="78"/>
    </row>
    <row r="3236" spans="2:7" x14ac:dyDescent="0.3">
      <c r="B3236" s="69"/>
      <c r="C3236" s="55"/>
      <c r="D3236" s="70"/>
      <c r="G3236" s="78"/>
    </row>
    <row r="3237" spans="2:7" x14ac:dyDescent="0.3">
      <c r="B3237" s="69"/>
      <c r="C3237" s="55"/>
      <c r="D3237" s="70"/>
      <c r="G3237" s="78"/>
    </row>
    <row r="3238" spans="2:7" x14ac:dyDescent="0.3">
      <c r="B3238" s="69"/>
      <c r="C3238" s="55"/>
      <c r="D3238" s="70"/>
      <c r="G3238" s="78"/>
    </row>
    <row r="3239" spans="2:7" x14ac:dyDescent="0.3">
      <c r="B3239" s="69"/>
      <c r="C3239" s="55"/>
      <c r="D3239" s="70"/>
      <c r="G3239" s="78"/>
    </row>
    <row r="3240" spans="2:7" x14ac:dyDescent="0.3">
      <c r="B3240" s="69"/>
      <c r="C3240" s="55"/>
      <c r="D3240" s="70"/>
      <c r="G3240" s="78"/>
    </row>
    <row r="3241" spans="2:7" x14ac:dyDescent="0.3">
      <c r="B3241" s="69"/>
      <c r="C3241" s="55"/>
      <c r="D3241" s="70"/>
      <c r="G3241" s="78"/>
    </row>
    <row r="3242" spans="2:7" x14ac:dyDescent="0.3">
      <c r="B3242" s="69"/>
      <c r="C3242" s="55"/>
      <c r="D3242" s="70"/>
      <c r="G3242" s="78"/>
    </row>
    <row r="3243" spans="2:7" x14ac:dyDescent="0.3">
      <c r="B3243" s="69"/>
      <c r="C3243" s="55"/>
      <c r="D3243" s="70"/>
      <c r="G3243" s="78"/>
    </row>
    <row r="3244" spans="2:7" x14ac:dyDescent="0.3">
      <c r="B3244" s="69"/>
      <c r="C3244" s="55"/>
      <c r="D3244" s="70"/>
      <c r="G3244" s="78"/>
    </row>
    <row r="3245" spans="2:7" x14ac:dyDescent="0.3">
      <c r="B3245" s="69"/>
      <c r="C3245" s="55"/>
      <c r="D3245" s="70"/>
      <c r="G3245" s="78"/>
    </row>
    <row r="3246" spans="2:7" x14ac:dyDescent="0.3">
      <c r="B3246" s="69"/>
      <c r="C3246" s="55"/>
      <c r="D3246" s="70"/>
      <c r="G3246" s="78"/>
    </row>
    <row r="3247" spans="2:7" x14ac:dyDescent="0.3">
      <c r="B3247" s="69"/>
      <c r="C3247" s="55"/>
      <c r="D3247" s="70"/>
      <c r="G3247" s="78"/>
    </row>
    <row r="3248" spans="2:7" x14ac:dyDescent="0.3">
      <c r="B3248" s="69"/>
      <c r="C3248" s="55"/>
      <c r="D3248" s="70"/>
      <c r="G3248" s="78"/>
    </row>
    <row r="3249" spans="2:7" x14ac:dyDescent="0.3">
      <c r="B3249" s="69"/>
      <c r="C3249" s="55"/>
      <c r="D3249" s="70"/>
      <c r="G3249" s="78"/>
    </row>
    <row r="3250" spans="2:7" x14ac:dyDescent="0.3">
      <c r="B3250" s="69"/>
      <c r="C3250" s="55"/>
      <c r="D3250" s="70"/>
      <c r="G3250" s="78"/>
    </row>
    <row r="3251" spans="2:7" x14ac:dyDescent="0.3">
      <c r="B3251" s="69"/>
      <c r="C3251" s="55"/>
      <c r="D3251" s="70"/>
      <c r="G3251" s="78"/>
    </row>
    <row r="3252" spans="2:7" x14ac:dyDescent="0.3">
      <c r="B3252" s="69"/>
      <c r="C3252" s="55"/>
      <c r="D3252" s="70"/>
      <c r="G3252" s="78"/>
    </row>
    <row r="3253" spans="2:7" x14ac:dyDescent="0.3">
      <c r="B3253" s="69"/>
      <c r="C3253" s="55"/>
      <c r="D3253" s="70"/>
      <c r="G3253" s="78"/>
    </row>
    <row r="3254" spans="2:7" x14ac:dyDescent="0.3">
      <c r="B3254" s="69"/>
      <c r="C3254" s="55"/>
      <c r="D3254" s="70"/>
      <c r="G3254" s="78"/>
    </row>
    <row r="3255" spans="2:7" x14ac:dyDescent="0.3">
      <c r="B3255" s="69"/>
      <c r="C3255" s="55"/>
      <c r="D3255" s="70"/>
      <c r="G3255" s="78"/>
    </row>
    <row r="3256" spans="2:7" x14ac:dyDescent="0.3">
      <c r="B3256" s="69"/>
      <c r="C3256" s="55"/>
      <c r="D3256" s="70"/>
      <c r="G3256" s="78"/>
    </row>
    <row r="3257" spans="2:7" x14ac:dyDescent="0.3">
      <c r="B3257" s="69"/>
      <c r="C3257" s="55"/>
      <c r="D3257" s="70"/>
      <c r="G3257" s="78"/>
    </row>
    <row r="3258" spans="2:7" x14ac:dyDescent="0.3">
      <c r="B3258" s="69"/>
      <c r="C3258" s="55"/>
      <c r="D3258" s="70"/>
      <c r="G3258" s="78"/>
    </row>
    <row r="3259" spans="2:7" x14ac:dyDescent="0.3">
      <c r="B3259" s="69"/>
      <c r="C3259" s="55"/>
      <c r="D3259" s="70"/>
      <c r="G3259" s="78"/>
    </row>
    <row r="3260" spans="2:7" x14ac:dyDescent="0.3">
      <c r="B3260" s="69"/>
      <c r="C3260" s="55"/>
      <c r="D3260" s="70"/>
      <c r="G3260" s="78"/>
    </row>
    <row r="3261" spans="2:7" x14ac:dyDescent="0.3">
      <c r="B3261" s="69"/>
      <c r="C3261" s="55"/>
      <c r="D3261" s="70"/>
      <c r="G3261" s="78"/>
    </row>
    <row r="3262" spans="2:7" x14ac:dyDescent="0.3">
      <c r="B3262" s="69"/>
      <c r="C3262" s="55"/>
      <c r="D3262" s="70"/>
      <c r="G3262" s="78"/>
    </row>
    <row r="3263" spans="2:7" x14ac:dyDescent="0.3">
      <c r="B3263" s="69"/>
      <c r="C3263" s="55"/>
      <c r="D3263" s="70"/>
      <c r="G3263" s="78"/>
    </row>
    <row r="3264" spans="2:7" x14ac:dyDescent="0.3">
      <c r="B3264" s="69"/>
      <c r="C3264" s="55"/>
      <c r="D3264" s="70"/>
      <c r="G3264" s="78"/>
    </row>
    <row r="3265" spans="2:7" x14ac:dyDescent="0.3">
      <c r="B3265" s="69"/>
      <c r="C3265" s="55"/>
      <c r="D3265" s="70"/>
      <c r="G3265" s="78"/>
    </row>
    <row r="3266" spans="2:7" x14ac:dyDescent="0.3">
      <c r="B3266" s="69"/>
      <c r="C3266" s="55"/>
      <c r="D3266" s="70"/>
      <c r="G3266" s="78"/>
    </row>
    <row r="3267" spans="2:7" x14ac:dyDescent="0.3">
      <c r="B3267" s="69"/>
      <c r="C3267" s="55"/>
      <c r="D3267" s="70"/>
      <c r="G3267" s="78"/>
    </row>
    <row r="3268" spans="2:7" x14ac:dyDescent="0.3">
      <c r="B3268" s="69"/>
      <c r="C3268" s="55"/>
      <c r="D3268" s="70"/>
      <c r="G3268" s="78"/>
    </row>
    <row r="3269" spans="2:7" x14ac:dyDescent="0.3">
      <c r="B3269" s="69"/>
      <c r="C3269" s="55"/>
      <c r="D3269" s="70"/>
      <c r="G3269" s="78"/>
    </row>
    <row r="3270" spans="2:7" x14ac:dyDescent="0.3">
      <c r="B3270" s="69"/>
      <c r="C3270" s="55"/>
      <c r="D3270" s="70"/>
      <c r="G3270" s="78"/>
    </row>
    <row r="3271" spans="2:7" x14ac:dyDescent="0.3">
      <c r="B3271" s="69"/>
      <c r="C3271" s="55"/>
      <c r="D3271" s="70"/>
      <c r="G3271" s="78"/>
    </row>
    <row r="3272" spans="2:7" x14ac:dyDescent="0.3">
      <c r="B3272" s="69"/>
      <c r="C3272" s="55"/>
      <c r="D3272" s="70"/>
      <c r="G3272" s="78"/>
    </row>
    <row r="3273" spans="2:7" x14ac:dyDescent="0.3">
      <c r="B3273" s="69"/>
      <c r="C3273" s="55"/>
      <c r="D3273" s="70"/>
      <c r="G3273" s="78"/>
    </row>
    <row r="3274" spans="2:7" x14ac:dyDescent="0.3">
      <c r="B3274" s="69"/>
      <c r="C3274" s="55"/>
      <c r="D3274" s="70"/>
      <c r="G3274" s="78"/>
    </row>
    <row r="3275" spans="2:7" x14ac:dyDescent="0.3">
      <c r="B3275" s="69"/>
      <c r="C3275" s="55"/>
      <c r="D3275" s="70"/>
      <c r="G3275" s="78"/>
    </row>
    <row r="3276" spans="2:7" x14ac:dyDescent="0.3">
      <c r="B3276" s="69"/>
      <c r="C3276" s="55"/>
      <c r="D3276" s="70"/>
      <c r="G3276" s="78"/>
    </row>
    <row r="3277" spans="2:7" x14ac:dyDescent="0.3">
      <c r="B3277" s="69"/>
      <c r="C3277" s="55"/>
      <c r="D3277" s="70"/>
      <c r="G3277" s="78"/>
    </row>
    <row r="3278" spans="2:7" x14ac:dyDescent="0.3">
      <c r="B3278" s="69"/>
      <c r="C3278" s="55"/>
      <c r="D3278" s="70"/>
      <c r="G3278" s="78"/>
    </row>
    <row r="3279" spans="2:7" x14ac:dyDescent="0.3">
      <c r="B3279" s="69"/>
      <c r="C3279" s="55"/>
      <c r="D3279" s="70"/>
      <c r="G3279" s="78"/>
    </row>
    <row r="3280" spans="2:7" x14ac:dyDescent="0.3">
      <c r="B3280" s="69"/>
      <c r="C3280" s="55"/>
      <c r="D3280" s="70"/>
      <c r="G3280" s="78"/>
    </row>
    <row r="3281" spans="2:7" x14ac:dyDescent="0.3">
      <c r="B3281" s="69"/>
      <c r="C3281" s="55"/>
      <c r="D3281" s="70"/>
      <c r="G3281" s="78"/>
    </row>
    <row r="3282" spans="2:7" x14ac:dyDescent="0.3">
      <c r="B3282" s="69"/>
      <c r="C3282" s="55"/>
      <c r="D3282" s="70"/>
      <c r="G3282" s="78"/>
    </row>
    <row r="3283" spans="2:7" x14ac:dyDescent="0.3">
      <c r="B3283" s="69"/>
      <c r="C3283" s="55"/>
      <c r="D3283" s="70"/>
      <c r="G3283" s="78"/>
    </row>
    <row r="3284" spans="2:7" x14ac:dyDescent="0.3">
      <c r="B3284" s="69"/>
      <c r="C3284" s="55"/>
      <c r="D3284" s="70"/>
      <c r="G3284" s="78"/>
    </row>
    <row r="3285" spans="2:7" x14ac:dyDescent="0.3">
      <c r="B3285" s="69"/>
      <c r="C3285" s="55"/>
      <c r="D3285" s="70"/>
      <c r="G3285" s="78"/>
    </row>
    <row r="3286" spans="2:7" x14ac:dyDescent="0.3">
      <c r="B3286" s="69"/>
      <c r="C3286" s="55"/>
      <c r="D3286" s="70"/>
      <c r="G3286" s="78"/>
    </row>
    <row r="3287" spans="2:7" x14ac:dyDescent="0.3">
      <c r="B3287" s="69"/>
      <c r="C3287" s="55"/>
      <c r="D3287" s="70"/>
      <c r="G3287" s="78"/>
    </row>
    <row r="3288" spans="2:7" x14ac:dyDescent="0.3">
      <c r="B3288" s="69"/>
      <c r="C3288" s="55"/>
      <c r="D3288" s="70"/>
      <c r="G3288" s="78"/>
    </row>
    <row r="3289" spans="2:7" x14ac:dyDescent="0.3">
      <c r="B3289" s="69"/>
      <c r="C3289" s="55"/>
      <c r="D3289" s="70"/>
      <c r="G3289" s="78"/>
    </row>
    <row r="3290" spans="2:7" x14ac:dyDescent="0.3">
      <c r="B3290" s="69"/>
      <c r="C3290" s="55"/>
      <c r="D3290" s="70"/>
      <c r="G3290" s="78"/>
    </row>
    <row r="3291" spans="2:7" x14ac:dyDescent="0.3">
      <c r="B3291" s="69"/>
      <c r="C3291" s="55"/>
      <c r="D3291" s="70"/>
      <c r="G3291" s="78"/>
    </row>
    <row r="3292" spans="2:7" x14ac:dyDescent="0.3">
      <c r="B3292" s="69"/>
      <c r="C3292" s="55"/>
      <c r="D3292" s="70"/>
      <c r="G3292" s="78"/>
    </row>
    <row r="3293" spans="2:7" x14ac:dyDescent="0.3">
      <c r="B3293" s="69"/>
      <c r="C3293" s="55"/>
      <c r="D3293" s="70"/>
      <c r="G3293" s="78"/>
    </row>
    <row r="3294" spans="2:7" x14ac:dyDescent="0.3">
      <c r="B3294" s="69"/>
      <c r="C3294" s="55"/>
      <c r="D3294" s="70"/>
      <c r="G3294" s="78"/>
    </row>
    <row r="3295" spans="2:7" x14ac:dyDescent="0.3">
      <c r="B3295" s="69"/>
      <c r="C3295" s="55"/>
      <c r="D3295" s="70"/>
      <c r="G3295" s="78"/>
    </row>
    <row r="3296" spans="2:7" x14ac:dyDescent="0.3">
      <c r="B3296" s="69"/>
      <c r="C3296" s="55"/>
      <c r="D3296" s="70"/>
      <c r="G3296" s="78"/>
    </row>
    <row r="3297" spans="2:7" x14ac:dyDescent="0.3">
      <c r="B3297" s="69"/>
      <c r="C3297" s="55"/>
      <c r="D3297" s="70"/>
      <c r="G3297" s="78"/>
    </row>
    <row r="3298" spans="2:7" x14ac:dyDescent="0.3">
      <c r="B3298" s="69"/>
      <c r="C3298" s="55"/>
      <c r="D3298" s="70"/>
      <c r="G3298" s="78"/>
    </row>
    <row r="3299" spans="2:7" x14ac:dyDescent="0.3">
      <c r="B3299" s="69"/>
      <c r="C3299" s="55"/>
      <c r="D3299" s="70"/>
      <c r="G3299" s="78"/>
    </row>
    <row r="3300" spans="2:7" x14ac:dyDescent="0.3">
      <c r="B3300" s="69"/>
      <c r="C3300" s="55"/>
      <c r="D3300" s="70"/>
      <c r="G3300" s="78"/>
    </row>
    <row r="3301" spans="2:7" x14ac:dyDescent="0.3">
      <c r="B3301" s="69"/>
      <c r="C3301" s="55"/>
      <c r="D3301" s="70"/>
      <c r="G3301" s="78"/>
    </row>
    <row r="3302" spans="2:7" x14ac:dyDescent="0.3">
      <c r="B3302" s="69"/>
      <c r="C3302" s="55"/>
      <c r="D3302" s="70"/>
      <c r="G3302" s="78"/>
    </row>
    <row r="3303" spans="2:7" x14ac:dyDescent="0.3">
      <c r="B3303" s="69"/>
      <c r="C3303" s="55"/>
      <c r="D3303" s="70"/>
      <c r="G3303" s="78"/>
    </row>
    <row r="3304" spans="2:7" x14ac:dyDescent="0.3">
      <c r="B3304" s="69"/>
      <c r="C3304" s="55"/>
      <c r="D3304" s="70"/>
      <c r="G3304" s="78"/>
    </row>
    <row r="3305" spans="2:7" x14ac:dyDescent="0.3">
      <c r="B3305" s="69"/>
      <c r="C3305" s="55"/>
      <c r="D3305" s="70"/>
      <c r="G3305" s="78"/>
    </row>
    <row r="3306" spans="2:7" x14ac:dyDescent="0.3">
      <c r="B3306" s="69"/>
      <c r="C3306" s="55"/>
      <c r="D3306" s="70"/>
      <c r="G3306" s="78"/>
    </row>
    <row r="3307" spans="2:7" x14ac:dyDescent="0.3">
      <c r="B3307" s="69"/>
      <c r="C3307" s="55"/>
      <c r="D3307" s="70"/>
      <c r="G3307" s="78"/>
    </row>
    <row r="3308" spans="2:7" x14ac:dyDescent="0.3">
      <c r="B3308" s="69"/>
      <c r="C3308" s="55"/>
      <c r="D3308" s="70"/>
      <c r="G3308" s="78"/>
    </row>
    <row r="3309" spans="2:7" x14ac:dyDescent="0.3">
      <c r="B3309" s="69"/>
      <c r="C3309" s="55"/>
      <c r="D3309" s="70"/>
      <c r="G3309" s="78"/>
    </row>
    <row r="3310" spans="2:7" x14ac:dyDescent="0.3">
      <c r="B3310" s="69"/>
      <c r="C3310" s="55"/>
      <c r="D3310" s="70"/>
      <c r="G3310" s="78"/>
    </row>
    <row r="3311" spans="2:7" x14ac:dyDescent="0.3">
      <c r="B3311" s="69"/>
      <c r="C3311" s="55"/>
      <c r="D3311" s="70"/>
      <c r="G3311" s="78"/>
    </row>
    <row r="3312" spans="2:7" x14ac:dyDescent="0.3">
      <c r="B3312" s="69"/>
      <c r="C3312" s="55"/>
      <c r="D3312" s="70"/>
      <c r="G3312" s="78"/>
    </row>
    <row r="3313" spans="2:7" x14ac:dyDescent="0.3">
      <c r="B3313" s="69"/>
      <c r="C3313" s="55"/>
      <c r="D3313" s="70"/>
      <c r="G3313" s="78"/>
    </row>
    <row r="3314" spans="2:7" x14ac:dyDescent="0.3">
      <c r="B3314" s="69"/>
      <c r="C3314" s="55"/>
      <c r="D3314" s="70"/>
      <c r="G3314" s="78"/>
    </row>
    <row r="3315" spans="2:7" x14ac:dyDescent="0.3">
      <c r="B3315" s="69"/>
      <c r="C3315" s="55"/>
      <c r="D3315" s="70"/>
      <c r="G3315" s="78"/>
    </row>
    <row r="3316" spans="2:7" x14ac:dyDescent="0.3">
      <c r="B3316" s="69"/>
      <c r="C3316" s="55"/>
      <c r="D3316" s="70"/>
      <c r="G3316" s="78"/>
    </row>
    <row r="3317" spans="2:7" x14ac:dyDescent="0.3">
      <c r="B3317" s="69"/>
      <c r="C3317" s="55"/>
      <c r="D3317" s="70"/>
      <c r="G3317" s="78"/>
    </row>
    <row r="3318" spans="2:7" x14ac:dyDescent="0.3">
      <c r="B3318" s="69"/>
      <c r="C3318" s="55"/>
      <c r="D3318" s="70"/>
      <c r="G3318" s="78"/>
    </row>
    <row r="3319" spans="2:7" x14ac:dyDescent="0.3">
      <c r="B3319" s="69"/>
      <c r="C3319" s="55"/>
      <c r="D3319" s="70"/>
      <c r="G3319" s="78"/>
    </row>
    <row r="3320" spans="2:7" x14ac:dyDescent="0.3">
      <c r="B3320" s="69"/>
      <c r="C3320" s="55"/>
      <c r="D3320" s="70"/>
      <c r="G3320" s="78"/>
    </row>
    <row r="3321" spans="2:7" x14ac:dyDescent="0.3">
      <c r="B3321" s="69"/>
      <c r="C3321" s="55"/>
      <c r="D3321" s="70"/>
      <c r="G3321" s="78"/>
    </row>
    <row r="3322" spans="2:7" x14ac:dyDescent="0.3">
      <c r="B3322" s="69"/>
      <c r="C3322" s="55"/>
      <c r="D3322" s="70"/>
      <c r="G3322" s="78"/>
    </row>
    <row r="3323" spans="2:7" x14ac:dyDescent="0.3">
      <c r="B3323" s="69"/>
      <c r="C3323" s="55"/>
      <c r="D3323" s="70"/>
      <c r="G3323" s="78"/>
    </row>
    <row r="3324" spans="2:7" x14ac:dyDescent="0.3">
      <c r="B3324" s="69"/>
      <c r="C3324" s="55"/>
      <c r="D3324" s="70"/>
      <c r="G3324" s="78"/>
    </row>
    <row r="3325" spans="2:7" x14ac:dyDescent="0.3">
      <c r="B3325" s="69"/>
      <c r="C3325" s="55"/>
      <c r="D3325" s="70"/>
      <c r="G3325" s="78"/>
    </row>
    <row r="3326" spans="2:7" x14ac:dyDescent="0.3">
      <c r="B3326" s="69"/>
      <c r="C3326" s="55"/>
      <c r="D3326" s="70"/>
      <c r="G3326" s="78"/>
    </row>
    <row r="3327" spans="2:7" x14ac:dyDescent="0.3">
      <c r="B3327" s="69"/>
      <c r="C3327" s="55"/>
      <c r="D3327" s="70"/>
      <c r="G3327" s="78"/>
    </row>
    <row r="3328" spans="2:7" x14ac:dyDescent="0.3">
      <c r="B3328" s="69"/>
      <c r="C3328" s="55"/>
      <c r="D3328" s="70"/>
      <c r="G3328" s="78"/>
    </row>
    <row r="3329" spans="2:7" x14ac:dyDescent="0.3">
      <c r="B3329" s="69"/>
      <c r="C3329" s="55"/>
      <c r="D3329" s="70"/>
      <c r="G3329" s="78"/>
    </row>
    <row r="3330" spans="2:7" x14ac:dyDescent="0.3">
      <c r="B3330" s="69"/>
      <c r="C3330" s="55"/>
      <c r="D3330" s="70"/>
      <c r="G3330" s="78"/>
    </row>
    <row r="3331" spans="2:7" x14ac:dyDescent="0.3">
      <c r="B3331" s="69"/>
      <c r="C3331" s="55"/>
      <c r="D3331" s="70"/>
      <c r="G3331" s="78"/>
    </row>
    <row r="3332" spans="2:7" x14ac:dyDescent="0.3">
      <c r="B3332" s="69"/>
      <c r="C3332" s="55"/>
      <c r="D3332" s="70"/>
      <c r="G3332" s="78"/>
    </row>
    <row r="3333" spans="2:7" x14ac:dyDescent="0.3">
      <c r="B3333" s="69"/>
      <c r="C3333" s="55"/>
      <c r="D3333" s="70"/>
      <c r="G3333" s="78"/>
    </row>
    <row r="3334" spans="2:7" x14ac:dyDescent="0.3">
      <c r="B3334" s="69"/>
      <c r="C3334" s="55"/>
      <c r="D3334" s="70"/>
      <c r="G3334" s="78"/>
    </row>
    <row r="3335" spans="2:7" x14ac:dyDescent="0.3">
      <c r="B3335" s="69"/>
      <c r="C3335" s="55"/>
      <c r="D3335" s="70"/>
      <c r="G3335" s="78"/>
    </row>
    <row r="3336" spans="2:7" x14ac:dyDescent="0.3">
      <c r="B3336" s="69"/>
      <c r="C3336" s="55"/>
      <c r="D3336" s="70"/>
      <c r="G3336" s="78"/>
    </row>
    <row r="3337" spans="2:7" x14ac:dyDescent="0.3">
      <c r="B3337" s="69"/>
      <c r="C3337" s="55"/>
      <c r="D3337" s="70"/>
      <c r="G3337" s="78"/>
    </row>
    <row r="3338" spans="2:7" x14ac:dyDescent="0.3">
      <c r="B3338" s="69"/>
      <c r="C3338" s="55"/>
      <c r="D3338" s="70"/>
      <c r="G3338" s="78"/>
    </row>
    <row r="3339" spans="2:7" x14ac:dyDescent="0.3">
      <c r="B3339" s="69"/>
      <c r="C3339" s="55"/>
      <c r="D3339" s="70"/>
      <c r="G3339" s="78"/>
    </row>
    <row r="3340" spans="2:7" x14ac:dyDescent="0.3">
      <c r="B3340" s="69"/>
      <c r="C3340" s="55"/>
      <c r="D3340" s="70"/>
      <c r="G3340" s="78"/>
    </row>
    <row r="3341" spans="2:7" x14ac:dyDescent="0.3">
      <c r="B3341" s="69"/>
      <c r="C3341" s="55"/>
      <c r="D3341" s="70"/>
      <c r="G3341" s="78"/>
    </row>
    <row r="3342" spans="2:7" x14ac:dyDescent="0.3">
      <c r="B3342" s="69"/>
      <c r="C3342" s="55"/>
      <c r="D3342" s="70"/>
      <c r="G3342" s="78"/>
    </row>
    <row r="3343" spans="2:7" x14ac:dyDescent="0.3">
      <c r="B3343" s="69"/>
      <c r="C3343" s="55"/>
      <c r="D3343" s="70"/>
      <c r="G3343" s="78"/>
    </row>
    <row r="3344" spans="2:7" x14ac:dyDescent="0.3">
      <c r="B3344" s="69"/>
      <c r="C3344" s="55"/>
      <c r="D3344" s="70"/>
      <c r="G3344" s="78"/>
    </row>
    <row r="3345" spans="2:7" x14ac:dyDescent="0.3">
      <c r="B3345" s="69"/>
      <c r="C3345" s="55"/>
      <c r="D3345" s="70"/>
      <c r="G3345" s="78"/>
    </row>
    <row r="3346" spans="2:7" x14ac:dyDescent="0.3">
      <c r="B3346" s="69"/>
      <c r="C3346" s="55"/>
      <c r="D3346" s="70"/>
      <c r="G3346" s="78"/>
    </row>
    <row r="3347" spans="2:7" x14ac:dyDescent="0.3">
      <c r="B3347" s="69"/>
      <c r="C3347" s="55"/>
      <c r="D3347" s="70"/>
      <c r="G3347" s="78"/>
    </row>
    <row r="3348" spans="2:7" x14ac:dyDescent="0.3">
      <c r="B3348" s="69"/>
      <c r="C3348" s="55"/>
      <c r="D3348" s="70"/>
      <c r="G3348" s="78"/>
    </row>
    <row r="3349" spans="2:7" x14ac:dyDescent="0.3">
      <c r="B3349" s="69"/>
      <c r="C3349" s="55"/>
      <c r="D3349" s="70"/>
      <c r="G3349" s="78"/>
    </row>
    <row r="3350" spans="2:7" x14ac:dyDescent="0.3">
      <c r="B3350" s="69"/>
      <c r="C3350" s="55"/>
      <c r="D3350" s="70"/>
      <c r="G3350" s="78"/>
    </row>
    <row r="3351" spans="2:7" x14ac:dyDescent="0.3">
      <c r="B3351" s="69"/>
      <c r="C3351" s="55"/>
      <c r="D3351" s="70"/>
      <c r="G3351" s="78"/>
    </row>
    <row r="3352" spans="2:7" x14ac:dyDescent="0.3">
      <c r="B3352" s="69"/>
      <c r="C3352" s="55"/>
      <c r="D3352" s="70"/>
      <c r="G3352" s="78"/>
    </row>
    <row r="3353" spans="2:7" x14ac:dyDescent="0.3">
      <c r="B3353" s="69"/>
      <c r="C3353" s="55"/>
      <c r="D3353" s="70"/>
      <c r="G3353" s="78"/>
    </row>
    <row r="3354" spans="2:7" x14ac:dyDescent="0.3">
      <c r="B3354" s="69"/>
      <c r="C3354" s="55"/>
      <c r="D3354" s="70"/>
      <c r="G3354" s="78"/>
    </row>
    <row r="3355" spans="2:7" x14ac:dyDescent="0.3">
      <c r="B3355" s="69"/>
      <c r="C3355" s="55"/>
      <c r="D3355" s="70"/>
      <c r="G3355" s="78"/>
    </row>
    <row r="3356" spans="2:7" x14ac:dyDescent="0.3">
      <c r="B3356" s="69"/>
      <c r="C3356" s="55"/>
      <c r="D3356" s="70"/>
      <c r="G3356" s="78"/>
    </row>
    <row r="3357" spans="2:7" x14ac:dyDescent="0.3">
      <c r="B3357" s="69"/>
      <c r="C3357" s="55"/>
      <c r="D3357" s="70"/>
      <c r="G3357" s="78"/>
    </row>
    <row r="3358" spans="2:7" x14ac:dyDescent="0.3">
      <c r="B3358" s="69"/>
      <c r="C3358" s="55"/>
      <c r="D3358" s="70"/>
      <c r="G3358" s="78"/>
    </row>
    <row r="3359" spans="2:7" x14ac:dyDescent="0.3">
      <c r="B3359" s="69"/>
      <c r="C3359" s="55"/>
      <c r="D3359" s="70"/>
      <c r="G3359" s="78"/>
    </row>
    <row r="3360" spans="2:7" x14ac:dyDescent="0.3">
      <c r="B3360" s="69"/>
      <c r="C3360" s="55"/>
      <c r="D3360" s="70"/>
      <c r="G3360" s="78"/>
    </row>
    <row r="3361" spans="2:7" x14ac:dyDescent="0.3">
      <c r="B3361" s="69"/>
      <c r="C3361" s="55"/>
      <c r="D3361" s="70"/>
      <c r="G3361" s="78"/>
    </row>
    <row r="3362" spans="2:7" x14ac:dyDescent="0.3">
      <c r="B3362" s="69"/>
      <c r="C3362" s="55"/>
      <c r="D3362" s="70"/>
      <c r="G3362" s="78"/>
    </row>
    <row r="3363" spans="2:7" x14ac:dyDescent="0.3">
      <c r="B3363" s="69"/>
      <c r="C3363" s="55"/>
      <c r="D3363" s="70"/>
      <c r="G3363" s="78"/>
    </row>
    <row r="3364" spans="2:7" x14ac:dyDescent="0.3">
      <c r="B3364" s="69"/>
      <c r="C3364" s="55"/>
      <c r="D3364" s="70"/>
      <c r="G3364" s="78"/>
    </row>
    <row r="3365" spans="2:7" x14ac:dyDescent="0.3">
      <c r="B3365" s="69"/>
      <c r="C3365" s="55"/>
      <c r="D3365" s="70"/>
      <c r="G3365" s="78"/>
    </row>
    <row r="3366" spans="2:7" x14ac:dyDescent="0.3">
      <c r="B3366" s="69"/>
      <c r="C3366" s="55"/>
      <c r="D3366" s="70"/>
      <c r="G3366" s="78"/>
    </row>
    <row r="3367" spans="2:7" x14ac:dyDescent="0.3">
      <c r="B3367" s="69"/>
      <c r="C3367" s="55"/>
      <c r="D3367" s="70"/>
      <c r="G3367" s="78"/>
    </row>
    <row r="3368" spans="2:7" x14ac:dyDescent="0.3">
      <c r="B3368" s="69"/>
      <c r="C3368" s="55"/>
      <c r="D3368" s="70"/>
      <c r="G3368" s="78"/>
    </row>
    <row r="3369" spans="2:7" x14ac:dyDescent="0.3">
      <c r="B3369" s="69"/>
      <c r="C3369" s="55"/>
      <c r="D3369" s="70"/>
      <c r="G3369" s="78"/>
    </row>
    <row r="3370" spans="2:7" x14ac:dyDescent="0.3">
      <c r="B3370" s="69"/>
      <c r="C3370" s="55"/>
      <c r="D3370" s="70"/>
      <c r="G3370" s="78"/>
    </row>
    <row r="3371" spans="2:7" x14ac:dyDescent="0.3">
      <c r="B3371" s="69"/>
      <c r="C3371" s="55"/>
      <c r="D3371" s="70"/>
      <c r="G3371" s="78"/>
    </row>
    <row r="3372" spans="2:7" x14ac:dyDescent="0.3">
      <c r="B3372" s="69"/>
      <c r="C3372" s="55"/>
      <c r="D3372" s="70"/>
      <c r="G3372" s="78"/>
    </row>
    <row r="3373" spans="2:7" x14ac:dyDescent="0.3">
      <c r="B3373" s="69"/>
      <c r="C3373" s="55"/>
      <c r="D3373" s="70"/>
      <c r="G3373" s="78"/>
    </row>
    <row r="3374" spans="2:7" x14ac:dyDescent="0.3">
      <c r="B3374" s="69"/>
      <c r="C3374" s="55"/>
      <c r="D3374" s="70"/>
      <c r="G3374" s="78"/>
    </row>
    <row r="3375" spans="2:7" x14ac:dyDescent="0.3">
      <c r="B3375" s="69"/>
      <c r="C3375" s="55"/>
      <c r="D3375" s="70"/>
      <c r="G3375" s="78"/>
    </row>
    <row r="3376" spans="2:7" x14ac:dyDescent="0.3">
      <c r="B3376" s="69"/>
      <c r="C3376" s="55"/>
      <c r="D3376" s="70"/>
      <c r="G3376" s="78"/>
    </row>
    <row r="3377" spans="2:7" x14ac:dyDescent="0.3">
      <c r="B3377" s="69"/>
      <c r="C3377" s="55"/>
      <c r="D3377" s="70"/>
      <c r="G3377" s="78"/>
    </row>
    <row r="3378" spans="2:7" x14ac:dyDescent="0.3">
      <c r="B3378" s="69"/>
      <c r="C3378" s="55"/>
      <c r="D3378" s="70"/>
      <c r="G3378" s="78"/>
    </row>
    <row r="3379" spans="2:7" x14ac:dyDescent="0.3">
      <c r="B3379" s="69"/>
      <c r="C3379" s="55"/>
      <c r="D3379" s="70"/>
      <c r="G3379" s="78"/>
    </row>
    <row r="3380" spans="2:7" x14ac:dyDescent="0.3">
      <c r="B3380" s="69"/>
      <c r="C3380" s="55"/>
      <c r="D3380" s="70"/>
      <c r="G3380" s="78"/>
    </row>
    <row r="3381" spans="2:7" x14ac:dyDescent="0.3">
      <c r="B3381" s="69"/>
      <c r="C3381" s="55"/>
      <c r="D3381" s="70"/>
      <c r="G3381" s="78"/>
    </row>
    <row r="3382" spans="2:7" x14ac:dyDescent="0.3">
      <c r="B3382" s="69"/>
      <c r="C3382" s="55"/>
      <c r="D3382" s="70"/>
      <c r="G3382" s="78"/>
    </row>
    <row r="3383" spans="2:7" x14ac:dyDescent="0.3">
      <c r="B3383" s="69"/>
      <c r="C3383" s="55"/>
      <c r="D3383" s="70"/>
      <c r="G3383" s="78"/>
    </row>
    <row r="3384" spans="2:7" x14ac:dyDescent="0.3">
      <c r="B3384" s="69"/>
      <c r="C3384" s="55"/>
      <c r="D3384" s="70"/>
      <c r="G3384" s="78"/>
    </row>
    <row r="3385" spans="2:7" x14ac:dyDescent="0.3">
      <c r="B3385" s="69"/>
      <c r="C3385" s="55"/>
      <c r="D3385" s="70"/>
      <c r="G3385" s="78"/>
    </row>
    <row r="3386" spans="2:7" x14ac:dyDescent="0.3">
      <c r="B3386" s="69"/>
      <c r="C3386" s="55"/>
      <c r="D3386" s="70"/>
      <c r="G3386" s="78"/>
    </row>
    <row r="3387" spans="2:7" x14ac:dyDescent="0.3">
      <c r="B3387" s="69"/>
      <c r="C3387" s="55"/>
      <c r="D3387" s="70"/>
      <c r="G3387" s="78"/>
    </row>
    <row r="3388" spans="2:7" x14ac:dyDescent="0.3">
      <c r="B3388" s="69"/>
      <c r="C3388" s="55"/>
      <c r="D3388" s="70"/>
      <c r="G3388" s="78"/>
    </row>
    <row r="3389" spans="2:7" x14ac:dyDescent="0.3">
      <c r="B3389" s="69"/>
      <c r="C3389" s="55"/>
      <c r="D3389" s="70"/>
      <c r="G3389" s="78"/>
    </row>
    <row r="3390" spans="2:7" x14ac:dyDescent="0.3">
      <c r="B3390" s="69"/>
      <c r="C3390" s="55"/>
      <c r="D3390" s="70"/>
      <c r="G3390" s="78"/>
    </row>
    <row r="3391" spans="2:7" x14ac:dyDescent="0.3">
      <c r="B3391" s="69"/>
      <c r="C3391" s="55"/>
      <c r="D3391" s="70"/>
      <c r="G3391" s="78"/>
    </row>
    <row r="3392" spans="2:7" x14ac:dyDescent="0.3">
      <c r="B3392" s="69"/>
      <c r="C3392" s="55"/>
      <c r="D3392" s="70"/>
      <c r="G3392" s="78"/>
    </row>
    <row r="3393" spans="2:7" x14ac:dyDescent="0.3">
      <c r="B3393" s="69"/>
      <c r="C3393" s="55"/>
      <c r="D3393" s="70"/>
      <c r="G3393" s="78"/>
    </row>
    <row r="3394" spans="2:7" x14ac:dyDescent="0.3">
      <c r="B3394" s="69"/>
      <c r="C3394" s="55"/>
      <c r="D3394" s="70"/>
      <c r="G3394" s="78"/>
    </row>
    <row r="3395" spans="2:7" x14ac:dyDescent="0.3">
      <c r="B3395" s="69"/>
      <c r="C3395" s="55"/>
      <c r="D3395" s="70"/>
      <c r="G3395" s="78"/>
    </row>
    <row r="3396" spans="2:7" x14ac:dyDescent="0.3">
      <c r="B3396" s="69"/>
      <c r="C3396" s="55"/>
      <c r="D3396" s="70"/>
      <c r="G3396" s="78"/>
    </row>
    <row r="3397" spans="2:7" x14ac:dyDescent="0.3">
      <c r="B3397" s="69"/>
      <c r="C3397" s="55"/>
      <c r="D3397" s="70"/>
      <c r="G3397" s="78"/>
    </row>
    <row r="3398" spans="2:7" x14ac:dyDescent="0.3">
      <c r="B3398" s="69"/>
      <c r="C3398" s="55"/>
      <c r="D3398" s="70"/>
      <c r="G3398" s="78"/>
    </row>
    <row r="3399" spans="2:7" x14ac:dyDescent="0.3">
      <c r="B3399" s="69"/>
      <c r="C3399" s="55"/>
      <c r="D3399" s="70"/>
      <c r="G3399" s="78"/>
    </row>
    <row r="3400" spans="2:7" x14ac:dyDescent="0.3">
      <c r="B3400" s="69"/>
      <c r="C3400" s="55"/>
      <c r="D3400" s="70"/>
      <c r="G3400" s="78"/>
    </row>
    <row r="3401" spans="2:7" x14ac:dyDescent="0.3">
      <c r="B3401" s="69"/>
      <c r="C3401" s="55"/>
      <c r="D3401" s="70"/>
      <c r="G3401" s="78"/>
    </row>
    <row r="3402" spans="2:7" x14ac:dyDescent="0.3">
      <c r="B3402" s="69"/>
      <c r="C3402" s="55"/>
      <c r="D3402" s="70"/>
      <c r="G3402" s="78"/>
    </row>
    <row r="3403" spans="2:7" x14ac:dyDescent="0.3">
      <c r="B3403" s="69"/>
      <c r="C3403" s="55"/>
      <c r="D3403" s="70"/>
      <c r="G3403" s="78"/>
    </row>
    <row r="3404" spans="2:7" x14ac:dyDescent="0.3">
      <c r="B3404" s="69"/>
      <c r="C3404" s="55"/>
      <c r="D3404" s="70"/>
      <c r="G3404" s="78"/>
    </row>
    <row r="3405" spans="2:7" x14ac:dyDescent="0.3">
      <c r="B3405" s="69"/>
      <c r="C3405" s="55"/>
      <c r="D3405" s="70"/>
      <c r="G3405" s="78"/>
    </row>
    <row r="3406" spans="2:7" x14ac:dyDescent="0.3">
      <c r="B3406" s="69"/>
      <c r="C3406" s="55"/>
      <c r="D3406" s="70"/>
      <c r="G3406" s="78"/>
    </row>
    <row r="3407" spans="2:7" x14ac:dyDescent="0.3">
      <c r="B3407" s="69"/>
      <c r="C3407" s="55"/>
      <c r="D3407" s="70"/>
      <c r="G3407" s="78"/>
    </row>
    <row r="3408" spans="2:7" x14ac:dyDescent="0.3">
      <c r="B3408" s="69"/>
      <c r="C3408" s="55"/>
      <c r="D3408" s="70"/>
      <c r="G3408" s="78"/>
    </row>
    <row r="3409" spans="2:7" x14ac:dyDescent="0.3">
      <c r="B3409" s="69"/>
      <c r="C3409" s="55"/>
      <c r="D3409" s="70"/>
      <c r="G3409" s="78"/>
    </row>
    <row r="3410" spans="2:7" x14ac:dyDescent="0.3">
      <c r="B3410" s="69"/>
      <c r="C3410" s="55"/>
      <c r="D3410" s="70"/>
      <c r="G3410" s="78"/>
    </row>
    <row r="3411" spans="2:7" x14ac:dyDescent="0.3">
      <c r="B3411" s="69"/>
      <c r="C3411" s="55"/>
      <c r="D3411" s="70"/>
      <c r="G3411" s="78"/>
    </row>
    <row r="3412" spans="2:7" x14ac:dyDescent="0.3">
      <c r="B3412" s="69"/>
      <c r="C3412" s="55"/>
      <c r="D3412" s="70"/>
      <c r="G3412" s="78"/>
    </row>
    <row r="3413" spans="2:7" x14ac:dyDescent="0.3">
      <c r="B3413" s="69"/>
      <c r="C3413" s="55"/>
      <c r="D3413" s="70"/>
      <c r="G3413" s="78"/>
    </row>
    <row r="3414" spans="2:7" x14ac:dyDescent="0.3">
      <c r="B3414" s="69"/>
      <c r="C3414" s="55"/>
      <c r="D3414" s="70"/>
      <c r="G3414" s="78"/>
    </row>
    <row r="3415" spans="2:7" x14ac:dyDescent="0.3">
      <c r="B3415" s="69"/>
      <c r="C3415" s="55"/>
      <c r="D3415" s="70"/>
      <c r="G3415" s="78"/>
    </row>
    <row r="3416" spans="2:7" x14ac:dyDescent="0.3">
      <c r="B3416" s="69"/>
      <c r="C3416" s="55"/>
      <c r="D3416" s="70"/>
      <c r="G3416" s="78"/>
    </row>
    <row r="3417" spans="2:7" x14ac:dyDescent="0.3">
      <c r="B3417" s="69"/>
      <c r="C3417" s="55"/>
      <c r="D3417" s="70"/>
      <c r="G3417" s="78"/>
    </row>
    <row r="3418" spans="2:7" x14ac:dyDescent="0.3">
      <c r="B3418" s="69"/>
      <c r="C3418" s="55"/>
      <c r="D3418" s="70"/>
      <c r="G3418" s="78"/>
    </row>
    <row r="3419" spans="2:7" x14ac:dyDescent="0.3">
      <c r="B3419" s="69"/>
      <c r="C3419" s="55"/>
      <c r="D3419" s="70"/>
      <c r="G3419" s="78"/>
    </row>
    <row r="3420" spans="2:7" x14ac:dyDescent="0.3">
      <c r="B3420" s="69"/>
      <c r="C3420" s="55"/>
      <c r="D3420" s="70"/>
      <c r="G3420" s="78"/>
    </row>
    <row r="3421" spans="2:7" x14ac:dyDescent="0.3">
      <c r="B3421" s="69"/>
      <c r="C3421" s="55"/>
      <c r="D3421" s="70"/>
      <c r="G3421" s="78"/>
    </row>
    <row r="3422" spans="2:7" x14ac:dyDescent="0.3">
      <c r="B3422" s="69"/>
      <c r="C3422" s="55"/>
      <c r="D3422" s="70"/>
      <c r="G3422" s="78"/>
    </row>
    <row r="3423" spans="2:7" x14ac:dyDescent="0.3">
      <c r="B3423" s="69"/>
      <c r="C3423" s="55"/>
      <c r="D3423" s="70"/>
      <c r="G3423" s="78"/>
    </row>
    <row r="3424" spans="2:7" x14ac:dyDescent="0.3">
      <c r="B3424" s="69"/>
      <c r="C3424" s="55"/>
      <c r="D3424" s="70"/>
      <c r="G3424" s="78"/>
    </row>
    <row r="3425" spans="2:7" x14ac:dyDescent="0.3">
      <c r="B3425" s="69"/>
      <c r="C3425" s="55"/>
      <c r="D3425" s="70"/>
      <c r="G3425" s="78"/>
    </row>
    <row r="3426" spans="2:7" x14ac:dyDescent="0.3">
      <c r="B3426" s="69"/>
      <c r="C3426" s="55"/>
      <c r="D3426" s="70"/>
      <c r="G3426" s="78"/>
    </row>
    <row r="3427" spans="2:7" x14ac:dyDescent="0.3">
      <c r="B3427" s="69"/>
      <c r="C3427" s="55"/>
      <c r="D3427" s="70"/>
      <c r="G3427" s="78"/>
    </row>
    <row r="3428" spans="2:7" x14ac:dyDescent="0.3">
      <c r="B3428" s="69"/>
      <c r="C3428" s="55"/>
      <c r="D3428" s="70"/>
      <c r="G3428" s="78"/>
    </row>
    <row r="3429" spans="2:7" x14ac:dyDescent="0.3">
      <c r="B3429" s="69"/>
      <c r="C3429" s="55"/>
      <c r="D3429" s="70"/>
      <c r="G3429" s="78"/>
    </row>
    <row r="3430" spans="2:7" x14ac:dyDescent="0.3">
      <c r="B3430" s="69"/>
      <c r="C3430" s="55"/>
      <c r="D3430" s="70"/>
      <c r="G3430" s="78"/>
    </row>
    <row r="3431" spans="2:7" x14ac:dyDescent="0.3">
      <c r="B3431" s="69"/>
      <c r="C3431" s="55"/>
      <c r="D3431" s="70"/>
      <c r="G3431" s="78"/>
    </row>
    <row r="3432" spans="2:7" x14ac:dyDescent="0.3">
      <c r="B3432" s="69"/>
      <c r="C3432" s="55"/>
      <c r="D3432" s="70"/>
      <c r="G3432" s="78"/>
    </row>
    <row r="3433" spans="2:7" x14ac:dyDescent="0.3">
      <c r="B3433" s="69"/>
      <c r="C3433" s="55"/>
      <c r="D3433" s="70"/>
      <c r="G3433" s="78"/>
    </row>
    <row r="3434" spans="2:7" x14ac:dyDescent="0.3">
      <c r="B3434" s="69"/>
      <c r="C3434" s="55"/>
      <c r="D3434" s="70"/>
      <c r="G3434" s="78"/>
    </row>
    <row r="3435" spans="2:7" x14ac:dyDescent="0.3">
      <c r="B3435" s="69"/>
      <c r="C3435" s="55"/>
      <c r="D3435" s="70"/>
      <c r="G3435" s="78"/>
    </row>
    <row r="3436" spans="2:7" x14ac:dyDescent="0.3">
      <c r="B3436" s="69"/>
      <c r="C3436" s="55"/>
      <c r="D3436" s="70"/>
      <c r="G3436" s="78"/>
    </row>
    <row r="3437" spans="2:7" x14ac:dyDescent="0.3">
      <c r="B3437" s="69"/>
      <c r="C3437" s="55"/>
      <c r="D3437" s="70"/>
      <c r="G3437" s="78"/>
    </row>
    <row r="3438" spans="2:7" x14ac:dyDescent="0.3">
      <c r="B3438" s="69"/>
      <c r="C3438" s="55"/>
      <c r="D3438" s="70"/>
      <c r="G3438" s="78"/>
    </row>
    <row r="3439" spans="2:7" x14ac:dyDescent="0.3">
      <c r="B3439" s="69"/>
      <c r="C3439" s="55"/>
      <c r="D3439" s="70"/>
      <c r="G3439" s="78"/>
    </row>
    <row r="3440" spans="2:7" x14ac:dyDescent="0.3">
      <c r="B3440" s="69"/>
      <c r="C3440" s="55"/>
      <c r="D3440" s="70"/>
      <c r="G3440" s="78"/>
    </row>
    <row r="3441" spans="2:7" x14ac:dyDescent="0.3">
      <c r="B3441" s="69"/>
      <c r="C3441" s="55"/>
      <c r="D3441" s="70"/>
      <c r="G3441" s="78"/>
    </row>
    <row r="3442" spans="2:7" x14ac:dyDescent="0.3">
      <c r="B3442" s="69"/>
      <c r="C3442" s="55"/>
      <c r="D3442" s="70"/>
      <c r="G3442" s="78"/>
    </row>
    <row r="3443" spans="2:7" x14ac:dyDescent="0.3">
      <c r="B3443" s="69"/>
      <c r="C3443" s="55"/>
      <c r="D3443" s="70"/>
      <c r="G3443" s="78"/>
    </row>
    <row r="3444" spans="2:7" x14ac:dyDescent="0.3">
      <c r="B3444" s="69"/>
      <c r="C3444" s="55"/>
      <c r="D3444" s="70"/>
      <c r="G3444" s="78"/>
    </row>
    <row r="3445" spans="2:7" x14ac:dyDescent="0.3">
      <c r="B3445" s="69"/>
      <c r="C3445" s="55"/>
      <c r="D3445" s="70"/>
      <c r="G3445" s="78"/>
    </row>
    <row r="3446" spans="2:7" x14ac:dyDescent="0.3">
      <c r="B3446" s="69"/>
      <c r="C3446" s="55"/>
      <c r="D3446" s="70"/>
      <c r="G3446" s="78"/>
    </row>
    <row r="3447" spans="2:7" x14ac:dyDescent="0.3">
      <c r="B3447" s="69"/>
      <c r="C3447" s="55"/>
      <c r="D3447" s="70"/>
      <c r="G3447" s="78"/>
    </row>
    <row r="3448" spans="2:7" x14ac:dyDescent="0.3">
      <c r="B3448" s="69"/>
      <c r="C3448" s="55"/>
      <c r="D3448" s="70"/>
      <c r="G3448" s="78"/>
    </row>
    <row r="3449" spans="2:7" x14ac:dyDescent="0.3">
      <c r="B3449" s="69"/>
      <c r="C3449" s="55"/>
      <c r="D3449" s="70"/>
      <c r="G3449" s="78"/>
    </row>
    <row r="3450" spans="2:7" x14ac:dyDescent="0.3">
      <c r="B3450" s="69"/>
      <c r="C3450" s="55"/>
      <c r="D3450" s="70"/>
      <c r="G3450" s="78"/>
    </row>
    <row r="3451" spans="2:7" x14ac:dyDescent="0.3">
      <c r="B3451" s="69"/>
      <c r="C3451" s="55"/>
      <c r="D3451" s="70"/>
      <c r="G3451" s="78"/>
    </row>
    <row r="3452" spans="2:7" x14ac:dyDescent="0.3">
      <c r="B3452" s="69"/>
      <c r="C3452" s="55"/>
      <c r="D3452" s="70"/>
      <c r="G3452" s="78"/>
    </row>
    <row r="3453" spans="2:7" x14ac:dyDescent="0.3">
      <c r="B3453" s="69"/>
      <c r="C3453" s="55"/>
      <c r="D3453" s="70"/>
      <c r="G3453" s="78"/>
    </row>
    <row r="3454" spans="2:7" x14ac:dyDescent="0.3">
      <c r="B3454" s="69"/>
      <c r="C3454" s="55"/>
      <c r="D3454" s="70"/>
      <c r="G3454" s="78"/>
    </row>
    <row r="3455" spans="2:7" x14ac:dyDescent="0.3">
      <c r="B3455" s="69"/>
      <c r="C3455" s="55"/>
      <c r="D3455" s="70"/>
      <c r="G3455" s="78"/>
    </row>
    <row r="3456" spans="2:7" x14ac:dyDescent="0.3">
      <c r="B3456" s="69"/>
      <c r="C3456" s="55"/>
      <c r="D3456" s="70"/>
      <c r="G3456" s="78"/>
    </row>
    <row r="3457" spans="2:7" x14ac:dyDescent="0.3">
      <c r="B3457" s="69"/>
      <c r="C3457" s="55"/>
      <c r="D3457" s="70"/>
      <c r="G3457" s="78"/>
    </row>
    <row r="3458" spans="2:7" x14ac:dyDescent="0.3">
      <c r="B3458" s="69"/>
      <c r="C3458" s="55"/>
      <c r="D3458" s="70"/>
      <c r="G3458" s="78"/>
    </row>
    <row r="3459" spans="2:7" x14ac:dyDescent="0.3">
      <c r="B3459" s="69"/>
      <c r="C3459" s="55"/>
      <c r="D3459" s="70"/>
      <c r="G3459" s="78"/>
    </row>
    <row r="3460" spans="2:7" x14ac:dyDescent="0.3">
      <c r="B3460" s="69"/>
      <c r="C3460" s="55"/>
      <c r="D3460" s="70"/>
      <c r="G3460" s="78"/>
    </row>
    <row r="3461" spans="2:7" x14ac:dyDescent="0.3">
      <c r="B3461" s="69"/>
      <c r="C3461" s="55"/>
      <c r="D3461" s="70"/>
      <c r="G3461" s="78"/>
    </row>
    <row r="3462" spans="2:7" x14ac:dyDescent="0.3">
      <c r="B3462" s="69"/>
      <c r="C3462" s="55"/>
      <c r="D3462" s="70"/>
      <c r="G3462" s="78"/>
    </row>
    <row r="3463" spans="2:7" x14ac:dyDescent="0.3">
      <c r="B3463" s="69"/>
      <c r="C3463" s="55"/>
      <c r="D3463" s="70"/>
      <c r="G3463" s="78"/>
    </row>
    <row r="3464" spans="2:7" x14ac:dyDescent="0.3">
      <c r="B3464" s="69"/>
      <c r="C3464" s="55"/>
      <c r="D3464" s="70"/>
      <c r="G3464" s="78"/>
    </row>
    <row r="3465" spans="2:7" x14ac:dyDescent="0.3">
      <c r="B3465" s="69"/>
      <c r="C3465" s="55"/>
      <c r="D3465" s="70"/>
      <c r="G3465" s="78"/>
    </row>
    <row r="3466" spans="2:7" x14ac:dyDescent="0.3">
      <c r="B3466" s="69"/>
      <c r="C3466" s="55"/>
      <c r="D3466" s="70"/>
      <c r="G3466" s="78"/>
    </row>
    <row r="3467" spans="2:7" x14ac:dyDescent="0.3">
      <c r="B3467" s="69"/>
      <c r="C3467" s="55"/>
      <c r="D3467" s="70"/>
      <c r="G3467" s="78"/>
    </row>
    <row r="3468" spans="2:7" x14ac:dyDescent="0.3">
      <c r="B3468" s="69"/>
      <c r="C3468" s="55"/>
      <c r="D3468" s="70"/>
      <c r="G3468" s="78"/>
    </row>
    <row r="3469" spans="2:7" x14ac:dyDescent="0.3">
      <c r="B3469" s="69"/>
      <c r="C3469" s="55"/>
      <c r="D3469" s="70"/>
      <c r="G3469" s="78"/>
    </row>
    <row r="3470" spans="2:7" x14ac:dyDescent="0.3">
      <c r="B3470" s="69"/>
      <c r="C3470" s="55"/>
      <c r="D3470" s="70"/>
      <c r="G3470" s="78"/>
    </row>
    <row r="3471" spans="2:7" x14ac:dyDescent="0.3">
      <c r="B3471" s="69"/>
      <c r="C3471" s="55"/>
      <c r="D3471" s="70"/>
      <c r="G3471" s="78"/>
    </row>
    <row r="3472" spans="2:7" x14ac:dyDescent="0.3">
      <c r="B3472" s="69"/>
      <c r="C3472" s="55"/>
      <c r="D3472" s="70"/>
      <c r="G3472" s="78"/>
    </row>
    <row r="3473" spans="2:7" x14ac:dyDescent="0.3">
      <c r="B3473" s="69"/>
      <c r="C3473" s="55"/>
      <c r="D3473" s="70"/>
      <c r="G3473" s="78"/>
    </row>
    <row r="3474" spans="2:7" x14ac:dyDescent="0.3">
      <c r="B3474" s="69"/>
      <c r="C3474" s="55"/>
      <c r="D3474" s="70"/>
      <c r="G3474" s="78"/>
    </row>
    <row r="3475" spans="2:7" x14ac:dyDescent="0.3">
      <c r="B3475" s="69"/>
      <c r="C3475" s="55"/>
      <c r="D3475" s="70"/>
      <c r="G3475" s="78"/>
    </row>
    <row r="3476" spans="2:7" x14ac:dyDescent="0.3">
      <c r="B3476" s="69"/>
      <c r="C3476" s="55"/>
      <c r="D3476" s="70"/>
      <c r="G3476" s="78"/>
    </row>
    <row r="3477" spans="2:7" x14ac:dyDescent="0.3">
      <c r="B3477" s="69"/>
      <c r="C3477" s="55"/>
      <c r="D3477" s="70"/>
      <c r="G3477" s="78"/>
    </row>
    <row r="3478" spans="2:7" x14ac:dyDescent="0.3">
      <c r="B3478" s="69"/>
      <c r="C3478" s="55"/>
      <c r="D3478" s="70"/>
      <c r="G3478" s="78"/>
    </row>
    <row r="3479" spans="2:7" x14ac:dyDescent="0.3">
      <c r="B3479" s="69"/>
      <c r="C3479" s="55"/>
      <c r="D3479" s="70"/>
      <c r="G3479" s="78"/>
    </row>
    <row r="3480" spans="2:7" x14ac:dyDescent="0.3">
      <c r="B3480" s="69"/>
      <c r="C3480" s="55"/>
      <c r="D3480" s="70"/>
      <c r="G3480" s="78"/>
    </row>
    <row r="3481" spans="2:7" x14ac:dyDescent="0.3">
      <c r="B3481" s="69"/>
      <c r="C3481" s="55"/>
      <c r="D3481" s="70"/>
      <c r="G3481" s="78"/>
    </row>
    <row r="3482" spans="2:7" x14ac:dyDescent="0.3">
      <c r="B3482" s="69"/>
      <c r="C3482" s="55"/>
      <c r="D3482" s="70"/>
      <c r="G3482" s="78"/>
    </row>
    <row r="3483" spans="2:7" x14ac:dyDescent="0.3">
      <c r="B3483" s="69"/>
      <c r="C3483" s="55"/>
      <c r="D3483" s="70"/>
      <c r="G3483" s="78"/>
    </row>
    <row r="3484" spans="2:7" x14ac:dyDescent="0.3">
      <c r="B3484" s="69"/>
      <c r="C3484" s="55"/>
      <c r="D3484" s="70"/>
      <c r="G3484" s="78"/>
    </row>
    <row r="3485" spans="2:7" x14ac:dyDescent="0.3">
      <c r="B3485" s="69"/>
      <c r="C3485" s="55"/>
      <c r="D3485" s="70"/>
      <c r="G3485" s="78"/>
    </row>
    <row r="3486" spans="2:7" x14ac:dyDescent="0.3">
      <c r="B3486" s="69"/>
      <c r="C3486" s="55"/>
      <c r="D3486" s="70"/>
      <c r="G3486" s="78"/>
    </row>
    <row r="3487" spans="2:7" x14ac:dyDescent="0.3">
      <c r="B3487" s="69"/>
      <c r="C3487" s="55"/>
      <c r="D3487" s="70"/>
      <c r="G3487" s="78"/>
    </row>
    <row r="3488" spans="2:7" x14ac:dyDescent="0.3">
      <c r="B3488" s="69"/>
      <c r="C3488" s="55"/>
      <c r="D3488" s="70"/>
      <c r="G3488" s="78"/>
    </row>
    <row r="3489" spans="2:7" x14ac:dyDescent="0.3">
      <c r="B3489" s="69"/>
      <c r="C3489" s="55"/>
      <c r="D3489" s="70"/>
      <c r="G3489" s="78"/>
    </row>
    <row r="3490" spans="2:7" x14ac:dyDescent="0.3">
      <c r="B3490" s="69"/>
      <c r="C3490" s="55"/>
      <c r="D3490" s="70"/>
      <c r="G3490" s="78"/>
    </row>
    <row r="3491" spans="2:7" x14ac:dyDescent="0.3">
      <c r="B3491" s="69"/>
      <c r="C3491" s="55"/>
      <c r="D3491" s="70"/>
      <c r="G3491" s="78"/>
    </row>
    <row r="3492" spans="2:7" x14ac:dyDescent="0.3">
      <c r="B3492" s="69"/>
      <c r="C3492" s="55"/>
      <c r="D3492" s="70"/>
      <c r="G3492" s="78"/>
    </row>
    <row r="3493" spans="2:7" x14ac:dyDescent="0.3">
      <c r="B3493" s="69"/>
      <c r="C3493" s="55"/>
      <c r="D3493" s="70"/>
      <c r="G3493" s="78"/>
    </row>
    <row r="3494" spans="2:7" x14ac:dyDescent="0.3">
      <c r="B3494" s="69"/>
      <c r="C3494" s="55"/>
      <c r="D3494" s="70"/>
      <c r="G3494" s="78"/>
    </row>
    <row r="3495" spans="2:7" x14ac:dyDescent="0.3">
      <c r="B3495" s="69"/>
      <c r="C3495" s="55"/>
      <c r="D3495" s="70"/>
      <c r="G3495" s="78"/>
    </row>
    <row r="3496" spans="2:7" x14ac:dyDescent="0.3">
      <c r="B3496" s="69"/>
      <c r="C3496" s="55"/>
      <c r="D3496" s="70"/>
      <c r="G3496" s="78"/>
    </row>
    <row r="3497" spans="2:7" x14ac:dyDescent="0.3">
      <c r="B3497" s="69"/>
      <c r="C3497" s="55"/>
      <c r="D3497" s="70"/>
      <c r="G3497" s="78"/>
    </row>
    <row r="3498" spans="2:7" x14ac:dyDescent="0.3">
      <c r="B3498" s="69"/>
      <c r="C3498" s="55"/>
      <c r="D3498" s="70"/>
      <c r="G3498" s="78"/>
    </row>
    <row r="3499" spans="2:7" x14ac:dyDescent="0.3">
      <c r="B3499" s="69"/>
      <c r="C3499" s="55"/>
      <c r="D3499" s="70"/>
      <c r="G3499" s="78"/>
    </row>
    <row r="3500" spans="2:7" x14ac:dyDescent="0.3">
      <c r="B3500" s="69"/>
      <c r="C3500" s="55"/>
      <c r="D3500" s="70"/>
      <c r="G3500" s="78"/>
    </row>
    <row r="3501" spans="2:7" x14ac:dyDescent="0.3">
      <c r="B3501" s="69"/>
      <c r="C3501" s="55"/>
      <c r="D3501" s="70"/>
      <c r="G3501" s="78"/>
    </row>
    <row r="3502" spans="2:7" x14ac:dyDescent="0.3">
      <c r="B3502" s="69"/>
      <c r="C3502" s="55"/>
      <c r="D3502" s="70"/>
      <c r="G3502" s="78"/>
    </row>
    <row r="3503" spans="2:7" x14ac:dyDescent="0.3">
      <c r="B3503" s="69"/>
      <c r="C3503" s="55"/>
      <c r="D3503" s="70"/>
      <c r="G3503" s="78"/>
    </row>
    <row r="3504" spans="2:7" x14ac:dyDescent="0.3">
      <c r="B3504" s="69"/>
      <c r="C3504" s="55"/>
      <c r="D3504" s="70"/>
      <c r="G3504" s="78"/>
    </row>
    <row r="3505" spans="2:7" x14ac:dyDescent="0.3">
      <c r="B3505" s="69"/>
      <c r="C3505" s="55"/>
      <c r="D3505" s="70"/>
      <c r="G3505" s="78"/>
    </row>
    <row r="3506" spans="2:7" x14ac:dyDescent="0.3">
      <c r="B3506" s="69"/>
      <c r="C3506" s="55"/>
      <c r="D3506" s="70"/>
      <c r="G3506" s="78"/>
    </row>
    <row r="3507" spans="2:7" x14ac:dyDescent="0.3">
      <c r="B3507" s="69"/>
      <c r="C3507" s="55"/>
      <c r="D3507" s="70"/>
      <c r="G3507" s="78"/>
    </row>
    <row r="3508" spans="2:7" x14ac:dyDescent="0.3">
      <c r="B3508" s="69"/>
      <c r="C3508" s="55"/>
      <c r="D3508" s="70"/>
      <c r="G3508" s="78"/>
    </row>
    <row r="3509" spans="2:7" x14ac:dyDescent="0.3">
      <c r="B3509" s="69"/>
      <c r="C3509" s="55"/>
      <c r="D3509" s="70"/>
      <c r="G3509" s="78"/>
    </row>
    <row r="3510" spans="2:7" x14ac:dyDescent="0.3">
      <c r="B3510" s="69"/>
      <c r="C3510" s="55"/>
      <c r="D3510" s="70"/>
      <c r="G3510" s="78"/>
    </row>
    <row r="3511" spans="2:7" x14ac:dyDescent="0.3">
      <c r="B3511" s="69"/>
      <c r="C3511" s="55"/>
      <c r="D3511" s="70"/>
      <c r="G3511" s="78"/>
    </row>
    <row r="3512" spans="2:7" x14ac:dyDescent="0.3">
      <c r="B3512" s="69"/>
      <c r="C3512" s="55"/>
      <c r="D3512" s="70"/>
      <c r="G3512" s="78"/>
    </row>
    <row r="3513" spans="2:7" x14ac:dyDescent="0.3">
      <c r="B3513" s="69"/>
      <c r="C3513" s="55"/>
      <c r="D3513" s="70"/>
      <c r="G3513" s="78"/>
    </row>
    <row r="3514" spans="2:7" x14ac:dyDescent="0.3">
      <c r="B3514" s="69"/>
      <c r="C3514" s="55"/>
      <c r="D3514" s="70"/>
      <c r="G3514" s="78"/>
    </row>
    <row r="3515" spans="2:7" x14ac:dyDescent="0.3">
      <c r="B3515" s="69"/>
      <c r="C3515" s="55"/>
      <c r="D3515" s="70"/>
      <c r="G3515" s="78"/>
    </row>
    <row r="3516" spans="2:7" x14ac:dyDescent="0.3">
      <c r="B3516" s="69"/>
      <c r="C3516" s="55"/>
      <c r="D3516" s="70"/>
      <c r="G3516" s="78"/>
    </row>
    <row r="3517" spans="2:7" x14ac:dyDescent="0.3">
      <c r="B3517" s="69"/>
      <c r="C3517" s="55"/>
      <c r="D3517" s="70"/>
      <c r="G3517" s="78"/>
    </row>
    <row r="3518" spans="2:7" x14ac:dyDescent="0.3">
      <c r="B3518" s="69"/>
      <c r="C3518" s="55"/>
      <c r="D3518" s="70"/>
      <c r="G3518" s="78"/>
    </row>
    <row r="3519" spans="2:7" x14ac:dyDescent="0.3">
      <c r="B3519" s="69"/>
      <c r="C3519" s="55"/>
      <c r="D3519" s="70"/>
      <c r="G3519" s="78"/>
    </row>
    <row r="3520" spans="2:7" x14ac:dyDescent="0.3">
      <c r="B3520" s="69"/>
      <c r="C3520" s="55"/>
      <c r="D3520" s="70"/>
      <c r="G3520" s="78"/>
    </row>
    <row r="3521" spans="2:7" x14ac:dyDescent="0.3">
      <c r="B3521" s="69"/>
      <c r="C3521" s="55"/>
      <c r="D3521" s="70"/>
      <c r="G3521" s="78"/>
    </row>
    <row r="3522" spans="2:7" x14ac:dyDescent="0.3">
      <c r="B3522" s="69"/>
      <c r="C3522" s="55"/>
      <c r="D3522" s="70"/>
      <c r="G3522" s="78"/>
    </row>
    <row r="3523" spans="2:7" x14ac:dyDescent="0.3">
      <c r="B3523" s="69"/>
      <c r="C3523" s="55"/>
      <c r="D3523" s="70"/>
      <c r="G3523" s="78"/>
    </row>
    <row r="3524" spans="2:7" x14ac:dyDescent="0.3">
      <c r="B3524" s="69"/>
      <c r="C3524" s="55"/>
      <c r="D3524" s="70"/>
      <c r="G3524" s="78"/>
    </row>
    <row r="3525" spans="2:7" x14ac:dyDescent="0.3">
      <c r="B3525" s="69"/>
      <c r="C3525" s="55"/>
      <c r="D3525" s="70"/>
      <c r="G3525" s="78"/>
    </row>
    <row r="3526" spans="2:7" x14ac:dyDescent="0.3">
      <c r="B3526" s="69"/>
      <c r="C3526" s="55"/>
      <c r="D3526" s="70"/>
      <c r="G3526" s="78"/>
    </row>
    <row r="3527" spans="2:7" x14ac:dyDescent="0.3">
      <c r="B3527" s="69"/>
      <c r="C3527" s="55"/>
      <c r="D3527" s="70"/>
      <c r="G3527" s="78"/>
    </row>
    <row r="3528" spans="2:7" x14ac:dyDescent="0.3">
      <c r="B3528" s="69"/>
      <c r="C3528" s="55"/>
      <c r="D3528" s="70"/>
      <c r="G3528" s="78"/>
    </row>
    <row r="3529" spans="2:7" x14ac:dyDescent="0.3">
      <c r="B3529" s="69"/>
      <c r="C3529" s="55"/>
      <c r="D3529" s="70"/>
      <c r="G3529" s="78"/>
    </row>
    <row r="3530" spans="2:7" x14ac:dyDescent="0.3">
      <c r="B3530" s="69"/>
      <c r="C3530" s="55"/>
      <c r="D3530" s="70"/>
      <c r="G3530" s="78"/>
    </row>
    <row r="3531" spans="2:7" x14ac:dyDescent="0.3">
      <c r="B3531" s="69"/>
      <c r="C3531" s="55"/>
      <c r="D3531" s="70"/>
      <c r="G3531" s="78"/>
    </row>
    <row r="3532" spans="2:7" x14ac:dyDescent="0.3">
      <c r="B3532" s="69"/>
      <c r="C3532" s="55"/>
      <c r="D3532" s="70"/>
      <c r="G3532" s="78"/>
    </row>
    <row r="3533" spans="2:7" x14ac:dyDescent="0.3">
      <c r="B3533" s="69"/>
      <c r="C3533" s="55"/>
      <c r="D3533" s="70"/>
      <c r="G3533" s="78"/>
    </row>
    <row r="3534" spans="2:7" x14ac:dyDescent="0.3">
      <c r="B3534" s="69"/>
      <c r="C3534" s="55"/>
      <c r="D3534" s="70"/>
      <c r="G3534" s="78"/>
    </row>
    <row r="3535" spans="2:7" x14ac:dyDescent="0.3">
      <c r="B3535" s="69"/>
      <c r="C3535" s="55"/>
      <c r="D3535" s="70"/>
      <c r="G3535" s="78"/>
    </row>
    <row r="3536" spans="2:7" x14ac:dyDescent="0.3">
      <c r="B3536" s="69"/>
      <c r="C3536" s="55"/>
      <c r="D3536" s="70"/>
      <c r="G3536" s="78"/>
    </row>
    <row r="3537" spans="2:7" x14ac:dyDescent="0.3">
      <c r="B3537" s="69"/>
      <c r="C3537" s="55"/>
      <c r="D3537" s="70"/>
      <c r="G3537" s="78"/>
    </row>
    <row r="3538" spans="2:7" x14ac:dyDescent="0.3">
      <c r="B3538" s="69"/>
      <c r="C3538" s="55"/>
      <c r="D3538" s="70"/>
      <c r="G3538" s="78"/>
    </row>
    <row r="3539" spans="2:7" x14ac:dyDescent="0.3">
      <c r="B3539" s="69"/>
      <c r="C3539" s="55"/>
      <c r="D3539" s="70"/>
      <c r="G3539" s="78"/>
    </row>
    <row r="3540" spans="2:7" x14ac:dyDescent="0.3">
      <c r="B3540" s="69"/>
      <c r="C3540" s="55"/>
      <c r="D3540" s="70"/>
      <c r="G3540" s="78"/>
    </row>
    <row r="3541" spans="2:7" x14ac:dyDescent="0.3">
      <c r="B3541" s="69"/>
      <c r="C3541" s="55"/>
      <c r="D3541" s="70"/>
      <c r="G3541" s="78"/>
    </row>
    <row r="3542" spans="2:7" x14ac:dyDescent="0.3">
      <c r="B3542" s="69"/>
      <c r="C3542" s="55"/>
      <c r="D3542" s="70"/>
      <c r="G3542" s="78"/>
    </row>
    <row r="3543" spans="2:7" x14ac:dyDescent="0.3">
      <c r="B3543" s="69"/>
      <c r="C3543" s="55"/>
      <c r="D3543" s="70"/>
      <c r="G3543" s="78"/>
    </row>
    <row r="3544" spans="2:7" x14ac:dyDescent="0.3">
      <c r="B3544" s="69"/>
      <c r="C3544" s="55"/>
      <c r="D3544" s="70"/>
      <c r="G3544" s="78"/>
    </row>
    <row r="3545" spans="2:7" x14ac:dyDescent="0.3">
      <c r="B3545" s="69"/>
      <c r="C3545" s="55"/>
      <c r="D3545" s="70"/>
      <c r="G3545" s="78"/>
    </row>
    <row r="3546" spans="2:7" x14ac:dyDescent="0.3">
      <c r="B3546" s="69"/>
      <c r="C3546" s="55"/>
      <c r="D3546" s="70"/>
      <c r="G3546" s="78"/>
    </row>
    <row r="3547" spans="2:7" x14ac:dyDescent="0.3">
      <c r="B3547" s="69"/>
      <c r="C3547" s="55"/>
      <c r="D3547" s="70"/>
      <c r="G3547" s="78"/>
    </row>
    <row r="3548" spans="2:7" x14ac:dyDescent="0.3">
      <c r="B3548" s="69"/>
      <c r="C3548" s="55"/>
      <c r="D3548" s="70"/>
      <c r="G3548" s="78"/>
    </row>
    <row r="3549" spans="2:7" x14ac:dyDescent="0.3">
      <c r="B3549" s="69"/>
      <c r="C3549" s="55"/>
      <c r="D3549" s="70"/>
      <c r="G3549" s="78"/>
    </row>
    <row r="3550" spans="2:7" x14ac:dyDescent="0.3">
      <c r="B3550" s="69"/>
      <c r="C3550" s="55"/>
      <c r="D3550" s="70"/>
      <c r="G3550" s="78"/>
    </row>
    <row r="3551" spans="2:7" x14ac:dyDescent="0.3">
      <c r="B3551" s="69"/>
      <c r="C3551" s="55"/>
      <c r="D3551" s="70"/>
      <c r="G3551" s="78"/>
    </row>
    <row r="3552" spans="2:7" x14ac:dyDescent="0.3">
      <c r="B3552" s="69"/>
      <c r="C3552" s="55"/>
      <c r="D3552" s="70"/>
      <c r="G3552" s="78"/>
    </row>
    <row r="3553" spans="2:7" x14ac:dyDescent="0.3">
      <c r="B3553" s="69"/>
      <c r="C3553" s="55"/>
      <c r="D3553" s="70"/>
      <c r="G3553" s="78"/>
    </row>
    <row r="3554" spans="2:7" x14ac:dyDescent="0.3">
      <c r="B3554" s="69"/>
      <c r="C3554" s="55"/>
      <c r="D3554" s="70"/>
      <c r="G3554" s="78"/>
    </row>
    <row r="3555" spans="2:7" x14ac:dyDescent="0.3">
      <c r="B3555" s="69"/>
      <c r="C3555" s="55"/>
      <c r="D3555" s="70"/>
      <c r="G3555" s="78"/>
    </row>
    <row r="3556" spans="2:7" x14ac:dyDescent="0.3">
      <c r="B3556" s="69"/>
      <c r="C3556" s="55"/>
      <c r="D3556" s="70"/>
      <c r="G3556" s="78"/>
    </row>
    <row r="3557" spans="2:7" x14ac:dyDescent="0.3">
      <c r="B3557" s="69"/>
      <c r="C3557" s="55"/>
      <c r="D3557" s="70"/>
      <c r="G3557" s="78"/>
    </row>
    <row r="3558" spans="2:7" x14ac:dyDescent="0.3">
      <c r="B3558" s="69"/>
      <c r="C3558" s="55"/>
      <c r="D3558" s="70"/>
      <c r="G3558" s="78"/>
    </row>
    <row r="3559" spans="2:7" x14ac:dyDescent="0.3">
      <c r="B3559" s="69"/>
      <c r="C3559" s="55"/>
      <c r="D3559" s="70"/>
      <c r="G3559" s="78"/>
    </row>
    <row r="3560" spans="2:7" x14ac:dyDescent="0.3">
      <c r="B3560" s="69"/>
      <c r="C3560" s="55"/>
      <c r="D3560" s="70"/>
      <c r="G3560" s="78"/>
    </row>
    <row r="3561" spans="2:7" x14ac:dyDescent="0.3">
      <c r="B3561" s="69"/>
      <c r="C3561" s="55"/>
      <c r="D3561" s="70"/>
      <c r="G3561" s="78"/>
    </row>
    <row r="3562" spans="2:7" x14ac:dyDescent="0.3">
      <c r="B3562" s="69"/>
      <c r="C3562" s="55"/>
      <c r="D3562" s="70"/>
      <c r="G3562" s="78"/>
    </row>
    <row r="3563" spans="2:7" x14ac:dyDescent="0.3">
      <c r="B3563" s="69"/>
      <c r="C3563" s="55"/>
      <c r="D3563" s="70"/>
      <c r="G3563" s="78"/>
    </row>
    <row r="3564" spans="2:7" x14ac:dyDescent="0.3">
      <c r="B3564" s="69"/>
      <c r="C3564" s="55"/>
      <c r="D3564" s="70"/>
      <c r="G3564" s="78"/>
    </row>
    <row r="3565" spans="2:7" x14ac:dyDescent="0.3">
      <c r="B3565" s="69"/>
      <c r="C3565" s="55"/>
      <c r="D3565" s="70"/>
      <c r="G3565" s="78"/>
    </row>
    <row r="3566" spans="2:7" x14ac:dyDescent="0.3">
      <c r="B3566" s="69"/>
      <c r="C3566" s="55"/>
      <c r="D3566" s="70"/>
      <c r="G3566" s="78"/>
    </row>
    <row r="3567" spans="2:7" x14ac:dyDescent="0.3">
      <c r="B3567" s="69"/>
      <c r="C3567" s="55"/>
      <c r="D3567" s="70"/>
      <c r="G3567" s="78"/>
    </row>
    <row r="3568" spans="2:7" x14ac:dyDescent="0.3">
      <c r="B3568" s="69"/>
      <c r="C3568" s="55"/>
      <c r="D3568" s="70"/>
      <c r="G3568" s="78"/>
    </row>
    <row r="3569" spans="2:7" x14ac:dyDescent="0.3">
      <c r="B3569" s="69"/>
      <c r="C3569" s="55"/>
      <c r="D3569" s="70"/>
      <c r="G3569" s="78"/>
    </row>
    <row r="3570" spans="2:7" x14ac:dyDescent="0.3">
      <c r="B3570" s="69"/>
      <c r="C3570" s="55"/>
      <c r="D3570" s="70"/>
      <c r="G3570" s="78"/>
    </row>
    <row r="3571" spans="2:7" x14ac:dyDescent="0.3">
      <c r="B3571" s="69"/>
      <c r="C3571" s="55"/>
      <c r="D3571" s="70"/>
      <c r="G3571" s="78"/>
    </row>
    <row r="3572" spans="2:7" x14ac:dyDescent="0.3">
      <c r="B3572" s="69"/>
      <c r="C3572" s="55"/>
      <c r="D3572" s="70"/>
      <c r="G3572" s="78"/>
    </row>
    <row r="3573" spans="2:7" x14ac:dyDescent="0.3">
      <c r="B3573" s="69"/>
      <c r="C3573" s="55"/>
      <c r="D3573" s="70"/>
      <c r="G3573" s="78"/>
    </row>
    <row r="3574" spans="2:7" x14ac:dyDescent="0.3">
      <c r="B3574" s="69"/>
      <c r="C3574" s="55"/>
      <c r="D3574" s="70"/>
      <c r="G3574" s="78"/>
    </row>
    <row r="3575" spans="2:7" x14ac:dyDescent="0.3">
      <c r="B3575" s="69"/>
      <c r="C3575" s="55"/>
      <c r="D3575" s="70"/>
      <c r="G3575" s="78"/>
    </row>
    <row r="3576" spans="2:7" x14ac:dyDescent="0.3">
      <c r="B3576" s="69"/>
      <c r="C3576" s="55"/>
      <c r="D3576" s="70"/>
      <c r="G3576" s="78"/>
    </row>
    <row r="3577" spans="2:7" x14ac:dyDescent="0.3">
      <c r="B3577" s="69"/>
      <c r="C3577" s="55"/>
      <c r="D3577" s="70"/>
      <c r="G3577" s="78"/>
    </row>
    <row r="3578" spans="2:7" x14ac:dyDescent="0.3">
      <c r="B3578" s="69"/>
      <c r="C3578" s="55"/>
      <c r="D3578" s="70"/>
      <c r="G3578" s="78"/>
    </row>
    <row r="3579" spans="2:7" x14ac:dyDescent="0.3">
      <c r="B3579" s="69"/>
      <c r="C3579" s="55"/>
      <c r="D3579" s="70"/>
      <c r="G3579" s="78"/>
    </row>
    <row r="3580" spans="2:7" x14ac:dyDescent="0.3">
      <c r="B3580" s="69"/>
      <c r="C3580" s="55"/>
      <c r="D3580" s="70"/>
      <c r="G3580" s="78"/>
    </row>
    <row r="3581" spans="2:7" x14ac:dyDescent="0.3">
      <c r="B3581" s="69"/>
      <c r="C3581" s="55"/>
      <c r="D3581" s="70"/>
      <c r="G3581" s="78"/>
    </row>
    <row r="3582" spans="2:7" x14ac:dyDescent="0.3">
      <c r="B3582" s="69"/>
      <c r="C3582" s="55"/>
      <c r="D3582" s="70"/>
      <c r="G3582" s="78"/>
    </row>
    <row r="3583" spans="2:7" x14ac:dyDescent="0.3">
      <c r="B3583" s="69"/>
      <c r="C3583" s="55"/>
      <c r="D3583" s="70"/>
      <c r="G3583" s="78"/>
    </row>
    <row r="3584" spans="2:7" x14ac:dyDescent="0.3">
      <c r="B3584" s="69"/>
      <c r="C3584" s="55"/>
      <c r="D3584" s="70"/>
      <c r="G3584" s="78"/>
    </row>
    <row r="3585" spans="2:7" x14ac:dyDescent="0.3">
      <c r="B3585" s="69"/>
      <c r="C3585" s="55"/>
      <c r="D3585" s="70"/>
      <c r="G3585" s="78"/>
    </row>
    <row r="3586" spans="2:7" x14ac:dyDescent="0.3">
      <c r="B3586" s="69"/>
      <c r="C3586" s="55"/>
      <c r="D3586" s="70"/>
      <c r="G3586" s="78"/>
    </row>
    <row r="3587" spans="2:7" x14ac:dyDescent="0.3">
      <c r="B3587" s="69"/>
      <c r="C3587" s="55"/>
      <c r="D3587" s="70"/>
      <c r="G3587" s="78"/>
    </row>
    <row r="3588" spans="2:7" x14ac:dyDescent="0.3">
      <c r="B3588" s="69"/>
      <c r="C3588" s="55"/>
      <c r="D3588" s="70"/>
      <c r="G3588" s="78"/>
    </row>
    <row r="3589" spans="2:7" x14ac:dyDescent="0.3">
      <c r="B3589" s="69"/>
      <c r="C3589" s="55"/>
      <c r="D3589" s="70"/>
      <c r="G3589" s="78"/>
    </row>
    <row r="3590" spans="2:7" x14ac:dyDescent="0.3">
      <c r="B3590" s="69"/>
      <c r="C3590" s="55"/>
      <c r="D3590" s="70"/>
      <c r="G3590" s="78"/>
    </row>
    <row r="3591" spans="2:7" x14ac:dyDescent="0.3">
      <c r="B3591" s="69"/>
      <c r="C3591" s="55"/>
      <c r="D3591" s="70"/>
      <c r="G3591" s="78"/>
    </row>
    <row r="3592" spans="2:7" x14ac:dyDescent="0.3">
      <c r="B3592" s="69"/>
      <c r="C3592" s="55"/>
      <c r="D3592" s="70"/>
      <c r="G3592" s="78"/>
    </row>
    <row r="3593" spans="2:7" x14ac:dyDescent="0.3">
      <c r="B3593" s="69"/>
      <c r="C3593" s="55"/>
      <c r="D3593" s="70"/>
      <c r="G3593" s="78"/>
    </row>
    <row r="3594" spans="2:7" x14ac:dyDescent="0.3">
      <c r="B3594" s="69"/>
      <c r="C3594" s="55"/>
      <c r="D3594" s="70"/>
      <c r="G3594" s="78"/>
    </row>
    <row r="3595" spans="2:7" x14ac:dyDescent="0.3">
      <c r="B3595" s="69"/>
      <c r="C3595" s="55"/>
      <c r="D3595" s="70"/>
      <c r="G3595" s="78"/>
    </row>
    <row r="3596" spans="2:7" x14ac:dyDescent="0.3">
      <c r="B3596" s="69"/>
      <c r="C3596" s="55"/>
      <c r="D3596" s="70"/>
      <c r="G3596" s="78"/>
    </row>
    <row r="3597" spans="2:7" x14ac:dyDescent="0.3">
      <c r="B3597" s="69"/>
      <c r="C3597" s="55"/>
      <c r="D3597" s="70"/>
      <c r="G3597" s="78"/>
    </row>
    <row r="3598" spans="2:7" x14ac:dyDescent="0.3">
      <c r="B3598" s="69"/>
      <c r="C3598" s="55"/>
      <c r="D3598" s="70"/>
      <c r="G3598" s="78"/>
    </row>
    <row r="3599" spans="2:7" x14ac:dyDescent="0.3">
      <c r="B3599" s="69"/>
      <c r="C3599" s="55"/>
      <c r="D3599" s="70"/>
      <c r="G3599" s="78"/>
    </row>
    <row r="3600" spans="2:7" x14ac:dyDescent="0.3">
      <c r="B3600" s="69"/>
      <c r="C3600" s="55"/>
      <c r="D3600" s="70"/>
      <c r="G3600" s="78"/>
    </row>
    <row r="3601" spans="2:7" x14ac:dyDescent="0.3">
      <c r="B3601" s="69"/>
      <c r="C3601" s="55"/>
      <c r="D3601" s="70"/>
      <c r="G3601" s="78"/>
    </row>
    <row r="3602" spans="2:7" x14ac:dyDescent="0.3">
      <c r="B3602" s="69"/>
      <c r="C3602" s="55"/>
      <c r="D3602" s="70"/>
      <c r="G3602" s="78"/>
    </row>
    <row r="3603" spans="2:7" x14ac:dyDescent="0.3">
      <c r="B3603" s="69"/>
      <c r="C3603" s="55"/>
      <c r="D3603" s="70"/>
      <c r="G3603" s="78"/>
    </row>
    <row r="3604" spans="2:7" x14ac:dyDescent="0.3">
      <c r="B3604" s="69"/>
      <c r="C3604" s="55"/>
      <c r="D3604" s="70"/>
      <c r="G3604" s="78"/>
    </row>
    <row r="3605" spans="2:7" x14ac:dyDescent="0.3">
      <c r="B3605" s="69"/>
      <c r="C3605" s="55"/>
      <c r="D3605" s="70"/>
      <c r="G3605" s="78"/>
    </row>
    <row r="3606" spans="2:7" x14ac:dyDescent="0.3">
      <c r="B3606" s="69"/>
      <c r="C3606" s="55"/>
      <c r="D3606" s="70"/>
      <c r="G3606" s="78"/>
    </row>
    <row r="3607" spans="2:7" x14ac:dyDescent="0.3">
      <c r="B3607" s="69"/>
      <c r="C3607" s="55"/>
      <c r="D3607" s="70"/>
      <c r="G3607" s="78"/>
    </row>
    <row r="3608" spans="2:7" x14ac:dyDescent="0.3">
      <c r="B3608" s="69"/>
      <c r="C3608" s="55"/>
      <c r="D3608" s="70"/>
      <c r="G3608" s="78"/>
    </row>
    <row r="3609" spans="2:7" x14ac:dyDescent="0.3">
      <c r="B3609" s="69"/>
      <c r="C3609" s="55"/>
      <c r="D3609" s="70"/>
      <c r="G3609" s="78"/>
    </row>
    <row r="3610" spans="2:7" x14ac:dyDescent="0.3">
      <c r="B3610" s="69"/>
      <c r="C3610" s="55"/>
      <c r="D3610" s="70"/>
      <c r="G3610" s="78"/>
    </row>
    <row r="3611" spans="2:7" x14ac:dyDescent="0.3">
      <c r="B3611" s="69"/>
      <c r="C3611" s="55"/>
      <c r="D3611" s="70"/>
      <c r="G3611" s="78"/>
    </row>
    <row r="3612" spans="2:7" x14ac:dyDescent="0.3">
      <c r="B3612" s="69"/>
      <c r="C3612" s="55"/>
      <c r="D3612" s="70"/>
      <c r="G3612" s="78"/>
    </row>
    <row r="3613" spans="2:7" x14ac:dyDescent="0.3">
      <c r="B3613" s="69"/>
      <c r="C3613" s="55"/>
      <c r="D3613" s="70"/>
      <c r="G3613" s="78"/>
    </row>
    <row r="3614" spans="2:7" x14ac:dyDescent="0.3">
      <c r="B3614" s="69"/>
      <c r="C3614" s="55"/>
      <c r="D3614" s="70"/>
      <c r="G3614" s="78"/>
    </row>
    <row r="3615" spans="2:7" x14ac:dyDescent="0.3">
      <c r="B3615" s="69"/>
      <c r="C3615" s="55"/>
      <c r="D3615" s="70"/>
      <c r="G3615" s="78"/>
    </row>
    <row r="3616" spans="2:7" x14ac:dyDescent="0.3">
      <c r="B3616" s="69"/>
      <c r="C3616" s="55"/>
      <c r="D3616" s="70"/>
      <c r="G3616" s="78"/>
    </row>
    <row r="3617" spans="2:7" x14ac:dyDescent="0.3">
      <c r="B3617" s="69"/>
      <c r="C3617" s="55"/>
      <c r="D3617" s="70"/>
      <c r="G3617" s="78"/>
    </row>
    <row r="3618" spans="2:7" x14ac:dyDescent="0.3">
      <c r="B3618" s="69"/>
      <c r="C3618" s="55"/>
      <c r="D3618" s="70"/>
      <c r="G3618" s="78"/>
    </row>
    <row r="3619" spans="2:7" x14ac:dyDescent="0.3">
      <c r="B3619" s="69"/>
      <c r="C3619" s="55"/>
      <c r="D3619" s="70"/>
      <c r="G3619" s="78"/>
    </row>
    <row r="3620" spans="2:7" x14ac:dyDescent="0.3">
      <c r="B3620" s="69"/>
      <c r="C3620" s="55"/>
      <c r="D3620" s="70"/>
      <c r="G3620" s="78"/>
    </row>
    <row r="3621" spans="2:7" x14ac:dyDescent="0.3">
      <c r="B3621" s="69"/>
      <c r="C3621" s="55"/>
      <c r="D3621" s="70"/>
      <c r="G3621" s="78"/>
    </row>
    <row r="3622" spans="2:7" x14ac:dyDescent="0.3">
      <c r="B3622" s="69"/>
      <c r="C3622" s="55"/>
      <c r="D3622" s="70"/>
      <c r="G3622" s="78"/>
    </row>
    <row r="3623" spans="2:7" x14ac:dyDescent="0.3">
      <c r="B3623" s="69"/>
      <c r="C3623" s="55"/>
      <c r="D3623" s="70"/>
      <c r="G3623" s="78"/>
    </row>
    <row r="3624" spans="2:7" x14ac:dyDescent="0.3">
      <c r="B3624" s="69"/>
      <c r="C3624" s="55"/>
      <c r="D3624" s="70"/>
      <c r="G3624" s="78"/>
    </row>
    <row r="3625" spans="2:7" x14ac:dyDescent="0.3">
      <c r="B3625" s="69"/>
      <c r="C3625" s="55"/>
      <c r="D3625" s="70"/>
      <c r="G3625" s="78"/>
    </row>
    <row r="3626" spans="2:7" x14ac:dyDescent="0.3">
      <c r="B3626" s="69"/>
      <c r="C3626" s="55"/>
      <c r="D3626" s="70"/>
      <c r="G3626" s="78"/>
    </row>
    <row r="3627" spans="2:7" x14ac:dyDescent="0.3">
      <c r="B3627" s="69"/>
      <c r="C3627" s="55"/>
      <c r="D3627" s="70"/>
      <c r="G3627" s="78"/>
    </row>
    <row r="3628" spans="2:7" x14ac:dyDescent="0.3">
      <c r="B3628" s="69"/>
      <c r="C3628" s="55"/>
      <c r="D3628" s="70"/>
      <c r="G3628" s="78"/>
    </row>
    <row r="3629" spans="2:7" x14ac:dyDescent="0.3">
      <c r="B3629" s="69"/>
      <c r="C3629" s="55"/>
      <c r="D3629" s="70"/>
      <c r="G3629" s="78"/>
    </row>
    <row r="3630" spans="2:7" x14ac:dyDescent="0.3">
      <c r="B3630" s="69"/>
      <c r="C3630" s="55"/>
      <c r="D3630" s="70"/>
      <c r="G3630" s="78"/>
    </row>
    <row r="3631" spans="2:7" x14ac:dyDescent="0.3">
      <c r="B3631" s="69"/>
      <c r="C3631" s="55"/>
      <c r="D3631" s="70"/>
      <c r="G3631" s="78"/>
    </row>
    <row r="3632" spans="2:7" x14ac:dyDescent="0.3">
      <c r="B3632" s="69"/>
      <c r="C3632" s="55"/>
      <c r="D3632" s="70"/>
      <c r="G3632" s="78"/>
    </row>
    <row r="3633" spans="2:7" x14ac:dyDescent="0.3">
      <c r="B3633" s="69"/>
      <c r="C3633" s="55"/>
      <c r="D3633" s="70"/>
      <c r="G3633" s="78"/>
    </row>
    <row r="3634" spans="2:7" x14ac:dyDescent="0.3">
      <c r="B3634" s="69"/>
      <c r="C3634" s="55"/>
      <c r="D3634" s="70"/>
      <c r="G3634" s="78"/>
    </row>
    <row r="3635" spans="2:7" x14ac:dyDescent="0.3">
      <c r="B3635" s="69"/>
      <c r="C3635" s="55"/>
      <c r="D3635" s="70"/>
      <c r="G3635" s="78"/>
    </row>
    <row r="3636" spans="2:7" x14ac:dyDescent="0.3">
      <c r="B3636" s="69"/>
      <c r="C3636" s="55"/>
      <c r="D3636" s="70"/>
      <c r="G3636" s="78"/>
    </row>
    <row r="3637" spans="2:7" x14ac:dyDescent="0.3">
      <c r="B3637" s="69"/>
      <c r="C3637" s="55"/>
      <c r="D3637" s="70"/>
      <c r="G3637" s="78"/>
    </row>
    <row r="3638" spans="2:7" x14ac:dyDescent="0.3">
      <c r="B3638" s="69"/>
      <c r="C3638" s="55"/>
      <c r="D3638" s="70"/>
      <c r="G3638" s="78"/>
    </row>
    <row r="3639" spans="2:7" x14ac:dyDescent="0.3">
      <c r="B3639" s="69"/>
      <c r="C3639" s="55"/>
      <c r="D3639" s="70"/>
      <c r="G3639" s="78"/>
    </row>
    <row r="3640" spans="2:7" x14ac:dyDescent="0.3">
      <c r="B3640" s="69"/>
      <c r="C3640" s="55"/>
      <c r="D3640" s="70"/>
      <c r="G3640" s="78"/>
    </row>
    <row r="3641" spans="2:7" x14ac:dyDescent="0.3">
      <c r="B3641" s="69"/>
      <c r="C3641" s="55"/>
      <c r="D3641" s="70"/>
      <c r="G3641" s="78"/>
    </row>
    <row r="3642" spans="2:7" x14ac:dyDescent="0.3">
      <c r="B3642" s="69"/>
      <c r="C3642" s="55"/>
      <c r="D3642" s="70"/>
      <c r="G3642" s="78"/>
    </row>
    <row r="3643" spans="2:7" x14ac:dyDescent="0.3">
      <c r="B3643" s="69"/>
      <c r="C3643" s="55"/>
      <c r="D3643" s="70"/>
      <c r="G3643" s="78"/>
    </row>
    <row r="3644" spans="2:7" x14ac:dyDescent="0.3">
      <c r="B3644" s="69"/>
      <c r="C3644" s="55"/>
      <c r="D3644" s="70"/>
      <c r="G3644" s="78"/>
    </row>
    <row r="3645" spans="2:7" x14ac:dyDescent="0.3">
      <c r="B3645" s="69"/>
      <c r="C3645" s="55"/>
      <c r="D3645" s="70"/>
      <c r="G3645" s="78"/>
    </row>
    <row r="3646" spans="2:7" x14ac:dyDescent="0.3">
      <c r="B3646" s="69"/>
      <c r="C3646" s="55"/>
      <c r="D3646" s="70"/>
      <c r="G3646" s="78"/>
    </row>
    <row r="3647" spans="2:7" x14ac:dyDescent="0.3">
      <c r="B3647" s="69"/>
      <c r="C3647" s="55"/>
      <c r="D3647" s="70"/>
      <c r="G3647" s="78"/>
    </row>
    <row r="3648" spans="2:7" x14ac:dyDescent="0.3">
      <c r="B3648" s="69"/>
      <c r="C3648" s="55"/>
      <c r="D3648" s="70"/>
      <c r="G3648" s="78"/>
    </row>
    <row r="3649" spans="2:7" x14ac:dyDescent="0.3">
      <c r="B3649" s="69"/>
      <c r="C3649" s="55"/>
      <c r="D3649" s="70"/>
      <c r="G3649" s="78"/>
    </row>
    <row r="3650" spans="2:7" x14ac:dyDescent="0.3">
      <c r="B3650" s="69"/>
      <c r="C3650" s="55"/>
      <c r="D3650" s="70"/>
      <c r="G3650" s="78"/>
    </row>
    <row r="3651" spans="2:7" x14ac:dyDescent="0.3">
      <c r="B3651" s="69"/>
      <c r="C3651" s="55"/>
      <c r="D3651" s="70"/>
      <c r="G3651" s="78"/>
    </row>
    <row r="3652" spans="2:7" x14ac:dyDescent="0.3">
      <c r="B3652" s="69"/>
      <c r="C3652" s="55"/>
      <c r="D3652" s="70"/>
      <c r="G3652" s="78"/>
    </row>
    <row r="3653" spans="2:7" x14ac:dyDescent="0.3">
      <c r="B3653" s="69"/>
      <c r="C3653" s="55"/>
      <c r="D3653" s="70"/>
      <c r="G3653" s="78"/>
    </row>
    <row r="3654" spans="2:7" x14ac:dyDescent="0.3">
      <c r="B3654" s="69"/>
      <c r="C3654" s="55"/>
      <c r="D3654" s="70"/>
      <c r="G3654" s="78"/>
    </row>
    <row r="3655" spans="2:7" x14ac:dyDescent="0.3">
      <c r="B3655" s="69"/>
      <c r="C3655" s="55"/>
      <c r="D3655" s="70"/>
      <c r="G3655" s="78"/>
    </row>
    <row r="3656" spans="2:7" x14ac:dyDescent="0.3">
      <c r="B3656" s="69"/>
      <c r="C3656" s="55"/>
      <c r="D3656" s="70"/>
      <c r="G3656" s="78"/>
    </row>
    <row r="3657" spans="2:7" x14ac:dyDescent="0.3">
      <c r="B3657" s="69"/>
      <c r="C3657" s="55"/>
      <c r="D3657" s="70"/>
      <c r="G3657" s="78"/>
    </row>
    <row r="3658" spans="2:7" x14ac:dyDescent="0.3">
      <c r="B3658" s="69"/>
      <c r="C3658" s="55"/>
      <c r="D3658" s="70"/>
      <c r="G3658" s="78"/>
    </row>
    <row r="3659" spans="2:7" x14ac:dyDescent="0.3">
      <c r="B3659" s="69"/>
      <c r="C3659" s="55"/>
      <c r="D3659" s="70"/>
      <c r="G3659" s="78"/>
    </row>
    <row r="3660" spans="2:7" x14ac:dyDescent="0.3">
      <c r="B3660" s="69"/>
      <c r="C3660" s="55"/>
      <c r="D3660" s="70"/>
      <c r="G3660" s="78"/>
    </row>
    <row r="3661" spans="2:7" x14ac:dyDescent="0.3">
      <c r="B3661" s="69"/>
      <c r="C3661" s="55"/>
      <c r="D3661" s="70"/>
      <c r="G3661" s="78"/>
    </row>
    <row r="3662" spans="2:7" x14ac:dyDescent="0.3">
      <c r="B3662" s="69"/>
      <c r="C3662" s="55"/>
      <c r="D3662" s="70"/>
      <c r="G3662" s="78"/>
    </row>
    <row r="3663" spans="2:7" x14ac:dyDescent="0.3">
      <c r="B3663" s="69"/>
      <c r="C3663" s="55"/>
      <c r="D3663" s="70"/>
      <c r="G3663" s="78"/>
    </row>
    <row r="3664" spans="2:7" x14ac:dyDescent="0.3">
      <c r="B3664" s="69"/>
      <c r="C3664" s="55"/>
      <c r="D3664" s="70"/>
      <c r="G3664" s="78"/>
    </row>
    <row r="3665" spans="2:7" x14ac:dyDescent="0.3">
      <c r="B3665" s="69"/>
      <c r="C3665" s="55"/>
      <c r="D3665" s="70"/>
      <c r="G3665" s="78"/>
    </row>
    <row r="3666" spans="2:7" x14ac:dyDescent="0.3">
      <c r="B3666" s="69"/>
      <c r="C3666" s="55"/>
      <c r="D3666" s="70"/>
      <c r="G3666" s="78"/>
    </row>
    <row r="3667" spans="2:7" x14ac:dyDescent="0.3">
      <c r="B3667" s="69"/>
      <c r="C3667" s="55"/>
      <c r="D3667" s="70"/>
      <c r="G3667" s="78"/>
    </row>
    <row r="3668" spans="2:7" x14ac:dyDescent="0.3">
      <c r="B3668" s="69"/>
      <c r="C3668" s="55"/>
      <c r="D3668" s="70"/>
      <c r="G3668" s="78"/>
    </row>
    <row r="3669" spans="2:7" x14ac:dyDescent="0.3">
      <c r="B3669" s="69"/>
      <c r="C3669" s="55"/>
      <c r="D3669" s="70"/>
      <c r="G3669" s="78"/>
    </row>
    <row r="3670" spans="2:7" x14ac:dyDescent="0.3">
      <c r="B3670" s="69"/>
      <c r="C3670" s="55"/>
      <c r="D3670" s="70"/>
      <c r="G3670" s="78"/>
    </row>
    <row r="3671" spans="2:7" x14ac:dyDescent="0.3">
      <c r="B3671" s="69"/>
      <c r="C3671" s="55"/>
      <c r="D3671" s="70"/>
      <c r="G3671" s="78"/>
    </row>
    <row r="3672" spans="2:7" x14ac:dyDescent="0.3">
      <c r="B3672" s="69"/>
      <c r="C3672" s="55"/>
      <c r="D3672" s="70"/>
      <c r="G3672" s="78"/>
    </row>
    <row r="3673" spans="2:7" x14ac:dyDescent="0.3">
      <c r="B3673" s="69"/>
      <c r="C3673" s="55"/>
      <c r="D3673" s="70"/>
      <c r="G3673" s="78"/>
    </row>
    <row r="3674" spans="2:7" x14ac:dyDescent="0.3">
      <c r="B3674" s="69"/>
      <c r="C3674" s="55"/>
      <c r="D3674" s="70"/>
      <c r="G3674" s="78"/>
    </row>
    <row r="3675" spans="2:7" x14ac:dyDescent="0.3">
      <c r="B3675" s="69"/>
      <c r="C3675" s="55"/>
      <c r="D3675" s="70"/>
      <c r="G3675" s="78"/>
    </row>
    <row r="3676" spans="2:7" x14ac:dyDescent="0.3">
      <c r="B3676" s="69"/>
      <c r="C3676" s="55"/>
      <c r="D3676" s="70"/>
      <c r="G3676" s="78"/>
    </row>
    <row r="3677" spans="2:7" x14ac:dyDescent="0.3">
      <c r="B3677" s="69"/>
      <c r="C3677" s="55"/>
      <c r="D3677" s="70"/>
      <c r="G3677" s="78"/>
    </row>
    <row r="3678" spans="2:7" x14ac:dyDescent="0.3">
      <c r="B3678" s="69"/>
      <c r="C3678" s="55"/>
      <c r="D3678" s="70"/>
      <c r="G3678" s="78"/>
    </row>
    <row r="3679" spans="2:7" x14ac:dyDescent="0.3">
      <c r="B3679" s="69"/>
      <c r="C3679" s="55"/>
      <c r="D3679" s="70"/>
      <c r="G3679" s="78"/>
    </row>
    <row r="3680" spans="2:7" x14ac:dyDescent="0.3">
      <c r="B3680" s="69"/>
      <c r="C3680" s="55"/>
      <c r="D3680" s="70"/>
      <c r="G3680" s="78"/>
    </row>
    <row r="3681" spans="2:7" x14ac:dyDescent="0.3">
      <c r="B3681" s="69"/>
      <c r="C3681" s="55"/>
      <c r="D3681" s="70"/>
      <c r="G3681" s="78"/>
    </row>
    <row r="3682" spans="2:7" x14ac:dyDescent="0.3">
      <c r="B3682" s="69"/>
      <c r="C3682" s="55"/>
      <c r="D3682" s="70"/>
      <c r="G3682" s="78"/>
    </row>
    <row r="3683" spans="2:7" x14ac:dyDescent="0.3">
      <c r="B3683" s="69"/>
      <c r="C3683" s="55"/>
      <c r="D3683" s="70"/>
      <c r="G3683" s="78"/>
    </row>
    <row r="3684" spans="2:7" x14ac:dyDescent="0.3">
      <c r="B3684" s="69"/>
      <c r="C3684" s="55"/>
      <c r="D3684" s="70"/>
      <c r="G3684" s="78"/>
    </row>
    <row r="3685" spans="2:7" x14ac:dyDescent="0.3">
      <c r="B3685" s="69"/>
      <c r="C3685" s="55"/>
      <c r="D3685" s="70"/>
      <c r="G3685" s="78"/>
    </row>
    <row r="3686" spans="2:7" x14ac:dyDescent="0.3">
      <c r="B3686" s="69"/>
      <c r="C3686" s="55"/>
      <c r="D3686" s="70"/>
      <c r="G3686" s="78"/>
    </row>
    <row r="3687" spans="2:7" x14ac:dyDescent="0.3">
      <c r="B3687" s="69"/>
      <c r="C3687" s="55"/>
      <c r="D3687" s="70"/>
      <c r="G3687" s="78"/>
    </row>
    <row r="3688" spans="2:7" x14ac:dyDescent="0.3">
      <c r="B3688" s="69"/>
      <c r="C3688" s="55"/>
      <c r="D3688" s="70"/>
      <c r="G3688" s="78"/>
    </row>
    <row r="3689" spans="2:7" x14ac:dyDescent="0.3">
      <c r="B3689" s="69"/>
      <c r="C3689" s="55"/>
      <c r="D3689" s="70"/>
      <c r="G3689" s="78"/>
    </row>
    <row r="3690" spans="2:7" x14ac:dyDescent="0.3">
      <c r="B3690" s="69"/>
      <c r="C3690" s="55"/>
      <c r="D3690" s="70"/>
      <c r="G3690" s="78"/>
    </row>
    <row r="3691" spans="2:7" x14ac:dyDescent="0.3">
      <c r="B3691" s="69"/>
      <c r="C3691" s="55"/>
      <c r="D3691" s="70"/>
      <c r="G3691" s="78"/>
    </row>
    <row r="3692" spans="2:7" x14ac:dyDescent="0.3">
      <c r="B3692" s="69"/>
      <c r="C3692" s="55"/>
      <c r="D3692" s="70"/>
      <c r="G3692" s="78"/>
    </row>
    <row r="3693" spans="2:7" x14ac:dyDescent="0.3">
      <c r="B3693" s="69"/>
      <c r="C3693" s="55"/>
      <c r="D3693" s="70"/>
      <c r="G3693" s="78"/>
    </row>
    <row r="3694" spans="2:7" x14ac:dyDescent="0.3">
      <c r="B3694" s="69"/>
      <c r="C3694" s="55"/>
      <c r="D3694" s="70"/>
      <c r="G3694" s="78"/>
    </row>
    <row r="3695" spans="2:7" x14ac:dyDescent="0.3">
      <c r="B3695" s="69"/>
      <c r="C3695" s="55"/>
      <c r="D3695" s="70"/>
      <c r="G3695" s="78"/>
    </row>
    <row r="3696" spans="2:7" x14ac:dyDescent="0.3">
      <c r="B3696" s="69"/>
      <c r="C3696" s="55"/>
      <c r="D3696" s="70"/>
      <c r="G3696" s="78"/>
    </row>
    <row r="3697" spans="2:7" x14ac:dyDescent="0.3">
      <c r="B3697" s="69"/>
      <c r="C3697" s="55"/>
      <c r="D3697" s="70"/>
      <c r="G3697" s="78"/>
    </row>
    <row r="3698" spans="2:7" x14ac:dyDescent="0.3">
      <c r="B3698" s="69"/>
      <c r="C3698" s="55"/>
      <c r="D3698" s="70"/>
      <c r="G3698" s="78"/>
    </row>
    <row r="3699" spans="2:7" x14ac:dyDescent="0.3">
      <c r="B3699" s="69"/>
      <c r="C3699" s="55"/>
      <c r="D3699" s="70"/>
      <c r="G3699" s="78"/>
    </row>
    <row r="3700" spans="2:7" x14ac:dyDescent="0.3">
      <c r="B3700" s="69"/>
      <c r="C3700" s="55"/>
      <c r="D3700" s="70"/>
      <c r="G3700" s="78"/>
    </row>
    <row r="3701" spans="2:7" x14ac:dyDescent="0.3">
      <c r="B3701" s="69"/>
      <c r="C3701" s="55"/>
      <c r="D3701" s="70"/>
      <c r="G3701" s="78"/>
    </row>
    <row r="3702" spans="2:7" x14ac:dyDescent="0.3">
      <c r="B3702" s="69"/>
      <c r="C3702" s="55"/>
      <c r="D3702" s="70"/>
      <c r="G3702" s="78"/>
    </row>
    <row r="3703" spans="2:7" x14ac:dyDescent="0.3">
      <c r="B3703" s="69"/>
      <c r="C3703" s="55"/>
      <c r="D3703" s="70"/>
      <c r="G3703" s="78"/>
    </row>
    <row r="3704" spans="2:7" x14ac:dyDescent="0.3">
      <c r="B3704" s="69"/>
      <c r="C3704" s="55"/>
      <c r="D3704" s="70"/>
      <c r="G3704" s="78"/>
    </row>
    <row r="3705" spans="2:7" x14ac:dyDescent="0.3">
      <c r="B3705" s="69"/>
      <c r="C3705" s="55"/>
      <c r="D3705" s="70"/>
      <c r="G3705" s="78"/>
    </row>
    <row r="3706" spans="2:7" x14ac:dyDescent="0.3">
      <c r="B3706" s="69"/>
      <c r="C3706" s="55"/>
      <c r="D3706" s="70"/>
      <c r="G3706" s="78"/>
    </row>
    <row r="3707" spans="2:7" x14ac:dyDescent="0.3">
      <c r="B3707" s="69"/>
      <c r="C3707" s="55"/>
      <c r="D3707" s="70"/>
      <c r="G3707" s="78"/>
    </row>
    <row r="3708" spans="2:7" x14ac:dyDescent="0.3">
      <c r="B3708" s="69"/>
      <c r="C3708" s="55"/>
      <c r="D3708" s="70"/>
      <c r="G3708" s="78"/>
    </row>
    <row r="3709" spans="2:7" x14ac:dyDescent="0.3">
      <c r="B3709" s="69"/>
      <c r="C3709" s="55"/>
      <c r="D3709" s="70"/>
      <c r="G3709" s="78"/>
    </row>
    <row r="3710" spans="2:7" x14ac:dyDescent="0.3">
      <c r="B3710" s="69"/>
      <c r="C3710" s="55"/>
      <c r="D3710" s="70"/>
      <c r="G3710" s="78"/>
    </row>
    <row r="3711" spans="2:7" x14ac:dyDescent="0.3">
      <c r="B3711" s="69"/>
      <c r="C3711" s="55"/>
      <c r="D3711" s="70"/>
      <c r="G3711" s="78"/>
    </row>
    <row r="3712" spans="2:7" x14ac:dyDescent="0.3">
      <c r="B3712" s="69"/>
      <c r="C3712" s="55"/>
      <c r="D3712" s="70"/>
      <c r="G3712" s="78"/>
    </row>
    <row r="3713" spans="2:7" x14ac:dyDescent="0.3">
      <c r="B3713" s="69"/>
      <c r="C3713" s="55"/>
      <c r="D3713" s="70"/>
      <c r="G3713" s="78"/>
    </row>
    <row r="3714" spans="2:7" x14ac:dyDescent="0.3">
      <c r="B3714" s="69"/>
      <c r="C3714" s="55"/>
      <c r="D3714" s="70"/>
      <c r="G3714" s="78"/>
    </row>
    <row r="3715" spans="2:7" x14ac:dyDescent="0.3">
      <c r="B3715" s="69"/>
      <c r="C3715" s="55"/>
      <c r="D3715" s="70"/>
      <c r="G3715" s="78"/>
    </row>
    <row r="3716" spans="2:7" x14ac:dyDescent="0.3">
      <c r="B3716" s="69"/>
      <c r="C3716" s="55"/>
      <c r="D3716" s="70"/>
      <c r="G3716" s="78"/>
    </row>
    <row r="3717" spans="2:7" x14ac:dyDescent="0.3">
      <c r="B3717" s="69"/>
      <c r="C3717" s="55"/>
      <c r="D3717" s="70"/>
      <c r="G3717" s="78"/>
    </row>
    <row r="3718" spans="2:7" x14ac:dyDescent="0.3">
      <c r="B3718" s="69"/>
      <c r="C3718" s="55"/>
      <c r="D3718" s="70"/>
      <c r="G3718" s="78"/>
    </row>
    <row r="3719" spans="2:7" x14ac:dyDescent="0.3">
      <c r="B3719" s="69"/>
      <c r="C3719" s="55"/>
      <c r="D3719" s="70"/>
      <c r="G3719" s="78"/>
    </row>
    <row r="3720" spans="2:7" x14ac:dyDescent="0.3">
      <c r="B3720" s="69"/>
      <c r="C3720" s="55"/>
      <c r="D3720" s="70"/>
      <c r="G3720" s="78"/>
    </row>
    <row r="3721" spans="2:7" x14ac:dyDescent="0.3">
      <c r="B3721" s="69"/>
      <c r="C3721" s="55"/>
      <c r="D3721" s="70"/>
      <c r="G3721" s="78"/>
    </row>
    <row r="3722" spans="2:7" x14ac:dyDescent="0.3">
      <c r="B3722" s="69"/>
      <c r="C3722" s="55"/>
      <c r="D3722" s="70"/>
      <c r="G3722" s="78"/>
    </row>
    <row r="3723" spans="2:7" x14ac:dyDescent="0.3">
      <c r="B3723" s="69"/>
      <c r="C3723" s="55"/>
      <c r="D3723" s="70"/>
      <c r="G3723" s="78"/>
    </row>
    <row r="3724" spans="2:7" x14ac:dyDescent="0.3">
      <c r="B3724" s="69"/>
      <c r="C3724" s="55"/>
      <c r="D3724" s="70"/>
      <c r="G3724" s="78"/>
    </row>
    <row r="3725" spans="2:7" x14ac:dyDescent="0.3">
      <c r="B3725" s="69"/>
      <c r="C3725" s="55"/>
      <c r="D3725" s="70"/>
      <c r="G3725" s="78"/>
    </row>
    <row r="3726" spans="2:7" x14ac:dyDescent="0.3">
      <c r="B3726" s="69"/>
      <c r="C3726" s="55"/>
      <c r="D3726" s="70"/>
      <c r="G3726" s="78"/>
    </row>
    <row r="3727" spans="2:7" x14ac:dyDescent="0.3">
      <c r="B3727" s="69"/>
      <c r="C3727" s="55"/>
      <c r="D3727" s="70"/>
      <c r="G3727" s="78"/>
    </row>
    <row r="3728" spans="2:7" x14ac:dyDescent="0.3">
      <c r="B3728" s="69"/>
      <c r="C3728" s="55"/>
      <c r="D3728" s="70"/>
      <c r="G3728" s="78"/>
    </row>
    <row r="3729" spans="2:7" x14ac:dyDescent="0.3">
      <c r="B3729" s="69"/>
      <c r="C3729" s="55"/>
      <c r="D3729" s="70"/>
      <c r="G3729" s="78"/>
    </row>
    <row r="3730" spans="2:7" x14ac:dyDescent="0.3">
      <c r="B3730" s="69"/>
      <c r="C3730" s="55"/>
      <c r="D3730" s="70"/>
      <c r="G3730" s="78"/>
    </row>
    <row r="3731" spans="2:7" x14ac:dyDescent="0.3">
      <c r="B3731" s="69"/>
      <c r="C3731" s="55"/>
      <c r="D3731" s="70"/>
      <c r="G3731" s="78"/>
    </row>
    <row r="3732" spans="2:7" x14ac:dyDescent="0.3">
      <c r="B3732" s="69"/>
      <c r="C3732" s="55"/>
      <c r="D3732" s="70"/>
      <c r="G3732" s="78"/>
    </row>
    <row r="3733" spans="2:7" x14ac:dyDescent="0.3">
      <c r="B3733" s="69"/>
      <c r="C3733" s="55"/>
      <c r="D3733" s="70"/>
      <c r="G3733" s="78"/>
    </row>
    <row r="3734" spans="2:7" x14ac:dyDescent="0.3">
      <c r="B3734" s="69"/>
      <c r="C3734" s="55"/>
      <c r="D3734" s="70"/>
      <c r="G3734" s="78"/>
    </row>
    <row r="3735" spans="2:7" x14ac:dyDescent="0.3">
      <c r="B3735" s="69"/>
      <c r="C3735" s="55"/>
      <c r="D3735" s="70"/>
      <c r="G3735" s="78"/>
    </row>
    <row r="3736" spans="2:7" x14ac:dyDescent="0.3">
      <c r="B3736" s="69"/>
      <c r="C3736" s="55"/>
      <c r="D3736" s="70"/>
      <c r="G3736" s="78"/>
    </row>
    <row r="3737" spans="2:7" x14ac:dyDescent="0.3">
      <c r="B3737" s="69"/>
      <c r="C3737" s="55"/>
      <c r="D3737" s="70"/>
      <c r="G3737" s="78"/>
    </row>
    <row r="3738" spans="2:7" x14ac:dyDescent="0.3">
      <c r="B3738" s="69"/>
      <c r="C3738" s="55"/>
      <c r="D3738" s="70"/>
      <c r="G3738" s="78"/>
    </row>
    <row r="3739" spans="2:7" x14ac:dyDescent="0.3">
      <c r="B3739" s="69"/>
      <c r="C3739" s="55"/>
      <c r="D3739" s="70"/>
      <c r="G3739" s="78"/>
    </row>
    <row r="3740" spans="2:7" x14ac:dyDescent="0.3">
      <c r="B3740" s="69"/>
      <c r="C3740" s="55"/>
      <c r="D3740" s="70"/>
      <c r="G3740" s="78"/>
    </row>
    <row r="3741" spans="2:7" x14ac:dyDescent="0.3">
      <c r="B3741" s="69"/>
      <c r="C3741" s="55"/>
      <c r="D3741" s="70"/>
      <c r="G3741" s="78"/>
    </row>
    <row r="3742" spans="2:7" x14ac:dyDescent="0.3">
      <c r="B3742" s="69"/>
      <c r="C3742" s="55"/>
      <c r="D3742" s="70"/>
      <c r="G3742" s="78"/>
    </row>
    <row r="3743" spans="2:7" x14ac:dyDescent="0.3">
      <c r="B3743" s="69"/>
      <c r="C3743" s="55"/>
      <c r="D3743" s="70"/>
      <c r="G3743" s="78"/>
    </row>
    <row r="3744" spans="2:7" x14ac:dyDescent="0.3">
      <c r="B3744" s="69"/>
      <c r="C3744" s="55"/>
      <c r="D3744" s="70"/>
      <c r="G3744" s="78"/>
    </row>
    <row r="3745" spans="2:7" x14ac:dyDescent="0.3">
      <c r="B3745" s="69"/>
      <c r="C3745" s="55"/>
      <c r="D3745" s="70"/>
      <c r="G3745" s="78"/>
    </row>
    <row r="3746" spans="2:7" x14ac:dyDescent="0.3">
      <c r="B3746" s="69"/>
      <c r="C3746" s="55"/>
      <c r="D3746" s="70"/>
      <c r="G3746" s="78"/>
    </row>
    <row r="3747" spans="2:7" x14ac:dyDescent="0.3">
      <c r="B3747" s="69"/>
      <c r="C3747" s="55"/>
      <c r="D3747" s="70"/>
      <c r="G3747" s="78"/>
    </row>
    <row r="3748" spans="2:7" x14ac:dyDescent="0.3">
      <c r="B3748" s="69"/>
      <c r="C3748" s="55"/>
      <c r="D3748" s="70"/>
      <c r="G3748" s="78"/>
    </row>
    <row r="3749" spans="2:7" x14ac:dyDescent="0.3">
      <c r="B3749" s="69"/>
      <c r="C3749" s="55"/>
      <c r="D3749" s="70"/>
      <c r="G3749" s="78"/>
    </row>
    <row r="3750" spans="2:7" x14ac:dyDescent="0.3">
      <c r="B3750" s="69"/>
      <c r="C3750" s="55"/>
      <c r="D3750" s="70"/>
      <c r="G3750" s="78"/>
    </row>
    <row r="3751" spans="2:7" x14ac:dyDescent="0.3">
      <c r="B3751" s="69"/>
      <c r="C3751" s="55"/>
      <c r="D3751" s="70"/>
      <c r="G3751" s="78"/>
    </row>
    <row r="3752" spans="2:7" x14ac:dyDescent="0.3">
      <c r="B3752" s="69"/>
      <c r="C3752" s="55"/>
      <c r="D3752" s="70"/>
      <c r="G3752" s="78"/>
    </row>
    <row r="3753" spans="2:7" x14ac:dyDescent="0.3">
      <c r="B3753" s="69"/>
      <c r="C3753" s="55"/>
      <c r="D3753" s="70"/>
      <c r="G3753" s="78"/>
    </row>
    <row r="3754" spans="2:7" x14ac:dyDescent="0.3">
      <c r="B3754" s="69"/>
      <c r="C3754" s="55"/>
      <c r="D3754" s="70"/>
      <c r="G3754" s="78"/>
    </row>
    <row r="3755" spans="2:7" x14ac:dyDescent="0.3">
      <c r="B3755" s="69"/>
      <c r="C3755" s="55"/>
      <c r="D3755" s="70"/>
      <c r="G3755" s="78"/>
    </row>
    <row r="3756" spans="2:7" x14ac:dyDescent="0.3">
      <c r="B3756" s="69"/>
      <c r="C3756" s="55"/>
      <c r="D3756" s="70"/>
      <c r="G3756" s="78"/>
    </row>
    <row r="3757" spans="2:7" x14ac:dyDescent="0.3">
      <c r="B3757" s="69"/>
      <c r="C3757" s="55"/>
      <c r="D3757" s="70"/>
      <c r="G3757" s="78"/>
    </row>
    <row r="3758" spans="2:7" x14ac:dyDescent="0.3">
      <c r="B3758" s="69"/>
      <c r="C3758" s="55"/>
      <c r="D3758" s="70"/>
      <c r="G3758" s="78"/>
    </row>
    <row r="3759" spans="2:7" x14ac:dyDescent="0.3">
      <c r="B3759" s="69"/>
      <c r="C3759" s="55"/>
      <c r="D3759" s="70"/>
      <c r="G3759" s="78"/>
    </row>
    <row r="3760" spans="2:7" x14ac:dyDescent="0.3">
      <c r="B3760" s="69"/>
      <c r="C3760" s="55"/>
      <c r="D3760" s="70"/>
      <c r="G3760" s="78"/>
    </row>
    <row r="3761" spans="2:7" x14ac:dyDescent="0.3">
      <c r="B3761" s="69"/>
      <c r="C3761" s="55"/>
      <c r="D3761" s="70"/>
      <c r="G3761" s="78"/>
    </row>
    <row r="3762" spans="2:7" x14ac:dyDescent="0.3">
      <c r="B3762" s="69"/>
      <c r="C3762" s="55"/>
      <c r="D3762" s="70"/>
      <c r="G3762" s="78"/>
    </row>
    <row r="3763" spans="2:7" x14ac:dyDescent="0.3">
      <c r="B3763" s="69"/>
      <c r="C3763" s="55"/>
      <c r="D3763" s="70"/>
      <c r="G3763" s="78"/>
    </row>
    <row r="3764" spans="2:7" x14ac:dyDescent="0.3">
      <c r="B3764" s="69"/>
      <c r="C3764" s="55"/>
      <c r="D3764" s="70"/>
      <c r="G3764" s="78"/>
    </row>
    <row r="3765" spans="2:7" x14ac:dyDescent="0.3">
      <c r="B3765" s="69"/>
      <c r="C3765" s="55"/>
      <c r="D3765" s="70"/>
      <c r="G3765" s="78"/>
    </row>
    <row r="3766" spans="2:7" x14ac:dyDescent="0.3">
      <c r="B3766" s="69"/>
      <c r="C3766" s="55"/>
      <c r="D3766" s="70"/>
      <c r="G3766" s="78"/>
    </row>
    <row r="3767" spans="2:7" x14ac:dyDescent="0.3">
      <c r="B3767" s="69"/>
      <c r="C3767" s="55"/>
      <c r="D3767" s="70"/>
      <c r="G3767" s="78"/>
    </row>
    <row r="3768" spans="2:7" x14ac:dyDescent="0.3">
      <c r="B3768" s="69"/>
      <c r="C3768" s="55"/>
      <c r="D3768" s="70"/>
      <c r="G3768" s="78"/>
    </row>
    <row r="3769" spans="2:7" x14ac:dyDescent="0.3">
      <c r="B3769" s="69"/>
      <c r="C3769" s="55"/>
      <c r="D3769" s="70"/>
      <c r="G3769" s="78"/>
    </row>
    <row r="3770" spans="2:7" x14ac:dyDescent="0.3">
      <c r="B3770" s="69"/>
      <c r="C3770" s="55"/>
      <c r="D3770" s="70"/>
      <c r="G3770" s="78"/>
    </row>
    <row r="3771" spans="2:7" x14ac:dyDescent="0.3">
      <c r="B3771" s="69"/>
      <c r="C3771" s="55"/>
      <c r="D3771" s="70"/>
      <c r="G3771" s="78"/>
    </row>
    <row r="3772" spans="2:7" x14ac:dyDescent="0.3">
      <c r="B3772" s="69"/>
      <c r="C3772" s="55"/>
      <c r="D3772" s="70"/>
      <c r="G3772" s="78"/>
    </row>
    <row r="3773" spans="2:7" x14ac:dyDescent="0.3">
      <c r="B3773" s="69"/>
      <c r="C3773" s="55"/>
      <c r="D3773" s="70"/>
      <c r="G3773" s="78"/>
    </row>
    <row r="3774" spans="2:7" x14ac:dyDescent="0.3">
      <c r="B3774" s="69"/>
      <c r="C3774" s="55"/>
      <c r="D3774" s="70"/>
      <c r="G3774" s="78"/>
    </row>
    <row r="3775" spans="2:7" x14ac:dyDescent="0.3">
      <c r="B3775" s="69"/>
      <c r="C3775" s="55"/>
      <c r="D3775" s="70"/>
      <c r="G3775" s="78"/>
    </row>
    <row r="3776" spans="2:7" x14ac:dyDescent="0.3">
      <c r="B3776" s="69"/>
      <c r="C3776" s="55"/>
      <c r="D3776" s="70"/>
      <c r="G3776" s="78"/>
    </row>
    <row r="3777" spans="2:7" x14ac:dyDescent="0.3">
      <c r="B3777" s="69"/>
      <c r="C3777" s="55"/>
      <c r="D3777" s="70"/>
      <c r="G3777" s="78"/>
    </row>
    <row r="3778" spans="2:7" x14ac:dyDescent="0.3">
      <c r="B3778" s="69"/>
      <c r="C3778" s="55"/>
      <c r="D3778" s="70"/>
      <c r="G3778" s="78"/>
    </row>
    <row r="3779" spans="2:7" x14ac:dyDescent="0.3">
      <c r="B3779" s="69"/>
      <c r="C3779" s="55"/>
      <c r="D3779" s="70"/>
      <c r="G3779" s="78"/>
    </row>
    <row r="3780" spans="2:7" x14ac:dyDescent="0.3">
      <c r="B3780" s="69"/>
      <c r="C3780" s="55"/>
      <c r="D3780" s="70"/>
      <c r="G3780" s="78"/>
    </row>
    <row r="3781" spans="2:7" x14ac:dyDescent="0.3">
      <c r="B3781" s="69"/>
      <c r="C3781" s="55"/>
      <c r="D3781" s="70"/>
      <c r="G3781" s="78"/>
    </row>
    <row r="3782" spans="2:7" x14ac:dyDescent="0.3">
      <c r="B3782" s="69"/>
      <c r="C3782" s="55"/>
      <c r="D3782" s="70"/>
      <c r="G3782" s="78"/>
    </row>
    <row r="3783" spans="2:7" x14ac:dyDescent="0.3">
      <c r="B3783" s="69"/>
      <c r="C3783" s="55"/>
      <c r="D3783" s="70"/>
      <c r="G3783" s="78"/>
    </row>
    <row r="3784" spans="2:7" x14ac:dyDescent="0.3">
      <c r="B3784" s="69"/>
      <c r="C3784" s="55"/>
      <c r="D3784" s="70"/>
      <c r="G3784" s="78"/>
    </row>
    <row r="3785" spans="2:7" x14ac:dyDescent="0.3">
      <c r="B3785" s="69"/>
      <c r="C3785" s="55"/>
      <c r="D3785" s="70"/>
      <c r="G3785" s="78"/>
    </row>
    <row r="3786" spans="2:7" x14ac:dyDescent="0.3">
      <c r="B3786" s="69"/>
      <c r="C3786" s="55"/>
      <c r="D3786" s="70"/>
      <c r="G3786" s="78"/>
    </row>
    <row r="3787" spans="2:7" x14ac:dyDescent="0.3">
      <c r="B3787" s="69"/>
      <c r="C3787" s="55"/>
      <c r="D3787" s="70"/>
      <c r="G3787" s="78"/>
    </row>
    <row r="3788" spans="2:7" x14ac:dyDescent="0.3">
      <c r="B3788" s="69"/>
      <c r="C3788" s="55"/>
      <c r="D3788" s="70"/>
      <c r="G3788" s="78"/>
    </row>
    <row r="3789" spans="2:7" x14ac:dyDescent="0.3">
      <c r="B3789" s="69"/>
      <c r="C3789" s="55"/>
      <c r="D3789" s="70"/>
      <c r="G3789" s="78"/>
    </row>
    <row r="3790" spans="2:7" x14ac:dyDescent="0.3">
      <c r="B3790" s="69"/>
      <c r="C3790" s="55"/>
      <c r="D3790" s="70"/>
      <c r="G3790" s="78"/>
    </row>
    <row r="3791" spans="2:7" x14ac:dyDescent="0.3">
      <c r="B3791" s="69"/>
      <c r="C3791" s="55"/>
      <c r="D3791" s="70"/>
      <c r="G3791" s="78"/>
    </row>
    <row r="3792" spans="2:7" x14ac:dyDescent="0.3">
      <c r="B3792" s="69"/>
      <c r="C3792" s="55"/>
      <c r="D3792" s="70"/>
      <c r="G3792" s="78"/>
    </row>
    <row r="3793" spans="2:7" x14ac:dyDescent="0.3">
      <c r="B3793" s="69"/>
      <c r="C3793" s="55"/>
      <c r="D3793" s="70"/>
      <c r="G3793" s="78"/>
    </row>
    <row r="3794" spans="2:7" x14ac:dyDescent="0.3">
      <c r="B3794" s="69"/>
      <c r="C3794" s="55"/>
      <c r="D3794" s="70"/>
      <c r="G3794" s="78"/>
    </row>
    <row r="3795" spans="2:7" x14ac:dyDescent="0.3">
      <c r="B3795" s="69"/>
      <c r="C3795" s="55"/>
      <c r="D3795" s="70"/>
      <c r="G3795" s="78"/>
    </row>
    <row r="3796" spans="2:7" x14ac:dyDescent="0.3">
      <c r="B3796" s="69"/>
      <c r="C3796" s="55"/>
      <c r="D3796" s="70"/>
      <c r="G3796" s="78"/>
    </row>
    <row r="3797" spans="2:7" x14ac:dyDescent="0.3">
      <c r="B3797" s="69"/>
      <c r="C3797" s="55"/>
      <c r="D3797" s="70"/>
      <c r="G3797" s="78"/>
    </row>
    <row r="3798" spans="2:7" x14ac:dyDescent="0.3">
      <c r="B3798" s="69"/>
      <c r="C3798" s="55"/>
      <c r="D3798" s="70"/>
      <c r="G3798" s="78"/>
    </row>
    <row r="3799" spans="2:7" x14ac:dyDescent="0.3">
      <c r="B3799" s="69"/>
      <c r="C3799" s="55"/>
      <c r="D3799" s="70"/>
      <c r="G3799" s="78"/>
    </row>
    <row r="3800" spans="2:7" x14ac:dyDescent="0.3">
      <c r="B3800" s="69"/>
      <c r="C3800" s="55"/>
      <c r="D3800" s="70"/>
      <c r="G3800" s="78"/>
    </row>
    <row r="3801" spans="2:7" x14ac:dyDescent="0.3">
      <c r="B3801" s="69"/>
      <c r="C3801" s="55"/>
      <c r="D3801" s="70"/>
      <c r="G3801" s="78"/>
    </row>
    <row r="3802" spans="2:7" x14ac:dyDescent="0.3">
      <c r="B3802" s="69"/>
      <c r="C3802" s="55"/>
      <c r="D3802" s="70"/>
      <c r="G3802" s="78"/>
    </row>
    <row r="3803" spans="2:7" x14ac:dyDescent="0.3">
      <c r="B3803" s="69"/>
      <c r="C3803" s="55"/>
      <c r="D3803" s="70"/>
      <c r="G3803" s="78"/>
    </row>
    <row r="3804" spans="2:7" x14ac:dyDescent="0.3">
      <c r="B3804" s="69"/>
      <c r="C3804" s="55"/>
      <c r="D3804" s="70"/>
      <c r="G3804" s="78"/>
    </row>
    <row r="3805" spans="2:7" x14ac:dyDescent="0.3">
      <c r="B3805" s="69"/>
      <c r="C3805" s="55"/>
      <c r="D3805" s="70"/>
      <c r="G3805" s="78"/>
    </row>
    <row r="3806" spans="2:7" x14ac:dyDescent="0.3">
      <c r="B3806" s="69"/>
      <c r="C3806" s="55"/>
      <c r="D3806" s="70"/>
      <c r="G3806" s="78"/>
    </row>
    <row r="3807" spans="2:7" x14ac:dyDescent="0.3">
      <c r="B3807" s="69"/>
      <c r="C3807" s="55"/>
      <c r="D3807" s="70"/>
      <c r="G3807" s="78"/>
    </row>
    <row r="3808" spans="2:7" x14ac:dyDescent="0.3">
      <c r="B3808" s="69"/>
      <c r="C3808" s="55"/>
      <c r="D3808" s="70"/>
      <c r="G3808" s="78"/>
    </row>
    <row r="3809" spans="2:7" x14ac:dyDescent="0.3">
      <c r="B3809" s="69"/>
      <c r="C3809" s="55"/>
      <c r="D3809" s="70"/>
      <c r="G3809" s="78"/>
    </row>
    <row r="3810" spans="2:7" x14ac:dyDescent="0.3">
      <c r="B3810" s="69"/>
      <c r="C3810" s="55"/>
      <c r="D3810" s="70"/>
      <c r="G3810" s="78"/>
    </row>
    <row r="3811" spans="2:7" x14ac:dyDescent="0.3">
      <c r="B3811" s="69"/>
      <c r="C3811" s="55"/>
      <c r="D3811" s="70"/>
      <c r="G3811" s="78"/>
    </row>
    <row r="3812" spans="2:7" x14ac:dyDescent="0.3">
      <c r="B3812" s="69"/>
      <c r="C3812" s="55"/>
      <c r="D3812" s="70"/>
      <c r="G3812" s="78"/>
    </row>
    <row r="3813" spans="2:7" x14ac:dyDescent="0.3">
      <c r="B3813" s="69"/>
      <c r="C3813" s="55"/>
      <c r="D3813" s="70"/>
      <c r="G3813" s="78"/>
    </row>
    <row r="3814" spans="2:7" x14ac:dyDescent="0.3">
      <c r="B3814" s="69"/>
      <c r="C3814" s="55"/>
      <c r="D3814" s="70"/>
      <c r="G3814" s="78"/>
    </row>
    <row r="3815" spans="2:7" x14ac:dyDescent="0.3">
      <c r="B3815" s="69"/>
      <c r="C3815" s="55"/>
      <c r="D3815" s="70"/>
      <c r="G3815" s="78"/>
    </row>
    <row r="3816" spans="2:7" x14ac:dyDescent="0.3">
      <c r="B3816" s="69"/>
      <c r="C3816" s="55"/>
      <c r="D3816" s="70"/>
      <c r="G3816" s="78"/>
    </row>
    <row r="3817" spans="2:7" x14ac:dyDescent="0.3">
      <c r="B3817" s="69"/>
      <c r="C3817" s="55"/>
      <c r="D3817" s="70"/>
      <c r="G3817" s="78"/>
    </row>
    <row r="3818" spans="2:7" x14ac:dyDescent="0.3">
      <c r="B3818" s="69"/>
      <c r="C3818" s="55"/>
      <c r="D3818" s="70"/>
      <c r="G3818" s="78"/>
    </row>
    <row r="3819" spans="2:7" x14ac:dyDescent="0.3">
      <c r="B3819" s="69"/>
      <c r="C3819" s="55"/>
      <c r="D3819" s="70"/>
      <c r="G3819" s="78"/>
    </row>
    <row r="3820" spans="2:7" x14ac:dyDescent="0.3">
      <c r="B3820" s="69"/>
      <c r="C3820" s="55"/>
      <c r="D3820" s="70"/>
      <c r="G3820" s="78"/>
    </row>
    <row r="3821" spans="2:7" x14ac:dyDescent="0.3">
      <c r="B3821" s="69"/>
      <c r="C3821" s="55"/>
      <c r="D3821" s="70"/>
      <c r="G3821" s="78"/>
    </row>
    <row r="3822" spans="2:7" x14ac:dyDescent="0.3">
      <c r="B3822" s="69"/>
      <c r="C3822" s="55"/>
      <c r="D3822" s="70"/>
      <c r="G3822" s="78"/>
    </row>
    <row r="3823" spans="2:7" x14ac:dyDescent="0.3">
      <c r="B3823" s="69"/>
      <c r="C3823" s="55"/>
      <c r="D3823" s="70"/>
      <c r="G3823" s="78"/>
    </row>
    <row r="3824" spans="2:7" x14ac:dyDescent="0.3">
      <c r="B3824" s="69"/>
      <c r="C3824" s="55"/>
      <c r="D3824" s="70"/>
      <c r="G3824" s="78"/>
    </row>
    <row r="3825" spans="2:7" x14ac:dyDescent="0.3">
      <c r="B3825" s="69"/>
      <c r="C3825" s="55"/>
      <c r="D3825" s="70"/>
      <c r="G3825" s="78"/>
    </row>
    <row r="3826" spans="2:7" x14ac:dyDescent="0.3">
      <c r="B3826" s="69"/>
      <c r="C3826" s="55"/>
      <c r="D3826" s="70"/>
      <c r="G3826" s="78"/>
    </row>
    <row r="3827" spans="2:7" x14ac:dyDescent="0.3">
      <c r="B3827" s="69"/>
      <c r="C3827" s="55"/>
      <c r="D3827" s="70"/>
      <c r="G3827" s="78"/>
    </row>
    <row r="3828" spans="2:7" x14ac:dyDescent="0.3">
      <c r="B3828" s="69"/>
      <c r="C3828" s="55"/>
      <c r="D3828" s="70"/>
      <c r="G3828" s="78"/>
    </row>
    <row r="3829" spans="2:7" x14ac:dyDescent="0.3">
      <c r="B3829" s="69"/>
      <c r="C3829" s="55"/>
      <c r="D3829" s="70"/>
      <c r="G3829" s="78"/>
    </row>
    <row r="3830" spans="2:7" x14ac:dyDescent="0.3">
      <c r="B3830" s="69"/>
      <c r="C3830" s="55"/>
      <c r="D3830" s="70"/>
      <c r="G3830" s="78"/>
    </row>
    <row r="3831" spans="2:7" x14ac:dyDescent="0.3">
      <c r="B3831" s="69"/>
      <c r="C3831" s="55"/>
      <c r="D3831" s="70"/>
      <c r="G3831" s="78"/>
    </row>
    <row r="3832" spans="2:7" x14ac:dyDescent="0.3">
      <c r="B3832" s="69"/>
      <c r="C3832" s="55"/>
      <c r="D3832" s="70"/>
      <c r="G3832" s="78"/>
    </row>
    <row r="3833" spans="2:7" x14ac:dyDescent="0.3">
      <c r="B3833" s="69"/>
      <c r="C3833" s="55"/>
      <c r="D3833" s="70"/>
      <c r="G3833" s="78"/>
    </row>
    <row r="3834" spans="2:7" x14ac:dyDescent="0.3">
      <c r="B3834" s="69"/>
      <c r="C3834" s="55"/>
      <c r="D3834" s="70"/>
      <c r="G3834" s="78"/>
    </row>
    <row r="3835" spans="2:7" x14ac:dyDescent="0.3">
      <c r="B3835" s="69"/>
      <c r="C3835" s="55"/>
      <c r="D3835" s="70"/>
      <c r="G3835" s="78"/>
    </row>
    <row r="3836" spans="2:7" x14ac:dyDescent="0.3">
      <c r="B3836" s="69"/>
      <c r="C3836" s="55"/>
      <c r="D3836" s="70"/>
      <c r="G3836" s="78"/>
    </row>
    <row r="3837" spans="2:7" x14ac:dyDescent="0.3">
      <c r="B3837" s="69"/>
      <c r="C3837" s="55"/>
      <c r="D3837" s="70"/>
      <c r="G3837" s="78"/>
    </row>
    <row r="3838" spans="2:7" x14ac:dyDescent="0.3">
      <c r="B3838" s="69"/>
      <c r="C3838" s="55"/>
      <c r="D3838" s="70"/>
      <c r="G3838" s="78"/>
    </row>
    <row r="3839" spans="2:7" x14ac:dyDescent="0.3">
      <c r="B3839" s="69"/>
      <c r="C3839" s="55"/>
      <c r="D3839" s="70"/>
      <c r="G3839" s="78"/>
    </row>
    <row r="3840" spans="2:7" x14ac:dyDescent="0.3">
      <c r="B3840" s="69"/>
      <c r="C3840" s="55"/>
      <c r="D3840" s="70"/>
      <c r="G3840" s="78"/>
    </row>
    <row r="3841" spans="2:7" x14ac:dyDescent="0.3">
      <c r="B3841" s="69"/>
      <c r="C3841" s="55"/>
      <c r="D3841" s="70"/>
      <c r="G3841" s="78"/>
    </row>
    <row r="3842" spans="2:7" x14ac:dyDescent="0.3">
      <c r="B3842" s="69"/>
      <c r="C3842" s="55"/>
      <c r="D3842" s="70"/>
      <c r="G3842" s="78"/>
    </row>
    <row r="3843" spans="2:7" x14ac:dyDescent="0.3">
      <c r="B3843" s="69"/>
      <c r="C3843" s="55"/>
      <c r="D3843" s="70"/>
      <c r="G3843" s="78"/>
    </row>
    <row r="3844" spans="2:7" x14ac:dyDescent="0.3">
      <c r="B3844" s="69"/>
      <c r="C3844" s="55"/>
      <c r="D3844" s="70"/>
      <c r="G3844" s="78"/>
    </row>
    <row r="3845" spans="2:7" x14ac:dyDescent="0.3">
      <c r="B3845" s="69"/>
      <c r="C3845" s="55"/>
      <c r="D3845" s="70"/>
      <c r="G3845" s="78"/>
    </row>
    <row r="3846" spans="2:7" x14ac:dyDescent="0.3">
      <c r="B3846" s="69"/>
      <c r="C3846" s="55"/>
      <c r="D3846" s="70"/>
      <c r="G3846" s="78"/>
    </row>
    <row r="3847" spans="2:7" x14ac:dyDescent="0.3">
      <c r="B3847" s="69"/>
      <c r="C3847" s="55"/>
      <c r="D3847" s="70"/>
      <c r="G3847" s="78"/>
    </row>
    <row r="3848" spans="2:7" x14ac:dyDescent="0.3">
      <c r="B3848" s="69"/>
      <c r="C3848" s="55"/>
      <c r="D3848" s="70"/>
      <c r="G3848" s="78"/>
    </row>
    <row r="3849" spans="2:7" x14ac:dyDescent="0.3">
      <c r="B3849" s="69"/>
      <c r="C3849" s="55"/>
      <c r="D3849" s="70"/>
      <c r="G3849" s="78"/>
    </row>
    <row r="3850" spans="2:7" x14ac:dyDescent="0.3">
      <c r="B3850" s="69"/>
      <c r="C3850" s="55"/>
      <c r="D3850" s="70"/>
      <c r="G3850" s="78"/>
    </row>
    <row r="3851" spans="2:7" x14ac:dyDescent="0.3">
      <c r="B3851" s="69"/>
      <c r="C3851" s="55"/>
      <c r="D3851" s="70"/>
      <c r="G3851" s="78"/>
    </row>
    <row r="3852" spans="2:7" x14ac:dyDescent="0.3">
      <c r="B3852" s="69"/>
      <c r="C3852" s="55"/>
      <c r="D3852" s="70"/>
      <c r="G3852" s="78"/>
    </row>
    <row r="3853" spans="2:7" x14ac:dyDescent="0.3">
      <c r="B3853" s="69"/>
      <c r="C3853" s="55"/>
      <c r="D3853" s="70"/>
      <c r="G3853" s="78"/>
    </row>
    <row r="3854" spans="2:7" x14ac:dyDescent="0.3">
      <c r="B3854" s="69"/>
      <c r="C3854" s="55"/>
      <c r="D3854" s="70"/>
      <c r="G3854" s="78"/>
    </row>
    <row r="3855" spans="2:7" x14ac:dyDescent="0.3">
      <c r="B3855" s="69"/>
      <c r="C3855" s="55"/>
      <c r="D3855" s="70"/>
      <c r="G3855" s="78"/>
    </row>
    <row r="3856" spans="2:7" x14ac:dyDescent="0.3">
      <c r="B3856" s="69"/>
      <c r="C3856" s="55"/>
      <c r="D3856" s="70"/>
      <c r="G3856" s="78"/>
    </row>
    <row r="3857" spans="2:7" x14ac:dyDescent="0.3">
      <c r="B3857" s="69"/>
      <c r="C3857" s="55"/>
      <c r="D3857" s="70"/>
      <c r="G3857" s="78"/>
    </row>
    <row r="3858" spans="2:7" x14ac:dyDescent="0.3">
      <c r="B3858" s="69"/>
      <c r="C3858" s="55"/>
      <c r="D3858" s="70"/>
      <c r="G3858" s="78"/>
    </row>
    <row r="3859" spans="2:7" x14ac:dyDescent="0.3">
      <c r="B3859" s="69"/>
      <c r="C3859" s="55"/>
      <c r="D3859" s="70"/>
      <c r="G3859" s="78"/>
    </row>
    <row r="3860" spans="2:7" x14ac:dyDescent="0.3">
      <c r="B3860" s="69"/>
      <c r="C3860" s="55"/>
      <c r="D3860" s="70"/>
      <c r="G3860" s="78"/>
    </row>
    <row r="3861" spans="2:7" x14ac:dyDescent="0.3">
      <c r="B3861" s="69"/>
      <c r="C3861" s="55"/>
      <c r="D3861" s="70"/>
      <c r="G3861" s="78"/>
    </row>
    <row r="3862" spans="2:7" x14ac:dyDescent="0.3">
      <c r="B3862" s="69"/>
      <c r="C3862" s="55"/>
      <c r="D3862" s="70"/>
      <c r="G3862" s="78"/>
    </row>
    <row r="3863" spans="2:7" x14ac:dyDescent="0.3">
      <c r="B3863" s="69"/>
      <c r="C3863" s="55"/>
      <c r="D3863" s="70"/>
      <c r="G3863" s="78"/>
    </row>
    <row r="3864" spans="2:7" x14ac:dyDescent="0.3">
      <c r="B3864" s="69"/>
      <c r="C3864" s="55"/>
      <c r="D3864" s="70"/>
      <c r="G3864" s="78"/>
    </row>
    <row r="3865" spans="2:7" x14ac:dyDescent="0.3">
      <c r="B3865" s="69"/>
      <c r="C3865" s="55"/>
      <c r="D3865" s="70"/>
      <c r="G3865" s="78"/>
    </row>
    <row r="3866" spans="2:7" x14ac:dyDescent="0.3">
      <c r="B3866" s="69"/>
      <c r="C3866" s="55"/>
      <c r="D3866" s="70"/>
      <c r="G3866" s="78"/>
    </row>
    <row r="3867" spans="2:7" x14ac:dyDescent="0.3">
      <c r="B3867" s="69"/>
      <c r="C3867" s="55"/>
      <c r="D3867" s="70"/>
      <c r="G3867" s="78"/>
    </row>
    <row r="3868" spans="2:7" x14ac:dyDescent="0.3">
      <c r="B3868" s="69"/>
      <c r="C3868" s="55"/>
      <c r="D3868" s="70"/>
      <c r="G3868" s="78"/>
    </row>
    <row r="3869" spans="2:7" x14ac:dyDescent="0.3">
      <c r="B3869" s="69"/>
      <c r="C3869" s="55"/>
      <c r="D3869" s="70"/>
      <c r="G3869" s="78"/>
    </row>
    <row r="3870" spans="2:7" x14ac:dyDescent="0.3">
      <c r="B3870" s="69"/>
      <c r="C3870" s="55"/>
      <c r="D3870" s="70"/>
      <c r="G3870" s="78"/>
    </row>
    <row r="3871" spans="2:7" x14ac:dyDescent="0.3">
      <c r="B3871" s="69"/>
      <c r="C3871" s="55"/>
      <c r="D3871" s="70"/>
      <c r="G3871" s="78"/>
    </row>
    <row r="3872" spans="2:7" x14ac:dyDescent="0.3">
      <c r="B3872" s="69"/>
      <c r="C3872" s="55"/>
      <c r="D3872" s="70"/>
      <c r="G3872" s="78"/>
    </row>
    <row r="3873" spans="2:7" x14ac:dyDescent="0.3">
      <c r="B3873" s="69"/>
      <c r="C3873" s="55"/>
      <c r="D3873" s="70"/>
      <c r="G3873" s="78"/>
    </row>
    <row r="3874" spans="2:7" x14ac:dyDescent="0.3">
      <c r="B3874" s="69"/>
      <c r="C3874" s="55"/>
      <c r="D3874" s="70"/>
      <c r="G3874" s="78"/>
    </row>
    <row r="3875" spans="2:7" x14ac:dyDescent="0.3">
      <c r="B3875" s="69"/>
      <c r="C3875" s="55"/>
      <c r="D3875" s="70"/>
      <c r="G3875" s="78"/>
    </row>
    <row r="3876" spans="2:7" x14ac:dyDescent="0.3">
      <c r="B3876" s="69"/>
      <c r="C3876" s="55"/>
      <c r="D3876" s="70"/>
      <c r="G3876" s="78"/>
    </row>
    <row r="3877" spans="2:7" x14ac:dyDescent="0.3">
      <c r="B3877" s="69"/>
      <c r="C3877" s="55"/>
      <c r="D3877" s="70"/>
      <c r="G3877" s="78"/>
    </row>
    <row r="3878" spans="2:7" x14ac:dyDescent="0.3">
      <c r="B3878" s="69"/>
      <c r="C3878" s="55"/>
      <c r="D3878" s="70"/>
      <c r="G3878" s="78"/>
    </row>
    <row r="3879" spans="2:7" x14ac:dyDescent="0.3">
      <c r="B3879" s="69"/>
      <c r="C3879" s="55"/>
      <c r="D3879" s="70"/>
      <c r="G3879" s="78"/>
    </row>
    <row r="3880" spans="2:7" x14ac:dyDescent="0.3">
      <c r="B3880" s="69"/>
      <c r="C3880" s="55"/>
      <c r="D3880" s="70"/>
      <c r="G3880" s="78"/>
    </row>
    <row r="3881" spans="2:7" x14ac:dyDescent="0.3">
      <c r="B3881" s="69"/>
      <c r="C3881" s="55"/>
      <c r="D3881" s="70"/>
      <c r="G3881" s="78"/>
    </row>
    <row r="3882" spans="2:7" x14ac:dyDescent="0.3">
      <c r="B3882" s="69"/>
      <c r="C3882" s="55"/>
      <c r="D3882" s="70"/>
      <c r="G3882" s="78"/>
    </row>
    <row r="3883" spans="2:7" x14ac:dyDescent="0.3">
      <c r="B3883" s="69"/>
      <c r="C3883" s="55"/>
      <c r="D3883" s="70"/>
      <c r="G3883" s="78"/>
    </row>
    <row r="3884" spans="2:7" x14ac:dyDescent="0.3">
      <c r="B3884" s="69"/>
      <c r="C3884" s="55"/>
      <c r="D3884" s="70"/>
      <c r="G3884" s="78"/>
    </row>
    <row r="3885" spans="2:7" x14ac:dyDescent="0.3">
      <c r="B3885" s="69"/>
      <c r="C3885" s="55"/>
      <c r="D3885" s="70"/>
      <c r="G3885" s="78"/>
    </row>
    <row r="3886" spans="2:7" x14ac:dyDescent="0.3">
      <c r="B3886" s="69"/>
      <c r="C3886" s="55"/>
      <c r="D3886" s="70"/>
      <c r="G3886" s="78"/>
    </row>
    <row r="3887" spans="2:7" x14ac:dyDescent="0.3">
      <c r="B3887" s="69"/>
      <c r="C3887" s="55"/>
      <c r="D3887" s="70"/>
      <c r="G3887" s="78"/>
    </row>
    <row r="3888" spans="2:7" x14ac:dyDescent="0.3">
      <c r="B3888" s="69"/>
      <c r="C3888" s="55"/>
      <c r="D3888" s="70"/>
      <c r="G3888" s="78"/>
    </row>
    <row r="3889" spans="2:7" x14ac:dyDescent="0.3">
      <c r="B3889" s="69"/>
      <c r="C3889" s="55"/>
      <c r="D3889" s="70"/>
      <c r="G3889" s="78"/>
    </row>
    <row r="3890" spans="2:7" x14ac:dyDescent="0.3">
      <c r="B3890" s="69"/>
      <c r="C3890" s="55"/>
      <c r="D3890" s="70"/>
      <c r="G3890" s="78"/>
    </row>
    <row r="3891" spans="2:7" x14ac:dyDescent="0.3">
      <c r="B3891" s="69"/>
      <c r="C3891" s="55"/>
      <c r="D3891" s="70"/>
      <c r="G3891" s="78"/>
    </row>
    <row r="3892" spans="2:7" x14ac:dyDescent="0.3">
      <c r="B3892" s="69"/>
      <c r="C3892" s="55"/>
      <c r="D3892" s="70"/>
      <c r="G3892" s="78"/>
    </row>
    <row r="3893" spans="2:7" x14ac:dyDescent="0.3">
      <c r="B3893" s="69"/>
      <c r="C3893" s="55"/>
      <c r="D3893" s="70"/>
      <c r="G3893" s="78"/>
    </row>
    <row r="3894" spans="2:7" x14ac:dyDescent="0.3">
      <c r="B3894" s="69"/>
      <c r="C3894" s="55"/>
      <c r="D3894" s="70"/>
      <c r="G3894" s="78"/>
    </row>
    <row r="3895" spans="2:7" x14ac:dyDescent="0.3">
      <c r="B3895" s="69"/>
      <c r="C3895" s="55"/>
      <c r="D3895" s="70"/>
      <c r="G3895" s="78"/>
    </row>
    <row r="3896" spans="2:7" x14ac:dyDescent="0.3">
      <c r="B3896" s="69"/>
      <c r="C3896" s="55"/>
      <c r="D3896" s="70"/>
      <c r="G3896" s="78"/>
    </row>
    <row r="3897" spans="2:7" x14ac:dyDescent="0.3">
      <c r="B3897" s="69"/>
      <c r="C3897" s="55"/>
      <c r="D3897" s="70"/>
      <c r="G3897" s="78"/>
    </row>
    <row r="3898" spans="2:7" x14ac:dyDescent="0.3">
      <c r="B3898" s="69"/>
      <c r="C3898" s="55"/>
      <c r="D3898" s="70"/>
      <c r="G3898" s="78"/>
    </row>
    <row r="3899" spans="2:7" x14ac:dyDescent="0.3">
      <c r="B3899" s="69"/>
      <c r="C3899" s="55"/>
      <c r="D3899" s="70"/>
      <c r="G3899" s="78"/>
    </row>
    <row r="3900" spans="2:7" x14ac:dyDescent="0.3">
      <c r="B3900" s="69"/>
      <c r="C3900" s="55"/>
      <c r="D3900" s="70"/>
      <c r="G3900" s="78"/>
    </row>
    <row r="3901" spans="2:7" x14ac:dyDescent="0.3">
      <c r="B3901" s="69"/>
      <c r="C3901" s="55"/>
      <c r="D3901" s="70"/>
      <c r="G3901" s="78"/>
    </row>
    <row r="3902" spans="2:7" x14ac:dyDescent="0.3">
      <c r="B3902" s="69"/>
      <c r="C3902" s="55"/>
      <c r="D3902" s="70"/>
      <c r="G3902" s="78"/>
    </row>
    <row r="3903" spans="2:7" x14ac:dyDescent="0.3">
      <c r="B3903" s="69"/>
      <c r="C3903" s="55"/>
      <c r="D3903" s="70"/>
      <c r="G3903" s="78"/>
    </row>
    <row r="3904" spans="2:7" x14ac:dyDescent="0.3">
      <c r="B3904" s="69"/>
      <c r="C3904" s="55"/>
      <c r="D3904" s="70"/>
      <c r="G3904" s="78"/>
    </row>
    <row r="3905" spans="2:7" x14ac:dyDescent="0.3">
      <c r="B3905" s="69"/>
      <c r="C3905" s="55"/>
      <c r="D3905" s="70"/>
      <c r="G3905" s="78"/>
    </row>
    <row r="3906" spans="2:7" x14ac:dyDescent="0.3">
      <c r="B3906" s="69"/>
      <c r="C3906" s="55"/>
      <c r="D3906" s="70"/>
      <c r="G3906" s="78"/>
    </row>
    <row r="3907" spans="2:7" x14ac:dyDescent="0.3">
      <c r="B3907" s="69"/>
      <c r="C3907" s="55"/>
      <c r="D3907" s="70"/>
      <c r="G3907" s="78"/>
    </row>
    <row r="3908" spans="2:7" x14ac:dyDescent="0.3">
      <c r="B3908" s="69"/>
      <c r="C3908" s="55"/>
      <c r="D3908" s="70"/>
      <c r="G3908" s="78"/>
    </row>
    <row r="3909" spans="2:7" x14ac:dyDescent="0.3">
      <c r="B3909" s="69"/>
      <c r="C3909" s="55"/>
      <c r="D3909" s="70"/>
      <c r="G3909" s="78"/>
    </row>
    <row r="3910" spans="2:7" x14ac:dyDescent="0.3">
      <c r="B3910" s="69"/>
      <c r="C3910" s="55"/>
      <c r="D3910" s="70"/>
      <c r="G3910" s="78"/>
    </row>
    <row r="3911" spans="2:7" x14ac:dyDescent="0.3">
      <c r="B3911" s="69"/>
      <c r="C3911" s="55"/>
      <c r="D3911" s="70"/>
      <c r="G3911" s="78"/>
    </row>
    <row r="3912" spans="2:7" x14ac:dyDescent="0.3">
      <c r="B3912" s="69"/>
      <c r="C3912" s="55"/>
      <c r="D3912" s="70"/>
      <c r="G3912" s="78"/>
    </row>
    <row r="3913" spans="2:7" x14ac:dyDescent="0.3">
      <c r="B3913" s="69"/>
      <c r="C3913" s="55"/>
      <c r="D3913" s="70"/>
      <c r="G3913" s="78"/>
    </row>
    <row r="3914" spans="2:7" x14ac:dyDescent="0.3">
      <c r="B3914" s="69"/>
      <c r="C3914" s="55"/>
      <c r="D3914" s="70"/>
      <c r="G3914" s="78"/>
    </row>
    <row r="3915" spans="2:7" x14ac:dyDescent="0.3">
      <c r="B3915" s="69"/>
      <c r="C3915" s="55"/>
      <c r="D3915" s="70"/>
      <c r="G3915" s="78"/>
    </row>
    <row r="3916" spans="2:7" x14ac:dyDescent="0.3">
      <c r="B3916" s="69"/>
      <c r="C3916" s="55"/>
      <c r="D3916" s="70"/>
      <c r="G3916" s="78"/>
    </row>
    <row r="3917" spans="2:7" x14ac:dyDescent="0.3">
      <c r="B3917" s="69"/>
      <c r="C3917" s="55"/>
      <c r="D3917" s="70"/>
      <c r="G3917" s="78"/>
    </row>
    <row r="3918" spans="2:7" x14ac:dyDescent="0.3">
      <c r="B3918" s="69"/>
      <c r="C3918" s="55"/>
      <c r="D3918" s="70"/>
      <c r="G3918" s="78"/>
    </row>
    <row r="3919" spans="2:7" x14ac:dyDescent="0.3">
      <c r="B3919" s="69"/>
      <c r="C3919" s="55"/>
      <c r="D3919" s="70"/>
      <c r="G3919" s="78"/>
    </row>
    <row r="3920" spans="2:7" x14ac:dyDescent="0.3">
      <c r="B3920" s="69"/>
      <c r="C3920" s="55"/>
      <c r="D3920" s="70"/>
      <c r="G3920" s="78"/>
    </row>
    <row r="3921" spans="2:7" x14ac:dyDescent="0.3">
      <c r="B3921" s="69"/>
      <c r="C3921" s="55"/>
      <c r="D3921" s="70"/>
      <c r="G3921" s="78"/>
    </row>
    <row r="3922" spans="2:7" x14ac:dyDescent="0.3">
      <c r="B3922" s="69"/>
      <c r="C3922" s="55"/>
      <c r="D3922" s="70"/>
      <c r="G3922" s="78"/>
    </row>
    <row r="3923" spans="2:7" x14ac:dyDescent="0.3">
      <c r="B3923" s="69"/>
      <c r="C3923" s="55"/>
      <c r="D3923" s="70"/>
      <c r="G3923" s="78"/>
    </row>
    <row r="3924" spans="2:7" x14ac:dyDescent="0.3">
      <c r="B3924" s="69"/>
      <c r="C3924" s="55"/>
      <c r="D3924" s="70"/>
      <c r="G3924" s="78"/>
    </row>
    <row r="3925" spans="2:7" x14ac:dyDescent="0.3">
      <c r="B3925" s="69"/>
      <c r="C3925" s="55"/>
      <c r="D3925" s="70"/>
      <c r="G3925" s="78"/>
    </row>
    <row r="3926" spans="2:7" x14ac:dyDescent="0.3">
      <c r="B3926" s="69"/>
      <c r="C3926" s="55"/>
      <c r="D3926" s="70"/>
      <c r="G3926" s="78"/>
    </row>
    <row r="3927" spans="2:7" x14ac:dyDescent="0.3">
      <c r="B3927" s="69"/>
      <c r="C3927" s="55"/>
      <c r="D3927" s="70"/>
      <c r="G3927" s="78"/>
    </row>
    <row r="3928" spans="2:7" x14ac:dyDescent="0.3">
      <c r="B3928" s="69"/>
      <c r="C3928" s="55"/>
      <c r="D3928" s="70"/>
      <c r="G3928" s="78"/>
    </row>
    <row r="3929" spans="2:7" x14ac:dyDescent="0.3">
      <c r="B3929" s="69"/>
      <c r="C3929" s="55"/>
      <c r="D3929" s="70"/>
      <c r="G3929" s="78"/>
    </row>
    <row r="3930" spans="2:7" x14ac:dyDescent="0.3">
      <c r="B3930" s="69"/>
      <c r="C3930" s="55"/>
      <c r="D3930" s="70"/>
      <c r="G3930" s="78"/>
    </row>
    <row r="3931" spans="2:7" x14ac:dyDescent="0.3">
      <c r="B3931" s="69"/>
      <c r="C3931" s="55"/>
      <c r="D3931" s="70"/>
      <c r="G3931" s="78"/>
    </row>
    <row r="3932" spans="2:7" x14ac:dyDescent="0.3">
      <c r="B3932" s="69"/>
      <c r="C3932" s="55"/>
      <c r="D3932" s="70"/>
      <c r="G3932" s="78"/>
    </row>
    <row r="3933" spans="2:7" x14ac:dyDescent="0.3">
      <c r="B3933" s="69"/>
      <c r="C3933" s="55"/>
      <c r="D3933" s="70"/>
      <c r="G3933" s="78"/>
    </row>
    <row r="3934" spans="2:7" x14ac:dyDescent="0.3">
      <c r="B3934" s="69"/>
      <c r="C3934" s="55"/>
      <c r="D3934" s="70"/>
      <c r="G3934" s="78"/>
    </row>
    <row r="3935" spans="2:7" x14ac:dyDescent="0.3">
      <c r="B3935" s="69"/>
      <c r="C3935" s="55"/>
      <c r="D3935" s="70"/>
      <c r="G3935" s="78"/>
    </row>
    <row r="3936" spans="2:7" x14ac:dyDescent="0.3">
      <c r="B3936" s="69"/>
      <c r="C3936" s="55"/>
      <c r="D3936" s="70"/>
      <c r="G3936" s="78"/>
    </row>
    <row r="3937" spans="2:7" x14ac:dyDescent="0.3">
      <c r="B3937" s="69"/>
      <c r="C3937" s="55"/>
      <c r="D3937" s="70"/>
      <c r="G3937" s="78"/>
    </row>
    <row r="3938" spans="2:7" x14ac:dyDescent="0.3">
      <c r="B3938" s="69"/>
      <c r="C3938" s="55"/>
      <c r="D3938" s="70"/>
      <c r="G3938" s="78"/>
    </row>
    <row r="3939" spans="2:7" x14ac:dyDescent="0.3">
      <c r="B3939" s="69"/>
      <c r="C3939" s="55"/>
      <c r="D3939" s="70"/>
      <c r="G3939" s="78"/>
    </row>
    <row r="3940" spans="2:7" x14ac:dyDescent="0.3">
      <c r="B3940" s="69"/>
      <c r="C3940" s="55"/>
      <c r="D3940" s="70"/>
      <c r="G3940" s="78"/>
    </row>
    <row r="3941" spans="2:7" x14ac:dyDescent="0.3">
      <c r="B3941" s="69"/>
      <c r="C3941" s="55"/>
      <c r="D3941" s="70"/>
      <c r="G3941" s="78"/>
    </row>
    <row r="3942" spans="2:7" x14ac:dyDescent="0.3">
      <c r="B3942" s="69"/>
      <c r="C3942" s="55"/>
      <c r="D3942" s="70"/>
      <c r="G3942" s="78"/>
    </row>
    <row r="3943" spans="2:7" x14ac:dyDescent="0.3">
      <c r="B3943" s="69"/>
      <c r="C3943" s="55"/>
      <c r="D3943" s="70"/>
      <c r="G3943" s="78"/>
    </row>
    <row r="3944" spans="2:7" x14ac:dyDescent="0.3">
      <c r="B3944" s="69"/>
      <c r="C3944" s="55"/>
      <c r="D3944" s="70"/>
      <c r="G3944" s="78"/>
    </row>
    <row r="3945" spans="2:7" x14ac:dyDescent="0.3">
      <c r="B3945" s="69"/>
      <c r="C3945" s="55"/>
      <c r="D3945" s="70"/>
      <c r="G3945" s="78"/>
    </row>
    <row r="3946" spans="2:7" x14ac:dyDescent="0.3">
      <c r="B3946" s="69"/>
      <c r="C3946" s="55"/>
      <c r="D3946" s="70"/>
      <c r="G3946" s="78"/>
    </row>
    <row r="3947" spans="2:7" x14ac:dyDescent="0.3">
      <c r="B3947" s="69"/>
      <c r="C3947" s="55"/>
      <c r="D3947" s="70"/>
      <c r="G3947" s="78"/>
    </row>
    <row r="3948" spans="2:7" x14ac:dyDescent="0.3">
      <c r="B3948" s="69"/>
      <c r="C3948" s="55"/>
      <c r="D3948" s="70"/>
      <c r="G3948" s="78"/>
    </row>
    <row r="3949" spans="2:7" x14ac:dyDescent="0.3">
      <c r="B3949" s="69"/>
      <c r="C3949" s="55"/>
      <c r="D3949" s="70"/>
      <c r="G3949" s="78"/>
    </row>
    <row r="3950" spans="2:7" x14ac:dyDescent="0.3">
      <c r="B3950" s="69"/>
      <c r="C3950" s="55"/>
      <c r="D3950" s="70"/>
      <c r="G3950" s="78"/>
    </row>
    <row r="3951" spans="2:7" x14ac:dyDescent="0.3">
      <c r="B3951" s="69"/>
      <c r="C3951" s="55"/>
      <c r="D3951" s="70"/>
      <c r="G3951" s="78"/>
    </row>
    <row r="3952" spans="2:7" x14ac:dyDescent="0.3">
      <c r="B3952" s="69"/>
      <c r="C3952" s="55"/>
      <c r="D3952" s="70"/>
      <c r="G3952" s="78"/>
    </row>
    <row r="3953" spans="2:7" x14ac:dyDescent="0.3">
      <c r="B3953" s="69"/>
      <c r="C3953" s="55"/>
      <c r="D3953" s="70"/>
      <c r="G3953" s="78"/>
    </row>
    <row r="3954" spans="2:7" x14ac:dyDescent="0.3">
      <c r="B3954" s="69"/>
      <c r="C3954" s="55"/>
      <c r="D3954" s="70"/>
      <c r="G3954" s="78"/>
    </row>
    <row r="3955" spans="2:7" x14ac:dyDescent="0.3">
      <c r="B3955" s="69"/>
      <c r="C3955" s="55"/>
      <c r="D3955" s="70"/>
      <c r="G3955" s="78"/>
    </row>
    <row r="3956" spans="2:7" x14ac:dyDescent="0.3">
      <c r="B3956" s="69"/>
      <c r="C3956" s="55"/>
      <c r="D3956" s="70"/>
      <c r="G3956" s="78"/>
    </row>
    <row r="3957" spans="2:7" x14ac:dyDescent="0.3">
      <c r="B3957" s="69"/>
      <c r="C3957" s="55"/>
      <c r="D3957" s="70"/>
      <c r="G3957" s="78"/>
    </row>
    <row r="3958" spans="2:7" x14ac:dyDescent="0.3">
      <c r="B3958" s="69"/>
      <c r="C3958" s="55"/>
      <c r="D3958" s="70"/>
      <c r="G3958" s="78"/>
    </row>
    <row r="3959" spans="2:7" x14ac:dyDescent="0.3">
      <c r="B3959" s="69"/>
      <c r="C3959" s="55"/>
      <c r="D3959" s="70"/>
      <c r="G3959" s="78"/>
    </row>
    <row r="3960" spans="2:7" x14ac:dyDescent="0.3">
      <c r="B3960" s="69"/>
      <c r="C3960" s="55"/>
      <c r="D3960" s="70"/>
      <c r="G3960" s="78"/>
    </row>
    <row r="3961" spans="2:7" x14ac:dyDescent="0.3">
      <c r="B3961" s="69"/>
      <c r="C3961" s="55"/>
      <c r="D3961" s="70"/>
      <c r="G3961" s="78"/>
    </row>
    <row r="3962" spans="2:7" x14ac:dyDescent="0.3">
      <c r="B3962" s="69"/>
      <c r="C3962" s="55"/>
      <c r="D3962" s="70"/>
      <c r="G3962" s="78"/>
    </row>
    <row r="3963" spans="2:7" x14ac:dyDescent="0.3">
      <c r="B3963" s="69"/>
      <c r="C3963" s="55"/>
      <c r="D3963" s="70"/>
      <c r="G3963" s="78"/>
    </row>
    <row r="3964" spans="2:7" x14ac:dyDescent="0.3">
      <c r="B3964" s="69"/>
      <c r="C3964" s="55"/>
      <c r="D3964" s="70"/>
      <c r="G3964" s="78"/>
    </row>
    <row r="3965" spans="2:7" x14ac:dyDescent="0.3">
      <c r="B3965" s="69"/>
      <c r="C3965" s="55"/>
      <c r="D3965" s="70"/>
      <c r="G3965" s="78"/>
    </row>
    <row r="3966" spans="2:7" x14ac:dyDescent="0.3">
      <c r="B3966" s="69"/>
      <c r="C3966" s="55"/>
      <c r="D3966" s="70"/>
      <c r="G3966" s="78"/>
    </row>
    <row r="3967" spans="2:7" x14ac:dyDescent="0.3">
      <c r="B3967" s="69"/>
      <c r="C3967" s="55"/>
      <c r="D3967" s="70"/>
      <c r="G3967" s="78"/>
    </row>
    <row r="3968" spans="2:7" x14ac:dyDescent="0.3">
      <c r="B3968" s="69"/>
      <c r="C3968" s="55"/>
      <c r="D3968" s="70"/>
      <c r="G3968" s="78"/>
    </row>
    <row r="3969" spans="2:7" x14ac:dyDescent="0.3">
      <c r="B3969" s="69"/>
      <c r="C3969" s="55"/>
      <c r="D3969" s="70"/>
      <c r="G3969" s="78"/>
    </row>
    <row r="3970" spans="2:7" x14ac:dyDescent="0.3">
      <c r="B3970" s="69"/>
      <c r="C3970" s="55"/>
      <c r="D3970" s="70"/>
      <c r="G3970" s="78"/>
    </row>
    <row r="3971" spans="2:7" x14ac:dyDescent="0.3">
      <c r="B3971" s="69"/>
      <c r="C3971" s="55"/>
      <c r="D3971" s="70"/>
      <c r="G3971" s="78"/>
    </row>
    <row r="3972" spans="2:7" x14ac:dyDescent="0.3">
      <c r="B3972" s="69"/>
      <c r="C3972" s="55"/>
      <c r="D3972" s="70"/>
      <c r="G3972" s="78"/>
    </row>
    <row r="3973" spans="2:7" x14ac:dyDescent="0.3">
      <c r="B3973" s="69"/>
      <c r="C3973" s="55"/>
      <c r="D3973" s="70"/>
      <c r="G3973" s="78"/>
    </row>
    <row r="3974" spans="2:7" x14ac:dyDescent="0.3">
      <c r="B3974" s="69"/>
      <c r="C3974" s="55"/>
      <c r="D3974" s="70"/>
      <c r="G3974" s="78"/>
    </row>
    <row r="3975" spans="2:7" x14ac:dyDescent="0.3">
      <c r="B3975" s="69"/>
      <c r="C3975" s="55"/>
      <c r="D3975" s="70"/>
      <c r="G3975" s="78"/>
    </row>
    <row r="3976" spans="2:7" x14ac:dyDescent="0.3">
      <c r="B3976" s="69"/>
      <c r="C3976" s="55"/>
      <c r="D3976" s="70"/>
      <c r="G3976" s="78"/>
    </row>
    <row r="3977" spans="2:7" x14ac:dyDescent="0.3">
      <c r="B3977" s="69"/>
      <c r="C3977" s="55"/>
      <c r="D3977" s="70"/>
      <c r="G3977" s="78"/>
    </row>
    <row r="3978" spans="2:7" x14ac:dyDescent="0.3">
      <c r="B3978" s="69"/>
      <c r="C3978" s="55"/>
      <c r="D3978" s="70"/>
      <c r="G3978" s="78"/>
    </row>
    <row r="3979" spans="2:7" x14ac:dyDescent="0.3">
      <c r="B3979" s="69"/>
      <c r="C3979" s="55"/>
      <c r="D3979" s="70"/>
      <c r="G3979" s="78"/>
    </row>
    <row r="3980" spans="2:7" x14ac:dyDescent="0.3">
      <c r="B3980" s="69"/>
      <c r="C3980" s="55"/>
      <c r="D3980" s="70"/>
      <c r="G3980" s="78"/>
    </row>
    <row r="3981" spans="2:7" x14ac:dyDescent="0.3">
      <c r="B3981" s="69"/>
      <c r="C3981" s="55"/>
      <c r="D3981" s="70"/>
      <c r="G3981" s="78"/>
    </row>
    <row r="3982" spans="2:7" x14ac:dyDescent="0.3">
      <c r="B3982" s="69"/>
      <c r="C3982" s="55"/>
      <c r="D3982" s="70"/>
      <c r="G3982" s="78"/>
    </row>
    <row r="3983" spans="2:7" x14ac:dyDescent="0.3">
      <c r="B3983" s="69"/>
      <c r="C3983" s="55"/>
      <c r="D3983" s="70"/>
      <c r="G3983" s="78"/>
    </row>
    <row r="3984" spans="2:7" x14ac:dyDescent="0.3">
      <c r="B3984" s="69"/>
      <c r="C3984" s="55"/>
      <c r="D3984" s="70"/>
      <c r="G3984" s="78"/>
    </row>
    <row r="3985" spans="2:7" x14ac:dyDescent="0.3">
      <c r="B3985" s="69"/>
      <c r="C3985" s="55"/>
      <c r="D3985" s="70"/>
      <c r="G3985" s="78"/>
    </row>
    <row r="3986" spans="2:7" x14ac:dyDescent="0.3">
      <c r="B3986" s="69"/>
      <c r="C3986" s="55"/>
      <c r="D3986" s="70"/>
      <c r="G3986" s="78"/>
    </row>
    <row r="3987" spans="2:7" x14ac:dyDescent="0.3">
      <c r="B3987" s="69"/>
      <c r="C3987" s="55"/>
      <c r="D3987" s="70"/>
      <c r="G3987" s="78"/>
    </row>
    <row r="3988" spans="2:7" x14ac:dyDescent="0.3">
      <c r="B3988" s="69"/>
      <c r="C3988" s="55"/>
      <c r="D3988" s="70"/>
      <c r="G3988" s="78"/>
    </row>
    <row r="3989" spans="2:7" x14ac:dyDescent="0.3">
      <c r="B3989" s="69"/>
      <c r="C3989" s="55"/>
      <c r="D3989" s="70"/>
      <c r="G3989" s="78"/>
    </row>
    <row r="3990" spans="2:7" x14ac:dyDescent="0.3">
      <c r="B3990" s="69"/>
      <c r="C3990" s="55"/>
      <c r="D3990" s="70"/>
      <c r="G3990" s="78"/>
    </row>
    <row r="3991" spans="2:7" x14ac:dyDescent="0.3">
      <c r="B3991" s="69"/>
      <c r="C3991" s="55"/>
      <c r="D3991" s="70"/>
      <c r="G3991" s="78"/>
    </row>
    <row r="3992" spans="2:7" x14ac:dyDescent="0.3">
      <c r="B3992" s="69"/>
      <c r="C3992" s="55"/>
      <c r="D3992" s="70"/>
      <c r="G3992" s="78"/>
    </row>
    <row r="3993" spans="2:7" x14ac:dyDescent="0.3">
      <c r="B3993" s="69"/>
      <c r="C3993" s="55"/>
      <c r="D3993" s="70"/>
      <c r="G3993" s="78"/>
    </row>
    <row r="3994" spans="2:7" x14ac:dyDescent="0.3">
      <c r="B3994" s="69"/>
      <c r="C3994" s="55"/>
      <c r="D3994" s="70"/>
      <c r="G3994" s="78"/>
    </row>
    <row r="3995" spans="2:7" x14ac:dyDescent="0.3">
      <c r="B3995" s="69"/>
      <c r="C3995" s="55"/>
      <c r="D3995" s="70"/>
      <c r="G3995" s="78"/>
    </row>
    <row r="3996" spans="2:7" x14ac:dyDescent="0.3">
      <c r="B3996" s="69"/>
      <c r="C3996" s="55"/>
      <c r="D3996" s="70"/>
      <c r="G3996" s="78"/>
    </row>
    <row r="3997" spans="2:7" x14ac:dyDescent="0.3">
      <c r="B3997" s="69"/>
      <c r="C3997" s="55"/>
      <c r="D3997" s="70"/>
      <c r="G3997" s="78"/>
    </row>
    <row r="3998" spans="2:7" x14ac:dyDescent="0.3">
      <c r="B3998" s="69"/>
      <c r="C3998" s="55"/>
      <c r="D3998" s="70"/>
      <c r="G3998" s="78"/>
    </row>
    <row r="3999" spans="2:7" x14ac:dyDescent="0.3">
      <c r="B3999" s="69"/>
      <c r="C3999" s="55"/>
      <c r="D3999" s="70"/>
      <c r="G3999" s="78"/>
    </row>
    <row r="4000" spans="2:7" x14ac:dyDescent="0.3">
      <c r="B4000" s="69"/>
      <c r="C4000" s="55"/>
      <c r="D4000" s="70"/>
      <c r="G4000" s="78"/>
    </row>
    <row r="4001" spans="2:7" x14ac:dyDescent="0.3">
      <c r="B4001" s="69"/>
      <c r="C4001" s="55"/>
      <c r="D4001" s="70"/>
      <c r="G4001" s="78"/>
    </row>
    <row r="4002" spans="2:7" x14ac:dyDescent="0.3">
      <c r="B4002" s="69"/>
      <c r="C4002" s="55"/>
      <c r="D4002" s="70"/>
      <c r="G4002" s="78"/>
    </row>
    <row r="4003" spans="2:7" x14ac:dyDescent="0.3">
      <c r="B4003" s="69"/>
      <c r="C4003" s="55"/>
      <c r="D4003" s="70"/>
      <c r="G4003" s="78"/>
    </row>
    <row r="4004" spans="2:7" x14ac:dyDescent="0.3">
      <c r="B4004" s="69"/>
      <c r="C4004" s="55"/>
      <c r="D4004" s="70"/>
      <c r="G4004" s="78"/>
    </row>
    <row r="4005" spans="2:7" x14ac:dyDescent="0.3">
      <c r="B4005" s="69"/>
      <c r="C4005" s="55"/>
      <c r="D4005" s="70"/>
      <c r="G4005" s="78"/>
    </row>
    <row r="4006" spans="2:7" x14ac:dyDescent="0.3">
      <c r="B4006" s="69"/>
      <c r="C4006" s="55"/>
      <c r="D4006" s="70"/>
      <c r="G4006" s="78"/>
    </row>
    <row r="4007" spans="2:7" x14ac:dyDescent="0.3">
      <c r="B4007" s="69"/>
      <c r="C4007" s="55"/>
      <c r="D4007" s="70"/>
      <c r="G4007" s="78"/>
    </row>
    <row r="4008" spans="2:7" x14ac:dyDescent="0.3">
      <c r="B4008" s="69"/>
      <c r="C4008" s="55"/>
      <c r="D4008" s="70"/>
      <c r="G4008" s="78"/>
    </row>
    <row r="4009" spans="2:7" x14ac:dyDescent="0.3">
      <c r="B4009" s="69"/>
      <c r="C4009" s="55"/>
      <c r="D4009" s="70"/>
      <c r="G4009" s="78"/>
    </row>
    <row r="4010" spans="2:7" x14ac:dyDescent="0.3">
      <c r="B4010" s="69"/>
      <c r="C4010" s="55"/>
      <c r="D4010" s="70"/>
      <c r="G4010" s="78"/>
    </row>
    <row r="4011" spans="2:7" x14ac:dyDescent="0.3">
      <c r="B4011" s="69"/>
      <c r="C4011" s="55"/>
      <c r="D4011" s="70"/>
      <c r="G4011" s="78"/>
    </row>
    <row r="4012" spans="2:7" x14ac:dyDescent="0.3">
      <c r="B4012" s="69"/>
      <c r="C4012" s="55"/>
      <c r="D4012" s="70"/>
      <c r="G4012" s="78"/>
    </row>
    <row r="4013" spans="2:7" x14ac:dyDescent="0.3">
      <c r="B4013" s="69"/>
      <c r="C4013" s="55"/>
      <c r="D4013" s="70"/>
      <c r="G4013" s="78"/>
    </row>
    <row r="4014" spans="2:7" x14ac:dyDescent="0.3">
      <c r="B4014" s="69"/>
      <c r="C4014" s="55"/>
      <c r="D4014" s="70"/>
      <c r="G4014" s="78"/>
    </row>
    <row r="4015" spans="2:7" x14ac:dyDescent="0.3">
      <c r="B4015" s="69"/>
      <c r="C4015" s="55"/>
      <c r="D4015" s="70"/>
      <c r="G4015" s="78"/>
    </row>
    <row r="4016" spans="2:7" x14ac:dyDescent="0.3">
      <c r="B4016" s="69"/>
      <c r="C4016" s="55"/>
      <c r="D4016" s="70"/>
      <c r="G4016" s="78"/>
    </row>
    <row r="4017" spans="2:7" x14ac:dyDescent="0.3">
      <c r="B4017" s="69"/>
      <c r="C4017" s="55"/>
      <c r="D4017" s="70"/>
      <c r="G4017" s="78"/>
    </row>
    <row r="4018" spans="2:7" x14ac:dyDescent="0.3">
      <c r="B4018" s="69"/>
      <c r="C4018" s="55"/>
      <c r="D4018" s="70"/>
      <c r="G4018" s="78"/>
    </row>
    <row r="4019" spans="2:7" x14ac:dyDescent="0.3">
      <c r="B4019" s="69"/>
      <c r="C4019" s="55"/>
      <c r="D4019" s="70"/>
      <c r="G4019" s="78"/>
    </row>
    <row r="4020" spans="2:7" x14ac:dyDescent="0.3">
      <c r="B4020" s="69"/>
      <c r="C4020" s="55"/>
      <c r="D4020" s="70"/>
      <c r="G4020" s="78"/>
    </row>
    <row r="4021" spans="2:7" x14ac:dyDescent="0.3">
      <c r="B4021" s="69"/>
      <c r="C4021" s="55"/>
      <c r="D4021" s="70"/>
      <c r="G4021" s="78"/>
    </row>
    <row r="4022" spans="2:7" x14ac:dyDescent="0.3">
      <c r="B4022" s="69"/>
      <c r="C4022" s="55"/>
      <c r="D4022" s="70"/>
      <c r="G4022" s="78"/>
    </row>
    <row r="4023" spans="2:7" x14ac:dyDescent="0.3">
      <c r="B4023" s="69"/>
      <c r="C4023" s="55"/>
      <c r="D4023" s="70"/>
      <c r="G4023" s="78"/>
    </row>
    <row r="4024" spans="2:7" x14ac:dyDescent="0.3">
      <c r="B4024" s="69"/>
      <c r="C4024" s="55"/>
      <c r="D4024" s="70"/>
      <c r="G4024" s="78"/>
    </row>
    <row r="4025" spans="2:7" x14ac:dyDescent="0.3">
      <c r="B4025" s="69"/>
      <c r="C4025" s="55"/>
      <c r="D4025" s="70"/>
      <c r="G4025" s="78"/>
    </row>
    <row r="4026" spans="2:7" x14ac:dyDescent="0.3">
      <c r="B4026" s="69"/>
      <c r="C4026" s="55"/>
      <c r="D4026" s="70"/>
      <c r="G4026" s="78"/>
    </row>
    <row r="4027" spans="2:7" x14ac:dyDescent="0.3">
      <c r="B4027" s="69"/>
      <c r="C4027" s="55"/>
      <c r="D4027" s="70"/>
      <c r="G4027" s="78"/>
    </row>
    <row r="4028" spans="2:7" x14ac:dyDescent="0.3">
      <c r="B4028" s="69"/>
      <c r="C4028" s="55"/>
      <c r="D4028" s="70"/>
      <c r="G4028" s="78"/>
    </row>
    <row r="4029" spans="2:7" x14ac:dyDescent="0.3">
      <c r="B4029" s="69"/>
      <c r="C4029" s="55"/>
      <c r="D4029" s="70"/>
      <c r="G4029" s="78"/>
    </row>
    <row r="4030" spans="2:7" x14ac:dyDescent="0.3">
      <c r="B4030" s="69"/>
      <c r="C4030" s="55"/>
      <c r="D4030" s="70"/>
      <c r="G4030" s="78"/>
    </row>
    <row r="4031" spans="2:7" x14ac:dyDescent="0.3">
      <c r="B4031" s="69"/>
      <c r="C4031" s="55"/>
      <c r="D4031" s="70"/>
      <c r="G4031" s="78"/>
    </row>
    <row r="4032" spans="2:7" x14ac:dyDescent="0.3">
      <c r="B4032" s="69"/>
      <c r="C4032" s="55"/>
      <c r="D4032" s="70"/>
      <c r="G4032" s="78"/>
    </row>
    <row r="4033" spans="2:7" x14ac:dyDescent="0.3">
      <c r="B4033" s="69"/>
      <c r="C4033" s="55"/>
      <c r="D4033" s="70"/>
      <c r="G4033" s="78"/>
    </row>
    <row r="4034" spans="2:7" x14ac:dyDescent="0.3">
      <c r="B4034" s="69"/>
      <c r="C4034" s="55"/>
      <c r="D4034" s="70"/>
      <c r="G4034" s="78"/>
    </row>
    <row r="4035" spans="2:7" x14ac:dyDescent="0.3">
      <c r="B4035" s="69"/>
      <c r="C4035" s="55"/>
      <c r="D4035" s="70"/>
      <c r="G4035" s="78"/>
    </row>
    <row r="4036" spans="2:7" x14ac:dyDescent="0.3">
      <c r="B4036" s="69"/>
      <c r="C4036" s="55"/>
      <c r="D4036" s="70"/>
      <c r="G4036" s="78"/>
    </row>
    <row r="4037" spans="2:7" x14ac:dyDescent="0.3">
      <c r="B4037" s="69"/>
      <c r="C4037" s="55"/>
      <c r="D4037" s="70"/>
      <c r="G4037" s="78"/>
    </row>
    <row r="4038" spans="2:7" x14ac:dyDescent="0.3">
      <c r="B4038" s="69"/>
      <c r="C4038" s="55"/>
      <c r="D4038" s="70"/>
      <c r="G4038" s="78"/>
    </row>
    <row r="4039" spans="2:7" x14ac:dyDescent="0.3">
      <c r="B4039" s="69"/>
      <c r="C4039" s="55"/>
      <c r="D4039" s="70"/>
      <c r="G4039" s="78"/>
    </row>
    <row r="4040" spans="2:7" x14ac:dyDescent="0.3">
      <c r="B4040" s="69"/>
      <c r="C4040" s="55"/>
      <c r="D4040" s="70"/>
      <c r="G4040" s="78"/>
    </row>
    <row r="4041" spans="2:7" x14ac:dyDescent="0.3">
      <c r="B4041" s="69"/>
      <c r="C4041" s="55"/>
      <c r="D4041" s="70"/>
      <c r="G4041" s="78"/>
    </row>
    <row r="4042" spans="2:7" x14ac:dyDescent="0.3">
      <c r="B4042" s="69"/>
      <c r="C4042" s="55"/>
      <c r="D4042" s="70"/>
      <c r="G4042" s="78"/>
    </row>
    <row r="4043" spans="2:7" x14ac:dyDescent="0.3">
      <c r="B4043" s="69"/>
      <c r="C4043" s="55"/>
      <c r="D4043" s="70"/>
      <c r="G4043" s="78"/>
    </row>
    <row r="4044" spans="2:7" x14ac:dyDescent="0.3">
      <c r="B4044" s="69"/>
      <c r="C4044" s="55"/>
      <c r="D4044" s="70"/>
      <c r="G4044" s="78"/>
    </row>
    <row r="4045" spans="2:7" x14ac:dyDescent="0.3">
      <c r="B4045" s="69"/>
      <c r="C4045" s="55"/>
      <c r="D4045" s="70"/>
      <c r="G4045" s="78"/>
    </row>
    <row r="4046" spans="2:7" x14ac:dyDescent="0.3">
      <c r="B4046" s="69"/>
      <c r="C4046" s="55"/>
      <c r="D4046" s="70"/>
      <c r="G4046" s="78"/>
    </row>
    <row r="4047" spans="2:7" x14ac:dyDescent="0.3">
      <c r="B4047" s="69"/>
      <c r="C4047" s="55"/>
      <c r="D4047" s="70"/>
      <c r="G4047" s="78"/>
    </row>
    <row r="4048" spans="2:7" x14ac:dyDescent="0.3">
      <c r="B4048" s="69"/>
      <c r="C4048" s="55"/>
      <c r="D4048" s="70"/>
      <c r="G4048" s="78"/>
    </row>
    <row r="4049" spans="2:7" x14ac:dyDescent="0.3">
      <c r="B4049" s="69"/>
      <c r="C4049" s="55"/>
      <c r="D4049" s="70"/>
      <c r="G4049" s="78"/>
    </row>
    <row r="4050" spans="2:7" x14ac:dyDescent="0.3">
      <c r="B4050" s="69"/>
      <c r="C4050" s="55"/>
      <c r="D4050" s="70"/>
      <c r="G4050" s="78"/>
    </row>
    <row r="4051" spans="2:7" x14ac:dyDescent="0.3">
      <c r="B4051" s="69"/>
      <c r="C4051" s="55"/>
      <c r="D4051" s="70"/>
      <c r="G4051" s="78"/>
    </row>
    <row r="4052" spans="2:7" x14ac:dyDescent="0.3">
      <c r="B4052" s="69"/>
      <c r="C4052" s="55"/>
      <c r="D4052" s="70"/>
      <c r="G4052" s="78"/>
    </row>
    <row r="4053" spans="2:7" x14ac:dyDescent="0.3">
      <c r="B4053" s="69"/>
      <c r="C4053" s="55"/>
      <c r="D4053" s="70"/>
      <c r="G4053" s="78"/>
    </row>
    <row r="4054" spans="2:7" x14ac:dyDescent="0.3">
      <c r="B4054" s="69"/>
      <c r="C4054" s="55"/>
      <c r="D4054" s="70"/>
      <c r="G4054" s="78"/>
    </row>
    <row r="4055" spans="2:7" x14ac:dyDescent="0.3">
      <c r="B4055" s="69"/>
      <c r="C4055" s="55"/>
      <c r="D4055" s="70"/>
      <c r="G4055" s="78"/>
    </row>
    <row r="4056" spans="2:7" x14ac:dyDescent="0.3">
      <c r="B4056" s="69"/>
      <c r="C4056" s="55"/>
      <c r="D4056" s="70"/>
      <c r="G4056" s="78"/>
    </row>
    <row r="4057" spans="2:7" x14ac:dyDescent="0.3">
      <c r="B4057" s="69"/>
      <c r="C4057" s="55"/>
      <c r="D4057" s="70"/>
      <c r="G4057" s="78"/>
    </row>
    <row r="4058" spans="2:7" x14ac:dyDescent="0.3">
      <c r="B4058" s="69"/>
      <c r="C4058" s="55"/>
      <c r="D4058" s="70"/>
      <c r="G4058" s="78"/>
    </row>
    <row r="4059" spans="2:7" x14ac:dyDescent="0.3">
      <c r="B4059" s="69"/>
      <c r="C4059" s="55"/>
      <c r="D4059" s="70"/>
      <c r="G4059" s="78"/>
    </row>
    <row r="4060" spans="2:7" x14ac:dyDescent="0.3">
      <c r="B4060" s="69"/>
      <c r="C4060" s="55"/>
      <c r="D4060" s="70"/>
      <c r="G4060" s="78"/>
    </row>
    <row r="4061" spans="2:7" x14ac:dyDescent="0.3">
      <c r="B4061" s="69"/>
      <c r="C4061" s="55"/>
      <c r="D4061" s="70"/>
      <c r="G4061" s="78"/>
    </row>
    <row r="4062" spans="2:7" x14ac:dyDescent="0.3">
      <c r="B4062" s="69"/>
      <c r="C4062" s="55"/>
      <c r="D4062" s="70"/>
      <c r="G4062" s="78"/>
    </row>
    <row r="4063" spans="2:7" x14ac:dyDescent="0.3">
      <c r="B4063" s="69"/>
      <c r="C4063" s="55"/>
      <c r="D4063" s="70"/>
      <c r="G4063" s="78"/>
    </row>
    <row r="4064" spans="2:7" x14ac:dyDescent="0.3">
      <c r="B4064" s="69"/>
      <c r="C4064" s="55"/>
      <c r="D4064" s="70"/>
      <c r="G4064" s="78"/>
    </row>
    <row r="4065" spans="2:7" x14ac:dyDescent="0.3">
      <c r="B4065" s="69"/>
      <c r="C4065" s="55"/>
      <c r="D4065" s="70"/>
      <c r="G4065" s="78"/>
    </row>
    <row r="4066" spans="2:7" x14ac:dyDescent="0.3">
      <c r="B4066" s="69"/>
      <c r="C4066" s="55"/>
      <c r="D4066" s="70"/>
      <c r="G4066" s="78"/>
    </row>
    <row r="4067" spans="2:7" x14ac:dyDescent="0.3">
      <c r="B4067" s="69"/>
      <c r="C4067" s="55"/>
      <c r="D4067" s="70"/>
      <c r="G4067" s="78"/>
    </row>
    <row r="4068" spans="2:7" x14ac:dyDescent="0.3">
      <c r="B4068" s="69"/>
      <c r="C4068" s="55"/>
      <c r="D4068" s="70"/>
      <c r="G4068" s="78"/>
    </row>
    <row r="4069" spans="2:7" x14ac:dyDescent="0.3">
      <c r="B4069" s="69"/>
      <c r="C4069" s="55"/>
      <c r="D4069" s="70"/>
      <c r="G4069" s="78"/>
    </row>
    <row r="4070" spans="2:7" x14ac:dyDescent="0.3">
      <c r="B4070" s="69"/>
      <c r="C4070" s="55"/>
      <c r="D4070" s="70"/>
      <c r="G4070" s="78"/>
    </row>
    <row r="4071" spans="2:7" x14ac:dyDescent="0.3">
      <c r="B4071" s="69"/>
      <c r="C4071" s="55"/>
      <c r="D4071" s="70"/>
      <c r="G4071" s="78"/>
    </row>
    <row r="4072" spans="2:7" x14ac:dyDescent="0.3">
      <c r="B4072" s="69"/>
      <c r="C4072" s="55"/>
      <c r="D4072" s="70"/>
      <c r="G4072" s="78"/>
    </row>
    <row r="4073" spans="2:7" x14ac:dyDescent="0.3">
      <c r="B4073" s="69"/>
      <c r="C4073" s="55"/>
      <c r="D4073" s="70"/>
      <c r="G4073" s="78"/>
    </row>
    <row r="4074" spans="2:7" x14ac:dyDescent="0.3">
      <c r="B4074" s="69"/>
      <c r="C4074" s="55"/>
      <c r="D4074" s="70"/>
      <c r="G4074" s="78"/>
    </row>
    <row r="4075" spans="2:7" x14ac:dyDescent="0.3">
      <c r="B4075" s="69"/>
      <c r="C4075" s="55"/>
      <c r="D4075" s="70"/>
      <c r="G4075" s="78"/>
    </row>
    <row r="4076" spans="2:7" x14ac:dyDescent="0.3">
      <c r="B4076" s="69"/>
      <c r="C4076" s="55"/>
      <c r="D4076" s="70"/>
      <c r="G4076" s="78"/>
    </row>
    <row r="4077" spans="2:7" x14ac:dyDescent="0.3">
      <c r="B4077" s="69"/>
      <c r="C4077" s="55"/>
      <c r="D4077" s="70"/>
      <c r="G4077" s="78"/>
    </row>
    <row r="4078" spans="2:7" x14ac:dyDescent="0.3">
      <c r="B4078" s="69"/>
      <c r="C4078" s="55"/>
      <c r="D4078" s="70"/>
      <c r="G4078" s="78"/>
    </row>
    <row r="4079" spans="2:7" x14ac:dyDescent="0.3">
      <c r="B4079" s="69"/>
      <c r="C4079" s="55"/>
      <c r="D4079" s="70"/>
      <c r="G4079" s="78"/>
    </row>
    <row r="4080" spans="2:7" x14ac:dyDescent="0.3">
      <c r="B4080" s="69"/>
      <c r="C4080" s="55"/>
      <c r="D4080" s="70"/>
      <c r="G4080" s="78"/>
    </row>
    <row r="4081" spans="2:7" x14ac:dyDescent="0.3">
      <c r="B4081" s="69"/>
      <c r="C4081" s="55"/>
      <c r="D4081" s="70"/>
      <c r="G4081" s="78"/>
    </row>
    <row r="4082" spans="2:7" x14ac:dyDescent="0.3">
      <c r="B4082" s="69"/>
      <c r="C4082" s="55"/>
      <c r="D4082" s="70"/>
      <c r="G4082" s="78"/>
    </row>
    <row r="4083" spans="2:7" x14ac:dyDescent="0.3">
      <c r="B4083" s="69"/>
      <c r="C4083" s="55"/>
      <c r="D4083" s="70"/>
      <c r="G4083" s="78"/>
    </row>
    <row r="4084" spans="2:7" x14ac:dyDescent="0.3">
      <c r="B4084" s="69"/>
      <c r="C4084" s="55"/>
      <c r="D4084" s="70"/>
      <c r="G4084" s="78"/>
    </row>
    <row r="4085" spans="2:7" x14ac:dyDescent="0.3">
      <c r="B4085" s="69"/>
      <c r="C4085" s="55"/>
      <c r="D4085" s="70"/>
      <c r="G4085" s="78"/>
    </row>
    <row r="4086" spans="2:7" x14ac:dyDescent="0.3">
      <c r="B4086" s="69"/>
      <c r="C4086" s="55"/>
      <c r="D4086" s="70"/>
      <c r="G4086" s="78"/>
    </row>
    <row r="4087" spans="2:7" x14ac:dyDescent="0.3">
      <c r="B4087" s="69"/>
      <c r="C4087" s="55"/>
      <c r="D4087" s="70"/>
      <c r="G4087" s="78"/>
    </row>
    <row r="4088" spans="2:7" x14ac:dyDescent="0.3">
      <c r="B4088" s="69"/>
      <c r="C4088" s="55"/>
      <c r="D4088" s="70"/>
      <c r="G4088" s="78"/>
    </row>
    <row r="4089" spans="2:7" x14ac:dyDescent="0.3">
      <c r="B4089" s="69"/>
      <c r="C4089" s="55"/>
      <c r="D4089" s="70"/>
      <c r="G4089" s="78"/>
    </row>
    <row r="4090" spans="2:7" x14ac:dyDescent="0.3">
      <c r="B4090" s="69"/>
      <c r="C4090" s="55"/>
      <c r="D4090" s="70"/>
      <c r="G4090" s="78"/>
    </row>
    <row r="4091" spans="2:7" x14ac:dyDescent="0.3">
      <c r="B4091" s="69"/>
      <c r="C4091" s="55"/>
      <c r="D4091" s="70"/>
      <c r="G4091" s="78"/>
    </row>
    <row r="4092" spans="2:7" x14ac:dyDescent="0.3">
      <c r="B4092" s="69"/>
      <c r="C4092" s="55"/>
      <c r="D4092" s="70"/>
      <c r="G4092" s="78"/>
    </row>
    <row r="4093" spans="2:7" x14ac:dyDescent="0.3">
      <c r="B4093" s="69"/>
      <c r="C4093" s="55"/>
      <c r="D4093" s="70"/>
      <c r="G4093" s="78"/>
    </row>
    <row r="4094" spans="2:7" x14ac:dyDescent="0.3">
      <c r="B4094" s="69"/>
      <c r="C4094" s="55"/>
      <c r="D4094" s="70"/>
      <c r="G4094" s="78"/>
    </row>
    <row r="4095" spans="2:7" x14ac:dyDescent="0.3">
      <c r="B4095" s="69"/>
      <c r="C4095" s="55"/>
      <c r="D4095" s="70"/>
      <c r="G4095" s="78"/>
    </row>
    <row r="4096" spans="2:7" x14ac:dyDescent="0.3">
      <c r="B4096" s="69"/>
      <c r="C4096" s="55"/>
      <c r="D4096" s="70"/>
      <c r="G4096" s="78"/>
    </row>
    <row r="4097" spans="2:7" x14ac:dyDescent="0.3">
      <c r="B4097" s="69"/>
      <c r="C4097" s="55"/>
      <c r="D4097" s="70"/>
      <c r="G4097" s="78"/>
    </row>
    <row r="4098" spans="2:7" x14ac:dyDescent="0.3">
      <c r="B4098" s="69"/>
      <c r="C4098" s="55"/>
      <c r="D4098" s="70"/>
      <c r="G4098" s="78"/>
    </row>
    <row r="4099" spans="2:7" x14ac:dyDescent="0.3">
      <c r="B4099" s="69"/>
      <c r="C4099" s="55"/>
      <c r="D4099" s="70"/>
      <c r="G4099" s="78"/>
    </row>
    <row r="4100" spans="2:7" x14ac:dyDescent="0.3">
      <c r="B4100" s="69"/>
      <c r="C4100" s="55"/>
      <c r="D4100" s="70"/>
      <c r="G4100" s="78"/>
    </row>
    <row r="4101" spans="2:7" x14ac:dyDescent="0.3">
      <c r="B4101" s="69"/>
      <c r="C4101" s="55"/>
      <c r="D4101" s="70"/>
      <c r="G4101" s="78"/>
    </row>
    <row r="4102" spans="2:7" x14ac:dyDescent="0.3">
      <c r="B4102" s="69"/>
      <c r="C4102" s="55"/>
      <c r="D4102" s="70"/>
      <c r="G4102" s="78"/>
    </row>
    <row r="4103" spans="2:7" x14ac:dyDescent="0.3">
      <c r="B4103" s="69"/>
      <c r="C4103" s="55"/>
      <c r="D4103" s="70"/>
      <c r="G4103" s="78"/>
    </row>
    <row r="4104" spans="2:7" x14ac:dyDescent="0.3">
      <c r="B4104" s="69"/>
      <c r="C4104" s="55"/>
      <c r="D4104" s="70"/>
      <c r="G4104" s="78"/>
    </row>
    <row r="4105" spans="2:7" x14ac:dyDescent="0.3">
      <c r="B4105" s="69"/>
      <c r="C4105" s="55"/>
      <c r="D4105" s="70"/>
      <c r="G4105" s="78"/>
    </row>
    <row r="4106" spans="2:7" x14ac:dyDescent="0.3">
      <c r="B4106" s="69"/>
      <c r="C4106" s="55"/>
      <c r="D4106" s="70"/>
      <c r="G4106" s="78"/>
    </row>
    <row r="4107" spans="2:7" x14ac:dyDescent="0.3">
      <c r="B4107" s="69"/>
      <c r="C4107" s="55"/>
      <c r="D4107" s="70"/>
      <c r="G4107" s="78"/>
    </row>
    <row r="4108" spans="2:7" x14ac:dyDescent="0.3">
      <c r="B4108" s="69"/>
      <c r="C4108" s="55"/>
      <c r="D4108" s="70"/>
      <c r="G4108" s="78"/>
    </row>
    <row r="4109" spans="2:7" x14ac:dyDescent="0.3">
      <c r="B4109" s="69"/>
      <c r="C4109" s="55"/>
      <c r="D4109" s="70"/>
      <c r="G4109" s="78"/>
    </row>
    <row r="4110" spans="2:7" x14ac:dyDescent="0.3">
      <c r="B4110" s="69"/>
      <c r="C4110" s="55"/>
      <c r="D4110" s="70"/>
      <c r="G4110" s="78"/>
    </row>
    <row r="4111" spans="2:7" x14ac:dyDescent="0.3">
      <c r="B4111" s="69"/>
      <c r="C4111" s="55"/>
      <c r="D4111" s="70"/>
      <c r="G4111" s="78"/>
    </row>
    <row r="4112" spans="2:7" x14ac:dyDescent="0.3">
      <c r="B4112" s="69"/>
      <c r="C4112" s="55"/>
      <c r="D4112" s="70"/>
      <c r="G4112" s="78"/>
    </row>
    <row r="4113" spans="2:7" x14ac:dyDescent="0.3">
      <c r="B4113" s="69"/>
      <c r="C4113" s="55"/>
      <c r="D4113" s="70"/>
      <c r="G4113" s="78"/>
    </row>
    <row r="4114" spans="2:7" x14ac:dyDescent="0.3">
      <c r="B4114" s="69"/>
      <c r="C4114" s="55"/>
      <c r="D4114" s="70"/>
      <c r="G4114" s="78"/>
    </row>
    <row r="4115" spans="2:7" x14ac:dyDescent="0.3">
      <c r="B4115" s="69"/>
      <c r="C4115" s="55"/>
      <c r="D4115" s="70"/>
      <c r="G4115" s="78"/>
    </row>
    <row r="4116" spans="2:7" x14ac:dyDescent="0.3">
      <c r="B4116" s="69"/>
      <c r="C4116" s="55"/>
      <c r="D4116" s="70"/>
      <c r="G4116" s="78"/>
    </row>
    <row r="4117" spans="2:7" x14ac:dyDescent="0.3">
      <c r="B4117" s="69"/>
      <c r="C4117" s="55"/>
      <c r="D4117" s="70"/>
      <c r="G4117" s="78"/>
    </row>
    <row r="4118" spans="2:7" x14ac:dyDescent="0.3">
      <c r="B4118" s="69"/>
      <c r="C4118" s="55"/>
      <c r="D4118" s="70"/>
      <c r="G4118" s="78"/>
    </row>
    <row r="4119" spans="2:7" x14ac:dyDescent="0.3">
      <c r="B4119" s="69"/>
      <c r="C4119" s="55"/>
      <c r="D4119" s="70"/>
      <c r="G4119" s="78"/>
    </row>
    <row r="4120" spans="2:7" x14ac:dyDescent="0.3">
      <c r="B4120" s="69"/>
      <c r="C4120" s="55"/>
      <c r="D4120" s="70"/>
      <c r="G4120" s="78"/>
    </row>
    <row r="4121" spans="2:7" x14ac:dyDescent="0.3">
      <c r="B4121" s="69"/>
      <c r="C4121" s="55"/>
      <c r="D4121" s="70"/>
      <c r="G4121" s="78"/>
    </row>
    <row r="4122" spans="2:7" x14ac:dyDescent="0.3">
      <c r="B4122" s="69"/>
      <c r="C4122" s="55"/>
      <c r="D4122" s="70"/>
      <c r="G4122" s="78"/>
    </row>
    <row r="4123" spans="2:7" x14ac:dyDescent="0.3">
      <c r="B4123" s="69"/>
      <c r="C4123" s="55"/>
      <c r="D4123" s="70"/>
      <c r="G4123" s="78"/>
    </row>
    <row r="4124" spans="2:7" x14ac:dyDescent="0.3">
      <c r="B4124" s="69"/>
      <c r="C4124" s="55"/>
      <c r="D4124" s="70"/>
      <c r="G4124" s="78"/>
    </row>
    <row r="4125" spans="2:7" x14ac:dyDescent="0.3">
      <c r="B4125" s="69"/>
      <c r="C4125" s="55"/>
      <c r="D4125" s="70"/>
      <c r="G4125" s="78"/>
    </row>
    <row r="4126" spans="2:7" x14ac:dyDescent="0.3">
      <c r="B4126" s="69"/>
      <c r="C4126" s="55"/>
      <c r="D4126" s="70"/>
      <c r="G4126" s="78"/>
    </row>
    <row r="4127" spans="2:7" x14ac:dyDescent="0.3">
      <c r="B4127" s="69"/>
      <c r="C4127" s="55"/>
      <c r="D4127" s="70"/>
      <c r="G4127" s="78"/>
    </row>
    <row r="4128" spans="2:7" x14ac:dyDescent="0.3">
      <c r="B4128" s="69"/>
      <c r="C4128" s="55"/>
      <c r="D4128" s="70"/>
      <c r="G4128" s="78"/>
    </row>
    <row r="4129" spans="2:7" x14ac:dyDescent="0.3">
      <c r="B4129" s="69"/>
      <c r="C4129" s="55"/>
      <c r="D4129" s="70"/>
      <c r="G4129" s="78"/>
    </row>
    <row r="4130" spans="2:7" x14ac:dyDescent="0.3">
      <c r="B4130" s="69"/>
      <c r="C4130" s="55"/>
      <c r="D4130" s="70"/>
      <c r="G4130" s="78"/>
    </row>
    <row r="4131" spans="2:7" x14ac:dyDescent="0.3">
      <c r="B4131" s="69"/>
      <c r="C4131" s="55"/>
      <c r="D4131" s="70"/>
      <c r="G4131" s="78"/>
    </row>
    <row r="4132" spans="2:7" x14ac:dyDescent="0.3">
      <c r="B4132" s="69"/>
      <c r="C4132" s="55"/>
      <c r="D4132" s="70"/>
      <c r="G4132" s="78"/>
    </row>
    <row r="4133" spans="2:7" x14ac:dyDescent="0.3">
      <c r="B4133" s="69"/>
      <c r="C4133" s="55"/>
      <c r="D4133" s="70"/>
      <c r="G4133" s="78"/>
    </row>
    <row r="4134" spans="2:7" x14ac:dyDescent="0.3">
      <c r="B4134" s="69"/>
      <c r="C4134" s="55"/>
      <c r="D4134" s="70"/>
      <c r="G4134" s="78"/>
    </row>
    <row r="4135" spans="2:7" x14ac:dyDescent="0.3">
      <c r="B4135" s="69"/>
      <c r="C4135" s="55"/>
      <c r="D4135" s="70"/>
      <c r="G4135" s="78"/>
    </row>
    <row r="4136" spans="2:7" x14ac:dyDescent="0.3">
      <c r="B4136" s="69"/>
      <c r="C4136" s="55"/>
      <c r="D4136" s="70"/>
      <c r="G4136" s="78"/>
    </row>
    <row r="4137" spans="2:7" x14ac:dyDescent="0.3">
      <c r="B4137" s="69"/>
      <c r="C4137" s="55"/>
      <c r="D4137" s="70"/>
      <c r="G4137" s="78"/>
    </row>
    <row r="4138" spans="2:7" x14ac:dyDescent="0.3">
      <c r="B4138" s="69"/>
      <c r="C4138" s="55"/>
      <c r="D4138" s="70"/>
      <c r="G4138" s="78"/>
    </row>
    <row r="4139" spans="2:7" x14ac:dyDescent="0.3">
      <c r="B4139" s="69"/>
      <c r="C4139" s="55"/>
      <c r="D4139" s="70"/>
      <c r="G4139" s="78"/>
    </row>
    <row r="4140" spans="2:7" x14ac:dyDescent="0.3">
      <c r="B4140" s="69"/>
      <c r="C4140" s="55"/>
      <c r="D4140" s="70"/>
      <c r="G4140" s="78"/>
    </row>
    <row r="4141" spans="2:7" x14ac:dyDescent="0.3">
      <c r="B4141" s="69"/>
      <c r="C4141" s="55"/>
      <c r="D4141" s="70"/>
      <c r="G4141" s="78"/>
    </row>
    <row r="4142" spans="2:7" x14ac:dyDescent="0.3">
      <c r="B4142" s="69"/>
      <c r="C4142" s="55"/>
      <c r="D4142" s="70"/>
      <c r="G4142" s="78"/>
    </row>
    <row r="4143" spans="2:7" x14ac:dyDescent="0.3">
      <c r="B4143" s="69"/>
      <c r="C4143" s="55"/>
      <c r="D4143" s="70"/>
      <c r="G4143" s="78"/>
    </row>
    <row r="4144" spans="2:7" x14ac:dyDescent="0.3">
      <c r="B4144" s="69"/>
      <c r="C4144" s="55"/>
      <c r="D4144" s="70"/>
      <c r="G4144" s="78"/>
    </row>
    <row r="4145" spans="2:7" x14ac:dyDescent="0.3">
      <c r="B4145" s="69"/>
      <c r="C4145" s="55"/>
      <c r="D4145" s="70"/>
      <c r="G4145" s="78"/>
    </row>
    <row r="4146" spans="2:7" x14ac:dyDescent="0.3">
      <c r="B4146" s="69"/>
      <c r="C4146" s="55"/>
      <c r="D4146" s="70"/>
      <c r="G4146" s="78"/>
    </row>
    <row r="4147" spans="2:7" x14ac:dyDescent="0.3">
      <c r="B4147" s="69"/>
      <c r="C4147" s="55"/>
      <c r="D4147" s="70"/>
      <c r="G4147" s="78"/>
    </row>
    <row r="4148" spans="2:7" x14ac:dyDescent="0.3">
      <c r="B4148" s="69"/>
      <c r="C4148" s="55"/>
      <c r="D4148" s="70"/>
      <c r="G4148" s="78"/>
    </row>
    <row r="4149" spans="2:7" x14ac:dyDescent="0.3">
      <c r="B4149" s="69"/>
      <c r="C4149" s="55"/>
      <c r="D4149" s="70"/>
      <c r="G4149" s="78"/>
    </row>
    <row r="4150" spans="2:7" x14ac:dyDescent="0.3">
      <c r="B4150" s="69"/>
      <c r="C4150" s="55"/>
      <c r="D4150" s="70"/>
      <c r="G4150" s="78"/>
    </row>
    <row r="4151" spans="2:7" x14ac:dyDescent="0.3">
      <c r="B4151" s="69"/>
      <c r="C4151" s="55"/>
      <c r="D4151" s="70"/>
      <c r="G4151" s="78"/>
    </row>
    <row r="4152" spans="2:7" x14ac:dyDescent="0.3">
      <c r="B4152" s="69"/>
      <c r="C4152" s="55"/>
      <c r="D4152" s="70"/>
      <c r="G4152" s="78"/>
    </row>
    <row r="4153" spans="2:7" x14ac:dyDescent="0.3">
      <c r="B4153" s="69"/>
      <c r="C4153" s="55"/>
      <c r="D4153" s="70"/>
      <c r="G4153" s="78"/>
    </row>
    <row r="4154" spans="2:7" x14ac:dyDescent="0.3">
      <c r="B4154" s="69"/>
      <c r="C4154" s="55"/>
      <c r="D4154" s="70"/>
      <c r="G4154" s="78"/>
    </row>
    <row r="4155" spans="2:7" x14ac:dyDescent="0.3">
      <c r="B4155" s="69"/>
      <c r="C4155" s="55"/>
      <c r="D4155" s="70"/>
      <c r="G4155" s="78"/>
    </row>
    <row r="4156" spans="2:7" x14ac:dyDescent="0.3">
      <c r="B4156" s="69"/>
      <c r="C4156" s="55"/>
      <c r="D4156" s="70"/>
      <c r="G4156" s="78"/>
    </row>
    <row r="4157" spans="2:7" x14ac:dyDescent="0.3">
      <c r="B4157" s="69"/>
      <c r="C4157" s="55"/>
      <c r="D4157" s="70"/>
      <c r="G4157" s="78"/>
    </row>
    <row r="4158" spans="2:7" x14ac:dyDescent="0.3">
      <c r="B4158" s="69"/>
      <c r="C4158" s="55"/>
      <c r="D4158" s="70"/>
      <c r="G4158" s="78"/>
    </row>
    <row r="4159" spans="2:7" x14ac:dyDescent="0.3">
      <c r="B4159" s="69"/>
      <c r="C4159" s="55"/>
      <c r="D4159" s="70"/>
      <c r="G4159" s="78"/>
    </row>
    <row r="4160" spans="2:7" x14ac:dyDescent="0.3">
      <c r="B4160" s="69"/>
      <c r="C4160" s="55"/>
      <c r="D4160" s="70"/>
      <c r="G4160" s="78"/>
    </row>
    <row r="4161" spans="2:7" x14ac:dyDescent="0.3">
      <c r="B4161" s="69"/>
      <c r="C4161" s="55"/>
      <c r="D4161" s="70"/>
      <c r="G4161" s="78"/>
    </row>
    <row r="4162" spans="2:7" x14ac:dyDescent="0.3">
      <c r="B4162" s="69"/>
      <c r="C4162" s="55"/>
      <c r="D4162" s="70"/>
      <c r="G4162" s="78"/>
    </row>
    <row r="4163" spans="2:7" x14ac:dyDescent="0.3">
      <c r="B4163" s="69"/>
      <c r="C4163" s="55"/>
      <c r="D4163" s="70"/>
      <c r="G4163" s="78"/>
    </row>
    <row r="4164" spans="2:7" x14ac:dyDescent="0.3">
      <c r="B4164" s="69"/>
      <c r="C4164" s="55"/>
      <c r="D4164" s="70"/>
      <c r="G4164" s="78"/>
    </row>
    <row r="4165" spans="2:7" x14ac:dyDescent="0.3">
      <c r="B4165" s="69"/>
      <c r="C4165" s="55"/>
      <c r="D4165" s="70"/>
      <c r="G4165" s="78"/>
    </row>
    <row r="4166" spans="2:7" x14ac:dyDescent="0.3">
      <c r="B4166" s="69"/>
      <c r="C4166" s="55"/>
      <c r="D4166" s="70"/>
      <c r="G4166" s="78"/>
    </row>
    <row r="4167" spans="2:7" x14ac:dyDescent="0.3">
      <c r="B4167" s="69"/>
      <c r="C4167" s="55"/>
      <c r="D4167" s="70"/>
      <c r="G4167" s="78"/>
    </row>
    <row r="4168" spans="2:7" x14ac:dyDescent="0.3">
      <c r="B4168" s="69"/>
      <c r="C4168" s="55"/>
      <c r="D4168" s="70"/>
      <c r="G4168" s="78"/>
    </row>
    <row r="4169" spans="2:7" x14ac:dyDescent="0.3">
      <c r="B4169" s="69"/>
      <c r="C4169" s="55"/>
      <c r="D4169" s="70"/>
      <c r="G4169" s="78"/>
    </row>
    <row r="4170" spans="2:7" x14ac:dyDescent="0.3">
      <c r="B4170" s="69"/>
      <c r="C4170" s="55"/>
      <c r="D4170" s="70"/>
      <c r="G4170" s="78"/>
    </row>
    <row r="4171" spans="2:7" x14ac:dyDescent="0.3">
      <c r="B4171" s="69"/>
      <c r="C4171" s="55"/>
      <c r="D4171" s="70"/>
      <c r="G4171" s="78"/>
    </row>
    <row r="4172" spans="2:7" x14ac:dyDescent="0.3">
      <c r="B4172" s="69"/>
      <c r="C4172" s="55"/>
      <c r="D4172" s="70"/>
      <c r="G4172" s="78"/>
    </row>
    <row r="4173" spans="2:7" x14ac:dyDescent="0.3">
      <c r="B4173" s="69"/>
      <c r="C4173" s="55"/>
      <c r="D4173" s="70"/>
      <c r="G4173" s="78"/>
    </row>
    <row r="4174" spans="2:7" x14ac:dyDescent="0.3">
      <c r="B4174" s="69"/>
      <c r="C4174" s="55"/>
      <c r="D4174" s="70"/>
      <c r="G4174" s="78"/>
    </row>
    <row r="4175" spans="2:7" x14ac:dyDescent="0.3">
      <c r="B4175" s="69"/>
      <c r="C4175" s="55"/>
      <c r="D4175" s="70"/>
      <c r="G4175" s="78"/>
    </row>
    <row r="4176" spans="2:7" x14ac:dyDescent="0.3">
      <c r="B4176" s="69"/>
      <c r="C4176" s="55"/>
      <c r="D4176" s="70"/>
      <c r="G4176" s="78"/>
    </row>
    <row r="4177" spans="2:7" x14ac:dyDescent="0.3">
      <c r="B4177" s="69"/>
      <c r="C4177" s="55"/>
      <c r="D4177" s="70"/>
      <c r="G4177" s="78"/>
    </row>
    <row r="4178" spans="2:7" x14ac:dyDescent="0.3">
      <c r="B4178" s="69"/>
      <c r="C4178" s="55"/>
      <c r="D4178" s="70"/>
      <c r="G4178" s="78"/>
    </row>
    <row r="4179" spans="2:7" x14ac:dyDescent="0.3">
      <c r="B4179" s="69"/>
      <c r="C4179" s="55"/>
      <c r="D4179" s="70"/>
      <c r="G4179" s="78"/>
    </row>
    <row r="4180" spans="2:7" x14ac:dyDescent="0.3">
      <c r="B4180" s="69"/>
      <c r="C4180" s="55"/>
      <c r="D4180" s="70"/>
      <c r="G4180" s="78"/>
    </row>
    <row r="4181" spans="2:7" x14ac:dyDescent="0.3">
      <c r="B4181" s="69"/>
      <c r="C4181" s="55"/>
      <c r="D4181" s="70"/>
      <c r="G4181" s="78"/>
    </row>
    <row r="4182" spans="2:7" x14ac:dyDescent="0.3">
      <c r="B4182" s="69"/>
      <c r="C4182" s="55"/>
      <c r="D4182" s="70"/>
      <c r="G4182" s="78"/>
    </row>
    <row r="4183" spans="2:7" x14ac:dyDescent="0.3">
      <c r="B4183" s="69"/>
      <c r="C4183" s="55"/>
      <c r="D4183" s="70"/>
      <c r="G4183" s="78"/>
    </row>
    <row r="4184" spans="2:7" x14ac:dyDescent="0.3">
      <c r="B4184" s="69"/>
      <c r="C4184" s="55"/>
      <c r="D4184" s="70"/>
      <c r="G4184" s="78"/>
    </row>
    <row r="4185" spans="2:7" x14ac:dyDescent="0.3">
      <c r="B4185" s="69"/>
      <c r="C4185" s="55"/>
      <c r="D4185" s="70"/>
      <c r="G4185" s="78"/>
    </row>
    <row r="4186" spans="2:7" x14ac:dyDescent="0.3">
      <c r="B4186" s="69"/>
      <c r="C4186" s="55"/>
      <c r="D4186" s="70"/>
      <c r="G4186" s="78"/>
    </row>
    <row r="4187" spans="2:7" x14ac:dyDescent="0.3">
      <c r="B4187" s="69"/>
      <c r="C4187" s="55"/>
      <c r="D4187" s="70"/>
      <c r="G4187" s="78"/>
    </row>
    <row r="4188" spans="2:7" x14ac:dyDescent="0.3">
      <c r="B4188" s="69"/>
      <c r="C4188" s="55"/>
      <c r="D4188" s="70"/>
      <c r="G4188" s="78"/>
    </row>
    <row r="4189" spans="2:7" x14ac:dyDescent="0.3">
      <c r="B4189" s="69"/>
      <c r="C4189" s="55"/>
      <c r="D4189" s="70"/>
      <c r="G4189" s="78"/>
    </row>
    <row r="4190" spans="2:7" x14ac:dyDescent="0.3">
      <c r="B4190" s="69"/>
      <c r="C4190" s="55"/>
      <c r="D4190" s="70"/>
      <c r="G4190" s="78"/>
    </row>
    <row r="4191" spans="2:7" x14ac:dyDescent="0.3">
      <c r="B4191" s="69"/>
      <c r="C4191" s="55"/>
      <c r="D4191" s="70"/>
      <c r="G4191" s="78"/>
    </row>
    <row r="4192" spans="2:7" x14ac:dyDescent="0.3">
      <c r="B4192" s="69"/>
      <c r="C4192" s="55"/>
      <c r="D4192" s="70"/>
      <c r="G4192" s="78"/>
    </row>
    <row r="4193" spans="2:7" x14ac:dyDescent="0.3">
      <c r="B4193" s="69"/>
      <c r="C4193" s="55"/>
      <c r="D4193" s="70"/>
      <c r="G4193" s="78"/>
    </row>
    <row r="4194" spans="2:7" x14ac:dyDescent="0.3">
      <c r="B4194" s="69"/>
      <c r="C4194" s="55"/>
      <c r="D4194" s="70"/>
      <c r="G4194" s="78"/>
    </row>
    <row r="4195" spans="2:7" x14ac:dyDescent="0.3">
      <c r="B4195" s="69"/>
      <c r="C4195" s="55"/>
      <c r="D4195" s="70"/>
      <c r="G4195" s="78"/>
    </row>
    <row r="4196" spans="2:7" x14ac:dyDescent="0.3">
      <c r="B4196" s="69"/>
      <c r="C4196" s="55"/>
      <c r="D4196" s="70"/>
      <c r="G4196" s="78"/>
    </row>
    <row r="4197" spans="2:7" x14ac:dyDescent="0.3">
      <c r="B4197" s="69"/>
      <c r="C4197" s="55"/>
      <c r="D4197" s="70"/>
      <c r="G4197" s="78"/>
    </row>
    <row r="4198" spans="2:7" x14ac:dyDescent="0.3">
      <c r="B4198" s="69"/>
      <c r="C4198" s="55"/>
      <c r="D4198" s="70"/>
      <c r="G4198" s="78"/>
    </row>
    <row r="4199" spans="2:7" x14ac:dyDescent="0.3">
      <c r="B4199" s="69"/>
      <c r="C4199" s="55"/>
      <c r="D4199" s="70"/>
      <c r="G4199" s="78"/>
    </row>
    <row r="4200" spans="2:7" x14ac:dyDescent="0.3">
      <c r="B4200" s="69"/>
      <c r="C4200" s="55"/>
      <c r="D4200" s="70"/>
      <c r="G4200" s="78"/>
    </row>
    <row r="4201" spans="2:7" x14ac:dyDescent="0.3">
      <c r="B4201" s="69"/>
      <c r="C4201" s="55"/>
      <c r="D4201" s="70"/>
      <c r="G4201" s="78"/>
    </row>
    <row r="4202" spans="2:7" x14ac:dyDescent="0.3">
      <c r="B4202" s="69"/>
      <c r="C4202" s="55"/>
      <c r="D4202" s="70"/>
      <c r="G4202" s="78"/>
    </row>
    <row r="4203" spans="2:7" x14ac:dyDescent="0.3">
      <c r="B4203" s="69"/>
      <c r="C4203" s="55"/>
      <c r="D4203" s="70"/>
      <c r="G4203" s="78"/>
    </row>
    <row r="4204" spans="2:7" x14ac:dyDescent="0.3">
      <c r="B4204" s="69"/>
      <c r="C4204" s="55"/>
      <c r="D4204" s="70"/>
      <c r="G4204" s="78"/>
    </row>
    <row r="4205" spans="2:7" x14ac:dyDescent="0.3">
      <c r="B4205" s="69"/>
      <c r="C4205" s="55"/>
      <c r="D4205" s="70"/>
      <c r="G4205" s="78"/>
    </row>
    <row r="4206" spans="2:7" x14ac:dyDescent="0.3">
      <c r="B4206" s="69"/>
      <c r="C4206" s="55"/>
      <c r="D4206" s="70"/>
      <c r="G4206" s="78"/>
    </row>
    <row r="4207" spans="2:7" x14ac:dyDescent="0.3">
      <c r="B4207" s="69"/>
      <c r="C4207" s="55"/>
      <c r="D4207" s="70"/>
      <c r="G4207" s="78"/>
    </row>
    <row r="4208" spans="2:7" x14ac:dyDescent="0.3">
      <c r="B4208" s="69"/>
      <c r="C4208" s="55"/>
      <c r="D4208" s="70"/>
      <c r="G4208" s="78"/>
    </row>
    <row r="4209" spans="2:7" x14ac:dyDescent="0.3">
      <c r="B4209" s="69"/>
      <c r="C4209" s="55"/>
      <c r="D4209" s="70"/>
      <c r="G4209" s="78"/>
    </row>
    <row r="4210" spans="2:7" x14ac:dyDescent="0.3">
      <c r="B4210" s="69"/>
      <c r="C4210" s="55"/>
      <c r="D4210" s="70"/>
      <c r="G4210" s="78"/>
    </row>
    <row r="4211" spans="2:7" x14ac:dyDescent="0.3">
      <c r="B4211" s="69"/>
      <c r="C4211" s="55"/>
      <c r="D4211" s="70"/>
      <c r="G4211" s="78"/>
    </row>
    <row r="4212" spans="2:7" x14ac:dyDescent="0.3">
      <c r="B4212" s="69"/>
      <c r="C4212" s="55"/>
      <c r="D4212" s="70"/>
      <c r="G4212" s="78"/>
    </row>
    <row r="4213" spans="2:7" x14ac:dyDescent="0.3">
      <c r="B4213" s="69"/>
      <c r="C4213" s="55"/>
      <c r="D4213" s="70"/>
      <c r="G4213" s="78"/>
    </row>
    <row r="4214" spans="2:7" x14ac:dyDescent="0.3">
      <c r="B4214" s="69"/>
      <c r="C4214" s="55"/>
      <c r="D4214" s="70"/>
      <c r="G4214" s="78"/>
    </row>
    <row r="4215" spans="2:7" x14ac:dyDescent="0.3">
      <c r="B4215" s="69"/>
      <c r="C4215" s="55"/>
      <c r="D4215" s="70"/>
      <c r="G4215" s="78"/>
    </row>
    <row r="4216" spans="2:7" x14ac:dyDescent="0.3">
      <c r="B4216" s="69"/>
      <c r="C4216" s="55"/>
      <c r="D4216" s="70"/>
      <c r="G4216" s="78"/>
    </row>
    <row r="4217" spans="2:7" x14ac:dyDescent="0.3">
      <c r="B4217" s="69"/>
      <c r="C4217" s="55"/>
      <c r="D4217" s="70"/>
      <c r="G4217" s="78"/>
    </row>
    <row r="4218" spans="2:7" x14ac:dyDescent="0.3">
      <c r="B4218" s="69"/>
      <c r="C4218" s="55"/>
      <c r="D4218" s="70"/>
      <c r="G4218" s="78"/>
    </row>
    <row r="4219" spans="2:7" x14ac:dyDescent="0.3">
      <c r="B4219" s="69"/>
      <c r="C4219" s="55"/>
      <c r="D4219" s="70"/>
      <c r="G4219" s="78"/>
    </row>
    <row r="4220" spans="2:7" x14ac:dyDescent="0.3">
      <c r="B4220" s="69"/>
      <c r="C4220" s="55"/>
      <c r="D4220" s="70"/>
      <c r="G4220" s="78"/>
    </row>
    <row r="4221" spans="2:7" x14ac:dyDescent="0.3">
      <c r="B4221" s="69"/>
      <c r="C4221" s="55"/>
      <c r="D4221" s="70"/>
      <c r="G4221" s="78"/>
    </row>
    <row r="4222" spans="2:7" x14ac:dyDescent="0.3">
      <c r="B4222" s="69"/>
      <c r="C4222" s="55"/>
      <c r="D4222" s="70"/>
      <c r="G4222" s="78"/>
    </row>
    <row r="4223" spans="2:7" x14ac:dyDescent="0.3">
      <c r="B4223" s="69"/>
      <c r="C4223" s="55"/>
      <c r="D4223" s="70"/>
      <c r="G4223" s="78"/>
    </row>
    <row r="4224" spans="2:7" x14ac:dyDescent="0.3">
      <c r="B4224" s="69"/>
      <c r="C4224" s="55"/>
      <c r="D4224" s="70"/>
      <c r="G4224" s="78"/>
    </row>
    <row r="4225" spans="2:7" x14ac:dyDescent="0.3">
      <c r="B4225" s="69"/>
      <c r="C4225" s="55"/>
      <c r="D4225" s="70"/>
      <c r="G4225" s="78"/>
    </row>
    <row r="4226" spans="2:7" x14ac:dyDescent="0.3">
      <c r="B4226" s="69"/>
      <c r="C4226" s="55"/>
      <c r="D4226" s="70"/>
      <c r="G4226" s="78"/>
    </row>
    <row r="4227" spans="2:7" x14ac:dyDescent="0.3">
      <c r="B4227" s="69"/>
      <c r="C4227" s="55"/>
      <c r="D4227" s="70"/>
      <c r="G4227" s="78"/>
    </row>
    <row r="4228" spans="2:7" x14ac:dyDescent="0.3">
      <c r="B4228" s="69"/>
      <c r="C4228" s="55"/>
      <c r="D4228" s="70"/>
      <c r="G4228" s="78"/>
    </row>
    <row r="4229" spans="2:7" x14ac:dyDescent="0.3">
      <c r="B4229" s="69"/>
      <c r="C4229" s="55"/>
      <c r="D4229" s="70"/>
      <c r="G4229" s="78"/>
    </row>
    <row r="4230" spans="2:7" x14ac:dyDescent="0.3">
      <c r="B4230" s="69"/>
      <c r="C4230" s="55"/>
      <c r="D4230" s="70"/>
      <c r="G4230" s="78"/>
    </row>
    <row r="4231" spans="2:7" x14ac:dyDescent="0.3">
      <c r="B4231" s="69"/>
      <c r="C4231" s="55"/>
      <c r="D4231" s="70"/>
      <c r="G4231" s="78"/>
    </row>
    <row r="4232" spans="2:7" x14ac:dyDescent="0.3">
      <c r="B4232" s="69"/>
      <c r="C4232" s="55"/>
      <c r="D4232" s="70"/>
      <c r="G4232" s="78"/>
    </row>
    <row r="4233" spans="2:7" x14ac:dyDescent="0.3">
      <c r="B4233" s="69"/>
      <c r="C4233" s="55"/>
      <c r="D4233" s="70"/>
      <c r="G4233" s="78"/>
    </row>
    <row r="4234" spans="2:7" x14ac:dyDescent="0.3">
      <c r="B4234" s="69"/>
      <c r="C4234" s="55"/>
      <c r="D4234" s="70"/>
      <c r="G4234" s="78"/>
    </row>
    <row r="4235" spans="2:7" x14ac:dyDescent="0.3">
      <c r="B4235" s="69"/>
      <c r="C4235" s="55"/>
      <c r="D4235" s="70"/>
      <c r="G4235" s="78"/>
    </row>
    <row r="4236" spans="2:7" x14ac:dyDescent="0.3">
      <c r="B4236" s="69"/>
      <c r="C4236" s="55"/>
      <c r="D4236" s="70"/>
      <c r="G4236" s="78"/>
    </row>
    <row r="4237" spans="2:7" x14ac:dyDescent="0.3">
      <c r="B4237" s="69"/>
      <c r="C4237" s="55"/>
      <c r="D4237" s="70"/>
      <c r="G4237" s="78"/>
    </row>
    <row r="4238" spans="2:7" x14ac:dyDescent="0.3">
      <c r="B4238" s="69"/>
      <c r="C4238" s="55"/>
      <c r="D4238" s="70"/>
      <c r="G4238" s="78"/>
    </row>
    <row r="4239" spans="2:7" x14ac:dyDescent="0.3">
      <c r="B4239" s="69"/>
      <c r="C4239" s="55"/>
      <c r="D4239" s="70"/>
      <c r="G4239" s="78"/>
    </row>
    <row r="4240" spans="2:7" x14ac:dyDescent="0.3">
      <c r="B4240" s="69"/>
      <c r="C4240" s="55"/>
      <c r="D4240" s="70"/>
      <c r="G4240" s="78"/>
    </row>
    <row r="4241" spans="2:7" x14ac:dyDescent="0.3">
      <c r="B4241" s="69"/>
      <c r="C4241" s="55"/>
      <c r="D4241" s="70"/>
      <c r="G4241" s="78"/>
    </row>
    <row r="4242" spans="2:7" x14ac:dyDescent="0.3">
      <c r="B4242" s="69"/>
      <c r="C4242" s="55"/>
      <c r="D4242" s="70"/>
      <c r="G4242" s="78"/>
    </row>
    <row r="4243" spans="2:7" x14ac:dyDescent="0.3">
      <c r="B4243" s="69"/>
      <c r="C4243" s="55"/>
      <c r="D4243" s="70"/>
      <c r="G4243" s="78"/>
    </row>
    <row r="4244" spans="2:7" x14ac:dyDescent="0.3">
      <c r="B4244" s="69"/>
      <c r="C4244" s="55"/>
      <c r="D4244" s="70"/>
      <c r="G4244" s="78"/>
    </row>
    <row r="4245" spans="2:7" x14ac:dyDescent="0.3">
      <c r="B4245" s="69"/>
      <c r="C4245" s="55"/>
      <c r="D4245" s="70"/>
      <c r="G4245" s="78"/>
    </row>
    <row r="4246" spans="2:7" x14ac:dyDescent="0.3">
      <c r="B4246" s="69"/>
      <c r="C4246" s="55"/>
      <c r="D4246" s="70"/>
      <c r="G4246" s="78"/>
    </row>
    <row r="4247" spans="2:7" x14ac:dyDescent="0.3">
      <c r="B4247" s="69"/>
      <c r="C4247" s="55"/>
      <c r="D4247" s="70"/>
      <c r="G4247" s="78"/>
    </row>
    <row r="4248" spans="2:7" x14ac:dyDescent="0.3">
      <c r="B4248" s="69"/>
      <c r="C4248" s="55"/>
      <c r="D4248" s="70"/>
      <c r="G4248" s="78"/>
    </row>
    <row r="4249" spans="2:7" x14ac:dyDescent="0.3">
      <c r="B4249" s="69"/>
      <c r="C4249" s="55"/>
      <c r="D4249" s="70"/>
      <c r="G4249" s="78"/>
    </row>
    <row r="4250" spans="2:7" x14ac:dyDescent="0.3">
      <c r="B4250" s="69"/>
      <c r="C4250" s="55"/>
      <c r="D4250" s="70"/>
      <c r="G4250" s="78"/>
    </row>
    <row r="4251" spans="2:7" x14ac:dyDescent="0.3">
      <c r="B4251" s="69"/>
      <c r="C4251" s="55"/>
      <c r="D4251" s="70"/>
      <c r="G4251" s="78"/>
    </row>
    <row r="4252" spans="2:7" x14ac:dyDescent="0.3">
      <c r="B4252" s="69"/>
      <c r="C4252" s="55"/>
      <c r="D4252" s="70"/>
      <c r="G4252" s="78"/>
    </row>
    <row r="4253" spans="2:7" x14ac:dyDescent="0.3">
      <c r="B4253" s="69"/>
      <c r="C4253" s="55"/>
      <c r="D4253" s="70"/>
      <c r="G4253" s="78"/>
    </row>
    <row r="4254" spans="2:7" x14ac:dyDescent="0.3">
      <c r="B4254" s="69"/>
      <c r="C4254" s="55"/>
      <c r="D4254" s="70"/>
      <c r="G4254" s="78"/>
    </row>
    <row r="4255" spans="2:7" x14ac:dyDescent="0.3">
      <c r="B4255" s="69"/>
      <c r="C4255" s="55"/>
      <c r="D4255" s="70"/>
      <c r="G4255" s="78"/>
    </row>
    <row r="4256" spans="2:7" x14ac:dyDescent="0.3">
      <c r="B4256" s="69"/>
      <c r="C4256" s="55"/>
      <c r="D4256" s="70"/>
      <c r="G4256" s="78"/>
    </row>
    <row r="4257" spans="2:7" x14ac:dyDescent="0.3">
      <c r="B4257" s="69"/>
      <c r="C4257" s="55"/>
      <c r="D4257" s="70"/>
      <c r="G4257" s="78"/>
    </row>
    <row r="4258" spans="2:7" x14ac:dyDescent="0.3">
      <c r="B4258" s="69"/>
      <c r="C4258" s="55"/>
      <c r="D4258" s="70"/>
      <c r="G4258" s="78"/>
    </row>
    <row r="4259" spans="2:7" x14ac:dyDescent="0.3">
      <c r="B4259" s="69"/>
      <c r="C4259" s="55"/>
      <c r="D4259" s="70"/>
      <c r="G4259" s="78"/>
    </row>
    <row r="4260" spans="2:7" x14ac:dyDescent="0.3">
      <c r="B4260" s="69"/>
      <c r="C4260" s="55"/>
      <c r="D4260" s="70"/>
      <c r="G4260" s="78"/>
    </row>
    <row r="4261" spans="2:7" x14ac:dyDescent="0.3">
      <c r="B4261" s="69"/>
      <c r="C4261" s="55"/>
      <c r="D4261" s="70"/>
      <c r="G4261" s="78"/>
    </row>
    <row r="4262" spans="2:7" x14ac:dyDescent="0.3">
      <c r="B4262" s="69"/>
      <c r="C4262" s="55"/>
      <c r="D4262" s="70"/>
      <c r="G4262" s="78"/>
    </row>
    <row r="4263" spans="2:7" x14ac:dyDescent="0.3">
      <c r="B4263" s="69"/>
      <c r="C4263" s="55"/>
      <c r="D4263" s="70"/>
      <c r="G4263" s="78"/>
    </row>
    <row r="4264" spans="2:7" x14ac:dyDescent="0.3">
      <c r="B4264" s="69"/>
      <c r="C4264" s="55"/>
      <c r="D4264" s="70"/>
      <c r="G4264" s="78"/>
    </row>
    <row r="4265" spans="2:7" x14ac:dyDescent="0.3">
      <c r="B4265" s="69"/>
      <c r="C4265" s="55"/>
      <c r="D4265" s="70"/>
      <c r="G4265" s="78"/>
    </row>
    <row r="4266" spans="2:7" x14ac:dyDescent="0.3">
      <c r="B4266" s="69"/>
      <c r="C4266" s="55"/>
      <c r="D4266" s="70"/>
      <c r="G4266" s="78"/>
    </row>
    <row r="4267" spans="2:7" x14ac:dyDescent="0.3">
      <c r="B4267" s="69"/>
      <c r="C4267" s="55"/>
      <c r="D4267" s="70"/>
      <c r="G4267" s="78"/>
    </row>
    <row r="4268" spans="2:7" x14ac:dyDescent="0.3">
      <c r="B4268" s="69"/>
      <c r="C4268" s="55"/>
      <c r="D4268" s="70"/>
      <c r="G4268" s="78"/>
    </row>
    <row r="4269" spans="2:7" x14ac:dyDescent="0.3">
      <c r="B4269" s="69"/>
      <c r="C4269" s="55"/>
      <c r="D4269" s="70"/>
      <c r="G4269" s="78"/>
    </row>
    <row r="4270" spans="2:7" x14ac:dyDescent="0.3">
      <c r="B4270" s="69"/>
      <c r="C4270" s="55"/>
      <c r="D4270" s="70"/>
      <c r="G4270" s="78"/>
    </row>
    <row r="4271" spans="2:7" x14ac:dyDescent="0.3">
      <c r="B4271" s="69"/>
      <c r="C4271" s="55"/>
      <c r="D4271" s="70"/>
      <c r="G4271" s="78"/>
    </row>
    <row r="4272" spans="2:7" x14ac:dyDescent="0.3">
      <c r="B4272" s="69"/>
      <c r="C4272" s="55"/>
      <c r="D4272" s="70"/>
      <c r="G4272" s="78"/>
    </row>
    <row r="4273" spans="2:7" x14ac:dyDescent="0.3">
      <c r="B4273" s="69"/>
      <c r="C4273" s="55"/>
      <c r="D4273" s="70"/>
      <c r="G4273" s="78"/>
    </row>
    <row r="4274" spans="2:7" x14ac:dyDescent="0.3">
      <c r="B4274" s="69"/>
      <c r="C4274" s="55"/>
      <c r="D4274" s="70"/>
      <c r="G4274" s="78"/>
    </row>
    <row r="4275" spans="2:7" x14ac:dyDescent="0.3">
      <c r="B4275" s="69"/>
      <c r="C4275" s="55"/>
      <c r="D4275" s="70"/>
      <c r="G4275" s="78"/>
    </row>
    <row r="4276" spans="2:7" x14ac:dyDescent="0.3">
      <c r="B4276" s="69"/>
      <c r="C4276" s="55"/>
      <c r="D4276" s="70"/>
      <c r="G4276" s="78"/>
    </row>
    <row r="4277" spans="2:7" x14ac:dyDescent="0.3">
      <c r="B4277" s="69"/>
      <c r="C4277" s="55"/>
      <c r="D4277" s="70"/>
      <c r="G4277" s="78"/>
    </row>
    <row r="4278" spans="2:7" x14ac:dyDescent="0.3">
      <c r="B4278" s="69"/>
      <c r="C4278" s="55"/>
      <c r="D4278" s="70"/>
      <c r="G4278" s="78"/>
    </row>
    <row r="4279" spans="2:7" x14ac:dyDescent="0.3">
      <c r="B4279" s="69"/>
      <c r="C4279" s="55"/>
      <c r="D4279" s="70"/>
      <c r="G4279" s="78"/>
    </row>
    <row r="4280" spans="2:7" x14ac:dyDescent="0.3">
      <c r="B4280" s="69"/>
      <c r="C4280" s="55"/>
      <c r="D4280" s="70"/>
      <c r="G4280" s="78"/>
    </row>
    <row r="4281" spans="2:7" x14ac:dyDescent="0.3">
      <c r="B4281" s="69"/>
      <c r="C4281" s="55"/>
      <c r="D4281" s="70"/>
      <c r="G4281" s="78"/>
    </row>
    <row r="4282" spans="2:7" x14ac:dyDescent="0.3">
      <c r="B4282" s="69"/>
      <c r="C4282" s="55"/>
      <c r="D4282" s="70"/>
      <c r="G4282" s="78"/>
    </row>
    <row r="4283" spans="2:7" x14ac:dyDescent="0.3">
      <c r="B4283" s="69"/>
      <c r="C4283" s="55"/>
      <c r="D4283" s="70"/>
      <c r="G4283" s="78"/>
    </row>
    <row r="4284" spans="2:7" x14ac:dyDescent="0.3">
      <c r="B4284" s="69"/>
      <c r="C4284" s="55"/>
      <c r="D4284" s="70"/>
      <c r="G4284" s="78"/>
    </row>
    <row r="4285" spans="2:7" x14ac:dyDescent="0.3">
      <c r="B4285" s="69"/>
      <c r="C4285" s="55"/>
      <c r="D4285" s="70"/>
      <c r="G4285" s="78"/>
    </row>
    <row r="4286" spans="2:7" x14ac:dyDescent="0.3">
      <c r="B4286" s="69"/>
      <c r="C4286" s="55"/>
      <c r="D4286" s="70"/>
      <c r="G4286" s="78"/>
    </row>
    <row r="4287" spans="2:7" x14ac:dyDescent="0.3">
      <c r="B4287" s="69"/>
      <c r="C4287" s="55"/>
      <c r="D4287" s="70"/>
      <c r="G4287" s="78"/>
    </row>
    <row r="4288" spans="2:7" x14ac:dyDescent="0.3">
      <c r="B4288" s="69"/>
      <c r="C4288" s="55"/>
      <c r="D4288" s="70"/>
      <c r="G4288" s="78"/>
    </row>
    <row r="4289" spans="2:7" x14ac:dyDescent="0.3">
      <c r="B4289" s="69"/>
      <c r="C4289" s="55"/>
      <c r="D4289" s="70"/>
      <c r="G4289" s="78"/>
    </row>
    <row r="4290" spans="2:7" x14ac:dyDescent="0.3">
      <c r="B4290" s="69"/>
      <c r="C4290" s="55"/>
      <c r="D4290" s="70"/>
      <c r="G4290" s="78"/>
    </row>
    <row r="4291" spans="2:7" x14ac:dyDescent="0.3">
      <c r="B4291" s="69"/>
      <c r="C4291" s="55"/>
      <c r="D4291" s="70"/>
      <c r="G4291" s="78"/>
    </row>
    <row r="4292" spans="2:7" x14ac:dyDescent="0.3">
      <c r="B4292" s="69"/>
      <c r="C4292" s="55"/>
      <c r="D4292" s="70"/>
      <c r="G4292" s="78"/>
    </row>
    <row r="4293" spans="2:7" x14ac:dyDescent="0.3">
      <c r="B4293" s="69"/>
      <c r="C4293" s="55"/>
      <c r="D4293" s="70"/>
      <c r="G4293" s="78"/>
    </row>
    <row r="4294" spans="2:7" x14ac:dyDescent="0.3">
      <c r="B4294" s="69"/>
      <c r="C4294" s="55"/>
      <c r="D4294" s="70"/>
      <c r="G4294" s="78"/>
    </row>
    <row r="4295" spans="2:7" x14ac:dyDescent="0.3">
      <c r="B4295" s="69"/>
      <c r="C4295" s="55"/>
      <c r="D4295" s="70"/>
      <c r="G4295" s="78"/>
    </row>
    <row r="4296" spans="2:7" x14ac:dyDescent="0.3">
      <c r="B4296" s="69"/>
      <c r="C4296" s="55"/>
      <c r="D4296" s="70"/>
      <c r="G4296" s="78"/>
    </row>
    <row r="4297" spans="2:7" x14ac:dyDescent="0.3">
      <c r="B4297" s="69"/>
      <c r="C4297" s="55"/>
      <c r="D4297" s="70"/>
      <c r="G4297" s="78"/>
    </row>
    <row r="4298" spans="2:7" x14ac:dyDescent="0.3">
      <c r="B4298" s="69"/>
      <c r="C4298" s="55"/>
      <c r="D4298" s="70"/>
      <c r="G4298" s="78"/>
    </row>
    <row r="4299" spans="2:7" x14ac:dyDescent="0.3">
      <c r="B4299" s="69"/>
      <c r="C4299" s="55"/>
      <c r="D4299" s="70"/>
      <c r="G4299" s="78"/>
    </row>
    <row r="4300" spans="2:7" x14ac:dyDescent="0.3">
      <c r="B4300" s="69"/>
      <c r="C4300" s="55"/>
      <c r="D4300" s="70"/>
      <c r="G4300" s="78"/>
    </row>
    <row r="4301" spans="2:7" x14ac:dyDescent="0.3">
      <c r="B4301" s="69"/>
      <c r="C4301" s="55"/>
      <c r="D4301" s="70"/>
      <c r="G4301" s="78"/>
    </row>
    <row r="4302" spans="2:7" x14ac:dyDescent="0.3">
      <c r="B4302" s="69"/>
      <c r="C4302" s="55"/>
      <c r="D4302" s="70"/>
      <c r="G4302" s="78"/>
    </row>
    <row r="4303" spans="2:7" x14ac:dyDescent="0.3">
      <c r="B4303" s="69"/>
      <c r="C4303" s="55"/>
      <c r="D4303" s="70"/>
      <c r="G4303" s="78"/>
    </row>
    <row r="4304" spans="2:7" x14ac:dyDescent="0.3">
      <c r="B4304" s="69"/>
      <c r="C4304" s="55"/>
      <c r="D4304" s="70"/>
      <c r="G4304" s="78"/>
    </row>
    <row r="4305" spans="2:7" x14ac:dyDescent="0.3">
      <c r="B4305" s="69"/>
      <c r="C4305" s="55"/>
      <c r="D4305" s="70"/>
      <c r="G4305" s="78"/>
    </row>
    <row r="4306" spans="2:7" x14ac:dyDescent="0.3">
      <c r="B4306" s="69"/>
      <c r="C4306" s="55"/>
      <c r="D4306" s="70"/>
      <c r="G4306" s="78"/>
    </row>
    <row r="4307" spans="2:7" x14ac:dyDescent="0.3">
      <c r="B4307" s="69"/>
      <c r="C4307" s="55"/>
      <c r="D4307" s="70"/>
      <c r="G4307" s="78"/>
    </row>
    <row r="4308" spans="2:7" x14ac:dyDescent="0.3">
      <c r="B4308" s="69"/>
      <c r="C4308" s="55"/>
      <c r="D4308" s="70"/>
      <c r="G4308" s="78"/>
    </row>
    <row r="4309" spans="2:7" x14ac:dyDescent="0.3">
      <c r="B4309" s="69"/>
      <c r="C4309" s="55"/>
      <c r="D4309" s="70"/>
      <c r="G4309" s="78"/>
    </row>
    <row r="4310" spans="2:7" x14ac:dyDescent="0.3">
      <c r="B4310" s="69"/>
      <c r="C4310" s="55"/>
      <c r="D4310" s="70"/>
      <c r="G4310" s="78"/>
    </row>
    <row r="4311" spans="2:7" x14ac:dyDescent="0.3">
      <c r="B4311" s="69"/>
      <c r="C4311" s="55"/>
      <c r="D4311" s="70"/>
      <c r="G4311" s="78"/>
    </row>
    <row r="4312" spans="2:7" x14ac:dyDescent="0.3">
      <c r="B4312" s="69"/>
      <c r="C4312" s="55"/>
      <c r="D4312" s="70"/>
      <c r="G4312" s="78"/>
    </row>
    <row r="4313" spans="2:7" x14ac:dyDescent="0.3">
      <c r="B4313" s="69"/>
      <c r="C4313" s="55"/>
      <c r="D4313" s="70"/>
      <c r="G4313" s="78"/>
    </row>
    <row r="4314" spans="2:7" x14ac:dyDescent="0.3">
      <c r="B4314" s="69"/>
      <c r="C4314" s="55"/>
      <c r="D4314" s="70"/>
      <c r="G4314" s="78"/>
    </row>
    <row r="4315" spans="2:7" x14ac:dyDescent="0.3">
      <c r="B4315" s="69"/>
      <c r="C4315" s="55"/>
      <c r="D4315" s="70"/>
      <c r="G4315" s="78"/>
    </row>
    <row r="4316" spans="2:7" x14ac:dyDescent="0.3">
      <c r="B4316" s="69"/>
      <c r="C4316" s="55"/>
      <c r="D4316" s="70"/>
      <c r="G4316" s="78"/>
    </row>
    <row r="4317" spans="2:7" x14ac:dyDescent="0.3">
      <c r="B4317" s="69"/>
      <c r="C4317" s="55"/>
      <c r="D4317" s="70"/>
      <c r="G4317" s="78"/>
    </row>
    <row r="4318" spans="2:7" x14ac:dyDescent="0.3">
      <c r="B4318" s="69"/>
      <c r="C4318" s="55"/>
      <c r="D4318" s="70"/>
      <c r="G4318" s="78"/>
    </row>
    <row r="4319" spans="2:7" x14ac:dyDescent="0.3">
      <c r="B4319" s="69"/>
      <c r="C4319" s="55"/>
      <c r="D4319" s="70"/>
      <c r="G4319" s="78"/>
    </row>
    <row r="4320" spans="2:7" x14ac:dyDescent="0.3">
      <c r="B4320" s="69"/>
      <c r="C4320" s="55"/>
      <c r="D4320" s="70"/>
      <c r="G4320" s="78"/>
    </row>
    <row r="4321" spans="2:7" x14ac:dyDescent="0.3">
      <c r="B4321" s="69"/>
      <c r="C4321" s="55"/>
      <c r="D4321" s="70"/>
      <c r="G4321" s="78"/>
    </row>
    <row r="4322" spans="2:7" x14ac:dyDescent="0.3">
      <c r="B4322" s="69"/>
      <c r="C4322" s="55"/>
      <c r="D4322" s="70"/>
      <c r="G4322" s="78"/>
    </row>
    <row r="4323" spans="2:7" x14ac:dyDescent="0.3">
      <c r="B4323" s="69"/>
      <c r="C4323" s="55"/>
      <c r="D4323" s="70"/>
      <c r="G4323" s="78"/>
    </row>
    <row r="4324" spans="2:7" x14ac:dyDescent="0.3">
      <c r="B4324" s="69"/>
      <c r="C4324" s="55"/>
      <c r="D4324" s="70"/>
      <c r="G4324" s="78"/>
    </row>
    <row r="4325" spans="2:7" x14ac:dyDescent="0.3">
      <c r="B4325" s="69"/>
      <c r="C4325" s="55"/>
      <c r="D4325" s="70"/>
      <c r="G4325" s="78"/>
    </row>
    <row r="4326" spans="2:7" x14ac:dyDescent="0.3">
      <c r="B4326" s="69"/>
      <c r="C4326" s="55"/>
      <c r="D4326" s="70"/>
      <c r="G4326" s="78"/>
    </row>
    <row r="4327" spans="2:7" x14ac:dyDescent="0.3">
      <c r="B4327" s="69"/>
      <c r="C4327" s="55"/>
      <c r="D4327" s="70"/>
      <c r="G4327" s="78"/>
    </row>
    <row r="4328" spans="2:7" x14ac:dyDescent="0.3">
      <c r="B4328" s="69"/>
      <c r="C4328" s="55"/>
      <c r="D4328" s="70"/>
      <c r="G4328" s="78"/>
    </row>
    <row r="4329" spans="2:7" x14ac:dyDescent="0.3">
      <c r="B4329" s="69"/>
      <c r="C4329" s="55"/>
      <c r="D4329" s="70"/>
      <c r="G4329" s="78"/>
    </row>
    <row r="4330" spans="2:7" x14ac:dyDescent="0.3">
      <c r="B4330" s="69"/>
      <c r="C4330" s="55"/>
      <c r="D4330" s="70"/>
      <c r="G4330" s="78"/>
    </row>
    <row r="4331" spans="2:7" x14ac:dyDescent="0.3">
      <c r="B4331" s="69"/>
      <c r="C4331" s="55"/>
      <c r="D4331" s="70"/>
      <c r="G4331" s="78"/>
    </row>
    <row r="4332" spans="2:7" x14ac:dyDescent="0.3">
      <c r="B4332" s="69"/>
      <c r="C4332" s="55"/>
      <c r="D4332" s="70"/>
      <c r="G4332" s="78"/>
    </row>
    <row r="4333" spans="2:7" x14ac:dyDescent="0.3">
      <c r="B4333" s="69"/>
      <c r="C4333" s="55"/>
      <c r="D4333" s="70"/>
      <c r="G4333" s="78"/>
    </row>
    <row r="4334" spans="2:7" x14ac:dyDescent="0.3">
      <c r="B4334" s="69"/>
      <c r="C4334" s="55"/>
      <c r="D4334" s="70"/>
      <c r="G4334" s="78"/>
    </row>
    <row r="4335" spans="2:7" x14ac:dyDescent="0.3">
      <c r="B4335" s="69"/>
      <c r="C4335" s="55"/>
      <c r="D4335" s="70"/>
      <c r="G4335" s="78"/>
    </row>
    <row r="4336" spans="2:7" x14ac:dyDescent="0.3">
      <c r="B4336" s="69"/>
      <c r="C4336" s="55"/>
      <c r="D4336" s="70"/>
      <c r="G4336" s="78"/>
    </row>
    <row r="4337" spans="2:7" x14ac:dyDescent="0.3">
      <c r="B4337" s="69"/>
      <c r="C4337" s="55"/>
      <c r="D4337" s="70"/>
      <c r="G4337" s="78"/>
    </row>
    <row r="4338" spans="2:7" x14ac:dyDescent="0.3">
      <c r="B4338" s="69"/>
      <c r="C4338" s="55"/>
      <c r="D4338" s="70"/>
      <c r="G4338" s="78"/>
    </row>
    <row r="4339" spans="2:7" x14ac:dyDescent="0.3">
      <c r="B4339" s="69"/>
      <c r="C4339" s="55"/>
      <c r="D4339" s="70"/>
      <c r="G4339" s="78"/>
    </row>
    <row r="4340" spans="2:7" x14ac:dyDescent="0.3">
      <c r="B4340" s="69"/>
      <c r="C4340" s="55"/>
      <c r="D4340" s="70"/>
      <c r="G4340" s="78"/>
    </row>
    <row r="4341" spans="2:7" x14ac:dyDescent="0.3">
      <c r="B4341" s="69"/>
      <c r="C4341" s="55"/>
      <c r="D4341" s="70"/>
      <c r="G4341" s="78"/>
    </row>
    <row r="4342" spans="2:7" x14ac:dyDescent="0.3">
      <c r="B4342" s="69"/>
      <c r="C4342" s="55"/>
      <c r="D4342" s="70"/>
      <c r="G4342" s="78"/>
    </row>
    <row r="4343" spans="2:7" x14ac:dyDescent="0.3">
      <c r="B4343" s="69"/>
      <c r="C4343" s="55"/>
      <c r="D4343" s="70"/>
      <c r="G4343" s="78"/>
    </row>
    <row r="4344" spans="2:7" x14ac:dyDescent="0.3">
      <c r="B4344" s="69"/>
      <c r="C4344" s="55"/>
      <c r="D4344" s="70"/>
      <c r="G4344" s="78"/>
    </row>
    <row r="4345" spans="2:7" x14ac:dyDescent="0.3">
      <c r="B4345" s="69"/>
      <c r="C4345" s="55"/>
      <c r="D4345" s="70"/>
      <c r="G4345" s="78"/>
    </row>
    <row r="4346" spans="2:7" x14ac:dyDescent="0.3">
      <c r="B4346" s="69"/>
      <c r="C4346" s="55"/>
      <c r="D4346" s="70"/>
      <c r="G4346" s="78"/>
    </row>
    <row r="4347" spans="2:7" x14ac:dyDescent="0.3">
      <c r="B4347" s="69"/>
      <c r="C4347" s="55"/>
      <c r="D4347" s="70"/>
      <c r="G4347" s="78"/>
    </row>
    <row r="4348" spans="2:7" x14ac:dyDescent="0.3">
      <c r="B4348" s="69"/>
      <c r="C4348" s="55"/>
      <c r="D4348" s="70"/>
      <c r="G4348" s="78"/>
    </row>
    <row r="4349" spans="2:7" x14ac:dyDescent="0.3">
      <c r="B4349" s="69"/>
      <c r="C4349" s="55"/>
      <c r="D4349" s="70"/>
      <c r="G4349" s="78"/>
    </row>
    <row r="4350" spans="2:7" x14ac:dyDescent="0.3">
      <c r="B4350" s="69"/>
      <c r="C4350" s="55"/>
      <c r="D4350" s="70"/>
      <c r="G4350" s="78"/>
    </row>
    <row r="4351" spans="2:7" x14ac:dyDescent="0.3">
      <c r="B4351" s="69"/>
      <c r="C4351" s="55"/>
      <c r="D4351" s="70"/>
      <c r="G4351" s="78"/>
    </row>
    <row r="4352" spans="2:7" x14ac:dyDescent="0.3">
      <c r="B4352" s="69"/>
      <c r="C4352" s="55"/>
      <c r="D4352" s="70"/>
      <c r="G4352" s="78"/>
    </row>
    <row r="4353" spans="2:7" x14ac:dyDescent="0.3">
      <c r="B4353" s="69"/>
      <c r="C4353" s="55"/>
      <c r="D4353" s="70"/>
      <c r="G4353" s="78"/>
    </row>
    <row r="4354" spans="2:7" x14ac:dyDescent="0.3">
      <c r="B4354" s="69"/>
      <c r="C4354" s="55"/>
      <c r="D4354" s="70"/>
      <c r="G4354" s="78"/>
    </row>
    <row r="4355" spans="2:7" x14ac:dyDescent="0.3">
      <c r="B4355" s="69"/>
      <c r="C4355" s="55"/>
      <c r="D4355" s="70"/>
      <c r="G4355" s="78"/>
    </row>
    <row r="4356" spans="2:7" x14ac:dyDescent="0.3">
      <c r="B4356" s="69"/>
      <c r="C4356" s="55"/>
      <c r="D4356" s="70"/>
      <c r="G4356" s="78"/>
    </row>
    <row r="4357" spans="2:7" x14ac:dyDescent="0.3">
      <c r="B4357" s="69"/>
      <c r="C4357" s="55"/>
      <c r="D4357" s="70"/>
      <c r="G4357" s="78"/>
    </row>
    <row r="4358" spans="2:7" x14ac:dyDescent="0.3">
      <c r="B4358" s="69"/>
      <c r="C4358" s="55"/>
      <c r="D4358" s="70"/>
      <c r="G4358" s="78"/>
    </row>
    <row r="4359" spans="2:7" x14ac:dyDescent="0.3">
      <c r="B4359" s="69"/>
      <c r="C4359" s="55"/>
      <c r="D4359" s="70"/>
      <c r="G4359" s="78"/>
    </row>
    <row r="4360" spans="2:7" x14ac:dyDescent="0.3">
      <c r="B4360" s="69"/>
      <c r="C4360" s="55"/>
      <c r="D4360" s="70"/>
      <c r="G4360" s="78"/>
    </row>
    <row r="4361" spans="2:7" x14ac:dyDescent="0.3">
      <c r="B4361" s="69"/>
      <c r="C4361" s="55"/>
      <c r="D4361" s="70"/>
      <c r="G4361" s="78"/>
    </row>
    <row r="4362" spans="2:7" x14ac:dyDescent="0.3">
      <c r="B4362" s="69"/>
      <c r="C4362" s="55"/>
      <c r="D4362" s="70"/>
      <c r="G4362" s="78"/>
    </row>
    <row r="4363" spans="2:7" x14ac:dyDescent="0.3">
      <c r="B4363" s="69"/>
      <c r="C4363" s="55"/>
      <c r="D4363" s="70"/>
      <c r="G4363" s="78"/>
    </row>
    <row r="4364" spans="2:7" x14ac:dyDescent="0.3">
      <c r="B4364" s="69"/>
      <c r="C4364" s="55"/>
      <c r="D4364" s="70"/>
      <c r="G4364" s="78"/>
    </row>
    <row r="4365" spans="2:7" x14ac:dyDescent="0.3">
      <c r="B4365" s="69"/>
      <c r="C4365" s="55"/>
      <c r="D4365" s="70"/>
      <c r="G4365" s="78"/>
    </row>
    <row r="4366" spans="2:7" x14ac:dyDescent="0.3">
      <c r="B4366" s="69"/>
      <c r="C4366" s="55"/>
      <c r="D4366" s="70"/>
      <c r="G4366" s="78"/>
    </row>
    <row r="4367" spans="2:7" x14ac:dyDescent="0.3">
      <c r="B4367" s="69"/>
      <c r="C4367" s="55"/>
      <c r="D4367" s="70"/>
      <c r="G4367" s="78"/>
    </row>
    <row r="4368" spans="2:7" x14ac:dyDescent="0.3">
      <c r="B4368" s="69"/>
      <c r="C4368" s="55"/>
      <c r="D4368" s="70"/>
      <c r="G4368" s="78"/>
    </row>
    <row r="4369" spans="2:7" x14ac:dyDescent="0.3">
      <c r="B4369" s="69"/>
      <c r="C4369" s="55"/>
      <c r="D4369" s="70"/>
      <c r="G4369" s="78"/>
    </row>
    <row r="4370" spans="2:7" x14ac:dyDescent="0.3">
      <c r="B4370" s="69"/>
      <c r="C4370" s="55"/>
      <c r="D4370" s="70"/>
      <c r="G4370" s="78"/>
    </row>
    <row r="4371" spans="2:7" x14ac:dyDescent="0.3">
      <c r="B4371" s="69"/>
      <c r="C4371" s="55"/>
      <c r="D4371" s="70"/>
      <c r="G4371" s="78"/>
    </row>
    <row r="4372" spans="2:7" x14ac:dyDescent="0.3">
      <c r="B4372" s="69"/>
      <c r="C4372" s="55"/>
      <c r="D4372" s="70"/>
      <c r="G4372" s="78"/>
    </row>
    <row r="4373" spans="2:7" x14ac:dyDescent="0.3">
      <c r="B4373" s="69"/>
      <c r="C4373" s="55"/>
      <c r="D4373" s="70"/>
      <c r="G4373" s="78"/>
    </row>
    <row r="4374" spans="2:7" x14ac:dyDescent="0.3">
      <c r="B4374" s="69"/>
      <c r="C4374" s="55"/>
      <c r="D4374" s="70"/>
      <c r="G4374" s="78"/>
    </row>
    <row r="4375" spans="2:7" x14ac:dyDescent="0.3">
      <c r="B4375" s="69"/>
      <c r="C4375" s="55"/>
      <c r="D4375" s="70"/>
      <c r="G4375" s="78"/>
    </row>
    <row r="4376" spans="2:7" x14ac:dyDescent="0.3">
      <c r="B4376" s="69"/>
      <c r="C4376" s="55"/>
      <c r="D4376" s="70"/>
      <c r="G4376" s="78"/>
    </row>
    <row r="4377" spans="2:7" x14ac:dyDescent="0.3">
      <c r="B4377" s="69"/>
      <c r="C4377" s="55"/>
      <c r="D4377" s="70"/>
      <c r="G4377" s="78"/>
    </row>
    <row r="4378" spans="2:7" x14ac:dyDescent="0.3">
      <c r="B4378" s="69"/>
      <c r="C4378" s="55"/>
      <c r="D4378" s="70"/>
      <c r="G4378" s="78"/>
    </row>
    <row r="4379" spans="2:7" x14ac:dyDescent="0.3">
      <c r="B4379" s="69"/>
      <c r="C4379" s="55"/>
      <c r="D4379" s="70"/>
      <c r="G4379" s="78"/>
    </row>
    <row r="4380" spans="2:7" x14ac:dyDescent="0.3">
      <c r="B4380" s="69"/>
      <c r="C4380" s="55"/>
      <c r="D4380" s="70"/>
      <c r="G4380" s="78"/>
    </row>
    <row r="4381" spans="2:7" x14ac:dyDescent="0.3">
      <c r="B4381" s="69"/>
      <c r="C4381" s="55"/>
      <c r="D4381" s="70"/>
      <c r="G4381" s="78"/>
    </row>
    <row r="4382" spans="2:7" x14ac:dyDescent="0.3">
      <c r="B4382" s="69"/>
      <c r="C4382" s="55"/>
      <c r="D4382" s="70"/>
      <c r="G4382" s="78"/>
    </row>
    <row r="4383" spans="2:7" x14ac:dyDescent="0.3">
      <c r="B4383" s="69"/>
      <c r="C4383" s="55"/>
      <c r="D4383" s="70"/>
      <c r="G4383" s="78"/>
    </row>
    <row r="4384" spans="2:7" x14ac:dyDescent="0.3">
      <c r="B4384" s="69"/>
      <c r="C4384" s="55"/>
      <c r="D4384" s="70"/>
      <c r="G4384" s="78"/>
    </row>
    <row r="4385" spans="2:7" x14ac:dyDescent="0.3">
      <c r="B4385" s="69"/>
      <c r="C4385" s="55"/>
      <c r="D4385" s="70"/>
      <c r="G4385" s="78"/>
    </row>
    <row r="4386" spans="2:7" x14ac:dyDescent="0.3">
      <c r="B4386" s="69"/>
      <c r="C4386" s="55"/>
      <c r="D4386" s="70"/>
      <c r="G4386" s="78"/>
    </row>
    <row r="4387" spans="2:7" x14ac:dyDescent="0.3">
      <c r="B4387" s="69"/>
      <c r="C4387" s="55"/>
      <c r="D4387" s="70"/>
      <c r="G4387" s="78"/>
    </row>
    <row r="4388" spans="2:7" x14ac:dyDescent="0.3">
      <c r="B4388" s="69"/>
      <c r="C4388" s="55"/>
      <c r="D4388" s="70"/>
      <c r="G4388" s="78"/>
    </row>
    <row r="4389" spans="2:7" x14ac:dyDescent="0.3">
      <c r="B4389" s="69"/>
      <c r="C4389" s="55"/>
      <c r="D4389" s="70"/>
      <c r="G4389" s="78"/>
    </row>
    <row r="4390" spans="2:7" x14ac:dyDescent="0.3">
      <c r="B4390" s="69"/>
      <c r="C4390" s="55"/>
      <c r="D4390" s="70"/>
      <c r="G4390" s="78"/>
    </row>
    <row r="4391" spans="2:7" x14ac:dyDescent="0.3">
      <c r="B4391" s="69"/>
      <c r="C4391" s="55"/>
      <c r="D4391" s="70"/>
      <c r="G4391" s="78"/>
    </row>
    <row r="4392" spans="2:7" x14ac:dyDescent="0.3">
      <c r="B4392" s="69"/>
      <c r="C4392" s="55"/>
      <c r="D4392" s="70"/>
      <c r="G4392" s="78"/>
    </row>
    <row r="4393" spans="2:7" x14ac:dyDescent="0.3">
      <c r="B4393" s="69"/>
      <c r="C4393" s="55"/>
      <c r="D4393" s="70"/>
      <c r="G4393" s="78"/>
    </row>
    <row r="4394" spans="2:7" x14ac:dyDescent="0.3">
      <c r="B4394" s="69"/>
      <c r="C4394" s="55"/>
      <c r="D4394" s="70"/>
      <c r="G4394" s="78"/>
    </row>
    <row r="4395" spans="2:7" x14ac:dyDescent="0.3">
      <c r="B4395" s="69"/>
      <c r="C4395" s="55"/>
      <c r="D4395" s="70"/>
      <c r="G4395" s="78"/>
    </row>
    <row r="4396" spans="2:7" x14ac:dyDescent="0.3">
      <c r="B4396" s="69"/>
      <c r="C4396" s="55"/>
      <c r="D4396" s="70"/>
      <c r="G4396" s="78"/>
    </row>
    <row r="4397" spans="2:7" x14ac:dyDescent="0.3">
      <c r="B4397" s="69"/>
      <c r="C4397" s="55"/>
      <c r="D4397" s="70"/>
      <c r="G4397" s="78"/>
    </row>
    <row r="4398" spans="2:7" x14ac:dyDescent="0.3">
      <c r="B4398" s="69"/>
      <c r="C4398" s="55"/>
      <c r="D4398" s="70"/>
      <c r="G4398" s="78"/>
    </row>
    <row r="4399" spans="2:7" x14ac:dyDescent="0.3">
      <c r="B4399" s="69"/>
      <c r="C4399" s="55"/>
      <c r="D4399" s="70"/>
      <c r="G4399" s="78"/>
    </row>
    <row r="4400" spans="2:7" x14ac:dyDescent="0.3">
      <c r="B4400" s="69"/>
      <c r="C4400" s="55"/>
      <c r="D4400" s="70"/>
      <c r="G4400" s="78"/>
    </row>
    <row r="4401" spans="2:7" x14ac:dyDescent="0.3">
      <c r="B4401" s="69"/>
      <c r="C4401" s="55"/>
      <c r="D4401" s="70"/>
      <c r="G4401" s="78"/>
    </row>
    <row r="4402" spans="2:7" x14ac:dyDescent="0.3">
      <c r="B4402" s="69"/>
      <c r="C4402" s="55"/>
      <c r="D4402" s="70"/>
      <c r="G4402" s="78"/>
    </row>
    <row r="4403" spans="2:7" x14ac:dyDescent="0.3">
      <c r="B4403" s="69"/>
      <c r="C4403" s="55"/>
      <c r="D4403" s="70"/>
      <c r="G4403" s="78"/>
    </row>
    <row r="4404" spans="2:7" x14ac:dyDescent="0.3">
      <c r="B4404" s="69"/>
      <c r="C4404" s="55"/>
      <c r="D4404" s="70"/>
      <c r="G4404" s="78"/>
    </row>
    <row r="4405" spans="2:7" x14ac:dyDescent="0.3">
      <c r="B4405" s="69"/>
      <c r="C4405" s="55"/>
      <c r="D4405" s="70"/>
      <c r="G4405" s="78"/>
    </row>
    <row r="4406" spans="2:7" x14ac:dyDescent="0.3">
      <c r="B4406" s="69"/>
      <c r="C4406" s="55"/>
      <c r="D4406" s="70"/>
      <c r="G4406" s="78"/>
    </row>
    <row r="4407" spans="2:7" x14ac:dyDescent="0.3">
      <c r="B4407" s="69"/>
      <c r="C4407" s="55"/>
      <c r="D4407" s="70"/>
      <c r="G4407" s="78"/>
    </row>
    <row r="4408" spans="2:7" x14ac:dyDescent="0.3">
      <c r="B4408" s="69"/>
      <c r="C4408" s="55"/>
      <c r="D4408" s="70"/>
      <c r="G4408" s="78"/>
    </row>
    <row r="4409" spans="2:7" x14ac:dyDescent="0.3">
      <c r="B4409" s="69"/>
      <c r="C4409" s="55"/>
      <c r="D4409" s="70"/>
      <c r="G4409" s="78"/>
    </row>
    <row r="4410" spans="2:7" x14ac:dyDescent="0.3">
      <c r="B4410" s="69"/>
      <c r="C4410" s="55"/>
      <c r="D4410" s="70"/>
      <c r="G4410" s="78"/>
    </row>
    <row r="4411" spans="2:7" x14ac:dyDescent="0.3">
      <c r="B4411" s="69"/>
      <c r="C4411" s="55"/>
      <c r="D4411" s="70"/>
      <c r="G4411" s="78"/>
    </row>
    <row r="4412" spans="2:7" x14ac:dyDescent="0.3">
      <c r="B4412" s="69"/>
      <c r="C4412" s="55"/>
      <c r="D4412" s="70"/>
      <c r="G4412" s="78"/>
    </row>
    <row r="4413" spans="2:7" x14ac:dyDescent="0.3">
      <c r="B4413" s="69"/>
      <c r="C4413" s="55"/>
      <c r="D4413" s="70"/>
      <c r="G4413" s="78"/>
    </row>
    <row r="4414" spans="2:7" x14ac:dyDescent="0.3">
      <c r="B4414" s="69"/>
      <c r="C4414" s="55"/>
      <c r="D4414" s="70"/>
      <c r="G4414" s="78"/>
    </row>
    <row r="4415" spans="2:7" x14ac:dyDescent="0.3">
      <c r="B4415" s="69"/>
      <c r="C4415" s="55"/>
      <c r="D4415" s="70"/>
      <c r="G4415" s="78"/>
    </row>
    <row r="4416" spans="2:7" x14ac:dyDescent="0.3">
      <c r="B4416" s="69"/>
      <c r="C4416" s="55"/>
      <c r="D4416" s="70"/>
      <c r="G4416" s="78"/>
    </row>
    <row r="4417" spans="2:7" x14ac:dyDescent="0.3">
      <c r="B4417" s="69"/>
      <c r="C4417" s="55"/>
      <c r="D4417" s="70"/>
      <c r="G4417" s="78"/>
    </row>
    <row r="4418" spans="2:7" x14ac:dyDescent="0.3">
      <c r="B4418" s="69"/>
      <c r="C4418" s="55"/>
      <c r="D4418" s="70"/>
      <c r="G4418" s="78"/>
    </row>
    <row r="4419" spans="2:7" x14ac:dyDescent="0.3">
      <c r="B4419" s="69"/>
      <c r="C4419" s="55"/>
      <c r="D4419" s="70"/>
      <c r="G4419" s="78"/>
    </row>
    <row r="4420" spans="2:7" x14ac:dyDescent="0.3">
      <c r="B4420" s="69"/>
      <c r="C4420" s="55"/>
      <c r="D4420" s="70"/>
      <c r="G4420" s="78"/>
    </row>
    <row r="4421" spans="2:7" x14ac:dyDescent="0.3">
      <c r="B4421" s="69"/>
      <c r="C4421" s="55"/>
      <c r="D4421" s="70"/>
      <c r="G4421" s="78"/>
    </row>
    <row r="4422" spans="2:7" x14ac:dyDescent="0.3">
      <c r="B4422" s="69"/>
      <c r="C4422" s="55"/>
      <c r="D4422" s="70"/>
      <c r="G4422" s="78"/>
    </row>
    <row r="4423" spans="2:7" x14ac:dyDescent="0.3">
      <c r="B4423" s="69"/>
      <c r="C4423" s="55"/>
      <c r="D4423" s="70"/>
      <c r="G4423" s="78"/>
    </row>
    <row r="4424" spans="2:7" x14ac:dyDescent="0.3">
      <c r="B4424" s="69"/>
      <c r="C4424" s="55"/>
      <c r="D4424" s="70"/>
      <c r="G4424" s="78"/>
    </row>
    <row r="4425" spans="2:7" x14ac:dyDescent="0.3">
      <c r="B4425" s="69"/>
      <c r="C4425" s="55"/>
      <c r="D4425" s="70"/>
      <c r="G4425" s="78"/>
    </row>
    <row r="4426" spans="2:7" x14ac:dyDescent="0.3">
      <c r="B4426" s="69"/>
      <c r="C4426" s="55"/>
      <c r="D4426" s="70"/>
      <c r="G4426" s="78"/>
    </row>
    <row r="4427" spans="2:7" x14ac:dyDescent="0.3">
      <c r="B4427" s="69"/>
      <c r="C4427" s="55"/>
      <c r="D4427" s="70"/>
      <c r="G4427" s="78"/>
    </row>
    <row r="4428" spans="2:7" x14ac:dyDescent="0.3">
      <c r="B4428" s="69"/>
      <c r="C4428" s="55"/>
      <c r="D4428" s="70"/>
      <c r="G4428" s="78"/>
    </row>
    <row r="4429" spans="2:7" x14ac:dyDescent="0.3">
      <c r="B4429" s="69"/>
      <c r="C4429" s="55"/>
      <c r="D4429" s="70"/>
      <c r="G4429" s="78"/>
    </row>
    <row r="4430" spans="2:7" x14ac:dyDescent="0.3">
      <c r="B4430" s="69"/>
      <c r="C4430" s="55"/>
      <c r="D4430" s="70"/>
      <c r="G4430" s="78"/>
    </row>
    <row r="4431" spans="2:7" x14ac:dyDescent="0.3">
      <c r="B4431" s="69"/>
      <c r="C4431" s="55"/>
      <c r="D4431" s="70"/>
      <c r="G4431" s="78"/>
    </row>
    <row r="4432" spans="2:7" x14ac:dyDescent="0.3">
      <c r="B4432" s="69"/>
      <c r="C4432" s="55"/>
      <c r="D4432" s="70"/>
      <c r="G4432" s="78"/>
    </row>
    <row r="4433" spans="2:7" x14ac:dyDescent="0.3">
      <c r="B4433" s="69"/>
      <c r="C4433" s="55"/>
      <c r="D4433" s="70"/>
      <c r="G4433" s="78"/>
    </row>
    <row r="4434" spans="2:7" x14ac:dyDescent="0.3">
      <c r="B4434" s="69"/>
      <c r="C4434" s="55"/>
      <c r="D4434" s="70"/>
      <c r="G4434" s="78"/>
    </row>
    <row r="4435" spans="2:7" x14ac:dyDescent="0.3">
      <c r="B4435" s="69"/>
      <c r="C4435" s="55"/>
      <c r="D4435" s="70"/>
      <c r="G4435" s="78"/>
    </row>
    <row r="4436" spans="2:7" x14ac:dyDescent="0.3">
      <c r="B4436" s="69"/>
      <c r="C4436" s="55"/>
      <c r="D4436" s="70"/>
      <c r="G4436" s="78"/>
    </row>
    <row r="4437" spans="2:7" x14ac:dyDescent="0.3">
      <c r="B4437" s="69"/>
      <c r="C4437" s="55"/>
      <c r="D4437" s="70"/>
      <c r="G4437" s="78"/>
    </row>
    <row r="4438" spans="2:7" x14ac:dyDescent="0.3">
      <c r="B4438" s="69"/>
      <c r="C4438" s="55"/>
      <c r="D4438" s="70"/>
      <c r="G4438" s="78"/>
    </row>
    <row r="4439" spans="2:7" x14ac:dyDescent="0.3">
      <c r="B4439" s="69"/>
      <c r="C4439" s="55"/>
      <c r="D4439" s="70"/>
      <c r="G4439" s="78"/>
    </row>
    <row r="4440" spans="2:7" x14ac:dyDescent="0.3">
      <c r="B4440" s="69"/>
      <c r="C4440" s="55"/>
      <c r="D4440" s="70"/>
      <c r="G4440" s="78"/>
    </row>
    <row r="4441" spans="2:7" x14ac:dyDescent="0.3">
      <c r="B4441" s="69"/>
      <c r="C4441" s="55"/>
      <c r="D4441" s="70"/>
      <c r="G4441" s="78"/>
    </row>
    <row r="4442" spans="2:7" x14ac:dyDescent="0.3">
      <c r="B4442" s="69"/>
      <c r="C4442" s="55"/>
      <c r="D4442" s="70"/>
      <c r="G4442" s="78"/>
    </row>
    <row r="4443" spans="2:7" x14ac:dyDescent="0.3">
      <c r="B4443" s="69"/>
      <c r="C4443" s="55"/>
      <c r="D4443" s="70"/>
      <c r="G4443" s="78"/>
    </row>
    <row r="4444" spans="2:7" x14ac:dyDescent="0.3">
      <c r="B4444" s="69"/>
      <c r="C4444" s="55"/>
      <c r="D4444" s="70"/>
      <c r="G4444" s="78"/>
    </row>
    <row r="4445" spans="2:7" x14ac:dyDescent="0.3">
      <c r="B4445" s="69"/>
      <c r="C4445" s="55"/>
      <c r="D4445" s="70"/>
      <c r="G4445" s="78"/>
    </row>
    <row r="4446" spans="2:7" x14ac:dyDescent="0.3">
      <c r="B4446" s="69"/>
      <c r="C4446" s="55"/>
      <c r="D4446" s="70"/>
      <c r="G4446" s="78"/>
    </row>
    <row r="4447" spans="2:7" x14ac:dyDescent="0.3">
      <c r="B4447" s="69"/>
      <c r="C4447" s="55"/>
      <c r="D4447" s="70"/>
      <c r="G4447" s="78"/>
    </row>
    <row r="4448" spans="2:7" x14ac:dyDescent="0.3">
      <c r="B4448" s="69"/>
      <c r="C4448" s="55"/>
      <c r="D4448" s="70"/>
      <c r="G4448" s="78"/>
    </row>
    <row r="4449" spans="2:7" x14ac:dyDescent="0.3">
      <c r="B4449" s="69"/>
      <c r="C4449" s="55"/>
      <c r="D4449" s="70"/>
      <c r="G4449" s="78"/>
    </row>
    <row r="4450" spans="2:7" x14ac:dyDescent="0.3">
      <c r="B4450" s="69"/>
      <c r="C4450" s="55"/>
      <c r="D4450" s="70"/>
      <c r="G4450" s="78"/>
    </row>
    <row r="4451" spans="2:7" x14ac:dyDescent="0.3">
      <c r="B4451" s="69"/>
      <c r="C4451" s="55"/>
      <c r="D4451" s="70"/>
      <c r="G4451" s="78"/>
    </row>
    <row r="4452" spans="2:7" x14ac:dyDescent="0.3">
      <c r="B4452" s="69"/>
      <c r="C4452" s="55"/>
      <c r="D4452" s="70"/>
      <c r="G4452" s="78"/>
    </row>
    <row r="4453" spans="2:7" x14ac:dyDescent="0.3">
      <c r="B4453" s="69"/>
      <c r="C4453" s="55"/>
      <c r="D4453" s="70"/>
      <c r="G4453" s="78"/>
    </row>
    <row r="4454" spans="2:7" x14ac:dyDescent="0.3">
      <c r="B4454" s="69"/>
      <c r="C4454" s="55"/>
      <c r="D4454" s="70"/>
      <c r="G4454" s="78"/>
    </row>
    <row r="4455" spans="2:7" x14ac:dyDescent="0.3">
      <c r="B4455" s="69"/>
      <c r="C4455" s="55"/>
      <c r="D4455" s="70"/>
      <c r="G4455" s="78"/>
    </row>
    <row r="4456" spans="2:7" x14ac:dyDescent="0.3">
      <c r="B4456" s="69"/>
      <c r="C4456" s="55"/>
      <c r="D4456" s="70"/>
      <c r="G4456" s="78"/>
    </row>
    <row r="4457" spans="2:7" x14ac:dyDescent="0.3">
      <c r="B4457" s="69"/>
      <c r="C4457" s="55"/>
      <c r="D4457" s="70"/>
      <c r="G4457" s="78"/>
    </row>
    <row r="4458" spans="2:7" x14ac:dyDescent="0.3">
      <c r="B4458" s="69"/>
      <c r="C4458" s="55"/>
      <c r="D4458" s="70"/>
      <c r="G4458" s="78"/>
    </row>
    <row r="4459" spans="2:7" x14ac:dyDescent="0.3">
      <c r="B4459" s="69"/>
      <c r="C4459" s="55"/>
      <c r="D4459" s="70"/>
      <c r="G4459" s="78"/>
    </row>
    <row r="4460" spans="2:7" x14ac:dyDescent="0.3">
      <c r="B4460" s="69"/>
      <c r="C4460" s="55"/>
      <c r="D4460" s="70"/>
      <c r="G4460" s="78"/>
    </row>
    <row r="4461" spans="2:7" x14ac:dyDescent="0.3">
      <c r="B4461" s="69"/>
      <c r="C4461" s="55"/>
      <c r="D4461" s="70"/>
      <c r="G4461" s="78"/>
    </row>
    <row r="4462" spans="2:7" x14ac:dyDescent="0.3">
      <c r="B4462" s="69"/>
      <c r="C4462" s="55"/>
      <c r="D4462" s="70"/>
      <c r="G4462" s="78"/>
    </row>
    <row r="4463" spans="2:7" x14ac:dyDescent="0.3">
      <c r="B4463" s="69"/>
      <c r="C4463" s="55"/>
      <c r="D4463" s="70"/>
      <c r="G4463" s="78"/>
    </row>
    <row r="4464" spans="2:7" x14ac:dyDescent="0.3">
      <c r="B4464" s="69"/>
      <c r="C4464" s="55"/>
      <c r="D4464" s="70"/>
      <c r="G4464" s="78"/>
    </row>
    <row r="4465" spans="2:7" x14ac:dyDescent="0.3">
      <c r="B4465" s="69"/>
      <c r="C4465" s="55"/>
      <c r="D4465" s="70"/>
      <c r="G4465" s="78"/>
    </row>
    <row r="4466" spans="2:7" x14ac:dyDescent="0.3">
      <c r="B4466" s="69"/>
      <c r="C4466" s="55"/>
      <c r="D4466" s="70"/>
      <c r="G4466" s="78"/>
    </row>
    <row r="4467" spans="2:7" x14ac:dyDescent="0.3">
      <c r="B4467" s="69"/>
      <c r="C4467" s="55"/>
      <c r="D4467" s="70"/>
      <c r="G4467" s="78"/>
    </row>
    <row r="4468" spans="2:7" x14ac:dyDescent="0.3">
      <c r="B4468" s="69"/>
      <c r="C4468" s="55"/>
      <c r="D4468" s="70"/>
      <c r="G4468" s="78"/>
    </row>
    <row r="4469" spans="2:7" x14ac:dyDescent="0.3">
      <c r="B4469" s="69"/>
      <c r="C4469" s="55"/>
      <c r="D4469" s="70"/>
      <c r="G4469" s="78"/>
    </row>
    <row r="4470" spans="2:7" x14ac:dyDescent="0.3">
      <c r="B4470" s="69"/>
      <c r="C4470" s="55"/>
      <c r="D4470" s="70"/>
      <c r="G4470" s="78"/>
    </row>
    <row r="4471" spans="2:7" x14ac:dyDescent="0.3">
      <c r="B4471" s="69"/>
      <c r="C4471" s="55"/>
      <c r="D4471" s="70"/>
      <c r="G4471" s="78"/>
    </row>
    <row r="4472" spans="2:7" x14ac:dyDescent="0.3">
      <c r="B4472" s="69"/>
      <c r="C4472" s="55"/>
      <c r="D4472" s="70"/>
      <c r="G4472" s="78"/>
    </row>
    <row r="4473" spans="2:7" x14ac:dyDescent="0.3">
      <c r="B4473" s="69"/>
      <c r="C4473" s="55"/>
      <c r="D4473" s="70"/>
      <c r="G4473" s="78"/>
    </row>
    <row r="4474" spans="2:7" x14ac:dyDescent="0.3">
      <c r="B4474" s="69"/>
      <c r="C4474" s="55"/>
      <c r="D4474" s="70"/>
      <c r="G4474" s="78"/>
    </row>
    <row r="4475" spans="2:7" x14ac:dyDescent="0.3">
      <c r="B4475" s="69"/>
      <c r="C4475" s="55"/>
      <c r="D4475" s="70"/>
      <c r="G4475" s="78"/>
    </row>
    <row r="4476" spans="2:7" x14ac:dyDescent="0.3">
      <c r="B4476" s="69"/>
      <c r="C4476" s="55"/>
      <c r="D4476" s="70"/>
      <c r="G4476" s="78"/>
    </row>
    <row r="4477" spans="2:7" x14ac:dyDescent="0.3">
      <c r="B4477" s="69"/>
      <c r="C4477" s="55"/>
      <c r="D4477" s="70"/>
      <c r="G4477" s="78"/>
    </row>
    <row r="4478" spans="2:7" x14ac:dyDescent="0.3">
      <c r="B4478" s="69"/>
      <c r="C4478" s="55"/>
      <c r="D4478" s="70"/>
      <c r="G4478" s="78"/>
    </row>
    <row r="4479" spans="2:7" x14ac:dyDescent="0.3">
      <c r="B4479" s="69"/>
      <c r="C4479" s="55"/>
      <c r="D4479" s="70"/>
      <c r="G4479" s="78"/>
    </row>
    <row r="4480" spans="2:7" x14ac:dyDescent="0.3">
      <c r="B4480" s="69"/>
      <c r="C4480" s="55"/>
      <c r="D4480" s="70"/>
      <c r="G4480" s="78"/>
    </row>
    <row r="4481" spans="2:7" x14ac:dyDescent="0.3">
      <c r="B4481" s="69"/>
      <c r="C4481" s="55"/>
      <c r="D4481" s="70"/>
      <c r="G4481" s="78"/>
    </row>
    <row r="4482" spans="2:7" x14ac:dyDescent="0.3">
      <c r="B4482" s="69"/>
      <c r="C4482" s="55"/>
      <c r="D4482" s="70"/>
      <c r="G4482" s="78"/>
    </row>
    <row r="4483" spans="2:7" x14ac:dyDescent="0.3">
      <c r="B4483" s="69"/>
      <c r="C4483" s="55"/>
      <c r="D4483" s="70"/>
      <c r="G4483" s="78"/>
    </row>
    <row r="4484" spans="2:7" x14ac:dyDescent="0.3">
      <c r="B4484" s="69"/>
      <c r="C4484" s="55"/>
      <c r="D4484" s="70"/>
      <c r="G4484" s="78"/>
    </row>
    <row r="4485" spans="2:7" x14ac:dyDescent="0.3">
      <c r="B4485" s="69"/>
      <c r="C4485" s="55"/>
      <c r="D4485" s="70"/>
      <c r="G4485" s="78"/>
    </row>
    <row r="4486" spans="2:7" x14ac:dyDescent="0.3">
      <c r="B4486" s="69"/>
      <c r="C4486" s="55"/>
      <c r="D4486" s="70"/>
      <c r="G4486" s="78"/>
    </row>
    <row r="4487" spans="2:7" x14ac:dyDescent="0.3">
      <c r="B4487" s="69"/>
      <c r="C4487" s="55"/>
      <c r="D4487" s="70"/>
      <c r="G4487" s="78"/>
    </row>
    <row r="4488" spans="2:7" x14ac:dyDescent="0.3">
      <c r="B4488" s="69"/>
      <c r="C4488" s="55"/>
      <c r="D4488" s="70"/>
      <c r="G4488" s="78"/>
    </row>
    <row r="4489" spans="2:7" x14ac:dyDescent="0.3">
      <c r="B4489" s="69"/>
      <c r="C4489" s="55"/>
      <c r="D4489" s="70"/>
      <c r="G4489" s="78"/>
    </row>
    <row r="4490" spans="2:7" x14ac:dyDescent="0.3">
      <c r="B4490" s="69"/>
      <c r="C4490" s="55"/>
      <c r="D4490" s="70"/>
      <c r="G4490" s="78"/>
    </row>
    <row r="4491" spans="2:7" x14ac:dyDescent="0.3">
      <c r="B4491" s="69"/>
      <c r="C4491" s="55"/>
      <c r="D4491" s="70"/>
      <c r="G4491" s="78"/>
    </row>
    <row r="4492" spans="2:7" x14ac:dyDescent="0.3">
      <c r="B4492" s="69"/>
      <c r="C4492" s="55"/>
      <c r="D4492" s="70"/>
      <c r="G4492" s="78"/>
    </row>
    <row r="4493" spans="2:7" x14ac:dyDescent="0.3">
      <c r="B4493" s="69"/>
      <c r="C4493" s="55"/>
      <c r="D4493" s="70"/>
      <c r="G4493" s="78"/>
    </row>
    <row r="4494" spans="2:7" x14ac:dyDescent="0.3">
      <c r="B4494" s="69"/>
      <c r="C4494" s="55"/>
      <c r="D4494" s="70"/>
      <c r="G4494" s="78"/>
    </row>
    <row r="4495" spans="2:7" x14ac:dyDescent="0.3">
      <c r="B4495" s="69"/>
      <c r="C4495" s="55"/>
      <c r="D4495" s="70"/>
      <c r="G4495" s="78"/>
    </row>
    <row r="4496" spans="2:7" x14ac:dyDescent="0.3">
      <c r="B4496" s="69"/>
      <c r="C4496" s="55"/>
      <c r="D4496" s="70"/>
      <c r="G4496" s="78"/>
    </row>
    <row r="4497" spans="2:7" x14ac:dyDescent="0.3">
      <c r="B4497" s="69"/>
      <c r="C4497" s="55"/>
      <c r="D4497" s="70"/>
      <c r="G4497" s="78"/>
    </row>
    <row r="4498" spans="2:7" x14ac:dyDescent="0.3">
      <c r="B4498" s="69"/>
      <c r="C4498" s="55"/>
      <c r="D4498" s="70"/>
      <c r="G4498" s="78"/>
    </row>
    <row r="4499" spans="2:7" x14ac:dyDescent="0.3">
      <c r="B4499" s="69"/>
      <c r="C4499" s="55"/>
      <c r="D4499" s="70"/>
      <c r="G4499" s="78"/>
    </row>
    <row r="4500" spans="2:7" x14ac:dyDescent="0.3">
      <c r="B4500" s="69"/>
      <c r="C4500" s="55"/>
      <c r="D4500" s="70"/>
      <c r="G4500" s="78"/>
    </row>
    <row r="4501" spans="2:7" x14ac:dyDescent="0.3">
      <c r="B4501" s="69"/>
      <c r="C4501" s="55"/>
      <c r="D4501" s="70"/>
      <c r="G4501" s="78"/>
    </row>
    <row r="4502" spans="2:7" x14ac:dyDescent="0.3">
      <c r="B4502" s="69"/>
      <c r="C4502" s="55"/>
      <c r="D4502" s="70"/>
      <c r="G4502" s="78"/>
    </row>
    <row r="4503" spans="2:7" x14ac:dyDescent="0.3">
      <c r="B4503" s="69"/>
      <c r="C4503" s="55"/>
      <c r="D4503" s="70"/>
      <c r="G4503" s="78"/>
    </row>
    <row r="4504" spans="2:7" x14ac:dyDescent="0.3">
      <c r="B4504" s="69"/>
      <c r="C4504" s="55"/>
      <c r="D4504" s="70"/>
      <c r="G4504" s="78"/>
    </row>
    <row r="4505" spans="2:7" x14ac:dyDescent="0.3">
      <c r="B4505" s="69"/>
      <c r="C4505" s="55"/>
      <c r="D4505" s="70"/>
      <c r="G4505" s="78"/>
    </row>
    <row r="4506" spans="2:7" x14ac:dyDescent="0.3">
      <c r="B4506" s="69"/>
      <c r="C4506" s="55"/>
      <c r="D4506" s="70"/>
      <c r="G4506" s="78"/>
    </row>
    <row r="4507" spans="2:7" x14ac:dyDescent="0.3">
      <c r="B4507" s="69"/>
      <c r="C4507" s="55"/>
      <c r="D4507" s="70"/>
      <c r="G4507" s="78"/>
    </row>
    <row r="4508" spans="2:7" x14ac:dyDescent="0.3">
      <c r="B4508" s="69"/>
      <c r="C4508" s="55"/>
      <c r="D4508" s="70"/>
      <c r="G4508" s="78"/>
    </row>
    <row r="4509" spans="2:7" x14ac:dyDescent="0.3">
      <c r="B4509" s="69"/>
      <c r="C4509" s="55"/>
      <c r="D4509" s="70"/>
      <c r="G4509" s="78"/>
    </row>
    <row r="4510" spans="2:7" x14ac:dyDescent="0.3">
      <c r="B4510" s="69"/>
      <c r="C4510" s="55"/>
      <c r="D4510" s="70"/>
      <c r="G4510" s="78"/>
    </row>
    <row r="4511" spans="2:7" x14ac:dyDescent="0.3">
      <c r="B4511" s="69"/>
      <c r="C4511" s="55"/>
      <c r="D4511" s="70"/>
      <c r="G4511" s="78"/>
    </row>
    <row r="4512" spans="2:7" x14ac:dyDescent="0.3">
      <c r="B4512" s="69"/>
      <c r="C4512" s="55"/>
      <c r="D4512" s="70"/>
      <c r="G4512" s="78"/>
    </row>
    <row r="4513" spans="2:7" x14ac:dyDescent="0.3">
      <c r="B4513" s="69"/>
      <c r="C4513" s="55"/>
      <c r="D4513" s="70"/>
      <c r="G4513" s="78"/>
    </row>
    <row r="4514" spans="2:7" x14ac:dyDescent="0.3">
      <c r="B4514" s="69"/>
      <c r="C4514" s="55"/>
      <c r="D4514" s="70"/>
      <c r="G4514" s="78"/>
    </row>
    <row r="4515" spans="2:7" x14ac:dyDescent="0.3">
      <c r="B4515" s="69"/>
      <c r="C4515" s="55"/>
      <c r="D4515" s="70"/>
      <c r="G4515" s="78"/>
    </row>
    <row r="4516" spans="2:7" x14ac:dyDescent="0.3">
      <c r="B4516" s="69"/>
      <c r="C4516" s="55"/>
      <c r="D4516" s="70"/>
      <c r="G4516" s="78"/>
    </row>
    <row r="4517" spans="2:7" x14ac:dyDescent="0.3">
      <c r="B4517" s="69"/>
      <c r="C4517" s="55"/>
      <c r="D4517" s="70"/>
      <c r="G4517" s="78"/>
    </row>
    <row r="4518" spans="2:7" x14ac:dyDescent="0.3">
      <c r="B4518" s="69"/>
      <c r="C4518" s="55"/>
      <c r="D4518" s="70"/>
      <c r="G4518" s="78"/>
    </row>
    <row r="4519" spans="2:7" x14ac:dyDescent="0.3">
      <c r="B4519" s="69"/>
      <c r="C4519" s="55"/>
      <c r="D4519" s="70"/>
      <c r="G4519" s="78"/>
    </row>
    <row r="4520" spans="2:7" x14ac:dyDescent="0.3">
      <c r="B4520" s="69"/>
      <c r="C4520" s="55"/>
      <c r="D4520" s="70"/>
      <c r="G4520" s="78"/>
    </row>
    <row r="4521" spans="2:7" x14ac:dyDescent="0.3">
      <c r="B4521" s="69"/>
      <c r="C4521" s="55"/>
      <c r="D4521" s="70"/>
      <c r="G4521" s="78"/>
    </row>
    <row r="4522" spans="2:7" x14ac:dyDescent="0.3">
      <c r="B4522" s="69"/>
      <c r="C4522" s="55"/>
      <c r="D4522" s="70"/>
      <c r="G4522" s="78"/>
    </row>
    <row r="4523" spans="2:7" x14ac:dyDescent="0.3">
      <c r="B4523" s="69"/>
      <c r="C4523" s="55"/>
      <c r="D4523" s="70"/>
      <c r="G4523" s="78"/>
    </row>
    <row r="4524" spans="2:7" x14ac:dyDescent="0.3">
      <c r="B4524" s="69"/>
      <c r="C4524" s="55"/>
      <c r="D4524" s="70"/>
      <c r="G4524" s="78"/>
    </row>
    <row r="4525" spans="2:7" x14ac:dyDescent="0.3">
      <c r="B4525" s="69"/>
      <c r="C4525" s="55"/>
      <c r="D4525" s="70"/>
      <c r="G4525" s="78"/>
    </row>
    <row r="4526" spans="2:7" x14ac:dyDescent="0.3">
      <c r="B4526" s="69"/>
      <c r="C4526" s="55"/>
      <c r="D4526" s="70"/>
      <c r="G4526" s="78"/>
    </row>
    <row r="4527" spans="2:7" x14ac:dyDescent="0.3">
      <c r="B4527" s="69"/>
      <c r="C4527" s="55"/>
      <c r="D4527" s="70"/>
      <c r="G4527" s="78"/>
    </row>
    <row r="4528" spans="2:7" x14ac:dyDescent="0.3">
      <c r="B4528" s="69"/>
      <c r="C4528" s="55"/>
      <c r="D4528" s="70"/>
      <c r="G4528" s="78"/>
    </row>
    <row r="4529" spans="2:7" x14ac:dyDescent="0.3">
      <c r="B4529" s="69"/>
      <c r="C4529" s="55"/>
      <c r="D4529" s="70"/>
      <c r="G4529" s="78"/>
    </row>
    <row r="4530" spans="2:7" x14ac:dyDescent="0.3">
      <c r="B4530" s="69"/>
      <c r="C4530" s="55"/>
      <c r="D4530" s="70"/>
      <c r="G4530" s="78"/>
    </row>
    <row r="4531" spans="2:7" x14ac:dyDescent="0.3">
      <c r="B4531" s="69"/>
      <c r="C4531" s="55"/>
      <c r="D4531" s="70"/>
      <c r="G4531" s="78"/>
    </row>
    <row r="4532" spans="2:7" x14ac:dyDescent="0.3">
      <c r="B4532" s="69"/>
      <c r="C4532" s="55"/>
      <c r="D4532" s="70"/>
      <c r="G4532" s="78"/>
    </row>
    <row r="4533" spans="2:7" x14ac:dyDescent="0.3">
      <c r="B4533" s="69"/>
      <c r="C4533" s="55"/>
      <c r="D4533" s="70"/>
      <c r="G4533" s="78"/>
    </row>
    <row r="4534" spans="2:7" x14ac:dyDescent="0.3">
      <c r="B4534" s="69"/>
      <c r="C4534" s="55"/>
      <c r="D4534" s="70"/>
      <c r="G4534" s="78"/>
    </row>
    <row r="4535" spans="2:7" x14ac:dyDescent="0.3">
      <c r="B4535" s="69"/>
      <c r="C4535" s="55"/>
      <c r="D4535" s="70"/>
      <c r="G4535" s="78"/>
    </row>
    <row r="4536" spans="2:7" x14ac:dyDescent="0.3">
      <c r="B4536" s="69"/>
      <c r="C4536" s="55"/>
      <c r="D4536" s="70"/>
      <c r="G4536" s="78"/>
    </row>
    <row r="4537" spans="2:7" x14ac:dyDescent="0.3">
      <c r="B4537" s="69"/>
      <c r="C4537" s="55"/>
      <c r="D4537" s="70"/>
      <c r="G4537" s="78"/>
    </row>
    <row r="4538" spans="2:7" x14ac:dyDescent="0.3">
      <c r="B4538" s="69"/>
      <c r="C4538" s="55"/>
      <c r="D4538" s="70"/>
      <c r="G4538" s="78"/>
    </row>
    <row r="4539" spans="2:7" x14ac:dyDescent="0.3">
      <c r="B4539" s="69"/>
      <c r="C4539" s="55"/>
      <c r="D4539" s="70"/>
      <c r="G4539" s="78"/>
    </row>
    <row r="4540" spans="2:7" x14ac:dyDescent="0.3">
      <c r="B4540" s="69"/>
      <c r="C4540" s="55"/>
      <c r="D4540" s="70"/>
      <c r="G4540" s="78"/>
    </row>
    <row r="4541" spans="2:7" x14ac:dyDescent="0.3">
      <c r="B4541" s="69"/>
      <c r="C4541" s="55"/>
      <c r="D4541" s="70"/>
      <c r="G4541" s="78"/>
    </row>
    <row r="4542" spans="2:7" x14ac:dyDescent="0.3">
      <c r="B4542" s="69"/>
      <c r="C4542" s="55"/>
      <c r="D4542" s="70"/>
      <c r="G4542" s="78"/>
    </row>
    <row r="4543" spans="2:7" x14ac:dyDescent="0.3">
      <c r="B4543" s="69"/>
      <c r="C4543" s="55"/>
      <c r="D4543" s="70"/>
      <c r="G4543" s="78"/>
    </row>
    <row r="4544" spans="2:7" x14ac:dyDescent="0.3">
      <c r="B4544" s="69"/>
      <c r="C4544" s="55"/>
      <c r="D4544" s="70"/>
      <c r="G4544" s="78"/>
    </row>
    <row r="4545" spans="2:7" x14ac:dyDescent="0.3">
      <c r="B4545" s="69"/>
      <c r="C4545" s="55"/>
      <c r="D4545" s="70"/>
      <c r="G4545" s="78"/>
    </row>
    <row r="4546" spans="2:7" x14ac:dyDescent="0.3">
      <c r="B4546" s="69"/>
      <c r="C4546" s="55"/>
      <c r="D4546" s="70"/>
      <c r="G4546" s="78"/>
    </row>
    <row r="4547" spans="2:7" x14ac:dyDescent="0.3">
      <c r="B4547" s="69"/>
      <c r="C4547" s="55"/>
      <c r="D4547" s="70"/>
      <c r="G4547" s="78"/>
    </row>
    <row r="4548" spans="2:7" x14ac:dyDescent="0.3">
      <c r="B4548" s="69"/>
      <c r="C4548" s="55"/>
      <c r="D4548" s="70"/>
      <c r="G4548" s="78"/>
    </row>
    <row r="4549" spans="2:7" x14ac:dyDescent="0.3">
      <c r="B4549" s="69"/>
      <c r="C4549" s="55"/>
      <c r="D4549" s="70"/>
      <c r="G4549" s="78"/>
    </row>
    <row r="4550" spans="2:7" x14ac:dyDescent="0.3">
      <c r="B4550" s="69"/>
      <c r="C4550" s="55"/>
      <c r="D4550" s="70"/>
      <c r="G4550" s="78"/>
    </row>
    <row r="4551" spans="2:7" x14ac:dyDescent="0.3">
      <c r="B4551" s="69"/>
      <c r="C4551" s="55"/>
      <c r="D4551" s="70"/>
      <c r="G4551" s="78"/>
    </row>
    <row r="4552" spans="2:7" x14ac:dyDescent="0.3">
      <c r="B4552" s="69"/>
      <c r="C4552" s="55"/>
      <c r="D4552" s="70"/>
      <c r="G4552" s="78"/>
    </row>
    <row r="4553" spans="2:7" x14ac:dyDescent="0.3">
      <c r="B4553" s="69"/>
      <c r="C4553" s="55"/>
      <c r="D4553" s="70"/>
      <c r="G4553" s="78"/>
    </row>
    <row r="4554" spans="2:7" x14ac:dyDescent="0.3">
      <c r="B4554" s="69"/>
      <c r="C4554" s="55"/>
      <c r="D4554" s="70"/>
      <c r="G4554" s="78"/>
    </row>
    <row r="4555" spans="2:7" x14ac:dyDescent="0.3">
      <c r="B4555" s="69"/>
      <c r="C4555" s="55"/>
      <c r="D4555" s="70"/>
      <c r="G4555" s="78"/>
    </row>
    <row r="4556" spans="2:7" x14ac:dyDescent="0.3">
      <c r="B4556" s="69"/>
      <c r="C4556" s="55"/>
      <c r="D4556" s="70"/>
      <c r="G4556" s="78"/>
    </row>
    <row r="4557" spans="2:7" x14ac:dyDescent="0.3">
      <c r="B4557" s="69"/>
      <c r="C4557" s="55"/>
      <c r="D4557" s="70"/>
      <c r="G4557" s="78"/>
    </row>
    <row r="4558" spans="2:7" x14ac:dyDescent="0.3">
      <c r="B4558" s="69"/>
      <c r="C4558" s="55"/>
      <c r="D4558" s="70"/>
      <c r="G4558" s="78"/>
    </row>
    <row r="4559" spans="2:7" x14ac:dyDescent="0.3">
      <c r="B4559" s="69"/>
      <c r="C4559" s="55"/>
      <c r="D4559" s="70"/>
      <c r="G4559" s="78"/>
    </row>
    <row r="4560" spans="2:7" x14ac:dyDescent="0.3">
      <c r="B4560" s="69"/>
      <c r="C4560" s="55"/>
      <c r="D4560" s="70"/>
      <c r="G4560" s="78"/>
    </row>
    <row r="4561" spans="2:7" x14ac:dyDescent="0.3">
      <c r="B4561" s="69"/>
      <c r="C4561" s="55"/>
      <c r="D4561" s="70"/>
      <c r="G4561" s="78"/>
    </row>
    <row r="4562" spans="2:7" x14ac:dyDescent="0.3">
      <c r="B4562" s="69"/>
      <c r="C4562" s="55"/>
      <c r="D4562" s="70"/>
      <c r="G4562" s="78"/>
    </row>
    <row r="4563" spans="2:7" x14ac:dyDescent="0.3">
      <c r="B4563" s="69"/>
      <c r="C4563" s="55"/>
      <c r="D4563" s="70"/>
      <c r="G4563" s="78"/>
    </row>
    <row r="4564" spans="2:7" x14ac:dyDescent="0.3">
      <c r="B4564" s="69"/>
      <c r="C4564" s="55"/>
      <c r="D4564" s="70"/>
      <c r="G4564" s="78"/>
    </row>
    <row r="4565" spans="2:7" x14ac:dyDescent="0.3">
      <c r="B4565" s="69"/>
      <c r="C4565" s="55"/>
      <c r="D4565" s="70"/>
      <c r="G4565" s="78"/>
    </row>
    <row r="4566" spans="2:7" x14ac:dyDescent="0.3">
      <c r="B4566" s="69"/>
      <c r="C4566" s="55"/>
      <c r="D4566" s="70"/>
      <c r="G4566" s="78"/>
    </row>
    <row r="4567" spans="2:7" x14ac:dyDescent="0.3">
      <c r="B4567" s="69"/>
      <c r="C4567" s="55"/>
      <c r="D4567" s="70"/>
      <c r="G4567" s="78"/>
    </row>
    <row r="4568" spans="2:7" x14ac:dyDescent="0.3">
      <c r="B4568" s="69"/>
      <c r="C4568" s="55"/>
      <c r="D4568" s="70"/>
      <c r="G4568" s="78"/>
    </row>
    <row r="4569" spans="2:7" x14ac:dyDescent="0.3">
      <c r="B4569" s="69"/>
      <c r="C4569" s="55"/>
      <c r="D4569" s="70"/>
      <c r="G4569" s="78"/>
    </row>
    <row r="4570" spans="2:7" x14ac:dyDescent="0.3">
      <c r="B4570" s="69"/>
      <c r="C4570" s="55"/>
      <c r="D4570" s="70"/>
      <c r="G4570" s="78"/>
    </row>
    <row r="4571" spans="2:7" x14ac:dyDescent="0.3">
      <c r="B4571" s="69"/>
      <c r="C4571" s="55"/>
      <c r="D4571" s="70"/>
      <c r="G4571" s="78"/>
    </row>
    <row r="4572" spans="2:7" x14ac:dyDescent="0.3">
      <c r="B4572" s="69"/>
      <c r="C4572" s="55"/>
      <c r="D4572" s="70"/>
      <c r="G4572" s="78"/>
    </row>
    <row r="4573" spans="2:7" x14ac:dyDescent="0.3">
      <c r="B4573" s="69"/>
      <c r="C4573" s="55"/>
      <c r="D4573" s="70"/>
      <c r="G4573" s="78"/>
    </row>
    <row r="4574" spans="2:7" x14ac:dyDescent="0.3">
      <c r="B4574" s="69"/>
      <c r="C4574" s="55"/>
      <c r="D4574" s="70"/>
      <c r="G4574" s="78"/>
    </row>
    <row r="4575" spans="2:7" x14ac:dyDescent="0.3">
      <c r="B4575" s="69"/>
      <c r="C4575" s="55"/>
      <c r="D4575" s="70"/>
      <c r="G4575" s="78"/>
    </row>
    <row r="4576" spans="2:7" x14ac:dyDescent="0.3">
      <c r="B4576" s="69"/>
      <c r="C4576" s="55"/>
      <c r="D4576" s="70"/>
      <c r="G4576" s="78"/>
    </row>
    <row r="4577" spans="2:7" x14ac:dyDescent="0.3">
      <c r="B4577" s="69"/>
      <c r="C4577" s="55"/>
      <c r="D4577" s="70"/>
      <c r="G4577" s="78"/>
    </row>
    <row r="4578" spans="2:7" x14ac:dyDescent="0.3">
      <c r="B4578" s="69"/>
      <c r="C4578" s="55"/>
      <c r="D4578" s="70"/>
      <c r="G4578" s="78"/>
    </row>
    <row r="4579" spans="2:7" x14ac:dyDescent="0.3">
      <c r="B4579" s="69"/>
      <c r="C4579" s="55"/>
      <c r="D4579" s="70"/>
      <c r="G4579" s="78"/>
    </row>
    <row r="4580" spans="2:7" x14ac:dyDescent="0.3">
      <c r="B4580" s="69"/>
      <c r="C4580" s="55"/>
      <c r="D4580" s="70"/>
      <c r="G4580" s="78"/>
    </row>
    <row r="4581" spans="2:7" x14ac:dyDescent="0.3">
      <c r="B4581" s="69"/>
      <c r="C4581" s="55"/>
      <c r="D4581" s="70"/>
      <c r="G4581" s="78"/>
    </row>
    <row r="4582" spans="2:7" x14ac:dyDescent="0.3">
      <c r="B4582" s="69"/>
      <c r="C4582" s="55"/>
      <c r="D4582" s="70"/>
      <c r="G4582" s="78"/>
    </row>
    <row r="4583" spans="2:7" x14ac:dyDescent="0.3">
      <c r="B4583" s="69"/>
      <c r="C4583" s="55"/>
      <c r="D4583" s="70"/>
      <c r="G4583" s="78"/>
    </row>
    <row r="4584" spans="2:7" x14ac:dyDescent="0.3">
      <c r="B4584" s="69"/>
      <c r="C4584" s="55"/>
      <c r="D4584" s="70"/>
      <c r="G4584" s="78"/>
    </row>
    <row r="4585" spans="2:7" x14ac:dyDescent="0.3">
      <c r="B4585" s="69"/>
      <c r="C4585" s="55"/>
      <c r="D4585" s="70"/>
      <c r="G4585" s="78"/>
    </row>
    <row r="4586" spans="2:7" x14ac:dyDescent="0.3">
      <c r="B4586" s="69"/>
      <c r="C4586" s="55"/>
      <c r="D4586" s="70"/>
      <c r="G4586" s="78"/>
    </row>
    <row r="4587" spans="2:7" x14ac:dyDescent="0.3">
      <c r="B4587" s="69"/>
      <c r="C4587" s="55"/>
      <c r="D4587" s="70"/>
      <c r="G4587" s="78"/>
    </row>
    <row r="4588" spans="2:7" x14ac:dyDescent="0.3">
      <c r="B4588" s="69"/>
      <c r="C4588" s="55"/>
      <c r="D4588" s="70"/>
      <c r="G4588" s="78"/>
    </row>
    <row r="4589" spans="2:7" x14ac:dyDescent="0.3">
      <c r="B4589" s="69"/>
      <c r="C4589" s="55"/>
      <c r="D4589" s="70"/>
      <c r="G4589" s="78"/>
    </row>
    <row r="4590" spans="2:7" x14ac:dyDescent="0.3">
      <c r="B4590" s="69"/>
      <c r="C4590" s="55"/>
      <c r="D4590" s="70"/>
      <c r="G4590" s="78"/>
    </row>
    <row r="4591" spans="2:7" x14ac:dyDescent="0.3">
      <c r="B4591" s="69"/>
      <c r="C4591" s="55"/>
      <c r="D4591" s="70"/>
      <c r="G4591" s="78"/>
    </row>
    <row r="4592" spans="2:7" x14ac:dyDescent="0.3">
      <c r="B4592" s="69"/>
      <c r="C4592" s="55"/>
      <c r="D4592" s="70"/>
      <c r="G4592" s="78"/>
    </row>
    <row r="4593" spans="2:7" x14ac:dyDescent="0.3">
      <c r="B4593" s="69"/>
      <c r="C4593" s="55"/>
      <c r="D4593" s="70"/>
      <c r="G4593" s="78"/>
    </row>
    <row r="4594" spans="2:7" x14ac:dyDescent="0.3">
      <c r="B4594" s="69"/>
      <c r="C4594" s="55"/>
      <c r="D4594" s="70"/>
      <c r="G4594" s="78"/>
    </row>
    <row r="4595" spans="2:7" x14ac:dyDescent="0.3">
      <c r="B4595" s="69"/>
      <c r="C4595" s="55"/>
      <c r="D4595" s="70"/>
      <c r="G4595" s="78"/>
    </row>
    <row r="4596" spans="2:7" x14ac:dyDescent="0.3">
      <c r="B4596" s="69"/>
      <c r="C4596" s="55"/>
      <c r="D4596" s="70"/>
      <c r="G4596" s="78"/>
    </row>
    <row r="4597" spans="2:7" x14ac:dyDescent="0.3">
      <c r="B4597" s="69"/>
      <c r="C4597" s="55"/>
      <c r="D4597" s="70"/>
      <c r="G4597" s="78"/>
    </row>
    <row r="4598" spans="2:7" x14ac:dyDescent="0.3">
      <c r="B4598" s="69"/>
      <c r="C4598" s="55"/>
      <c r="D4598" s="70"/>
      <c r="G4598" s="78"/>
    </row>
    <row r="4599" spans="2:7" x14ac:dyDescent="0.3">
      <c r="B4599" s="69"/>
      <c r="C4599" s="55"/>
      <c r="D4599" s="70"/>
      <c r="G4599" s="78"/>
    </row>
    <row r="4600" spans="2:7" x14ac:dyDescent="0.3">
      <c r="B4600" s="69"/>
      <c r="C4600" s="55"/>
      <c r="D4600" s="70"/>
      <c r="G4600" s="78"/>
    </row>
    <row r="4601" spans="2:7" x14ac:dyDescent="0.3">
      <c r="B4601" s="69"/>
      <c r="C4601" s="55"/>
      <c r="D4601" s="70"/>
      <c r="G4601" s="78"/>
    </row>
    <row r="4602" spans="2:7" x14ac:dyDescent="0.3">
      <c r="B4602" s="69"/>
      <c r="C4602" s="55"/>
      <c r="D4602" s="70"/>
      <c r="G4602" s="78"/>
    </row>
    <row r="4603" spans="2:7" x14ac:dyDescent="0.3">
      <c r="B4603" s="69"/>
      <c r="C4603" s="55"/>
      <c r="D4603" s="70"/>
      <c r="G4603" s="78"/>
    </row>
    <row r="4604" spans="2:7" x14ac:dyDescent="0.3">
      <c r="B4604" s="69"/>
      <c r="C4604" s="55"/>
      <c r="D4604" s="70"/>
      <c r="G4604" s="78"/>
    </row>
    <row r="4605" spans="2:7" x14ac:dyDescent="0.3">
      <c r="B4605" s="69"/>
      <c r="C4605" s="55"/>
      <c r="D4605" s="70"/>
      <c r="G4605" s="78"/>
    </row>
    <row r="4606" spans="2:7" x14ac:dyDescent="0.3">
      <c r="B4606" s="69"/>
      <c r="C4606" s="55"/>
      <c r="D4606" s="70"/>
      <c r="G4606" s="78"/>
    </row>
    <row r="4607" spans="2:7" x14ac:dyDescent="0.3">
      <c r="B4607" s="69"/>
      <c r="C4607" s="55"/>
      <c r="D4607" s="70"/>
      <c r="G4607" s="78"/>
    </row>
    <row r="4608" spans="2:7" x14ac:dyDescent="0.3">
      <c r="B4608" s="69"/>
      <c r="C4608" s="55"/>
      <c r="D4608" s="70"/>
      <c r="G4608" s="78"/>
    </row>
    <row r="4609" spans="2:7" x14ac:dyDescent="0.3">
      <c r="B4609" s="69"/>
      <c r="C4609" s="55"/>
      <c r="D4609" s="70"/>
      <c r="G4609" s="78"/>
    </row>
    <row r="4610" spans="2:7" x14ac:dyDescent="0.3">
      <c r="B4610" s="69"/>
      <c r="C4610" s="55"/>
      <c r="D4610" s="70"/>
      <c r="G4610" s="78"/>
    </row>
    <row r="4611" spans="2:7" x14ac:dyDescent="0.3">
      <c r="B4611" s="69"/>
      <c r="C4611" s="55"/>
      <c r="D4611" s="70"/>
      <c r="G4611" s="78"/>
    </row>
    <row r="4612" spans="2:7" x14ac:dyDescent="0.3">
      <c r="B4612" s="69"/>
      <c r="C4612" s="55"/>
      <c r="D4612" s="70"/>
      <c r="G4612" s="78"/>
    </row>
    <row r="4613" spans="2:7" x14ac:dyDescent="0.3">
      <c r="B4613" s="69"/>
      <c r="C4613" s="55"/>
      <c r="D4613" s="70"/>
      <c r="G4613" s="78"/>
    </row>
    <row r="4614" spans="2:7" x14ac:dyDescent="0.3">
      <c r="B4614" s="69"/>
      <c r="C4614" s="55"/>
      <c r="D4614" s="70"/>
      <c r="G4614" s="78"/>
    </row>
    <row r="4615" spans="2:7" x14ac:dyDescent="0.3">
      <c r="B4615" s="69"/>
      <c r="C4615" s="55"/>
      <c r="D4615" s="70"/>
      <c r="G4615" s="78"/>
    </row>
    <row r="4616" spans="2:7" x14ac:dyDescent="0.3">
      <c r="B4616" s="69"/>
      <c r="C4616" s="55"/>
      <c r="D4616" s="70"/>
      <c r="G4616" s="78"/>
    </row>
    <row r="4617" spans="2:7" x14ac:dyDescent="0.3">
      <c r="B4617" s="69"/>
      <c r="C4617" s="55"/>
      <c r="D4617" s="70"/>
      <c r="G4617" s="78"/>
    </row>
    <row r="4618" spans="2:7" x14ac:dyDescent="0.3">
      <c r="B4618" s="69"/>
      <c r="C4618" s="55"/>
      <c r="D4618" s="70"/>
      <c r="G4618" s="78"/>
    </row>
    <row r="4619" spans="2:7" x14ac:dyDescent="0.3">
      <c r="B4619" s="69"/>
      <c r="C4619" s="55"/>
      <c r="D4619" s="70"/>
      <c r="G4619" s="78"/>
    </row>
    <row r="4620" spans="2:7" x14ac:dyDescent="0.3">
      <c r="B4620" s="69"/>
      <c r="C4620" s="55"/>
      <c r="D4620" s="70"/>
      <c r="G4620" s="78"/>
    </row>
    <row r="4621" spans="2:7" x14ac:dyDescent="0.3">
      <c r="B4621" s="69"/>
      <c r="C4621" s="55"/>
      <c r="D4621" s="70"/>
      <c r="G4621" s="78"/>
    </row>
    <row r="4622" spans="2:7" x14ac:dyDescent="0.3">
      <c r="B4622" s="69"/>
      <c r="C4622" s="55"/>
      <c r="D4622" s="70"/>
      <c r="G4622" s="78"/>
    </row>
    <row r="4623" spans="2:7" x14ac:dyDescent="0.3">
      <c r="B4623" s="69"/>
      <c r="C4623" s="55"/>
      <c r="D4623" s="70"/>
      <c r="G4623" s="78"/>
    </row>
    <row r="4624" spans="2:7" x14ac:dyDescent="0.3">
      <c r="B4624" s="69"/>
      <c r="C4624" s="55"/>
      <c r="D4624" s="70"/>
      <c r="G4624" s="78"/>
    </row>
    <row r="4625" spans="2:7" x14ac:dyDescent="0.3">
      <c r="B4625" s="69"/>
      <c r="C4625" s="55"/>
      <c r="D4625" s="70"/>
      <c r="G4625" s="78"/>
    </row>
    <row r="4626" spans="2:7" x14ac:dyDescent="0.3">
      <c r="B4626" s="69"/>
      <c r="C4626" s="55"/>
      <c r="D4626" s="70"/>
      <c r="G4626" s="78"/>
    </row>
    <row r="4627" spans="2:7" x14ac:dyDescent="0.3">
      <c r="B4627" s="69"/>
      <c r="C4627" s="55"/>
      <c r="D4627" s="70"/>
      <c r="G4627" s="78"/>
    </row>
    <row r="4628" spans="2:7" x14ac:dyDescent="0.3">
      <c r="B4628" s="69"/>
      <c r="C4628" s="55"/>
      <c r="D4628" s="70"/>
      <c r="G4628" s="78"/>
    </row>
    <row r="4629" spans="2:7" x14ac:dyDescent="0.3">
      <c r="B4629" s="69"/>
      <c r="C4629" s="55"/>
      <c r="D4629" s="70"/>
      <c r="G4629" s="78"/>
    </row>
    <row r="4630" spans="2:7" x14ac:dyDescent="0.3">
      <c r="B4630" s="69"/>
      <c r="C4630" s="55"/>
      <c r="D4630" s="70"/>
      <c r="G4630" s="78"/>
    </row>
    <row r="4631" spans="2:7" x14ac:dyDescent="0.3">
      <c r="B4631" s="69"/>
      <c r="C4631" s="55"/>
      <c r="D4631" s="70"/>
      <c r="G4631" s="78"/>
    </row>
    <row r="4632" spans="2:7" x14ac:dyDescent="0.3">
      <c r="B4632" s="69"/>
      <c r="C4632" s="55"/>
      <c r="D4632" s="70"/>
      <c r="G4632" s="78"/>
    </row>
    <row r="4633" spans="2:7" x14ac:dyDescent="0.3">
      <c r="B4633" s="69"/>
      <c r="C4633" s="55"/>
      <c r="D4633" s="70"/>
      <c r="G4633" s="78"/>
    </row>
    <row r="4634" spans="2:7" x14ac:dyDescent="0.3">
      <c r="B4634" s="69"/>
      <c r="C4634" s="55"/>
      <c r="D4634" s="70"/>
      <c r="G4634" s="78"/>
    </row>
    <row r="4635" spans="2:7" x14ac:dyDescent="0.3">
      <c r="B4635" s="69"/>
      <c r="C4635" s="55"/>
      <c r="D4635" s="70"/>
      <c r="G4635" s="78"/>
    </row>
    <row r="4636" spans="2:7" x14ac:dyDescent="0.3">
      <c r="B4636" s="69"/>
      <c r="C4636" s="55"/>
      <c r="D4636" s="70"/>
      <c r="G4636" s="78"/>
    </row>
    <row r="4637" spans="2:7" x14ac:dyDescent="0.3">
      <c r="B4637" s="69"/>
      <c r="C4637" s="55"/>
      <c r="D4637" s="70"/>
      <c r="G4637" s="78"/>
    </row>
    <row r="4638" spans="2:7" x14ac:dyDescent="0.3">
      <c r="B4638" s="69"/>
      <c r="C4638" s="55"/>
      <c r="D4638" s="70"/>
      <c r="G4638" s="78"/>
    </row>
    <row r="4639" spans="2:7" x14ac:dyDescent="0.3">
      <c r="B4639" s="69"/>
      <c r="C4639" s="55"/>
      <c r="D4639" s="70"/>
      <c r="G4639" s="78"/>
    </row>
    <row r="4640" spans="2:7" x14ac:dyDescent="0.3">
      <c r="B4640" s="69"/>
      <c r="C4640" s="55"/>
      <c r="D4640" s="70"/>
      <c r="G4640" s="78"/>
    </row>
    <row r="4641" spans="2:7" x14ac:dyDescent="0.3">
      <c r="B4641" s="69"/>
      <c r="C4641" s="55"/>
      <c r="D4641" s="70"/>
      <c r="G4641" s="78"/>
    </row>
    <row r="4642" spans="2:7" x14ac:dyDescent="0.3">
      <c r="B4642" s="69"/>
      <c r="C4642" s="55"/>
      <c r="D4642" s="70"/>
      <c r="G4642" s="78"/>
    </row>
    <row r="4643" spans="2:7" x14ac:dyDescent="0.3">
      <c r="B4643" s="69"/>
      <c r="C4643" s="55"/>
      <c r="D4643" s="70"/>
      <c r="G4643" s="78"/>
    </row>
    <row r="4644" spans="2:7" x14ac:dyDescent="0.3">
      <c r="B4644" s="69"/>
      <c r="C4644" s="55"/>
      <c r="D4644" s="70"/>
      <c r="G4644" s="78"/>
    </row>
    <row r="4645" spans="2:7" x14ac:dyDescent="0.3">
      <c r="B4645" s="69"/>
      <c r="C4645" s="55"/>
      <c r="D4645" s="70"/>
      <c r="G4645" s="78"/>
    </row>
    <row r="4646" spans="2:7" x14ac:dyDescent="0.3">
      <c r="B4646" s="69"/>
      <c r="C4646" s="55"/>
      <c r="D4646" s="70"/>
      <c r="G4646" s="78"/>
    </row>
    <row r="4647" spans="2:7" x14ac:dyDescent="0.3">
      <c r="B4647" s="69"/>
      <c r="C4647" s="55"/>
      <c r="D4647" s="70"/>
      <c r="G4647" s="78"/>
    </row>
    <row r="4648" spans="2:7" x14ac:dyDescent="0.3">
      <c r="B4648" s="69"/>
      <c r="C4648" s="55"/>
      <c r="D4648" s="70"/>
      <c r="G4648" s="78"/>
    </row>
    <row r="4649" spans="2:7" x14ac:dyDescent="0.3">
      <c r="B4649" s="69"/>
      <c r="C4649" s="55"/>
      <c r="D4649" s="70"/>
      <c r="G4649" s="78"/>
    </row>
    <row r="4650" spans="2:7" x14ac:dyDescent="0.3">
      <c r="B4650" s="69"/>
      <c r="C4650" s="55"/>
      <c r="D4650" s="70"/>
      <c r="G4650" s="78"/>
    </row>
    <row r="4651" spans="2:7" x14ac:dyDescent="0.3">
      <c r="B4651" s="69"/>
      <c r="C4651" s="55"/>
      <c r="D4651" s="70"/>
      <c r="G4651" s="78"/>
    </row>
    <row r="4652" spans="2:7" x14ac:dyDescent="0.3">
      <c r="B4652" s="69"/>
      <c r="C4652" s="55"/>
      <c r="D4652" s="70"/>
      <c r="G4652" s="78"/>
    </row>
    <row r="4653" spans="2:7" x14ac:dyDescent="0.3">
      <c r="B4653" s="69"/>
      <c r="C4653" s="55"/>
      <c r="D4653" s="70"/>
      <c r="G4653" s="78"/>
    </row>
    <row r="4654" spans="2:7" x14ac:dyDescent="0.3">
      <c r="B4654" s="69"/>
      <c r="C4654" s="55"/>
      <c r="D4654" s="70"/>
      <c r="G4654" s="78"/>
    </row>
    <row r="4655" spans="2:7" x14ac:dyDescent="0.3">
      <c r="B4655" s="69"/>
      <c r="C4655" s="55"/>
      <c r="D4655" s="70"/>
      <c r="G4655" s="78"/>
    </row>
    <row r="4656" spans="2:7" x14ac:dyDescent="0.3">
      <c r="B4656" s="69"/>
      <c r="C4656" s="55"/>
      <c r="D4656" s="70"/>
      <c r="G4656" s="78"/>
    </row>
    <row r="4657" spans="2:7" x14ac:dyDescent="0.3">
      <c r="B4657" s="69"/>
      <c r="C4657" s="55"/>
      <c r="D4657" s="70"/>
      <c r="G4657" s="78"/>
    </row>
    <row r="4658" spans="2:7" x14ac:dyDescent="0.3">
      <c r="B4658" s="69"/>
      <c r="C4658" s="55"/>
      <c r="D4658" s="70"/>
      <c r="G4658" s="78"/>
    </row>
    <row r="4659" spans="2:7" x14ac:dyDescent="0.3">
      <c r="B4659" s="69"/>
      <c r="C4659" s="55"/>
      <c r="D4659" s="70"/>
      <c r="G4659" s="78"/>
    </row>
    <row r="4660" spans="2:7" x14ac:dyDescent="0.3">
      <c r="B4660" s="69"/>
      <c r="C4660" s="55"/>
      <c r="D4660" s="70"/>
      <c r="G4660" s="78"/>
    </row>
    <row r="4661" spans="2:7" x14ac:dyDescent="0.3">
      <c r="B4661" s="69"/>
      <c r="C4661" s="55"/>
      <c r="D4661" s="70"/>
      <c r="G4661" s="78"/>
    </row>
    <row r="4662" spans="2:7" x14ac:dyDescent="0.3">
      <c r="B4662" s="69"/>
      <c r="C4662" s="55"/>
      <c r="D4662" s="70"/>
      <c r="G4662" s="78"/>
    </row>
    <row r="4663" spans="2:7" x14ac:dyDescent="0.3">
      <c r="B4663" s="69"/>
      <c r="C4663" s="55"/>
      <c r="D4663" s="70"/>
      <c r="G4663" s="78"/>
    </row>
    <row r="4664" spans="2:7" x14ac:dyDescent="0.3">
      <c r="B4664" s="69"/>
      <c r="C4664" s="55"/>
      <c r="D4664" s="70"/>
      <c r="G4664" s="78"/>
    </row>
    <row r="4665" spans="2:7" x14ac:dyDescent="0.3">
      <c r="B4665" s="69"/>
      <c r="C4665" s="55"/>
      <c r="D4665" s="70"/>
      <c r="G4665" s="78"/>
    </row>
    <row r="4666" spans="2:7" x14ac:dyDescent="0.3">
      <c r="B4666" s="69"/>
      <c r="C4666" s="55"/>
      <c r="D4666" s="70"/>
      <c r="G4666" s="78"/>
    </row>
    <row r="4667" spans="2:7" x14ac:dyDescent="0.3">
      <c r="B4667" s="69"/>
      <c r="C4667" s="55"/>
      <c r="D4667" s="70"/>
      <c r="G4667" s="78"/>
    </row>
    <row r="4668" spans="2:7" x14ac:dyDescent="0.3">
      <c r="B4668" s="69"/>
      <c r="C4668" s="55"/>
      <c r="D4668" s="70"/>
      <c r="G4668" s="78"/>
    </row>
    <row r="4669" spans="2:7" x14ac:dyDescent="0.3">
      <c r="B4669" s="69"/>
      <c r="C4669" s="55"/>
      <c r="D4669" s="70"/>
      <c r="G4669" s="78"/>
    </row>
    <row r="4670" spans="2:7" x14ac:dyDescent="0.3">
      <c r="B4670" s="69"/>
      <c r="C4670" s="55"/>
      <c r="D4670" s="70"/>
      <c r="G4670" s="78"/>
    </row>
    <row r="4671" spans="2:7" x14ac:dyDescent="0.3">
      <c r="B4671" s="69"/>
      <c r="C4671" s="55"/>
      <c r="D4671" s="70"/>
      <c r="G4671" s="78"/>
    </row>
    <row r="4672" spans="2:7" x14ac:dyDescent="0.3">
      <c r="B4672" s="69"/>
      <c r="C4672" s="55"/>
      <c r="D4672" s="70"/>
      <c r="G4672" s="78"/>
    </row>
    <row r="4673" spans="2:7" x14ac:dyDescent="0.3">
      <c r="B4673" s="69"/>
      <c r="C4673" s="55"/>
      <c r="D4673" s="70"/>
      <c r="G4673" s="78"/>
    </row>
    <row r="4674" spans="2:7" x14ac:dyDescent="0.3">
      <c r="B4674" s="69"/>
      <c r="C4674" s="55"/>
      <c r="D4674" s="70"/>
      <c r="G4674" s="78"/>
    </row>
    <row r="4675" spans="2:7" x14ac:dyDescent="0.3">
      <c r="B4675" s="69"/>
      <c r="C4675" s="55"/>
      <c r="D4675" s="70"/>
      <c r="G4675" s="78"/>
    </row>
    <row r="4676" spans="2:7" x14ac:dyDescent="0.3">
      <c r="B4676" s="69"/>
      <c r="C4676" s="55"/>
      <c r="D4676" s="70"/>
      <c r="G4676" s="78"/>
    </row>
    <row r="4677" spans="2:7" x14ac:dyDescent="0.3">
      <c r="B4677" s="69"/>
      <c r="C4677" s="55"/>
      <c r="D4677" s="70"/>
      <c r="G4677" s="78"/>
    </row>
    <row r="4678" spans="2:7" x14ac:dyDescent="0.3">
      <c r="B4678" s="69"/>
      <c r="C4678" s="55"/>
      <c r="D4678" s="70"/>
      <c r="G4678" s="78"/>
    </row>
    <row r="4679" spans="2:7" x14ac:dyDescent="0.3">
      <c r="B4679" s="69"/>
      <c r="C4679" s="55"/>
      <c r="D4679" s="70"/>
      <c r="G4679" s="78"/>
    </row>
    <row r="4680" spans="2:7" x14ac:dyDescent="0.3">
      <c r="B4680" s="69"/>
      <c r="C4680" s="55"/>
      <c r="D4680" s="70"/>
      <c r="G4680" s="78"/>
    </row>
    <row r="4681" spans="2:7" x14ac:dyDescent="0.3">
      <c r="B4681" s="69"/>
      <c r="C4681" s="55"/>
      <c r="D4681" s="70"/>
      <c r="G4681" s="78"/>
    </row>
    <row r="4682" spans="2:7" x14ac:dyDescent="0.3">
      <c r="B4682" s="69"/>
      <c r="C4682" s="55"/>
      <c r="D4682" s="70"/>
      <c r="G4682" s="78"/>
    </row>
    <row r="4683" spans="2:7" x14ac:dyDescent="0.3">
      <c r="B4683" s="69"/>
      <c r="C4683" s="55"/>
      <c r="D4683" s="70"/>
      <c r="G4683" s="78"/>
    </row>
    <row r="4684" spans="2:7" x14ac:dyDescent="0.3">
      <c r="B4684" s="69"/>
      <c r="C4684" s="55"/>
      <c r="D4684" s="70"/>
      <c r="G4684" s="78"/>
    </row>
    <row r="4685" spans="2:7" x14ac:dyDescent="0.3">
      <c r="B4685" s="69"/>
      <c r="C4685" s="55"/>
      <c r="D4685" s="70"/>
      <c r="G4685" s="78"/>
    </row>
    <row r="4686" spans="2:7" x14ac:dyDescent="0.3">
      <c r="B4686" s="69"/>
      <c r="C4686" s="55"/>
      <c r="D4686" s="70"/>
      <c r="G4686" s="78"/>
    </row>
    <row r="4687" spans="2:7" x14ac:dyDescent="0.3">
      <c r="B4687" s="69"/>
      <c r="C4687" s="55"/>
      <c r="D4687" s="70"/>
      <c r="G4687" s="78"/>
    </row>
    <row r="4688" spans="2:7" x14ac:dyDescent="0.3">
      <c r="B4688" s="69"/>
      <c r="C4688" s="55"/>
      <c r="D4688" s="70"/>
      <c r="G4688" s="78"/>
    </row>
    <row r="4689" spans="2:7" x14ac:dyDescent="0.3">
      <c r="B4689" s="69"/>
      <c r="C4689" s="55"/>
      <c r="D4689" s="70"/>
      <c r="G4689" s="78"/>
    </row>
    <row r="4690" spans="2:7" x14ac:dyDescent="0.3">
      <c r="B4690" s="69"/>
      <c r="C4690" s="55"/>
      <c r="D4690" s="70"/>
      <c r="G4690" s="78"/>
    </row>
    <row r="4691" spans="2:7" x14ac:dyDescent="0.3">
      <c r="B4691" s="69"/>
      <c r="C4691" s="55"/>
      <c r="D4691" s="70"/>
      <c r="G4691" s="78"/>
    </row>
    <row r="4692" spans="2:7" x14ac:dyDescent="0.3">
      <c r="B4692" s="69"/>
      <c r="C4692" s="55"/>
      <c r="D4692" s="70"/>
      <c r="G4692" s="78"/>
    </row>
    <row r="4693" spans="2:7" x14ac:dyDescent="0.3">
      <c r="B4693" s="69"/>
      <c r="C4693" s="55"/>
      <c r="D4693" s="70"/>
      <c r="G4693" s="78"/>
    </row>
    <row r="4694" spans="2:7" x14ac:dyDescent="0.3">
      <c r="B4694" s="69"/>
      <c r="C4694" s="55"/>
      <c r="D4694" s="70"/>
      <c r="G4694" s="78"/>
    </row>
    <row r="4695" spans="2:7" x14ac:dyDescent="0.3">
      <c r="B4695" s="69"/>
      <c r="C4695" s="55"/>
      <c r="D4695" s="70"/>
      <c r="G4695" s="78"/>
    </row>
    <row r="4696" spans="2:7" x14ac:dyDescent="0.3">
      <c r="B4696" s="69"/>
      <c r="C4696" s="55"/>
      <c r="D4696" s="70"/>
      <c r="G4696" s="78"/>
    </row>
    <row r="4697" spans="2:7" x14ac:dyDescent="0.3">
      <c r="B4697" s="69"/>
      <c r="C4697" s="55"/>
      <c r="D4697" s="70"/>
      <c r="G4697" s="78"/>
    </row>
    <row r="4698" spans="2:7" x14ac:dyDescent="0.3">
      <c r="B4698" s="69"/>
      <c r="C4698" s="55"/>
      <c r="D4698" s="70"/>
      <c r="G4698" s="78"/>
    </row>
    <row r="4699" spans="2:7" x14ac:dyDescent="0.3">
      <c r="B4699" s="69"/>
      <c r="C4699" s="55"/>
      <c r="D4699" s="70"/>
      <c r="G4699" s="78"/>
    </row>
    <row r="4700" spans="2:7" x14ac:dyDescent="0.3">
      <c r="B4700" s="69"/>
      <c r="C4700" s="55"/>
      <c r="D4700" s="70"/>
      <c r="G4700" s="78"/>
    </row>
    <row r="4701" spans="2:7" x14ac:dyDescent="0.3">
      <c r="B4701" s="69"/>
      <c r="C4701" s="55"/>
      <c r="D4701" s="70"/>
      <c r="G4701" s="78"/>
    </row>
    <row r="4702" spans="2:7" x14ac:dyDescent="0.3">
      <c r="B4702" s="69"/>
      <c r="C4702" s="55"/>
      <c r="D4702" s="70"/>
      <c r="G4702" s="78"/>
    </row>
    <row r="4703" spans="2:7" x14ac:dyDescent="0.3">
      <c r="B4703" s="69"/>
      <c r="C4703" s="55"/>
      <c r="D4703" s="70"/>
      <c r="G4703" s="78"/>
    </row>
    <row r="4704" spans="2:7" x14ac:dyDescent="0.3">
      <c r="B4704" s="69"/>
      <c r="C4704" s="55"/>
      <c r="D4704" s="70"/>
      <c r="G4704" s="78"/>
    </row>
    <row r="4705" spans="2:7" x14ac:dyDescent="0.3">
      <c r="B4705" s="69"/>
      <c r="C4705" s="55"/>
      <c r="D4705" s="70"/>
      <c r="G4705" s="78"/>
    </row>
    <row r="4706" spans="2:7" x14ac:dyDescent="0.3">
      <c r="B4706" s="69"/>
      <c r="C4706" s="55"/>
      <c r="D4706" s="70"/>
      <c r="G4706" s="78"/>
    </row>
    <row r="4707" spans="2:7" x14ac:dyDescent="0.3">
      <c r="B4707" s="69"/>
      <c r="C4707" s="55"/>
      <c r="D4707" s="70"/>
      <c r="G4707" s="78"/>
    </row>
    <row r="4708" spans="2:7" x14ac:dyDescent="0.3">
      <c r="B4708" s="69"/>
      <c r="C4708" s="55"/>
      <c r="D4708" s="70"/>
      <c r="G4708" s="78"/>
    </row>
    <row r="4709" spans="2:7" x14ac:dyDescent="0.3">
      <c r="B4709" s="69"/>
      <c r="C4709" s="55"/>
      <c r="D4709" s="70"/>
      <c r="G4709" s="78"/>
    </row>
    <row r="4710" spans="2:7" x14ac:dyDescent="0.3">
      <c r="B4710" s="69"/>
      <c r="C4710" s="55"/>
      <c r="D4710" s="70"/>
      <c r="G4710" s="78"/>
    </row>
    <row r="4711" spans="2:7" x14ac:dyDescent="0.3">
      <c r="B4711" s="69"/>
      <c r="C4711" s="55"/>
      <c r="D4711" s="70"/>
      <c r="G4711" s="78"/>
    </row>
    <row r="4712" spans="2:7" x14ac:dyDescent="0.3">
      <c r="B4712" s="69"/>
      <c r="C4712" s="55"/>
      <c r="D4712" s="70"/>
      <c r="G4712" s="78"/>
    </row>
    <row r="4713" spans="2:7" x14ac:dyDescent="0.3">
      <c r="B4713" s="69"/>
      <c r="C4713" s="55"/>
      <c r="D4713" s="70"/>
      <c r="G4713" s="78"/>
    </row>
    <row r="4714" spans="2:7" x14ac:dyDescent="0.3">
      <c r="B4714" s="69"/>
      <c r="C4714" s="55"/>
      <c r="D4714" s="70"/>
      <c r="G4714" s="78"/>
    </row>
    <row r="4715" spans="2:7" x14ac:dyDescent="0.3">
      <c r="B4715" s="69"/>
      <c r="C4715" s="55"/>
      <c r="D4715" s="70"/>
      <c r="G4715" s="78"/>
    </row>
    <row r="4716" spans="2:7" x14ac:dyDescent="0.3">
      <c r="B4716" s="69"/>
      <c r="C4716" s="55"/>
      <c r="D4716" s="70"/>
      <c r="G4716" s="78"/>
    </row>
    <row r="4717" spans="2:7" x14ac:dyDescent="0.3">
      <c r="B4717" s="69"/>
      <c r="C4717" s="55"/>
      <c r="D4717" s="70"/>
      <c r="G4717" s="78"/>
    </row>
    <row r="4718" spans="2:7" x14ac:dyDescent="0.3">
      <c r="B4718" s="69"/>
      <c r="C4718" s="55"/>
      <c r="D4718" s="70"/>
      <c r="G4718" s="78"/>
    </row>
    <row r="4719" spans="2:7" x14ac:dyDescent="0.3">
      <c r="B4719" s="69"/>
      <c r="C4719" s="55"/>
      <c r="D4719" s="70"/>
      <c r="G4719" s="78"/>
    </row>
    <row r="4720" spans="2:7" x14ac:dyDescent="0.3">
      <c r="B4720" s="69"/>
      <c r="C4720" s="55"/>
      <c r="D4720" s="70"/>
      <c r="G4720" s="78"/>
    </row>
    <row r="4721" spans="2:7" x14ac:dyDescent="0.3">
      <c r="B4721" s="69"/>
      <c r="C4721" s="55"/>
      <c r="D4721" s="70"/>
      <c r="G4721" s="78"/>
    </row>
    <row r="4722" spans="2:7" x14ac:dyDescent="0.3">
      <c r="B4722" s="69"/>
      <c r="C4722" s="55"/>
      <c r="D4722" s="70"/>
      <c r="G4722" s="78"/>
    </row>
    <row r="4723" spans="2:7" x14ac:dyDescent="0.3">
      <c r="B4723" s="69"/>
      <c r="C4723" s="55"/>
      <c r="D4723" s="70"/>
      <c r="G4723" s="78"/>
    </row>
    <row r="4724" spans="2:7" x14ac:dyDescent="0.3">
      <c r="B4724" s="69"/>
      <c r="C4724" s="55"/>
      <c r="D4724" s="70"/>
      <c r="G4724" s="78"/>
    </row>
    <row r="4725" spans="2:7" x14ac:dyDescent="0.3">
      <c r="B4725" s="69"/>
      <c r="C4725" s="55"/>
      <c r="D4725" s="70"/>
      <c r="G4725" s="78"/>
    </row>
    <row r="4726" spans="2:7" x14ac:dyDescent="0.3">
      <c r="B4726" s="69"/>
      <c r="C4726" s="55"/>
      <c r="D4726" s="70"/>
      <c r="G4726" s="78"/>
    </row>
    <row r="4727" spans="2:7" x14ac:dyDescent="0.3">
      <c r="B4727" s="69"/>
      <c r="C4727" s="55"/>
      <c r="D4727" s="70"/>
      <c r="G4727" s="78"/>
    </row>
    <row r="4728" spans="2:7" x14ac:dyDescent="0.3">
      <c r="B4728" s="69"/>
      <c r="C4728" s="55"/>
      <c r="D4728" s="70"/>
      <c r="G4728" s="78"/>
    </row>
    <row r="4729" spans="2:7" x14ac:dyDescent="0.3">
      <c r="B4729" s="69"/>
      <c r="C4729" s="55"/>
      <c r="D4729" s="70"/>
      <c r="G4729" s="78"/>
    </row>
    <row r="4730" spans="2:7" x14ac:dyDescent="0.3">
      <c r="B4730" s="69"/>
      <c r="C4730" s="55"/>
      <c r="D4730" s="70"/>
      <c r="G4730" s="78"/>
    </row>
    <row r="4731" spans="2:7" x14ac:dyDescent="0.3">
      <c r="B4731" s="69"/>
      <c r="C4731" s="55"/>
      <c r="D4731" s="70"/>
      <c r="G4731" s="78"/>
    </row>
    <row r="4732" spans="2:7" x14ac:dyDescent="0.3">
      <c r="B4732" s="69"/>
      <c r="C4732" s="55"/>
      <c r="D4732" s="70"/>
      <c r="G4732" s="78"/>
    </row>
    <row r="4733" spans="2:7" x14ac:dyDescent="0.3">
      <c r="B4733" s="69"/>
      <c r="C4733" s="55"/>
      <c r="D4733" s="70"/>
      <c r="G4733" s="78"/>
    </row>
    <row r="4734" spans="2:7" x14ac:dyDescent="0.3">
      <c r="B4734" s="69"/>
      <c r="C4734" s="55"/>
      <c r="D4734" s="70"/>
      <c r="G4734" s="78"/>
    </row>
    <row r="4735" spans="2:7" x14ac:dyDescent="0.3">
      <c r="B4735" s="69"/>
      <c r="C4735" s="55"/>
      <c r="D4735" s="70"/>
      <c r="G4735" s="78"/>
    </row>
    <row r="4736" spans="2:7" x14ac:dyDescent="0.3">
      <c r="B4736" s="69"/>
      <c r="C4736" s="55"/>
      <c r="D4736" s="70"/>
      <c r="G4736" s="78"/>
    </row>
    <row r="4737" spans="2:7" x14ac:dyDescent="0.3">
      <c r="B4737" s="69"/>
      <c r="C4737" s="55"/>
      <c r="D4737" s="70"/>
      <c r="G4737" s="78"/>
    </row>
    <row r="4738" spans="2:7" x14ac:dyDescent="0.3">
      <c r="B4738" s="69"/>
      <c r="C4738" s="55"/>
      <c r="D4738" s="70"/>
      <c r="G4738" s="78"/>
    </row>
    <row r="4739" spans="2:7" x14ac:dyDescent="0.3">
      <c r="B4739" s="69"/>
      <c r="C4739" s="55"/>
      <c r="D4739" s="70"/>
      <c r="G4739" s="78"/>
    </row>
    <row r="4740" spans="2:7" x14ac:dyDescent="0.3">
      <c r="B4740" s="69"/>
      <c r="C4740" s="55"/>
      <c r="D4740" s="70"/>
      <c r="G4740" s="78"/>
    </row>
    <row r="4741" spans="2:7" x14ac:dyDescent="0.3">
      <c r="B4741" s="69"/>
      <c r="C4741" s="55"/>
      <c r="D4741" s="70"/>
      <c r="G4741" s="78"/>
    </row>
    <row r="4742" spans="2:7" x14ac:dyDescent="0.3">
      <c r="B4742" s="69"/>
      <c r="C4742" s="55"/>
      <c r="D4742" s="70"/>
      <c r="G4742" s="78"/>
    </row>
    <row r="4743" spans="2:7" x14ac:dyDescent="0.3">
      <c r="B4743" s="69"/>
      <c r="C4743" s="55"/>
      <c r="D4743" s="70"/>
      <c r="G4743" s="78"/>
    </row>
    <row r="4744" spans="2:7" x14ac:dyDescent="0.3">
      <c r="B4744" s="69"/>
      <c r="C4744" s="55"/>
      <c r="D4744" s="70"/>
      <c r="G4744" s="78"/>
    </row>
    <row r="4745" spans="2:7" x14ac:dyDescent="0.3">
      <c r="B4745" s="69"/>
      <c r="C4745" s="55"/>
      <c r="D4745" s="70"/>
      <c r="G4745" s="78"/>
    </row>
    <row r="4746" spans="2:7" x14ac:dyDescent="0.3">
      <c r="B4746" s="69"/>
      <c r="C4746" s="55"/>
      <c r="D4746" s="70"/>
      <c r="G4746" s="78"/>
    </row>
    <row r="4747" spans="2:7" x14ac:dyDescent="0.3">
      <c r="B4747" s="69"/>
      <c r="C4747" s="55"/>
      <c r="D4747" s="70"/>
      <c r="G4747" s="78"/>
    </row>
    <row r="4748" spans="2:7" x14ac:dyDescent="0.3">
      <c r="B4748" s="69"/>
      <c r="C4748" s="55"/>
      <c r="D4748" s="70"/>
      <c r="G4748" s="78"/>
    </row>
    <row r="4749" spans="2:7" x14ac:dyDescent="0.3">
      <c r="B4749" s="69"/>
      <c r="C4749" s="55"/>
      <c r="D4749" s="70"/>
      <c r="G4749" s="78"/>
    </row>
    <row r="4750" spans="2:7" x14ac:dyDescent="0.3">
      <c r="B4750" s="69"/>
      <c r="C4750" s="55"/>
      <c r="D4750" s="70"/>
      <c r="G4750" s="78"/>
    </row>
    <row r="4751" spans="2:7" x14ac:dyDescent="0.3">
      <c r="B4751" s="69"/>
      <c r="C4751" s="55"/>
      <c r="D4751" s="70"/>
      <c r="G4751" s="78"/>
    </row>
    <row r="4752" spans="2:7" x14ac:dyDescent="0.3">
      <c r="B4752" s="69"/>
      <c r="C4752" s="55"/>
      <c r="D4752" s="70"/>
      <c r="G4752" s="78"/>
    </row>
    <row r="4753" spans="2:7" x14ac:dyDescent="0.3">
      <c r="B4753" s="69"/>
      <c r="C4753" s="55"/>
      <c r="D4753" s="70"/>
      <c r="G4753" s="78"/>
    </row>
    <row r="4754" spans="2:7" x14ac:dyDescent="0.3">
      <c r="B4754" s="69"/>
      <c r="C4754" s="55"/>
      <c r="D4754" s="70"/>
      <c r="G4754" s="78"/>
    </row>
    <row r="4755" spans="2:7" x14ac:dyDescent="0.3">
      <c r="B4755" s="69"/>
      <c r="C4755" s="55"/>
      <c r="D4755" s="70"/>
      <c r="G4755" s="78"/>
    </row>
    <row r="4756" spans="2:7" x14ac:dyDescent="0.3">
      <c r="B4756" s="69"/>
      <c r="C4756" s="55"/>
      <c r="D4756" s="70"/>
      <c r="G4756" s="78"/>
    </row>
    <row r="4757" spans="2:7" x14ac:dyDescent="0.3">
      <c r="B4757" s="69"/>
      <c r="C4757" s="55"/>
      <c r="D4757" s="70"/>
      <c r="G4757" s="78"/>
    </row>
    <row r="4758" spans="2:7" x14ac:dyDescent="0.3">
      <c r="B4758" s="69"/>
      <c r="C4758" s="55"/>
      <c r="D4758" s="70"/>
      <c r="G4758" s="78"/>
    </row>
    <row r="4759" spans="2:7" x14ac:dyDescent="0.3">
      <c r="B4759" s="69"/>
      <c r="C4759" s="55"/>
      <c r="D4759" s="70"/>
      <c r="G4759" s="78"/>
    </row>
    <row r="4760" spans="2:7" x14ac:dyDescent="0.3">
      <c r="B4760" s="69"/>
      <c r="C4760" s="55"/>
      <c r="D4760" s="70"/>
      <c r="G4760" s="78"/>
    </row>
    <row r="4761" spans="2:7" x14ac:dyDescent="0.3">
      <c r="B4761" s="69"/>
      <c r="C4761" s="55"/>
      <c r="D4761" s="70"/>
      <c r="G4761" s="78"/>
    </row>
    <row r="4762" spans="2:7" x14ac:dyDescent="0.3">
      <c r="B4762" s="69"/>
      <c r="C4762" s="55"/>
      <c r="D4762" s="70"/>
      <c r="G4762" s="78"/>
    </row>
    <row r="4763" spans="2:7" x14ac:dyDescent="0.3">
      <c r="B4763" s="69"/>
      <c r="C4763" s="55"/>
      <c r="D4763" s="70"/>
      <c r="G4763" s="78"/>
    </row>
    <row r="4764" spans="2:7" x14ac:dyDescent="0.3">
      <c r="B4764" s="69"/>
      <c r="C4764" s="55"/>
      <c r="D4764" s="70"/>
      <c r="G4764" s="78"/>
    </row>
    <row r="4765" spans="2:7" x14ac:dyDescent="0.3">
      <c r="B4765" s="69"/>
      <c r="C4765" s="55"/>
      <c r="D4765" s="70"/>
      <c r="G4765" s="78"/>
    </row>
    <row r="4766" spans="2:7" x14ac:dyDescent="0.3">
      <c r="B4766" s="69"/>
      <c r="C4766" s="55"/>
      <c r="D4766" s="70"/>
      <c r="G4766" s="78"/>
    </row>
    <row r="4767" spans="2:7" x14ac:dyDescent="0.3">
      <c r="B4767" s="69"/>
      <c r="C4767" s="55"/>
      <c r="D4767" s="70"/>
      <c r="G4767" s="78"/>
    </row>
    <row r="4768" spans="2:7" x14ac:dyDescent="0.3">
      <c r="B4768" s="69"/>
      <c r="C4768" s="55"/>
      <c r="D4768" s="70"/>
      <c r="G4768" s="78"/>
    </row>
    <row r="4769" spans="2:7" x14ac:dyDescent="0.3">
      <c r="B4769" s="69"/>
      <c r="C4769" s="55"/>
      <c r="D4769" s="70"/>
      <c r="G4769" s="78"/>
    </row>
    <row r="4770" spans="2:7" x14ac:dyDescent="0.3">
      <c r="B4770" s="69"/>
      <c r="C4770" s="55"/>
      <c r="D4770" s="70"/>
      <c r="G4770" s="78"/>
    </row>
    <row r="4771" spans="2:7" x14ac:dyDescent="0.3">
      <c r="B4771" s="69"/>
      <c r="C4771" s="55"/>
      <c r="D4771" s="70"/>
      <c r="G4771" s="78"/>
    </row>
    <row r="4772" spans="2:7" x14ac:dyDescent="0.3">
      <c r="B4772" s="69"/>
      <c r="C4772" s="55"/>
      <c r="D4772" s="70"/>
      <c r="G4772" s="78"/>
    </row>
    <row r="4773" spans="2:7" x14ac:dyDescent="0.3">
      <c r="B4773" s="69"/>
      <c r="C4773" s="55"/>
      <c r="D4773" s="70"/>
      <c r="G4773" s="78"/>
    </row>
    <row r="4774" spans="2:7" x14ac:dyDescent="0.3">
      <c r="B4774" s="69"/>
      <c r="C4774" s="55"/>
      <c r="D4774" s="70"/>
      <c r="G4774" s="78"/>
    </row>
    <row r="4775" spans="2:7" x14ac:dyDescent="0.3">
      <c r="B4775" s="69"/>
      <c r="C4775" s="55"/>
      <c r="D4775" s="70"/>
      <c r="G4775" s="78"/>
    </row>
    <row r="4776" spans="2:7" x14ac:dyDescent="0.3">
      <c r="B4776" s="69"/>
      <c r="C4776" s="55"/>
      <c r="D4776" s="70"/>
      <c r="G4776" s="78"/>
    </row>
    <row r="4777" spans="2:7" x14ac:dyDescent="0.3">
      <c r="B4777" s="69"/>
      <c r="C4777" s="55"/>
      <c r="D4777" s="70"/>
      <c r="G4777" s="78"/>
    </row>
    <row r="4778" spans="2:7" x14ac:dyDescent="0.3">
      <c r="B4778" s="69"/>
      <c r="C4778" s="55"/>
      <c r="D4778" s="70"/>
      <c r="G4778" s="78"/>
    </row>
    <row r="4779" spans="2:7" x14ac:dyDescent="0.3">
      <c r="B4779" s="69"/>
      <c r="C4779" s="55"/>
      <c r="D4779" s="70"/>
      <c r="G4779" s="78"/>
    </row>
    <row r="4780" spans="2:7" x14ac:dyDescent="0.3">
      <c r="B4780" s="69"/>
      <c r="C4780" s="55"/>
      <c r="D4780" s="70"/>
      <c r="G4780" s="78"/>
    </row>
    <row r="4781" spans="2:7" x14ac:dyDescent="0.3">
      <c r="B4781" s="69"/>
      <c r="C4781" s="55"/>
      <c r="D4781" s="70"/>
      <c r="G4781" s="78"/>
    </row>
    <row r="4782" spans="2:7" x14ac:dyDescent="0.3">
      <c r="B4782" s="69"/>
      <c r="C4782" s="55"/>
      <c r="D4782" s="70"/>
      <c r="G4782" s="78"/>
    </row>
    <row r="4783" spans="2:7" x14ac:dyDescent="0.3">
      <c r="B4783" s="69"/>
      <c r="C4783" s="55"/>
      <c r="D4783" s="70"/>
      <c r="G4783" s="78"/>
    </row>
    <row r="4784" spans="2:7" x14ac:dyDescent="0.3">
      <c r="B4784" s="69"/>
      <c r="C4784" s="55"/>
      <c r="D4784" s="70"/>
      <c r="G4784" s="78"/>
    </row>
    <row r="4785" spans="2:7" x14ac:dyDescent="0.3">
      <c r="B4785" s="69"/>
      <c r="C4785" s="55"/>
      <c r="D4785" s="70"/>
      <c r="G4785" s="78"/>
    </row>
    <row r="4786" spans="2:7" x14ac:dyDescent="0.3">
      <c r="B4786" s="69"/>
      <c r="C4786" s="55"/>
      <c r="D4786" s="70"/>
      <c r="G4786" s="78"/>
    </row>
    <row r="4787" spans="2:7" x14ac:dyDescent="0.3">
      <c r="B4787" s="69"/>
      <c r="C4787" s="55"/>
      <c r="D4787" s="70"/>
      <c r="G4787" s="78"/>
    </row>
    <row r="4788" spans="2:7" x14ac:dyDescent="0.3">
      <c r="B4788" s="69"/>
      <c r="C4788" s="55"/>
      <c r="D4788" s="70"/>
      <c r="G4788" s="78"/>
    </row>
    <row r="4789" spans="2:7" x14ac:dyDescent="0.3">
      <c r="B4789" s="69"/>
      <c r="C4789" s="55"/>
      <c r="D4789" s="70"/>
      <c r="G4789" s="78"/>
    </row>
    <row r="4790" spans="2:7" x14ac:dyDescent="0.3">
      <c r="B4790" s="69"/>
      <c r="C4790" s="55"/>
      <c r="D4790" s="70"/>
      <c r="G4790" s="78"/>
    </row>
    <row r="4791" spans="2:7" x14ac:dyDescent="0.3">
      <c r="B4791" s="69"/>
      <c r="C4791" s="55"/>
      <c r="D4791" s="70"/>
      <c r="G4791" s="78"/>
    </row>
    <row r="4792" spans="2:7" x14ac:dyDescent="0.3">
      <c r="B4792" s="69"/>
      <c r="C4792" s="55"/>
      <c r="D4792" s="70"/>
      <c r="G4792" s="78"/>
    </row>
    <row r="4793" spans="2:7" x14ac:dyDescent="0.3">
      <c r="B4793" s="69"/>
      <c r="C4793" s="55"/>
      <c r="D4793" s="70"/>
      <c r="G4793" s="78"/>
    </row>
    <row r="4794" spans="2:7" x14ac:dyDescent="0.3">
      <c r="B4794" s="69"/>
      <c r="C4794" s="55"/>
      <c r="D4794" s="70"/>
      <c r="G4794" s="78"/>
    </row>
    <row r="4795" spans="2:7" x14ac:dyDescent="0.3">
      <c r="B4795" s="69"/>
      <c r="C4795" s="55"/>
      <c r="D4795" s="70"/>
      <c r="G4795" s="78"/>
    </row>
    <row r="4796" spans="2:7" x14ac:dyDescent="0.3">
      <c r="B4796" s="69"/>
      <c r="C4796" s="55"/>
      <c r="D4796" s="70"/>
      <c r="G4796" s="78"/>
    </row>
    <row r="4797" spans="2:7" x14ac:dyDescent="0.3">
      <c r="B4797" s="69"/>
      <c r="C4797" s="55"/>
      <c r="D4797" s="70"/>
      <c r="G4797" s="78"/>
    </row>
    <row r="4798" spans="2:7" x14ac:dyDescent="0.3">
      <c r="B4798" s="69"/>
      <c r="C4798" s="55"/>
      <c r="D4798" s="70"/>
      <c r="G4798" s="78"/>
    </row>
    <row r="4799" spans="2:7" x14ac:dyDescent="0.3">
      <c r="B4799" s="69"/>
      <c r="C4799" s="55"/>
      <c r="D4799" s="70"/>
      <c r="G4799" s="78"/>
    </row>
    <row r="4800" spans="2:7" x14ac:dyDescent="0.3">
      <c r="B4800" s="69"/>
      <c r="C4800" s="55"/>
      <c r="D4800" s="70"/>
      <c r="G4800" s="78"/>
    </row>
    <row r="4801" spans="2:7" x14ac:dyDescent="0.3">
      <c r="B4801" s="69"/>
      <c r="C4801" s="55"/>
      <c r="D4801" s="70"/>
      <c r="G4801" s="78"/>
    </row>
    <row r="4802" spans="2:7" x14ac:dyDescent="0.3">
      <c r="B4802" s="69"/>
      <c r="C4802" s="55"/>
      <c r="D4802" s="70"/>
      <c r="G4802" s="78"/>
    </row>
    <row r="4803" spans="2:7" x14ac:dyDescent="0.3">
      <c r="B4803" s="69"/>
      <c r="C4803" s="55"/>
      <c r="D4803" s="70"/>
      <c r="G4803" s="78"/>
    </row>
    <row r="4804" spans="2:7" x14ac:dyDescent="0.3">
      <c r="B4804" s="69"/>
      <c r="C4804" s="55"/>
      <c r="D4804" s="70"/>
      <c r="G4804" s="78"/>
    </row>
    <row r="4805" spans="2:7" x14ac:dyDescent="0.3">
      <c r="B4805" s="69"/>
      <c r="C4805" s="55"/>
      <c r="D4805" s="70"/>
      <c r="G4805" s="78"/>
    </row>
    <row r="4806" spans="2:7" x14ac:dyDescent="0.3">
      <c r="B4806" s="69"/>
      <c r="C4806" s="55"/>
      <c r="D4806" s="70"/>
      <c r="G4806" s="78"/>
    </row>
    <row r="4807" spans="2:7" x14ac:dyDescent="0.3">
      <c r="B4807" s="69"/>
      <c r="C4807" s="55"/>
      <c r="D4807" s="70"/>
      <c r="G4807" s="78"/>
    </row>
    <row r="4808" spans="2:7" x14ac:dyDescent="0.3">
      <c r="B4808" s="69"/>
      <c r="C4808" s="55"/>
      <c r="D4808" s="70"/>
      <c r="G4808" s="78"/>
    </row>
    <row r="4809" spans="2:7" x14ac:dyDescent="0.3">
      <c r="B4809" s="69"/>
      <c r="C4809" s="55"/>
      <c r="D4809" s="70"/>
      <c r="G4809" s="78"/>
    </row>
    <row r="4810" spans="2:7" x14ac:dyDescent="0.3">
      <c r="B4810" s="69"/>
      <c r="C4810" s="55"/>
      <c r="D4810" s="70"/>
      <c r="G4810" s="78"/>
    </row>
    <row r="4811" spans="2:7" x14ac:dyDescent="0.3">
      <c r="B4811" s="69"/>
      <c r="C4811" s="55"/>
      <c r="D4811" s="70"/>
      <c r="G4811" s="78"/>
    </row>
    <row r="4812" spans="2:7" x14ac:dyDescent="0.3">
      <c r="B4812" s="69"/>
      <c r="C4812" s="55"/>
      <c r="D4812" s="70"/>
      <c r="G4812" s="78"/>
    </row>
    <row r="4813" spans="2:7" x14ac:dyDescent="0.3">
      <c r="B4813" s="69"/>
      <c r="C4813" s="55"/>
      <c r="D4813" s="70"/>
      <c r="G4813" s="78"/>
    </row>
    <row r="4814" spans="2:7" x14ac:dyDescent="0.3">
      <c r="B4814" s="69"/>
      <c r="C4814" s="55"/>
      <c r="D4814" s="70"/>
      <c r="G4814" s="78"/>
    </row>
    <row r="4815" spans="2:7" x14ac:dyDescent="0.3">
      <c r="B4815" s="69"/>
      <c r="C4815" s="55"/>
      <c r="D4815" s="70"/>
      <c r="G4815" s="78"/>
    </row>
    <row r="4816" spans="2:7" x14ac:dyDescent="0.3">
      <c r="B4816" s="69"/>
      <c r="C4816" s="55"/>
      <c r="D4816" s="70"/>
      <c r="G4816" s="78"/>
    </row>
    <row r="4817" spans="2:7" x14ac:dyDescent="0.3">
      <c r="B4817" s="69"/>
      <c r="C4817" s="55"/>
      <c r="D4817" s="70"/>
      <c r="G4817" s="78"/>
    </row>
    <row r="4818" spans="2:7" x14ac:dyDescent="0.3">
      <c r="B4818" s="69"/>
      <c r="C4818" s="55"/>
      <c r="D4818" s="70"/>
      <c r="G4818" s="78"/>
    </row>
    <row r="4819" spans="2:7" x14ac:dyDescent="0.3">
      <c r="B4819" s="69"/>
      <c r="C4819" s="55"/>
      <c r="D4819" s="70"/>
      <c r="G4819" s="78"/>
    </row>
    <row r="4820" spans="2:7" x14ac:dyDescent="0.3">
      <c r="B4820" s="69"/>
      <c r="C4820" s="55"/>
      <c r="D4820" s="70"/>
      <c r="G4820" s="78"/>
    </row>
    <row r="4821" spans="2:7" x14ac:dyDescent="0.3">
      <c r="B4821" s="69"/>
      <c r="C4821" s="55"/>
      <c r="D4821" s="70"/>
      <c r="G4821" s="78"/>
    </row>
    <row r="4822" spans="2:7" x14ac:dyDescent="0.3">
      <c r="B4822" s="69"/>
      <c r="C4822" s="55"/>
      <c r="D4822" s="70"/>
      <c r="G4822" s="78"/>
    </row>
    <row r="4823" spans="2:7" x14ac:dyDescent="0.3">
      <c r="B4823" s="69"/>
      <c r="C4823" s="55"/>
      <c r="D4823" s="70"/>
      <c r="G4823" s="78"/>
    </row>
    <row r="4824" spans="2:7" x14ac:dyDescent="0.3">
      <c r="B4824" s="69"/>
      <c r="C4824" s="55"/>
      <c r="D4824" s="70"/>
      <c r="G4824" s="78"/>
    </row>
    <row r="4825" spans="2:7" x14ac:dyDescent="0.3">
      <c r="B4825" s="69"/>
      <c r="C4825" s="55"/>
      <c r="D4825" s="70"/>
      <c r="G4825" s="78"/>
    </row>
    <row r="4826" spans="2:7" x14ac:dyDescent="0.3">
      <c r="B4826" s="69"/>
      <c r="C4826" s="55"/>
      <c r="D4826" s="70"/>
      <c r="G4826" s="78"/>
    </row>
    <row r="4827" spans="2:7" x14ac:dyDescent="0.3">
      <c r="B4827" s="69"/>
      <c r="C4827" s="55"/>
      <c r="D4827" s="70"/>
      <c r="G4827" s="78"/>
    </row>
    <row r="4828" spans="2:7" x14ac:dyDescent="0.3">
      <c r="B4828" s="69"/>
      <c r="C4828" s="55"/>
      <c r="D4828" s="70"/>
      <c r="G4828" s="78"/>
    </row>
    <row r="4829" spans="2:7" x14ac:dyDescent="0.3">
      <c r="B4829" s="69"/>
      <c r="C4829" s="55"/>
      <c r="D4829" s="70"/>
      <c r="G4829" s="78"/>
    </row>
    <row r="4830" spans="2:7" x14ac:dyDescent="0.3">
      <c r="B4830" s="69"/>
      <c r="C4830" s="55"/>
      <c r="D4830" s="70"/>
      <c r="G4830" s="78"/>
    </row>
    <row r="4831" spans="2:7" x14ac:dyDescent="0.3">
      <c r="B4831" s="69"/>
      <c r="C4831" s="55"/>
      <c r="D4831" s="70"/>
      <c r="G4831" s="78"/>
    </row>
    <row r="4832" spans="2:7" x14ac:dyDescent="0.3">
      <c r="B4832" s="69"/>
      <c r="C4832" s="55"/>
      <c r="D4832" s="70"/>
      <c r="G4832" s="78"/>
    </row>
    <row r="4833" spans="2:7" x14ac:dyDescent="0.3">
      <c r="B4833" s="69"/>
      <c r="C4833" s="55"/>
      <c r="D4833" s="70"/>
      <c r="G4833" s="78"/>
    </row>
    <row r="4834" spans="2:7" x14ac:dyDescent="0.3">
      <c r="B4834" s="69"/>
      <c r="C4834" s="55"/>
      <c r="D4834" s="70"/>
      <c r="G4834" s="78"/>
    </row>
    <row r="4835" spans="2:7" x14ac:dyDescent="0.3">
      <c r="B4835" s="69"/>
      <c r="C4835" s="55"/>
      <c r="D4835" s="70"/>
      <c r="G4835" s="78"/>
    </row>
    <row r="4836" spans="2:7" x14ac:dyDescent="0.3">
      <c r="B4836" s="69"/>
      <c r="C4836" s="55"/>
      <c r="D4836" s="70"/>
      <c r="G4836" s="78"/>
    </row>
    <row r="4837" spans="2:7" x14ac:dyDescent="0.3">
      <c r="B4837" s="69"/>
      <c r="C4837" s="55"/>
      <c r="D4837" s="70"/>
      <c r="G4837" s="78"/>
    </row>
    <row r="4838" spans="2:7" x14ac:dyDescent="0.3">
      <c r="B4838" s="69"/>
      <c r="C4838" s="55"/>
      <c r="D4838" s="70"/>
      <c r="G4838" s="78"/>
    </row>
    <row r="4839" spans="2:7" x14ac:dyDescent="0.3">
      <c r="B4839" s="69"/>
      <c r="C4839" s="55"/>
      <c r="D4839" s="70"/>
      <c r="G4839" s="78"/>
    </row>
    <row r="4840" spans="2:7" x14ac:dyDescent="0.3">
      <c r="B4840" s="69"/>
      <c r="C4840" s="55"/>
      <c r="D4840" s="70"/>
      <c r="G4840" s="78"/>
    </row>
    <row r="4841" spans="2:7" x14ac:dyDescent="0.3">
      <c r="B4841" s="69"/>
      <c r="C4841" s="55"/>
      <c r="D4841" s="70"/>
      <c r="G4841" s="78"/>
    </row>
    <row r="4842" spans="2:7" x14ac:dyDescent="0.3">
      <c r="B4842" s="69"/>
      <c r="C4842" s="55"/>
      <c r="D4842" s="70"/>
      <c r="G4842" s="78"/>
    </row>
    <row r="4843" spans="2:7" x14ac:dyDescent="0.3">
      <c r="B4843" s="69"/>
      <c r="C4843" s="55"/>
      <c r="D4843" s="70"/>
      <c r="G4843" s="78"/>
    </row>
    <row r="4844" spans="2:7" x14ac:dyDescent="0.3">
      <c r="B4844" s="69"/>
      <c r="C4844" s="55"/>
      <c r="D4844" s="70"/>
      <c r="G4844" s="78"/>
    </row>
    <row r="4845" spans="2:7" x14ac:dyDescent="0.3">
      <c r="B4845" s="69"/>
      <c r="C4845" s="55"/>
      <c r="D4845" s="70"/>
      <c r="G4845" s="78"/>
    </row>
    <row r="4846" spans="2:7" x14ac:dyDescent="0.3">
      <c r="B4846" s="69"/>
      <c r="C4846" s="55"/>
      <c r="D4846" s="70"/>
      <c r="G4846" s="78"/>
    </row>
    <row r="4847" spans="2:7" x14ac:dyDescent="0.3">
      <c r="B4847" s="69"/>
      <c r="C4847" s="55"/>
      <c r="D4847" s="70"/>
      <c r="G4847" s="78"/>
    </row>
    <row r="4848" spans="2:7" x14ac:dyDescent="0.3">
      <c r="B4848" s="69"/>
      <c r="C4848" s="55"/>
      <c r="D4848" s="70"/>
      <c r="G4848" s="78"/>
    </row>
    <row r="4849" spans="2:7" x14ac:dyDescent="0.3">
      <c r="B4849" s="69"/>
      <c r="C4849" s="55"/>
      <c r="D4849" s="70"/>
      <c r="G4849" s="78"/>
    </row>
    <row r="4850" spans="2:7" x14ac:dyDescent="0.3">
      <c r="B4850" s="69"/>
      <c r="C4850" s="55"/>
      <c r="D4850" s="70"/>
      <c r="G4850" s="78"/>
    </row>
    <row r="4851" spans="2:7" x14ac:dyDescent="0.3">
      <c r="B4851" s="69"/>
      <c r="C4851" s="55"/>
      <c r="D4851" s="70"/>
      <c r="G4851" s="78"/>
    </row>
    <row r="4852" spans="2:7" x14ac:dyDescent="0.3">
      <c r="B4852" s="69"/>
      <c r="C4852" s="55"/>
      <c r="D4852" s="70"/>
      <c r="G4852" s="78"/>
    </row>
    <row r="4853" spans="2:7" x14ac:dyDescent="0.3">
      <c r="B4853" s="69"/>
      <c r="C4853" s="55"/>
      <c r="D4853" s="70"/>
      <c r="G4853" s="78"/>
    </row>
    <row r="4854" spans="2:7" x14ac:dyDescent="0.3">
      <c r="B4854" s="69"/>
      <c r="C4854" s="55"/>
      <c r="D4854" s="70"/>
      <c r="G4854" s="78"/>
    </row>
    <row r="4855" spans="2:7" x14ac:dyDescent="0.3">
      <c r="B4855" s="69"/>
      <c r="C4855" s="55"/>
      <c r="D4855" s="70"/>
      <c r="G4855" s="78"/>
    </row>
    <row r="4856" spans="2:7" x14ac:dyDescent="0.3">
      <c r="B4856" s="69"/>
      <c r="C4856" s="55"/>
      <c r="D4856" s="70"/>
      <c r="G4856" s="78"/>
    </row>
    <row r="4857" spans="2:7" x14ac:dyDescent="0.3">
      <c r="B4857" s="69"/>
      <c r="C4857" s="55"/>
      <c r="D4857" s="70"/>
      <c r="G4857" s="78"/>
    </row>
    <row r="4858" spans="2:7" x14ac:dyDescent="0.3">
      <c r="B4858" s="69"/>
      <c r="C4858" s="55"/>
      <c r="D4858" s="70"/>
      <c r="G4858" s="78"/>
    </row>
    <row r="4859" spans="2:7" x14ac:dyDescent="0.3">
      <c r="B4859" s="69"/>
      <c r="C4859" s="55"/>
      <c r="D4859" s="70"/>
      <c r="G4859" s="78"/>
    </row>
    <row r="4860" spans="2:7" x14ac:dyDescent="0.3">
      <c r="B4860" s="69"/>
      <c r="C4860" s="55"/>
      <c r="D4860" s="70"/>
      <c r="G4860" s="78"/>
    </row>
    <row r="4861" spans="2:7" x14ac:dyDescent="0.3">
      <c r="B4861" s="69"/>
      <c r="C4861" s="55"/>
      <c r="D4861" s="70"/>
      <c r="G4861" s="78"/>
    </row>
    <row r="4862" spans="2:7" x14ac:dyDescent="0.3">
      <c r="B4862" s="69"/>
      <c r="C4862" s="55"/>
      <c r="D4862" s="70"/>
      <c r="G4862" s="78"/>
    </row>
    <row r="4863" spans="2:7" x14ac:dyDescent="0.3">
      <c r="B4863" s="69"/>
      <c r="C4863" s="55"/>
      <c r="D4863" s="70"/>
      <c r="G4863" s="78"/>
    </row>
    <row r="4864" spans="2:7" x14ac:dyDescent="0.3">
      <c r="B4864" s="69"/>
      <c r="C4864" s="55"/>
      <c r="D4864" s="70"/>
      <c r="G4864" s="78"/>
    </row>
    <row r="4865" spans="2:7" x14ac:dyDescent="0.3">
      <c r="B4865" s="69"/>
      <c r="C4865" s="55"/>
      <c r="D4865" s="70"/>
      <c r="G4865" s="78"/>
    </row>
    <row r="4866" spans="2:7" x14ac:dyDescent="0.3">
      <c r="B4866" s="69"/>
      <c r="C4866" s="55"/>
      <c r="D4866" s="70"/>
      <c r="G4866" s="78"/>
    </row>
    <row r="4867" spans="2:7" x14ac:dyDescent="0.3">
      <c r="B4867" s="69"/>
      <c r="C4867" s="55"/>
      <c r="D4867" s="70"/>
      <c r="G4867" s="78"/>
    </row>
    <row r="4868" spans="2:7" x14ac:dyDescent="0.3">
      <c r="B4868" s="69"/>
      <c r="C4868" s="55"/>
      <c r="D4868" s="70"/>
      <c r="G4868" s="78"/>
    </row>
    <row r="4869" spans="2:7" x14ac:dyDescent="0.3">
      <c r="B4869" s="69"/>
      <c r="C4869" s="55"/>
      <c r="D4869" s="70"/>
      <c r="G4869" s="78"/>
    </row>
    <row r="4870" spans="2:7" x14ac:dyDescent="0.3">
      <c r="B4870" s="69"/>
      <c r="C4870" s="55"/>
      <c r="D4870" s="70"/>
      <c r="G4870" s="78"/>
    </row>
    <row r="4871" spans="2:7" x14ac:dyDescent="0.3">
      <c r="B4871" s="69"/>
      <c r="C4871" s="55"/>
      <c r="D4871" s="70"/>
      <c r="G4871" s="78"/>
    </row>
    <row r="4872" spans="2:7" x14ac:dyDescent="0.3">
      <c r="B4872" s="69"/>
      <c r="C4872" s="55"/>
      <c r="D4872" s="70"/>
      <c r="G4872" s="78"/>
    </row>
    <row r="4873" spans="2:7" x14ac:dyDescent="0.3">
      <c r="B4873" s="69"/>
      <c r="C4873" s="55"/>
      <c r="D4873" s="70"/>
      <c r="G4873" s="78"/>
    </row>
    <row r="4874" spans="2:7" x14ac:dyDescent="0.3">
      <c r="B4874" s="69"/>
      <c r="C4874" s="55"/>
      <c r="D4874" s="70"/>
      <c r="G4874" s="78"/>
    </row>
    <row r="4875" spans="2:7" x14ac:dyDescent="0.3">
      <c r="B4875" s="69"/>
      <c r="C4875" s="55"/>
      <c r="D4875" s="70"/>
      <c r="G4875" s="78"/>
    </row>
    <row r="4876" spans="2:7" x14ac:dyDescent="0.3">
      <c r="B4876" s="69"/>
      <c r="C4876" s="55"/>
      <c r="D4876" s="70"/>
      <c r="G4876" s="78"/>
    </row>
    <row r="4877" spans="2:7" x14ac:dyDescent="0.3">
      <c r="B4877" s="69"/>
      <c r="C4877" s="55"/>
      <c r="D4877" s="70"/>
      <c r="G4877" s="78"/>
    </row>
    <row r="4878" spans="2:7" x14ac:dyDescent="0.3">
      <c r="B4878" s="69"/>
      <c r="C4878" s="55"/>
      <c r="D4878" s="70"/>
      <c r="G4878" s="78"/>
    </row>
    <row r="4879" spans="2:7" x14ac:dyDescent="0.3">
      <c r="B4879" s="69"/>
      <c r="C4879" s="55"/>
      <c r="D4879" s="70"/>
      <c r="G4879" s="78"/>
    </row>
    <row r="4880" spans="2:7" x14ac:dyDescent="0.3">
      <c r="B4880" s="69"/>
      <c r="C4880" s="55"/>
      <c r="D4880" s="70"/>
      <c r="G4880" s="78"/>
    </row>
    <row r="4881" spans="2:7" x14ac:dyDescent="0.3">
      <c r="B4881" s="69"/>
      <c r="C4881" s="55"/>
      <c r="D4881" s="70"/>
      <c r="G4881" s="78"/>
    </row>
    <row r="4882" spans="2:7" x14ac:dyDescent="0.3">
      <c r="B4882" s="69"/>
      <c r="C4882" s="55"/>
      <c r="D4882" s="70"/>
      <c r="G4882" s="78"/>
    </row>
    <row r="4883" spans="2:7" x14ac:dyDescent="0.3">
      <c r="B4883" s="69"/>
      <c r="C4883" s="55"/>
      <c r="D4883" s="70"/>
      <c r="G4883" s="78"/>
    </row>
    <row r="4884" spans="2:7" x14ac:dyDescent="0.3">
      <c r="B4884" s="69"/>
      <c r="C4884" s="55"/>
      <c r="D4884" s="70"/>
      <c r="G4884" s="78"/>
    </row>
    <row r="4885" spans="2:7" x14ac:dyDescent="0.3">
      <c r="B4885" s="69"/>
      <c r="C4885" s="55"/>
      <c r="D4885" s="70"/>
      <c r="G4885" s="78"/>
    </row>
    <row r="4886" spans="2:7" x14ac:dyDescent="0.3">
      <c r="B4886" s="69"/>
      <c r="C4886" s="55"/>
      <c r="D4886" s="70"/>
      <c r="G4886" s="78"/>
    </row>
    <row r="4887" spans="2:7" x14ac:dyDescent="0.3">
      <c r="B4887" s="69"/>
      <c r="C4887" s="55"/>
      <c r="D4887" s="70"/>
      <c r="G4887" s="78"/>
    </row>
    <row r="4888" spans="2:7" x14ac:dyDescent="0.3">
      <c r="B4888" s="69"/>
      <c r="C4888" s="55"/>
      <c r="D4888" s="70"/>
      <c r="G4888" s="78"/>
    </row>
    <row r="4889" spans="2:7" x14ac:dyDescent="0.3">
      <c r="B4889" s="69"/>
      <c r="C4889" s="55"/>
      <c r="D4889" s="70"/>
      <c r="G4889" s="78"/>
    </row>
    <row r="4890" spans="2:7" x14ac:dyDescent="0.3">
      <c r="B4890" s="69"/>
      <c r="C4890" s="55"/>
      <c r="D4890" s="70"/>
      <c r="G4890" s="78"/>
    </row>
    <row r="4891" spans="2:7" x14ac:dyDescent="0.3">
      <c r="B4891" s="69"/>
      <c r="C4891" s="55"/>
      <c r="D4891" s="70"/>
      <c r="G4891" s="78"/>
    </row>
    <row r="4892" spans="2:7" x14ac:dyDescent="0.3">
      <c r="B4892" s="69"/>
      <c r="C4892" s="55"/>
      <c r="D4892" s="70"/>
      <c r="G4892" s="78"/>
    </row>
    <row r="4893" spans="2:7" x14ac:dyDescent="0.3">
      <c r="B4893" s="69"/>
      <c r="C4893" s="55"/>
      <c r="D4893" s="70"/>
      <c r="G4893" s="78"/>
    </row>
    <row r="4894" spans="2:7" x14ac:dyDescent="0.3">
      <c r="B4894" s="69"/>
      <c r="C4894" s="55"/>
      <c r="D4894" s="70"/>
      <c r="G4894" s="78"/>
    </row>
    <row r="4895" spans="2:7" x14ac:dyDescent="0.3">
      <c r="B4895" s="69"/>
      <c r="C4895" s="55"/>
      <c r="D4895" s="70"/>
      <c r="G4895" s="78"/>
    </row>
    <row r="4896" spans="2:7" x14ac:dyDescent="0.3">
      <c r="B4896" s="69"/>
      <c r="C4896" s="55"/>
      <c r="D4896" s="70"/>
      <c r="G4896" s="78"/>
    </row>
    <row r="4897" spans="2:7" x14ac:dyDescent="0.3">
      <c r="B4897" s="69"/>
      <c r="C4897" s="55"/>
      <c r="D4897" s="70"/>
      <c r="G4897" s="78"/>
    </row>
    <row r="4898" spans="2:7" x14ac:dyDescent="0.3">
      <c r="B4898" s="69"/>
      <c r="C4898" s="55"/>
      <c r="D4898" s="70"/>
      <c r="G4898" s="78"/>
    </row>
    <row r="4899" spans="2:7" x14ac:dyDescent="0.3">
      <c r="B4899" s="69"/>
      <c r="C4899" s="55"/>
      <c r="D4899" s="70"/>
      <c r="G4899" s="78"/>
    </row>
    <row r="4900" spans="2:7" x14ac:dyDescent="0.3">
      <c r="B4900" s="69"/>
      <c r="C4900" s="55"/>
      <c r="D4900" s="70"/>
      <c r="G4900" s="78"/>
    </row>
    <row r="4901" spans="2:7" x14ac:dyDescent="0.3">
      <c r="B4901" s="69"/>
      <c r="C4901" s="55"/>
      <c r="D4901" s="70"/>
      <c r="G4901" s="78"/>
    </row>
    <row r="4902" spans="2:7" x14ac:dyDescent="0.3">
      <c r="B4902" s="69"/>
      <c r="C4902" s="55"/>
      <c r="D4902" s="70"/>
      <c r="G4902" s="78"/>
    </row>
    <row r="4903" spans="2:7" x14ac:dyDescent="0.3">
      <c r="B4903" s="69"/>
      <c r="C4903" s="55"/>
      <c r="D4903" s="70"/>
      <c r="G4903" s="78"/>
    </row>
    <row r="4904" spans="2:7" x14ac:dyDescent="0.3">
      <c r="B4904" s="69"/>
      <c r="C4904" s="55"/>
      <c r="D4904" s="70"/>
      <c r="G4904" s="78"/>
    </row>
    <row r="4905" spans="2:7" x14ac:dyDescent="0.3">
      <c r="B4905" s="69"/>
      <c r="C4905" s="55"/>
      <c r="D4905" s="70"/>
      <c r="G4905" s="78"/>
    </row>
    <row r="4906" spans="2:7" x14ac:dyDescent="0.3">
      <c r="B4906" s="69"/>
      <c r="C4906" s="55"/>
      <c r="D4906" s="70"/>
      <c r="G4906" s="78"/>
    </row>
    <row r="4907" spans="2:7" x14ac:dyDescent="0.3">
      <c r="B4907" s="69"/>
      <c r="C4907" s="55"/>
      <c r="D4907" s="70"/>
      <c r="G4907" s="78"/>
    </row>
    <row r="4908" spans="2:7" x14ac:dyDescent="0.3">
      <c r="B4908" s="69"/>
      <c r="C4908" s="55"/>
      <c r="D4908" s="70"/>
      <c r="G4908" s="78"/>
    </row>
    <row r="4909" spans="2:7" x14ac:dyDescent="0.3">
      <c r="B4909" s="69"/>
      <c r="C4909" s="55"/>
      <c r="D4909" s="70"/>
      <c r="G4909" s="78"/>
    </row>
    <row r="4910" spans="2:7" x14ac:dyDescent="0.3">
      <c r="B4910" s="69"/>
      <c r="C4910" s="55"/>
      <c r="D4910" s="70"/>
      <c r="G4910" s="78"/>
    </row>
    <row r="4911" spans="2:7" x14ac:dyDescent="0.3">
      <c r="B4911" s="69"/>
      <c r="C4911" s="55"/>
      <c r="D4911" s="70"/>
      <c r="G4911" s="78"/>
    </row>
    <row r="4912" spans="2:7" x14ac:dyDescent="0.3">
      <c r="B4912" s="69"/>
      <c r="C4912" s="55"/>
      <c r="D4912" s="70"/>
      <c r="G4912" s="78"/>
    </row>
    <row r="4913" spans="2:7" x14ac:dyDescent="0.3">
      <c r="B4913" s="69"/>
      <c r="C4913" s="55"/>
      <c r="D4913" s="70"/>
      <c r="G4913" s="78"/>
    </row>
    <row r="4914" spans="2:7" x14ac:dyDescent="0.3">
      <c r="B4914" s="69"/>
      <c r="C4914" s="55"/>
      <c r="D4914" s="70"/>
      <c r="G4914" s="78"/>
    </row>
    <row r="4915" spans="2:7" x14ac:dyDescent="0.3">
      <c r="B4915" s="69"/>
      <c r="C4915" s="55"/>
      <c r="D4915" s="70"/>
      <c r="G4915" s="78"/>
    </row>
    <row r="4916" spans="2:7" x14ac:dyDescent="0.3">
      <c r="B4916" s="69"/>
      <c r="C4916" s="55"/>
      <c r="D4916" s="70"/>
      <c r="G4916" s="78"/>
    </row>
    <row r="4917" spans="2:7" x14ac:dyDescent="0.3">
      <c r="B4917" s="69"/>
      <c r="C4917" s="55"/>
      <c r="D4917" s="70"/>
      <c r="G4917" s="78"/>
    </row>
    <row r="4918" spans="2:7" x14ac:dyDescent="0.3">
      <c r="B4918" s="69"/>
      <c r="C4918" s="55"/>
      <c r="D4918" s="70"/>
      <c r="G4918" s="78"/>
    </row>
    <row r="4919" spans="2:7" x14ac:dyDescent="0.3">
      <c r="B4919" s="69"/>
      <c r="C4919" s="55"/>
      <c r="D4919" s="70"/>
      <c r="G4919" s="78"/>
    </row>
    <row r="4920" spans="2:7" x14ac:dyDescent="0.3">
      <c r="B4920" s="69"/>
      <c r="C4920" s="55"/>
      <c r="D4920" s="70"/>
      <c r="G4920" s="78"/>
    </row>
    <row r="4921" spans="2:7" x14ac:dyDescent="0.3">
      <c r="B4921" s="69"/>
      <c r="C4921" s="55"/>
      <c r="D4921" s="70"/>
      <c r="G4921" s="78"/>
    </row>
    <row r="4922" spans="2:7" x14ac:dyDescent="0.3">
      <c r="B4922" s="69"/>
      <c r="C4922" s="55"/>
      <c r="D4922" s="70"/>
      <c r="G4922" s="78"/>
    </row>
    <row r="4923" spans="2:7" x14ac:dyDescent="0.3">
      <c r="B4923" s="69"/>
      <c r="C4923" s="55"/>
      <c r="D4923" s="70"/>
      <c r="G4923" s="78"/>
    </row>
    <row r="4924" spans="2:7" x14ac:dyDescent="0.3">
      <c r="B4924" s="69"/>
      <c r="C4924" s="55"/>
      <c r="D4924" s="70"/>
      <c r="G4924" s="78"/>
    </row>
    <row r="4925" spans="2:7" x14ac:dyDescent="0.3">
      <c r="B4925" s="69"/>
      <c r="C4925" s="55"/>
      <c r="D4925" s="70"/>
      <c r="G4925" s="78"/>
    </row>
    <row r="4926" spans="2:7" x14ac:dyDescent="0.3">
      <c r="B4926" s="69"/>
      <c r="C4926" s="55"/>
      <c r="D4926" s="70"/>
      <c r="G4926" s="78"/>
    </row>
    <row r="4927" spans="2:7" x14ac:dyDescent="0.3">
      <c r="B4927" s="69"/>
      <c r="C4927" s="55"/>
      <c r="D4927" s="70"/>
      <c r="G4927" s="78"/>
    </row>
    <row r="4928" spans="2:7" x14ac:dyDescent="0.3">
      <c r="B4928" s="69"/>
      <c r="C4928" s="55"/>
      <c r="D4928" s="70"/>
      <c r="G4928" s="78"/>
    </row>
    <row r="4929" spans="2:7" x14ac:dyDescent="0.3">
      <c r="B4929" s="69"/>
      <c r="C4929" s="55"/>
      <c r="D4929" s="70"/>
      <c r="G4929" s="78"/>
    </row>
    <row r="4930" spans="2:7" x14ac:dyDescent="0.3">
      <c r="B4930" s="69"/>
      <c r="C4930" s="55"/>
      <c r="D4930" s="70"/>
      <c r="G4930" s="78"/>
    </row>
    <row r="4931" spans="2:7" x14ac:dyDescent="0.3">
      <c r="B4931" s="69"/>
      <c r="C4931" s="55"/>
      <c r="D4931" s="70"/>
      <c r="G4931" s="78"/>
    </row>
    <row r="4932" spans="2:7" x14ac:dyDescent="0.3">
      <c r="B4932" s="69"/>
      <c r="C4932" s="55"/>
      <c r="D4932" s="70"/>
      <c r="G4932" s="78"/>
    </row>
    <row r="4933" spans="2:7" x14ac:dyDescent="0.3">
      <c r="B4933" s="69"/>
      <c r="C4933" s="55"/>
      <c r="D4933" s="70"/>
      <c r="G4933" s="78"/>
    </row>
    <row r="4934" spans="2:7" x14ac:dyDescent="0.3">
      <c r="B4934" s="69"/>
      <c r="C4934" s="55"/>
      <c r="D4934" s="70"/>
      <c r="G4934" s="78"/>
    </row>
    <row r="4935" spans="2:7" x14ac:dyDescent="0.3">
      <c r="B4935" s="69"/>
      <c r="C4935" s="55"/>
      <c r="D4935" s="70"/>
      <c r="G4935" s="78"/>
    </row>
    <row r="4936" spans="2:7" x14ac:dyDescent="0.3">
      <c r="B4936" s="69"/>
      <c r="C4936" s="55"/>
      <c r="D4936" s="70"/>
      <c r="G4936" s="78"/>
    </row>
    <row r="4937" spans="2:7" x14ac:dyDescent="0.3">
      <c r="B4937" s="69"/>
      <c r="C4937" s="55"/>
      <c r="D4937" s="70"/>
      <c r="G4937" s="78"/>
    </row>
    <row r="4938" spans="2:7" x14ac:dyDescent="0.3">
      <c r="B4938" s="69"/>
      <c r="C4938" s="55"/>
      <c r="D4938" s="70"/>
      <c r="G4938" s="78"/>
    </row>
    <row r="4939" spans="2:7" x14ac:dyDescent="0.3">
      <c r="B4939" s="69"/>
      <c r="C4939" s="55"/>
      <c r="D4939" s="70"/>
      <c r="G4939" s="78"/>
    </row>
    <row r="4940" spans="2:7" x14ac:dyDescent="0.3">
      <c r="B4940" s="69"/>
      <c r="C4940" s="55"/>
      <c r="D4940" s="70"/>
      <c r="G4940" s="78"/>
    </row>
    <row r="4941" spans="2:7" x14ac:dyDescent="0.3">
      <c r="B4941" s="69"/>
      <c r="C4941" s="55"/>
      <c r="D4941" s="70"/>
      <c r="G4941" s="78"/>
    </row>
    <row r="4942" spans="2:7" x14ac:dyDescent="0.3">
      <c r="B4942" s="69"/>
      <c r="C4942" s="55"/>
      <c r="D4942" s="70"/>
      <c r="G4942" s="78"/>
    </row>
    <row r="4943" spans="2:7" x14ac:dyDescent="0.3">
      <c r="B4943" s="69"/>
      <c r="C4943" s="55"/>
      <c r="D4943" s="70"/>
      <c r="G4943" s="78"/>
    </row>
    <row r="4944" spans="2:7" x14ac:dyDescent="0.3">
      <c r="B4944" s="69"/>
      <c r="C4944" s="55"/>
      <c r="D4944" s="70"/>
      <c r="G4944" s="78"/>
    </row>
    <row r="4945" spans="2:7" x14ac:dyDescent="0.3">
      <c r="B4945" s="69"/>
      <c r="C4945" s="55"/>
      <c r="D4945" s="70"/>
      <c r="G4945" s="78"/>
    </row>
    <row r="4946" spans="2:7" x14ac:dyDescent="0.3">
      <c r="B4946" s="69"/>
      <c r="C4946" s="55"/>
      <c r="D4946" s="70"/>
      <c r="G4946" s="78"/>
    </row>
    <row r="4947" spans="2:7" x14ac:dyDescent="0.3">
      <c r="B4947" s="69"/>
      <c r="C4947" s="55"/>
      <c r="D4947" s="70"/>
      <c r="G4947" s="78"/>
    </row>
    <row r="4948" spans="2:7" x14ac:dyDescent="0.3">
      <c r="B4948" s="69"/>
      <c r="C4948" s="55"/>
      <c r="D4948" s="70"/>
      <c r="G4948" s="78"/>
    </row>
    <row r="4949" spans="2:7" x14ac:dyDescent="0.3">
      <c r="B4949" s="69"/>
      <c r="C4949" s="55"/>
      <c r="D4949" s="70"/>
      <c r="G4949" s="78"/>
    </row>
    <row r="4950" spans="2:7" x14ac:dyDescent="0.3">
      <c r="B4950" s="69"/>
      <c r="C4950" s="55"/>
      <c r="D4950" s="70"/>
      <c r="G4950" s="78"/>
    </row>
    <row r="4951" spans="2:7" x14ac:dyDescent="0.3">
      <c r="B4951" s="69"/>
      <c r="C4951" s="55"/>
      <c r="D4951" s="70"/>
      <c r="G4951" s="78"/>
    </row>
    <row r="4952" spans="2:7" x14ac:dyDescent="0.3">
      <c r="B4952" s="69"/>
      <c r="C4952" s="55"/>
      <c r="D4952" s="70"/>
      <c r="G4952" s="78"/>
    </row>
    <row r="4953" spans="2:7" x14ac:dyDescent="0.3">
      <c r="B4953" s="69"/>
      <c r="C4953" s="55"/>
      <c r="D4953" s="70"/>
      <c r="G4953" s="78"/>
    </row>
    <row r="4954" spans="2:7" x14ac:dyDescent="0.3">
      <c r="B4954" s="69"/>
      <c r="C4954" s="55"/>
      <c r="D4954" s="70"/>
      <c r="G4954" s="78"/>
    </row>
    <row r="4955" spans="2:7" x14ac:dyDescent="0.3">
      <c r="B4955" s="69"/>
      <c r="C4955" s="55"/>
      <c r="D4955" s="70"/>
      <c r="G4955" s="78"/>
    </row>
    <row r="4956" spans="2:7" x14ac:dyDescent="0.3">
      <c r="B4956" s="69"/>
      <c r="C4956" s="55"/>
      <c r="D4956" s="70"/>
      <c r="G4956" s="78"/>
    </row>
    <row r="4957" spans="2:7" x14ac:dyDescent="0.3">
      <c r="B4957" s="69"/>
      <c r="C4957" s="55"/>
      <c r="D4957" s="70"/>
      <c r="G4957" s="78"/>
    </row>
    <row r="4958" spans="2:7" x14ac:dyDescent="0.3">
      <c r="B4958" s="69"/>
      <c r="C4958" s="55"/>
      <c r="D4958" s="70"/>
      <c r="G4958" s="78"/>
    </row>
    <row r="4959" spans="2:7" x14ac:dyDescent="0.3">
      <c r="B4959" s="69"/>
      <c r="C4959" s="55"/>
      <c r="D4959" s="70"/>
      <c r="G4959" s="78"/>
    </row>
    <row r="4960" spans="2:7" x14ac:dyDescent="0.3">
      <c r="B4960" s="69"/>
      <c r="C4960" s="55"/>
      <c r="D4960" s="70"/>
      <c r="G4960" s="78"/>
    </row>
    <row r="4961" spans="2:7" x14ac:dyDescent="0.3">
      <c r="B4961" s="69"/>
      <c r="C4961" s="55"/>
      <c r="D4961" s="70"/>
      <c r="G4961" s="78"/>
    </row>
    <row r="4962" spans="2:7" x14ac:dyDescent="0.3">
      <c r="B4962" s="69"/>
      <c r="C4962" s="55"/>
      <c r="D4962" s="70"/>
      <c r="G4962" s="78"/>
    </row>
    <row r="4963" spans="2:7" x14ac:dyDescent="0.3">
      <c r="B4963" s="69"/>
      <c r="C4963" s="55"/>
      <c r="D4963" s="70"/>
      <c r="G4963" s="78"/>
    </row>
    <row r="4964" spans="2:7" x14ac:dyDescent="0.3">
      <c r="B4964" s="69"/>
      <c r="C4964" s="55"/>
      <c r="D4964" s="70"/>
      <c r="G4964" s="78"/>
    </row>
    <row r="4965" spans="2:7" x14ac:dyDescent="0.3">
      <c r="B4965" s="69"/>
      <c r="C4965" s="55"/>
      <c r="D4965" s="70"/>
      <c r="G4965" s="78"/>
    </row>
    <row r="4966" spans="2:7" x14ac:dyDescent="0.3">
      <c r="B4966" s="69"/>
      <c r="C4966" s="55"/>
      <c r="D4966" s="70"/>
      <c r="G4966" s="78"/>
    </row>
    <row r="4967" spans="2:7" x14ac:dyDescent="0.3">
      <c r="B4967" s="69"/>
      <c r="C4967" s="55"/>
      <c r="D4967" s="70"/>
      <c r="G4967" s="78"/>
    </row>
    <row r="4968" spans="2:7" x14ac:dyDescent="0.3">
      <c r="B4968" s="69"/>
      <c r="C4968" s="55"/>
      <c r="D4968" s="70"/>
      <c r="G4968" s="78"/>
    </row>
    <row r="4969" spans="2:7" x14ac:dyDescent="0.3">
      <c r="B4969" s="69"/>
      <c r="C4969" s="55"/>
      <c r="D4969" s="70"/>
      <c r="G4969" s="78"/>
    </row>
    <row r="4970" spans="2:7" x14ac:dyDescent="0.3">
      <c r="B4970" s="69"/>
      <c r="C4970" s="55"/>
      <c r="D4970" s="70"/>
      <c r="G4970" s="78"/>
    </row>
    <row r="4971" spans="2:7" x14ac:dyDescent="0.3">
      <c r="B4971" s="69"/>
      <c r="C4971" s="55"/>
      <c r="D4971" s="70"/>
      <c r="G4971" s="78"/>
    </row>
    <row r="4972" spans="2:7" x14ac:dyDescent="0.3">
      <c r="B4972" s="69"/>
      <c r="C4972" s="55"/>
      <c r="D4972" s="70"/>
      <c r="G4972" s="78"/>
    </row>
    <row r="4973" spans="2:7" x14ac:dyDescent="0.3">
      <c r="B4973" s="69"/>
      <c r="C4973" s="55"/>
      <c r="D4973" s="70"/>
      <c r="G4973" s="78"/>
    </row>
    <row r="4974" spans="2:7" x14ac:dyDescent="0.3">
      <c r="B4974" s="69"/>
      <c r="C4974" s="55"/>
      <c r="D4974" s="70"/>
      <c r="G4974" s="78"/>
    </row>
    <row r="4975" spans="2:7" x14ac:dyDescent="0.3">
      <c r="B4975" s="69"/>
      <c r="C4975" s="55"/>
      <c r="D4975" s="70"/>
      <c r="G4975" s="78"/>
    </row>
    <row r="4976" spans="2:7" x14ac:dyDescent="0.3">
      <c r="B4976" s="69"/>
      <c r="C4976" s="55"/>
      <c r="D4976" s="70"/>
      <c r="G4976" s="78"/>
    </row>
    <row r="4977" spans="2:7" x14ac:dyDescent="0.3">
      <c r="B4977" s="69"/>
      <c r="C4977" s="55"/>
      <c r="D4977" s="70"/>
      <c r="G4977" s="78"/>
    </row>
    <row r="4978" spans="2:7" x14ac:dyDescent="0.3">
      <c r="B4978" s="69"/>
      <c r="C4978" s="55"/>
      <c r="D4978" s="70"/>
      <c r="G4978" s="78"/>
    </row>
    <row r="4979" spans="2:7" x14ac:dyDescent="0.3">
      <c r="B4979" s="69"/>
      <c r="C4979" s="55"/>
      <c r="D4979" s="70"/>
      <c r="G4979" s="78"/>
    </row>
    <row r="4980" spans="2:7" x14ac:dyDescent="0.3">
      <c r="B4980" s="69"/>
      <c r="C4980" s="55"/>
      <c r="D4980" s="70"/>
      <c r="G4980" s="78"/>
    </row>
    <row r="4981" spans="2:7" x14ac:dyDescent="0.3">
      <c r="B4981" s="69"/>
      <c r="C4981" s="55"/>
      <c r="D4981" s="70"/>
      <c r="G4981" s="78"/>
    </row>
    <row r="4982" spans="2:7" x14ac:dyDescent="0.3">
      <c r="B4982" s="69"/>
      <c r="C4982" s="55"/>
      <c r="D4982" s="70"/>
      <c r="G4982" s="78"/>
    </row>
    <row r="4983" spans="2:7" x14ac:dyDescent="0.3">
      <c r="B4983" s="69"/>
      <c r="C4983" s="55"/>
      <c r="D4983" s="70"/>
      <c r="G4983" s="78"/>
    </row>
    <row r="4984" spans="2:7" x14ac:dyDescent="0.3">
      <c r="B4984" s="69"/>
      <c r="C4984" s="55"/>
      <c r="D4984" s="70"/>
      <c r="G4984" s="78"/>
    </row>
    <row r="4985" spans="2:7" x14ac:dyDescent="0.3">
      <c r="B4985" s="69"/>
      <c r="C4985" s="55"/>
      <c r="D4985" s="70"/>
      <c r="G4985" s="78"/>
    </row>
    <row r="4986" spans="2:7" x14ac:dyDescent="0.3">
      <c r="B4986" s="69"/>
      <c r="C4986" s="55"/>
      <c r="D4986" s="70"/>
      <c r="G4986" s="78"/>
    </row>
    <row r="4987" spans="2:7" x14ac:dyDescent="0.3">
      <c r="B4987" s="69"/>
      <c r="C4987" s="55"/>
      <c r="D4987" s="70"/>
      <c r="G4987" s="78"/>
    </row>
    <row r="4988" spans="2:7" x14ac:dyDescent="0.3">
      <c r="B4988" s="69"/>
      <c r="C4988" s="55"/>
      <c r="D4988" s="70"/>
      <c r="G4988" s="78"/>
    </row>
    <row r="4989" spans="2:7" x14ac:dyDescent="0.3">
      <c r="B4989" s="69"/>
      <c r="C4989" s="55"/>
      <c r="D4989" s="70"/>
      <c r="G4989" s="78"/>
    </row>
    <row r="4990" spans="2:7" x14ac:dyDescent="0.3">
      <c r="B4990" s="69"/>
      <c r="C4990" s="55"/>
      <c r="D4990" s="70"/>
      <c r="G4990" s="78"/>
    </row>
    <row r="4991" spans="2:7" x14ac:dyDescent="0.3">
      <c r="B4991" s="69"/>
      <c r="C4991" s="55"/>
      <c r="D4991" s="70"/>
      <c r="G4991" s="78"/>
    </row>
    <row r="4992" spans="2:7" x14ac:dyDescent="0.3">
      <c r="B4992" s="69"/>
      <c r="C4992" s="55"/>
      <c r="D4992" s="70"/>
      <c r="G4992" s="78"/>
    </row>
    <row r="4993" spans="2:7" x14ac:dyDescent="0.3">
      <c r="B4993" s="69"/>
      <c r="C4993" s="55"/>
      <c r="D4993" s="70"/>
      <c r="G4993" s="78"/>
    </row>
    <row r="4994" spans="2:7" x14ac:dyDescent="0.3">
      <c r="B4994" s="69"/>
      <c r="C4994" s="55"/>
      <c r="D4994" s="70"/>
      <c r="G4994" s="78"/>
    </row>
    <row r="4995" spans="2:7" x14ac:dyDescent="0.3">
      <c r="B4995" s="69"/>
      <c r="C4995" s="55"/>
      <c r="D4995" s="70"/>
      <c r="G4995" s="78"/>
    </row>
    <row r="4996" spans="2:7" x14ac:dyDescent="0.3">
      <c r="B4996" s="69"/>
      <c r="C4996" s="55"/>
      <c r="D4996" s="70"/>
      <c r="G4996" s="78"/>
    </row>
    <row r="4997" spans="2:7" x14ac:dyDescent="0.3">
      <c r="B4997" s="69"/>
      <c r="C4997" s="55"/>
      <c r="D4997" s="70"/>
      <c r="G4997" s="78"/>
    </row>
    <row r="4998" spans="2:7" x14ac:dyDescent="0.3">
      <c r="B4998" s="69"/>
      <c r="C4998" s="55"/>
      <c r="D4998" s="70"/>
      <c r="G4998" s="78"/>
    </row>
    <row r="4999" spans="2:7" x14ac:dyDescent="0.3">
      <c r="B4999" s="69"/>
      <c r="C4999" s="55"/>
      <c r="D4999" s="70"/>
      <c r="G4999" s="78"/>
    </row>
    <row r="5000" spans="2:7" x14ac:dyDescent="0.3">
      <c r="B5000" s="69"/>
      <c r="C5000" s="55"/>
      <c r="D5000" s="70"/>
      <c r="G5000" s="78"/>
    </row>
    <row r="5001" spans="2:7" x14ac:dyDescent="0.3">
      <c r="B5001" s="69"/>
      <c r="C5001" s="55"/>
      <c r="D5001" s="70"/>
      <c r="G5001" s="78"/>
    </row>
    <row r="5002" spans="2:7" x14ac:dyDescent="0.3">
      <c r="B5002" s="69"/>
      <c r="C5002" s="55"/>
      <c r="D5002" s="70"/>
      <c r="G5002" s="78"/>
    </row>
    <row r="5003" spans="2:7" x14ac:dyDescent="0.3">
      <c r="B5003" s="69"/>
      <c r="C5003" s="55"/>
      <c r="D5003" s="70"/>
      <c r="G5003" s="78"/>
    </row>
    <row r="5004" spans="2:7" x14ac:dyDescent="0.3">
      <c r="B5004" s="69"/>
      <c r="C5004" s="55"/>
      <c r="D5004" s="70"/>
      <c r="G5004" s="78"/>
    </row>
    <row r="5005" spans="2:7" x14ac:dyDescent="0.3">
      <c r="B5005" s="69"/>
      <c r="C5005" s="55"/>
      <c r="D5005" s="70"/>
      <c r="G5005" s="78"/>
    </row>
    <row r="5006" spans="2:7" x14ac:dyDescent="0.3">
      <c r="B5006" s="69"/>
      <c r="C5006" s="55"/>
      <c r="D5006" s="70"/>
      <c r="G5006" s="78"/>
    </row>
    <row r="5007" spans="2:7" x14ac:dyDescent="0.3">
      <c r="B5007" s="69"/>
      <c r="C5007" s="55"/>
      <c r="D5007" s="70"/>
      <c r="G5007" s="78"/>
    </row>
    <row r="5008" spans="2:7" x14ac:dyDescent="0.3">
      <c r="B5008" s="69"/>
      <c r="C5008" s="55"/>
      <c r="D5008" s="70"/>
      <c r="G5008" s="78"/>
    </row>
    <row r="5009" spans="2:7" x14ac:dyDescent="0.3">
      <c r="B5009" s="69"/>
      <c r="C5009" s="55"/>
      <c r="D5009" s="70"/>
      <c r="G5009" s="78"/>
    </row>
    <row r="5010" spans="2:7" x14ac:dyDescent="0.3">
      <c r="B5010" s="69"/>
      <c r="C5010" s="55"/>
      <c r="D5010" s="70"/>
      <c r="G5010" s="78"/>
    </row>
    <row r="5011" spans="2:7" x14ac:dyDescent="0.3">
      <c r="B5011" s="69"/>
      <c r="C5011" s="55"/>
      <c r="D5011" s="70"/>
      <c r="G5011" s="78"/>
    </row>
    <row r="5012" spans="2:7" x14ac:dyDescent="0.3">
      <c r="B5012" s="69"/>
      <c r="C5012" s="55"/>
      <c r="D5012" s="70"/>
      <c r="G5012" s="78"/>
    </row>
    <row r="5013" spans="2:7" x14ac:dyDescent="0.3">
      <c r="B5013" s="69"/>
      <c r="C5013" s="55"/>
      <c r="D5013" s="70"/>
      <c r="G5013" s="78"/>
    </row>
    <row r="5014" spans="2:7" x14ac:dyDescent="0.3">
      <c r="B5014" s="69"/>
      <c r="C5014" s="55"/>
      <c r="D5014" s="70"/>
      <c r="G5014" s="78"/>
    </row>
    <row r="5015" spans="2:7" x14ac:dyDescent="0.3">
      <c r="B5015" s="69"/>
      <c r="C5015" s="55"/>
      <c r="D5015" s="70"/>
      <c r="G5015" s="78"/>
    </row>
    <row r="5016" spans="2:7" x14ac:dyDescent="0.3">
      <c r="B5016" s="69"/>
      <c r="C5016" s="55"/>
      <c r="D5016" s="70"/>
      <c r="G5016" s="78"/>
    </row>
    <row r="5017" spans="2:7" x14ac:dyDescent="0.3">
      <c r="B5017" s="69"/>
      <c r="C5017" s="55"/>
      <c r="D5017" s="70"/>
      <c r="G5017" s="78"/>
    </row>
    <row r="5018" spans="2:7" x14ac:dyDescent="0.3">
      <c r="B5018" s="69"/>
      <c r="C5018" s="55"/>
      <c r="D5018" s="70"/>
      <c r="G5018" s="78"/>
    </row>
    <row r="5019" spans="2:7" x14ac:dyDescent="0.3">
      <c r="B5019" s="69"/>
      <c r="C5019" s="55"/>
      <c r="D5019" s="70"/>
      <c r="G5019" s="78"/>
    </row>
    <row r="5020" spans="2:7" x14ac:dyDescent="0.3">
      <c r="B5020" s="69"/>
      <c r="C5020" s="55"/>
      <c r="D5020" s="70"/>
      <c r="G5020" s="78"/>
    </row>
    <row r="5021" spans="2:7" x14ac:dyDescent="0.3">
      <c r="B5021" s="69"/>
      <c r="C5021" s="55"/>
      <c r="D5021" s="70"/>
      <c r="G5021" s="78"/>
    </row>
    <row r="5022" spans="2:7" x14ac:dyDescent="0.3">
      <c r="B5022" s="69"/>
      <c r="C5022" s="55"/>
      <c r="D5022" s="70"/>
      <c r="G5022" s="78"/>
    </row>
    <row r="5023" spans="2:7" x14ac:dyDescent="0.3">
      <c r="B5023" s="69"/>
      <c r="C5023" s="55"/>
      <c r="D5023" s="70"/>
      <c r="G5023" s="78"/>
    </row>
    <row r="5024" spans="2:7" x14ac:dyDescent="0.3">
      <c r="B5024" s="69"/>
      <c r="C5024" s="55"/>
      <c r="D5024" s="70"/>
      <c r="G5024" s="78"/>
    </row>
    <row r="5025" spans="2:7" x14ac:dyDescent="0.3">
      <c r="B5025" s="69"/>
      <c r="C5025" s="55"/>
      <c r="D5025" s="70"/>
      <c r="G5025" s="78"/>
    </row>
    <row r="5026" spans="2:7" x14ac:dyDescent="0.3">
      <c r="B5026" s="69"/>
      <c r="C5026" s="55"/>
      <c r="D5026" s="70"/>
      <c r="G5026" s="78"/>
    </row>
    <row r="5027" spans="2:7" x14ac:dyDescent="0.3">
      <c r="B5027" s="69"/>
      <c r="C5027" s="55"/>
      <c r="D5027" s="70"/>
      <c r="G5027" s="78"/>
    </row>
    <row r="5028" spans="2:7" x14ac:dyDescent="0.3">
      <c r="B5028" s="69"/>
      <c r="C5028" s="55"/>
      <c r="D5028" s="70"/>
      <c r="G5028" s="78"/>
    </row>
    <row r="5029" spans="2:7" x14ac:dyDescent="0.3">
      <c r="B5029" s="69"/>
      <c r="C5029" s="55"/>
      <c r="D5029" s="70"/>
      <c r="G5029" s="78"/>
    </row>
    <row r="5030" spans="2:7" x14ac:dyDescent="0.3">
      <c r="B5030" s="69"/>
      <c r="C5030" s="55"/>
      <c r="D5030" s="70"/>
      <c r="G5030" s="78"/>
    </row>
    <row r="5031" spans="2:7" x14ac:dyDescent="0.3">
      <c r="B5031" s="69"/>
      <c r="C5031" s="55"/>
      <c r="D5031" s="70"/>
      <c r="G5031" s="78"/>
    </row>
    <row r="5032" spans="2:7" x14ac:dyDescent="0.3">
      <c r="B5032" s="69"/>
      <c r="C5032" s="55"/>
      <c r="D5032" s="70"/>
      <c r="G5032" s="78"/>
    </row>
    <row r="5033" spans="2:7" x14ac:dyDescent="0.3">
      <c r="B5033" s="69"/>
      <c r="C5033" s="55"/>
      <c r="D5033" s="70"/>
      <c r="G5033" s="78"/>
    </row>
    <row r="5034" spans="2:7" x14ac:dyDescent="0.3">
      <c r="B5034" s="69"/>
      <c r="C5034" s="55"/>
      <c r="D5034" s="70"/>
      <c r="G5034" s="78"/>
    </row>
    <row r="5035" spans="2:7" x14ac:dyDescent="0.3">
      <c r="B5035" s="69"/>
      <c r="C5035" s="55"/>
      <c r="D5035" s="70"/>
      <c r="G5035" s="78"/>
    </row>
    <row r="5036" spans="2:7" x14ac:dyDescent="0.3">
      <c r="B5036" s="69"/>
      <c r="C5036" s="55"/>
      <c r="D5036" s="70"/>
      <c r="G5036" s="78"/>
    </row>
    <row r="5037" spans="2:7" x14ac:dyDescent="0.3">
      <c r="B5037" s="69"/>
      <c r="C5037" s="55"/>
      <c r="D5037" s="70"/>
      <c r="G5037" s="78"/>
    </row>
    <row r="5038" spans="2:7" x14ac:dyDescent="0.3">
      <c r="B5038" s="69"/>
      <c r="C5038" s="55"/>
      <c r="D5038" s="70"/>
      <c r="G5038" s="78"/>
    </row>
    <row r="5039" spans="2:7" x14ac:dyDescent="0.3">
      <c r="B5039" s="69"/>
      <c r="C5039" s="55"/>
      <c r="D5039" s="70"/>
      <c r="G5039" s="78"/>
    </row>
    <row r="5040" spans="2:7" x14ac:dyDescent="0.3">
      <c r="B5040" s="69"/>
      <c r="C5040" s="55"/>
      <c r="D5040" s="70"/>
      <c r="G5040" s="78"/>
    </row>
    <row r="5041" spans="2:7" x14ac:dyDescent="0.3">
      <c r="B5041" s="69"/>
      <c r="C5041" s="55"/>
      <c r="D5041" s="70"/>
      <c r="G5041" s="78"/>
    </row>
    <row r="5042" spans="2:7" x14ac:dyDescent="0.3">
      <c r="B5042" s="69"/>
      <c r="C5042" s="55"/>
      <c r="D5042" s="70"/>
      <c r="G5042" s="78"/>
    </row>
    <row r="5043" spans="2:7" x14ac:dyDescent="0.3">
      <c r="B5043" s="69"/>
      <c r="C5043" s="55"/>
      <c r="D5043" s="70"/>
      <c r="G5043" s="78"/>
    </row>
    <row r="5044" spans="2:7" x14ac:dyDescent="0.3">
      <c r="B5044" s="69"/>
      <c r="C5044" s="55"/>
      <c r="D5044" s="70"/>
      <c r="G5044" s="78"/>
    </row>
    <row r="5045" spans="2:7" x14ac:dyDescent="0.3">
      <c r="B5045" s="69"/>
      <c r="C5045" s="55"/>
      <c r="D5045" s="70"/>
      <c r="G5045" s="78"/>
    </row>
    <row r="5046" spans="2:7" x14ac:dyDescent="0.3">
      <c r="B5046" s="69"/>
      <c r="C5046" s="55"/>
      <c r="D5046" s="70"/>
      <c r="G5046" s="78"/>
    </row>
    <row r="5047" spans="2:7" x14ac:dyDescent="0.3">
      <c r="B5047" s="69"/>
      <c r="C5047" s="55"/>
      <c r="D5047" s="70"/>
      <c r="G5047" s="78"/>
    </row>
    <row r="5048" spans="2:7" x14ac:dyDescent="0.3">
      <c r="B5048" s="69"/>
      <c r="C5048" s="55"/>
      <c r="D5048" s="70"/>
      <c r="G5048" s="78"/>
    </row>
    <row r="5049" spans="2:7" x14ac:dyDescent="0.3">
      <c r="B5049" s="69"/>
      <c r="C5049" s="55"/>
      <c r="D5049" s="70"/>
      <c r="G5049" s="78"/>
    </row>
    <row r="5050" spans="2:7" x14ac:dyDescent="0.3">
      <c r="B5050" s="69"/>
      <c r="C5050" s="55"/>
      <c r="D5050" s="70"/>
      <c r="G5050" s="78"/>
    </row>
    <row r="5051" spans="2:7" x14ac:dyDescent="0.3">
      <c r="B5051" s="69"/>
      <c r="C5051" s="55"/>
      <c r="D5051" s="70"/>
      <c r="G5051" s="78"/>
    </row>
    <row r="5052" spans="2:7" x14ac:dyDescent="0.3">
      <c r="B5052" s="69"/>
      <c r="C5052" s="55"/>
      <c r="D5052" s="70"/>
      <c r="G5052" s="78"/>
    </row>
    <row r="5053" spans="2:7" x14ac:dyDescent="0.3">
      <c r="B5053" s="69"/>
      <c r="C5053" s="55"/>
      <c r="D5053" s="70"/>
      <c r="G5053" s="78"/>
    </row>
    <row r="5054" spans="2:7" x14ac:dyDescent="0.3">
      <c r="B5054" s="69"/>
      <c r="C5054" s="55"/>
      <c r="D5054" s="70"/>
      <c r="G5054" s="78"/>
    </row>
    <row r="5055" spans="2:7" x14ac:dyDescent="0.3">
      <c r="B5055" s="69"/>
      <c r="C5055" s="55"/>
      <c r="D5055" s="70"/>
      <c r="G5055" s="78"/>
    </row>
    <row r="5056" spans="2:7" x14ac:dyDescent="0.3">
      <c r="B5056" s="69"/>
      <c r="C5056" s="55"/>
      <c r="D5056" s="70"/>
      <c r="G5056" s="78"/>
    </row>
    <row r="5057" spans="2:7" x14ac:dyDescent="0.3">
      <c r="B5057" s="69"/>
      <c r="C5057" s="55"/>
      <c r="D5057" s="70"/>
      <c r="G5057" s="78"/>
    </row>
    <row r="5058" spans="2:7" x14ac:dyDescent="0.3">
      <c r="B5058" s="69"/>
      <c r="C5058" s="55"/>
      <c r="D5058" s="70"/>
      <c r="G5058" s="78"/>
    </row>
    <row r="5059" spans="2:7" x14ac:dyDescent="0.3">
      <c r="B5059" s="69"/>
      <c r="C5059" s="55"/>
      <c r="D5059" s="70"/>
      <c r="G5059" s="78"/>
    </row>
    <row r="5060" spans="2:7" x14ac:dyDescent="0.3">
      <c r="B5060" s="69"/>
      <c r="C5060" s="55"/>
      <c r="D5060" s="70"/>
      <c r="G5060" s="78"/>
    </row>
    <row r="5061" spans="2:7" x14ac:dyDescent="0.3">
      <c r="B5061" s="69"/>
      <c r="C5061" s="55"/>
      <c r="D5061" s="70"/>
      <c r="G5061" s="78"/>
    </row>
    <row r="5062" spans="2:7" x14ac:dyDescent="0.3">
      <c r="B5062" s="69"/>
      <c r="C5062" s="55"/>
      <c r="D5062" s="70"/>
      <c r="G5062" s="78"/>
    </row>
    <row r="5063" spans="2:7" x14ac:dyDescent="0.3">
      <c r="B5063" s="69"/>
      <c r="C5063" s="55"/>
      <c r="D5063" s="70"/>
      <c r="G5063" s="78"/>
    </row>
    <row r="5064" spans="2:7" x14ac:dyDescent="0.3">
      <c r="B5064" s="69"/>
      <c r="C5064" s="55"/>
      <c r="D5064" s="70"/>
      <c r="G5064" s="78"/>
    </row>
    <row r="5065" spans="2:7" x14ac:dyDescent="0.3">
      <c r="B5065" s="69"/>
      <c r="C5065" s="55"/>
      <c r="D5065" s="70"/>
      <c r="G5065" s="78"/>
    </row>
    <row r="5066" spans="2:7" x14ac:dyDescent="0.3">
      <c r="B5066" s="69"/>
      <c r="C5066" s="55"/>
      <c r="D5066" s="70"/>
      <c r="G5066" s="78"/>
    </row>
    <row r="5067" spans="2:7" x14ac:dyDescent="0.3">
      <c r="B5067" s="69"/>
      <c r="C5067" s="55"/>
      <c r="D5067" s="70"/>
      <c r="G5067" s="78"/>
    </row>
    <row r="5068" spans="2:7" x14ac:dyDescent="0.3">
      <c r="B5068" s="69"/>
      <c r="C5068" s="55"/>
      <c r="D5068" s="70"/>
      <c r="G5068" s="78"/>
    </row>
    <row r="5069" spans="2:7" x14ac:dyDescent="0.3">
      <c r="B5069" s="69"/>
      <c r="C5069" s="55"/>
      <c r="D5069" s="70"/>
      <c r="G5069" s="78"/>
    </row>
    <row r="5070" spans="2:7" x14ac:dyDescent="0.3">
      <c r="B5070" s="69"/>
      <c r="C5070" s="55"/>
      <c r="D5070" s="70"/>
      <c r="G5070" s="78"/>
    </row>
    <row r="5071" spans="2:7" x14ac:dyDescent="0.3">
      <c r="B5071" s="69"/>
      <c r="C5071" s="55"/>
      <c r="D5071" s="70"/>
      <c r="G5071" s="78"/>
    </row>
    <row r="5072" spans="2:7" x14ac:dyDescent="0.3">
      <c r="B5072" s="69"/>
      <c r="C5072" s="55"/>
      <c r="D5072" s="70"/>
      <c r="G5072" s="78"/>
    </row>
    <row r="5073" spans="2:7" x14ac:dyDescent="0.3">
      <c r="B5073" s="69"/>
      <c r="C5073" s="55"/>
      <c r="D5073" s="70"/>
      <c r="G5073" s="78"/>
    </row>
    <row r="5074" spans="2:7" x14ac:dyDescent="0.3">
      <c r="B5074" s="69"/>
      <c r="C5074" s="55"/>
      <c r="D5074" s="70"/>
      <c r="G5074" s="78"/>
    </row>
    <row r="5075" spans="2:7" x14ac:dyDescent="0.3">
      <c r="B5075" s="69"/>
      <c r="C5075" s="55"/>
      <c r="D5075" s="70"/>
      <c r="G5075" s="78"/>
    </row>
    <row r="5076" spans="2:7" x14ac:dyDescent="0.3">
      <c r="B5076" s="69"/>
      <c r="C5076" s="55"/>
      <c r="D5076" s="70"/>
      <c r="G5076" s="78"/>
    </row>
    <row r="5077" spans="2:7" x14ac:dyDescent="0.3">
      <c r="B5077" s="69"/>
      <c r="C5077" s="55"/>
      <c r="D5077" s="70"/>
      <c r="G5077" s="78"/>
    </row>
    <row r="5078" spans="2:7" x14ac:dyDescent="0.3">
      <c r="B5078" s="69"/>
      <c r="C5078" s="55"/>
      <c r="D5078" s="70"/>
      <c r="G5078" s="78"/>
    </row>
    <row r="5079" spans="2:7" x14ac:dyDescent="0.3">
      <c r="B5079" s="69"/>
      <c r="C5079" s="55"/>
      <c r="D5079" s="70"/>
      <c r="G5079" s="78"/>
    </row>
    <row r="5080" spans="2:7" x14ac:dyDescent="0.3">
      <c r="B5080" s="69"/>
      <c r="C5080" s="55"/>
      <c r="D5080" s="70"/>
      <c r="G5080" s="78"/>
    </row>
    <row r="5081" spans="2:7" x14ac:dyDescent="0.3">
      <c r="B5081" s="69"/>
      <c r="C5081" s="55"/>
      <c r="D5081" s="70"/>
      <c r="G5081" s="78"/>
    </row>
    <row r="5082" spans="2:7" x14ac:dyDescent="0.3">
      <c r="B5082" s="69"/>
      <c r="C5082" s="55"/>
      <c r="D5082" s="70"/>
      <c r="G5082" s="78"/>
    </row>
    <row r="5083" spans="2:7" x14ac:dyDescent="0.3">
      <c r="B5083" s="69"/>
      <c r="C5083" s="55"/>
      <c r="D5083" s="70"/>
      <c r="G5083" s="78"/>
    </row>
    <row r="5084" spans="2:7" x14ac:dyDescent="0.3">
      <c r="B5084" s="69"/>
      <c r="C5084" s="55"/>
      <c r="D5084" s="70"/>
      <c r="G5084" s="78"/>
    </row>
    <row r="5085" spans="2:7" x14ac:dyDescent="0.3">
      <c r="B5085" s="69"/>
      <c r="C5085" s="55"/>
      <c r="D5085" s="70"/>
      <c r="G5085" s="78"/>
    </row>
    <row r="5086" spans="2:7" x14ac:dyDescent="0.3">
      <c r="B5086" s="69"/>
      <c r="C5086" s="55"/>
      <c r="D5086" s="70"/>
      <c r="G5086" s="78"/>
    </row>
    <row r="5087" spans="2:7" x14ac:dyDescent="0.3">
      <c r="B5087" s="69"/>
      <c r="C5087" s="55"/>
      <c r="D5087" s="70"/>
      <c r="G5087" s="78"/>
    </row>
    <row r="5088" spans="2:7" x14ac:dyDescent="0.3">
      <c r="B5088" s="69"/>
      <c r="C5088" s="55"/>
      <c r="D5088" s="70"/>
      <c r="G5088" s="78"/>
    </row>
    <row r="5089" spans="2:7" x14ac:dyDescent="0.3">
      <c r="B5089" s="69"/>
      <c r="C5089" s="55"/>
      <c r="D5089" s="70"/>
      <c r="G5089" s="78"/>
    </row>
    <row r="5090" spans="2:7" x14ac:dyDescent="0.3">
      <c r="B5090" s="69"/>
      <c r="C5090" s="55"/>
      <c r="D5090" s="70"/>
      <c r="G5090" s="78"/>
    </row>
    <row r="5091" spans="2:7" x14ac:dyDescent="0.3">
      <c r="B5091" s="69"/>
      <c r="C5091" s="55"/>
      <c r="D5091" s="70"/>
      <c r="G5091" s="78"/>
    </row>
    <row r="5092" spans="2:7" x14ac:dyDescent="0.3">
      <c r="B5092" s="69"/>
      <c r="C5092" s="55"/>
      <c r="D5092" s="70"/>
      <c r="G5092" s="78"/>
    </row>
    <row r="5093" spans="2:7" x14ac:dyDescent="0.3">
      <c r="B5093" s="69"/>
      <c r="C5093" s="55"/>
      <c r="D5093" s="70"/>
      <c r="G5093" s="78"/>
    </row>
    <row r="5094" spans="2:7" x14ac:dyDescent="0.3">
      <c r="B5094" s="69"/>
      <c r="C5094" s="55"/>
      <c r="D5094" s="70"/>
      <c r="G5094" s="78"/>
    </row>
    <row r="5095" spans="2:7" x14ac:dyDescent="0.3">
      <c r="B5095" s="69"/>
      <c r="C5095" s="55"/>
      <c r="D5095" s="70"/>
      <c r="G5095" s="78"/>
    </row>
    <row r="5096" spans="2:7" x14ac:dyDescent="0.3">
      <c r="B5096" s="69"/>
      <c r="C5096" s="55"/>
      <c r="D5096" s="70"/>
      <c r="G5096" s="78"/>
    </row>
    <row r="5097" spans="2:7" x14ac:dyDescent="0.3">
      <c r="B5097" s="69"/>
      <c r="C5097" s="55"/>
      <c r="D5097" s="70"/>
      <c r="G5097" s="78"/>
    </row>
    <row r="5098" spans="2:7" x14ac:dyDescent="0.3">
      <c r="B5098" s="69"/>
      <c r="C5098" s="55"/>
      <c r="D5098" s="70"/>
      <c r="G5098" s="78"/>
    </row>
    <row r="5099" spans="2:7" x14ac:dyDescent="0.3">
      <c r="B5099" s="69"/>
      <c r="C5099" s="55"/>
      <c r="D5099" s="70"/>
      <c r="G5099" s="78"/>
    </row>
    <row r="5100" spans="2:7" x14ac:dyDescent="0.3">
      <c r="B5100" s="69"/>
      <c r="C5100" s="55"/>
      <c r="D5100" s="70"/>
      <c r="G5100" s="78"/>
    </row>
    <row r="5101" spans="2:7" x14ac:dyDescent="0.3">
      <c r="B5101" s="69"/>
      <c r="C5101" s="55"/>
      <c r="D5101" s="70"/>
      <c r="G5101" s="78"/>
    </row>
    <row r="5102" spans="2:7" x14ac:dyDescent="0.3">
      <c r="B5102" s="69"/>
      <c r="C5102" s="55"/>
      <c r="D5102" s="70"/>
      <c r="G5102" s="78"/>
    </row>
    <row r="5103" spans="2:7" x14ac:dyDescent="0.3">
      <c r="B5103" s="69"/>
      <c r="C5103" s="55"/>
      <c r="D5103" s="70"/>
      <c r="G5103" s="78"/>
    </row>
    <row r="5104" spans="2:7" x14ac:dyDescent="0.3">
      <c r="B5104" s="69"/>
      <c r="C5104" s="55"/>
      <c r="D5104" s="70"/>
      <c r="G5104" s="78"/>
    </row>
    <row r="5105" spans="2:7" x14ac:dyDescent="0.3">
      <c r="B5105" s="69"/>
      <c r="C5105" s="55"/>
      <c r="D5105" s="70"/>
      <c r="G5105" s="78"/>
    </row>
    <row r="5106" spans="2:7" x14ac:dyDescent="0.3">
      <c r="B5106" s="69"/>
      <c r="C5106" s="55"/>
      <c r="D5106" s="70"/>
      <c r="G5106" s="78"/>
    </row>
    <row r="5107" spans="2:7" x14ac:dyDescent="0.3">
      <c r="B5107" s="69"/>
      <c r="C5107" s="55"/>
      <c r="D5107" s="70"/>
      <c r="G5107" s="78"/>
    </row>
    <row r="5108" spans="2:7" x14ac:dyDescent="0.3">
      <c r="B5108" s="69"/>
      <c r="C5108" s="55"/>
      <c r="D5108" s="70"/>
      <c r="G5108" s="78"/>
    </row>
    <row r="5109" spans="2:7" x14ac:dyDescent="0.3">
      <c r="B5109" s="69"/>
      <c r="C5109" s="55"/>
      <c r="D5109" s="70"/>
      <c r="G5109" s="78"/>
    </row>
    <row r="5110" spans="2:7" x14ac:dyDescent="0.3">
      <c r="B5110" s="69"/>
      <c r="C5110" s="55"/>
      <c r="D5110" s="70"/>
      <c r="G5110" s="78"/>
    </row>
    <row r="5111" spans="2:7" x14ac:dyDescent="0.3">
      <c r="B5111" s="69"/>
      <c r="C5111" s="55"/>
      <c r="D5111" s="70"/>
      <c r="G5111" s="78"/>
    </row>
    <row r="5112" spans="2:7" x14ac:dyDescent="0.3">
      <c r="B5112" s="69"/>
      <c r="C5112" s="55"/>
      <c r="D5112" s="70"/>
      <c r="G5112" s="78"/>
    </row>
    <row r="5113" spans="2:7" x14ac:dyDescent="0.3">
      <c r="B5113" s="69"/>
      <c r="C5113" s="55"/>
      <c r="D5113" s="70"/>
      <c r="G5113" s="78"/>
    </row>
    <row r="5114" spans="2:7" x14ac:dyDescent="0.3">
      <c r="B5114" s="69"/>
      <c r="C5114" s="55"/>
      <c r="D5114" s="70"/>
      <c r="G5114" s="78"/>
    </row>
    <row r="5115" spans="2:7" x14ac:dyDescent="0.3">
      <c r="B5115" s="69"/>
      <c r="C5115" s="55"/>
      <c r="D5115" s="70"/>
      <c r="G5115" s="78"/>
    </row>
    <row r="5116" spans="2:7" x14ac:dyDescent="0.3">
      <c r="B5116" s="69"/>
      <c r="C5116" s="55"/>
      <c r="D5116" s="70"/>
      <c r="G5116" s="78"/>
    </row>
    <row r="5117" spans="2:7" x14ac:dyDescent="0.3">
      <c r="B5117" s="69"/>
      <c r="C5117" s="55"/>
      <c r="D5117" s="70"/>
      <c r="G5117" s="78"/>
    </row>
    <row r="5118" spans="2:7" x14ac:dyDescent="0.3">
      <c r="B5118" s="69"/>
      <c r="C5118" s="55"/>
      <c r="D5118" s="70"/>
      <c r="G5118" s="78"/>
    </row>
    <row r="5119" spans="2:7" x14ac:dyDescent="0.3">
      <c r="B5119" s="69"/>
      <c r="C5119" s="55"/>
      <c r="D5119" s="70"/>
      <c r="G5119" s="78"/>
    </row>
    <row r="5120" spans="2:7" x14ac:dyDescent="0.3">
      <c r="B5120" s="69"/>
      <c r="C5120" s="55"/>
      <c r="D5120" s="70"/>
      <c r="G5120" s="78"/>
    </row>
    <row r="5121" spans="2:7" x14ac:dyDescent="0.3">
      <c r="B5121" s="69"/>
      <c r="C5121" s="55"/>
      <c r="D5121" s="70"/>
      <c r="G5121" s="78"/>
    </row>
    <row r="5122" spans="2:7" x14ac:dyDescent="0.3">
      <c r="B5122" s="69"/>
      <c r="C5122" s="55"/>
      <c r="D5122" s="70"/>
      <c r="G5122" s="78"/>
    </row>
    <row r="5123" spans="2:7" x14ac:dyDescent="0.3">
      <c r="B5123" s="69"/>
      <c r="C5123" s="55"/>
      <c r="D5123" s="70"/>
      <c r="G5123" s="78"/>
    </row>
    <row r="5124" spans="2:7" x14ac:dyDescent="0.3">
      <c r="B5124" s="69"/>
      <c r="C5124" s="55"/>
      <c r="D5124" s="70"/>
      <c r="G5124" s="78"/>
    </row>
    <row r="5125" spans="2:7" x14ac:dyDescent="0.3">
      <c r="B5125" s="69"/>
      <c r="C5125" s="55"/>
      <c r="D5125" s="70"/>
      <c r="G5125" s="78"/>
    </row>
    <row r="5126" spans="2:7" x14ac:dyDescent="0.3">
      <c r="B5126" s="69"/>
      <c r="C5126" s="55"/>
      <c r="D5126" s="70"/>
      <c r="G5126" s="78"/>
    </row>
    <row r="5127" spans="2:7" x14ac:dyDescent="0.3">
      <c r="B5127" s="69"/>
      <c r="C5127" s="55"/>
      <c r="D5127" s="70"/>
      <c r="G5127" s="78"/>
    </row>
    <row r="5128" spans="2:7" x14ac:dyDescent="0.3">
      <c r="B5128" s="69"/>
      <c r="C5128" s="55"/>
      <c r="D5128" s="70"/>
      <c r="G5128" s="78"/>
    </row>
    <row r="5129" spans="2:7" x14ac:dyDescent="0.3">
      <c r="B5129" s="69"/>
      <c r="C5129" s="55"/>
      <c r="D5129" s="70"/>
      <c r="G5129" s="78"/>
    </row>
    <row r="5130" spans="2:7" x14ac:dyDescent="0.3">
      <c r="B5130" s="69"/>
      <c r="C5130" s="55"/>
      <c r="D5130" s="70"/>
      <c r="G5130" s="78"/>
    </row>
    <row r="5131" spans="2:7" x14ac:dyDescent="0.3">
      <c r="B5131" s="69"/>
      <c r="C5131" s="55"/>
      <c r="D5131" s="70"/>
      <c r="G5131" s="78"/>
    </row>
    <row r="5132" spans="2:7" x14ac:dyDescent="0.3">
      <c r="B5132" s="69"/>
      <c r="C5132" s="55"/>
      <c r="D5132" s="70"/>
      <c r="G5132" s="78"/>
    </row>
    <row r="5133" spans="2:7" x14ac:dyDescent="0.3">
      <c r="B5133" s="69"/>
      <c r="C5133" s="55"/>
      <c r="D5133" s="70"/>
      <c r="G5133" s="78"/>
    </row>
    <row r="5134" spans="2:7" x14ac:dyDescent="0.3">
      <c r="B5134" s="69"/>
      <c r="C5134" s="55"/>
      <c r="D5134" s="70"/>
      <c r="G5134" s="78"/>
    </row>
    <row r="5135" spans="2:7" x14ac:dyDescent="0.3">
      <c r="B5135" s="69"/>
      <c r="C5135" s="55"/>
      <c r="D5135" s="70"/>
      <c r="G5135" s="78"/>
    </row>
    <row r="5136" spans="2:7" x14ac:dyDescent="0.3">
      <c r="B5136" s="69"/>
      <c r="C5136" s="55"/>
      <c r="D5136" s="70"/>
      <c r="G5136" s="78"/>
    </row>
    <row r="5137" spans="2:7" x14ac:dyDescent="0.3">
      <c r="B5137" s="69"/>
      <c r="C5137" s="55"/>
      <c r="D5137" s="70"/>
      <c r="G5137" s="78"/>
    </row>
    <row r="5138" spans="2:7" x14ac:dyDescent="0.3">
      <c r="B5138" s="69"/>
      <c r="C5138" s="55"/>
      <c r="D5138" s="70"/>
      <c r="G5138" s="78"/>
    </row>
    <row r="5139" spans="2:7" x14ac:dyDescent="0.3">
      <c r="B5139" s="69"/>
      <c r="C5139" s="55"/>
      <c r="D5139" s="70"/>
      <c r="G5139" s="78"/>
    </row>
    <row r="5140" spans="2:7" x14ac:dyDescent="0.3">
      <c r="B5140" s="69"/>
      <c r="C5140" s="55"/>
      <c r="D5140" s="70"/>
      <c r="G5140" s="78"/>
    </row>
    <row r="5141" spans="2:7" x14ac:dyDescent="0.3">
      <c r="B5141" s="69"/>
      <c r="C5141" s="55"/>
      <c r="D5141" s="70"/>
      <c r="G5141" s="78"/>
    </row>
    <row r="5142" spans="2:7" x14ac:dyDescent="0.3">
      <c r="B5142" s="69"/>
      <c r="C5142" s="55"/>
      <c r="D5142" s="70"/>
      <c r="G5142" s="78"/>
    </row>
    <row r="5143" spans="2:7" x14ac:dyDescent="0.3">
      <c r="B5143" s="69"/>
      <c r="C5143" s="55"/>
      <c r="D5143" s="70"/>
      <c r="G5143" s="78"/>
    </row>
    <row r="5144" spans="2:7" x14ac:dyDescent="0.3">
      <c r="B5144" s="69"/>
      <c r="C5144" s="55"/>
      <c r="D5144" s="70"/>
      <c r="G5144" s="78"/>
    </row>
    <row r="5145" spans="2:7" x14ac:dyDescent="0.3">
      <c r="B5145" s="69"/>
      <c r="C5145" s="55"/>
      <c r="D5145" s="70"/>
      <c r="G5145" s="78"/>
    </row>
    <row r="5146" spans="2:7" x14ac:dyDescent="0.3">
      <c r="B5146" s="69"/>
      <c r="C5146" s="55"/>
      <c r="D5146" s="70"/>
      <c r="G5146" s="78"/>
    </row>
    <row r="5147" spans="2:7" x14ac:dyDescent="0.3">
      <c r="B5147" s="69"/>
      <c r="C5147" s="55"/>
      <c r="D5147" s="70"/>
      <c r="G5147" s="78"/>
    </row>
    <row r="5148" spans="2:7" x14ac:dyDescent="0.3">
      <c r="B5148" s="69"/>
      <c r="C5148" s="55"/>
      <c r="D5148" s="70"/>
      <c r="G5148" s="78"/>
    </row>
    <row r="5149" spans="2:7" x14ac:dyDescent="0.3">
      <c r="B5149" s="69"/>
      <c r="C5149" s="55"/>
      <c r="D5149" s="70"/>
      <c r="G5149" s="78"/>
    </row>
    <row r="5150" spans="2:7" x14ac:dyDescent="0.3">
      <c r="B5150" s="69"/>
      <c r="C5150" s="55"/>
      <c r="D5150" s="70"/>
      <c r="G5150" s="78"/>
    </row>
    <row r="5151" spans="2:7" x14ac:dyDescent="0.3">
      <c r="B5151" s="69"/>
      <c r="C5151" s="55"/>
      <c r="D5151" s="70"/>
      <c r="G5151" s="78"/>
    </row>
    <row r="5152" spans="2:7" x14ac:dyDescent="0.3">
      <c r="B5152" s="69"/>
      <c r="C5152" s="55"/>
      <c r="D5152" s="70"/>
      <c r="G5152" s="78"/>
    </row>
    <row r="5153" spans="2:7" x14ac:dyDescent="0.3">
      <c r="B5153" s="69"/>
      <c r="C5153" s="55"/>
      <c r="D5153" s="70"/>
      <c r="G5153" s="78"/>
    </row>
    <row r="5154" spans="2:7" x14ac:dyDescent="0.3">
      <c r="B5154" s="69"/>
      <c r="C5154" s="55"/>
      <c r="D5154" s="70"/>
      <c r="G5154" s="78"/>
    </row>
    <row r="5155" spans="2:7" x14ac:dyDescent="0.3">
      <c r="B5155" s="69"/>
      <c r="C5155" s="55"/>
      <c r="D5155" s="70"/>
      <c r="G5155" s="78"/>
    </row>
    <row r="5156" spans="2:7" x14ac:dyDescent="0.3">
      <c r="B5156" s="69"/>
      <c r="C5156" s="55"/>
      <c r="D5156" s="70"/>
      <c r="G5156" s="78"/>
    </row>
    <row r="5157" spans="2:7" x14ac:dyDescent="0.3">
      <c r="B5157" s="69"/>
      <c r="C5157" s="55"/>
      <c r="D5157" s="70"/>
      <c r="G5157" s="78"/>
    </row>
    <row r="5158" spans="2:7" x14ac:dyDescent="0.3">
      <c r="B5158" s="69"/>
      <c r="C5158" s="55"/>
      <c r="D5158" s="70"/>
      <c r="G5158" s="78"/>
    </row>
    <row r="5159" spans="2:7" x14ac:dyDescent="0.3">
      <c r="B5159" s="69"/>
      <c r="C5159" s="55"/>
      <c r="D5159" s="70"/>
      <c r="G5159" s="78"/>
    </row>
    <row r="5160" spans="2:7" x14ac:dyDescent="0.3">
      <c r="B5160" s="69"/>
      <c r="C5160" s="55"/>
      <c r="D5160" s="70"/>
      <c r="G5160" s="78"/>
    </row>
    <row r="5161" spans="2:7" x14ac:dyDescent="0.3">
      <c r="B5161" s="69"/>
      <c r="C5161" s="55"/>
      <c r="D5161" s="70"/>
      <c r="G5161" s="78"/>
    </row>
    <row r="5162" spans="2:7" x14ac:dyDescent="0.3">
      <c r="B5162" s="69"/>
      <c r="C5162" s="55"/>
      <c r="D5162" s="70"/>
      <c r="G5162" s="78"/>
    </row>
    <row r="5163" spans="2:7" x14ac:dyDescent="0.3">
      <c r="B5163" s="69"/>
      <c r="C5163" s="55"/>
      <c r="D5163" s="70"/>
      <c r="G5163" s="78"/>
    </row>
    <row r="5164" spans="2:7" x14ac:dyDescent="0.3">
      <c r="B5164" s="69"/>
      <c r="C5164" s="55"/>
      <c r="D5164" s="70"/>
      <c r="G5164" s="78"/>
    </row>
    <row r="5165" spans="2:7" x14ac:dyDescent="0.3">
      <c r="B5165" s="69"/>
      <c r="C5165" s="55"/>
      <c r="D5165" s="70"/>
      <c r="G5165" s="78"/>
    </row>
    <row r="5166" spans="2:7" x14ac:dyDescent="0.3">
      <c r="B5166" s="69"/>
      <c r="C5166" s="55"/>
      <c r="D5166" s="70"/>
      <c r="G5166" s="78"/>
    </row>
    <row r="5167" spans="2:7" x14ac:dyDescent="0.3">
      <c r="B5167" s="69"/>
      <c r="C5167" s="55"/>
      <c r="D5167" s="70"/>
      <c r="G5167" s="78"/>
    </row>
    <row r="5168" spans="2:7" x14ac:dyDescent="0.3">
      <c r="B5168" s="69"/>
      <c r="C5168" s="55"/>
      <c r="D5168" s="70"/>
      <c r="G5168" s="78"/>
    </row>
    <row r="5169" spans="2:7" x14ac:dyDescent="0.3">
      <c r="B5169" s="69"/>
      <c r="C5169" s="55"/>
      <c r="D5169" s="70"/>
      <c r="G5169" s="78"/>
    </row>
    <row r="5170" spans="2:7" x14ac:dyDescent="0.3">
      <c r="B5170" s="69"/>
      <c r="C5170" s="55"/>
      <c r="D5170" s="70"/>
      <c r="G5170" s="78"/>
    </row>
    <row r="5171" spans="2:7" x14ac:dyDescent="0.3">
      <c r="B5171" s="69"/>
      <c r="C5171" s="55"/>
      <c r="D5171" s="70"/>
      <c r="G5171" s="78"/>
    </row>
    <row r="5172" spans="2:7" x14ac:dyDescent="0.3">
      <c r="B5172" s="69"/>
      <c r="C5172" s="55"/>
      <c r="D5172" s="70"/>
      <c r="G5172" s="78"/>
    </row>
    <row r="5173" spans="2:7" x14ac:dyDescent="0.3">
      <c r="B5173" s="69"/>
      <c r="C5173" s="55"/>
      <c r="D5173" s="70"/>
      <c r="G5173" s="78"/>
    </row>
    <row r="5174" spans="2:7" x14ac:dyDescent="0.3">
      <c r="B5174" s="69"/>
      <c r="C5174" s="55"/>
      <c r="D5174" s="70"/>
      <c r="G5174" s="78"/>
    </row>
    <row r="5175" spans="2:7" x14ac:dyDescent="0.3">
      <c r="B5175" s="69"/>
      <c r="C5175" s="55"/>
      <c r="D5175" s="70"/>
      <c r="G5175" s="78"/>
    </row>
    <row r="5176" spans="2:7" x14ac:dyDescent="0.3">
      <c r="B5176" s="69"/>
      <c r="C5176" s="55"/>
      <c r="D5176" s="70"/>
      <c r="G5176" s="78"/>
    </row>
    <row r="5177" spans="2:7" x14ac:dyDescent="0.3">
      <c r="B5177" s="69"/>
      <c r="C5177" s="55"/>
      <c r="D5177" s="70"/>
      <c r="G5177" s="78"/>
    </row>
    <row r="5178" spans="2:7" x14ac:dyDescent="0.3">
      <c r="B5178" s="69"/>
      <c r="C5178" s="55"/>
      <c r="D5178" s="70"/>
      <c r="G5178" s="78"/>
    </row>
    <row r="5179" spans="2:7" x14ac:dyDescent="0.3">
      <c r="B5179" s="69"/>
      <c r="C5179" s="55"/>
      <c r="D5179" s="70"/>
      <c r="G5179" s="78"/>
    </row>
    <row r="5180" spans="2:7" x14ac:dyDescent="0.3">
      <c r="B5180" s="69"/>
      <c r="C5180" s="55"/>
      <c r="D5180" s="70"/>
      <c r="G5180" s="78"/>
    </row>
    <row r="5181" spans="2:7" x14ac:dyDescent="0.3">
      <c r="B5181" s="69"/>
      <c r="C5181" s="55"/>
      <c r="D5181" s="70"/>
      <c r="G5181" s="78"/>
    </row>
    <row r="5182" spans="2:7" x14ac:dyDescent="0.3">
      <c r="B5182" s="69"/>
      <c r="C5182" s="55"/>
      <c r="D5182" s="70"/>
      <c r="G5182" s="78"/>
    </row>
    <row r="5183" spans="2:7" x14ac:dyDescent="0.3">
      <c r="B5183" s="69"/>
      <c r="C5183" s="55"/>
      <c r="D5183" s="70"/>
      <c r="G5183" s="78"/>
    </row>
    <row r="5184" spans="2:7" x14ac:dyDescent="0.3">
      <c r="B5184" s="69"/>
      <c r="C5184" s="55"/>
      <c r="D5184" s="70"/>
      <c r="G5184" s="78"/>
    </row>
    <row r="5185" spans="2:8" x14ac:dyDescent="0.3">
      <c r="B5185" s="69"/>
      <c r="C5185" s="55"/>
      <c r="G5185" s="78"/>
    </row>
    <row r="5186" spans="2:8" x14ac:dyDescent="0.3">
      <c r="G5186" s="78">
        <v>5183</v>
      </c>
      <c r="H5186">
        <f t="shared" ref="H5186:H5187" ca="1" si="75">_xlfn.NORM.INV(RAND(),$N$4,$N$5)</f>
        <v>-2.9744497809835315E-2</v>
      </c>
    </row>
    <row r="5187" spans="2:8" x14ac:dyDescent="0.3">
      <c r="G5187" s="78">
        <v>5184</v>
      </c>
      <c r="H5187">
        <f t="shared" ca="1" si="75"/>
        <v>1.656466457866455E-2</v>
      </c>
    </row>
    <row r="5188" spans="2:8" x14ac:dyDescent="0.3">
      <c r="G5188" s="78">
        <v>5185</v>
      </c>
      <c r="H5188">
        <f t="shared" ref="H5188:H5251" ca="1" si="76">_xlfn.NORM.INV(RAND(),$N$4,$N$5)</f>
        <v>7.6838918024010154E-3</v>
      </c>
    </row>
    <row r="5189" spans="2:8" x14ac:dyDescent="0.3">
      <c r="G5189" s="78">
        <v>5186</v>
      </c>
      <c r="H5189">
        <f t="shared" ca="1" si="76"/>
        <v>-1.1053603635613748E-2</v>
      </c>
    </row>
    <row r="5190" spans="2:8" x14ac:dyDescent="0.3">
      <c r="G5190" s="78">
        <v>5187</v>
      </c>
      <c r="H5190">
        <f t="shared" ca="1" si="76"/>
        <v>-5.5498086096059654E-3</v>
      </c>
    </row>
    <row r="5191" spans="2:8" x14ac:dyDescent="0.3">
      <c r="G5191" s="78">
        <v>5188</v>
      </c>
      <c r="H5191">
        <f t="shared" ca="1" si="76"/>
        <v>-2.6752733780079942E-2</v>
      </c>
    </row>
    <row r="5192" spans="2:8" x14ac:dyDescent="0.3">
      <c r="G5192" s="78">
        <v>5189</v>
      </c>
      <c r="H5192">
        <f t="shared" ca="1" si="76"/>
        <v>5.0432339600493266E-2</v>
      </c>
    </row>
    <row r="5193" spans="2:8" x14ac:dyDescent="0.3">
      <c r="G5193" s="78">
        <v>5190</v>
      </c>
      <c r="H5193">
        <f t="shared" ca="1" si="76"/>
        <v>1.063739841513394E-2</v>
      </c>
    </row>
    <row r="5194" spans="2:8" x14ac:dyDescent="0.3">
      <c r="G5194" s="78">
        <v>5191</v>
      </c>
      <c r="H5194">
        <f t="shared" ca="1" si="76"/>
        <v>-7.706030107531116E-3</v>
      </c>
    </row>
    <row r="5195" spans="2:8" x14ac:dyDescent="0.3">
      <c r="G5195" s="78">
        <v>5192</v>
      </c>
      <c r="H5195">
        <f t="shared" ca="1" si="76"/>
        <v>-6.6305119576343325E-3</v>
      </c>
    </row>
    <row r="5196" spans="2:8" x14ac:dyDescent="0.3">
      <c r="G5196" s="78">
        <v>5193</v>
      </c>
      <c r="H5196">
        <f t="shared" ca="1" si="76"/>
        <v>2.1942743147620448E-2</v>
      </c>
    </row>
    <row r="5197" spans="2:8" x14ac:dyDescent="0.3">
      <c r="G5197" s="78">
        <v>5194</v>
      </c>
      <c r="H5197">
        <f t="shared" ca="1" si="76"/>
        <v>3.5464840055424392E-2</v>
      </c>
    </row>
    <row r="5198" spans="2:8" x14ac:dyDescent="0.3">
      <c r="G5198" s="78">
        <v>5195</v>
      </c>
      <c r="H5198">
        <f t="shared" ca="1" si="76"/>
        <v>-5.7202839099082126E-3</v>
      </c>
    </row>
    <row r="5199" spans="2:8" x14ac:dyDescent="0.3">
      <c r="G5199" s="78">
        <v>5196</v>
      </c>
      <c r="H5199">
        <f t="shared" ca="1" si="76"/>
        <v>-3.30505866841245E-2</v>
      </c>
    </row>
    <row r="5200" spans="2:8" x14ac:dyDescent="0.3">
      <c r="G5200" s="78">
        <v>5197</v>
      </c>
      <c r="H5200">
        <f t="shared" ca="1" si="76"/>
        <v>-2.1864109841670469E-2</v>
      </c>
    </row>
    <row r="5201" spans="7:8" x14ac:dyDescent="0.3">
      <c r="G5201" s="78">
        <v>5198</v>
      </c>
      <c r="H5201">
        <f t="shared" ca="1" si="76"/>
        <v>1.6482632583047638E-2</v>
      </c>
    </row>
    <row r="5202" spans="7:8" x14ac:dyDescent="0.3">
      <c r="G5202" s="78">
        <v>5199</v>
      </c>
      <c r="H5202">
        <f t="shared" ca="1" si="76"/>
        <v>-7.135943104498276E-3</v>
      </c>
    </row>
    <row r="5203" spans="7:8" x14ac:dyDescent="0.3">
      <c r="G5203" s="78">
        <v>5200</v>
      </c>
      <c r="H5203">
        <f t="shared" ca="1" si="76"/>
        <v>6.4646779564214562E-3</v>
      </c>
    </row>
    <row r="5204" spans="7:8" x14ac:dyDescent="0.3">
      <c r="G5204" s="78">
        <v>5201</v>
      </c>
      <c r="H5204">
        <f t="shared" ca="1" si="76"/>
        <v>5.2889234106948792E-3</v>
      </c>
    </row>
    <row r="5205" spans="7:8" x14ac:dyDescent="0.3">
      <c r="G5205" s="78">
        <v>5202</v>
      </c>
      <c r="H5205">
        <f t="shared" ca="1" si="76"/>
        <v>-1.0447317693429317E-2</v>
      </c>
    </row>
    <row r="5206" spans="7:8" x14ac:dyDescent="0.3">
      <c r="G5206" s="78">
        <v>5203</v>
      </c>
      <c r="H5206">
        <f t="shared" ca="1" si="76"/>
        <v>1.2742155767952301E-2</v>
      </c>
    </row>
    <row r="5207" spans="7:8" x14ac:dyDescent="0.3">
      <c r="G5207" s="78">
        <v>5204</v>
      </c>
      <c r="H5207">
        <f t="shared" ca="1" si="76"/>
        <v>4.8468361930134041E-3</v>
      </c>
    </row>
    <row r="5208" spans="7:8" x14ac:dyDescent="0.3">
      <c r="G5208" s="78">
        <v>5205</v>
      </c>
      <c r="H5208">
        <f t="shared" ca="1" si="76"/>
        <v>-2.6532151330921995E-2</v>
      </c>
    </row>
    <row r="5209" spans="7:8" x14ac:dyDescent="0.3">
      <c r="G5209" s="78">
        <v>5206</v>
      </c>
      <c r="H5209">
        <f t="shared" ca="1" si="76"/>
        <v>5.5301205035845789E-3</v>
      </c>
    </row>
    <row r="5210" spans="7:8" x14ac:dyDescent="0.3">
      <c r="G5210" s="78">
        <v>5207</v>
      </c>
      <c r="H5210">
        <f t="shared" ca="1" si="76"/>
        <v>-2.8836480220851935E-2</v>
      </c>
    </row>
    <row r="5211" spans="7:8" x14ac:dyDescent="0.3">
      <c r="G5211" s="78">
        <v>5208</v>
      </c>
      <c r="H5211">
        <f t="shared" ca="1" si="76"/>
        <v>-1.8392211857296267E-2</v>
      </c>
    </row>
    <row r="5212" spans="7:8" x14ac:dyDescent="0.3">
      <c r="G5212" s="78">
        <v>5209</v>
      </c>
      <c r="H5212">
        <f t="shared" ca="1" si="76"/>
        <v>3.3359867069524454E-3</v>
      </c>
    </row>
    <row r="5213" spans="7:8" x14ac:dyDescent="0.3">
      <c r="G5213" s="78">
        <v>5210</v>
      </c>
      <c r="H5213">
        <f t="shared" ca="1" si="76"/>
        <v>-3.2828383510605436E-2</v>
      </c>
    </row>
    <row r="5214" spans="7:8" x14ac:dyDescent="0.3">
      <c r="G5214" s="78">
        <v>5211</v>
      </c>
      <c r="H5214">
        <f t="shared" ca="1" si="76"/>
        <v>1.9572847433286175E-2</v>
      </c>
    </row>
    <row r="5215" spans="7:8" x14ac:dyDescent="0.3">
      <c r="G5215" s="78">
        <v>5212</v>
      </c>
      <c r="H5215">
        <f t="shared" ca="1" si="76"/>
        <v>-3.8550922491288339E-3</v>
      </c>
    </row>
    <row r="5216" spans="7:8" x14ac:dyDescent="0.3">
      <c r="G5216" s="78">
        <v>5213</v>
      </c>
      <c r="H5216">
        <f t="shared" ca="1" si="76"/>
        <v>1.8592678618359348E-2</v>
      </c>
    </row>
    <row r="5217" spans="7:8" x14ac:dyDescent="0.3">
      <c r="G5217" s="78">
        <v>5214</v>
      </c>
      <c r="H5217">
        <f t="shared" ca="1" si="76"/>
        <v>1.2281901392884055E-2</v>
      </c>
    </row>
    <row r="5218" spans="7:8" x14ac:dyDescent="0.3">
      <c r="G5218" s="78">
        <v>5215</v>
      </c>
      <c r="H5218">
        <f t="shared" ca="1" si="76"/>
        <v>4.3337758152896299E-4</v>
      </c>
    </row>
    <row r="5219" spans="7:8" x14ac:dyDescent="0.3">
      <c r="G5219" s="78">
        <v>5216</v>
      </c>
      <c r="H5219">
        <f t="shared" ca="1" si="76"/>
        <v>-5.9056015781351677E-4</v>
      </c>
    </row>
    <row r="5220" spans="7:8" x14ac:dyDescent="0.3">
      <c r="G5220" s="78">
        <v>5217</v>
      </c>
      <c r="H5220">
        <f t="shared" ca="1" si="76"/>
        <v>4.2201855137390387E-2</v>
      </c>
    </row>
    <row r="5221" spans="7:8" x14ac:dyDescent="0.3">
      <c r="G5221" s="78">
        <v>5218</v>
      </c>
      <c r="H5221">
        <f t="shared" ca="1" si="76"/>
        <v>1.0620881374614423E-2</v>
      </c>
    </row>
    <row r="5222" spans="7:8" x14ac:dyDescent="0.3">
      <c r="G5222" s="78">
        <v>5219</v>
      </c>
      <c r="H5222">
        <f t="shared" ca="1" si="76"/>
        <v>-3.4497319429289269E-3</v>
      </c>
    </row>
    <row r="5223" spans="7:8" x14ac:dyDescent="0.3">
      <c r="G5223" s="78">
        <v>5220</v>
      </c>
      <c r="H5223">
        <f t="shared" ca="1" si="76"/>
        <v>1.1161529036469053E-2</v>
      </c>
    </row>
    <row r="5224" spans="7:8" x14ac:dyDescent="0.3">
      <c r="G5224" s="78">
        <v>5221</v>
      </c>
      <c r="H5224">
        <f t="shared" ca="1" si="76"/>
        <v>-3.1135688279658312E-2</v>
      </c>
    </row>
    <row r="5225" spans="7:8" x14ac:dyDescent="0.3">
      <c r="G5225" s="78">
        <v>5222</v>
      </c>
      <c r="H5225">
        <f t="shared" ca="1" si="76"/>
        <v>8.7440827467383034E-3</v>
      </c>
    </row>
    <row r="5226" spans="7:8" x14ac:dyDescent="0.3">
      <c r="G5226" s="78">
        <v>5223</v>
      </c>
      <c r="H5226">
        <f t="shared" ca="1" si="76"/>
        <v>-3.841627492226684E-2</v>
      </c>
    </row>
    <row r="5227" spans="7:8" x14ac:dyDescent="0.3">
      <c r="G5227" s="78">
        <v>5224</v>
      </c>
      <c r="H5227">
        <f t="shared" ca="1" si="76"/>
        <v>-1.8910954829671634E-2</v>
      </c>
    </row>
    <row r="5228" spans="7:8" x14ac:dyDescent="0.3">
      <c r="G5228" s="78">
        <v>5225</v>
      </c>
      <c r="H5228">
        <f t="shared" ca="1" si="76"/>
        <v>-1.9305042857071079E-2</v>
      </c>
    </row>
    <row r="5229" spans="7:8" x14ac:dyDescent="0.3">
      <c r="G5229" s="78">
        <v>5226</v>
      </c>
      <c r="H5229">
        <f t="shared" ca="1" si="76"/>
        <v>1.1765399117483611E-2</v>
      </c>
    </row>
    <row r="5230" spans="7:8" x14ac:dyDescent="0.3">
      <c r="G5230" s="78">
        <v>5227</v>
      </c>
      <c r="H5230">
        <f t="shared" ca="1" si="76"/>
        <v>1.8261799643926054E-2</v>
      </c>
    </row>
    <row r="5231" spans="7:8" x14ac:dyDescent="0.3">
      <c r="G5231" s="78">
        <v>5228</v>
      </c>
      <c r="H5231">
        <f t="shared" ca="1" si="76"/>
        <v>5.0111095821234897E-3</v>
      </c>
    </row>
    <row r="5232" spans="7:8" x14ac:dyDescent="0.3">
      <c r="G5232" s="78">
        <v>5229</v>
      </c>
      <c r="H5232">
        <f t="shared" ca="1" si="76"/>
        <v>3.0011654831133518E-2</v>
      </c>
    </row>
    <row r="5233" spans="7:8" x14ac:dyDescent="0.3">
      <c r="G5233" s="78">
        <v>5230</v>
      </c>
      <c r="H5233">
        <f t="shared" ca="1" si="76"/>
        <v>-6.1039802191057884E-3</v>
      </c>
    </row>
    <row r="5234" spans="7:8" x14ac:dyDescent="0.3">
      <c r="G5234" s="78">
        <v>5231</v>
      </c>
      <c r="H5234">
        <f t="shared" ca="1" si="76"/>
        <v>-7.118962295163849E-4</v>
      </c>
    </row>
    <row r="5235" spans="7:8" x14ac:dyDescent="0.3">
      <c r="G5235" s="78">
        <v>5232</v>
      </c>
      <c r="H5235">
        <f t="shared" ca="1" si="76"/>
        <v>-7.9193564535531228E-3</v>
      </c>
    </row>
    <row r="5236" spans="7:8" x14ac:dyDescent="0.3">
      <c r="G5236" s="78">
        <v>5233</v>
      </c>
      <c r="H5236">
        <f t="shared" ca="1" si="76"/>
        <v>-2.6903165936471799E-3</v>
      </c>
    </row>
    <row r="5237" spans="7:8" x14ac:dyDescent="0.3">
      <c r="G5237" s="78">
        <v>5234</v>
      </c>
      <c r="H5237">
        <f t="shared" ca="1" si="76"/>
        <v>1.9848453065653238E-2</v>
      </c>
    </row>
    <row r="5238" spans="7:8" x14ac:dyDescent="0.3">
      <c r="G5238" s="78">
        <v>5235</v>
      </c>
      <c r="H5238">
        <f t="shared" ca="1" si="76"/>
        <v>1.4932266913622828E-2</v>
      </c>
    </row>
    <row r="5239" spans="7:8" x14ac:dyDescent="0.3">
      <c r="G5239" s="78">
        <v>5236</v>
      </c>
      <c r="H5239">
        <f t="shared" ca="1" si="76"/>
        <v>1.1306531772866404E-2</v>
      </c>
    </row>
    <row r="5240" spans="7:8" x14ac:dyDescent="0.3">
      <c r="G5240" s="78">
        <v>5237</v>
      </c>
      <c r="H5240">
        <f t="shared" ca="1" si="76"/>
        <v>-1.5854228720794131E-2</v>
      </c>
    </row>
    <row r="5241" spans="7:8" x14ac:dyDescent="0.3">
      <c r="G5241" s="78">
        <v>5238</v>
      </c>
      <c r="H5241">
        <f t="shared" ca="1" si="76"/>
        <v>-2.7602671884074156E-2</v>
      </c>
    </row>
    <row r="5242" spans="7:8" x14ac:dyDescent="0.3">
      <c r="G5242" s="78">
        <v>5239</v>
      </c>
      <c r="H5242">
        <f t="shared" ca="1" si="76"/>
        <v>1.579297741947314E-2</v>
      </c>
    </row>
    <row r="5243" spans="7:8" x14ac:dyDescent="0.3">
      <c r="G5243" s="78">
        <v>5240</v>
      </c>
      <c r="H5243">
        <f t="shared" ca="1" si="76"/>
        <v>1.0208266807257995E-2</v>
      </c>
    </row>
    <row r="5244" spans="7:8" x14ac:dyDescent="0.3">
      <c r="G5244" s="78">
        <v>5241</v>
      </c>
      <c r="H5244">
        <f t="shared" ca="1" si="76"/>
        <v>1.4777859759008397E-2</v>
      </c>
    </row>
    <row r="5245" spans="7:8" x14ac:dyDescent="0.3">
      <c r="G5245" s="78">
        <v>5242</v>
      </c>
      <c r="H5245">
        <f t="shared" ca="1" si="76"/>
        <v>-1.6294682406749097E-3</v>
      </c>
    </row>
    <row r="5246" spans="7:8" x14ac:dyDescent="0.3">
      <c r="G5246" s="78">
        <v>5243</v>
      </c>
      <c r="H5246">
        <f t="shared" ca="1" si="76"/>
        <v>1.4722753902933886E-2</v>
      </c>
    </row>
    <row r="5247" spans="7:8" x14ac:dyDescent="0.3">
      <c r="G5247" s="78">
        <v>5244</v>
      </c>
      <c r="H5247">
        <f t="shared" ca="1" si="76"/>
        <v>-1.6066586681357329E-2</v>
      </c>
    </row>
    <row r="5248" spans="7:8" x14ac:dyDescent="0.3">
      <c r="G5248" s="78">
        <v>5245</v>
      </c>
      <c r="H5248">
        <f t="shared" ca="1" si="76"/>
        <v>2.2014900682644323E-2</v>
      </c>
    </row>
    <row r="5249" spans="7:8" x14ac:dyDescent="0.3">
      <c r="G5249" s="78">
        <v>5246</v>
      </c>
      <c r="H5249">
        <f t="shared" ca="1" si="76"/>
        <v>1.577670934827078E-2</v>
      </c>
    </row>
    <row r="5250" spans="7:8" x14ac:dyDescent="0.3">
      <c r="G5250" s="78">
        <v>5247</v>
      </c>
      <c r="H5250">
        <f t="shared" ca="1" si="76"/>
        <v>-4.502376508537799E-2</v>
      </c>
    </row>
    <row r="5251" spans="7:8" x14ac:dyDescent="0.3">
      <c r="G5251" s="78">
        <v>5248</v>
      </c>
      <c r="H5251">
        <f t="shared" ca="1" si="76"/>
        <v>4.2730153916982531E-2</v>
      </c>
    </row>
    <row r="5252" spans="7:8" x14ac:dyDescent="0.3">
      <c r="G5252" s="78">
        <v>5249</v>
      </c>
      <c r="H5252">
        <f t="shared" ref="H5252:H5315" ca="1" si="77">_xlfn.NORM.INV(RAND(),$N$4,$N$5)</f>
        <v>1.4741194985406929E-2</v>
      </c>
    </row>
    <row r="5253" spans="7:8" x14ac:dyDescent="0.3">
      <c r="G5253" s="78">
        <v>5250</v>
      </c>
      <c r="H5253">
        <f t="shared" ca="1" si="77"/>
        <v>-1.0334879242076546E-2</v>
      </c>
    </row>
    <row r="5254" spans="7:8" x14ac:dyDescent="0.3">
      <c r="G5254" s="78">
        <v>5251</v>
      </c>
      <c r="H5254">
        <f t="shared" ca="1" si="77"/>
        <v>-1.4936490971061077E-2</v>
      </c>
    </row>
    <row r="5255" spans="7:8" x14ac:dyDescent="0.3">
      <c r="G5255" s="78">
        <v>5252</v>
      </c>
      <c r="H5255">
        <f t="shared" ca="1" si="77"/>
        <v>-7.5188039972856448E-3</v>
      </c>
    </row>
    <row r="5256" spans="7:8" x14ac:dyDescent="0.3">
      <c r="G5256" s="78">
        <v>5253</v>
      </c>
      <c r="H5256">
        <f t="shared" ca="1" si="77"/>
        <v>-9.2464863286309054E-3</v>
      </c>
    </row>
    <row r="5257" spans="7:8" x14ac:dyDescent="0.3">
      <c r="G5257" s="78">
        <v>5254</v>
      </c>
      <c r="H5257">
        <f t="shared" ca="1" si="77"/>
        <v>1.4972332814716778E-2</v>
      </c>
    </row>
    <row r="5258" spans="7:8" x14ac:dyDescent="0.3">
      <c r="G5258" s="78">
        <v>5255</v>
      </c>
      <c r="H5258">
        <f t="shared" ca="1" si="77"/>
        <v>3.5432263639449527E-2</v>
      </c>
    </row>
    <row r="5259" spans="7:8" x14ac:dyDescent="0.3">
      <c r="G5259" s="78">
        <v>5256</v>
      </c>
      <c r="H5259">
        <f t="shared" ca="1" si="77"/>
        <v>-6.9703534393476081E-3</v>
      </c>
    </row>
    <row r="5260" spans="7:8" x14ac:dyDescent="0.3">
      <c r="G5260" s="78">
        <v>5257</v>
      </c>
      <c r="H5260">
        <f t="shared" ca="1" si="77"/>
        <v>-3.229158286661022E-2</v>
      </c>
    </row>
    <row r="5261" spans="7:8" x14ac:dyDescent="0.3">
      <c r="G5261" s="78">
        <v>5258</v>
      </c>
      <c r="H5261">
        <f t="shared" ca="1" si="77"/>
        <v>-6.7570739967405266E-3</v>
      </c>
    </row>
    <row r="5262" spans="7:8" x14ac:dyDescent="0.3">
      <c r="G5262" s="78">
        <v>5259</v>
      </c>
      <c r="H5262">
        <f t="shared" ca="1" si="77"/>
        <v>3.1275215704059098E-2</v>
      </c>
    </row>
    <row r="5263" spans="7:8" x14ac:dyDescent="0.3">
      <c r="G5263" s="78">
        <v>5260</v>
      </c>
      <c r="H5263">
        <f t="shared" ca="1" si="77"/>
        <v>1.4232847719753092E-2</v>
      </c>
    </row>
    <row r="5264" spans="7:8" x14ac:dyDescent="0.3">
      <c r="G5264" s="78">
        <v>5261</v>
      </c>
      <c r="H5264">
        <f t="shared" ca="1" si="77"/>
        <v>-1.3715850082382556E-2</v>
      </c>
    </row>
    <row r="5265" spans="7:8" x14ac:dyDescent="0.3">
      <c r="G5265" s="78">
        <v>5262</v>
      </c>
      <c r="H5265">
        <f t="shared" ca="1" si="77"/>
        <v>1.8549308376989582E-2</v>
      </c>
    </row>
    <row r="5266" spans="7:8" x14ac:dyDescent="0.3">
      <c r="G5266" s="78">
        <v>5263</v>
      </c>
      <c r="H5266">
        <f t="shared" ca="1" si="77"/>
        <v>-3.0959740201520702E-2</v>
      </c>
    </row>
    <row r="5267" spans="7:8" x14ac:dyDescent="0.3">
      <c r="G5267" s="78">
        <v>5264</v>
      </c>
      <c r="H5267">
        <f t="shared" ca="1" si="77"/>
        <v>2.4401839919445459E-3</v>
      </c>
    </row>
    <row r="5268" spans="7:8" x14ac:dyDescent="0.3">
      <c r="G5268" s="78">
        <v>5265</v>
      </c>
      <c r="H5268">
        <f t="shared" ca="1" si="77"/>
        <v>6.4174555219136788E-3</v>
      </c>
    </row>
    <row r="5269" spans="7:8" x14ac:dyDescent="0.3">
      <c r="G5269" s="78">
        <v>5266</v>
      </c>
      <c r="H5269">
        <f t="shared" ca="1" si="77"/>
        <v>1.1799261201355426E-3</v>
      </c>
    </row>
    <row r="5270" spans="7:8" x14ac:dyDescent="0.3">
      <c r="G5270" s="78">
        <v>5267</v>
      </c>
      <c r="H5270">
        <f t="shared" ca="1" si="77"/>
        <v>1.6331647345937714E-2</v>
      </c>
    </row>
    <row r="5271" spans="7:8" x14ac:dyDescent="0.3">
      <c r="G5271" s="78">
        <v>5268</v>
      </c>
      <c r="H5271">
        <f t="shared" ca="1" si="77"/>
        <v>-2.6028475643325246E-2</v>
      </c>
    </row>
    <row r="5272" spans="7:8" x14ac:dyDescent="0.3">
      <c r="G5272" s="78">
        <v>5269</v>
      </c>
      <c r="H5272">
        <f t="shared" ca="1" si="77"/>
        <v>-1.4596972620834219E-2</v>
      </c>
    </row>
    <row r="5273" spans="7:8" x14ac:dyDescent="0.3">
      <c r="G5273" s="78">
        <v>5270</v>
      </c>
      <c r="H5273">
        <f t="shared" ca="1" si="77"/>
        <v>7.3203799682534307E-3</v>
      </c>
    </row>
    <row r="5274" spans="7:8" x14ac:dyDescent="0.3">
      <c r="G5274" s="78">
        <v>5271</v>
      </c>
      <c r="H5274">
        <f t="shared" ca="1" si="77"/>
        <v>9.0353134878198606E-3</v>
      </c>
    </row>
    <row r="5275" spans="7:8" x14ac:dyDescent="0.3">
      <c r="G5275" s="78">
        <v>5272</v>
      </c>
      <c r="H5275">
        <f t="shared" ca="1" si="77"/>
        <v>-8.7573482477576736E-3</v>
      </c>
    </row>
    <row r="5276" spans="7:8" x14ac:dyDescent="0.3">
      <c r="G5276" s="78">
        <v>5273</v>
      </c>
      <c r="H5276">
        <f t="shared" ca="1" si="77"/>
        <v>-1.6604995157159482E-3</v>
      </c>
    </row>
    <row r="5277" spans="7:8" x14ac:dyDescent="0.3">
      <c r="G5277" s="78">
        <v>5274</v>
      </c>
      <c r="H5277">
        <f t="shared" ca="1" si="77"/>
        <v>-1.9246731386948875E-2</v>
      </c>
    </row>
    <row r="5278" spans="7:8" x14ac:dyDescent="0.3">
      <c r="G5278" s="78">
        <v>5275</v>
      </c>
      <c r="H5278">
        <f t="shared" ca="1" si="77"/>
        <v>5.944817382372976E-3</v>
      </c>
    </row>
    <row r="5279" spans="7:8" x14ac:dyDescent="0.3">
      <c r="G5279" s="78">
        <v>5276</v>
      </c>
      <c r="H5279">
        <f t="shared" ca="1" si="77"/>
        <v>-6.3948195833288669E-4</v>
      </c>
    </row>
    <row r="5280" spans="7:8" x14ac:dyDescent="0.3">
      <c r="G5280" s="78">
        <v>5277</v>
      </c>
      <c r="H5280">
        <f t="shared" ca="1" si="77"/>
        <v>2.9676648824453134E-2</v>
      </c>
    </row>
    <row r="5281" spans="7:8" x14ac:dyDescent="0.3">
      <c r="G5281" s="78">
        <v>5278</v>
      </c>
      <c r="H5281">
        <f t="shared" ca="1" si="77"/>
        <v>1.3256136601834688E-2</v>
      </c>
    </row>
    <row r="5282" spans="7:8" x14ac:dyDescent="0.3">
      <c r="G5282" s="78">
        <v>5279</v>
      </c>
      <c r="H5282">
        <f t="shared" ca="1" si="77"/>
        <v>-6.7341260889458411E-3</v>
      </c>
    </row>
    <row r="5283" spans="7:8" x14ac:dyDescent="0.3">
      <c r="G5283" s="78">
        <v>5280</v>
      </c>
      <c r="H5283">
        <f t="shared" ca="1" si="77"/>
        <v>-9.4665454630472596E-4</v>
      </c>
    </row>
    <row r="5284" spans="7:8" x14ac:dyDescent="0.3">
      <c r="G5284" s="78">
        <v>5281</v>
      </c>
      <c r="H5284">
        <f t="shared" ca="1" si="77"/>
        <v>4.8250570017823777E-2</v>
      </c>
    </row>
    <row r="5285" spans="7:8" x14ac:dyDescent="0.3">
      <c r="G5285" s="78">
        <v>5282</v>
      </c>
      <c r="H5285">
        <f t="shared" ca="1" si="77"/>
        <v>5.6886460769324408E-3</v>
      </c>
    </row>
    <row r="5286" spans="7:8" x14ac:dyDescent="0.3">
      <c r="G5286" s="78">
        <v>5283</v>
      </c>
      <c r="H5286">
        <f t="shared" ca="1" si="77"/>
        <v>-3.2794324173911898E-3</v>
      </c>
    </row>
    <row r="5287" spans="7:8" x14ac:dyDescent="0.3">
      <c r="G5287" s="78">
        <v>5284</v>
      </c>
      <c r="H5287">
        <f t="shared" ca="1" si="77"/>
        <v>2.725957741985496E-2</v>
      </c>
    </row>
    <row r="5288" spans="7:8" x14ac:dyDescent="0.3">
      <c r="G5288" s="78">
        <v>5285</v>
      </c>
      <c r="H5288">
        <f t="shared" ca="1" si="77"/>
        <v>1.5845195338200058E-2</v>
      </c>
    </row>
    <row r="5289" spans="7:8" x14ac:dyDescent="0.3">
      <c r="G5289" s="78">
        <v>5286</v>
      </c>
      <c r="H5289">
        <f t="shared" ca="1" si="77"/>
        <v>2.3092256371232557E-2</v>
      </c>
    </row>
    <row r="5290" spans="7:8" x14ac:dyDescent="0.3">
      <c r="G5290" s="78">
        <v>5287</v>
      </c>
      <c r="H5290">
        <f t="shared" ca="1" si="77"/>
        <v>1.1432564327477097E-2</v>
      </c>
    </row>
    <row r="5291" spans="7:8" x14ac:dyDescent="0.3">
      <c r="G5291" s="78">
        <v>5288</v>
      </c>
      <c r="H5291">
        <f t="shared" ca="1" si="77"/>
        <v>2.9706071653374754E-2</v>
      </c>
    </row>
    <row r="5292" spans="7:8" x14ac:dyDescent="0.3">
      <c r="G5292" s="78">
        <v>5289</v>
      </c>
      <c r="H5292">
        <f t="shared" ca="1" si="77"/>
        <v>-1.898683095963485E-2</v>
      </c>
    </row>
    <row r="5293" spans="7:8" x14ac:dyDescent="0.3">
      <c r="G5293" s="78">
        <v>5290</v>
      </c>
      <c r="H5293">
        <f t="shared" ca="1" si="77"/>
        <v>-5.2431340274561302E-3</v>
      </c>
    </row>
    <row r="5294" spans="7:8" x14ac:dyDescent="0.3">
      <c r="G5294" s="78">
        <v>5291</v>
      </c>
      <c r="H5294">
        <f t="shared" ca="1" si="77"/>
        <v>2.2526617249394931E-2</v>
      </c>
    </row>
    <row r="5295" spans="7:8" x14ac:dyDescent="0.3">
      <c r="G5295" s="78">
        <v>5292</v>
      </c>
      <c r="H5295">
        <f t="shared" ca="1" si="77"/>
        <v>8.4095325200779295E-3</v>
      </c>
    </row>
    <row r="5296" spans="7:8" x14ac:dyDescent="0.3">
      <c r="G5296" s="78">
        <v>5293</v>
      </c>
      <c r="H5296">
        <f t="shared" ca="1" si="77"/>
        <v>3.2287205410310417E-2</v>
      </c>
    </row>
    <row r="5297" spans="7:8" x14ac:dyDescent="0.3">
      <c r="G5297" s="78">
        <v>5294</v>
      </c>
      <c r="H5297">
        <f t="shared" ca="1" si="77"/>
        <v>1.9692397500697071E-3</v>
      </c>
    </row>
    <row r="5298" spans="7:8" x14ac:dyDescent="0.3">
      <c r="G5298" s="78">
        <v>5295</v>
      </c>
      <c r="H5298">
        <f t="shared" ca="1" si="77"/>
        <v>1.5944527788181163E-2</v>
      </c>
    </row>
    <row r="5299" spans="7:8" x14ac:dyDescent="0.3">
      <c r="G5299" s="78">
        <v>5296</v>
      </c>
      <c r="H5299">
        <f t="shared" ca="1" si="77"/>
        <v>5.1976223280663231E-3</v>
      </c>
    </row>
    <row r="5300" spans="7:8" x14ac:dyDescent="0.3">
      <c r="G5300" s="78">
        <v>5297</v>
      </c>
      <c r="H5300">
        <f t="shared" ca="1" si="77"/>
        <v>-3.4438974231901839E-4</v>
      </c>
    </row>
    <row r="5301" spans="7:8" x14ac:dyDescent="0.3">
      <c r="G5301" s="78">
        <v>5298</v>
      </c>
      <c r="H5301">
        <f t="shared" ca="1" si="77"/>
        <v>-1.2998232514276861E-2</v>
      </c>
    </row>
    <row r="5302" spans="7:8" x14ac:dyDescent="0.3">
      <c r="G5302" s="78">
        <v>5299</v>
      </c>
      <c r="H5302">
        <f t="shared" ca="1" si="77"/>
        <v>2.0703125769440361E-2</v>
      </c>
    </row>
    <row r="5303" spans="7:8" x14ac:dyDescent="0.3">
      <c r="G5303" s="78">
        <v>5300</v>
      </c>
      <c r="H5303">
        <f t="shared" ca="1" si="77"/>
        <v>-1.1738016395671546E-2</v>
      </c>
    </row>
    <row r="5304" spans="7:8" x14ac:dyDescent="0.3">
      <c r="G5304" s="78">
        <v>5301</v>
      </c>
      <c r="H5304">
        <f t="shared" ca="1" si="77"/>
        <v>1.1163675448106463E-2</v>
      </c>
    </row>
    <row r="5305" spans="7:8" x14ac:dyDescent="0.3">
      <c r="G5305" s="78">
        <v>5302</v>
      </c>
      <c r="H5305">
        <f t="shared" ca="1" si="77"/>
        <v>2.1116837636538637E-2</v>
      </c>
    </row>
    <row r="5306" spans="7:8" x14ac:dyDescent="0.3">
      <c r="G5306" s="78">
        <v>5303</v>
      </c>
      <c r="H5306">
        <f t="shared" ca="1" si="77"/>
        <v>4.3038607363457826E-3</v>
      </c>
    </row>
    <row r="5307" spans="7:8" x14ac:dyDescent="0.3">
      <c r="G5307" s="78">
        <v>5304</v>
      </c>
      <c r="H5307">
        <f t="shared" ca="1" si="77"/>
        <v>1.2691137266439495E-2</v>
      </c>
    </row>
    <row r="5308" spans="7:8" x14ac:dyDescent="0.3">
      <c r="G5308" s="78">
        <v>5305</v>
      </c>
      <c r="H5308">
        <f t="shared" ca="1" si="77"/>
        <v>2.6786791254905056E-2</v>
      </c>
    </row>
    <row r="5309" spans="7:8" x14ac:dyDescent="0.3">
      <c r="G5309" s="78">
        <v>5306</v>
      </c>
      <c r="H5309">
        <f t="shared" ca="1" si="77"/>
        <v>-1.2669361328122659E-3</v>
      </c>
    </row>
    <row r="5310" spans="7:8" x14ac:dyDescent="0.3">
      <c r="G5310" s="78">
        <v>5307</v>
      </c>
      <c r="H5310">
        <f t="shared" ca="1" si="77"/>
        <v>2.4707450355882808E-2</v>
      </c>
    </row>
    <row r="5311" spans="7:8" x14ac:dyDescent="0.3">
      <c r="G5311" s="78">
        <v>5308</v>
      </c>
      <c r="H5311">
        <f t="shared" ca="1" si="77"/>
        <v>2.5365450955972414E-2</v>
      </c>
    </row>
    <row r="5312" spans="7:8" x14ac:dyDescent="0.3">
      <c r="G5312" s="78">
        <v>5309</v>
      </c>
      <c r="H5312">
        <f t="shared" ca="1" si="77"/>
        <v>-1.0424600291384169E-2</v>
      </c>
    </row>
    <row r="5313" spans="7:8" x14ac:dyDescent="0.3">
      <c r="G5313" s="78">
        <v>5310</v>
      </c>
      <c r="H5313">
        <f t="shared" ca="1" si="77"/>
        <v>8.5254310685987985E-3</v>
      </c>
    </row>
    <row r="5314" spans="7:8" x14ac:dyDescent="0.3">
      <c r="G5314" s="78">
        <v>5311</v>
      </c>
      <c r="H5314">
        <f t="shared" ca="1" si="77"/>
        <v>2.0679897176160609E-3</v>
      </c>
    </row>
    <row r="5315" spans="7:8" x14ac:dyDescent="0.3">
      <c r="G5315" s="78">
        <v>5312</v>
      </c>
      <c r="H5315">
        <f t="shared" ca="1" si="77"/>
        <v>-2.4815993733370817E-2</v>
      </c>
    </row>
    <row r="5316" spans="7:8" x14ac:dyDescent="0.3">
      <c r="G5316" s="78">
        <v>5313</v>
      </c>
      <c r="H5316">
        <f t="shared" ref="H5316:H5379" ca="1" si="78">_xlfn.NORM.INV(RAND(),$N$4,$N$5)</f>
        <v>2.7219315902461971E-2</v>
      </c>
    </row>
    <row r="5317" spans="7:8" x14ac:dyDescent="0.3">
      <c r="G5317" s="78">
        <v>5314</v>
      </c>
      <c r="H5317">
        <f t="shared" ca="1" si="78"/>
        <v>-1.8814006851774145E-2</v>
      </c>
    </row>
    <row r="5318" spans="7:8" x14ac:dyDescent="0.3">
      <c r="G5318" s="78">
        <v>5315</v>
      </c>
      <c r="H5318">
        <f t="shared" ca="1" si="78"/>
        <v>-1.3186949523177002E-2</v>
      </c>
    </row>
    <row r="5319" spans="7:8" x14ac:dyDescent="0.3">
      <c r="G5319" s="78">
        <v>5316</v>
      </c>
      <c r="H5319">
        <f t="shared" ca="1" si="78"/>
        <v>-1.0330869929422155E-2</v>
      </c>
    </row>
    <row r="5320" spans="7:8" x14ac:dyDescent="0.3">
      <c r="G5320" s="78">
        <v>5317</v>
      </c>
      <c r="H5320">
        <f t="shared" ca="1" si="78"/>
        <v>-1.7780775364330707E-2</v>
      </c>
    </row>
    <row r="5321" spans="7:8" x14ac:dyDescent="0.3">
      <c r="G5321" s="78">
        <v>5318</v>
      </c>
      <c r="H5321">
        <f t="shared" ca="1" si="78"/>
        <v>-3.1371757410440855E-2</v>
      </c>
    </row>
    <row r="5322" spans="7:8" x14ac:dyDescent="0.3">
      <c r="G5322" s="78">
        <v>5319</v>
      </c>
      <c r="H5322">
        <f t="shared" ca="1" si="78"/>
        <v>9.844223178669325E-3</v>
      </c>
    </row>
    <row r="5323" spans="7:8" x14ac:dyDescent="0.3">
      <c r="G5323" s="78">
        <v>5320</v>
      </c>
      <c r="H5323">
        <f t="shared" ca="1" si="78"/>
        <v>-1.6312239727593436E-3</v>
      </c>
    </row>
    <row r="5324" spans="7:8" x14ac:dyDescent="0.3">
      <c r="G5324" s="78">
        <v>5321</v>
      </c>
      <c r="H5324">
        <f t="shared" ca="1" si="78"/>
        <v>1.6297454754452406E-2</v>
      </c>
    </row>
    <row r="5325" spans="7:8" x14ac:dyDescent="0.3">
      <c r="G5325" s="78">
        <v>5322</v>
      </c>
      <c r="H5325">
        <f t="shared" ca="1" si="78"/>
        <v>-2.0855864924581698E-2</v>
      </c>
    </row>
    <row r="5326" spans="7:8" x14ac:dyDescent="0.3">
      <c r="G5326" s="78">
        <v>5323</v>
      </c>
      <c r="H5326">
        <f t="shared" ca="1" si="78"/>
        <v>-2.1867203425316908E-2</v>
      </c>
    </row>
    <row r="5327" spans="7:8" x14ac:dyDescent="0.3">
      <c r="G5327" s="78">
        <v>5324</v>
      </c>
      <c r="H5327">
        <f t="shared" ca="1" si="78"/>
        <v>7.2529435179222116E-3</v>
      </c>
    </row>
    <row r="5328" spans="7:8" x14ac:dyDescent="0.3">
      <c r="G5328" s="78">
        <v>5325</v>
      </c>
      <c r="H5328">
        <f t="shared" ca="1" si="78"/>
        <v>-2.6805044367948984E-2</v>
      </c>
    </row>
    <row r="5329" spans="7:8" x14ac:dyDescent="0.3">
      <c r="G5329" s="78">
        <v>5326</v>
      </c>
      <c r="H5329">
        <f t="shared" ca="1" si="78"/>
        <v>-9.2941896651709439E-3</v>
      </c>
    </row>
    <row r="5330" spans="7:8" x14ac:dyDescent="0.3">
      <c r="G5330" s="78">
        <v>5327</v>
      </c>
      <c r="H5330">
        <f t="shared" ca="1" si="78"/>
        <v>4.5660841212347937E-3</v>
      </c>
    </row>
    <row r="5331" spans="7:8" x14ac:dyDescent="0.3">
      <c r="G5331" s="78">
        <v>5328</v>
      </c>
      <c r="H5331">
        <f t="shared" ca="1" si="78"/>
        <v>-5.0292166502658858E-2</v>
      </c>
    </row>
    <row r="5332" spans="7:8" x14ac:dyDescent="0.3">
      <c r="G5332" s="78">
        <v>5329</v>
      </c>
      <c r="H5332">
        <f t="shared" ca="1" si="78"/>
        <v>-7.9153294498402402E-3</v>
      </c>
    </row>
    <row r="5333" spans="7:8" x14ac:dyDescent="0.3">
      <c r="G5333" s="78">
        <v>5330</v>
      </c>
      <c r="H5333">
        <f t="shared" ca="1" si="78"/>
        <v>-2.924964756638564E-2</v>
      </c>
    </row>
    <row r="5334" spans="7:8" x14ac:dyDescent="0.3">
      <c r="G5334" s="78">
        <v>5331</v>
      </c>
      <c r="H5334">
        <f t="shared" ca="1" si="78"/>
        <v>3.9711040534322985E-2</v>
      </c>
    </row>
    <row r="5335" spans="7:8" x14ac:dyDescent="0.3">
      <c r="G5335" s="78">
        <v>5332</v>
      </c>
      <c r="H5335">
        <f t="shared" ca="1" si="78"/>
        <v>-7.2609363649315884E-3</v>
      </c>
    </row>
    <row r="5336" spans="7:8" x14ac:dyDescent="0.3">
      <c r="G5336" s="78">
        <v>5333</v>
      </c>
      <c r="H5336">
        <f t="shared" ca="1" si="78"/>
        <v>-2.4589500837569216E-2</v>
      </c>
    </row>
    <row r="5337" spans="7:8" x14ac:dyDescent="0.3">
      <c r="G5337" s="78">
        <v>5334</v>
      </c>
      <c r="H5337">
        <f t="shared" ca="1" si="78"/>
        <v>-9.806278853952485E-3</v>
      </c>
    </row>
    <row r="5338" spans="7:8" x14ac:dyDescent="0.3">
      <c r="G5338" s="78">
        <v>5335</v>
      </c>
      <c r="H5338">
        <f t="shared" ca="1" si="78"/>
        <v>1.0479994147122081E-2</v>
      </c>
    </row>
    <row r="5339" spans="7:8" x14ac:dyDescent="0.3">
      <c r="G5339" s="78">
        <v>5336</v>
      </c>
      <c r="H5339">
        <f t="shared" ca="1" si="78"/>
        <v>1.5061436478855482E-2</v>
      </c>
    </row>
    <row r="5340" spans="7:8" x14ac:dyDescent="0.3">
      <c r="G5340" s="78">
        <v>5337</v>
      </c>
      <c r="H5340">
        <f t="shared" ca="1" si="78"/>
        <v>2.0764478081478836E-3</v>
      </c>
    </row>
    <row r="5341" spans="7:8" x14ac:dyDescent="0.3">
      <c r="G5341" s="78">
        <v>5338</v>
      </c>
      <c r="H5341">
        <f t="shared" ca="1" si="78"/>
        <v>8.548314361943218E-3</v>
      </c>
    </row>
    <row r="5342" spans="7:8" x14ac:dyDescent="0.3">
      <c r="G5342" s="78">
        <v>5339</v>
      </c>
      <c r="H5342">
        <f t="shared" ca="1" si="78"/>
        <v>-2.7642209789240191E-2</v>
      </c>
    </row>
    <row r="5343" spans="7:8" x14ac:dyDescent="0.3">
      <c r="G5343" s="78">
        <v>5340</v>
      </c>
      <c r="H5343">
        <f t="shared" ca="1" si="78"/>
        <v>-1.6030064608622396E-2</v>
      </c>
    </row>
    <row r="5344" spans="7:8" x14ac:dyDescent="0.3">
      <c r="G5344" s="78">
        <v>5341</v>
      </c>
      <c r="H5344">
        <f t="shared" ca="1" si="78"/>
        <v>6.1658640002527475E-3</v>
      </c>
    </row>
    <row r="5345" spans="7:8" x14ac:dyDescent="0.3">
      <c r="G5345" s="78">
        <v>5342</v>
      </c>
      <c r="H5345">
        <f t="shared" ca="1" si="78"/>
        <v>-2.1636522360841594E-3</v>
      </c>
    </row>
    <row r="5346" spans="7:8" x14ac:dyDescent="0.3">
      <c r="G5346" s="78">
        <v>5343</v>
      </c>
      <c r="H5346">
        <f t="shared" ca="1" si="78"/>
        <v>4.4313686358953101E-2</v>
      </c>
    </row>
    <row r="5347" spans="7:8" x14ac:dyDescent="0.3">
      <c r="G5347" s="78">
        <v>5344</v>
      </c>
      <c r="H5347">
        <f t="shared" ca="1" si="78"/>
        <v>-2.5411452214303295E-2</v>
      </c>
    </row>
    <row r="5348" spans="7:8" x14ac:dyDescent="0.3">
      <c r="G5348" s="78">
        <v>5345</v>
      </c>
      <c r="H5348">
        <f t="shared" ca="1" si="78"/>
        <v>7.2644423740807207E-3</v>
      </c>
    </row>
    <row r="5349" spans="7:8" x14ac:dyDescent="0.3">
      <c r="G5349" s="78">
        <v>5346</v>
      </c>
      <c r="H5349">
        <f t="shared" ca="1" si="78"/>
        <v>4.0823826621932791E-2</v>
      </c>
    </row>
    <row r="5350" spans="7:8" x14ac:dyDescent="0.3">
      <c r="G5350" s="78">
        <v>5347</v>
      </c>
      <c r="H5350">
        <f t="shared" ca="1" si="78"/>
        <v>-2.1371536694843415E-2</v>
      </c>
    </row>
    <row r="5351" spans="7:8" x14ac:dyDescent="0.3">
      <c r="G5351" s="78">
        <v>5348</v>
      </c>
      <c r="H5351">
        <f t="shared" ca="1" si="78"/>
        <v>4.0723531555256015E-2</v>
      </c>
    </row>
    <row r="5352" spans="7:8" x14ac:dyDescent="0.3">
      <c r="G5352" s="78">
        <v>5349</v>
      </c>
      <c r="H5352">
        <f t="shared" ca="1" si="78"/>
        <v>9.92521919421923E-3</v>
      </c>
    </row>
    <row r="5353" spans="7:8" x14ac:dyDescent="0.3">
      <c r="G5353" s="78">
        <v>5350</v>
      </c>
      <c r="H5353">
        <f t="shared" ca="1" si="78"/>
        <v>1.1990984171536928E-2</v>
      </c>
    </row>
    <row r="5354" spans="7:8" x14ac:dyDescent="0.3">
      <c r="G5354" s="78">
        <v>5351</v>
      </c>
      <c r="H5354">
        <f t="shared" ca="1" si="78"/>
        <v>-3.3472082025362143E-2</v>
      </c>
    </row>
    <row r="5355" spans="7:8" x14ac:dyDescent="0.3">
      <c r="G5355" s="78">
        <v>5352</v>
      </c>
      <c r="H5355">
        <f t="shared" ca="1" si="78"/>
        <v>-1.5253172922435264E-2</v>
      </c>
    </row>
    <row r="5356" spans="7:8" x14ac:dyDescent="0.3">
      <c r="G5356" s="78">
        <v>5353</v>
      </c>
      <c r="H5356">
        <f t="shared" ca="1" si="78"/>
        <v>-2.5985841778252503E-2</v>
      </c>
    </row>
    <row r="5357" spans="7:8" x14ac:dyDescent="0.3">
      <c r="G5357" s="78">
        <v>5354</v>
      </c>
      <c r="H5357">
        <f t="shared" ca="1" si="78"/>
        <v>2.5473083132483254E-2</v>
      </c>
    </row>
    <row r="5358" spans="7:8" x14ac:dyDescent="0.3">
      <c r="G5358" s="78">
        <v>5355</v>
      </c>
      <c r="H5358">
        <f t="shared" ca="1" si="78"/>
        <v>1.5004895342779925E-2</v>
      </c>
    </row>
    <row r="5359" spans="7:8" x14ac:dyDescent="0.3">
      <c r="G5359" s="78">
        <v>5356</v>
      </c>
      <c r="H5359">
        <f t="shared" ca="1" si="78"/>
        <v>-3.3877998170455934E-2</v>
      </c>
    </row>
    <row r="5360" spans="7:8" x14ac:dyDescent="0.3">
      <c r="G5360" s="78">
        <v>5357</v>
      </c>
      <c r="H5360">
        <f t="shared" ca="1" si="78"/>
        <v>7.9518143923276077E-3</v>
      </c>
    </row>
    <row r="5361" spans="7:8" x14ac:dyDescent="0.3">
      <c r="G5361" s="78">
        <v>5358</v>
      </c>
      <c r="H5361">
        <f t="shared" ca="1" si="78"/>
        <v>9.6854793865777805E-3</v>
      </c>
    </row>
    <row r="5362" spans="7:8" x14ac:dyDescent="0.3">
      <c r="G5362" s="78">
        <v>5359</v>
      </c>
      <c r="H5362">
        <f t="shared" ca="1" si="78"/>
        <v>6.8441234077082557E-3</v>
      </c>
    </row>
    <row r="5363" spans="7:8" x14ac:dyDescent="0.3">
      <c r="G5363" s="78">
        <v>5360</v>
      </c>
      <c r="H5363">
        <f t="shared" ca="1" si="78"/>
        <v>1.5409149872330555E-3</v>
      </c>
    </row>
    <row r="5364" spans="7:8" x14ac:dyDescent="0.3">
      <c r="G5364" s="78">
        <v>5361</v>
      </c>
      <c r="H5364">
        <f t="shared" ca="1" si="78"/>
        <v>-1.0801925484800008E-2</v>
      </c>
    </row>
    <row r="5365" spans="7:8" x14ac:dyDescent="0.3">
      <c r="G5365" s="78">
        <v>5362</v>
      </c>
      <c r="H5365">
        <f t="shared" ca="1" si="78"/>
        <v>1.7957979945089162E-2</v>
      </c>
    </row>
    <row r="5366" spans="7:8" x14ac:dyDescent="0.3">
      <c r="G5366" s="78">
        <v>5363</v>
      </c>
      <c r="H5366">
        <f t="shared" ca="1" si="78"/>
        <v>4.0612146719476126E-3</v>
      </c>
    </row>
    <row r="5367" spans="7:8" x14ac:dyDescent="0.3">
      <c r="G5367" s="78">
        <v>5364</v>
      </c>
      <c r="H5367">
        <f t="shared" ca="1" si="78"/>
        <v>-2.5216447739920675E-3</v>
      </c>
    </row>
    <row r="5368" spans="7:8" x14ac:dyDescent="0.3">
      <c r="G5368" s="78">
        <v>5365</v>
      </c>
      <c r="H5368">
        <f t="shared" ca="1" si="78"/>
        <v>1.5250158709669774E-2</v>
      </c>
    </row>
    <row r="5369" spans="7:8" x14ac:dyDescent="0.3">
      <c r="G5369" s="78">
        <v>5366</v>
      </c>
      <c r="H5369">
        <f t="shared" ca="1" si="78"/>
        <v>-1.2114101995156112E-2</v>
      </c>
    </row>
    <row r="5370" spans="7:8" x14ac:dyDescent="0.3">
      <c r="G5370" s="78">
        <v>5367</v>
      </c>
      <c r="H5370">
        <f t="shared" ca="1" si="78"/>
        <v>4.5732562466002536E-3</v>
      </c>
    </row>
    <row r="5371" spans="7:8" x14ac:dyDescent="0.3">
      <c r="G5371" s="78">
        <v>5368</v>
      </c>
      <c r="H5371">
        <f t="shared" ca="1" si="78"/>
        <v>-1.3452534030500842E-2</v>
      </c>
    </row>
    <row r="5372" spans="7:8" x14ac:dyDescent="0.3">
      <c r="G5372" s="78">
        <v>5369</v>
      </c>
      <c r="H5372">
        <f t="shared" ca="1" si="78"/>
        <v>-1.524702491877695E-2</v>
      </c>
    </row>
    <row r="5373" spans="7:8" x14ac:dyDescent="0.3">
      <c r="G5373" s="78">
        <v>5370</v>
      </c>
      <c r="H5373">
        <f t="shared" ca="1" si="78"/>
        <v>2.589083965696419E-2</v>
      </c>
    </row>
    <row r="5374" spans="7:8" x14ac:dyDescent="0.3">
      <c r="G5374" s="78">
        <v>5371</v>
      </c>
      <c r="H5374">
        <f t="shared" ca="1" si="78"/>
        <v>1.5985072393810231E-3</v>
      </c>
    </row>
    <row r="5375" spans="7:8" x14ac:dyDescent="0.3">
      <c r="G5375" s="78">
        <v>5372</v>
      </c>
      <c r="H5375">
        <f t="shared" ca="1" si="78"/>
        <v>9.7731021015379244E-3</v>
      </c>
    </row>
    <row r="5376" spans="7:8" x14ac:dyDescent="0.3">
      <c r="G5376" s="78">
        <v>5373</v>
      </c>
      <c r="H5376">
        <f t="shared" ca="1" si="78"/>
        <v>-5.3810234956623597E-3</v>
      </c>
    </row>
    <row r="5377" spans="7:8" x14ac:dyDescent="0.3">
      <c r="G5377" s="78">
        <v>5374</v>
      </c>
      <c r="H5377">
        <f t="shared" ca="1" si="78"/>
        <v>2.6922675501575765E-3</v>
      </c>
    </row>
    <row r="5378" spans="7:8" x14ac:dyDescent="0.3">
      <c r="G5378" s="78">
        <v>5375</v>
      </c>
      <c r="H5378">
        <f t="shared" ca="1" si="78"/>
        <v>-2.2830715324923812E-2</v>
      </c>
    </row>
    <row r="5379" spans="7:8" x14ac:dyDescent="0.3">
      <c r="G5379" s="78">
        <v>5376</v>
      </c>
      <c r="H5379">
        <f t="shared" ca="1" si="78"/>
        <v>1.3150215561698425E-2</v>
      </c>
    </row>
    <row r="5380" spans="7:8" x14ac:dyDescent="0.3">
      <c r="G5380" s="78">
        <v>5377</v>
      </c>
      <c r="H5380">
        <f t="shared" ref="H5380:H5443" ca="1" si="79">_xlfn.NORM.INV(RAND(),$N$4,$N$5)</f>
        <v>3.3469636308503187E-3</v>
      </c>
    </row>
    <row r="5381" spans="7:8" x14ac:dyDescent="0.3">
      <c r="G5381" s="78">
        <v>5378</v>
      </c>
      <c r="H5381">
        <f t="shared" ca="1" si="79"/>
        <v>1.5185590136390219E-2</v>
      </c>
    </row>
    <row r="5382" spans="7:8" x14ac:dyDescent="0.3">
      <c r="G5382" s="78">
        <v>5379</v>
      </c>
      <c r="H5382">
        <f t="shared" ca="1" si="79"/>
        <v>-2.1835903289363197E-2</v>
      </c>
    </row>
    <row r="5383" spans="7:8" x14ac:dyDescent="0.3">
      <c r="G5383" s="78">
        <v>5380</v>
      </c>
      <c r="H5383">
        <f t="shared" ca="1" si="79"/>
        <v>-1.4296932674387157E-2</v>
      </c>
    </row>
    <row r="5384" spans="7:8" x14ac:dyDescent="0.3">
      <c r="G5384" s="78">
        <v>5381</v>
      </c>
      <c r="H5384">
        <f t="shared" ca="1" si="79"/>
        <v>2.5705612879602217E-2</v>
      </c>
    </row>
    <row r="5385" spans="7:8" x14ac:dyDescent="0.3">
      <c r="G5385" s="78">
        <v>5382</v>
      </c>
      <c r="H5385">
        <f t="shared" ca="1" si="79"/>
        <v>2.0738629754888056E-2</v>
      </c>
    </row>
    <row r="5386" spans="7:8" x14ac:dyDescent="0.3">
      <c r="G5386" s="78">
        <v>5383</v>
      </c>
      <c r="H5386">
        <f t="shared" ca="1" si="79"/>
        <v>-1.1487475852229572E-2</v>
      </c>
    </row>
    <row r="5387" spans="7:8" x14ac:dyDescent="0.3">
      <c r="G5387" s="78">
        <v>5384</v>
      </c>
      <c r="H5387">
        <f t="shared" ca="1" si="79"/>
        <v>6.1313954808547792E-3</v>
      </c>
    </row>
    <row r="5388" spans="7:8" x14ac:dyDescent="0.3">
      <c r="G5388" s="78">
        <v>5385</v>
      </c>
      <c r="H5388">
        <f t="shared" ca="1" si="79"/>
        <v>-2.1592249492969609E-3</v>
      </c>
    </row>
    <row r="5389" spans="7:8" x14ac:dyDescent="0.3">
      <c r="G5389" s="78">
        <v>5386</v>
      </c>
      <c r="H5389">
        <f t="shared" ca="1" si="79"/>
        <v>2.5288969183303398E-3</v>
      </c>
    </row>
    <row r="5390" spans="7:8" x14ac:dyDescent="0.3">
      <c r="G5390" s="78">
        <v>5387</v>
      </c>
      <c r="H5390">
        <f t="shared" ca="1" si="79"/>
        <v>1.3090192045885922E-2</v>
      </c>
    </row>
    <row r="5391" spans="7:8" x14ac:dyDescent="0.3">
      <c r="G5391" s="78">
        <v>5388</v>
      </c>
      <c r="H5391">
        <f t="shared" ca="1" si="79"/>
        <v>1.921677682309042E-2</v>
      </c>
    </row>
    <row r="5392" spans="7:8" x14ac:dyDescent="0.3">
      <c r="G5392" s="78">
        <v>5389</v>
      </c>
      <c r="H5392">
        <f t="shared" ca="1" si="79"/>
        <v>1.6192138363294691E-2</v>
      </c>
    </row>
    <row r="5393" spans="7:8" x14ac:dyDescent="0.3">
      <c r="G5393" s="78">
        <v>5390</v>
      </c>
      <c r="H5393">
        <f t="shared" ca="1" si="79"/>
        <v>3.2278557704077115E-3</v>
      </c>
    </row>
    <row r="5394" spans="7:8" x14ac:dyDescent="0.3">
      <c r="G5394" s="78">
        <v>5391</v>
      </c>
      <c r="H5394">
        <f t="shared" ca="1" si="79"/>
        <v>1.1023133167707063E-2</v>
      </c>
    </row>
    <row r="5395" spans="7:8" x14ac:dyDescent="0.3">
      <c r="G5395" s="78">
        <v>5392</v>
      </c>
      <c r="H5395">
        <f t="shared" ca="1" si="79"/>
        <v>4.5823202197806653E-2</v>
      </c>
    </row>
    <row r="5396" spans="7:8" x14ac:dyDescent="0.3">
      <c r="G5396" s="78">
        <v>5393</v>
      </c>
      <c r="H5396">
        <f t="shared" ca="1" si="79"/>
        <v>-5.0282152051697858E-2</v>
      </c>
    </row>
    <row r="5397" spans="7:8" x14ac:dyDescent="0.3">
      <c r="G5397" s="78">
        <v>5394</v>
      </c>
      <c r="H5397">
        <f t="shared" ca="1" si="79"/>
        <v>3.690805961980647E-2</v>
      </c>
    </row>
    <row r="5398" spans="7:8" x14ac:dyDescent="0.3">
      <c r="G5398" s="78">
        <v>5395</v>
      </c>
      <c r="H5398">
        <f t="shared" ca="1" si="79"/>
        <v>-4.8725651440256319E-2</v>
      </c>
    </row>
    <row r="5399" spans="7:8" x14ac:dyDescent="0.3">
      <c r="G5399" s="78">
        <v>5396</v>
      </c>
      <c r="H5399">
        <f t="shared" ca="1" si="79"/>
        <v>-7.2220784855859714E-3</v>
      </c>
    </row>
    <row r="5400" spans="7:8" x14ac:dyDescent="0.3">
      <c r="G5400" s="78">
        <v>5397</v>
      </c>
      <c r="H5400">
        <f t="shared" ca="1" si="79"/>
        <v>3.6074848238875279E-3</v>
      </c>
    </row>
    <row r="5401" spans="7:8" x14ac:dyDescent="0.3">
      <c r="G5401" s="78">
        <v>5398</v>
      </c>
      <c r="H5401">
        <f t="shared" ca="1" si="79"/>
        <v>-2.7242577409752944E-2</v>
      </c>
    </row>
    <row r="5402" spans="7:8" x14ac:dyDescent="0.3">
      <c r="G5402" s="78">
        <v>5399</v>
      </c>
      <c r="H5402">
        <f t="shared" ca="1" si="79"/>
        <v>4.5132816702327265E-2</v>
      </c>
    </row>
    <row r="5403" spans="7:8" x14ac:dyDescent="0.3">
      <c r="G5403" s="78">
        <v>5400</v>
      </c>
      <c r="H5403">
        <f t="shared" ca="1" si="79"/>
        <v>-1.3743639320378705E-2</v>
      </c>
    </row>
    <row r="5404" spans="7:8" x14ac:dyDescent="0.3">
      <c r="G5404" s="78">
        <v>5401</v>
      </c>
      <c r="H5404">
        <f t="shared" ca="1" si="79"/>
        <v>-3.0826210937190929E-2</v>
      </c>
    </row>
    <row r="5405" spans="7:8" x14ac:dyDescent="0.3">
      <c r="G5405" s="78">
        <v>5402</v>
      </c>
      <c r="H5405">
        <f t="shared" ca="1" si="79"/>
        <v>1.6903525998368449E-3</v>
      </c>
    </row>
    <row r="5406" spans="7:8" x14ac:dyDescent="0.3">
      <c r="G5406" s="78">
        <v>5403</v>
      </c>
      <c r="H5406">
        <f t="shared" ca="1" si="79"/>
        <v>9.5654746942114722E-3</v>
      </c>
    </row>
    <row r="5407" spans="7:8" x14ac:dyDescent="0.3">
      <c r="G5407" s="78">
        <v>5404</v>
      </c>
      <c r="H5407">
        <f t="shared" ca="1" si="79"/>
        <v>-3.1180876816572951E-3</v>
      </c>
    </row>
    <row r="5408" spans="7:8" x14ac:dyDescent="0.3">
      <c r="G5408" s="78">
        <v>5405</v>
      </c>
      <c r="H5408">
        <f t="shared" ca="1" si="79"/>
        <v>7.4343267553312019E-3</v>
      </c>
    </row>
    <row r="5409" spans="7:8" x14ac:dyDescent="0.3">
      <c r="G5409" s="78">
        <v>5406</v>
      </c>
      <c r="H5409">
        <f t="shared" ca="1" si="79"/>
        <v>1.986020638631926E-2</v>
      </c>
    </row>
    <row r="5410" spans="7:8" x14ac:dyDescent="0.3">
      <c r="G5410" s="78">
        <v>5407</v>
      </c>
      <c r="H5410">
        <f t="shared" ca="1" si="79"/>
        <v>1.2797439417626387E-2</v>
      </c>
    </row>
    <row r="5411" spans="7:8" x14ac:dyDescent="0.3">
      <c r="G5411" s="78">
        <v>5408</v>
      </c>
      <c r="H5411">
        <f t="shared" ca="1" si="79"/>
        <v>1.1741506925201216E-2</v>
      </c>
    </row>
    <row r="5412" spans="7:8" x14ac:dyDescent="0.3">
      <c r="G5412" s="78">
        <v>5409</v>
      </c>
      <c r="H5412">
        <f t="shared" ca="1" si="79"/>
        <v>-8.9616161262408966E-3</v>
      </c>
    </row>
    <row r="5413" spans="7:8" x14ac:dyDescent="0.3">
      <c r="G5413" s="78">
        <v>5410</v>
      </c>
      <c r="H5413">
        <f t="shared" ca="1" si="79"/>
        <v>-1.2163572994063832E-2</v>
      </c>
    </row>
    <row r="5414" spans="7:8" x14ac:dyDescent="0.3">
      <c r="G5414" s="78">
        <v>5411</v>
      </c>
      <c r="H5414">
        <f t="shared" ca="1" si="79"/>
        <v>2.4406792177072905E-2</v>
      </c>
    </row>
    <row r="5415" spans="7:8" x14ac:dyDescent="0.3">
      <c r="G5415" s="78">
        <v>5412</v>
      </c>
      <c r="H5415">
        <f t="shared" ca="1" si="79"/>
        <v>9.4955236725429871E-3</v>
      </c>
    </row>
    <row r="5416" spans="7:8" x14ac:dyDescent="0.3">
      <c r="G5416" s="78">
        <v>5413</v>
      </c>
      <c r="H5416">
        <f t="shared" ca="1" si="79"/>
        <v>-2.2292304406523543E-2</v>
      </c>
    </row>
    <row r="5417" spans="7:8" x14ac:dyDescent="0.3">
      <c r="G5417" s="78">
        <v>5414</v>
      </c>
      <c r="H5417">
        <f t="shared" ca="1" si="79"/>
        <v>2.4646852880696912E-2</v>
      </c>
    </row>
    <row r="5418" spans="7:8" x14ac:dyDescent="0.3">
      <c r="G5418" s="78">
        <v>5415</v>
      </c>
      <c r="H5418">
        <f t="shared" ca="1" si="79"/>
        <v>2.2037481322082094E-4</v>
      </c>
    </row>
    <row r="5419" spans="7:8" x14ac:dyDescent="0.3">
      <c r="G5419" s="78">
        <v>5416</v>
      </c>
      <c r="H5419">
        <f t="shared" ca="1" si="79"/>
        <v>-1.5976090910842704E-3</v>
      </c>
    </row>
    <row r="5420" spans="7:8" x14ac:dyDescent="0.3">
      <c r="G5420" s="78">
        <v>5417</v>
      </c>
      <c r="H5420">
        <f t="shared" ca="1" si="79"/>
        <v>2.6227295807437198E-2</v>
      </c>
    </row>
    <row r="5421" spans="7:8" x14ac:dyDescent="0.3">
      <c r="G5421" s="78">
        <v>5418</v>
      </c>
      <c r="H5421">
        <f t="shared" ca="1" si="79"/>
        <v>2.0721565546217315E-2</v>
      </c>
    </row>
    <row r="5422" spans="7:8" x14ac:dyDescent="0.3">
      <c r="G5422" s="78">
        <v>5419</v>
      </c>
      <c r="H5422">
        <f t="shared" ca="1" si="79"/>
        <v>4.2695402215134154E-2</v>
      </c>
    </row>
    <row r="5423" spans="7:8" x14ac:dyDescent="0.3">
      <c r="G5423" s="78">
        <v>5420</v>
      </c>
      <c r="H5423">
        <f t="shared" ca="1" si="79"/>
        <v>2.8117603558281867E-2</v>
      </c>
    </row>
    <row r="5424" spans="7:8" x14ac:dyDescent="0.3">
      <c r="G5424" s="78">
        <v>5421</v>
      </c>
      <c r="H5424">
        <f t="shared" ca="1" si="79"/>
        <v>4.4921134414021971E-2</v>
      </c>
    </row>
    <row r="5425" spans="7:8" x14ac:dyDescent="0.3">
      <c r="G5425" s="78">
        <v>5422</v>
      </c>
      <c r="H5425">
        <f t="shared" ca="1" si="79"/>
        <v>2.3726609771943925E-2</v>
      </c>
    </row>
    <row r="5426" spans="7:8" x14ac:dyDescent="0.3">
      <c r="G5426" s="78">
        <v>5423</v>
      </c>
      <c r="H5426">
        <f t="shared" ca="1" si="79"/>
        <v>6.5854379479988513E-4</v>
      </c>
    </row>
    <row r="5427" spans="7:8" x14ac:dyDescent="0.3">
      <c r="G5427" s="78">
        <v>5424</v>
      </c>
      <c r="H5427">
        <f t="shared" ca="1" si="79"/>
        <v>4.7350194583945598E-2</v>
      </c>
    </row>
    <row r="5428" spans="7:8" x14ac:dyDescent="0.3">
      <c r="G5428" s="78">
        <v>5425</v>
      </c>
      <c r="H5428">
        <f t="shared" ca="1" si="79"/>
        <v>9.3258034645394578E-3</v>
      </c>
    </row>
    <row r="5429" spans="7:8" x14ac:dyDescent="0.3">
      <c r="G5429" s="78">
        <v>5426</v>
      </c>
      <c r="H5429">
        <f t="shared" ca="1" si="79"/>
        <v>-2.92913189332983E-2</v>
      </c>
    </row>
    <row r="5430" spans="7:8" x14ac:dyDescent="0.3">
      <c r="G5430" s="78">
        <v>5427</v>
      </c>
      <c r="H5430">
        <f t="shared" ca="1" si="79"/>
        <v>1.5442102639932589E-2</v>
      </c>
    </row>
    <row r="5431" spans="7:8" x14ac:dyDescent="0.3">
      <c r="G5431" s="78">
        <v>5428</v>
      </c>
      <c r="H5431">
        <f t="shared" ca="1" si="79"/>
        <v>2.7839875353369598E-2</v>
      </c>
    </row>
    <row r="5432" spans="7:8" x14ac:dyDescent="0.3">
      <c r="G5432" s="78">
        <v>5429</v>
      </c>
      <c r="H5432">
        <f t="shared" ca="1" si="79"/>
        <v>5.5287900586583373E-3</v>
      </c>
    </row>
    <row r="5433" spans="7:8" x14ac:dyDescent="0.3">
      <c r="G5433" s="78">
        <v>5430</v>
      </c>
      <c r="H5433">
        <f t="shared" ca="1" si="79"/>
        <v>-1.6318249563071558E-2</v>
      </c>
    </row>
    <row r="5434" spans="7:8" x14ac:dyDescent="0.3">
      <c r="G5434" s="78">
        <v>5431</v>
      </c>
      <c r="H5434">
        <f t="shared" ca="1" si="79"/>
        <v>4.7194784600495886E-2</v>
      </c>
    </row>
    <row r="5435" spans="7:8" x14ac:dyDescent="0.3">
      <c r="G5435" s="78">
        <v>5432</v>
      </c>
      <c r="H5435">
        <f t="shared" ca="1" si="79"/>
        <v>4.3377624367827057E-3</v>
      </c>
    </row>
    <row r="5436" spans="7:8" x14ac:dyDescent="0.3">
      <c r="G5436" s="78">
        <v>5433</v>
      </c>
      <c r="H5436">
        <f t="shared" ca="1" si="79"/>
        <v>-1.2632875345431782E-2</v>
      </c>
    </row>
    <row r="5437" spans="7:8" x14ac:dyDescent="0.3">
      <c r="G5437" s="78">
        <v>5434</v>
      </c>
      <c r="H5437">
        <f t="shared" ca="1" si="79"/>
        <v>-6.7941546103589328E-3</v>
      </c>
    </row>
    <row r="5438" spans="7:8" x14ac:dyDescent="0.3">
      <c r="G5438" s="78">
        <v>5435</v>
      </c>
      <c r="H5438">
        <f t="shared" ca="1" si="79"/>
        <v>2.5445748837389485E-2</v>
      </c>
    </row>
    <row r="5439" spans="7:8" x14ac:dyDescent="0.3">
      <c r="G5439" s="78">
        <v>5436</v>
      </c>
      <c r="H5439">
        <f t="shared" ca="1" si="79"/>
        <v>1.4256421366755666E-2</v>
      </c>
    </row>
    <row r="5440" spans="7:8" x14ac:dyDescent="0.3">
      <c r="G5440" s="78">
        <v>5437</v>
      </c>
      <c r="H5440">
        <f t="shared" ca="1" si="79"/>
        <v>-1.0338555542680769E-2</v>
      </c>
    </row>
    <row r="5441" spans="7:8" x14ac:dyDescent="0.3">
      <c r="G5441" s="78">
        <v>5438</v>
      </c>
      <c r="H5441">
        <f t="shared" ca="1" si="79"/>
        <v>-5.4260514673240556E-3</v>
      </c>
    </row>
    <row r="5442" spans="7:8" x14ac:dyDescent="0.3">
      <c r="G5442" s="78">
        <v>5439</v>
      </c>
      <c r="H5442">
        <f t="shared" ca="1" si="79"/>
        <v>-2.2715029456141719E-2</v>
      </c>
    </row>
    <row r="5443" spans="7:8" x14ac:dyDescent="0.3">
      <c r="G5443" s="78">
        <v>5440</v>
      </c>
      <c r="H5443">
        <f t="shared" ca="1" si="79"/>
        <v>2.4155607235346242E-2</v>
      </c>
    </row>
    <row r="5444" spans="7:8" x14ac:dyDescent="0.3">
      <c r="G5444" s="78">
        <v>5441</v>
      </c>
      <c r="H5444">
        <f t="shared" ref="H5444:H5507" ca="1" si="80">_xlfn.NORM.INV(RAND(),$N$4,$N$5)</f>
        <v>2.0678243324863165E-3</v>
      </c>
    </row>
    <row r="5445" spans="7:8" x14ac:dyDescent="0.3">
      <c r="G5445" s="78">
        <v>5442</v>
      </c>
      <c r="H5445">
        <f t="shared" ca="1" si="80"/>
        <v>1.3507155262916253E-2</v>
      </c>
    </row>
    <row r="5446" spans="7:8" x14ac:dyDescent="0.3">
      <c r="G5446" s="78">
        <v>5443</v>
      </c>
      <c r="H5446">
        <f t="shared" ca="1" si="80"/>
        <v>-1.7017381968411841E-3</v>
      </c>
    </row>
    <row r="5447" spans="7:8" x14ac:dyDescent="0.3">
      <c r="G5447" s="78">
        <v>5444</v>
      </c>
      <c r="H5447">
        <f t="shared" ca="1" si="80"/>
        <v>-1.3439545571743733E-2</v>
      </c>
    </row>
    <row r="5448" spans="7:8" x14ac:dyDescent="0.3">
      <c r="G5448" s="78">
        <v>5445</v>
      </c>
      <c r="H5448">
        <f t="shared" ca="1" si="80"/>
        <v>1.4398789291863178E-2</v>
      </c>
    </row>
    <row r="5449" spans="7:8" x14ac:dyDescent="0.3">
      <c r="G5449" s="78">
        <v>5446</v>
      </c>
      <c r="H5449">
        <f t="shared" ca="1" si="80"/>
        <v>1.5528052332714217E-3</v>
      </c>
    </row>
    <row r="5450" spans="7:8" x14ac:dyDescent="0.3">
      <c r="G5450" s="78">
        <v>5447</v>
      </c>
      <c r="H5450">
        <f t="shared" ca="1" si="80"/>
        <v>-1.3994578323171037E-2</v>
      </c>
    </row>
    <row r="5451" spans="7:8" x14ac:dyDescent="0.3">
      <c r="G5451" s="78">
        <v>5448</v>
      </c>
      <c r="H5451">
        <f t="shared" ca="1" si="80"/>
        <v>1.5167630085439206E-2</v>
      </c>
    </row>
    <row r="5452" spans="7:8" x14ac:dyDescent="0.3">
      <c r="G5452" s="78">
        <v>5449</v>
      </c>
      <c r="H5452">
        <f t="shared" ca="1" si="80"/>
        <v>-1.4043518711926647E-2</v>
      </c>
    </row>
    <row r="5453" spans="7:8" x14ac:dyDescent="0.3">
      <c r="G5453" s="78">
        <v>5450</v>
      </c>
      <c r="H5453">
        <f t="shared" ca="1" si="80"/>
        <v>4.2185542046513378E-3</v>
      </c>
    </row>
    <row r="5454" spans="7:8" x14ac:dyDescent="0.3">
      <c r="G5454" s="78">
        <v>5451</v>
      </c>
      <c r="H5454">
        <f t="shared" ca="1" si="80"/>
        <v>2.6863963694641928E-2</v>
      </c>
    </row>
    <row r="5455" spans="7:8" x14ac:dyDescent="0.3">
      <c r="G5455" s="78">
        <v>5452</v>
      </c>
      <c r="H5455">
        <f t="shared" ca="1" si="80"/>
        <v>-5.8917875811512616E-3</v>
      </c>
    </row>
    <row r="5456" spans="7:8" x14ac:dyDescent="0.3">
      <c r="G5456" s="78">
        <v>5453</v>
      </c>
      <c r="H5456">
        <f t="shared" ca="1" si="80"/>
        <v>-1.1282303777832004E-2</v>
      </c>
    </row>
    <row r="5457" spans="7:8" x14ac:dyDescent="0.3">
      <c r="G5457" s="78">
        <v>5454</v>
      </c>
      <c r="H5457">
        <f t="shared" ca="1" si="80"/>
        <v>3.457587489765513E-2</v>
      </c>
    </row>
    <row r="5458" spans="7:8" x14ac:dyDescent="0.3">
      <c r="G5458" s="78">
        <v>5455</v>
      </c>
      <c r="H5458">
        <f t="shared" ca="1" si="80"/>
        <v>-3.0183917922560519E-2</v>
      </c>
    </row>
    <row r="5459" spans="7:8" x14ac:dyDescent="0.3">
      <c r="G5459" s="78">
        <v>5456</v>
      </c>
      <c r="H5459">
        <f t="shared" ca="1" si="80"/>
        <v>-1.1330910893943851E-2</v>
      </c>
    </row>
    <row r="5460" spans="7:8" x14ac:dyDescent="0.3">
      <c r="G5460" s="78">
        <v>5457</v>
      </c>
      <c r="H5460">
        <f t="shared" ca="1" si="80"/>
        <v>4.9179012602136904E-2</v>
      </c>
    </row>
    <row r="5461" spans="7:8" x14ac:dyDescent="0.3">
      <c r="G5461" s="78">
        <v>5458</v>
      </c>
      <c r="H5461">
        <f t="shared" ca="1" si="80"/>
        <v>-4.3583287589583491E-3</v>
      </c>
    </row>
    <row r="5462" spans="7:8" x14ac:dyDescent="0.3">
      <c r="G5462" s="78">
        <v>5459</v>
      </c>
      <c r="H5462">
        <f t="shared" ca="1" si="80"/>
        <v>-2.0941947882799551E-2</v>
      </c>
    </row>
    <row r="5463" spans="7:8" x14ac:dyDescent="0.3">
      <c r="G5463" s="78">
        <v>5460</v>
      </c>
      <c r="H5463">
        <f t="shared" ca="1" si="80"/>
        <v>-3.8448350795061998E-3</v>
      </c>
    </row>
    <row r="5464" spans="7:8" x14ac:dyDescent="0.3">
      <c r="G5464" s="78">
        <v>5461</v>
      </c>
      <c r="H5464">
        <f t="shared" ca="1" si="80"/>
        <v>2.0375788601234967E-3</v>
      </c>
    </row>
    <row r="5465" spans="7:8" x14ac:dyDescent="0.3">
      <c r="G5465" s="78">
        <v>5462</v>
      </c>
      <c r="H5465">
        <f t="shared" ca="1" si="80"/>
        <v>-5.490224018413891E-2</v>
      </c>
    </row>
    <row r="5466" spans="7:8" x14ac:dyDescent="0.3">
      <c r="G5466" s="78">
        <v>5463</v>
      </c>
      <c r="H5466">
        <f t="shared" ca="1" si="80"/>
        <v>7.4590653508460939E-4</v>
      </c>
    </row>
    <row r="5467" spans="7:8" x14ac:dyDescent="0.3">
      <c r="G5467" s="78">
        <v>5464</v>
      </c>
      <c r="H5467">
        <f t="shared" ca="1" si="80"/>
        <v>1.5232212638295778E-2</v>
      </c>
    </row>
    <row r="5468" spans="7:8" x14ac:dyDescent="0.3">
      <c r="G5468" s="78">
        <v>5465</v>
      </c>
      <c r="H5468">
        <f t="shared" ca="1" si="80"/>
        <v>-6.2299674993340484E-3</v>
      </c>
    </row>
    <row r="5469" spans="7:8" x14ac:dyDescent="0.3">
      <c r="G5469" s="78">
        <v>5466</v>
      </c>
      <c r="H5469">
        <f t="shared" ca="1" si="80"/>
        <v>-2.3863798211331624E-3</v>
      </c>
    </row>
    <row r="5470" spans="7:8" x14ac:dyDescent="0.3">
      <c r="G5470" s="78">
        <v>5467</v>
      </c>
      <c r="H5470">
        <f t="shared" ca="1" si="80"/>
        <v>-7.4301164580082525E-3</v>
      </c>
    </row>
    <row r="5471" spans="7:8" x14ac:dyDescent="0.3">
      <c r="G5471" s="78">
        <v>5468</v>
      </c>
      <c r="H5471">
        <f t="shared" ca="1" si="80"/>
        <v>-2.0958022469677484E-2</v>
      </c>
    </row>
    <row r="5472" spans="7:8" x14ac:dyDescent="0.3">
      <c r="G5472" s="78">
        <v>5469</v>
      </c>
      <c r="H5472">
        <f t="shared" ca="1" si="80"/>
        <v>-1.6614166067796036E-2</v>
      </c>
    </row>
    <row r="5473" spans="7:8" x14ac:dyDescent="0.3">
      <c r="G5473" s="78">
        <v>5470</v>
      </c>
      <c r="H5473">
        <f t="shared" ca="1" si="80"/>
        <v>1.8560626318660577E-2</v>
      </c>
    </row>
    <row r="5474" spans="7:8" x14ac:dyDescent="0.3">
      <c r="G5474" s="78">
        <v>5471</v>
      </c>
      <c r="H5474">
        <f t="shared" ca="1" si="80"/>
        <v>-3.1609032820115839E-3</v>
      </c>
    </row>
    <row r="5475" spans="7:8" x14ac:dyDescent="0.3">
      <c r="G5475" s="78">
        <v>5472</v>
      </c>
      <c r="H5475">
        <f t="shared" ca="1" si="80"/>
        <v>6.6928900663914869E-3</v>
      </c>
    </row>
    <row r="5476" spans="7:8" x14ac:dyDescent="0.3">
      <c r="G5476" s="78">
        <v>5473</v>
      </c>
      <c r="H5476">
        <f t="shared" ca="1" si="80"/>
        <v>1.5954204560037342E-2</v>
      </c>
    </row>
    <row r="5477" spans="7:8" x14ac:dyDescent="0.3">
      <c r="G5477" s="78">
        <v>5474</v>
      </c>
      <c r="H5477">
        <f t="shared" ca="1" si="80"/>
        <v>-3.3914059733240447E-3</v>
      </c>
    </row>
    <row r="5478" spans="7:8" x14ac:dyDescent="0.3">
      <c r="G5478" s="78">
        <v>5475</v>
      </c>
      <c r="H5478">
        <f t="shared" ca="1" si="80"/>
        <v>6.6799462384273681E-3</v>
      </c>
    </row>
    <row r="5479" spans="7:8" x14ac:dyDescent="0.3">
      <c r="G5479" s="78">
        <v>5476</v>
      </c>
      <c r="H5479">
        <f t="shared" ca="1" si="80"/>
        <v>-2.2532554142947513E-3</v>
      </c>
    </row>
    <row r="5480" spans="7:8" x14ac:dyDescent="0.3">
      <c r="G5480" s="78">
        <v>5477</v>
      </c>
      <c r="H5480">
        <f t="shared" ca="1" si="80"/>
        <v>-7.9543527697189809E-3</v>
      </c>
    </row>
    <row r="5481" spans="7:8" x14ac:dyDescent="0.3">
      <c r="G5481" s="78">
        <v>5478</v>
      </c>
      <c r="H5481">
        <f t="shared" ca="1" si="80"/>
        <v>7.3057876565037891E-3</v>
      </c>
    </row>
    <row r="5482" spans="7:8" x14ac:dyDescent="0.3">
      <c r="G5482" s="78">
        <v>5479</v>
      </c>
      <c r="H5482">
        <f t="shared" ca="1" si="80"/>
        <v>1.5661123168592948E-2</v>
      </c>
    </row>
    <row r="5483" spans="7:8" x14ac:dyDescent="0.3">
      <c r="G5483" s="78">
        <v>5480</v>
      </c>
      <c r="H5483">
        <f t="shared" ca="1" si="80"/>
        <v>2.6376272926545005E-3</v>
      </c>
    </row>
    <row r="5484" spans="7:8" x14ac:dyDescent="0.3">
      <c r="G5484" s="78">
        <v>5481</v>
      </c>
      <c r="H5484">
        <f t="shared" ca="1" si="80"/>
        <v>6.6695950965588004E-3</v>
      </c>
    </row>
    <row r="5485" spans="7:8" x14ac:dyDescent="0.3">
      <c r="G5485" s="78">
        <v>5482</v>
      </c>
      <c r="H5485">
        <f t="shared" ca="1" si="80"/>
        <v>1.9750173887304389E-2</v>
      </c>
    </row>
    <row r="5486" spans="7:8" x14ac:dyDescent="0.3">
      <c r="G5486" s="78">
        <v>5483</v>
      </c>
      <c r="H5486">
        <f t="shared" ca="1" si="80"/>
        <v>-2.7045910487575008E-2</v>
      </c>
    </row>
    <row r="5487" spans="7:8" x14ac:dyDescent="0.3">
      <c r="G5487" s="78">
        <v>5484</v>
      </c>
      <c r="H5487">
        <f t="shared" ca="1" si="80"/>
        <v>-2.7384101295697166E-2</v>
      </c>
    </row>
    <row r="5488" spans="7:8" x14ac:dyDescent="0.3">
      <c r="G5488" s="78">
        <v>5485</v>
      </c>
      <c r="H5488">
        <f t="shared" ca="1" si="80"/>
        <v>2.7093453549023608E-2</v>
      </c>
    </row>
    <row r="5489" spans="7:8" x14ac:dyDescent="0.3">
      <c r="G5489" s="78">
        <v>5486</v>
      </c>
      <c r="H5489">
        <f t="shared" ca="1" si="80"/>
        <v>-2.6811986255077035E-2</v>
      </c>
    </row>
    <row r="5490" spans="7:8" x14ac:dyDescent="0.3">
      <c r="G5490" s="78">
        <v>5487</v>
      </c>
      <c r="H5490">
        <f t="shared" ca="1" si="80"/>
        <v>1.2598520976017531E-2</v>
      </c>
    </row>
    <row r="5491" spans="7:8" x14ac:dyDescent="0.3">
      <c r="G5491" s="78">
        <v>5488</v>
      </c>
      <c r="H5491">
        <f t="shared" ca="1" si="80"/>
        <v>-2.1144148198095628E-2</v>
      </c>
    </row>
    <row r="5492" spans="7:8" x14ac:dyDescent="0.3">
      <c r="G5492" s="78">
        <v>5489</v>
      </c>
      <c r="H5492">
        <f t="shared" ca="1" si="80"/>
        <v>3.8584397294420751E-2</v>
      </c>
    </row>
    <row r="5493" spans="7:8" x14ac:dyDescent="0.3">
      <c r="G5493" s="78">
        <v>5490</v>
      </c>
      <c r="H5493">
        <f t="shared" ca="1" si="80"/>
        <v>1.3455056514670887E-2</v>
      </c>
    </row>
    <row r="5494" spans="7:8" x14ac:dyDescent="0.3">
      <c r="G5494" s="78">
        <v>5491</v>
      </c>
      <c r="H5494">
        <f t="shared" ca="1" si="80"/>
        <v>-1.3114232773549431E-2</v>
      </c>
    </row>
    <row r="5495" spans="7:8" x14ac:dyDescent="0.3">
      <c r="G5495" s="78">
        <v>5492</v>
      </c>
      <c r="H5495">
        <f t="shared" ca="1" si="80"/>
        <v>-3.2109115695115993E-2</v>
      </c>
    </row>
    <row r="5496" spans="7:8" x14ac:dyDescent="0.3">
      <c r="G5496" s="78">
        <v>5493</v>
      </c>
      <c r="H5496">
        <f t="shared" ca="1" si="80"/>
        <v>-2.1785029672917205E-2</v>
      </c>
    </row>
    <row r="5497" spans="7:8" x14ac:dyDescent="0.3">
      <c r="G5497" s="78">
        <v>5494</v>
      </c>
      <c r="H5497">
        <f t="shared" ca="1" si="80"/>
        <v>2.1645460680746915E-2</v>
      </c>
    </row>
    <row r="5498" spans="7:8" x14ac:dyDescent="0.3">
      <c r="G5498" s="78">
        <v>5495</v>
      </c>
      <c r="H5498">
        <f t="shared" ca="1" si="80"/>
        <v>1.4980127400091022E-2</v>
      </c>
    </row>
    <row r="5499" spans="7:8" x14ac:dyDescent="0.3">
      <c r="G5499" s="78">
        <v>5496</v>
      </c>
      <c r="H5499">
        <f t="shared" ca="1" si="80"/>
        <v>-9.608238938902898E-3</v>
      </c>
    </row>
    <row r="5500" spans="7:8" x14ac:dyDescent="0.3">
      <c r="G5500" s="78">
        <v>5497</v>
      </c>
      <c r="H5500">
        <f t="shared" ca="1" si="80"/>
        <v>-1.366146231068123E-2</v>
      </c>
    </row>
    <row r="5501" spans="7:8" x14ac:dyDescent="0.3">
      <c r="G5501" s="78">
        <v>5498</v>
      </c>
      <c r="H5501">
        <f t="shared" ca="1" si="80"/>
        <v>7.847167041929148E-3</v>
      </c>
    </row>
    <row r="5502" spans="7:8" x14ac:dyDescent="0.3">
      <c r="G5502" s="78">
        <v>5499</v>
      </c>
      <c r="H5502">
        <f t="shared" ca="1" si="80"/>
        <v>-8.8211603881442179E-3</v>
      </c>
    </row>
    <row r="5503" spans="7:8" x14ac:dyDescent="0.3">
      <c r="G5503" s="78">
        <v>5500</v>
      </c>
      <c r="H5503">
        <f t="shared" ca="1" si="80"/>
        <v>7.7285700595690751E-3</v>
      </c>
    </row>
    <row r="5504" spans="7:8" x14ac:dyDescent="0.3">
      <c r="G5504" s="78">
        <v>5501</v>
      </c>
      <c r="H5504">
        <f t="shared" ca="1" si="80"/>
        <v>-1.4897432505173594E-2</v>
      </c>
    </row>
    <row r="5505" spans="7:8" x14ac:dyDescent="0.3">
      <c r="G5505" s="78">
        <v>5502</v>
      </c>
      <c r="H5505">
        <f t="shared" ca="1" si="80"/>
        <v>1.0184498051807515E-2</v>
      </c>
    </row>
    <row r="5506" spans="7:8" x14ac:dyDescent="0.3">
      <c r="G5506" s="78">
        <v>5503</v>
      </c>
      <c r="H5506">
        <f t="shared" ca="1" si="80"/>
        <v>-2.4884696815531234E-2</v>
      </c>
    </row>
    <row r="5507" spans="7:8" x14ac:dyDescent="0.3">
      <c r="G5507" s="78">
        <v>5504</v>
      </c>
      <c r="H5507">
        <f t="shared" ca="1" si="80"/>
        <v>-8.1330852204181594E-3</v>
      </c>
    </row>
    <row r="5508" spans="7:8" x14ac:dyDescent="0.3">
      <c r="G5508" s="78">
        <v>5505</v>
      </c>
      <c r="H5508">
        <f t="shared" ref="H5508:H5571" ca="1" si="81">_xlfn.NORM.INV(RAND(),$N$4,$N$5)</f>
        <v>-5.8828179087838401E-3</v>
      </c>
    </row>
    <row r="5509" spans="7:8" x14ac:dyDescent="0.3">
      <c r="G5509" s="78">
        <v>5506</v>
      </c>
      <c r="H5509">
        <f t="shared" ca="1" si="81"/>
        <v>2.1717940423226223E-2</v>
      </c>
    </row>
    <row r="5510" spans="7:8" x14ac:dyDescent="0.3">
      <c r="G5510" s="78">
        <v>5507</v>
      </c>
      <c r="H5510">
        <f t="shared" ca="1" si="81"/>
        <v>-2.5947922451501609E-3</v>
      </c>
    </row>
    <row r="5511" spans="7:8" x14ac:dyDescent="0.3">
      <c r="G5511" s="78">
        <v>5508</v>
      </c>
      <c r="H5511">
        <f t="shared" ca="1" si="81"/>
        <v>1.0092813189957443E-2</v>
      </c>
    </row>
    <row r="5512" spans="7:8" x14ac:dyDescent="0.3">
      <c r="G5512" s="78">
        <v>5509</v>
      </c>
      <c r="H5512">
        <f t="shared" ca="1" si="81"/>
        <v>1.1720694440811519E-2</v>
      </c>
    </row>
    <row r="5513" spans="7:8" x14ac:dyDescent="0.3">
      <c r="G5513" s="78">
        <v>5510</v>
      </c>
      <c r="H5513">
        <f t="shared" ca="1" si="81"/>
        <v>-3.5921545695489748E-2</v>
      </c>
    </row>
    <row r="5514" spans="7:8" x14ac:dyDescent="0.3">
      <c r="G5514" s="78">
        <v>5511</v>
      </c>
      <c r="H5514">
        <f t="shared" ca="1" si="81"/>
        <v>-4.0637789981351367E-3</v>
      </c>
    </row>
    <row r="5515" spans="7:8" x14ac:dyDescent="0.3">
      <c r="G5515" s="78">
        <v>5512</v>
      </c>
      <c r="H5515">
        <f t="shared" ca="1" si="81"/>
        <v>-1.3618793705191706E-2</v>
      </c>
    </row>
    <row r="5516" spans="7:8" x14ac:dyDescent="0.3">
      <c r="G5516" s="78">
        <v>5513</v>
      </c>
      <c r="H5516">
        <f t="shared" ca="1" si="81"/>
        <v>-1.0894436320994299E-2</v>
      </c>
    </row>
    <row r="5517" spans="7:8" x14ac:dyDescent="0.3">
      <c r="G5517" s="78">
        <v>5514</v>
      </c>
      <c r="H5517">
        <f t="shared" ca="1" si="81"/>
        <v>2.2960572455950595E-2</v>
      </c>
    </row>
    <row r="5518" spans="7:8" x14ac:dyDescent="0.3">
      <c r="G5518" s="78">
        <v>5515</v>
      </c>
      <c r="H5518">
        <f t="shared" ca="1" si="81"/>
        <v>-3.8820192769355368E-2</v>
      </c>
    </row>
    <row r="5519" spans="7:8" x14ac:dyDescent="0.3">
      <c r="G5519" s="78">
        <v>5516</v>
      </c>
      <c r="H5519">
        <f t="shared" ca="1" si="81"/>
        <v>1.6940165854467965E-2</v>
      </c>
    </row>
    <row r="5520" spans="7:8" x14ac:dyDescent="0.3">
      <c r="G5520" s="78">
        <v>5517</v>
      </c>
      <c r="H5520">
        <f t="shared" ca="1" si="81"/>
        <v>-2.7002636024922703E-2</v>
      </c>
    </row>
    <row r="5521" spans="7:8" x14ac:dyDescent="0.3">
      <c r="G5521" s="78">
        <v>5518</v>
      </c>
      <c r="H5521">
        <f t="shared" ca="1" si="81"/>
        <v>3.6915261817966366E-2</v>
      </c>
    </row>
    <row r="5522" spans="7:8" x14ac:dyDescent="0.3">
      <c r="G5522" s="78">
        <v>5519</v>
      </c>
      <c r="H5522">
        <f t="shared" ca="1" si="81"/>
        <v>-2.2802146260809123E-2</v>
      </c>
    </row>
    <row r="5523" spans="7:8" x14ac:dyDescent="0.3">
      <c r="G5523" s="78">
        <v>5520</v>
      </c>
      <c r="H5523">
        <f t="shared" ca="1" si="81"/>
        <v>2.1228799816833198E-2</v>
      </c>
    </row>
    <row r="5524" spans="7:8" x14ac:dyDescent="0.3">
      <c r="G5524" s="78">
        <v>5521</v>
      </c>
      <c r="H5524">
        <f t="shared" ca="1" si="81"/>
        <v>1.0470020596310014E-2</v>
      </c>
    </row>
    <row r="5525" spans="7:8" x14ac:dyDescent="0.3">
      <c r="G5525" s="78">
        <v>5522</v>
      </c>
      <c r="H5525">
        <f t="shared" ca="1" si="81"/>
        <v>2.457917799892867E-2</v>
      </c>
    </row>
    <row r="5526" spans="7:8" x14ac:dyDescent="0.3">
      <c r="G5526" s="78">
        <v>5523</v>
      </c>
      <c r="H5526">
        <f t="shared" ca="1" si="81"/>
        <v>1.2078826220659851E-3</v>
      </c>
    </row>
    <row r="5527" spans="7:8" x14ac:dyDescent="0.3">
      <c r="G5527" s="78">
        <v>5524</v>
      </c>
      <c r="H5527">
        <f t="shared" ca="1" si="81"/>
        <v>-8.3898710414895272E-3</v>
      </c>
    </row>
    <row r="5528" spans="7:8" x14ac:dyDescent="0.3">
      <c r="G5528" s="78">
        <v>5525</v>
      </c>
      <c r="H5528">
        <f t="shared" ca="1" si="81"/>
        <v>1.7697810394960607E-2</v>
      </c>
    </row>
    <row r="5529" spans="7:8" x14ac:dyDescent="0.3">
      <c r="G5529" s="78">
        <v>5526</v>
      </c>
      <c r="H5529">
        <f t="shared" ca="1" si="81"/>
        <v>1.7000906494766032E-3</v>
      </c>
    </row>
    <row r="5530" spans="7:8" x14ac:dyDescent="0.3">
      <c r="G5530" s="78">
        <v>5527</v>
      </c>
      <c r="H5530">
        <f t="shared" ca="1" si="81"/>
        <v>7.3963107453316477E-3</v>
      </c>
    </row>
    <row r="5531" spans="7:8" x14ac:dyDescent="0.3">
      <c r="G5531" s="78">
        <v>5528</v>
      </c>
      <c r="H5531">
        <f t="shared" ca="1" si="81"/>
        <v>3.4295482745662106E-3</v>
      </c>
    </row>
    <row r="5532" spans="7:8" x14ac:dyDescent="0.3">
      <c r="G5532" s="78">
        <v>5529</v>
      </c>
      <c r="H5532">
        <f t="shared" ca="1" si="81"/>
        <v>1.7058911453716276E-2</v>
      </c>
    </row>
    <row r="5533" spans="7:8" x14ac:dyDescent="0.3">
      <c r="G5533" s="78">
        <v>5530</v>
      </c>
      <c r="H5533">
        <f t="shared" ca="1" si="81"/>
        <v>2.6750216989664854E-2</v>
      </c>
    </row>
    <row r="5534" spans="7:8" x14ac:dyDescent="0.3">
      <c r="G5534" s="78">
        <v>5531</v>
      </c>
      <c r="H5534">
        <f t="shared" ca="1" si="81"/>
        <v>-4.9211423952573675E-3</v>
      </c>
    </row>
    <row r="5535" spans="7:8" x14ac:dyDescent="0.3">
      <c r="G5535" s="78">
        <v>5532</v>
      </c>
      <c r="H5535">
        <f t="shared" ca="1" si="81"/>
        <v>-1.8270928386803491E-2</v>
      </c>
    </row>
    <row r="5536" spans="7:8" x14ac:dyDescent="0.3">
      <c r="G5536" s="78">
        <v>5533</v>
      </c>
      <c r="H5536">
        <f t="shared" ca="1" si="81"/>
        <v>-7.510158637989075E-3</v>
      </c>
    </row>
    <row r="5537" spans="7:8" x14ac:dyDescent="0.3">
      <c r="G5537" s="78">
        <v>5534</v>
      </c>
      <c r="H5537">
        <f t="shared" ca="1" si="81"/>
        <v>1.3648028668813976E-2</v>
      </c>
    </row>
    <row r="5538" spans="7:8" x14ac:dyDescent="0.3">
      <c r="G5538" s="78">
        <v>5535</v>
      </c>
      <c r="H5538">
        <f t="shared" ca="1" si="81"/>
        <v>5.8585376906566842E-3</v>
      </c>
    </row>
    <row r="5539" spans="7:8" x14ac:dyDescent="0.3">
      <c r="G5539" s="78">
        <v>5536</v>
      </c>
      <c r="H5539">
        <f t="shared" ca="1" si="81"/>
        <v>-7.1928535032863413E-3</v>
      </c>
    </row>
    <row r="5540" spans="7:8" x14ac:dyDescent="0.3">
      <c r="G5540" s="78">
        <v>5537</v>
      </c>
      <c r="H5540">
        <f t="shared" ca="1" si="81"/>
        <v>-1.9185623976479022E-2</v>
      </c>
    </row>
    <row r="5541" spans="7:8" x14ac:dyDescent="0.3">
      <c r="G5541" s="78">
        <v>5538</v>
      </c>
      <c r="H5541">
        <f t="shared" ca="1" si="81"/>
        <v>-3.4262617631253697E-2</v>
      </c>
    </row>
    <row r="5542" spans="7:8" x14ac:dyDescent="0.3">
      <c r="G5542" s="78">
        <v>5539</v>
      </c>
      <c r="H5542">
        <f t="shared" ca="1" si="81"/>
        <v>1.0111066582784196E-2</v>
      </c>
    </row>
    <row r="5543" spans="7:8" x14ac:dyDescent="0.3">
      <c r="G5543" s="78">
        <v>5540</v>
      </c>
      <c r="H5543">
        <f t="shared" ca="1" si="81"/>
        <v>-9.2154137577927977E-3</v>
      </c>
    </row>
    <row r="5544" spans="7:8" x14ac:dyDescent="0.3">
      <c r="G5544" s="78">
        <v>5541</v>
      </c>
      <c r="H5544">
        <f t="shared" ca="1" si="81"/>
        <v>-8.4610270069369995E-4</v>
      </c>
    </row>
    <row r="5545" spans="7:8" x14ac:dyDescent="0.3">
      <c r="G5545" s="78">
        <v>5542</v>
      </c>
      <c r="H5545">
        <f t="shared" ca="1" si="81"/>
        <v>3.1228478902682835E-2</v>
      </c>
    </row>
    <row r="5546" spans="7:8" x14ac:dyDescent="0.3">
      <c r="G5546" s="78">
        <v>5543</v>
      </c>
      <c r="H5546">
        <f t="shared" ca="1" si="81"/>
        <v>1.9583653186176993E-2</v>
      </c>
    </row>
    <row r="5547" spans="7:8" x14ac:dyDescent="0.3">
      <c r="G5547" s="78">
        <v>5544</v>
      </c>
      <c r="H5547">
        <f t="shared" ca="1" si="81"/>
        <v>3.3263998697158119E-2</v>
      </c>
    </row>
    <row r="5548" spans="7:8" x14ac:dyDescent="0.3">
      <c r="G5548" s="78">
        <v>5545</v>
      </c>
      <c r="H5548">
        <f t="shared" ca="1" si="81"/>
        <v>-2.1150816952898999E-3</v>
      </c>
    </row>
    <row r="5549" spans="7:8" x14ac:dyDescent="0.3">
      <c r="G5549" s="78">
        <v>5546</v>
      </c>
      <c r="H5549">
        <f t="shared" ca="1" si="81"/>
        <v>2.8444419373395879E-2</v>
      </c>
    </row>
    <row r="5550" spans="7:8" x14ac:dyDescent="0.3">
      <c r="G5550" s="78">
        <v>5547</v>
      </c>
      <c r="H5550">
        <f t="shared" ca="1" si="81"/>
        <v>-3.5849862136443054E-3</v>
      </c>
    </row>
    <row r="5551" spans="7:8" x14ac:dyDescent="0.3">
      <c r="G5551" s="78">
        <v>5548</v>
      </c>
      <c r="H5551">
        <f t="shared" ca="1" si="81"/>
        <v>1.0839947782041188E-2</v>
      </c>
    </row>
    <row r="5552" spans="7:8" x14ac:dyDescent="0.3">
      <c r="G5552" s="78">
        <v>5549</v>
      </c>
      <c r="H5552">
        <f t="shared" ca="1" si="81"/>
        <v>1.9491339818985341E-2</v>
      </c>
    </row>
    <row r="5553" spans="7:8" x14ac:dyDescent="0.3">
      <c r="G5553" s="78">
        <v>5550</v>
      </c>
      <c r="H5553">
        <f t="shared" ca="1" si="81"/>
        <v>-2.121142057008894E-2</v>
      </c>
    </row>
    <row r="5554" spans="7:8" x14ac:dyDescent="0.3">
      <c r="G5554" s="78">
        <v>5551</v>
      </c>
      <c r="H5554">
        <f t="shared" ca="1" si="81"/>
        <v>-1.7307121878660639E-2</v>
      </c>
    </row>
    <row r="5555" spans="7:8" x14ac:dyDescent="0.3">
      <c r="G5555" s="78">
        <v>5552</v>
      </c>
      <c r="H5555">
        <f t="shared" ca="1" si="81"/>
        <v>1.2026153285741456E-2</v>
      </c>
    </row>
    <row r="5556" spans="7:8" x14ac:dyDescent="0.3">
      <c r="G5556" s="78">
        <v>5553</v>
      </c>
      <c r="H5556">
        <f t="shared" ca="1" si="81"/>
        <v>-4.7351845595714648E-2</v>
      </c>
    </row>
    <row r="5557" spans="7:8" x14ac:dyDescent="0.3">
      <c r="G5557" s="78">
        <v>5554</v>
      </c>
      <c r="H5557">
        <f t="shared" ca="1" si="81"/>
        <v>-2.4772877238951581E-3</v>
      </c>
    </row>
    <row r="5558" spans="7:8" x14ac:dyDescent="0.3">
      <c r="G5558" s="78">
        <v>5555</v>
      </c>
      <c r="H5558">
        <f t="shared" ca="1" si="81"/>
        <v>-1.6113650939930432E-3</v>
      </c>
    </row>
    <row r="5559" spans="7:8" x14ac:dyDescent="0.3">
      <c r="G5559" s="78">
        <v>5556</v>
      </c>
      <c r="H5559">
        <f t="shared" ca="1" si="81"/>
        <v>-3.1873253322266308E-2</v>
      </c>
    </row>
    <row r="5560" spans="7:8" x14ac:dyDescent="0.3">
      <c r="G5560" s="78">
        <v>5557</v>
      </c>
      <c r="H5560">
        <f t="shared" ca="1" si="81"/>
        <v>1.1480853390070357E-2</v>
      </c>
    </row>
    <row r="5561" spans="7:8" x14ac:dyDescent="0.3">
      <c r="G5561" s="78">
        <v>5558</v>
      </c>
      <c r="H5561">
        <f t="shared" ca="1" si="81"/>
        <v>9.6409235354615579E-3</v>
      </c>
    </row>
    <row r="5562" spans="7:8" x14ac:dyDescent="0.3">
      <c r="G5562" s="78">
        <v>5559</v>
      </c>
      <c r="H5562">
        <f t="shared" ca="1" si="81"/>
        <v>-1.049690510833977E-2</v>
      </c>
    </row>
    <row r="5563" spans="7:8" x14ac:dyDescent="0.3">
      <c r="G5563" s="78">
        <v>5560</v>
      </c>
      <c r="H5563">
        <f t="shared" ca="1" si="81"/>
        <v>-1.6754452540241879E-2</v>
      </c>
    </row>
    <row r="5564" spans="7:8" x14ac:dyDescent="0.3">
      <c r="G5564" s="78">
        <v>5561</v>
      </c>
      <c r="H5564">
        <f t="shared" ca="1" si="81"/>
        <v>1.4930710663542304E-2</v>
      </c>
    </row>
    <row r="5565" spans="7:8" x14ac:dyDescent="0.3">
      <c r="G5565" s="78">
        <v>5562</v>
      </c>
      <c r="H5565">
        <f t="shared" ca="1" si="81"/>
        <v>-3.1563213542486625E-2</v>
      </c>
    </row>
    <row r="5566" spans="7:8" x14ac:dyDescent="0.3">
      <c r="G5566" s="78">
        <v>5563</v>
      </c>
      <c r="H5566">
        <f t="shared" ca="1" si="81"/>
        <v>2.5928425572407328E-2</v>
      </c>
    </row>
    <row r="5567" spans="7:8" x14ac:dyDescent="0.3">
      <c r="G5567" s="78">
        <v>5564</v>
      </c>
      <c r="H5567">
        <f t="shared" ca="1" si="81"/>
        <v>-5.9647779994780213E-3</v>
      </c>
    </row>
    <row r="5568" spans="7:8" x14ac:dyDescent="0.3">
      <c r="G5568" s="78">
        <v>5565</v>
      </c>
      <c r="H5568">
        <f t="shared" ca="1" si="81"/>
        <v>1.6034189739907986E-2</v>
      </c>
    </row>
    <row r="5569" spans="7:8" x14ac:dyDescent="0.3">
      <c r="G5569" s="78">
        <v>5566</v>
      </c>
      <c r="H5569">
        <f t="shared" ca="1" si="81"/>
        <v>6.6916472998198671E-3</v>
      </c>
    </row>
    <row r="5570" spans="7:8" x14ac:dyDescent="0.3">
      <c r="G5570" s="78">
        <v>5567</v>
      </c>
      <c r="H5570">
        <f t="shared" ca="1" si="81"/>
        <v>1.30576848313499E-2</v>
      </c>
    </row>
    <row r="5571" spans="7:8" x14ac:dyDescent="0.3">
      <c r="G5571" s="78">
        <v>5568</v>
      </c>
      <c r="H5571">
        <f t="shared" ca="1" si="81"/>
        <v>3.712240714655847E-3</v>
      </c>
    </row>
    <row r="5572" spans="7:8" x14ac:dyDescent="0.3">
      <c r="G5572" s="78">
        <v>5569</v>
      </c>
      <c r="H5572">
        <f t="shared" ref="H5572:H5635" ca="1" si="82">_xlfn.NORM.INV(RAND(),$N$4,$N$5)</f>
        <v>-9.6251866803732551E-3</v>
      </c>
    </row>
    <row r="5573" spans="7:8" x14ac:dyDescent="0.3">
      <c r="G5573" s="78">
        <v>5570</v>
      </c>
      <c r="H5573">
        <f t="shared" ca="1" si="82"/>
        <v>1.420817481240606E-2</v>
      </c>
    </row>
    <row r="5574" spans="7:8" x14ac:dyDescent="0.3">
      <c r="G5574" s="78">
        <v>5571</v>
      </c>
      <c r="H5574">
        <f t="shared" ca="1" si="82"/>
        <v>-5.0007855855115193E-3</v>
      </c>
    </row>
    <row r="5575" spans="7:8" x14ac:dyDescent="0.3">
      <c r="G5575" s="78">
        <v>5572</v>
      </c>
      <c r="H5575">
        <f t="shared" ca="1" si="82"/>
        <v>-3.3677166584166677E-4</v>
      </c>
    </row>
    <row r="5576" spans="7:8" x14ac:dyDescent="0.3">
      <c r="G5576" s="78">
        <v>5573</v>
      </c>
      <c r="H5576">
        <f t="shared" ca="1" si="82"/>
        <v>7.5498531124816772E-3</v>
      </c>
    </row>
    <row r="5577" spans="7:8" x14ac:dyDescent="0.3">
      <c r="G5577" s="78">
        <v>5574</v>
      </c>
      <c r="H5577">
        <f t="shared" ca="1" si="82"/>
        <v>-2.1512401804889666E-2</v>
      </c>
    </row>
    <row r="5578" spans="7:8" x14ac:dyDescent="0.3">
      <c r="G5578" s="78">
        <v>5575</v>
      </c>
      <c r="H5578">
        <f t="shared" ca="1" si="82"/>
        <v>-1.2887272396014242E-2</v>
      </c>
    </row>
    <row r="5579" spans="7:8" x14ac:dyDescent="0.3">
      <c r="G5579" s="78">
        <v>5576</v>
      </c>
      <c r="H5579">
        <f t="shared" ca="1" si="82"/>
        <v>-3.0013375348162355E-2</v>
      </c>
    </row>
    <row r="5580" spans="7:8" x14ac:dyDescent="0.3">
      <c r="G5580" s="78">
        <v>5577</v>
      </c>
      <c r="H5580">
        <f t="shared" ca="1" si="82"/>
        <v>2.6290521306686677E-2</v>
      </c>
    </row>
    <row r="5581" spans="7:8" x14ac:dyDescent="0.3">
      <c r="G5581" s="78">
        <v>5578</v>
      </c>
      <c r="H5581">
        <f t="shared" ca="1" si="82"/>
        <v>-5.8323088277865004E-3</v>
      </c>
    </row>
    <row r="5582" spans="7:8" x14ac:dyDescent="0.3">
      <c r="G5582" s="78">
        <v>5579</v>
      </c>
      <c r="H5582">
        <f t="shared" ca="1" si="82"/>
        <v>5.4347325757632431E-2</v>
      </c>
    </row>
    <row r="5583" spans="7:8" x14ac:dyDescent="0.3">
      <c r="G5583" s="78">
        <v>5580</v>
      </c>
      <c r="H5583">
        <f t="shared" ca="1" si="82"/>
        <v>2.3805900118518335E-2</v>
      </c>
    </row>
    <row r="5584" spans="7:8" x14ac:dyDescent="0.3">
      <c r="G5584" s="78">
        <v>5581</v>
      </c>
      <c r="H5584">
        <f t="shared" ca="1" si="82"/>
        <v>1.3615288752639723E-2</v>
      </c>
    </row>
    <row r="5585" spans="7:8" x14ac:dyDescent="0.3">
      <c r="G5585" s="78">
        <v>5582</v>
      </c>
      <c r="H5585">
        <f t="shared" ca="1" si="82"/>
        <v>-2.4383394837024588E-2</v>
      </c>
    </row>
    <row r="5586" spans="7:8" x14ac:dyDescent="0.3">
      <c r="G5586" s="78">
        <v>5583</v>
      </c>
      <c r="H5586">
        <f t="shared" ca="1" si="82"/>
        <v>-4.5929657396306903E-2</v>
      </c>
    </row>
    <row r="5587" spans="7:8" x14ac:dyDescent="0.3">
      <c r="G5587" s="78">
        <v>5584</v>
      </c>
      <c r="H5587">
        <f t="shared" ca="1" si="82"/>
        <v>-6.7114518098930686E-3</v>
      </c>
    </row>
    <row r="5588" spans="7:8" x14ac:dyDescent="0.3">
      <c r="G5588" s="78">
        <v>5585</v>
      </c>
      <c r="H5588">
        <f t="shared" ca="1" si="82"/>
        <v>1.6807992934209835E-2</v>
      </c>
    </row>
    <row r="5589" spans="7:8" x14ac:dyDescent="0.3">
      <c r="G5589" s="78">
        <v>5586</v>
      </c>
      <c r="H5589">
        <f t="shared" ca="1" si="82"/>
        <v>5.4910558848466785E-3</v>
      </c>
    </row>
    <row r="5590" spans="7:8" x14ac:dyDescent="0.3">
      <c r="G5590" s="78">
        <v>5587</v>
      </c>
      <c r="H5590">
        <f t="shared" ca="1" si="82"/>
        <v>-9.7517649043462086E-3</v>
      </c>
    </row>
    <row r="5591" spans="7:8" x14ac:dyDescent="0.3">
      <c r="G5591" s="78">
        <v>5588</v>
      </c>
      <c r="H5591">
        <f t="shared" ca="1" si="82"/>
        <v>9.3546601806278624E-3</v>
      </c>
    </row>
    <row r="5592" spans="7:8" x14ac:dyDescent="0.3">
      <c r="G5592" s="78">
        <v>5589</v>
      </c>
      <c r="H5592">
        <f t="shared" ca="1" si="82"/>
        <v>3.2351463133836883E-2</v>
      </c>
    </row>
    <row r="5593" spans="7:8" x14ac:dyDescent="0.3">
      <c r="G5593" s="78">
        <v>5590</v>
      </c>
      <c r="H5593">
        <f t="shared" ca="1" si="82"/>
        <v>3.2068945148112669E-2</v>
      </c>
    </row>
    <row r="5594" spans="7:8" x14ac:dyDescent="0.3">
      <c r="G5594" s="78">
        <v>5591</v>
      </c>
      <c r="H5594">
        <f t="shared" ca="1" si="82"/>
        <v>4.4930228777840531E-3</v>
      </c>
    </row>
    <row r="5595" spans="7:8" x14ac:dyDescent="0.3">
      <c r="G5595" s="78">
        <v>5592</v>
      </c>
      <c r="H5595">
        <f t="shared" ca="1" si="82"/>
        <v>4.6308515347726724E-2</v>
      </c>
    </row>
    <row r="5596" spans="7:8" x14ac:dyDescent="0.3">
      <c r="G5596" s="78">
        <v>5593</v>
      </c>
      <c r="H5596">
        <f t="shared" ca="1" si="82"/>
        <v>-1.0385997718573342E-2</v>
      </c>
    </row>
    <row r="5597" spans="7:8" x14ac:dyDescent="0.3">
      <c r="G5597" s="78">
        <v>5594</v>
      </c>
      <c r="H5597">
        <f t="shared" ca="1" si="82"/>
        <v>3.602613665181123E-3</v>
      </c>
    </row>
    <row r="5598" spans="7:8" x14ac:dyDescent="0.3">
      <c r="G5598" s="78">
        <v>5595</v>
      </c>
      <c r="H5598">
        <f t="shared" ca="1" si="82"/>
        <v>-4.2557303547888807E-3</v>
      </c>
    </row>
    <row r="5599" spans="7:8" x14ac:dyDescent="0.3">
      <c r="G5599" s="78">
        <v>5596</v>
      </c>
      <c r="H5599">
        <f t="shared" ca="1" si="82"/>
        <v>3.3204706686214194E-3</v>
      </c>
    </row>
    <row r="5600" spans="7:8" x14ac:dyDescent="0.3">
      <c r="G5600" s="78">
        <v>5597</v>
      </c>
      <c r="H5600">
        <f t="shared" ca="1" si="82"/>
        <v>3.0517557308839146E-2</v>
      </c>
    </row>
    <row r="5601" spans="7:8" x14ac:dyDescent="0.3">
      <c r="G5601" s="78">
        <v>5598</v>
      </c>
      <c r="H5601">
        <f t="shared" ca="1" si="82"/>
        <v>2.3991192287350388E-2</v>
      </c>
    </row>
    <row r="5602" spans="7:8" x14ac:dyDescent="0.3">
      <c r="G5602" s="78">
        <v>5599</v>
      </c>
      <c r="H5602">
        <f t="shared" ca="1" si="82"/>
        <v>2.5875081088918311E-2</v>
      </c>
    </row>
    <row r="5603" spans="7:8" x14ac:dyDescent="0.3">
      <c r="G5603" s="78">
        <v>5600</v>
      </c>
      <c r="H5603">
        <f t="shared" ca="1" si="82"/>
        <v>-6.5628717620792353E-3</v>
      </c>
    </row>
    <row r="5604" spans="7:8" x14ac:dyDescent="0.3">
      <c r="G5604" s="78">
        <v>5601</v>
      </c>
      <c r="H5604">
        <f t="shared" ca="1" si="82"/>
        <v>-1.5014580497734195E-2</v>
      </c>
    </row>
    <row r="5605" spans="7:8" x14ac:dyDescent="0.3">
      <c r="G5605" s="78">
        <v>5602</v>
      </c>
      <c r="H5605">
        <f t="shared" ca="1" si="82"/>
        <v>-6.6235305496936863E-3</v>
      </c>
    </row>
    <row r="5606" spans="7:8" x14ac:dyDescent="0.3">
      <c r="G5606" s="78">
        <v>5603</v>
      </c>
      <c r="H5606">
        <f t="shared" ca="1" si="82"/>
        <v>2.5069935696447419E-2</v>
      </c>
    </row>
    <row r="5607" spans="7:8" x14ac:dyDescent="0.3">
      <c r="G5607" s="78">
        <v>5604</v>
      </c>
      <c r="H5607">
        <f t="shared" ca="1" si="82"/>
        <v>-1.0224958769920309E-2</v>
      </c>
    </row>
    <row r="5608" spans="7:8" x14ac:dyDescent="0.3">
      <c r="G5608" s="78">
        <v>5605</v>
      </c>
      <c r="H5608">
        <f t="shared" ca="1" si="82"/>
        <v>1.2369695653852287E-2</v>
      </c>
    </row>
    <row r="5609" spans="7:8" x14ac:dyDescent="0.3">
      <c r="G5609" s="78">
        <v>5606</v>
      </c>
      <c r="H5609">
        <f t="shared" ca="1" si="82"/>
        <v>-4.8679467678068307E-2</v>
      </c>
    </row>
    <row r="5610" spans="7:8" x14ac:dyDescent="0.3">
      <c r="G5610" s="78">
        <v>5607</v>
      </c>
      <c r="H5610">
        <f t="shared" ca="1" si="82"/>
        <v>-1.1303648166353755E-2</v>
      </c>
    </row>
    <row r="5611" spans="7:8" x14ac:dyDescent="0.3">
      <c r="G5611" s="78">
        <v>5608</v>
      </c>
      <c r="H5611">
        <f t="shared" ca="1" si="82"/>
        <v>-2.7628689344454858E-2</v>
      </c>
    </row>
    <row r="5612" spans="7:8" x14ac:dyDescent="0.3">
      <c r="G5612" s="78">
        <v>5609</v>
      </c>
      <c r="H5612">
        <f t="shared" ca="1" si="82"/>
        <v>4.3653546192577008E-3</v>
      </c>
    </row>
    <row r="5613" spans="7:8" x14ac:dyDescent="0.3">
      <c r="G5613" s="78">
        <v>5610</v>
      </c>
      <c r="H5613">
        <f t="shared" ca="1" si="82"/>
        <v>-1.8841202047185764E-2</v>
      </c>
    </row>
    <row r="5614" spans="7:8" x14ac:dyDescent="0.3">
      <c r="G5614" s="78">
        <v>5611</v>
      </c>
      <c r="H5614">
        <f t="shared" ca="1" si="82"/>
        <v>-2.6201133629716516E-2</v>
      </c>
    </row>
    <row r="5615" spans="7:8" x14ac:dyDescent="0.3">
      <c r="G5615" s="78">
        <v>5612</v>
      </c>
      <c r="H5615">
        <f t="shared" ca="1" si="82"/>
        <v>1.2038371949156931E-2</v>
      </c>
    </row>
    <row r="5616" spans="7:8" x14ac:dyDescent="0.3">
      <c r="G5616" s="78">
        <v>5613</v>
      </c>
      <c r="H5616">
        <f t="shared" ca="1" si="82"/>
        <v>2.5292290452667097E-2</v>
      </c>
    </row>
    <row r="5617" spans="7:8" x14ac:dyDescent="0.3">
      <c r="G5617" s="78">
        <v>5614</v>
      </c>
      <c r="H5617">
        <f t="shared" ca="1" si="82"/>
        <v>5.1379927457358629E-3</v>
      </c>
    </row>
    <row r="5618" spans="7:8" x14ac:dyDescent="0.3">
      <c r="G5618" s="78">
        <v>5615</v>
      </c>
      <c r="H5618">
        <f t="shared" ca="1" si="82"/>
        <v>1.5606172388418939E-2</v>
      </c>
    </row>
    <row r="5619" spans="7:8" x14ac:dyDescent="0.3">
      <c r="G5619" s="78">
        <v>5616</v>
      </c>
      <c r="H5619">
        <f t="shared" ca="1" si="82"/>
        <v>-3.3379520393780698E-2</v>
      </c>
    </row>
    <row r="5620" spans="7:8" x14ac:dyDescent="0.3">
      <c r="G5620" s="78">
        <v>5617</v>
      </c>
      <c r="H5620">
        <f t="shared" ca="1" si="82"/>
        <v>-2.5950655806836774E-2</v>
      </c>
    </row>
    <row r="5621" spans="7:8" x14ac:dyDescent="0.3">
      <c r="G5621" s="78">
        <v>5618</v>
      </c>
      <c r="H5621">
        <f t="shared" ca="1" si="82"/>
        <v>-7.7383247776258253E-3</v>
      </c>
    </row>
    <row r="5622" spans="7:8" x14ac:dyDescent="0.3">
      <c r="G5622" s="78">
        <v>5619</v>
      </c>
      <c r="H5622">
        <f t="shared" ca="1" si="82"/>
        <v>-1.2903606102578787E-3</v>
      </c>
    </row>
    <row r="5623" spans="7:8" x14ac:dyDescent="0.3">
      <c r="G5623" s="78">
        <v>5620</v>
      </c>
      <c r="H5623">
        <f t="shared" ca="1" si="82"/>
        <v>-2.8407440353840741E-2</v>
      </c>
    </row>
    <row r="5624" spans="7:8" x14ac:dyDescent="0.3">
      <c r="G5624" s="78">
        <v>5621</v>
      </c>
      <c r="H5624">
        <f t="shared" ca="1" si="82"/>
        <v>-6.5782438675922603E-3</v>
      </c>
    </row>
    <row r="5625" spans="7:8" x14ac:dyDescent="0.3">
      <c r="G5625" s="78">
        <v>5622</v>
      </c>
      <c r="H5625">
        <f t="shared" ca="1" si="82"/>
        <v>9.4094052485647339E-3</v>
      </c>
    </row>
    <row r="5626" spans="7:8" x14ac:dyDescent="0.3">
      <c r="G5626" s="78">
        <v>5623</v>
      </c>
      <c r="H5626">
        <f t="shared" ca="1" si="82"/>
        <v>9.4826883896659015E-3</v>
      </c>
    </row>
    <row r="5627" spans="7:8" x14ac:dyDescent="0.3">
      <c r="G5627" s="78">
        <v>5624</v>
      </c>
      <c r="H5627">
        <f t="shared" ca="1" si="82"/>
        <v>2.8104081685363332E-2</v>
      </c>
    </row>
    <row r="5628" spans="7:8" x14ac:dyDescent="0.3">
      <c r="G5628" s="78">
        <v>5625</v>
      </c>
      <c r="H5628">
        <f t="shared" ca="1" si="82"/>
        <v>9.8005794151856829E-4</v>
      </c>
    </row>
    <row r="5629" spans="7:8" x14ac:dyDescent="0.3">
      <c r="G5629" s="78">
        <v>5626</v>
      </c>
      <c r="H5629">
        <f t="shared" ca="1" si="82"/>
        <v>1.1742410025443148E-2</v>
      </c>
    </row>
    <row r="5630" spans="7:8" x14ac:dyDescent="0.3">
      <c r="G5630" s="78">
        <v>5627</v>
      </c>
      <c r="H5630">
        <f t="shared" ca="1" si="82"/>
        <v>3.3180016112743143E-5</v>
      </c>
    </row>
    <row r="5631" spans="7:8" x14ac:dyDescent="0.3">
      <c r="G5631" s="78">
        <v>5628</v>
      </c>
      <c r="H5631">
        <f t="shared" ca="1" si="82"/>
        <v>-7.6531724929619271E-3</v>
      </c>
    </row>
    <row r="5632" spans="7:8" x14ac:dyDescent="0.3">
      <c r="G5632" s="78">
        <v>5629</v>
      </c>
      <c r="H5632">
        <f t="shared" ca="1" si="82"/>
        <v>1.655597809225736E-2</v>
      </c>
    </row>
    <row r="5633" spans="7:8" x14ac:dyDescent="0.3">
      <c r="G5633" s="78">
        <v>5630</v>
      </c>
      <c r="H5633">
        <f t="shared" ca="1" si="82"/>
        <v>1.3397257826396966E-2</v>
      </c>
    </row>
    <row r="5634" spans="7:8" x14ac:dyDescent="0.3">
      <c r="G5634" s="78">
        <v>5631</v>
      </c>
      <c r="H5634">
        <f t="shared" ca="1" si="82"/>
        <v>-2.1723085322972936E-2</v>
      </c>
    </row>
    <row r="5635" spans="7:8" x14ac:dyDescent="0.3">
      <c r="G5635" s="78">
        <v>5632</v>
      </c>
      <c r="H5635">
        <f t="shared" ca="1" si="82"/>
        <v>-2.8256183985838129E-3</v>
      </c>
    </row>
    <row r="5636" spans="7:8" x14ac:dyDescent="0.3">
      <c r="G5636" s="78">
        <v>5633</v>
      </c>
      <c r="H5636">
        <f t="shared" ref="H5636:H5699" ca="1" si="83">_xlfn.NORM.INV(RAND(),$N$4,$N$5)</f>
        <v>-3.6925789388753657E-3</v>
      </c>
    </row>
    <row r="5637" spans="7:8" x14ac:dyDescent="0.3">
      <c r="G5637" s="78">
        <v>5634</v>
      </c>
      <c r="H5637">
        <f t="shared" ca="1" si="83"/>
        <v>7.525902154553679E-3</v>
      </c>
    </row>
    <row r="5638" spans="7:8" x14ac:dyDescent="0.3">
      <c r="G5638" s="78">
        <v>5635</v>
      </c>
      <c r="H5638">
        <f t="shared" ca="1" si="83"/>
        <v>1.1155636147148977E-2</v>
      </c>
    </row>
    <row r="5639" spans="7:8" x14ac:dyDescent="0.3">
      <c r="G5639" s="78">
        <v>5636</v>
      </c>
      <c r="H5639">
        <f t="shared" ca="1" si="83"/>
        <v>-5.3967483961030868E-3</v>
      </c>
    </row>
    <row r="5640" spans="7:8" x14ac:dyDescent="0.3">
      <c r="G5640" s="78">
        <v>5637</v>
      </c>
      <c r="H5640">
        <f t="shared" ca="1" si="83"/>
        <v>2.6140591085813906E-4</v>
      </c>
    </row>
    <row r="5641" spans="7:8" x14ac:dyDescent="0.3">
      <c r="G5641" s="78">
        <v>5638</v>
      </c>
      <c r="H5641">
        <f t="shared" ca="1" si="83"/>
        <v>-4.5249819238927701E-2</v>
      </c>
    </row>
    <row r="5642" spans="7:8" x14ac:dyDescent="0.3">
      <c r="G5642" s="78">
        <v>5639</v>
      </c>
      <c r="H5642">
        <f t="shared" ca="1" si="83"/>
        <v>1.8686807383695429E-2</v>
      </c>
    </row>
    <row r="5643" spans="7:8" x14ac:dyDescent="0.3">
      <c r="G5643" s="78">
        <v>5640</v>
      </c>
      <c r="H5643">
        <f t="shared" ca="1" si="83"/>
        <v>-3.3587748007160327E-3</v>
      </c>
    </row>
    <row r="5644" spans="7:8" x14ac:dyDescent="0.3">
      <c r="G5644" s="78">
        <v>5641</v>
      </c>
      <c r="H5644">
        <f t="shared" ca="1" si="83"/>
        <v>3.9444372932459122E-3</v>
      </c>
    </row>
    <row r="5645" spans="7:8" x14ac:dyDescent="0.3">
      <c r="G5645" s="78">
        <v>5642</v>
      </c>
      <c r="H5645">
        <f t="shared" ca="1" si="83"/>
        <v>-1.9221439069844456E-2</v>
      </c>
    </row>
    <row r="5646" spans="7:8" x14ac:dyDescent="0.3">
      <c r="G5646" s="78">
        <v>5643</v>
      </c>
      <c r="H5646">
        <f t="shared" ca="1" si="83"/>
        <v>1.7015048859952041E-2</v>
      </c>
    </row>
    <row r="5647" spans="7:8" x14ac:dyDescent="0.3">
      <c r="G5647" s="78">
        <v>5644</v>
      </c>
      <c r="H5647">
        <f t="shared" ca="1" si="83"/>
        <v>1.3633457166048194E-2</v>
      </c>
    </row>
    <row r="5648" spans="7:8" x14ac:dyDescent="0.3">
      <c r="G5648" s="78">
        <v>5645</v>
      </c>
      <c r="H5648">
        <f t="shared" ca="1" si="83"/>
        <v>-8.4274192210674545E-3</v>
      </c>
    </row>
    <row r="5649" spans="7:8" x14ac:dyDescent="0.3">
      <c r="G5649" s="78">
        <v>5646</v>
      </c>
      <c r="H5649">
        <f t="shared" ca="1" si="83"/>
        <v>3.1990009896835515E-2</v>
      </c>
    </row>
    <row r="5650" spans="7:8" x14ac:dyDescent="0.3">
      <c r="G5650" s="78">
        <v>5647</v>
      </c>
      <c r="H5650">
        <f t="shared" ca="1" si="83"/>
        <v>-2.0474456804918387E-2</v>
      </c>
    </row>
    <row r="5651" spans="7:8" x14ac:dyDescent="0.3">
      <c r="G5651" s="78">
        <v>5648</v>
      </c>
      <c r="H5651">
        <f t="shared" ca="1" si="83"/>
        <v>-2.8555246791563543E-2</v>
      </c>
    </row>
    <row r="5652" spans="7:8" x14ac:dyDescent="0.3">
      <c r="G5652" s="78">
        <v>5649</v>
      </c>
      <c r="H5652">
        <f t="shared" ca="1" si="83"/>
        <v>9.9785386636950021E-3</v>
      </c>
    </row>
    <row r="5653" spans="7:8" x14ac:dyDescent="0.3">
      <c r="G5653" s="78">
        <v>5650</v>
      </c>
      <c r="H5653">
        <f t="shared" ca="1" si="83"/>
        <v>2.3243519977172795E-2</v>
      </c>
    </row>
    <row r="5654" spans="7:8" x14ac:dyDescent="0.3">
      <c r="G5654" s="78">
        <v>5651</v>
      </c>
      <c r="H5654">
        <f t="shared" ca="1" si="83"/>
        <v>-2.0896179824106971E-2</v>
      </c>
    </row>
    <row r="5655" spans="7:8" x14ac:dyDescent="0.3">
      <c r="G5655" s="78">
        <v>5652</v>
      </c>
      <c r="H5655">
        <f t="shared" ca="1" si="83"/>
        <v>1.8533432757164302E-2</v>
      </c>
    </row>
    <row r="5656" spans="7:8" x14ac:dyDescent="0.3">
      <c r="G5656" s="78">
        <v>5653</v>
      </c>
      <c r="H5656">
        <f t="shared" ca="1" si="83"/>
        <v>2.62223295641071E-2</v>
      </c>
    </row>
    <row r="5657" spans="7:8" x14ac:dyDescent="0.3">
      <c r="G5657" s="78">
        <v>5654</v>
      </c>
      <c r="H5657">
        <f t="shared" ca="1" si="83"/>
        <v>2.4754226555980783E-2</v>
      </c>
    </row>
    <row r="5658" spans="7:8" x14ac:dyDescent="0.3">
      <c r="G5658" s="78">
        <v>5655</v>
      </c>
      <c r="H5658">
        <f t="shared" ca="1" si="83"/>
        <v>1.2992214809502122E-2</v>
      </c>
    </row>
    <row r="5659" spans="7:8" x14ac:dyDescent="0.3">
      <c r="G5659" s="78">
        <v>5656</v>
      </c>
      <c r="H5659">
        <f t="shared" ca="1" si="83"/>
        <v>-3.6307937696895817E-2</v>
      </c>
    </row>
    <row r="5660" spans="7:8" x14ac:dyDescent="0.3">
      <c r="G5660" s="78">
        <v>5657</v>
      </c>
      <c r="H5660">
        <f t="shared" ca="1" si="83"/>
        <v>3.1193165203793893E-5</v>
      </c>
    </row>
    <row r="5661" spans="7:8" x14ac:dyDescent="0.3">
      <c r="G5661" s="78">
        <v>5658</v>
      </c>
      <c r="H5661">
        <f t="shared" ca="1" si="83"/>
        <v>-1.0140295455779347E-2</v>
      </c>
    </row>
    <row r="5662" spans="7:8" x14ac:dyDescent="0.3">
      <c r="G5662" s="78">
        <v>5659</v>
      </c>
      <c r="H5662">
        <f t="shared" ca="1" si="83"/>
        <v>-1.9278737929034864E-2</v>
      </c>
    </row>
    <row r="5663" spans="7:8" x14ac:dyDescent="0.3">
      <c r="G5663" s="78">
        <v>5660</v>
      </c>
      <c r="H5663">
        <f t="shared" ca="1" si="83"/>
        <v>-1.2680108175216231E-3</v>
      </c>
    </row>
    <row r="5664" spans="7:8" x14ac:dyDescent="0.3">
      <c r="G5664" s="78">
        <v>5661</v>
      </c>
      <c r="H5664">
        <f t="shared" ca="1" si="83"/>
        <v>-1.3232669953706255E-2</v>
      </c>
    </row>
    <row r="5665" spans="7:8" x14ac:dyDescent="0.3">
      <c r="G5665" s="78">
        <v>5662</v>
      </c>
      <c r="H5665">
        <f t="shared" ca="1" si="83"/>
        <v>-2.9492028870214761E-2</v>
      </c>
    </row>
    <row r="5666" spans="7:8" x14ac:dyDescent="0.3">
      <c r="G5666" s="78">
        <v>5663</v>
      </c>
      <c r="H5666">
        <f t="shared" ca="1" si="83"/>
        <v>-1.2494285593211121E-3</v>
      </c>
    </row>
    <row r="5667" spans="7:8" x14ac:dyDescent="0.3">
      <c r="G5667" s="78">
        <v>5664</v>
      </c>
      <c r="H5667">
        <f t="shared" ca="1" si="83"/>
        <v>-2.5897644226511484E-2</v>
      </c>
    </row>
    <row r="5668" spans="7:8" x14ac:dyDescent="0.3">
      <c r="G5668" s="78">
        <v>5665</v>
      </c>
      <c r="H5668">
        <f t="shared" ca="1" si="83"/>
        <v>1.7162298554845433E-2</v>
      </c>
    </row>
    <row r="5669" spans="7:8" x14ac:dyDescent="0.3">
      <c r="G5669" s="78">
        <v>5666</v>
      </c>
      <c r="H5669">
        <f t="shared" ca="1" si="83"/>
        <v>1.1542547244642034E-2</v>
      </c>
    </row>
    <row r="5670" spans="7:8" x14ac:dyDescent="0.3">
      <c r="G5670" s="78">
        <v>5667</v>
      </c>
      <c r="H5670">
        <f t="shared" ca="1" si="83"/>
        <v>-3.7431260153389899E-2</v>
      </c>
    </row>
    <row r="5671" spans="7:8" x14ac:dyDescent="0.3">
      <c r="G5671" s="78">
        <v>5668</v>
      </c>
      <c r="H5671">
        <f t="shared" ca="1" si="83"/>
        <v>1.9432583144238146E-2</v>
      </c>
    </row>
    <row r="5672" spans="7:8" x14ac:dyDescent="0.3">
      <c r="G5672" s="78">
        <v>5669</v>
      </c>
      <c r="H5672">
        <f t="shared" ca="1" si="83"/>
        <v>9.4726354021507503E-3</v>
      </c>
    </row>
    <row r="5673" spans="7:8" x14ac:dyDescent="0.3">
      <c r="G5673" s="78">
        <v>5670</v>
      </c>
      <c r="H5673">
        <f t="shared" ca="1" si="83"/>
        <v>-2.6369663172709563E-2</v>
      </c>
    </row>
    <row r="5674" spans="7:8" x14ac:dyDescent="0.3">
      <c r="G5674" s="78">
        <v>5671</v>
      </c>
      <c r="H5674">
        <f t="shared" ca="1" si="83"/>
        <v>-2.7713772983165026E-2</v>
      </c>
    </row>
    <row r="5675" spans="7:8" x14ac:dyDescent="0.3">
      <c r="G5675" s="78">
        <v>5672</v>
      </c>
      <c r="H5675">
        <f t="shared" ca="1" si="83"/>
        <v>1.0480034644089023E-2</v>
      </c>
    </row>
    <row r="5676" spans="7:8" x14ac:dyDescent="0.3">
      <c r="G5676" s="78">
        <v>5673</v>
      </c>
      <c r="H5676">
        <f t="shared" ca="1" si="83"/>
        <v>-1.5163802428046396E-2</v>
      </c>
    </row>
    <row r="5677" spans="7:8" x14ac:dyDescent="0.3">
      <c r="G5677" s="78">
        <v>5674</v>
      </c>
      <c r="H5677">
        <f t="shared" ca="1" si="83"/>
        <v>-3.8859424674709299E-3</v>
      </c>
    </row>
    <row r="5678" spans="7:8" x14ac:dyDescent="0.3">
      <c r="G5678" s="78">
        <v>5675</v>
      </c>
      <c r="H5678">
        <f t="shared" ca="1" si="83"/>
        <v>2.7269596784154151E-2</v>
      </c>
    </row>
    <row r="5679" spans="7:8" x14ac:dyDescent="0.3">
      <c r="G5679" s="78">
        <v>5676</v>
      </c>
      <c r="H5679">
        <f t="shared" ca="1" si="83"/>
        <v>1.0005046324231266E-3</v>
      </c>
    </row>
    <row r="5680" spans="7:8" x14ac:dyDescent="0.3">
      <c r="G5680" s="78">
        <v>5677</v>
      </c>
      <c r="H5680">
        <f t="shared" ca="1" si="83"/>
        <v>4.4146179472594376E-3</v>
      </c>
    </row>
    <row r="5681" spans="7:8" x14ac:dyDescent="0.3">
      <c r="G5681" s="78">
        <v>5678</v>
      </c>
      <c r="H5681">
        <f t="shared" ca="1" si="83"/>
        <v>-4.3181134820339508E-2</v>
      </c>
    </row>
    <row r="5682" spans="7:8" x14ac:dyDescent="0.3">
      <c r="G5682" s="78">
        <v>5679</v>
      </c>
      <c r="H5682">
        <f t="shared" ca="1" si="83"/>
        <v>-1.0864422193217885E-2</v>
      </c>
    </row>
    <row r="5683" spans="7:8" x14ac:dyDescent="0.3">
      <c r="G5683" s="78">
        <v>5680</v>
      </c>
      <c r="H5683">
        <f t="shared" ca="1" si="83"/>
        <v>-6.9800040922265326E-3</v>
      </c>
    </row>
    <row r="5684" spans="7:8" x14ac:dyDescent="0.3">
      <c r="G5684" s="78">
        <v>5681</v>
      </c>
      <c r="H5684">
        <f t="shared" ca="1" si="83"/>
        <v>-6.1507904580372225E-3</v>
      </c>
    </row>
    <row r="5685" spans="7:8" x14ac:dyDescent="0.3">
      <c r="G5685" s="78">
        <v>5682</v>
      </c>
      <c r="H5685">
        <f t="shared" ca="1" si="83"/>
        <v>-2.0146097076729833E-2</v>
      </c>
    </row>
    <row r="5686" spans="7:8" x14ac:dyDescent="0.3">
      <c r="G5686" s="78">
        <v>5683</v>
      </c>
      <c r="H5686">
        <f t="shared" ca="1" si="83"/>
        <v>1.0223225738179405E-2</v>
      </c>
    </row>
    <row r="5687" spans="7:8" x14ac:dyDescent="0.3">
      <c r="G5687" s="78">
        <v>5684</v>
      </c>
      <c r="H5687">
        <f t="shared" ca="1" si="83"/>
        <v>-1.7175146828666422E-2</v>
      </c>
    </row>
    <row r="5688" spans="7:8" x14ac:dyDescent="0.3">
      <c r="G5688" s="78">
        <v>5685</v>
      </c>
      <c r="H5688">
        <f t="shared" ca="1" si="83"/>
        <v>-1.9133332477958065E-2</v>
      </c>
    </row>
    <row r="5689" spans="7:8" x14ac:dyDescent="0.3">
      <c r="G5689" s="78">
        <v>5686</v>
      </c>
      <c r="H5689">
        <f t="shared" ca="1" si="83"/>
        <v>-2.4725843654164244E-2</v>
      </c>
    </row>
    <row r="5690" spans="7:8" x14ac:dyDescent="0.3">
      <c r="G5690" s="78">
        <v>5687</v>
      </c>
      <c r="H5690">
        <f t="shared" ca="1" si="83"/>
        <v>-2.4231601105566989E-3</v>
      </c>
    </row>
    <row r="5691" spans="7:8" x14ac:dyDescent="0.3">
      <c r="G5691" s="78">
        <v>5688</v>
      </c>
      <c r="H5691">
        <f t="shared" ca="1" si="83"/>
        <v>1.1388295857352102E-2</v>
      </c>
    </row>
    <row r="5692" spans="7:8" x14ac:dyDescent="0.3">
      <c r="G5692" s="78">
        <v>5689</v>
      </c>
      <c r="H5692">
        <f t="shared" ca="1" si="83"/>
        <v>7.8828200433016526E-3</v>
      </c>
    </row>
    <row r="5693" spans="7:8" x14ac:dyDescent="0.3">
      <c r="G5693" s="78">
        <v>5690</v>
      </c>
      <c r="H5693">
        <f t="shared" ca="1" si="83"/>
        <v>-1.1082648693878204E-2</v>
      </c>
    </row>
    <row r="5694" spans="7:8" x14ac:dyDescent="0.3">
      <c r="G5694" s="78">
        <v>5691</v>
      </c>
      <c r="H5694">
        <f t="shared" ca="1" si="83"/>
        <v>5.7173849698185335E-3</v>
      </c>
    </row>
    <row r="5695" spans="7:8" x14ac:dyDescent="0.3">
      <c r="G5695" s="78">
        <v>5692</v>
      </c>
      <c r="H5695">
        <f t="shared" ca="1" si="83"/>
        <v>-2.9485708231043715E-2</v>
      </c>
    </row>
    <row r="5696" spans="7:8" x14ac:dyDescent="0.3">
      <c r="G5696" s="78">
        <v>5693</v>
      </c>
      <c r="H5696">
        <f t="shared" ca="1" si="83"/>
        <v>-3.3134523968214539E-3</v>
      </c>
    </row>
    <row r="5697" spans="7:8" x14ac:dyDescent="0.3">
      <c r="G5697" s="78">
        <v>5694</v>
      </c>
      <c r="H5697">
        <f t="shared" ca="1" si="83"/>
        <v>1.3503956555898519E-2</v>
      </c>
    </row>
    <row r="5698" spans="7:8" x14ac:dyDescent="0.3">
      <c r="G5698" s="78">
        <v>5695</v>
      </c>
      <c r="H5698">
        <f t="shared" ca="1" si="83"/>
        <v>-3.4779913947355821E-2</v>
      </c>
    </row>
    <row r="5699" spans="7:8" x14ac:dyDescent="0.3">
      <c r="G5699" s="78">
        <v>5696</v>
      </c>
      <c r="H5699">
        <f t="shared" ca="1" si="83"/>
        <v>8.3135929310460682E-3</v>
      </c>
    </row>
    <row r="5700" spans="7:8" x14ac:dyDescent="0.3">
      <c r="G5700" s="78">
        <v>5697</v>
      </c>
      <c r="H5700">
        <f t="shared" ref="H5700:H5763" ca="1" si="84">_xlfn.NORM.INV(RAND(),$N$4,$N$5)</f>
        <v>-1.1846993796922797E-2</v>
      </c>
    </row>
    <row r="5701" spans="7:8" x14ac:dyDescent="0.3">
      <c r="G5701" s="78">
        <v>5698</v>
      </c>
      <c r="H5701">
        <f t="shared" ca="1" si="84"/>
        <v>1.1807331318758914E-2</v>
      </c>
    </row>
    <row r="5702" spans="7:8" x14ac:dyDescent="0.3">
      <c r="G5702" s="78">
        <v>5699</v>
      </c>
      <c r="H5702">
        <f t="shared" ca="1" si="84"/>
        <v>-9.1023407619949485E-3</v>
      </c>
    </row>
    <row r="5703" spans="7:8" x14ac:dyDescent="0.3">
      <c r="G5703" s="78">
        <v>5700</v>
      </c>
      <c r="H5703">
        <f t="shared" ca="1" si="84"/>
        <v>-2.9969943588799121E-3</v>
      </c>
    </row>
    <row r="5704" spans="7:8" x14ac:dyDescent="0.3">
      <c r="G5704" s="78">
        <v>5701</v>
      </c>
      <c r="H5704">
        <f t="shared" ca="1" si="84"/>
        <v>1.7455662713270589E-2</v>
      </c>
    </row>
    <row r="5705" spans="7:8" x14ac:dyDescent="0.3">
      <c r="G5705" s="78">
        <v>5702</v>
      </c>
      <c r="H5705">
        <f t="shared" ca="1" si="84"/>
        <v>1.7634898468396675E-2</v>
      </c>
    </row>
    <row r="5706" spans="7:8" x14ac:dyDescent="0.3">
      <c r="G5706" s="78">
        <v>5703</v>
      </c>
      <c r="H5706">
        <f t="shared" ca="1" si="84"/>
        <v>4.2659802036126834E-2</v>
      </c>
    </row>
    <row r="5707" spans="7:8" x14ac:dyDescent="0.3">
      <c r="G5707" s="78">
        <v>5704</v>
      </c>
      <c r="H5707">
        <f t="shared" ca="1" si="84"/>
        <v>-3.9058620624526155E-3</v>
      </c>
    </row>
    <row r="5708" spans="7:8" x14ac:dyDescent="0.3">
      <c r="G5708" s="78">
        <v>5705</v>
      </c>
      <c r="H5708">
        <f t="shared" ca="1" si="84"/>
        <v>1.6983470761408319E-2</v>
      </c>
    </row>
    <row r="5709" spans="7:8" x14ac:dyDescent="0.3">
      <c r="G5709" s="78">
        <v>5706</v>
      </c>
      <c r="H5709">
        <f t="shared" ca="1" si="84"/>
        <v>-2.7291219947671495E-2</v>
      </c>
    </row>
    <row r="5710" spans="7:8" x14ac:dyDescent="0.3">
      <c r="G5710" s="78">
        <v>5707</v>
      </c>
      <c r="H5710">
        <f t="shared" ca="1" si="84"/>
        <v>-2.447245205952019E-2</v>
      </c>
    </row>
    <row r="5711" spans="7:8" x14ac:dyDescent="0.3">
      <c r="G5711" s="78">
        <v>5708</v>
      </c>
      <c r="H5711">
        <f t="shared" ca="1" si="84"/>
        <v>-2.7728375987256127E-2</v>
      </c>
    </row>
    <row r="5712" spans="7:8" x14ac:dyDescent="0.3">
      <c r="G5712" s="78">
        <v>5709</v>
      </c>
      <c r="H5712">
        <f t="shared" ca="1" si="84"/>
        <v>-3.0509935967513186E-3</v>
      </c>
    </row>
    <row r="5713" spans="7:8" x14ac:dyDescent="0.3">
      <c r="G5713" s="78">
        <v>5710</v>
      </c>
      <c r="H5713">
        <f t="shared" ca="1" si="84"/>
        <v>1.4227356426048183E-2</v>
      </c>
    </row>
    <row r="5714" spans="7:8" x14ac:dyDescent="0.3">
      <c r="G5714" s="78">
        <v>5711</v>
      </c>
      <c r="H5714">
        <f t="shared" ca="1" si="84"/>
        <v>-5.8085757209748404E-3</v>
      </c>
    </row>
    <row r="5715" spans="7:8" x14ac:dyDescent="0.3">
      <c r="G5715" s="78">
        <v>5712</v>
      </c>
      <c r="H5715">
        <f t="shared" ca="1" si="84"/>
        <v>7.0862445961349255E-3</v>
      </c>
    </row>
    <row r="5716" spans="7:8" x14ac:dyDescent="0.3">
      <c r="G5716" s="78">
        <v>5713</v>
      </c>
      <c r="H5716">
        <f t="shared" ca="1" si="84"/>
        <v>-4.1415395795142543E-2</v>
      </c>
    </row>
    <row r="5717" spans="7:8" x14ac:dyDescent="0.3">
      <c r="G5717" s="78">
        <v>5714</v>
      </c>
      <c r="H5717">
        <f t="shared" ca="1" si="84"/>
        <v>-5.1152875611627869E-3</v>
      </c>
    </row>
    <row r="5718" spans="7:8" x14ac:dyDescent="0.3">
      <c r="G5718" s="78">
        <v>5715</v>
      </c>
      <c r="H5718">
        <f t="shared" ca="1" si="84"/>
        <v>7.2921937297960795E-4</v>
      </c>
    </row>
    <row r="5719" spans="7:8" x14ac:dyDescent="0.3">
      <c r="G5719" s="78">
        <v>5716</v>
      </c>
      <c r="H5719">
        <f t="shared" ca="1" si="84"/>
        <v>-9.8444971981461894E-3</v>
      </c>
    </row>
    <row r="5720" spans="7:8" x14ac:dyDescent="0.3">
      <c r="G5720" s="78">
        <v>5717</v>
      </c>
      <c r="H5720">
        <f t="shared" ca="1" si="84"/>
        <v>3.4034763333103353E-2</v>
      </c>
    </row>
    <row r="5721" spans="7:8" x14ac:dyDescent="0.3">
      <c r="G5721" s="78">
        <v>5718</v>
      </c>
      <c r="H5721">
        <f t="shared" ca="1" si="84"/>
        <v>3.916535756705504E-2</v>
      </c>
    </row>
    <row r="5722" spans="7:8" x14ac:dyDescent="0.3">
      <c r="G5722" s="78">
        <v>5719</v>
      </c>
      <c r="H5722">
        <f t="shared" ca="1" si="84"/>
        <v>-2.5453397204703221E-3</v>
      </c>
    </row>
    <row r="5723" spans="7:8" x14ac:dyDescent="0.3">
      <c r="G5723" s="78">
        <v>5720</v>
      </c>
      <c r="H5723">
        <f t="shared" ca="1" si="84"/>
        <v>1.8428949396201696E-2</v>
      </c>
    </row>
    <row r="5724" spans="7:8" x14ac:dyDescent="0.3">
      <c r="G5724" s="78">
        <v>5721</v>
      </c>
      <c r="H5724">
        <f t="shared" ca="1" si="84"/>
        <v>9.4116659149451835E-3</v>
      </c>
    </row>
    <row r="5725" spans="7:8" x14ac:dyDescent="0.3">
      <c r="G5725" s="78">
        <v>5722</v>
      </c>
      <c r="H5725">
        <f t="shared" ca="1" si="84"/>
        <v>-2.2609235898869671E-2</v>
      </c>
    </row>
    <row r="5726" spans="7:8" x14ac:dyDescent="0.3">
      <c r="G5726" s="78">
        <v>5723</v>
      </c>
      <c r="H5726">
        <f t="shared" ca="1" si="84"/>
        <v>2.9489104032066837E-2</v>
      </c>
    </row>
    <row r="5727" spans="7:8" x14ac:dyDescent="0.3">
      <c r="G5727" s="78">
        <v>5724</v>
      </c>
      <c r="H5727">
        <f t="shared" ca="1" si="84"/>
        <v>-1.2712424698239688E-2</v>
      </c>
    </row>
    <row r="5728" spans="7:8" x14ac:dyDescent="0.3">
      <c r="G5728" s="78">
        <v>5725</v>
      </c>
      <c r="H5728">
        <f t="shared" ca="1" si="84"/>
        <v>-1.6498446295461974E-2</v>
      </c>
    </row>
    <row r="5729" spans="7:8" x14ac:dyDescent="0.3">
      <c r="G5729" s="78">
        <v>5726</v>
      </c>
      <c r="H5729">
        <f t="shared" ca="1" si="84"/>
        <v>-4.3409341078940629E-3</v>
      </c>
    </row>
    <row r="5730" spans="7:8" x14ac:dyDescent="0.3">
      <c r="G5730" s="78">
        <v>5727</v>
      </c>
      <c r="H5730">
        <f t="shared" ca="1" si="84"/>
        <v>3.3933702059284525E-2</v>
      </c>
    </row>
    <row r="5731" spans="7:8" x14ac:dyDescent="0.3">
      <c r="G5731" s="78">
        <v>5728</v>
      </c>
      <c r="H5731">
        <f t="shared" ca="1" si="84"/>
        <v>1.1564155133805274E-2</v>
      </c>
    </row>
    <row r="5732" spans="7:8" x14ac:dyDescent="0.3">
      <c r="G5732" s="78">
        <v>5729</v>
      </c>
      <c r="H5732">
        <f t="shared" ca="1" si="84"/>
        <v>-4.773185584228002E-2</v>
      </c>
    </row>
    <row r="5733" spans="7:8" x14ac:dyDescent="0.3">
      <c r="G5733" s="78">
        <v>5730</v>
      </c>
      <c r="H5733">
        <f t="shared" ca="1" si="84"/>
        <v>6.3978466966689209E-3</v>
      </c>
    </row>
    <row r="5734" spans="7:8" x14ac:dyDescent="0.3">
      <c r="G5734" s="78">
        <v>5731</v>
      </c>
      <c r="H5734">
        <f t="shared" ca="1" si="84"/>
        <v>2.8903056338763352E-3</v>
      </c>
    </row>
    <row r="5735" spans="7:8" x14ac:dyDescent="0.3">
      <c r="G5735" s="78">
        <v>5732</v>
      </c>
      <c r="H5735">
        <f t="shared" ca="1" si="84"/>
        <v>4.0437926065655057E-2</v>
      </c>
    </row>
    <row r="5736" spans="7:8" x14ac:dyDescent="0.3">
      <c r="G5736" s="78">
        <v>5733</v>
      </c>
      <c r="H5736">
        <f t="shared" ca="1" si="84"/>
        <v>2.371266221108833E-2</v>
      </c>
    </row>
    <row r="5737" spans="7:8" x14ac:dyDescent="0.3">
      <c r="G5737" s="78">
        <v>5734</v>
      </c>
      <c r="H5737">
        <f t="shared" ca="1" si="84"/>
        <v>1.5062727192348168E-2</v>
      </c>
    </row>
    <row r="5738" spans="7:8" x14ac:dyDescent="0.3">
      <c r="G5738" s="78">
        <v>5735</v>
      </c>
      <c r="H5738">
        <f t="shared" ca="1" si="84"/>
        <v>8.4871344433262354E-3</v>
      </c>
    </row>
    <row r="5739" spans="7:8" x14ac:dyDescent="0.3">
      <c r="G5739" s="78">
        <v>5736</v>
      </c>
      <c r="H5739">
        <f t="shared" ca="1" si="84"/>
        <v>1.684758965030933E-2</v>
      </c>
    </row>
    <row r="5740" spans="7:8" x14ac:dyDescent="0.3">
      <c r="G5740" s="78">
        <v>5737</v>
      </c>
      <c r="H5740">
        <f t="shared" ca="1" si="84"/>
        <v>-6.3179800664418914E-4</v>
      </c>
    </row>
    <row r="5741" spans="7:8" x14ac:dyDescent="0.3">
      <c r="G5741" s="78">
        <v>5738</v>
      </c>
      <c r="H5741">
        <f t="shared" ca="1" si="84"/>
        <v>2.1623666001146302E-2</v>
      </c>
    </row>
    <row r="5742" spans="7:8" x14ac:dyDescent="0.3">
      <c r="G5742" s="78">
        <v>5739</v>
      </c>
      <c r="H5742">
        <f t="shared" ca="1" si="84"/>
        <v>6.5549930407422562E-3</v>
      </c>
    </row>
    <row r="5743" spans="7:8" x14ac:dyDescent="0.3">
      <c r="G5743" s="78">
        <v>5740</v>
      </c>
      <c r="H5743">
        <f t="shared" ca="1" si="84"/>
        <v>-3.0360067795063388E-2</v>
      </c>
    </row>
    <row r="5744" spans="7:8" x14ac:dyDescent="0.3">
      <c r="G5744" s="78">
        <v>5741</v>
      </c>
      <c r="H5744">
        <f t="shared" ca="1" si="84"/>
        <v>-3.5731109463650372E-2</v>
      </c>
    </row>
    <row r="5745" spans="7:8" x14ac:dyDescent="0.3">
      <c r="G5745" s="78">
        <v>5742</v>
      </c>
      <c r="H5745">
        <f t="shared" ca="1" si="84"/>
        <v>2.4446999507360269E-2</v>
      </c>
    </row>
    <row r="5746" spans="7:8" x14ac:dyDescent="0.3">
      <c r="G5746" s="78">
        <v>5743</v>
      </c>
      <c r="H5746">
        <f t="shared" ca="1" si="84"/>
        <v>-1.3237622775754417E-2</v>
      </c>
    </row>
    <row r="5747" spans="7:8" x14ac:dyDescent="0.3">
      <c r="G5747" s="78">
        <v>5744</v>
      </c>
      <c r="H5747">
        <f t="shared" ca="1" si="84"/>
        <v>-1.6761486609693666E-2</v>
      </c>
    </row>
    <row r="5748" spans="7:8" x14ac:dyDescent="0.3">
      <c r="G5748" s="78">
        <v>5745</v>
      </c>
      <c r="H5748">
        <f t="shared" ca="1" si="84"/>
        <v>1.4837486036691447E-2</v>
      </c>
    </row>
    <row r="5749" spans="7:8" x14ac:dyDescent="0.3">
      <c r="G5749" s="78">
        <v>5746</v>
      </c>
      <c r="H5749">
        <f t="shared" ca="1" si="84"/>
        <v>-1.3304259584168249E-2</v>
      </c>
    </row>
    <row r="5750" spans="7:8" x14ac:dyDescent="0.3">
      <c r="G5750" s="78">
        <v>5747</v>
      </c>
      <c r="H5750">
        <f t="shared" ca="1" si="84"/>
        <v>1.9242268965411084E-2</v>
      </c>
    </row>
    <row r="5751" spans="7:8" x14ac:dyDescent="0.3">
      <c r="G5751" s="78">
        <v>5748</v>
      </c>
      <c r="H5751">
        <f t="shared" ca="1" si="84"/>
        <v>-1.8534863258978112E-2</v>
      </c>
    </row>
    <row r="5752" spans="7:8" x14ac:dyDescent="0.3">
      <c r="G5752" s="78">
        <v>5749</v>
      </c>
      <c r="H5752">
        <f t="shared" ca="1" si="84"/>
        <v>-1.9897207448664935E-2</v>
      </c>
    </row>
    <row r="5753" spans="7:8" x14ac:dyDescent="0.3">
      <c r="G5753" s="78">
        <v>5750</v>
      </c>
      <c r="H5753">
        <f t="shared" ca="1" si="84"/>
        <v>4.7577621250575255E-3</v>
      </c>
    </row>
    <row r="5754" spans="7:8" x14ac:dyDescent="0.3">
      <c r="G5754" s="78">
        <v>5751</v>
      </c>
      <c r="H5754">
        <f t="shared" ca="1" si="84"/>
        <v>-2.6267295526258776E-2</v>
      </c>
    </row>
    <row r="5755" spans="7:8" x14ac:dyDescent="0.3">
      <c r="G5755" s="78">
        <v>5752</v>
      </c>
      <c r="H5755">
        <f t="shared" ca="1" si="84"/>
        <v>-1.4595669093062475E-2</v>
      </c>
    </row>
    <row r="5756" spans="7:8" x14ac:dyDescent="0.3">
      <c r="G5756" s="78">
        <v>5753</v>
      </c>
      <c r="H5756">
        <f t="shared" ca="1" si="84"/>
        <v>1.2598518834236129E-2</v>
      </c>
    </row>
    <row r="5757" spans="7:8" x14ac:dyDescent="0.3">
      <c r="G5757" s="78">
        <v>5754</v>
      </c>
      <c r="H5757">
        <f t="shared" ca="1" si="84"/>
        <v>7.4984102926768936E-3</v>
      </c>
    </row>
    <row r="5758" spans="7:8" x14ac:dyDescent="0.3">
      <c r="G5758" s="78">
        <v>5755</v>
      </c>
      <c r="H5758">
        <f t="shared" ca="1" si="84"/>
        <v>8.0007071916879721E-3</v>
      </c>
    </row>
    <row r="5759" spans="7:8" x14ac:dyDescent="0.3">
      <c r="G5759" s="78">
        <v>5756</v>
      </c>
      <c r="H5759">
        <f t="shared" ca="1" si="84"/>
        <v>-1.5270504960123979E-2</v>
      </c>
    </row>
    <row r="5760" spans="7:8" x14ac:dyDescent="0.3">
      <c r="G5760" s="78">
        <v>5757</v>
      </c>
      <c r="H5760">
        <f t="shared" ca="1" si="84"/>
        <v>-3.8345199360342017E-2</v>
      </c>
    </row>
    <row r="5761" spans="7:8" x14ac:dyDescent="0.3">
      <c r="G5761" s="78">
        <v>5758</v>
      </c>
      <c r="H5761">
        <f t="shared" ca="1" si="84"/>
        <v>9.7091495605496642E-3</v>
      </c>
    </row>
    <row r="5762" spans="7:8" x14ac:dyDescent="0.3">
      <c r="G5762" s="78">
        <v>5759</v>
      </c>
      <c r="H5762">
        <f t="shared" ca="1" si="84"/>
        <v>-1.4558351303617672E-2</v>
      </c>
    </row>
    <row r="5763" spans="7:8" x14ac:dyDescent="0.3">
      <c r="G5763" s="78">
        <v>5760</v>
      </c>
      <c r="H5763">
        <f t="shared" ca="1" si="84"/>
        <v>-2.5476252679627508E-2</v>
      </c>
    </row>
    <row r="5764" spans="7:8" x14ac:dyDescent="0.3">
      <c r="G5764" s="78">
        <v>5761</v>
      </c>
      <c r="H5764">
        <f t="shared" ref="H5764:H5827" ca="1" si="85">_xlfn.NORM.INV(RAND(),$N$4,$N$5)</f>
        <v>1.0703006725450671E-2</v>
      </c>
    </row>
    <row r="5765" spans="7:8" x14ac:dyDescent="0.3">
      <c r="G5765" s="78">
        <v>5762</v>
      </c>
      <c r="H5765">
        <f t="shared" ca="1" si="85"/>
        <v>-1.3066609894972297E-4</v>
      </c>
    </row>
    <row r="5766" spans="7:8" x14ac:dyDescent="0.3">
      <c r="G5766" s="78">
        <v>5763</v>
      </c>
      <c r="H5766">
        <f t="shared" ca="1" si="85"/>
        <v>1.4719983739538063E-2</v>
      </c>
    </row>
    <row r="5767" spans="7:8" x14ac:dyDescent="0.3">
      <c r="G5767" s="78">
        <v>5764</v>
      </c>
      <c r="H5767">
        <f t="shared" ca="1" si="85"/>
        <v>-3.1550674522794572E-2</v>
      </c>
    </row>
    <row r="5768" spans="7:8" x14ac:dyDescent="0.3">
      <c r="G5768" s="78">
        <v>5765</v>
      </c>
      <c r="H5768">
        <f t="shared" ca="1" si="85"/>
        <v>1.2881013678959545E-2</v>
      </c>
    </row>
    <row r="5769" spans="7:8" x14ac:dyDescent="0.3">
      <c r="G5769" s="78">
        <v>5766</v>
      </c>
      <c r="H5769">
        <f t="shared" ca="1" si="85"/>
        <v>-3.6784170065080717E-2</v>
      </c>
    </row>
    <row r="5770" spans="7:8" x14ac:dyDescent="0.3">
      <c r="G5770" s="78">
        <v>5767</v>
      </c>
      <c r="H5770">
        <f t="shared" ca="1" si="85"/>
        <v>-1.0914491835509601E-2</v>
      </c>
    </row>
    <row r="5771" spans="7:8" x14ac:dyDescent="0.3">
      <c r="G5771" s="78">
        <v>5768</v>
      </c>
      <c r="H5771">
        <f t="shared" ca="1" si="85"/>
        <v>6.7413109338361745E-3</v>
      </c>
    </row>
    <row r="5772" spans="7:8" x14ac:dyDescent="0.3">
      <c r="G5772" s="78">
        <v>5769</v>
      </c>
      <c r="H5772">
        <f t="shared" ca="1" si="85"/>
        <v>-1.9707377543417889E-3</v>
      </c>
    </row>
    <row r="5773" spans="7:8" x14ac:dyDescent="0.3">
      <c r="G5773" s="78">
        <v>5770</v>
      </c>
      <c r="H5773">
        <f t="shared" ca="1" si="85"/>
        <v>-2.1813838318578894E-2</v>
      </c>
    </row>
    <row r="5774" spans="7:8" x14ac:dyDescent="0.3">
      <c r="G5774" s="78">
        <v>5771</v>
      </c>
      <c r="H5774">
        <f t="shared" ca="1" si="85"/>
        <v>-3.6558357603951361E-2</v>
      </c>
    </row>
    <row r="5775" spans="7:8" x14ac:dyDescent="0.3">
      <c r="G5775" s="78">
        <v>5772</v>
      </c>
      <c r="H5775">
        <f t="shared" ca="1" si="85"/>
        <v>-1.8641021452557385E-2</v>
      </c>
    </row>
    <row r="5776" spans="7:8" x14ac:dyDescent="0.3">
      <c r="G5776" s="78">
        <v>5773</v>
      </c>
      <c r="H5776">
        <f t="shared" ca="1" si="85"/>
        <v>-3.2375019121626041E-2</v>
      </c>
    </row>
    <row r="5777" spans="7:8" x14ac:dyDescent="0.3">
      <c r="G5777" s="78">
        <v>5774</v>
      </c>
      <c r="H5777">
        <f t="shared" ca="1" si="85"/>
        <v>2.0413317601427065E-2</v>
      </c>
    </row>
    <row r="5778" spans="7:8" x14ac:dyDescent="0.3">
      <c r="G5778" s="78">
        <v>5775</v>
      </c>
      <c r="H5778">
        <f t="shared" ca="1" si="85"/>
        <v>1.6969603176721451E-4</v>
      </c>
    </row>
    <row r="5779" spans="7:8" x14ac:dyDescent="0.3">
      <c r="G5779" s="78">
        <v>5776</v>
      </c>
      <c r="H5779">
        <f t="shared" ca="1" si="85"/>
        <v>-2.3008704353894668E-2</v>
      </c>
    </row>
    <row r="5780" spans="7:8" x14ac:dyDescent="0.3">
      <c r="G5780" s="78">
        <v>5777</v>
      </c>
      <c r="H5780">
        <f t="shared" ca="1" si="85"/>
        <v>-1.079202729837966E-2</v>
      </c>
    </row>
    <row r="5781" spans="7:8" x14ac:dyDescent="0.3">
      <c r="G5781" s="78">
        <v>5778</v>
      </c>
      <c r="H5781">
        <f t="shared" ca="1" si="85"/>
        <v>4.6385493685749896E-3</v>
      </c>
    </row>
    <row r="5782" spans="7:8" x14ac:dyDescent="0.3">
      <c r="G5782" s="78">
        <v>5779</v>
      </c>
      <c r="H5782">
        <f t="shared" ca="1" si="85"/>
        <v>-1.7320204237552338E-2</v>
      </c>
    </row>
    <row r="5783" spans="7:8" x14ac:dyDescent="0.3">
      <c r="G5783" s="78">
        <v>5780</v>
      </c>
      <c r="H5783">
        <f t="shared" ca="1" si="85"/>
        <v>-6.0269131563332329E-3</v>
      </c>
    </row>
    <row r="5784" spans="7:8" x14ac:dyDescent="0.3">
      <c r="G5784" s="78">
        <v>5781</v>
      </c>
      <c r="H5784">
        <f t="shared" ca="1" si="85"/>
        <v>-1.1469243154771857E-2</v>
      </c>
    </row>
    <row r="5785" spans="7:8" x14ac:dyDescent="0.3">
      <c r="G5785" s="78">
        <v>5782</v>
      </c>
      <c r="H5785">
        <f t="shared" ca="1" si="85"/>
        <v>-2.5805317228750737E-3</v>
      </c>
    </row>
    <row r="5786" spans="7:8" x14ac:dyDescent="0.3">
      <c r="G5786" s="78">
        <v>5783</v>
      </c>
      <c r="H5786">
        <f t="shared" ca="1" si="85"/>
        <v>-3.5673178556383024E-4</v>
      </c>
    </row>
    <row r="5787" spans="7:8" x14ac:dyDescent="0.3">
      <c r="G5787" s="78">
        <v>5784</v>
      </c>
      <c r="H5787">
        <f t="shared" ca="1" si="85"/>
        <v>3.9935535230044969E-3</v>
      </c>
    </row>
    <row r="5788" spans="7:8" x14ac:dyDescent="0.3">
      <c r="G5788" s="78">
        <v>5785</v>
      </c>
      <c r="H5788">
        <f t="shared" ca="1" si="85"/>
        <v>1.83971022361091E-2</v>
      </c>
    </row>
    <row r="5789" spans="7:8" x14ac:dyDescent="0.3">
      <c r="G5789" s="78">
        <v>5786</v>
      </c>
      <c r="H5789">
        <f t="shared" ca="1" si="85"/>
        <v>-1.0220674128274435E-2</v>
      </c>
    </row>
    <row r="5790" spans="7:8" x14ac:dyDescent="0.3">
      <c r="G5790" s="78">
        <v>5787</v>
      </c>
      <c r="H5790">
        <f t="shared" ca="1" si="85"/>
        <v>8.4953420039732934E-3</v>
      </c>
    </row>
    <row r="5791" spans="7:8" x14ac:dyDescent="0.3">
      <c r="G5791" s="78">
        <v>5788</v>
      </c>
      <c r="H5791">
        <f t="shared" ca="1" si="85"/>
        <v>3.7915402716971969E-2</v>
      </c>
    </row>
    <row r="5792" spans="7:8" x14ac:dyDescent="0.3">
      <c r="G5792" s="78">
        <v>5789</v>
      </c>
      <c r="H5792">
        <f t="shared" ca="1" si="85"/>
        <v>5.0328950387787137E-3</v>
      </c>
    </row>
    <row r="5793" spans="7:8" x14ac:dyDescent="0.3">
      <c r="G5793" s="78">
        <v>5790</v>
      </c>
      <c r="H5793">
        <f t="shared" ca="1" si="85"/>
        <v>9.075339089212436E-3</v>
      </c>
    </row>
    <row r="5794" spans="7:8" x14ac:dyDescent="0.3">
      <c r="G5794" s="78">
        <v>5791</v>
      </c>
      <c r="H5794">
        <f t="shared" ca="1" si="85"/>
        <v>-1.9050864516594816E-2</v>
      </c>
    </row>
    <row r="5795" spans="7:8" x14ac:dyDescent="0.3">
      <c r="G5795" s="78">
        <v>5792</v>
      </c>
      <c r="H5795">
        <f t="shared" ca="1" si="85"/>
        <v>3.7615198493110256E-2</v>
      </c>
    </row>
    <row r="5796" spans="7:8" x14ac:dyDescent="0.3">
      <c r="G5796" s="78">
        <v>5793</v>
      </c>
      <c r="H5796">
        <f t="shared" ca="1" si="85"/>
        <v>5.7283080973582909E-2</v>
      </c>
    </row>
    <row r="5797" spans="7:8" x14ac:dyDescent="0.3">
      <c r="G5797" s="78">
        <v>5794</v>
      </c>
      <c r="H5797">
        <f t="shared" ca="1" si="85"/>
        <v>2.1287663762724424E-2</v>
      </c>
    </row>
    <row r="5798" spans="7:8" x14ac:dyDescent="0.3">
      <c r="G5798" s="78">
        <v>5795</v>
      </c>
      <c r="H5798">
        <f t="shared" ca="1" si="85"/>
        <v>8.4635797735118888E-3</v>
      </c>
    </row>
    <row r="5799" spans="7:8" x14ac:dyDescent="0.3">
      <c r="G5799" s="78">
        <v>5796</v>
      </c>
      <c r="H5799">
        <f t="shared" ca="1" si="85"/>
        <v>-6.09950293635576E-3</v>
      </c>
    </row>
    <row r="5800" spans="7:8" x14ac:dyDescent="0.3">
      <c r="G5800" s="78">
        <v>5797</v>
      </c>
      <c r="H5800">
        <f t="shared" ca="1" si="85"/>
        <v>-8.1763115458428522E-3</v>
      </c>
    </row>
    <row r="5801" spans="7:8" x14ac:dyDescent="0.3">
      <c r="G5801" s="78">
        <v>5798</v>
      </c>
      <c r="H5801">
        <f t="shared" ca="1" si="85"/>
        <v>1.9709786797923675E-2</v>
      </c>
    </row>
    <row r="5802" spans="7:8" x14ac:dyDescent="0.3">
      <c r="G5802" s="78">
        <v>5799</v>
      </c>
      <c r="H5802">
        <f t="shared" ca="1" si="85"/>
        <v>1.6354646926205196E-2</v>
      </c>
    </row>
    <row r="5803" spans="7:8" x14ac:dyDescent="0.3">
      <c r="G5803" s="78">
        <v>5800</v>
      </c>
      <c r="H5803">
        <f t="shared" ca="1" si="85"/>
        <v>2.1136059498690889E-2</v>
      </c>
    </row>
    <row r="5804" spans="7:8" x14ac:dyDescent="0.3">
      <c r="G5804" s="78">
        <v>5801</v>
      </c>
      <c r="H5804">
        <f t="shared" ca="1" si="85"/>
        <v>5.9647729051424774E-4</v>
      </c>
    </row>
    <row r="5805" spans="7:8" x14ac:dyDescent="0.3">
      <c r="G5805" s="78">
        <v>5802</v>
      </c>
      <c r="H5805">
        <f t="shared" ca="1" si="85"/>
        <v>-5.0164027554207916E-3</v>
      </c>
    </row>
    <row r="5806" spans="7:8" x14ac:dyDescent="0.3">
      <c r="G5806" s="78">
        <v>5803</v>
      </c>
      <c r="H5806">
        <f t="shared" ca="1" si="85"/>
        <v>-2.6512131810623573E-3</v>
      </c>
    </row>
    <row r="5807" spans="7:8" x14ac:dyDescent="0.3">
      <c r="G5807" s="78">
        <v>5804</v>
      </c>
      <c r="H5807">
        <f t="shared" ca="1" si="85"/>
        <v>2.1070243893762972E-2</v>
      </c>
    </row>
    <row r="5808" spans="7:8" x14ac:dyDescent="0.3">
      <c r="G5808" s="78">
        <v>5805</v>
      </c>
      <c r="H5808">
        <f t="shared" ca="1" si="85"/>
        <v>6.3258096409621344E-4</v>
      </c>
    </row>
    <row r="5809" spans="7:8" x14ac:dyDescent="0.3">
      <c r="G5809" s="78">
        <v>5806</v>
      </c>
      <c r="H5809">
        <f t="shared" ca="1" si="85"/>
        <v>1.7701549026031986E-2</v>
      </c>
    </row>
    <row r="5810" spans="7:8" x14ac:dyDescent="0.3">
      <c r="G5810" s="78">
        <v>5807</v>
      </c>
      <c r="H5810">
        <f t="shared" ca="1" si="85"/>
        <v>1.0833531642697805E-2</v>
      </c>
    </row>
    <row r="5811" spans="7:8" x14ac:dyDescent="0.3">
      <c r="G5811" s="78">
        <v>5808</v>
      </c>
      <c r="H5811">
        <f t="shared" ca="1" si="85"/>
        <v>1.7146312166776641E-2</v>
      </c>
    </row>
    <row r="5812" spans="7:8" x14ac:dyDescent="0.3">
      <c r="G5812" s="78">
        <v>5809</v>
      </c>
      <c r="H5812">
        <f t="shared" ca="1" si="85"/>
        <v>-6.151716470035532E-3</v>
      </c>
    </row>
    <row r="5813" spans="7:8" x14ac:dyDescent="0.3">
      <c r="G5813" s="78">
        <v>5810</v>
      </c>
      <c r="H5813">
        <f t="shared" ca="1" si="85"/>
        <v>1.8666657474622202E-2</v>
      </c>
    </row>
    <row r="5814" spans="7:8" x14ac:dyDescent="0.3">
      <c r="G5814" s="78">
        <v>5811</v>
      </c>
      <c r="H5814">
        <f t="shared" ca="1" si="85"/>
        <v>7.3562614653870173E-3</v>
      </c>
    </row>
    <row r="5815" spans="7:8" x14ac:dyDescent="0.3">
      <c r="G5815" s="78">
        <v>5812</v>
      </c>
      <c r="H5815">
        <f t="shared" ca="1" si="85"/>
        <v>-7.2328826477683879E-3</v>
      </c>
    </row>
    <row r="5816" spans="7:8" x14ac:dyDescent="0.3">
      <c r="G5816" s="78">
        <v>5813</v>
      </c>
      <c r="H5816">
        <f t="shared" ca="1" si="85"/>
        <v>6.4896666288059941E-3</v>
      </c>
    </row>
    <row r="5817" spans="7:8" x14ac:dyDescent="0.3">
      <c r="G5817" s="78">
        <v>5814</v>
      </c>
      <c r="H5817">
        <f t="shared" ca="1" si="85"/>
        <v>1.0332309098499902E-2</v>
      </c>
    </row>
    <row r="5818" spans="7:8" x14ac:dyDescent="0.3">
      <c r="G5818" s="78">
        <v>5815</v>
      </c>
      <c r="H5818">
        <f t="shared" ca="1" si="85"/>
        <v>-2.3859779330888745E-3</v>
      </c>
    </row>
    <row r="5819" spans="7:8" x14ac:dyDescent="0.3">
      <c r="G5819" s="78">
        <v>5816</v>
      </c>
      <c r="H5819">
        <f t="shared" ca="1" si="85"/>
        <v>2.2778894933714634E-2</v>
      </c>
    </row>
    <row r="5820" spans="7:8" x14ac:dyDescent="0.3">
      <c r="G5820" s="78">
        <v>5817</v>
      </c>
      <c r="H5820">
        <f t="shared" ca="1" si="85"/>
        <v>-1.6717487210125642E-2</v>
      </c>
    </row>
    <row r="5821" spans="7:8" x14ac:dyDescent="0.3">
      <c r="G5821" s="78">
        <v>5818</v>
      </c>
      <c r="H5821">
        <f t="shared" ca="1" si="85"/>
        <v>-1.5240594329006164E-2</v>
      </c>
    </row>
    <row r="5822" spans="7:8" x14ac:dyDescent="0.3">
      <c r="G5822" s="78">
        <v>5819</v>
      </c>
      <c r="H5822">
        <f t="shared" ca="1" si="85"/>
        <v>4.937265321224747E-3</v>
      </c>
    </row>
    <row r="5823" spans="7:8" x14ac:dyDescent="0.3">
      <c r="G5823" s="78">
        <v>5820</v>
      </c>
      <c r="H5823">
        <f t="shared" ca="1" si="85"/>
        <v>2.8420167077097052E-3</v>
      </c>
    </row>
    <row r="5824" spans="7:8" x14ac:dyDescent="0.3">
      <c r="G5824" s="78">
        <v>5821</v>
      </c>
      <c r="H5824">
        <f t="shared" ca="1" si="85"/>
        <v>5.4680123428063514E-3</v>
      </c>
    </row>
    <row r="5825" spans="7:8" x14ac:dyDescent="0.3">
      <c r="G5825" s="78">
        <v>5822</v>
      </c>
      <c r="H5825">
        <f t="shared" ca="1" si="85"/>
        <v>1.0933963627348204E-2</v>
      </c>
    </row>
    <row r="5826" spans="7:8" x14ac:dyDescent="0.3">
      <c r="G5826" s="78">
        <v>5823</v>
      </c>
      <c r="H5826">
        <f t="shared" ca="1" si="85"/>
        <v>-1.3041651883197619E-2</v>
      </c>
    </row>
    <row r="5827" spans="7:8" x14ac:dyDescent="0.3">
      <c r="G5827" s="78">
        <v>5824</v>
      </c>
      <c r="H5827">
        <f t="shared" ca="1" si="85"/>
        <v>-2.3952591335669116E-2</v>
      </c>
    </row>
    <row r="5828" spans="7:8" x14ac:dyDescent="0.3">
      <c r="G5828" s="78">
        <v>5825</v>
      </c>
      <c r="H5828">
        <f t="shared" ref="H5828:H5891" ca="1" si="86">_xlfn.NORM.INV(RAND(),$N$4,$N$5)</f>
        <v>2.1761698529819226E-2</v>
      </c>
    </row>
    <row r="5829" spans="7:8" x14ac:dyDescent="0.3">
      <c r="G5829" s="78">
        <v>5826</v>
      </c>
      <c r="H5829">
        <f t="shared" ca="1" si="86"/>
        <v>2.0597809895988719E-2</v>
      </c>
    </row>
    <row r="5830" spans="7:8" x14ac:dyDescent="0.3">
      <c r="G5830" s="78">
        <v>5827</v>
      </c>
      <c r="H5830">
        <f t="shared" ca="1" si="86"/>
        <v>1.0612860492808834E-2</v>
      </c>
    </row>
    <row r="5831" spans="7:8" x14ac:dyDescent="0.3">
      <c r="G5831" s="78">
        <v>5828</v>
      </c>
      <c r="H5831">
        <f t="shared" ca="1" si="86"/>
        <v>1.565601996896504E-2</v>
      </c>
    </row>
    <row r="5832" spans="7:8" x14ac:dyDescent="0.3">
      <c r="G5832" s="78">
        <v>5829</v>
      </c>
      <c r="H5832">
        <f t="shared" ca="1" si="86"/>
        <v>1.3474564993744432E-2</v>
      </c>
    </row>
    <row r="5833" spans="7:8" x14ac:dyDescent="0.3">
      <c r="G5833" s="78">
        <v>5830</v>
      </c>
      <c r="H5833">
        <f t="shared" ca="1" si="86"/>
        <v>-4.026281648195118E-2</v>
      </c>
    </row>
    <row r="5834" spans="7:8" x14ac:dyDescent="0.3">
      <c r="G5834" s="78">
        <v>5831</v>
      </c>
      <c r="H5834">
        <f t="shared" ca="1" si="86"/>
        <v>-9.1137252452393245E-4</v>
      </c>
    </row>
    <row r="5835" spans="7:8" x14ac:dyDescent="0.3">
      <c r="G5835" s="78">
        <v>5832</v>
      </c>
      <c r="H5835">
        <f t="shared" ca="1" si="86"/>
        <v>-3.0264441702642926E-2</v>
      </c>
    </row>
    <row r="5836" spans="7:8" x14ac:dyDescent="0.3">
      <c r="G5836" s="78">
        <v>5833</v>
      </c>
      <c r="H5836">
        <f t="shared" ca="1" si="86"/>
        <v>7.2223406666100795E-3</v>
      </c>
    </row>
    <row r="5837" spans="7:8" x14ac:dyDescent="0.3">
      <c r="G5837" s="78">
        <v>5834</v>
      </c>
      <c r="H5837">
        <f t="shared" ca="1" si="86"/>
        <v>-1.755386725582532E-2</v>
      </c>
    </row>
    <row r="5838" spans="7:8" x14ac:dyDescent="0.3">
      <c r="G5838" s="78">
        <v>5835</v>
      </c>
      <c r="H5838">
        <f t="shared" ca="1" si="86"/>
        <v>-3.2086229693805236E-2</v>
      </c>
    </row>
    <row r="5839" spans="7:8" x14ac:dyDescent="0.3">
      <c r="G5839" s="78">
        <v>5836</v>
      </c>
      <c r="H5839">
        <f t="shared" ca="1" si="86"/>
        <v>7.2055967763141474E-3</v>
      </c>
    </row>
    <row r="5840" spans="7:8" x14ac:dyDescent="0.3">
      <c r="G5840" s="78">
        <v>5837</v>
      </c>
      <c r="H5840">
        <f t="shared" ca="1" si="86"/>
        <v>-6.453632552114918E-3</v>
      </c>
    </row>
    <row r="5841" spans="7:8" x14ac:dyDescent="0.3">
      <c r="G5841" s="78">
        <v>5838</v>
      </c>
      <c r="H5841">
        <f t="shared" ca="1" si="86"/>
        <v>-5.6250798770592497E-2</v>
      </c>
    </row>
    <row r="5842" spans="7:8" x14ac:dyDescent="0.3">
      <c r="G5842" s="78">
        <v>5839</v>
      </c>
      <c r="H5842">
        <f t="shared" ca="1" si="86"/>
        <v>-3.1253508096309682E-2</v>
      </c>
    </row>
    <row r="5843" spans="7:8" x14ac:dyDescent="0.3">
      <c r="G5843" s="78">
        <v>5840</v>
      </c>
      <c r="H5843">
        <f t="shared" ca="1" si="86"/>
        <v>1.2543247076750039E-2</v>
      </c>
    </row>
    <row r="5844" spans="7:8" x14ac:dyDescent="0.3">
      <c r="G5844" s="78">
        <v>5841</v>
      </c>
      <c r="H5844">
        <f t="shared" ca="1" si="86"/>
        <v>6.5076176746391937E-3</v>
      </c>
    </row>
    <row r="5845" spans="7:8" x14ac:dyDescent="0.3">
      <c r="G5845" s="78">
        <v>5842</v>
      </c>
      <c r="H5845">
        <f t="shared" ca="1" si="86"/>
        <v>-5.2437272001025406E-3</v>
      </c>
    </row>
    <row r="5846" spans="7:8" x14ac:dyDescent="0.3">
      <c r="G5846" s="78">
        <v>5843</v>
      </c>
      <c r="H5846">
        <f t="shared" ca="1" si="86"/>
        <v>6.1397256877331226E-3</v>
      </c>
    </row>
    <row r="5847" spans="7:8" x14ac:dyDescent="0.3">
      <c r="G5847" s="78">
        <v>5844</v>
      </c>
      <c r="H5847">
        <f t="shared" ca="1" si="86"/>
        <v>5.7296132285656661E-3</v>
      </c>
    </row>
    <row r="5848" spans="7:8" x14ac:dyDescent="0.3">
      <c r="G5848" s="78">
        <v>5845</v>
      </c>
      <c r="H5848">
        <f t="shared" ca="1" si="86"/>
        <v>-4.9647234317445723E-3</v>
      </c>
    </row>
    <row r="5849" spans="7:8" x14ac:dyDescent="0.3">
      <c r="G5849" s="78">
        <v>5846</v>
      </c>
      <c r="H5849">
        <f t="shared" ca="1" si="86"/>
        <v>-1.7261177613172075E-2</v>
      </c>
    </row>
    <row r="5850" spans="7:8" x14ac:dyDescent="0.3">
      <c r="G5850" s="78">
        <v>5847</v>
      </c>
      <c r="H5850">
        <f t="shared" ca="1" si="86"/>
        <v>-1.9105064776639594E-2</v>
      </c>
    </row>
    <row r="5851" spans="7:8" x14ac:dyDescent="0.3">
      <c r="G5851" s="78">
        <v>5848</v>
      </c>
      <c r="H5851">
        <f t="shared" ca="1" si="86"/>
        <v>-5.4789437516021052E-3</v>
      </c>
    </row>
    <row r="5852" spans="7:8" x14ac:dyDescent="0.3">
      <c r="G5852" s="78">
        <v>5849</v>
      </c>
      <c r="H5852">
        <f t="shared" ca="1" si="86"/>
        <v>2.9122316756345495E-3</v>
      </c>
    </row>
    <row r="5853" spans="7:8" x14ac:dyDescent="0.3">
      <c r="G5853" s="78">
        <v>5850</v>
      </c>
      <c r="H5853">
        <f t="shared" ca="1" si="86"/>
        <v>-9.327289680109185E-3</v>
      </c>
    </row>
    <row r="5854" spans="7:8" x14ac:dyDescent="0.3">
      <c r="G5854" s="78">
        <v>5851</v>
      </c>
      <c r="H5854">
        <f t="shared" ca="1" si="86"/>
        <v>5.5895336641200817E-3</v>
      </c>
    </row>
    <row r="5855" spans="7:8" x14ac:dyDescent="0.3">
      <c r="G5855" s="78">
        <v>5852</v>
      </c>
      <c r="H5855">
        <f t="shared" ca="1" si="86"/>
        <v>1.1846159316592055E-2</v>
      </c>
    </row>
    <row r="5856" spans="7:8" x14ac:dyDescent="0.3">
      <c r="G5856" s="78">
        <v>5853</v>
      </c>
      <c r="H5856">
        <f t="shared" ca="1" si="86"/>
        <v>3.5448243195599041E-2</v>
      </c>
    </row>
    <row r="5857" spans="7:8" x14ac:dyDescent="0.3">
      <c r="G5857" s="78">
        <v>5854</v>
      </c>
      <c r="H5857">
        <f t="shared" ca="1" si="86"/>
        <v>6.4033268392999707E-2</v>
      </c>
    </row>
    <row r="5858" spans="7:8" x14ac:dyDescent="0.3">
      <c r="G5858" s="78">
        <v>5855</v>
      </c>
      <c r="H5858">
        <f t="shared" ca="1" si="86"/>
        <v>-2.0480227056186929E-3</v>
      </c>
    </row>
    <row r="5859" spans="7:8" x14ac:dyDescent="0.3">
      <c r="G5859" s="78">
        <v>5856</v>
      </c>
      <c r="H5859">
        <f t="shared" ca="1" si="86"/>
        <v>1.8659488438561469E-3</v>
      </c>
    </row>
    <row r="5860" spans="7:8" x14ac:dyDescent="0.3">
      <c r="G5860" s="78">
        <v>5857</v>
      </c>
      <c r="H5860">
        <f t="shared" ca="1" si="86"/>
        <v>-4.5282755342252942E-2</v>
      </c>
    </row>
    <row r="5861" spans="7:8" x14ac:dyDescent="0.3">
      <c r="G5861" s="78">
        <v>5858</v>
      </c>
      <c r="H5861">
        <f t="shared" ca="1" si="86"/>
        <v>-1.1594204077306032E-2</v>
      </c>
    </row>
    <row r="5862" spans="7:8" x14ac:dyDescent="0.3">
      <c r="G5862" s="78">
        <v>5859</v>
      </c>
      <c r="H5862">
        <f t="shared" ca="1" si="86"/>
        <v>-9.5800931817721369E-3</v>
      </c>
    </row>
    <row r="5863" spans="7:8" x14ac:dyDescent="0.3">
      <c r="G5863" s="78">
        <v>5860</v>
      </c>
      <c r="H5863">
        <f t="shared" ca="1" si="86"/>
        <v>1.1301329963093595E-2</v>
      </c>
    </row>
    <row r="5864" spans="7:8" x14ac:dyDescent="0.3">
      <c r="G5864" s="78">
        <v>5861</v>
      </c>
      <c r="H5864">
        <f t="shared" ca="1" si="86"/>
        <v>3.434046555166213E-3</v>
      </c>
    </row>
    <row r="5865" spans="7:8" x14ac:dyDescent="0.3">
      <c r="G5865" s="78">
        <v>5862</v>
      </c>
      <c r="H5865">
        <f t="shared" ca="1" si="86"/>
        <v>2.2449882901126747E-2</v>
      </c>
    </row>
    <row r="5866" spans="7:8" x14ac:dyDescent="0.3">
      <c r="G5866" s="78">
        <v>5863</v>
      </c>
      <c r="H5866">
        <f t="shared" ca="1" si="86"/>
        <v>2.153227091132829E-2</v>
      </c>
    </row>
    <row r="5867" spans="7:8" x14ac:dyDescent="0.3">
      <c r="G5867" s="78">
        <v>5864</v>
      </c>
      <c r="H5867">
        <f t="shared" ca="1" si="86"/>
        <v>1.0515350303382574E-2</v>
      </c>
    </row>
    <row r="5868" spans="7:8" x14ac:dyDescent="0.3">
      <c r="G5868" s="78">
        <v>5865</v>
      </c>
      <c r="H5868">
        <f t="shared" ca="1" si="86"/>
        <v>2.132244761759786E-2</v>
      </c>
    </row>
    <row r="5869" spans="7:8" x14ac:dyDescent="0.3">
      <c r="G5869" s="78">
        <v>5866</v>
      </c>
      <c r="H5869">
        <f t="shared" ca="1" si="86"/>
        <v>-3.4938922901556521E-2</v>
      </c>
    </row>
    <row r="5870" spans="7:8" x14ac:dyDescent="0.3">
      <c r="G5870" s="78">
        <v>5867</v>
      </c>
      <c r="H5870">
        <f t="shared" ca="1" si="86"/>
        <v>-1.369254017230366E-2</v>
      </c>
    </row>
    <row r="5871" spans="7:8" x14ac:dyDescent="0.3">
      <c r="G5871" s="78">
        <v>5868</v>
      </c>
      <c r="H5871">
        <f t="shared" ca="1" si="86"/>
        <v>-1.4521071971228388E-2</v>
      </c>
    </row>
    <row r="5872" spans="7:8" x14ac:dyDescent="0.3">
      <c r="G5872" s="78">
        <v>5869</v>
      </c>
      <c r="H5872">
        <f t="shared" ca="1" si="86"/>
        <v>9.1907625666138822E-4</v>
      </c>
    </row>
    <row r="5873" spans="7:8" x14ac:dyDescent="0.3">
      <c r="G5873" s="78">
        <v>5870</v>
      </c>
      <c r="H5873">
        <f t="shared" ca="1" si="86"/>
        <v>9.5078559893676407E-3</v>
      </c>
    </row>
    <row r="5874" spans="7:8" x14ac:dyDescent="0.3">
      <c r="G5874" s="78">
        <v>5871</v>
      </c>
      <c r="H5874">
        <f t="shared" ca="1" si="86"/>
        <v>-9.2057035864214643E-3</v>
      </c>
    </row>
    <row r="5875" spans="7:8" x14ac:dyDescent="0.3">
      <c r="G5875" s="78">
        <v>5872</v>
      </c>
      <c r="H5875">
        <f t="shared" ca="1" si="86"/>
        <v>1.2475446384576037E-2</v>
      </c>
    </row>
    <row r="5876" spans="7:8" x14ac:dyDescent="0.3">
      <c r="G5876" s="78">
        <v>5873</v>
      </c>
      <c r="H5876">
        <f t="shared" ca="1" si="86"/>
        <v>1.0257211054066547E-2</v>
      </c>
    </row>
    <row r="5877" spans="7:8" x14ac:dyDescent="0.3">
      <c r="G5877" s="78">
        <v>5874</v>
      </c>
      <c r="H5877">
        <f t="shared" ca="1" si="86"/>
        <v>8.2330427098164269E-4</v>
      </c>
    </row>
    <row r="5878" spans="7:8" x14ac:dyDescent="0.3">
      <c r="G5878" s="78">
        <v>5875</v>
      </c>
      <c r="H5878">
        <f t="shared" ca="1" si="86"/>
        <v>9.5157680267866848E-3</v>
      </c>
    </row>
    <row r="5879" spans="7:8" x14ac:dyDescent="0.3">
      <c r="G5879" s="78">
        <v>5876</v>
      </c>
      <c r="H5879">
        <f t="shared" ca="1" si="86"/>
        <v>-9.1502040814798336E-3</v>
      </c>
    </row>
    <row r="5880" spans="7:8" x14ac:dyDescent="0.3">
      <c r="G5880" s="78">
        <v>5877</v>
      </c>
      <c r="H5880">
        <f t="shared" ca="1" si="86"/>
        <v>-2.2511144872738684E-2</v>
      </c>
    </row>
    <row r="5881" spans="7:8" x14ac:dyDescent="0.3">
      <c r="G5881" s="78">
        <v>5878</v>
      </c>
      <c r="H5881">
        <f t="shared" ca="1" si="86"/>
        <v>2.3986044360097939E-2</v>
      </c>
    </row>
    <row r="5882" spans="7:8" x14ac:dyDescent="0.3">
      <c r="G5882" s="78">
        <v>5879</v>
      </c>
      <c r="H5882">
        <f t="shared" ca="1" si="86"/>
        <v>-1.4660315190278812E-2</v>
      </c>
    </row>
    <row r="5883" spans="7:8" x14ac:dyDescent="0.3">
      <c r="G5883" s="78">
        <v>5880</v>
      </c>
      <c r="H5883">
        <f t="shared" ca="1" si="86"/>
        <v>1.1719258926007631E-2</v>
      </c>
    </row>
    <row r="5884" spans="7:8" x14ac:dyDescent="0.3">
      <c r="G5884" s="78">
        <v>5881</v>
      </c>
      <c r="H5884">
        <f t="shared" ca="1" si="86"/>
        <v>-2.1672070418651518E-2</v>
      </c>
    </row>
    <row r="5885" spans="7:8" x14ac:dyDescent="0.3">
      <c r="G5885" s="78">
        <v>5882</v>
      </c>
      <c r="H5885">
        <f t="shared" ca="1" si="86"/>
        <v>1.4857307327831226E-3</v>
      </c>
    </row>
    <row r="5886" spans="7:8" x14ac:dyDescent="0.3">
      <c r="G5886" s="78">
        <v>5883</v>
      </c>
      <c r="H5886">
        <f t="shared" ca="1" si="86"/>
        <v>2.5473267126275467E-3</v>
      </c>
    </row>
    <row r="5887" spans="7:8" x14ac:dyDescent="0.3">
      <c r="G5887" s="78">
        <v>5884</v>
      </c>
      <c r="H5887">
        <f t="shared" ca="1" si="86"/>
        <v>-9.3920866402141794E-3</v>
      </c>
    </row>
    <row r="5888" spans="7:8" x14ac:dyDescent="0.3">
      <c r="G5888" s="78">
        <v>5885</v>
      </c>
      <c r="H5888">
        <f t="shared" ca="1" si="86"/>
        <v>-1.3921315292537239E-2</v>
      </c>
    </row>
    <row r="5889" spans="7:8" x14ac:dyDescent="0.3">
      <c r="G5889" s="78">
        <v>5886</v>
      </c>
      <c r="H5889">
        <f t="shared" ca="1" si="86"/>
        <v>1.326332908024312E-2</v>
      </c>
    </row>
    <row r="5890" spans="7:8" x14ac:dyDescent="0.3">
      <c r="G5890" s="78">
        <v>5887</v>
      </c>
      <c r="H5890">
        <f t="shared" ca="1" si="86"/>
        <v>-1.3928087955517521E-2</v>
      </c>
    </row>
    <row r="5891" spans="7:8" x14ac:dyDescent="0.3">
      <c r="G5891" s="78">
        <v>5888</v>
      </c>
      <c r="H5891">
        <f t="shared" ca="1" si="86"/>
        <v>-1.450125474876257E-3</v>
      </c>
    </row>
    <row r="5892" spans="7:8" x14ac:dyDescent="0.3">
      <c r="G5892" s="78">
        <v>5889</v>
      </c>
      <c r="H5892">
        <f t="shared" ref="H5892:H5955" ca="1" si="87">_xlfn.NORM.INV(RAND(),$N$4,$N$5)</f>
        <v>1.6100693180222097E-2</v>
      </c>
    </row>
    <row r="5893" spans="7:8" x14ac:dyDescent="0.3">
      <c r="G5893" s="78">
        <v>5890</v>
      </c>
      <c r="H5893">
        <f t="shared" ca="1" si="87"/>
        <v>1.1258191869348594E-2</v>
      </c>
    </row>
    <row r="5894" spans="7:8" x14ac:dyDescent="0.3">
      <c r="G5894" s="78">
        <v>5891</v>
      </c>
      <c r="H5894">
        <f t="shared" ca="1" si="87"/>
        <v>3.2979326887784828E-2</v>
      </c>
    </row>
    <row r="5895" spans="7:8" x14ac:dyDescent="0.3">
      <c r="G5895" s="78">
        <v>5892</v>
      </c>
      <c r="H5895">
        <f t="shared" ca="1" si="87"/>
        <v>4.7636914566771245E-3</v>
      </c>
    </row>
    <row r="5896" spans="7:8" x14ac:dyDescent="0.3">
      <c r="G5896" s="78">
        <v>5893</v>
      </c>
      <c r="H5896">
        <f t="shared" ca="1" si="87"/>
        <v>3.1873072081598525E-3</v>
      </c>
    </row>
    <row r="5897" spans="7:8" x14ac:dyDescent="0.3">
      <c r="G5897" s="78">
        <v>5894</v>
      </c>
      <c r="H5897">
        <f t="shared" ca="1" si="87"/>
        <v>2.0550717625950326E-2</v>
      </c>
    </row>
    <row r="5898" spans="7:8" x14ac:dyDescent="0.3">
      <c r="G5898" s="78">
        <v>5895</v>
      </c>
      <c r="H5898">
        <f t="shared" ca="1" si="87"/>
        <v>1.5972012064851E-2</v>
      </c>
    </row>
    <row r="5899" spans="7:8" x14ac:dyDescent="0.3">
      <c r="G5899" s="78">
        <v>5896</v>
      </c>
      <c r="H5899">
        <f t="shared" ca="1" si="87"/>
        <v>3.3282536866134589E-2</v>
      </c>
    </row>
    <row r="5900" spans="7:8" x14ac:dyDescent="0.3">
      <c r="G5900" s="78">
        <v>5897</v>
      </c>
      <c r="H5900">
        <f t="shared" ca="1" si="87"/>
        <v>1.6641696149483524E-2</v>
      </c>
    </row>
    <row r="5901" spans="7:8" x14ac:dyDescent="0.3">
      <c r="G5901" s="78">
        <v>5898</v>
      </c>
      <c r="H5901">
        <f t="shared" ca="1" si="87"/>
        <v>-3.1855137479485554E-2</v>
      </c>
    </row>
    <row r="5902" spans="7:8" x14ac:dyDescent="0.3">
      <c r="G5902" s="78">
        <v>5899</v>
      </c>
      <c r="H5902">
        <f t="shared" ca="1" si="87"/>
        <v>3.2529022890353712E-2</v>
      </c>
    </row>
    <row r="5903" spans="7:8" x14ac:dyDescent="0.3">
      <c r="G5903" s="78">
        <v>5900</v>
      </c>
      <c r="H5903">
        <f t="shared" ca="1" si="87"/>
        <v>4.2595694678048204E-3</v>
      </c>
    </row>
    <row r="5904" spans="7:8" x14ac:dyDescent="0.3">
      <c r="G5904" s="78">
        <v>5901</v>
      </c>
      <c r="H5904">
        <f t="shared" ca="1" si="87"/>
        <v>2.913119853778851E-3</v>
      </c>
    </row>
    <row r="5905" spans="7:8" x14ac:dyDescent="0.3">
      <c r="G5905" s="78">
        <v>5902</v>
      </c>
      <c r="H5905">
        <f t="shared" ca="1" si="87"/>
        <v>1.5318111868752805E-2</v>
      </c>
    </row>
    <row r="5906" spans="7:8" x14ac:dyDescent="0.3">
      <c r="G5906" s="78">
        <v>5903</v>
      </c>
      <c r="H5906">
        <f t="shared" ca="1" si="87"/>
        <v>1.3346151213033694E-2</v>
      </c>
    </row>
    <row r="5907" spans="7:8" x14ac:dyDescent="0.3">
      <c r="G5907" s="78">
        <v>5904</v>
      </c>
      <c r="H5907">
        <f t="shared" ca="1" si="87"/>
        <v>2.4866516041263848E-2</v>
      </c>
    </row>
    <row r="5908" spans="7:8" x14ac:dyDescent="0.3">
      <c r="G5908" s="78">
        <v>5905</v>
      </c>
      <c r="H5908">
        <f t="shared" ca="1" si="87"/>
        <v>9.8822067035672818E-4</v>
      </c>
    </row>
    <row r="5909" spans="7:8" x14ac:dyDescent="0.3">
      <c r="G5909" s="78">
        <v>5906</v>
      </c>
      <c r="H5909">
        <f t="shared" ca="1" si="87"/>
        <v>2.621000633263619E-2</v>
      </c>
    </row>
    <row r="5910" spans="7:8" x14ac:dyDescent="0.3">
      <c r="G5910" s="78">
        <v>5907</v>
      </c>
      <c r="H5910">
        <f t="shared" ca="1" si="87"/>
        <v>-6.0480639027940602E-3</v>
      </c>
    </row>
    <row r="5911" spans="7:8" x14ac:dyDescent="0.3">
      <c r="G5911" s="78">
        <v>5908</v>
      </c>
      <c r="H5911">
        <f t="shared" ca="1" si="87"/>
        <v>-3.5368969348369226E-3</v>
      </c>
    </row>
    <row r="5912" spans="7:8" x14ac:dyDescent="0.3">
      <c r="G5912" s="78">
        <v>5909</v>
      </c>
      <c r="H5912">
        <f t="shared" ca="1" si="87"/>
        <v>-4.3682765265848017E-3</v>
      </c>
    </row>
    <row r="5913" spans="7:8" x14ac:dyDescent="0.3">
      <c r="G5913" s="78">
        <v>5910</v>
      </c>
      <c r="H5913">
        <f t="shared" ca="1" si="87"/>
        <v>3.4253935683891236E-3</v>
      </c>
    </row>
    <row r="5914" spans="7:8" x14ac:dyDescent="0.3">
      <c r="G5914" s="78">
        <v>5911</v>
      </c>
      <c r="H5914">
        <f t="shared" ca="1" si="87"/>
        <v>-3.6441244690389771E-2</v>
      </c>
    </row>
    <row r="5915" spans="7:8" x14ac:dyDescent="0.3">
      <c r="G5915" s="78">
        <v>5912</v>
      </c>
      <c r="H5915">
        <f t="shared" ca="1" si="87"/>
        <v>-1.0655751018283137E-2</v>
      </c>
    </row>
    <row r="5916" spans="7:8" x14ac:dyDescent="0.3">
      <c r="G5916" s="78">
        <v>5913</v>
      </c>
      <c r="H5916">
        <f t="shared" ca="1" si="87"/>
        <v>-1.5421479466883539E-2</v>
      </c>
    </row>
    <row r="5917" spans="7:8" x14ac:dyDescent="0.3">
      <c r="G5917" s="78">
        <v>5914</v>
      </c>
      <c r="H5917">
        <f t="shared" ca="1" si="87"/>
        <v>9.5741546035378374E-3</v>
      </c>
    </row>
    <row r="5918" spans="7:8" x14ac:dyDescent="0.3">
      <c r="G5918" s="78">
        <v>5915</v>
      </c>
      <c r="H5918">
        <f t="shared" ca="1" si="87"/>
        <v>1.0636875329195577E-3</v>
      </c>
    </row>
    <row r="5919" spans="7:8" x14ac:dyDescent="0.3">
      <c r="G5919" s="78">
        <v>5916</v>
      </c>
      <c r="H5919">
        <f t="shared" ca="1" si="87"/>
        <v>4.4052511159420181E-2</v>
      </c>
    </row>
    <row r="5920" spans="7:8" x14ac:dyDescent="0.3">
      <c r="G5920" s="78">
        <v>5917</v>
      </c>
      <c r="H5920">
        <f t="shared" ca="1" si="87"/>
        <v>1.7246097038230167E-2</v>
      </c>
    </row>
    <row r="5921" spans="7:8" x14ac:dyDescent="0.3">
      <c r="G5921" s="78">
        <v>5918</v>
      </c>
      <c r="H5921">
        <f t="shared" ca="1" si="87"/>
        <v>4.3386734946715681E-2</v>
      </c>
    </row>
    <row r="5922" spans="7:8" x14ac:dyDescent="0.3">
      <c r="G5922" s="78">
        <v>5919</v>
      </c>
      <c r="H5922">
        <f t="shared" ca="1" si="87"/>
        <v>-8.4553298746629386E-3</v>
      </c>
    </row>
    <row r="5923" spans="7:8" x14ac:dyDescent="0.3">
      <c r="G5923" s="78">
        <v>5920</v>
      </c>
      <c r="H5923">
        <f t="shared" ca="1" si="87"/>
        <v>2.7823037588880686E-2</v>
      </c>
    </row>
    <row r="5924" spans="7:8" x14ac:dyDescent="0.3">
      <c r="G5924" s="78">
        <v>5921</v>
      </c>
      <c r="H5924">
        <f t="shared" ca="1" si="87"/>
        <v>2.2637048933347934E-2</v>
      </c>
    </row>
    <row r="5925" spans="7:8" x14ac:dyDescent="0.3">
      <c r="G5925" s="78">
        <v>5922</v>
      </c>
      <c r="H5925">
        <f t="shared" ca="1" si="87"/>
        <v>-1.8820800661806924E-2</v>
      </c>
    </row>
    <row r="5926" spans="7:8" x14ac:dyDescent="0.3">
      <c r="G5926" s="78">
        <v>5923</v>
      </c>
      <c r="H5926">
        <f t="shared" ca="1" si="87"/>
        <v>-3.2076959067656334E-2</v>
      </c>
    </row>
    <row r="5927" spans="7:8" x14ac:dyDescent="0.3">
      <c r="G5927" s="78">
        <v>5924</v>
      </c>
      <c r="H5927">
        <f t="shared" ca="1" si="87"/>
        <v>-1.911767142887907E-2</v>
      </c>
    </row>
    <row r="5928" spans="7:8" x14ac:dyDescent="0.3">
      <c r="G5928" s="78">
        <v>5925</v>
      </c>
      <c r="H5928">
        <f t="shared" ca="1" si="87"/>
        <v>-2.363498777411931E-2</v>
      </c>
    </row>
    <row r="5929" spans="7:8" x14ac:dyDescent="0.3">
      <c r="G5929" s="78">
        <v>5926</v>
      </c>
      <c r="H5929">
        <f t="shared" ca="1" si="87"/>
        <v>-5.4250855168356997E-3</v>
      </c>
    </row>
    <row r="5930" spans="7:8" x14ac:dyDescent="0.3">
      <c r="G5930" s="78">
        <v>5927</v>
      </c>
      <c r="H5930">
        <f t="shared" ca="1" si="87"/>
        <v>-1.2108015365384422E-2</v>
      </c>
    </row>
    <row r="5931" spans="7:8" x14ac:dyDescent="0.3">
      <c r="G5931" s="78">
        <v>5928</v>
      </c>
      <c r="H5931">
        <f t="shared" ca="1" si="87"/>
        <v>-2.1020711198430124E-2</v>
      </c>
    </row>
    <row r="5932" spans="7:8" x14ac:dyDescent="0.3">
      <c r="G5932" s="78">
        <v>5929</v>
      </c>
      <c r="H5932">
        <f t="shared" ca="1" si="87"/>
        <v>1.8448923702336882E-2</v>
      </c>
    </row>
    <row r="5933" spans="7:8" x14ac:dyDescent="0.3">
      <c r="G5933" s="78">
        <v>5930</v>
      </c>
      <c r="H5933">
        <f t="shared" ca="1" si="87"/>
        <v>6.5183288884952659E-2</v>
      </c>
    </row>
    <row r="5934" spans="7:8" x14ac:dyDescent="0.3">
      <c r="G5934" s="78">
        <v>5931</v>
      </c>
      <c r="H5934">
        <f t="shared" ca="1" si="87"/>
        <v>3.9032685032147109E-2</v>
      </c>
    </row>
    <row r="5935" spans="7:8" x14ac:dyDescent="0.3">
      <c r="G5935" s="78">
        <v>5932</v>
      </c>
      <c r="H5935">
        <f t="shared" ca="1" si="87"/>
        <v>7.2560686618155382E-3</v>
      </c>
    </row>
    <row r="5936" spans="7:8" x14ac:dyDescent="0.3">
      <c r="G5936" s="78">
        <v>5933</v>
      </c>
      <c r="H5936">
        <f t="shared" ca="1" si="87"/>
        <v>-2.222179788828463E-3</v>
      </c>
    </row>
    <row r="5937" spans="7:8" x14ac:dyDescent="0.3">
      <c r="G5937" s="78">
        <v>5934</v>
      </c>
      <c r="H5937">
        <f t="shared" ca="1" si="87"/>
        <v>-1.0282534949218632E-2</v>
      </c>
    </row>
    <row r="5938" spans="7:8" x14ac:dyDescent="0.3">
      <c r="G5938" s="78">
        <v>5935</v>
      </c>
      <c r="H5938">
        <f t="shared" ca="1" si="87"/>
        <v>1.208105680214034E-2</v>
      </c>
    </row>
    <row r="5939" spans="7:8" x14ac:dyDescent="0.3">
      <c r="G5939" s="78">
        <v>5936</v>
      </c>
      <c r="H5939">
        <f t="shared" ca="1" si="87"/>
        <v>-1.6385537147733269E-2</v>
      </c>
    </row>
    <row r="5940" spans="7:8" x14ac:dyDescent="0.3">
      <c r="G5940" s="78">
        <v>5937</v>
      </c>
      <c r="H5940">
        <f t="shared" ca="1" si="87"/>
        <v>-4.0180303388965215E-2</v>
      </c>
    </row>
    <row r="5941" spans="7:8" x14ac:dyDescent="0.3">
      <c r="G5941" s="78">
        <v>5938</v>
      </c>
      <c r="H5941">
        <f t="shared" ca="1" si="87"/>
        <v>1.39033317074063E-2</v>
      </c>
    </row>
    <row r="5942" spans="7:8" x14ac:dyDescent="0.3">
      <c r="G5942" s="78">
        <v>5939</v>
      </c>
      <c r="H5942">
        <f t="shared" ca="1" si="87"/>
        <v>-4.9024875044531083E-3</v>
      </c>
    </row>
    <row r="5943" spans="7:8" x14ac:dyDescent="0.3">
      <c r="G5943" s="78">
        <v>5940</v>
      </c>
      <c r="H5943">
        <f t="shared" ca="1" si="87"/>
        <v>2.9593726582606887E-2</v>
      </c>
    </row>
    <row r="5944" spans="7:8" x14ac:dyDescent="0.3">
      <c r="G5944" s="78">
        <v>5941</v>
      </c>
      <c r="H5944">
        <f t="shared" ca="1" si="87"/>
        <v>-2.9980909906540728E-3</v>
      </c>
    </row>
    <row r="5945" spans="7:8" x14ac:dyDescent="0.3">
      <c r="G5945" s="78">
        <v>5942</v>
      </c>
      <c r="H5945">
        <f t="shared" ca="1" si="87"/>
        <v>-5.5382562627407459E-3</v>
      </c>
    </row>
    <row r="5946" spans="7:8" x14ac:dyDescent="0.3">
      <c r="G5946" s="78">
        <v>5943</v>
      </c>
      <c r="H5946">
        <f t="shared" ca="1" si="87"/>
        <v>-1.0898667179368412E-2</v>
      </c>
    </row>
    <row r="5947" spans="7:8" x14ac:dyDescent="0.3">
      <c r="G5947" s="78">
        <v>5944</v>
      </c>
      <c r="H5947">
        <f t="shared" ca="1" si="87"/>
        <v>3.9600068136997433E-3</v>
      </c>
    </row>
    <row r="5948" spans="7:8" x14ac:dyDescent="0.3">
      <c r="G5948" s="78">
        <v>5945</v>
      </c>
      <c r="H5948">
        <f t="shared" ca="1" si="87"/>
        <v>2.1163799641469496E-2</v>
      </c>
    </row>
    <row r="5949" spans="7:8" x14ac:dyDescent="0.3">
      <c r="G5949" s="78">
        <v>5946</v>
      </c>
      <c r="H5949">
        <f t="shared" ca="1" si="87"/>
        <v>2.8969045819846023E-2</v>
      </c>
    </row>
    <row r="5950" spans="7:8" x14ac:dyDescent="0.3">
      <c r="G5950" s="78">
        <v>5947</v>
      </c>
      <c r="H5950">
        <f t="shared" ca="1" si="87"/>
        <v>1.9060791554968703E-3</v>
      </c>
    </row>
    <row r="5951" spans="7:8" x14ac:dyDescent="0.3">
      <c r="G5951" s="78">
        <v>5948</v>
      </c>
      <c r="H5951">
        <f t="shared" ca="1" si="87"/>
        <v>2.6691753350516607E-2</v>
      </c>
    </row>
    <row r="5952" spans="7:8" x14ac:dyDescent="0.3">
      <c r="G5952" s="78">
        <v>5949</v>
      </c>
      <c r="H5952">
        <f t="shared" ca="1" si="87"/>
        <v>-2.8697767922427217E-2</v>
      </c>
    </row>
    <row r="5953" spans="7:8" x14ac:dyDescent="0.3">
      <c r="G5953" s="78">
        <v>5950</v>
      </c>
      <c r="H5953">
        <f t="shared" ca="1" si="87"/>
        <v>4.8275250589046494E-3</v>
      </c>
    </row>
    <row r="5954" spans="7:8" x14ac:dyDescent="0.3">
      <c r="G5954" s="78">
        <v>5951</v>
      </c>
      <c r="H5954">
        <f t="shared" ca="1" si="87"/>
        <v>-3.5840045719743349E-2</v>
      </c>
    </row>
    <row r="5955" spans="7:8" x14ac:dyDescent="0.3">
      <c r="G5955" s="78">
        <v>5952</v>
      </c>
      <c r="H5955">
        <f t="shared" ca="1" si="87"/>
        <v>4.3205528637134581E-2</v>
      </c>
    </row>
    <row r="5956" spans="7:8" x14ac:dyDescent="0.3">
      <c r="G5956" s="78">
        <v>5953</v>
      </c>
      <c r="H5956">
        <f t="shared" ref="H5956:H6019" ca="1" si="88">_xlfn.NORM.INV(RAND(),$N$4,$N$5)</f>
        <v>-2.6639390501972008E-2</v>
      </c>
    </row>
    <row r="5957" spans="7:8" x14ac:dyDescent="0.3">
      <c r="G5957" s="78">
        <v>5954</v>
      </c>
      <c r="H5957">
        <f t="shared" ca="1" si="88"/>
        <v>7.2555575355821699E-3</v>
      </c>
    </row>
    <row r="5958" spans="7:8" x14ac:dyDescent="0.3">
      <c r="G5958" s="78">
        <v>5955</v>
      </c>
      <c r="H5958">
        <f t="shared" ca="1" si="88"/>
        <v>4.0777418850103204E-3</v>
      </c>
    </row>
    <row r="5959" spans="7:8" x14ac:dyDescent="0.3">
      <c r="G5959" s="78">
        <v>5956</v>
      </c>
      <c r="H5959">
        <f t="shared" ca="1" si="88"/>
        <v>1.1060017810151831E-2</v>
      </c>
    </row>
    <row r="5960" spans="7:8" x14ac:dyDescent="0.3">
      <c r="G5960" s="78">
        <v>5957</v>
      </c>
      <c r="H5960">
        <f t="shared" ca="1" si="88"/>
        <v>2.1206149662391215E-3</v>
      </c>
    </row>
    <row r="5961" spans="7:8" x14ac:dyDescent="0.3">
      <c r="G5961" s="78">
        <v>5958</v>
      </c>
      <c r="H5961">
        <f t="shared" ca="1" si="88"/>
        <v>2.5299755291840427E-2</v>
      </c>
    </row>
    <row r="5962" spans="7:8" x14ac:dyDescent="0.3">
      <c r="G5962" s="78">
        <v>5959</v>
      </c>
      <c r="H5962">
        <f t="shared" ca="1" si="88"/>
        <v>2.3310821647811019E-2</v>
      </c>
    </row>
    <row r="5963" spans="7:8" x14ac:dyDescent="0.3">
      <c r="G5963" s="78">
        <v>5960</v>
      </c>
      <c r="H5963">
        <f t="shared" ca="1" si="88"/>
        <v>-6.6570056267327244E-3</v>
      </c>
    </row>
    <row r="5964" spans="7:8" x14ac:dyDescent="0.3">
      <c r="G5964" s="78">
        <v>5961</v>
      </c>
      <c r="H5964">
        <f t="shared" ca="1" si="88"/>
        <v>-2.5263973060360736E-2</v>
      </c>
    </row>
    <row r="5965" spans="7:8" x14ac:dyDescent="0.3">
      <c r="G5965" s="78">
        <v>5962</v>
      </c>
      <c r="H5965">
        <f t="shared" ca="1" si="88"/>
        <v>3.9595472636798579E-2</v>
      </c>
    </row>
    <row r="5966" spans="7:8" x14ac:dyDescent="0.3">
      <c r="G5966" s="78">
        <v>5963</v>
      </c>
      <c r="H5966">
        <f t="shared" ca="1" si="88"/>
        <v>-2.1809382257064133E-2</v>
      </c>
    </row>
    <row r="5967" spans="7:8" x14ac:dyDescent="0.3">
      <c r="G5967" s="78">
        <v>5964</v>
      </c>
      <c r="H5967">
        <f t="shared" ca="1" si="88"/>
        <v>4.0935478099321889E-4</v>
      </c>
    </row>
    <row r="5968" spans="7:8" x14ac:dyDescent="0.3">
      <c r="G5968" s="78">
        <v>5965</v>
      </c>
      <c r="H5968">
        <f t="shared" ca="1" si="88"/>
        <v>5.8341388342271943E-3</v>
      </c>
    </row>
    <row r="5969" spans="7:8" x14ac:dyDescent="0.3">
      <c r="G5969" s="78">
        <v>5966</v>
      </c>
      <c r="H5969">
        <f t="shared" ca="1" si="88"/>
        <v>1.3719834696903967E-2</v>
      </c>
    </row>
    <row r="5970" spans="7:8" x14ac:dyDescent="0.3">
      <c r="G5970" s="78">
        <v>5967</v>
      </c>
      <c r="H5970">
        <f t="shared" ca="1" si="88"/>
        <v>2.2605661269802464E-2</v>
      </c>
    </row>
    <row r="5971" spans="7:8" x14ac:dyDescent="0.3">
      <c r="G5971" s="78">
        <v>5968</v>
      </c>
      <c r="H5971">
        <f t="shared" ca="1" si="88"/>
        <v>-1.9281889055686112E-2</v>
      </c>
    </row>
    <row r="5972" spans="7:8" x14ac:dyDescent="0.3">
      <c r="G5972" s="78">
        <v>5969</v>
      </c>
      <c r="H5972">
        <f t="shared" ca="1" si="88"/>
        <v>8.1127681470502533E-3</v>
      </c>
    </row>
    <row r="5973" spans="7:8" x14ac:dyDescent="0.3">
      <c r="G5973" s="78">
        <v>5970</v>
      </c>
      <c r="H5973">
        <f t="shared" ca="1" si="88"/>
        <v>2.8751453963698947E-2</v>
      </c>
    </row>
    <row r="5974" spans="7:8" x14ac:dyDescent="0.3">
      <c r="G5974" s="78">
        <v>5971</v>
      </c>
      <c r="H5974">
        <f t="shared" ca="1" si="88"/>
        <v>-7.8276691617344546E-3</v>
      </c>
    </row>
    <row r="5975" spans="7:8" x14ac:dyDescent="0.3">
      <c r="G5975" s="78">
        <v>5972</v>
      </c>
      <c r="H5975">
        <f t="shared" ca="1" si="88"/>
        <v>9.3376253626504639E-3</v>
      </c>
    </row>
    <row r="5976" spans="7:8" x14ac:dyDescent="0.3">
      <c r="G5976" s="78">
        <v>5973</v>
      </c>
      <c r="H5976">
        <f t="shared" ca="1" si="88"/>
        <v>2.1710490730610706E-2</v>
      </c>
    </row>
    <row r="5977" spans="7:8" x14ac:dyDescent="0.3">
      <c r="G5977" s="78">
        <v>5974</v>
      </c>
      <c r="H5977">
        <f t="shared" ca="1" si="88"/>
        <v>2.0434390123186368E-2</v>
      </c>
    </row>
    <row r="5978" spans="7:8" x14ac:dyDescent="0.3">
      <c r="G5978" s="78">
        <v>5975</v>
      </c>
      <c r="H5978">
        <f t="shared" ca="1" si="88"/>
        <v>3.6758525263592447E-2</v>
      </c>
    </row>
    <row r="5979" spans="7:8" x14ac:dyDescent="0.3">
      <c r="G5979" s="78">
        <v>5976</v>
      </c>
      <c r="H5979">
        <f t="shared" ca="1" si="88"/>
        <v>-2.0084935429116726E-2</v>
      </c>
    </row>
    <row r="5980" spans="7:8" x14ac:dyDescent="0.3">
      <c r="G5980" s="78">
        <v>5977</v>
      </c>
      <c r="H5980">
        <f t="shared" ca="1" si="88"/>
        <v>1.2761015595862374E-2</v>
      </c>
    </row>
    <row r="5981" spans="7:8" x14ac:dyDescent="0.3">
      <c r="G5981" s="78">
        <v>5978</v>
      </c>
      <c r="H5981">
        <f t="shared" ca="1" si="88"/>
        <v>6.9671511018217877E-2</v>
      </c>
    </row>
    <row r="5982" spans="7:8" x14ac:dyDescent="0.3">
      <c r="G5982" s="78">
        <v>5979</v>
      </c>
      <c r="H5982">
        <f t="shared" ca="1" si="88"/>
        <v>1.0176303163103771E-2</v>
      </c>
    </row>
    <row r="5983" spans="7:8" x14ac:dyDescent="0.3">
      <c r="G5983" s="78">
        <v>5980</v>
      </c>
      <c r="H5983">
        <f t="shared" ca="1" si="88"/>
        <v>2.0895340796743846E-2</v>
      </c>
    </row>
    <row r="5984" spans="7:8" x14ac:dyDescent="0.3">
      <c r="G5984" s="78">
        <v>5981</v>
      </c>
      <c r="H5984">
        <f t="shared" ca="1" si="88"/>
        <v>-1.6414396817806567E-2</v>
      </c>
    </row>
    <row r="5985" spans="7:8" x14ac:dyDescent="0.3">
      <c r="G5985" s="78">
        <v>5982</v>
      </c>
      <c r="H5985">
        <f t="shared" ca="1" si="88"/>
        <v>-2.1327085957435678E-2</v>
      </c>
    </row>
    <row r="5986" spans="7:8" x14ac:dyDescent="0.3">
      <c r="G5986" s="78">
        <v>5983</v>
      </c>
      <c r="H5986">
        <f t="shared" ca="1" si="88"/>
        <v>-2.4953454739059008E-2</v>
      </c>
    </row>
    <row r="5987" spans="7:8" x14ac:dyDescent="0.3">
      <c r="G5987" s="78">
        <v>5984</v>
      </c>
      <c r="H5987">
        <f t="shared" ca="1" si="88"/>
        <v>8.4977250852882758E-3</v>
      </c>
    </row>
    <row r="5988" spans="7:8" x14ac:dyDescent="0.3">
      <c r="G5988" s="78">
        <v>5985</v>
      </c>
      <c r="H5988">
        <f t="shared" ca="1" si="88"/>
        <v>7.7370269248284269E-4</v>
      </c>
    </row>
    <row r="5989" spans="7:8" x14ac:dyDescent="0.3">
      <c r="G5989" s="78">
        <v>5986</v>
      </c>
      <c r="H5989">
        <f t="shared" ca="1" si="88"/>
        <v>-1.4862051857715919E-2</v>
      </c>
    </row>
    <row r="5990" spans="7:8" x14ac:dyDescent="0.3">
      <c r="G5990" s="78">
        <v>5987</v>
      </c>
      <c r="H5990">
        <f t="shared" ca="1" si="88"/>
        <v>-1.2053313102446757E-3</v>
      </c>
    </row>
    <row r="5991" spans="7:8" x14ac:dyDescent="0.3">
      <c r="G5991" s="78">
        <v>5988</v>
      </c>
      <c r="H5991">
        <f t="shared" ca="1" si="88"/>
        <v>-7.9234505327062509E-3</v>
      </c>
    </row>
    <row r="5992" spans="7:8" x14ac:dyDescent="0.3">
      <c r="G5992" s="78">
        <v>5989</v>
      </c>
      <c r="H5992">
        <f t="shared" ca="1" si="88"/>
        <v>9.5046618415205921E-3</v>
      </c>
    </row>
    <row r="5993" spans="7:8" x14ac:dyDescent="0.3">
      <c r="G5993" s="78">
        <v>5990</v>
      </c>
      <c r="H5993">
        <f t="shared" ca="1" si="88"/>
        <v>2.3946467528703844E-2</v>
      </c>
    </row>
    <row r="5994" spans="7:8" x14ac:dyDescent="0.3">
      <c r="G5994" s="78">
        <v>5991</v>
      </c>
      <c r="H5994">
        <f t="shared" ca="1" si="88"/>
        <v>-8.2058327278959585E-3</v>
      </c>
    </row>
    <row r="5995" spans="7:8" x14ac:dyDescent="0.3">
      <c r="G5995" s="78">
        <v>5992</v>
      </c>
      <c r="H5995">
        <f t="shared" ca="1" si="88"/>
        <v>2.908655173566934E-2</v>
      </c>
    </row>
    <row r="5996" spans="7:8" x14ac:dyDescent="0.3">
      <c r="G5996" s="78">
        <v>5993</v>
      </c>
      <c r="H5996">
        <f t="shared" ca="1" si="88"/>
        <v>-1.2391309429613028E-3</v>
      </c>
    </row>
    <row r="5997" spans="7:8" x14ac:dyDescent="0.3">
      <c r="G5997" s="78">
        <v>5994</v>
      </c>
      <c r="H5997">
        <f t="shared" ca="1" si="88"/>
        <v>1.2146502599753055E-2</v>
      </c>
    </row>
    <row r="5998" spans="7:8" x14ac:dyDescent="0.3">
      <c r="G5998" s="78">
        <v>5995</v>
      </c>
      <c r="H5998">
        <f t="shared" ca="1" si="88"/>
        <v>-7.3393751114819725E-3</v>
      </c>
    </row>
    <row r="5999" spans="7:8" x14ac:dyDescent="0.3">
      <c r="G5999" s="78">
        <v>5996</v>
      </c>
      <c r="H5999">
        <f t="shared" ca="1" si="88"/>
        <v>1.4909186814957447E-2</v>
      </c>
    </row>
    <row r="6000" spans="7:8" x14ac:dyDescent="0.3">
      <c r="G6000" s="78">
        <v>5997</v>
      </c>
      <c r="H6000">
        <f t="shared" ca="1" si="88"/>
        <v>-8.5168804669845111E-3</v>
      </c>
    </row>
    <row r="6001" spans="7:8" x14ac:dyDescent="0.3">
      <c r="G6001" s="78">
        <v>5998</v>
      </c>
      <c r="H6001">
        <f t="shared" ca="1" si="88"/>
        <v>1.0080268579054804E-2</v>
      </c>
    </row>
    <row r="6002" spans="7:8" x14ac:dyDescent="0.3">
      <c r="G6002" s="78">
        <v>5999</v>
      </c>
      <c r="H6002">
        <f t="shared" ca="1" si="88"/>
        <v>-2.852204707911216E-2</v>
      </c>
    </row>
    <row r="6003" spans="7:8" x14ac:dyDescent="0.3">
      <c r="G6003" s="78">
        <v>6000</v>
      </c>
      <c r="H6003">
        <f t="shared" ca="1" si="88"/>
        <v>3.2849116032719491E-3</v>
      </c>
    </row>
    <row r="6004" spans="7:8" x14ac:dyDescent="0.3">
      <c r="G6004" s="78">
        <v>6001</v>
      </c>
      <c r="H6004">
        <f t="shared" ca="1" si="88"/>
        <v>1.5387871079893256E-2</v>
      </c>
    </row>
    <row r="6005" spans="7:8" x14ac:dyDescent="0.3">
      <c r="G6005" s="78">
        <v>6002</v>
      </c>
      <c r="H6005">
        <f t="shared" ca="1" si="88"/>
        <v>-4.612759963274096E-3</v>
      </c>
    </row>
    <row r="6006" spans="7:8" x14ac:dyDescent="0.3">
      <c r="G6006" s="78">
        <v>6003</v>
      </c>
      <c r="H6006">
        <f t="shared" ca="1" si="88"/>
        <v>-1.6200534852186272E-2</v>
      </c>
    </row>
    <row r="6007" spans="7:8" x14ac:dyDescent="0.3">
      <c r="G6007" s="78">
        <v>6004</v>
      </c>
      <c r="H6007">
        <f t="shared" ca="1" si="88"/>
        <v>2.1678844715641726E-2</v>
      </c>
    </row>
    <row r="6008" spans="7:8" x14ac:dyDescent="0.3">
      <c r="G6008" s="78">
        <v>6005</v>
      </c>
      <c r="H6008">
        <f t="shared" ca="1" si="88"/>
        <v>2.312596349051636E-2</v>
      </c>
    </row>
    <row r="6009" spans="7:8" x14ac:dyDescent="0.3">
      <c r="G6009" s="78">
        <v>6006</v>
      </c>
      <c r="H6009">
        <f t="shared" ca="1" si="88"/>
        <v>1.6414606216197544E-2</v>
      </c>
    </row>
    <row r="6010" spans="7:8" x14ac:dyDescent="0.3">
      <c r="G6010" s="78">
        <v>6007</v>
      </c>
      <c r="H6010">
        <f t="shared" ca="1" si="88"/>
        <v>2.6055175011081306E-2</v>
      </c>
    </row>
    <row r="6011" spans="7:8" x14ac:dyDescent="0.3">
      <c r="G6011" s="78">
        <v>6008</v>
      </c>
      <c r="H6011">
        <f t="shared" ca="1" si="88"/>
        <v>2.4701183358588581E-2</v>
      </c>
    </row>
    <row r="6012" spans="7:8" x14ac:dyDescent="0.3">
      <c r="G6012" s="78">
        <v>6009</v>
      </c>
      <c r="H6012">
        <f t="shared" ca="1" si="88"/>
        <v>2.1260865104446622E-2</v>
      </c>
    </row>
    <row r="6013" spans="7:8" x14ac:dyDescent="0.3">
      <c r="G6013" s="78">
        <v>6010</v>
      </c>
      <c r="H6013">
        <f t="shared" ca="1" si="88"/>
        <v>-3.5452833062205014E-4</v>
      </c>
    </row>
    <row r="6014" spans="7:8" x14ac:dyDescent="0.3">
      <c r="G6014" s="78">
        <v>6011</v>
      </c>
      <c r="H6014">
        <f t="shared" ca="1" si="88"/>
        <v>1.4444335600052928E-2</v>
      </c>
    </row>
    <row r="6015" spans="7:8" x14ac:dyDescent="0.3">
      <c r="G6015" s="78">
        <v>6012</v>
      </c>
      <c r="H6015">
        <f t="shared" ca="1" si="88"/>
        <v>-1.649290836591678E-3</v>
      </c>
    </row>
    <row r="6016" spans="7:8" x14ac:dyDescent="0.3">
      <c r="G6016" s="78">
        <v>6013</v>
      </c>
      <c r="H6016">
        <f t="shared" ca="1" si="88"/>
        <v>-1.3202159665897174E-2</v>
      </c>
    </row>
    <row r="6017" spans="7:8" x14ac:dyDescent="0.3">
      <c r="G6017" s="78">
        <v>6014</v>
      </c>
      <c r="H6017">
        <f t="shared" ca="1" si="88"/>
        <v>-2.1787401875357233E-2</v>
      </c>
    </row>
    <row r="6018" spans="7:8" x14ac:dyDescent="0.3">
      <c r="G6018" s="78">
        <v>6015</v>
      </c>
      <c r="H6018">
        <f t="shared" ca="1" si="88"/>
        <v>2.802136345897388E-2</v>
      </c>
    </row>
    <row r="6019" spans="7:8" x14ac:dyDescent="0.3">
      <c r="G6019" s="78">
        <v>6016</v>
      </c>
      <c r="H6019">
        <f t="shared" ca="1" si="88"/>
        <v>3.0965090496054982E-2</v>
      </c>
    </row>
    <row r="6020" spans="7:8" x14ac:dyDescent="0.3">
      <c r="G6020" s="78">
        <v>6017</v>
      </c>
      <c r="H6020">
        <f t="shared" ref="H6020:H6083" ca="1" si="89">_xlfn.NORM.INV(RAND(),$N$4,$N$5)</f>
        <v>7.1985004886568416E-3</v>
      </c>
    </row>
    <row r="6021" spans="7:8" x14ac:dyDescent="0.3">
      <c r="G6021" s="78">
        <v>6018</v>
      </c>
      <c r="H6021">
        <f t="shared" ca="1" si="89"/>
        <v>1.8820115240552195E-2</v>
      </c>
    </row>
    <row r="6022" spans="7:8" x14ac:dyDescent="0.3">
      <c r="G6022" s="78">
        <v>6019</v>
      </c>
      <c r="H6022">
        <f t="shared" ca="1" si="89"/>
        <v>3.1349540965405077E-2</v>
      </c>
    </row>
    <row r="6023" spans="7:8" x14ac:dyDescent="0.3">
      <c r="G6023" s="78">
        <v>6020</v>
      </c>
      <c r="H6023">
        <f t="shared" ca="1" si="89"/>
        <v>1.9092054010328735E-2</v>
      </c>
    </row>
    <row r="6024" spans="7:8" x14ac:dyDescent="0.3">
      <c r="G6024" s="78">
        <v>6021</v>
      </c>
      <c r="H6024">
        <f t="shared" ca="1" si="89"/>
        <v>1.6243535040444883E-2</v>
      </c>
    </row>
    <row r="6025" spans="7:8" x14ac:dyDescent="0.3">
      <c r="G6025" s="78">
        <v>6022</v>
      </c>
      <c r="H6025">
        <f t="shared" ca="1" si="89"/>
        <v>-3.8803542140617986E-3</v>
      </c>
    </row>
    <row r="6026" spans="7:8" x14ac:dyDescent="0.3">
      <c r="G6026" s="78">
        <v>6023</v>
      </c>
      <c r="H6026">
        <f t="shared" ca="1" si="89"/>
        <v>2.6748095244074864E-2</v>
      </c>
    </row>
    <row r="6027" spans="7:8" x14ac:dyDescent="0.3">
      <c r="G6027" s="78">
        <v>6024</v>
      </c>
      <c r="H6027">
        <f t="shared" ca="1" si="89"/>
        <v>-9.7740465001007505E-3</v>
      </c>
    </row>
    <row r="6028" spans="7:8" x14ac:dyDescent="0.3">
      <c r="G6028" s="78">
        <v>6025</v>
      </c>
      <c r="H6028">
        <f t="shared" ca="1" si="89"/>
        <v>-6.0619839583846355E-3</v>
      </c>
    </row>
    <row r="6029" spans="7:8" x14ac:dyDescent="0.3">
      <c r="G6029" s="78">
        <v>6026</v>
      </c>
      <c r="H6029">
        <f t="shared" ca="1" si="89"/>
        <v>2.5277456778695875E-2</v>
      </c>
    </row>
    <row r="6030" spans="7:8" x14ac:dyDescent="0.3">
      <c r="G6030" s="78">
        <v>6027</v>
      </c>
      <c r="H6030">
        <f t="shared" ca="1" si="89"/>
        <v>6.5376482080088333E-3</v>
      </c>
    </row>
    <row r="6031" spans="7:8" x14ac:dyDescent="0.3">
      <c r="G6031" s="78">
        <v>6028</v>
      </c>
      <c r="H6031">
        <f t="shared" ca="1" si="89"/>
        <v>4.9937338545563911E-3</v>
      </c>
    </row>
    <row r="6032" spans="7:8" x14ac:dyDescent="0.3">
      <c r="G6032" s="78">
        <v>6029</v>
      </c>
      <c r="H6032">
        <f t="shared" ca="1" si="89"/>
        <v>2.4283753214502348E-2</v>
      </c>
    </row>
    <row r="6033" spans="7:8" x14ac:dyDescent="0.3">
      <c r="G6033" s="78">
        <v>6030</v>
      </c>
      <c r="H6033">
        <f t="shared" ca="1" si="89"/>
        <v>1.9451209490351559E-2</v>
      </c>
    </row>
    <row r="6034" spans="7:8" x14ac:dyDescent="0.3">
      <c r="G6034" s="78">
        <v>6031</v>
      </c>
      <c r="H6034">
        <f t="shared" ca="1" si="89"/>
        <v>-1.6459079333558443E-2</v>
      </c>
    </row>
    <row r="6035" spans="7:8" x14ac:dyDescent="0.3">
      <c r="G6035" s="78">
        <v>6032</v>
      </c>
      <c r="H6035">
        <f t="shared" ca="1" si="89"/>
        <v>2.6954217025733701E-3</v>
      </c>
    </row>
    <row r="6036" spans="7:8" x14ac:dyDescent="0.3">
      <c r="G6036" s="78">
        <v>6033</v>
      </c>
      <c r="H6036">
        <f t="shared" ca="1" si="89"/>
        <v>-2.3334433770172195E-2</v>
      </c>
    </row>
    <row r="6037" spans="7:8" x14ac:dyDescent="0.3">
      <c r="G6037" s="78">
        <v>6034</v>
      </c>
      <c r="H6037">
        <f t="shared" ca="1" si="89"/>
        <v>1.2292469583996409E-2</v>
      </c>
    </row>
    <row r="6038" spans="7:8" x14ac:dyDescent="0.3">
      <c r="G6038" s="78">
        <v>6035</v>
      </c>
      <c r="H6038">
        <f t="shared" ca="1" si="89"/>
        <v>-3.7818730522759291E-3</v>
      </c>
    </row>
    <row r="6039" spans="7:8" x14ac:dyDescent="0.3">
      <c r="G6039" s="78">
        <v>6036</v>
      </c>
      <c r="H6039">
        <f t="shared" ca="1" si="89"/>
        <v>-1.030328844803316E-2</v>
      </c>
    </row>
    <row r="6040" spans="7:8" x14ac:dyDescent="0.3">
      <c r="G6040" s="78">
        <v>6037</v>
      </c>
      <c r="H6040">
        <f t="shared" ca="1" si="89"/>
        <v>-3.4368748659913753E-2</v>
      </c>
    </row>
    <row r="6041" spans="7:8" x14ac:dyDescent="0.3">
      <c r="G6041" s="78">
        <v>6038</v>
      </c>
      <c r="H6041">
        <f t="shared" ca="1" si="89"/>
        <v>3.5071136185327083E-2</v>
      </c>
    </row>
    <row r="6042" spans="7:8" x14ac:dyDescent="0.3">
      <c r="G6042" s="78">
        <v>6039</v>
      </c>
      <c r="H6042">
        <f t="shared" ca="1" si="89"/>
        <v>4.901428037468244E-3</v>
      </c>
    </row>
    <row r="6043" spans="7:8" x14ac:dyDescent="0.3">
      <c r="G6043" s="78">
        <v>6040</v>
      </c>
      <c r="H6043">
        <f t="shared" ca="1" si="89"/>
        <v>-1.1812092086304238E-3</v>
      </c>
    </row>
    <row r="6044" spans="7:8" x14ac:dyDescent="0.3">
      <c r="G6044" s="78">
        <v>6041</v>
      </c>
      <c r="H6044">
        <f t="shared" ca="1" si="89"/>
        <v>3.0431882893744312E-3</v>
      </c>
    </row>
    <row r="6045" spans="7:8" x14ac:dyDescent="0.3">
      <c r="G6045" s="78">
        <v>6042</v>
      </c>
      <c r="H6045">
        <f t="shared" ca="1" si="89"/>
        <v>3.6301640702475751E-3</v>
      </c>
    </row>
    <row r="6046" spans="7:8" x14ac:dyDescent="0.3">
      <c r="G6046" s="78">
        <v>6043</v>
      </c>
      <c r="H6046">
        <f t="shared" ca="1" si="89"/>
        <v>-8.4374870675156428E-3</v>
      </c>
    </row>
    <row r="6047" spans="7:8" x14ac:dyDescent="0.3">
      <c r="G6047" s="78">
        <v>6044</v>
      </c>
      <c r="H6047">
        <f t="shared" ca="1" si="89"/>
        <v>2.4147679120279418E-3</v>
      </c>
    </row>
    <row r="6048" spans="7:8" x14ac:dyDescent="0.3">
      <c r="G6048" s="78">
        <v>6045</v>
      </c>
      <c r="H6048">
        <f t="shared" ca="1" si="89"/>
        <v>-1.7848456655943382E-2</v>
      </c>
    </row>
    <row r="6049" spans="7:8" x14ac:dyDescent="0.3">
      <c r="G6049" s="78">
        <v>6046</v>
      </c>
      <c r="H6049">
        <f t="shared" ca="1" si="89"/>
        <v>2.7886671765138035E-2</v>
      </c>
    </row>
    <row r="6050" spans="7:8" x14ac:dyDescent="0.3">
      <c r="G6050" s="78">
        <v>6047</v>
      </c>
      <c r="H6050">
        <f t="shared" ca="1" si="89"/>
        <v>-3.2070273838896469E-3</v>
      </c>
    </row>
    <row r="6051" spans="7:8" x14ac:dyDescent="0.3">
      <c r="G6051" s="78">
        <v>6048</v>
      </c>
      <c r="H6051">
        <f t="shared" ca="1" si="89"/>
        <v>-2.7272707595428471E-2</v>
      </c>
    </row>
    <row r="6052" spans="7:8" x14ac:dyDescent="0.3">
      <c r="G6052" s="78">
        <v>6049</v>
      </c>
      <c r="H6052">
        <f t="shared" ca="1" si="89"/>
        <v>-3.8237106141745414E-2</v>
      </c>
    </row>
    <row r="6053" spans="7:8" x14ac:dyDescent="0.3">
      <c r="G6053" s="78">
        <v>6050</v>
      </c>
      <c r="H6053">
        <f t="shared" ca="1" si="89"/>
        <v>-4.5150333340136144E-3</v>
      </c>
    </row>
    <row r="6054" spans="7:8" x14ac:dyDescent="0.3">
      <c r="G6054" s="78">
        <v>6051</v>
      </c>
      <c r="H6054">
        <f t="shared" ca="1" si="89"/>
        <v>4.4854461311592334E-2</v>
      </c>
    </row>
    <row r="6055" spans="7:8" x14ac:dyDescent="0.3">
      <c r="G6055" s="78">
        <v>6052</v>
      </c>
      <c r="H6055">
        <f t="shared" ca="1" si="89"/>
        <v>-7.2303900497219546E-3</v>
      </c>
    </row>
    <row r="6056" spans="7:8" x14ac:dyDescent="0.3">
      <c r="G6056" s="78">
        <v>6053</v>
      </c>
      <c r="H6056">
        <f t="shared" ca="1" si="89"/>
        <v>-2.0346650941252462E-2</v>
      </c>
    </row>
    <row r="6057" spans="7:8" x14ac:dyDescent="0.3">
      <c r="G6057" s="78">
        <v>6054</v>
      </c>
      <c r="H6057">
        <f t="shared" ca="1" si="89"/>
        <v>1.5986660780888107E-2</v>
      </c>
    </row>
    <row r="6058" spans="7:8" x14ac:dyDescent="0.3">
      <c r="G6058" s="78">
        <v>6055</v>
      </c>
      <c r="H6058">
        <f t="shared" ca="1" si="89"/>
        <v>2.8159681288253201E-2</v>
      </c>
    </row>
    <row r="6059" spans="7:8" x14ac:dyDescent="0.3">
      <c r="G6059" s="78">
        <v>6056</v>
      </c>
      <c r="H6059">
        <f t="shared" ca="1" si="89"/>
        <v>4.7260685174255685E-3</v>
      </c>
    </row>
    <row r="6060" spans="7:8" x14ac:dyDescent="0.3">
      <c r="G6060" s="78">
        <v>6057</v>
      </c>
      <c r="H6060">
        <f t="shared" ca="1" si="89"/>
        <v>-7.8828781696538702E-3</v>
      </c>
    </row>
    <row r="6061" spans="7:8" x14ac:dyDescent="0.3">
      <c r="G6061" s="78">
        <v>6058</v>
      </c>
      <c r="H6061">
        <f t="shared" ca="1" si="89"/>
        <v>-2.3554717355272731E-2</v>
      </c>
    </row>
    <row r="6062" spans="7:8" x14ac:dyDescent="0.3">
      <c r="G6062" s="78">
        <v>6059</v>
      </c>
      <c r="H6062">
        <f t="shared" ca="1" si="89"/>
        <v>2.5938013022945565E-2</v>
      </c>
    </row>
    <row r="6063" spans="7:8" x14ac:dyDescent="0.3">
      <c r="G6063" s="78">
        <v>6060</v>
      </c>
      <c r="H6063">
        <f t="shared" ca="1" si="89"/>
        <v>5.402391688580116E-3</v>
      </c>
    </row>
    <row r="6064" spans="7:8" x14ac:dyDescent="0.3">
      <c r="G6064" s="78">
        <v>6061</v>
      </c>
      <c r="H6064">
        <f t="shared" ca="1" si="89"/>
        <v>2.8214916226846888E-2</v>
      </c>
    </row>
    <row r="6065" spans="7:8" x14ac:dyDescent="0.3">
      <c r="G6065" s="78">
        <v>6062</v>
      </c>
      <c r="H6065">
        <f t="shared" ca="1" si="89"/>
        <v>2.1444728238544736E-2</v>
      </c>
    </row>
    <row r="6066" spans="7:8" x14ac:dyDescent="0.3">
      <c r="G6066" s="78">
        <v>6063</v>
      </c>
      <c r="H6066">
        <f t="shared" ca="1" si="89"/>
        <v>-2.2785049055983195E-2</v>
      </c>
    </row>
    <row r="6067" spans="7:8" x14ac:dyDescent="0.3">
      <c r="G6067" s="78">
        <v>6064</v>
      </c>
      <c r="H6067">
        <f t="shared" ca="1" si="89"/>
        <v>1.69224155253355E-2</v>
      </c>
    </row>
    <row r="6068" spans="7:8" x14ac:dyDescent="0.3">
      <c r="G6068" s="78">
        <v>6065</v>
      </c>
      <c r="H6068">
        <f t="shared" ca="1" si="89"/>
        <v>-2.2342343729515872E-2</v>
      </c>
    </row>
    <row r="6069" spans="7:8" x14ac:dyDescent="0.3">
      <c r="G6069" s="78">
        <v>6066</v>
      </c>
      <c r="H6069">
        <f t="shared" ca="1" si="89"/>
        <v>1.4661828516622167E-2</v>
      </c>
    </row>
    <row r="6070" spans="7:8" x14ac:dyDescent="0.3">
      <c r="G6070" s="78">
        <v>6067</v>
      </c>
      <c r="H6070">
        <f t="shared" ca="1" si="89"/>
        <v>1.6032001774294757E-2</v>
      </c>
    </row>
    <row r="6071" spans="7:8" x14ac:dyDescent="0.3">
      <c r="G6071" s="78">
        <v>6068</v>
      </c>
      <c r="H6071">
        <f t="shared" ca="1" si="89"/>
        <v>-2.3944103644088039E-3</v>
      </c>
    </row>
    <row r="6072" spans="7:8" x14ac:dyDescent="0.3">
      <c r="G6072" s="78">
        <v>6069</v>
      </c>
      <c r="H6072">
        <f t="shared" ca="1" si="89"/>
        <v>-8.8780515190004222E-3</v>
      </c>
    </row>
    <row r="6073" spans="7:8" x14ac:dyDescent="0.3">
      <c r="G6073" s="78">
        <v>6070</v>
      </c>
      <c r="H6073">
        <f t="shared" ca="1" si="89"/>
        <v>-4.836478143706057E-4</v>
      </c>
    </row>
    <row r="6074" spans="7:8" x14ac:dyDescent="0.3">
      <c r="G6074" s="78">
        <v>6071</v>
      </c>
      <c r="H6074">
        <f t="shared" ca="1" si="89"/>
        <v>3.0586848557484916E-2</v>
      </c>
    </row>
    <row r="6075" spans="7:8" x14ac:dyDescent="0.3">
      <c r="G6075" s="78">
        <v>6072</v>
      </c>
      <c r="H6075">
        <f t="shared" ca="1" si="89"/>
        <v>-8.5371055445387055E-3</v>
      </c>
    </row>
    <row r="6076" spans="7:8" x14ac:dyDescent="0.3">
      <c r="G6076" s="78">
        <v>6073</v>
      </c>
      <c r="H6076">
        <f t="shared" ca="1" si="89"/>
        <v>3.0530193777383186E-2</v>
      </c>
    </row>
    <row r="6077" spans="7:8" x14ac:dyDescent="0.3">
      <c r="G6077" s="78">
        <v>6074</v>
      </c>
      <c r="H6077">
        <f t="shared" ca="1" si="89"/>
        <v>3.237600484698574E-3</v>
      </c>
    </row>
    <row r="6078" spans="7:8" x14ac:dyDescent="0.3">
      <c r="G6078" s="78">
        <v>6075</v>
      </c>
      <c r="H6078">
        <f t="shared" ca="1" si="89"/>
        <v>-3.0773417046444873E-2</v>
      </c>
    </row>
    <row r="6079" spans="7:8" x14ac:dyDescent="0.3">
      <c r="G6079" s="78">
        <v>6076</v>
      </c>
      <c r="H6079">
        <f t="shared" ca="1" si="89"/>
        <v>4.0121208253534331E-2</v>
      </c>
    </row>
    <row r="6080" spans="7:8" x14ac:dyDescent="0.3">
      <c r="G6080" s="78">
        <v>6077</v>
      </c>
      <c r="H6080">
        <f t="shared" ca="1" si="89"/>
        <v>-1.5506853428845011E-2</v>
      </c>
    </row>
    <row r="6081" spans="7:8" x14ac:dyDescent="0.3">
      <c r="G6081" s="78">
        <v>6078</v>
      </c>
      <c r="H6081">
        <f t="shared" ca="1" si="89"/>
        <v>1.7093647152827953E-4</v>
      </c>
    </row>
    <row r="6082" spans="7:8" x14ac:dyDescent="0.3">
      <c r="G6082" s="78">
        <v>6079</v>
      </c>
      <c r="H6082">
        <f t="shared" ca="1" si="89"/>
        <v>-1.4953299588560639E-2</v>
      </c>
    </row>
    <row r="6083" spans="7:8" x14ac:dyDescent="0.3">
      <c r="G6083" s="78">
        <v>6080</v>
      </c>
      <c r="H6083">
        <f t="shared" ca="1" si="89"/>
        <v>1.1147542816470738E-2</v>
      </c>
    </row>
    <row r="6084" spans="7:8" x14ac:dyDescent="0.3">
      <c r="G6084" s="78">
        <v>6081</v>
      </c>
      <c r="H6084">
        <f t="shared" ref="H6084:H6147" ca="1" si="90">_xlfn.NORM.INV(RAND(),$N$4,$N$5)</f>
        <v>8.1852240848477847E-3</v>
      </c>
    </row>
    <row r="6085" spans="7:8" x14ac:dyDescent="0.3">
      <c r="G6085" s="78">
        <v>6082</v>
      </c>
      <c r="H6085">
        <f t="shared" ca="1" si="90"/>
        <v>1.1716199079156718E-2</v>
      </c>
    </row>
    <row r="6086" spans="7:8" x14ac:dyDescent="0.3">
      <c r="G6086" s="78">
        <v>6083</v>
      </c>
      <c r="H6086">
        <f t="shared" ca="1" si="90"/>
        <v>-9.9021657597289526E-3</v>
      </c>
    </row>
    <row r="6087" spans="7:8" x14ac:dyDescent="0.3">
      <c r="G6087" s="78">
        <v>6084</v>
      </c>
      <c r="H6087">
        <f t="shared" ca="1" si="90"/>
        <v>3.8066173800460609E-2</v>
      </c>
    </row>
    <row r="6088" spans="7:8" x14ac:dyDescent="0.3">
      <c r="G6088" s="78">
        <v>6085</v>
      </c>
      <c r="H6088">
        <f t="shared" ca="1" si="90"/>
        <v>-2.8514056708355339E-2</v>
      </c>
    </row>
    <row r="6089" spans="7:8" x14ac:dyDescent="0.3">
      <c r="G6089" s="78">
        <v>6086</v>
      </c>
      <c r="H6089">
        <f t="shared" ca="1" si="90"/>
        <v>-7.4306920522536585E-4</v>
      </c>
    </row>
    <row r="6090" spans="7:8" x14ac:dyDescent="0.3">
      <c r="G6090" s="78">
        <v>6087</v>
      </c>
      <c r="H6090">
        <f t="shared" ca="1" si="90"/>
        <v>-2.0423686518729275E-2</v>
      </c>
    </row>
    <row r="6091" spans="7:8" x14ac:dyDescent="0.3">
      <c r="G6091" s="78">
        <v>6088</v>
      </c>
      <c r="H6091">
        <f t="shared" ca="1" si="90"/>
        <v>2.2119073345605651E-2</v>
      </c>
    </row>
    <row r="6092" spans="7:8" x14ac:dyDescent="0.3">
      <c r="G6092" s="78">
        <v>6089</v>
      </c>
      <c r="H6092">
        <f t="shared" ca="1" si="90"/>
        <v>1.199085360042685E-2</v>
      </c>
    </row>
    <row r="6093" spans="7:8" x14ac:dyDescent="0.3">
      <c r="G6093" s="78">
        <v>6090</v>
      </c>
      <c r="H6093">
        <f t="shared" ca="1" si="90"/>
        <v>4.6223589127089961E-4</v>
      </c>
    </row>
    <row r="6094" spans="7:8" x14ac:dyDescent="0.3">
      <c r="G6094" s="78">
        <v>6091</v>
      </c>
      <c r="H6094">
        <f t="shared" ca="1" si="90"/>
        <v>2.3931450426311143E-2</v>
      </c>
    </row>
    <row r="6095" spans="7:8" x14ac:dyDescent="0.3">
      <c r="G6095" s="78">
        <v>6092</v>
      </c>
      <c r="H6095">
        <f t="shared" ca="1" si="90"/>
        <v>-1.8344906796487061E-2</v>
      </c>
    </row>
    <row r="6096" spans="7:8" x14ac:dyDescent="0.3">
      <c r="G6096" s="78">
        <v>6093</v>
      </c>
      <c r="H6096">
        <f t="shared" ca="1" si="90"/>
        <v>1.9874127576718342E-2</v>
      </c>
    </row>
    <row r="6097" spans="7:8" x14ac:dyDescent="0.3">
      <c r="G6097" s="78">
        <v>6094</v>
      </c>
      <c r="H6097">
        <f t="shared" ca="1" si="90"/>
        <v>2.5359863850854649E-3</v>
      </c>
    </row>
    <row r="6098" spans="7:8" x14ac:dyDescent="0.3">
      <c r="G6098" s="78">
        <v>6095</v>
      </c>
      <c r="H6098">
        <f t="shared" ca="1" si="90"/>
        <v>-8.7849478867431038E-3</v>
      </c>
    </row>
    <row r="6099" spans="7:8" x14ac:dyDescent="0.3">
      <c r="G6099" s="78">
        <v>6096</v>
      </c>
      <c r="H6099">
        <f t="shared" ca="1" si="90"/>
        <v>7.5996241568380765E-3</v>
      </c>
    </row>
    <row r="6100" spans="7:8" x14ac:dyDescent="0.3">
      <c r="G6100" s="78">
        <v>6097</v>
      </c>
      <c r="H6100">
        <f t="shared" ca="1" si="90"/>
        <v>9.1132265855573893E-3</v>
      </c>
    </row>
    <row r="6101" spans="7:8" x14ac:dyDescent="0.3">
      <c r="G6101" s="78">
        <v>6098</v>
      </c>
      <c r="H6101">
        <f t="shared" ca="1" si="90"/>
        <v>-7.2198220877679924E-3</v>
      </c>
    </row>
    <row r="6102" spans="7:8" x14ac:dyDescent="0.3">
      <c r="G6102" s="78">
        <v>6099</v>
      </c>
      <c r="H6102">
        <f t="shared" ca="1" si="90"/>
        <v>-1.0039716689674912E-2</v>
      </c>
    </row>
    <row r="6103" spans="7:8" x14ac:dyDescent="0.3">
      <c r="G6103" s="78">
        <v>6100</v>
      </c>
      <c r="H6103">
        <f t="shared" ca="1" si="90"/>
        <v>9.8114014965308086E-4</v>
      </c>
    </row>
    <row r="6104" spans="7:8" x14ac:dyDescent="0.3">
      <c r="G6104" s="78">
        <v>6101</v>
      </c>
      <c r="H6104">
        <f t="shared" ca="1" si="90"/>
        <v>8.5670631011751479E-3</v>
      </c>
    </row>
    <row r="6105" spans="7:8" x14ac:dyDescent="0.3">
      <c r="G6105" s="78">
        <v>6102</v>
      </c>
      <c r="H6105">
        <f t="shared" ca="1" si="90"/>
        <v>1.5307822338645891E-2</v>
      </c>
    </row>
    <row r="6106" spans="7:8" x14ac:dyDescent="0.3">
      <c r="G6106" s="78">
        <v>6103</v>
      </c>
      <c r="H6106">
        <f t="shared" ca="1" si="90"/>
        <v>2.5455473862861532E-2</v>
      </c>
    </row>
    <row r="6107" spans="7:8" x14ac:dyDescent="0.3">
      <c r="G6107" s="78">
        <v>6104</v>
      </c>
      <c r="H6107">
        <f t="shared" ca="1" si="90"/>
        <v>-1.3661210047856886E-3</v>
      </c>
    </row>
    <row r="6108" spans="7:8" x14ac:dyDescent="0.3">
      <c r="G6108" s="78">
        <v>6105</v>
      </c>
      <c r="H6108">
        <f t="shared" ca="1" si="90"/>
        <v>-8.4589921277926899E-3</v>
      </c>
    </row>
    <row r="6109" spans="7:8" x14ac:dyDescent="0.3">
      <c r="G6109" s="78">
        <v>6106</v>
      </c>
      <c r="H6109">
        <f t="shared" ca="1" si="90"/>
        <v>3.3571540326175708E-2</v>
      </c>
    </row>
    <row r="6110" spans="7:8" x14ac:dyDescent="0.3">
      <c r="G6110" s="78">
        <v>6107</v>
      </c>
      <c r="H6110">
        <f t="shared" ca="1" si="90"/>
        <v>1.4307471494273739E-2</v>
      </c>
    </row>
    <row r="6111" spans="7:8" x14ac:dyDescent="0.3">
      <c r="G6111" s="78">
        <v>6108</v>
      </c>
      <c r="H6111">
        <f t="shared" ca="1" si="90"/>
        <v>-1.6791368420489124E-2</v>
      </c>
    </row>
    <row r="6112" spans="7:8" x14ac:dyDescent="0.3">
      <c r="G6112" s="78">
        <v>6109</v>
      </c>
      <c r="H6112">
        <f t="shared" ca="1" si="90"/>
        <v>-2.1500077706072516E-2</v>
      </c>
    </row>
    <row r="6113" spans="7:8" x14ac:dyDescent="0.3">
      <c r="G6113" s="78">
        <v>6110</v>
      </c>
      <c r="H6113">
        <f t="shared" ca="1" si="90"/>
        <v>-8.8361496591741074E-3</v>
      </c>
    </row>
    <row r="6114" spans="7:8" x14ac:dyDescent="0.3">
      <c r="G6114" s="78">
        <v>6111</v>
      </c>
      <c r="H6114">
        <f t="shared" ca="1" si="90"/>
        <v>-4.2706638199881764E-3</v>
      </c>
    </row>
    <row r="6115" spans="7:8" x14ac:dyDescent="0.3">
      <c r="G6115" s="78">
        <v>6112</v>
      </c>
      <c r="H6115">
        <f t="shared" ca="1" si="90"/>
        <v>-1.1311791905287409E-2</v>
      </c>
    </row>
    <row r="6116" spans="7:8" x14ac:dyDescent="0.3">
      <c r="G6116" s="78">
        <v>6113</v>
      </c>
      <c r="H6116">
        <f t="shared" ca="1" si="90"/>
        <v>-5.3903934923900517E-3</v>
      </c>
    </row>
    <row r="6117" spans="7:8" x14ac:dyDescent="0.3">
      <c r="G6117" s="78">
        <v>6114</v>
      </c>
      <c r="H6117">
        <f t="shared" ca="1" si="90"/>
        <v>1.5121496553631328E-2</v>
      </c>
    </row>
    <row r="6118" spans="7:8" x14ac:dyDescent="0.3">
      <c r="G6118" s="78">
        <v>6115</v>
      </c>
      <c r="H6118">
        <f t="shared" ca="1" si="90"/>
        <v>2.0088284667339928E-2</v>
      </c>
    </row>
    <row r="6119" spans="7:8" x14ac:dyDescent="0.3">
      <c r="G6119" s="78">
        <v>6116</v>
      </c>
      <c r="H6119">
        <f t="shared" ca="1" si="90"/>
        <v>-3.3829343818607095E-3</v>
      </c>
    </row>
    <row r="6120" spans="7:8" x14ac:dyDescent="0.3">
      <c r="G6120" s="78">
        <v>6117</v>
      </c>
      <c r="H6120">
        <f t="shared" ca="1" si="90"/>
        <v>4.1166215881682684E-3</v>
      </c>
    </row>
    <row r="6121" spans="7:8" x14ac:dyDescent="0.3">
      <c r="G6121" s="78">
        <v>6118</v>
      </c>
      <c r="H6121">
        <f t="shared" ca="1" si="90"/>
        <v>-2.1229137129035638E-2</v>
      </c>
    </row>
    <row r="6122" spans="7:8" x14ac:dyDescent="0.3">
      <c r="G6122" s="78">
        <v>6119</v>
      </c>
      <c r="H6122">
        <f t="shared" ca="1" si="90"/>
        <v>1.5653864956789335E-2</v>
      </c>
    </row>
    <row r="6123" spans="7:8" x14ac:dyDescent="0.3">
      <c r="G6123" s="78">
        <v>6120</v>
      </c>
      <c r="H6123">
        <f t="shared" ca="1" si="90"/>
        <v>-1.2759597577040854E-2</v>
      </c>
    </row>
    <row r="6124" spans="7:8" x14ac:dyDescent="0.3">
      <c r="G6124" s="78">
        <v>6121</v>
      </c>
      <c r="H6124">
        <f t="shared" ca="1" si="90"/>
        <v>9.9727957022263929E-3</v>
      </c>
    </row>
    <row r="6125" spans="7:8" x14ac:dyDescent="0.3">
      <c r="G6125" s="78">
        <v>6122</v>
      </c>
      <c r="H6125">
        <f t="shared" ca="1" si="90"/>
        <v>1.243103240645882E-2</v>
      </c>
    </row>
    <row r="6126" spans="7:8" x14ac:dyDescent="0.3">
      <c r="G6126" s="78">
        <v>6123</v>
      </c>
      <c r="H6126">
        <f t="shared" ca="1" si="90"/>
        <v>1.124722404711251E-2</v>
      </c>
    </row>
    <row r="6127" spans="7:8" x14ac:dyDescent="0.3">
      <c r="G6127" s="78">
        <v>6124</v>
      </c>
      <c r="H6127">
        <f t="shared" ca="1" si="90"/>
        <v>1.8725394740376777E-2</v>
      </c>
    </row>
    <row r="6128" spans="7:8" x14ac:dyDescent="0.3">
      <c r="G6128" s="78">
        <v>6125</v>
      </c>
      <c r="H6128">
        <f t="shared" ca="1" si="90"/>
        <v>-3.350871003494954E-2</v>
      </c>
    </row>
    <row r="6129" spans="7:8" x14ac:dyDescent="0.3">
      <c r="G6129" s="78">
        <v>6126</v>
      </c>
      <c r="H6129">
        <f t="shared" ca="1" si="90"/>
        <v>-3.1221683877034216E-2</v>
      </c>
    </row>
    <row r="6130" spans="7:8" x14ac:dyDescent="0.3">
      <c r="G6130" s="78">
        <v>6127</v>
      </c>
      <c r="H6130">
        <f t="shared" ca="1" si="90"/>
        <v>-3.2364884432940895E-2</v>
      </c>
    </row>
    <row r="6131" spans="7:8" x14ac:dyDescent="0.3">
      <c r="G6131" s="78">
        <v>6128</v>
      </c>
      <c r="H6131">
        <f t="shared" ca="1" si="90"/>
        <v>1.7961480907866235E-3</v>
      </c>
    </row>
    <row r="6132" spans="7:8" x14ac:dyDescent="0.3">
      <c r="G6132" s="78">
        <v>6129</v>
      </c>
      <c r="H6132">
        <f t="shared" ca="1" si="90"/>
        <v>-1.061636060846835E-2</v>
      </c>
    </row>
    <row r="6133" spans="7:8" x14ac:dyDescent="0.3">
      <c r="G6133" s="78">
        <v>6130</v>
      </c>
      <c r="H6133">
        <f t="shared" ca="1" si="90"/>
        <v>1.4574362916291439E-2</v>
      </c>
    </row>
    <row r="6134" spans="7:8" x14ac:dyDescent="0.3">
      <c r="G6134" s="78">
        <v>6131</v>
      </c>
      <c r="H6134">
        <f t="shared" ca="1" si="90"/>
        <v>-2.9137207375050364E-2</v>
      </c>
    </row>
    <row r="6135" spans="7:8" x14ac:dyDescent="0.3">
      <c r="G6135" s="78">
        <v>6132</v>
      </c>
      <c r="H6135">
        <f t="shared" ca="1" si="90"/>
        <v>1.890825065380812E-2</v>
      </c>
    </row>
    <row r="6136" spans="7:8" x14ac:dyDescent="0.3">
      <c r="G6136" s="78">
        <v>6133</v>
      </c>
      <c r="H6136">
        <f t="shared" ca="1" si="90"/>
        <v>-2.7472672652427777E-3</v>
      </c>
    </row>
    <row r="6137" spans="7:8" x14ac:dyDescent="0.3">
      <c r="G6137" s="78">
        <v>6134</v>
      </c>
      <c r="H6137">
        <f t="shared" ca="1" si="90"/>
        <v>5.5622628309212252E-3</v>
      </c>
    </row>
    <row r="6138" spans="7:8" x14ac:dyDescent="0.3">
      <c r="G6138" s="78">
        <v>6135</v>
      </c>
      <c r="H6138">
        <f t="shared" ca="1" si="90"/>
        <v>1.0218936671548572E-3</v>
      </c>
    </row>
    <row r="6139" spans="7:8" x14ac:dyDescent="0.3">
      <c r="G6139" s="78">
        <v>6136</v>
      </c>
      <c r="H6139">
        <f t="shared" ca="1" si="90"/>
        <v>-2.0170155997185329E-2</v>
      </c>
    </row>
    <row r="6140" spans="7:8" x14ac:dyDescent="0.3">
      <c r="G6140" s="78">
        <v>6137</v>
      </c>
      <c r="H6140">
        <f t="shared" ca="1" si="90"/>
        <v>-2.282915877522633E-2</v>
      </c>
    </row>
    <row r="6141" spans="7:8" x14ac:dyDescent="0.3">
      <c r="G6141" s="78">
        <v>6138</v>
      </c>
      <c r="H6141">
        <f t="shared" ca="1" si="90"/>
        <v>-1.5683386750200913E-4</v>
      </c>
    </row>
    <row r="6142" spans="7:8" x14ac:dyDescent="0.3">
      <c r="G6142" s="78">
        <v>6139</v>
      </c>
      <c r="H6142">
        <f t="shared" ca="1" si="90"/>
        <v>-1.9032156900324494E-2</v>
      </c>
    </row>
    <row r="6143" spans="7:8" x14ac:dyDescent="0.3">
      <c r="G6143" s="78">
        <v>6140</v>
      </c>
      <c r="H6143">
        <f t="shared" ca="1" si="90"/>
        <v>4.4683375513841737E-2</v>
      </c>
    </row>
    <row r="6144" spans="7:8" x14ac:dyDescent="0.3">
      <c r="G6144" s="78">
        <v>6141</v>
      </c>
      <c r="H6144">
        <f t="shared" ca="1" si="90"/>
        <v>9.7776303726509056E-3</v>
      </c>
    </row>
    <row r="6145" spans="7:8" x14ac:dyDescent="0.3">
      <c r="G6145" s="78">
        <v>6142</v>
      </c>
      <c r="H6145">
        <f t="shared" ca="1" si="90"/>
        <v>2.9645055055094183E-2</v>
      </c>
    </row>
    <row r="6146" spans="7:8" x14ac:dyDescent="0.3">
      <c r="G6146" s="78">
        <v>6143</v>
      </c>
      <c r="H6146">
        <f t="shared" ca="1" si="90"/>
        <v>3.0143169295197125E-2</v>
      </c>
    </row>
    <row r="6147" spans="7:8" x14ac:dyDescent="0.3">
      <c r="G6147" s="78">
        <v>6144</v>
      </c>
      <c r="H6147">
        <f t="shared" ca="1" si="90"/>
        <v>2.0153350077370451E-2</v>
      </c>
    </row>
    <row r="6148" spans="7:8" x14ac:dyDescent="0.3">
      <c r="G6148" s="78">
        <v>6145</v>
      </c>
      <c r="H6148">
        <f t="shared" ref="H6148:H6211" ca="1" si="91">_xlfn.NORM.INV(RAND(),$N$4,$N$5)</f>
        <v>-3.8509635757857453E-3</v>
      </c>
    </row>
    <row r="6149" spans="7:8" x14ac:dyDescent="0.3">
      <c r="G6149" s="78">
        <v>6146</v>
      </c>
      <c r="H6149">
        <f t="shared" ca="1" si="91"/>
        <v>1.7581617099607923E-2</v>
      </c>
    </row>
    <row r="6150" spans="7:8" x14ac:dyDescent="0.3">
      <c r="G6150" s="78">
        <v>6147</v>
      </c>
      <c r="H6150">
        <f t="shared" ca="1" si="91"/>
        <v>5.6908651535995773E-3</v>
      </c>
    </row>
    <row r="6151" spans="7:8" x14ac:dyDescent="0.3">
      <c r="G6151" s="78">
        <v>6148</v>
      </c>
      <c r="H6151">
        <f t="shared" ca="1" si="91"/>
        <v>-7.1987289663075606E-3</v>
      </c>
    </row>
    <row r="6152" spans="7:8" x14ac:dyDescent="0.3">
      <c r="G6152" s="78">
        <v>6149</v>
      </c>
      <c r="H6152">
        <f t="shared" ca="1" si="91"/>
        <v>9.5459356624996161E-3</v>
      </c>
    </row>
    <row r="6153" spans="7:8" x14ac:dyDescent="0.3">
      <c r="G6153" s="78">
        <v>6150</v>
      </c>
      <c r="H6153">
        <f t="shared" ca="1" si="91"/>
        <v>-2.427105716124011E-2</v>
      </c>
    </row>
    <row r="6154" spans="7:8" x14ac:dyDescent="0.3">
      <c r="G6154" s="78">
        <v>6151</v>
      </c>
      <c r="H6154">
        <f t="shared" ca="1" si="91"/>
        <v>1.8375333670953481E-2</v>
      </c>
    </row>
    <row r="6155" spans="7:8" x14ac:dyDescent="0.3">
      <c r="G6155" s="78">
        <v>6152</v>
      </c>
      <c r="H6155">
        <f t="shared" ca="1" si="91"/>
        <v>9.1440961158203906E-3</v>
      </c>
    </row>
    <row r="6156" spans="7:8" x14ac:dyDescent="0.3">
      <c r="G6156" s="78">
        <v>6153</v>
      </c>
      <c r="H6156">
        <f t="shared" ca="1" si="91"/>
        <v>2.9346063543762772E-3</v>
      </c>
    </row>
    <row r="6157" spans="7:8" x14ac:dyDescent="0.3">
      <c r="G6157" s="78">
        <v>6154</v>
      </c>
      <c r="H6157">
        <f t="shared" ca="1" si="91"/>
        <v>1.122147047185244E-2</v>
      </c>
    </row>
    <row r="6158" spans="7:8" x14ac:dyDescent="0.3">
      <c r="G6158" s="78">
        <v>6155</v>
      </c>
      <c r="H6158">
        <f t="shared" ca="1" si="91"/>
        <v>-8.05678159234899E-3</v>
      </c>
    </row>
    <row r="6159" spans="7:8" x14ac:dyDescent="0.3">
      <c r="G6159" s="78">
        <v>6156</v>
      </c>
      <c r="H6159">
        <f t="shared" ca="1" si="91"/>
        <v>-1.6332075055560075E-2</v>
      </c>
    </row>
    <row r="6160" spans="7:8" x14ac:dyDescent="0.3">
      <c r="G6160" s="78">
        <v>6157</v>
      </c>
      <c r="H6160">
        <f t="shared" ca="1" si="91"/>
        <v>-1.1996842327621304E-2</v>
      </c>
    </row>
    <row r="6161" spans="7:8" x14ac:dyDescent="0.3">
      <c r="G6161" s="78">
        <v>6158</v>
      </c>
      <c r="H6161">
        <f t="shared" ca="1" si="91"/>
        <v>2.6555990550508512E-2</v>
      </c>
    </row>
    <row r="6162" spans="7:8" x14ac:dyDescent="0.3">
      <c r="G6162" s="78">
        <v>6159</v>
      </c>
      <c r="H6162">
        <f t="shared" ca="1" si="91"/>
        <v>1.835222252932707E-2</v>
      </c>
    </row>
    <row r="6163" spans="7:8" x14ac:dyDescent="0.3">
      <c r="G6163" s="78">
        <v>6160</v>
      </c>
      <c r="H6163">
        <f t="shared" ca="1" si="91"/>
        <v>7.2980082319923519E-4</v>
      </c>
    </row>
    <row r="6164" spans="7:8" x14ac:dyDescent="0.3">
      <c r="G6164" s="78">
        <v>6161</v>
      </c>
      <c r="H6164">
        <f t="shared" ca="1" si="91"/>
        <v>4.2467134547953013E-2</v>
      </c>
    </row>
    <row r="6165" spans="7:8" x14ac:dyDescent="0.3">
      <c r="G6165" s="78">
        <v>6162</v>
      </c>
      <c r="H6165">
        <f t="shared" ca="1" si="91"/>
        <v>4.7430740830671225E-2</v>
      </c>
    </row>
    <row r="6166" spans="7:8" x14ac:dyDescent="0.3">
      <c r="G6166" s="78">
        <v>6163</v>
      </c>
      <c r="H6166">
        <f t="shared" ca="1" si="91"/>
        <v>-9.3669874736568032E-3</v>
      </c>
    </row>
    <row r="6167" spans="7:8" x14ac:dyDescent="0.3">
      <c r="G6167" s="78">
        <v>6164</v>
      </c>
      <c r="H6167">
        <f t="shared" ca="1" si="91"/>
        <v>-5.901390045198452E-3</v>
      </c>
    </row>
    <row r="6168" spans="7:8" x14ac:dyDescent="0.3">
      <c r="G6168" s="78">
        <v>6165</v>
      </c>
      <c r="H6168">
        <f t="shared" ca="1" si="91"/>
        <v>1.0130741678784985E-2</v>
      </c>
    </row>
    <row r="6169" spans="7:8" x14ac:dyDescent="0.3">
      <c r="G6169" s="78">
        <v>6166</v>
      </c>
      <c r="H6169">
        <f t="shared" ca="1" si="91"/>
        <v>-1.6086157680704519E-3</v>
      </c>
    </row>
    <row r="6170" spans="7:8" x14ac:dyDescent="0.3">
      <c r="G6170" s="78">
        <v>6167</v>
      </c>
      <c r="H6170">
        <f t="shared" ca="1" si="91"/>
        <v>-1.3473729349743927E-2</v>
      </c>
    </row>
    <row r="6171" spans="7:8" x14ac:dyDescent="0.3">
      <c r="G6171" s="78">
        <v>6168</v>
      </c>
      <c r="H6171">
        <f t="shared" ca="1" si="91"/>
        <v>1.2861279378354141E-2</v>
      </c>
    </row>
    <row r="6172" spans="7:8" x14ac:dyDescent="0.3">
      <c r="G6172" s="78">
        <v>6169</v>
      </c>
      <c r="H6172">
        <f t="shared" ca="1" si="91"/>
        <v>-3.4838323742539638E-2</v>
      </c>
    </row>
    <row r="6173" spans="7:8" x14ac:dyDescent="0.3">
      <c r="G6173" s="78">
        <v>6170</v>
      </c>
      <c r="H6173">
        <f t="shared" ca="1" si="91"/>
        <v>3.8603259641836933E-3</v>
      </c>
    </row>
    <row r="6174" spans="7:8" x14ac:dyDescent="0.3">
      <c r="G6174" s="78">
        <v>6171</v>
      </c>
      <c r="H6174">
        <f t="shared" ca="1" si="91"/>
        <v>6.6399697783715468E-3</v>
      </c>
    </row>
    <row r="6175" spans="7:8" x14ac:dyDescent="0.3">
      <c r="G6175" s="78">
        <v>6172</v>
      </c>
      <c r="H6175">
        <f t="shared" ca="1" si="91"/>
        <v>-7.6577693799246274E-3</v>
      </c>
    </row>
    <row r="6176" spans="7:8" x14ac:dyDescent="0.3">
      <c r="G6176" s="78">
        <v>6173</v>
      </c>
      <c r="H6176">
        <f t="shared" ca="1" si="91"/>
        <v>1.9856130945983659E-2</v>
      </c>
    </row>
    <row r="6177" spans="7:8" x14ac:dyDescent="0.3">
      <c r="G6177" s="78">
        <v>6174</v>
      </c>
      <c r="H6177">
        <f t="shared" ca="1" si="91"/>
        <v>1.2247325397979542E-3</v>
      </c>
    </row>
    <row r="6178" spans="7:8" x14ac:dyDescent="0.3">
      <c r="G6178" s="78">
        <v>6175</v>
      </c>
      <c r="H6178">
        <f t="shared" ca="1" si="91"/>
        <v>-2.4820731933466015E-2</v>
      </c>
    </row>
    <row r="6179" spans="7:8" x14ac:dyDescent="0.3">
      <c r="G6179" s="78">
        <v>6176</v>
      </c>
      <c r="H6179">
        <f t="shared" ca="1" si="91"/>
        <v>1.9471294880188159E-2</v>
      </c>
    </row>
    <row r="6180" spans="7:8" x14ac:dyDescent="0.3">
      <c r="G6180" s="78">
        <v>6177</v>
      </c>
      <c r="H6180">
        <f t="shared" ca="1" si="91"/>
        <v>-3.59595632539031E-2</v>
      </c>
    </row>
    <row r="6181" spans="7:8" x14ac:dyDescent="0.3">
      <c r="G6181" s="78">
        <v>6178</v>
      </c>
      <c r="H6181">
        <f t="shared" ca="1" si="91"/>
        <v>1.1957137223160979E-2</v>
      </c>
    </row>
    <row r="6182" spans="7:8" x14ac:dyDescent="0.3">
      <c r="G6182" s="78">
        <v>6179</v>
      </c>
      <c r="H6182">
        <f t="shared" ca="1" si="91"/>
        <v>-2.0749914941949991E-2</v>
      </c>
    </row>
    <row r="6183" spans="7:8" x14ac:dyDescent="0.3">
      <c r="G6183" s="78">
        <v>6180</v>
      </c>
      <c r="H6183">
        <f t="shared" ca="1" si="91"/>
        <v>-2.2116867427108347E-2</v>
      </c>
    </row>
    <row r="6184" spans="7:8" x14ac:dyDescent="0.3">
      <c r="G6184" s="78">
        <v>6181</v>
      </c>
      <c r="H6184">
        <f t="shared" ca="1" si="91"/>
        <v>5.5090776601801365E-3</v>
      </c>
    </row>
    <row r="6185" spans="7:8" x14ac:dyDescent="0.3">
      <c r="G6185" s="78">
        <v>6182</v>
      </c>
      <c r="H6185">
        <f t="shared" ca="1" si="91"/>
        <v>9.6749664274551495E-3</v>
      </c>
    </row>
    <row r="6186" spans="7:8" x14ac:dyDescent="0.3">
      <c r="G6186" s="78">
        <v>6183</v>
      </c>
      <c r="H6186">
        <f t="shared" ca="1" si="91"/>
        <v>-1.8436390674018434E-4</v>
      </c>
    </row>
    <row r="6187" spans="7:8" x14ac:dyDescent="0.3">
      <c r="G6187" s="78">
        <v>6184</v>
      </c>
      <c r="H6187">
        <f t="shared" ca="1" si="91"/>
        <v>-1.0390586226414705E-2</v>
      </c>
    </row>
    <row r="6188" spans="7:8" x14ac:dyDescent="0.3">
      <c r="G6188" s="78">
        <v>6185</v>
      </c>
      <c r="H6188">
        <f t="shared" ca="1" si="91"/>
        <v>3.1218850535560862E-4</v>
      </c>
    </row>
    <row r="6189" spans="7:8" x14ac:dyDescent="0.3">
      <c r="G6189" s="78">
        <v>6186</v>
      </c>
      <c r="H6189">
        <f t="shared" ca="1" si="91"/>
        <v>-1.9715283766902358E-2</v>
      </c>
    </row>
    <row r="6190" spans="7:8" x14ac:dyDescent="0.3">
      <c r="G6190" s="78">
        <v>6187</v>
      </c>
      <c r="H6190">
        <f t="shared" ca="1" si="91"/>
        <v>-2.0043701950649608E-2</v>
      </c>
    </row>
    <row r="6191" spans="7:8" x14ac:dyDescent="0.3">
      <c r="G6191" s="78">
        <v>6188</v>
      </c>
      <c r="H6191">
        <f t="shared" ca="1" si="91"/>
        <v>-5.030442119699035E-3</v>
      </c>
    </row>
    <row r="6192" spans="7:8" x14ac:dyDescent="0.3">
      <c r="G6192" s="78">
        <v>6189</v>
      </c>
      <c r="H6192">
        <f t="shared" ca="1" si="91"/>
        <v>-2.5030331762780886E-2</v>
      </c>
    </row>
    <row r="6193" spans="7:8" x14ac:dyDescent="0.3">
      <c r="G6193" s="78">
        <v>6190</v>
      </c>
      <c r="H6193">
        <f t="shared" ca="1" si="91"/>
        <v>8.9313026758401481E-3</v>
      </c>
    </row>
    <row r="6194" spans="7:8" x14ac:dyDescent="0.3">
      <c r="G6194" s="78">
        <v>6191</v>
      </c>
      <c r="H6194">
        <f t="shared" ca="1" si="91"/>
        <v>-5.3645440482675264E-4</v>
      </c>
    </row>
    <row r="6195" spans="7:8" x14ac:dyDescent="0.3">
      <c r="G6195" s="78">
        <v>6192</v>
      </c>
      <c r="H6195">
        <f t="shared" ca="1" si="91"/>
        <v>-2.256915242818066E-3</v>
      </c>
    </row>
    <row r="6196" spans="7:8" x14ac:dyDescent="0.3">
      <c r="G6196" s="78">
        <v>6193</v>
      </c>
      <c r="H6196">
        <f t="shared" ca="1" si="91"/>
        <v>2.6910240125978244E-2</v>
      </c>
    </row>
    <row r="6197" spans="7:8" x14ac:dyDescent="0.3">
      <c r="G6197" s="78">
        <v>6194</v>
      </c>
      <c r="H6197">
        <f t="shared" ca="1" si="91"/>
        <v>1.5000857914636866E-2</v>
      </c>
    </row>
    <row r="6198" spans="7:8" x14ac:dyDescent="0.3">
      <c r="G6198" s="78">
        <v>6195</v>
      </c>
      <c r="H6198">
        <f t="shared" ca="1" si="91"/>
        <v>-1.9281696488847377E-2</v>
      </c>
    </row>
    <row r="6199" spans="7:8" x14ac:dyDescent="0.3">
      <c r="G6199" s="78">
        <v>6196</v>
      </c>
      <c r="H6199">
        <f t="shared" ca="1" si="91"/>
        <v>1.3027015620234669E-2</v>
      </c>
    </row>
    <row r="6200" spans="7:8" x14ac:dyDescent="0.3">
      <c r="G6200" s="78">
        <v>6197</v>
      </c>
      <c r="H6200">
        <f t="shared" ca="1" si="91"/>
        <v>3.1302096376344957E-2</v>
      </c>
    </row>
    <row r="6201" spans="7:8" x14ac:dyDescent="0.3">
      <c r="G6201" s="78">
        <v>6198</v>
      </c>
      <c r="H6201">
        <f t="shared" ca="1" si="91"/>
        <v>2.3971163307997579E-2</v>
      </c>
    </row>
    <row r="6202" spans="7:8" x14ac:dyDescent="0.3">
      <c r="G6202" s="78">
        <v>6199</v>
      </c>
      <c r="H6202">
        <f t="shared" ca="1" si="91"/>
        <v>3.7038657444209658E-2</v>
      </c>
    </row>
    <row r="6203" spans="7:8" x14ac:dyDescent="0.3">
      <c r="G6203" s="78">
        <v>6200</v>
      </c>
      <c r="H6203">
        <f t="shared" ca="1" si="91"/>
        <v>9.3749968026601588E-3</v>
      </c>
    </row>
    <row r="6204" spans="7:8" x14ac:dyDescent="0.3">
      <c r="G6204" s="78">
        <v>6201</v>
      </c>
      <c r="H6204">
        <f t="shared" ca="1" si="91"/>
        <v>7.122111266253661E-3</v>
      </c>
    </row>
    <row r="6205" spans="7:8" x14ac:dyDescent="0.3">
      <c r="G6205" s="78">
        <v>6202</v>
      </c>
      <c r="H6205">
        <f t="shared" ca="1" si="91"/>
        <v>-5.5476565791757158E-3</v>
      </c>
    </row>
    <row r="6206" spans="7:8" x14ac:dyDescent="0.3">
      <c r="G6206" s="78">
        <v>6203</v>
      </c>
      <c r="H6206">
        <f t="shared" ca="1" si="91"/>
        <v>9.9246531181621991E-3</v>
      </c>
    </row>
    <row r="6207" spans="7:8" x14ac:dyDescent="0.3">
      <c r="G6207" s="78">
        <v>6204</v>
      </c>
      <c r="H6207">
        <f t="shared" ca="1" si="91"/>
        <v>-1.1554270397606202E-2</v>
      </c>
    </row>
    <row r="6208" spans="7:8" x14ac:dyDescent="0.3">
      <c r="G6208" s="78">
        <v>6205</v>
      </c>
      <c r="H6208">
        <f t="shared" ca="1" si="91"/>
        <v>1.7280455397487671E-2</v>
      </c>
    </row>
    <row r="6209" spans="7:8" x14ac:dyDescent="0.3">
      <c r="G6209" s="78">
        <v>6206</v>
      </c>
      <c r="H6209">
        <f t="shared" ca="1" si="91"/>
        <v>4.38754610176124E-3</v>
      </c>
    </row>
    <row r="6210" spans="7:8" x14ac:dyDescent="0.3">
      <c r="G6210" s="78">
        <v>6207</v>
      </c>
      <c r="H6210">
        <f t="shared" ca="1" si="91"/>
        <v>-4.7649297512230196E-2</v>
      </c>
    </row>
    <row r="6211" spans="7:8" x14ac:dyDescent="0.3">
      <c r="G6211" s="78">
        <v>6208</v>
      </c>
      <c r="H6211">
        <f t="shared" ca="1" si="91"/>
        <v>2.8259110073300186E-2</v>
      </c>
    </row>
    <row r="6212" spans="7:8" x14ac:dyDescent="0.3">
      <c r="G6212" s="78">
        <v>6209</v>
      </c>
      <c r="H6212">
        <f t="shared" ref="H6212:H6275" ca="1" si="92">_xlfn.NORM.INV(RAND(),$N$4,$N$5)</f>
        <v>-6.7595810352451607E-3</v>
      </c>
    </row>
    <row r="6213" spans="7:8" x14ac:dyDescent="0.3">
      <c r="G6213" s="78">
        <v>6210</v>
      </c>
      <c r="H6213">
        <f t="shared" ca="1" si="92"/>
        <v>2.704369972881435E-2</v>
      </c>
    </row>
    <row r="6214" spans="7:8" x14ac:dyDescent="0.3">
      <c r="G6214" s="78">
        <v>6211</v>
      </c>
      <c r="H6214">
        <f t="shared" ca="1" si="92"/>
        <v>-2.1299621349011925E-2</v>
      </c>
    </row>
    <row r="6215" spans="7:8" x14ac:dyDescent="0.3">
      <c r="G6215" s="78">
        <v>6212</v>
      </c>
      <c r="H6215">
        <f t="shared" ca="1" si="92"/>
        <v>1.3371373940702024E-3</v>
      </c>
    </row>
    <row r="6216" spans="7:8" x14ac:dyDescent="0.3">
      <c r="G6216" s="78">
        <v>6213</v>
      </c>
      <c r="H6216">
        <f t="shared" ca="1" si="92"/>
        <v>7.7269863269873442E-3</v>
      </c>
    </row>
    <row r="6217" spans="7:8" x14ac:dyDescent="0.3">
      <c r="G6217" s="78">
        <v>6214</v>
      </c>
      <c r="H6217">
        <f t="shared" ca="1" si="92"/>
        <v>-2.369919367673546E-3</v>
      </c>
    </row>
    <row r="6218" spans="7:8" x14ac:dyDescent="0.3">
      <c r="G6218" s="78">
        <v>6215</v>
      </c>
      <c r="H6218">
        <f t="shared" ca="1" si="92"/>
        <v>1.2757747246547519E-4</v>
      </c>
    </row>
    <row r="6219" spans="7:8" x14ac:dyDescent="0.3">
      <c r="G6219" s="78">
        <v>6216</v>
      </c>
      <c r="H6219">
        <f t="shared" ca="1" si="92"/>
        <v>7.861258991159175E-3</v>
      </c>
    </row>
    <row r="6220" spans="7:8" x14ac:dyDescent="0.3">
      <c r="G6220" s="78">
        <v>6217</v>
      </c>
      <c r="H6220">
        <f t="shared" ca="1" si="92"/>
        <v>-1.4275156010520975E-2</v>
      </c>
    </row>
    <row r="6221" spans="7:8" x14ac:dyDescent="0.3">
      <c r="G6221" s="78">
        <v>6218</v>
      </c>
      <c r="H6221">
        <f t="shared" ca="1" si="92"/>
        <v>1.8597045816347347E-2</v>
      </c>
    </row>
    <row r="6222" spans="7:8" x14ac:dyDescent="0.3">
      <c r="G6222" s="78">
        <v>6219</v>
      </c>
      <c r="H6222">
        <f t="shared" ca="1" si="92"/>
        <v>-3.3763843030268767E-3</v>
      </c>
    </row>
    <row r="6223" spans="7:8" x14ac:dyDescent="0.3">
      <c r="G6223" s="78">
        <v>6220</v>
      </c>
      <c r="H6223">
        <f t="shared" ca="1" si="92"/>
        <v>1.1268068167452424E-2</v>
      </c>
    </row>
    <row r="6224" spans="7:8" x14ac:dyDescent="0.3">
      <c r="G6224" s="78">
        <v>6221</v>
      </c>
      <c r="H6224">
        <f t="shared" ca="1" si="92"/>
        <v>-2.7930814854743757E-2</v>
      </c>
    </row>
    <row r="6225" spans="7:8" x14ac:dyDescent="0.3">
      <c r="G6225" s="78">
        <v>6222</v>
      </c>
      <c r="H6225">
        <f t="shared" ca="1" si="92"/>
        <v>-4.2128310834795039E-3</v>
      </c>
    </row>
    <row r="6226" spans="7:8" x14ac:dyDescent="0.3">
      <c r="G6226" s="78">
        <v>6223</v>
      </c>
      <c r="H6226">
        <f t="shared" ca="1" si="92"/>
        <v>2.2290026322219637E-2</v>
      </c>
    </row>
    <row r="6227" spans="7:8" x14ac:dyDescent="0.3">
      <c r="G6227" s="78">
        <v>6224</v>
      </c>
      <c r="H6227">
        <f t="shared" ca="1" si="92"/>
        <v>1.4661461081185484E-2</v>
      </c>
    </row>
    <row r="6228" spans="7:8" x14ac:dyDescent="0.3">
      <c r="G6228" s="78">
        <v>6225</v>
      </c>
      <c r="H6228">
        <f t="shared" ca="1" si="92"/>
        <v>-2.6337631710235634E-2</v>
      </c>
    </row>
    <row r="6229" spans="7:8" x14ac:dyDescent="0.3">
      <c r="G6229" s="78">
        <v>6226</v>
      </c>
      <c r="H6229">
        <f t="shared" ca="1" si="92"/>
        <v>3.0536723153101748E-2</v>
      </c>
    </row>
    <row r="6230" spans="7:8" x14ac:dyDescent="0.3">
      <c r="G6230" s="78">
        <v>6227</v>
      </c>
      <c r="H6230">
        <f t="shared" ca="1" si="92"/>
        <v>-6.7257583373054658E-3</v>
      </c>
    </row>
    <row r="6231" spans="7:8" x14ac:dyDescent="0.3">
      <c r="G6231" s="78">
        <v>6228</v>
      </c>
      <c r="H6231">
        <f t="shared" ca="1" si="92"/>
        <v>2.1111647471778374E-2</v>
      </c>
    </row>
    <row r="6232" spans="7:8" x14ac:dyDescent="0.3">
      <c r="G6232" s="78">
        <v>6229</v>
      </c>
      <c r="H6232">
        <f t="shared" ca="1" si="92"/>
        <v>1.7684646935630672E-2</v>
      </c>
    </row>
    <row r="6233" spans="7:8" x14ac:dyDescent="0.3">
      <c r="G6233" s="78">
        <v>6230</v>
      </c>
      <c r="H6233">
        <f t="shared" ca="1" si="92"/>
        <v>2.6679320626611581E-2</v>
      </c>
    </row>
    <row r="6234" spans="7:8" x14ac:dyDescent="0.3">
      <c r="G6234" s="78">
        <v>6231</v>
      </c>
      <c r="H6234">
        <f t="shared" ca="1" si="92"/>
        <v>-2.7068553576099566E-2</v>
      </c>
    </row>
    <row r="6235" spans="7:8" x14ac:dyDescent="0.3">
      <c r="G6235" s="78">
        <v>6232</v>
      </c>
      <c r="H6235">
        <f t="shared" ca="1" si="92"/>
        <v>-1.6839443939231473E-2</v>
      </c>
    </row>
    <row r="6236" spans="7:8" x14ac:dyDescent="0.3">
      <c r="G6236" s="78">
        <v>6233</v>
      </c>
      <c r="H6236">
        <f t="shared" ca="1" si="92"/>
        <v>-1.3299775227109727E-2</v>
      </c>
    </row>
    <row r="6237" spans="7:8" x14ac:dyDescent="0.3">
      <c r="G6237" s="78">
        <v>6234</v>
      </c>
      <c r="H6237">
        <f t="shared" ca="1" si="92"/>
        <v>-1.5055102280745724E-2</v>
      </c>
    </row>
    <row r="6238" spans="7:8" x14ac:dyDescent="0.3">
      <c r="G6238" s="78">
        <v>6235</v>
      </c>
      <c r="H6238">
        <f t="shared" ca="1" si="92"/>
        <v>-3.7181082764728753E-3</v>
      </c>
    </row>
    <row r="6239" spans="7:8" x14ac:dyDescent="0.3">
      <c r="G6239" s="78">
        <v>6236</v>
      </c>
      <c r="H6239">
        <f t="shared" ca="1" si="92"/>
        <v>-6.1241935022947648E-3</v>
      </c>
    </row>
    <row r="6240" spans="7:8" x14ac:dyDescent="0.3">
      <c r="G6240" s="78">
        <v>6237</v>
      </c>
      <c r="H6240">
        <f t="shared" ca="1" si="92"/>
        <v>-1.1519314389967041E-2</v>
      </c>
    </row>
    <row r="6241" spans="7:8" x14ac:dyDescent="0.3">
      <c r="G6241" s="78">
        <v>6238</v>
      </c>
      <c r="H6241">
        <f t="shared" ca="1" si="92"/>
        <v>-2.7590908875943943E-4</v>
      </c>
    </row>
    <row r="6242" spans="7:8" x14ac:dyDescent="0.3">
      <c r="G6242" s="78">
        <v>6239</v>
      </c>
      <c r="H6242">
        <f t="shared" ca="1" si="92"/>
        <v>-1.1520837621204615E-2</v>
      </c>
    </row>
    <row r="6243" spans="7:8" x14ac:dyDescent="0.3">
      <c r="G6243" s="78">
        <v>6240</v>
      </c>
      <c r="H6243">
        <f t="shared" ca="1" si="92"/>
        <v>9.7806808054655293E-3</v>
      </c>
    </row>
    <row r="6244" spans="7:8" x14ac:dyDescent="0.3">
      <c r="G6244" s="78">
        <v>6241</v>
      </c>
      <c r="H6244">
        <f t="shared" ca="1" si="92"/>
        <v>-2.3038868067049623E-2</v>
      </c>
    </row>
    <row r="6245" spans="7:8" x14ac:dyDescent="0.3">
      <c r="G6245" s="78">
        <v>6242</v>
      </c>
      <c r="H6245">
        <f t="shared" ca="1" si="92"/>
        <v>9.2988654390931851E-4</v>
      </c>
    </row>
    <row r="6246" spans="7:8" x14ac:dyDescent="0.3">
      <c r="G6246" s="78">
        <v>6243</v>
      </c>
      <c r="H6246">
        <f t="shared" ca="1" si="92"/>
        <v>-2.725108421465677E-2</v>
      </c>
    </row>
    <row r="6247" spans="7:8" x14ac:dyDescent="0.3">
      <c r="G6247" s="78">
        <v>6244</v>
      </c>
      <c r="H6247">
        <f t="shared" ca="1" si="92"/>
        <v>-1.1771193555728763E-2</v>
      </c>
    </row>
    <row r="6248" spans="7:8" x14ac:dyDescent="0.3">
      <c r="G6248" s="78">
        <v>6245</v>
      </c>
      <c r="H6248">
        <f t="shared" ca="1" si="92"/>
        <v>7.9582561819305873E-3</v>
      </c>
    </row>
    <row r="6249" spans="7:8" x14ac:dyDescent="0.3">
      <c r="G6249" s="78">
        <v>6246</v>
      </c>
      <c r="H6249">
        <f t="shared" ca="1" si="92"/>
        <v>-1.6297195019710629E-2</v>
      </c>
    </row>
    <row r="6250" spans="7:8" x14ac:dyDescent="0.3">
      <c r="G6250" s="78">
        <v>6247</v>
      </c>
      <c r="H6250">
        <f t="shared" ca="1" si="92"/>
        <v>2.4326611179209603E-2</v>
      </c>
    </row>
    <row r="6251" spans="7:8" x14ac:dyDescent="0.3">
      <c r="G6251" s="78">
        <v>6248</v>
      </c>
      <c r="H6251">
        <f t="shared" ca="1" si="92"/>
        <v>2.2689935755708077E-2</v>
      </c>
    </row>
    <row r="6252" spans="7:8" x14ac:dyDescent="0.3">
      <c r="G6252" s="78">
        <v>6249</v>
      </c>
      <c r="H6252">
        <f t="shared" ca="1" si="92"/>
        <v>1.8097584914659109E-2</v>
      </c>
    </row>
    <row r="6253" spans="7:8" x14ac:dyDescent="0.3">
      <c r="G6253" s="78">
        <v>6250</v>
      </c>
      <c r="H6253">
        <f t="shared" ca="1" si="92"/>
        <v>-4.047956555804086E-3</v>
      </c>
    </row>
    <row r="6254" spans="7:8" x14ac:dyDescent="0.3">
      <c r="G6254" s="78">
        <v>6251</v>
      </c>
      <c r="H6254">
        <f t="shared" ca="1" si="92"/>
        <v>3.9099472571382582E-3</v>
      </c>
    </row>
    <row r="6255" spans="7:8" x14ac:dyDescent="0.3">
      <c r="G6255" s="78">
        <v>6252</v>
      </c>
      <c r="H6255">
        <f t="shared" ca="1" si="92"/>
        <v>-1.9201690365550007E-2</v>
      </c>
    </row>
    <row r="6256" spans="7:8" x14ac:dyDescent="0.3">
      <c r="G6256" s="78">
        <v>6253</v>
      </c>
      <c r="H6256">
        <f t="shared" ca="1" si="92"/>
        <v>8.3595263839999941E-3</v>
      </c>
    </row>
    <row r="6257" spans="7:8" x14ac:dyDescent="0.3">
      <c r="G6257" s="78">
        <v>6254</v>
      </c>
      <c r="H6257">
        <f t="shared" ca="1" si="92"/>
        <v>1.9773506000628546E-2</v>
      </c>
    </row>
    <row r="6258" spans="7:8" x14ac:dyDescent="0.3">
      <c r="G6258" s="78">
        <v>6255</v>
      </c>
      <c r="H6258">
        <f t="shared" ca="1" si="92"/>
        <v>3.7321368870860232E-3</v>
      </c>
    </row>
    <row r="6259" spans="7:8" x14ac:dyDescent="0.3">
      <c r="G6259" s="78">
        <v>6256</v>
      </c>
      <c r="H6259">
        <f t="shared" ca="1" si="92"/>
        <v>7.8166665995757761E-3</v>
      </c>
    </row>
    <row r="6260" spans="7:8" x14ac:dyDescent="0.3">
      <c r="G6260" s="78">
        <v>6257</v>
      </c>
      <c r="H6260">
        <f t="shared" ca="1" si="92"/>
        <v>-2.7803705721151348E-2</v>
      </c>
    </row>
    <row r="6261" spans="7:8" x14ac:dyDescent="0.3">
      <c r="G6261" s="78">
        <v>6258</v>
      </c>
      <c r="H6261">
        <f t="shared" ca="1" si="92"/>
        <v>-2.0226801955708838E-2</v>
      </c>
    </row>
    <row r="6262" spans="7:8" x14ac:dyDescent="0.3">
      <c r="G6262" s="78">
        <v>6259</v>
      </c>
      <c r="H6262">
        <f t="shared" ca="1" si="92"/>
        <v>1.093795465120616E-2</v>
      </c>
    </row>
    <row r="6263" spans="7:8" x14ac:dyDescent="0.3">
      <c r="G6263" s="78">
        <v>6260</v>
      </c>
      <c r="H6263">
        <f t="shared" ca="1" si="92"/>
        <v>-1.5567437072486678E-2</v>
      </c>
    </row>
    <row r="6264" spans="7:8" x14ac:dyDescent="0.3">
      <c r="G6264" s="78">
        <v>6261</v>
      </c>
      <c r="H6264">
        <f t="shared" ca="1" si="92"/>
        <v>1.1504685381573466E-2</v>
      </c>
    </row>
    <row r="6265" spans="7:8" x14ac:dyDescent="0.3">
      <c r="G6265" s="78">
        <v>6262</v>
      </c>
      <c r="H6265">
        <f t="shared" ca="1" si="92"/>
        <v>-2.2953030673985884E-2</v>
      </c>
    </row>
    <row r="6266" spans="7:8" x14ac:dyDescent="0.3">
      <c r="G6266" s="78">
        <v>6263</v>
      </c>
      <c r="H6266">
        <f t="shared" ca="1" si="92"/>
        <v>1.9455281246444074E-3</v>
      </c>
    </row>
    <row r="6267" spans="7:8" x14ac:dyDescent="0.3">
      <c r="G6267" s="78">
        <v>6264</v>
      </c>
      <c r="H6267">
        <f t="shared" ca="1" si="92"/>
        <v>-8.8245226908550602E-3</v>
      </c>
    </row>
    <row r="6268" spans="7:8" x14ac:dyDescent="0.3">
      <c r="G6268" s="78">
        <v>6265</v>
      </c>
      <c r="H6268">
        <f t="shared" ca="1" si="92"/>
        <v>4.3813523735520155E-3</v>
      </c>
    </row>
    <row r="6269" spans="7:8" x14ac:dyDescent="0.3">
      <c r="G6269" s="78">
        <v>6266</v>
      </c>
      <c r="H6269">
        <f t="shared" ca="1" si="92"/>
        <v>-3.798721974091028E-3</v>
      </c>
    </row>
    <row r="6270" spans="7:8" x14ac:dyDescent="0.3">
      <c r="G6270" s="78">
        <v>6267</v>
      </c>
      <c r="H6270">
        <f t="shared" ca="1" si="92"/>
        <v>-6.3876600050743137E-4</v>
      </c>
    </row>
    <row r="6271" spans="7:8" x14ac:dyDescent="0.3">
      <c r="G6271" s="78">
        <v>6268</v>
      </c>
      <c r="H6271">
        <f t="shared" ca="1" si="92"/>
        <v>-9.8022805953207337E-3</v>
      </c>
    </row>
    <row r="6272" spans="7:8" x14ac:dyDescent="0.3">
      <c r="G6272" s="78">
        <v>6269</v>
      </c>
      <c r="H6272">
        <f t="shared" ca="1" si="92"/>
        <v>-3.6763578350899892E-3</v>
      </c>
    </row>
    <row r="6273" spans="7:8" x14ac:dyDescent="0.3">
      <c r="G6273" s="78">
        <v>6270</v>
      </c>
      <c r="H6273">
        <f t="shared" ca="1" si="92"/>
        <v>-1.1332722622844037E-2</v>
      </c>
    </row>
    <row r="6274" spans="7:8" x14ac:dyDescent="0.3">
      <c r="G6274" s="78">
        <v>6271</v>
      </c>
      <c r="H6274">
        <f t="shared" ca="1" si="92"/>
        <v>-4.0866167092977537E-3</v>
      </c>
    </row>
    <row r="6275" spans="7:8" x14ac:dyDescent="0.3">
      <c r="G6275" s="78">
        <v>6272</v>
      </c>
      <c r="H6275">
        <f t="shared" ca="1" si="92"/>
        <v>2.452412493803377E-2</v>
      </c>
    </row>
    <row r="6276" spans="7:8" x14ac:dyDescent="0.3">
      <c r="G6276" s="78">
        <v>6273</v>
      </c>
      <c r="H6276">
        <f t="shared" ref="H6276:H6339" ca="1" si="93">_xlfn.NORM.INV(RAND(),$N$4,$N$5)</f>
        <v>1.6235025881366227E-2</v>
      </c>
    </row>
    <row r="6277" spans="7:8" x14ac:dyDescent="0.3">
      <c r="G6277" s="78">
        <v>6274</v>
      </c>
      <c r="H6277">
        <f t="shared" ca="1" si="93"/>
        <v>2.2759838669623861E-2</v>
      </c>
    </row>
    <row r="6278" spans="7:8" x14ac:dyDescent="0.3">
      <c r="G6278" s="78">
        <v>6275</v>
      </c>
      <c r="H6278">
        <f t="shared" ca="1" si="93"/>
        <v>-3.4581674103995812E-2</v>
      </c>
    </row>
    <row r="6279" spans="7:8" x14ac:dyDescent="0.3">
      <c r="G6279" s="78">
        <v>6276</v>
      </c>
      <c r="H6279">
        <f t="shared" ca="1" si="93"/>
        <v>-1.3008671075112452E-2</v>
      </c>
    </row>
    <row r="6280" spans="7:8" x14ac:dyDescent="0.3">
      <c r="G6280" s="78">
        <v>6277</v>
      </c>
      <c r="H6280">
        <f t="shared" ca="1" si="93"/>
        <v>8.5944739437551192E-3</v>
      </c>
    </row>
    <row r="6281" spans="7:8" x14ac:dyDescent="0.3">
      <c r="G6281" s="78">
        <v>6278</v>
      </c>
      <c r="H6281">
        <f t="shared" ca="1" si="93"/>
        <v>1.9256764758965879E-2</v>
      </c>
    </row>
    <row r="6282" spans="7:8" x14ac:dyDescent="0.3">
      <c r="G6282" s="78">
        <v>6279</v>
      </c>
      <c r="H6282">
        <f t="shared" ca="1" si="93"/>
        <v>1.5128183601628185E-2</v>
      </c>
    </row>
    <row r="6283" spans="7:8" x14ac:dyDescent="0.3">
      <c r="G6283" s="78">
        <v>6280</v>
      </c>
      <c r="H6283">
        <f t="shared" ca="1" si="93"/>
        <v>1.1769338792797604E-2</v>
      </c>
    </row>
    <row r="6284" spans="7:8" x14ac:dyDescent="0.3">
      <c r="G6284" s="78">
        <v>6281</v>
      </c>
      <c r="H6284">
        <f t="shared" ca="1" si="93"/>
        <v>-3.6823426937797991E-2</v>
      </c>
    </row>
    <row r="6285" spans="7:8" x14ac:dyDescent="0.3">
      <c r="G6285" s="78">
        <v>6282</v>
      </c>
      <c r="H6285">
        <f t="shared" ca="1" si="93"/>
        <v>-5.2716844995746503E-3</v>
      </c>
    </row>
    <row r="6286" spans="7:8" x14ac:dyDescent="0.3">
      <c r="G6286" s="78">
        <v>6283</v>
      </c>
      <c r="H6286">
        <f t="shared" ca="1" si="93"/>
        <v>-5.164787130650289E-2</v>
      </c>
    </row>
    <row r="6287" spans="7:8" x14ac:dyDescent="0.3">
      <c r="G6287" s="78">
        <v>6284</v>
      </c>
      <c r="H6287">
        <f t="shared" ca="1" si="93"/>
        <v>3.3931099264650506E-3</v>
      </c>
    </row>
    <row r="6288" spans="7:8" x14ac:dyDescent="0.3">
      <c r="G6288" s="78">
        <v>6285</v>
      </c>
      <c r="H6288">
        <f t="shared" ca="1" si="93"/>
        <v>1.5923830716290957E-2</v>
      </c>
    </row>
    <row r="6289" spans="7:8" x14ac:dyDescent="0.3">
      <c r="G6289" s="78">
        <v>6286</v>
      </c>
      <c r="H6289">
        <f t="shared" ca="1" si="93"/>
        <v>-3.9674030437171839E-3</v>
      </c>
    </row>
    <row r="6290" spans="7:8" x14ac:dyDescent="0.3">
      <c r="G6290" s="78">
        <v>6287</v>
      </c>
      <c r="H6290">
        <f t="shared" ca="1" si="93"/>
        <v>1.085555520570705E-2</v>
      </c>
    </row>
    <row r="6291" spans="7:8" x14ac:dyDescent="0.3">
      <c r="G6291" s="78">
        <v>6288</v>
      </c>
      <c r="H6291">
        <f t="shared" ca="1" si="93"/>
        <v>1.3010958732218072E-2</v>
      </c>
    </row>
    <row r="6292" spans="7:8" x14ac:dyDescent="0.3">
      <c r="G6292" s="78">
        <v>6289</v>
      </c>
      <c r="H6292">
        <f t="shared" ca="1" si="93"/>
        <v>3.9029757434816445E-2</v>
      </c>
    </row>
    <row r="6293" spans="7:8" x14ac:dyDescent="0.3">
      <c r="G6293" s="78">
        <v>6290</v>
      </c>
      <c r="H6293">
        <f t="shared" ca="1" si="93"/>
        <v>-9.1661550726551428E-5</v>
      </c>
    </row>
    <row r="6294" spans="7:8" x14ac:dyDescent="0.3">
      <c r="G6294" s="78">
        <v>6291</v>
      </c>
      <c r="H6294">
        <f t="shared" ca="1" si="93"/>
        <v>5.4953189472896416E-3</v>
      </c>
    </row>
    <row r="6295" spans="7:8" x14ac:dyDescent="0.3">
      <c r="G6295" s="78">
        <v>6292</v>
      </c>
      <c r="H6295">
        <f t="shared" ca="1" si="93"/>
        <v>-3.0875997599602127E-2</v>
      </c>
    </row>
    <row r="6296" spans="7:8" x14ac:dyDescent="0.3">
      <c r="G6296" s="78">
        <v>6293</v>
      </c>
      <c r="H6296">
        <f t="shared" ca="1" si="93"/>
        <v>4.5343401910822798E-3</v>
      </c>
    </row>
    <row r="6297" spans="7:8" x14ac:dyDescent="0.3">
      <c r="G6297" s="78">
        <v>6294</v>
      </c>
      <c r="H6297">
        <f t="shared" ca="1" si="93"/>
        <v>-1.0804480855658995E-3</v>
      </c>
    </row>
    <row r="6298" spans="7:8" x14ac:dyDescent="0.3">
      <c r="G6298" s="78">
        <v>6295</v>
      </c>
      <c r="H6298">
        <f t="shared" ca="1" si="93"/>
        <v>3.3008097941834369E-4</v>
      </c>
    </row>
    <row r="6299" spans="7:8" x14ac:dyDescent="0.3">
      <c r="G6299" s="78">
        <v>6296</v>
      </c>
      <c r="H6299">
        <f t="shared" ca="1" si="93"/>
        <v>5.5716865692738964E-3</v>
      </c>
    </row>
    <row r="6300" spans="7:8" x14ac:dyDescent="0.3">
      <c r="G6300" s="78">
        <v>6297</v>
      </c>
      <c r="H6300">
        <f t="shared" ca="1" si="93"/>
        <v>-3.0143759025347463E-3</v>
      </c>
    </row>
    <row r="6301" spans="7:8" x14ac:dyDescent="0.3">
      <c r="G6301" s="78">
        <v>6298</v>
      </c>
      <c r="H6301">
        <f t="shared" ca="1" si="93"/>
        <v>3.8508410339824536E-2</v>
      </c>
    </row>
    <row r="6302" spans="7:8" x14ac:dyDescent="0.3">
      <c r="G6302" s="78">
        <v>6299</v>
      </c>
      <c r="H6302">
        <f t="shared" ca="1" si="93"/>
        <v>4.8504479433320619E-2</v>
      </c>
    </row>
    <row r="6303" spans="7:8" x14ac:dyDescent="0.3">
      <c r="G6303" s="78">
        <v>6300</v>
      </c>
      <c r="H6303">
        <f t="shared" ca="1" si="93"/>
        <v>-6.7145347042343721E-4</v>
      </c>
    </row>
    <row r="6304" spans="7:8" x14ac:dyDescent="0.3">
      <c r="G6304" s="78">
        <v>6301</v>
      </c>
      <c r="H6304">
        <f t="shared" ca="1" si="93"/>
        <v>-1.3015615970716732E-2</v>
      </c>
    </row>
    <row r="6305" spans="7:8" x14ac:dyDescent="0.3">
      <c r="G6305" s="78">
        <v>6302</v>
      </c>
      <c r="H6305">
        <f t="shared" ca="1" si="93"/>
        <v>1.0869229089751806E-2</v>
      </c>
    </row>
    <row r="6306" spans="7:8" x14ac:dyDescent="0.3">
      <c r="G6306" s="78">
        <v>6303</v>
      </c>
      <c r="H6306">
        <f t="shared" ca="1" si="93"/>
        <v>-1.4472083620774781E-2</v>
      </c>
    </row>
    <row r="6307" spans="7:8" x14ac:dyDescent="0.3">
      <c r="G6307" s="78">
        <v>6304</v>
      </c>
      <c r="H6307">
        <f t="shared" ca="1" si="93"/>
        <v>-1.618614596429855E-2</v>
      </c>
    </row>
    <row r="6308" spans="7:8" x14ac:dyDescent="0.3">
      <c r="G6308" s="78">
        <v>6305</v>
      </c>
      <c r="H6308">
        <f t="shared" ca="1" si="93"/>
        <v>1.6204356701025442E-2</v>
      </c>
    </row>
    <row r="6309" spans="7:8" x14ac:dyDescent="0.3">
      <c r="G6309" s="78">
        <v>6306</v>
      </c>
      <c r="H6309">
        <f t="shared" ca="1" si="93"/>
        <v>8.4141407997103297E-3</v>
      </c>
    </row>
    <row r="6310" spans="7:8" x14ac:dyDescent="0.3">
      <c r="G6310" s="78">
        <v>6307</v>
      </c>
      <c r="H6310">
        <f t="shared" ca="1" si="93"/>
        <v>-1.2928479166692274E-2</v>
      </c>
    </row>
    <row r="6311" spans="7:8" x14ac:dyDescent="0.3">
      <c r="G6311" s="78">
        <v>6308</v>
      </c>
      <c r="H6311">
        <f t="shared" ca="1" si="93"/>
        <v>-1.1803914518797563E-2</v>
      </c>
    </row>
    <row r="6312" spans="7:8" x14ac:dyDescent="0.3">
      <c r="G6312" s="78">
        <v>6309</v>
      </c>
      <c r="H6312">
        <f t="shared" ca="1" si="93"/>
        <v>-8.9061759387053657E-3</v>
      </c>
    </row>
    <row r="6313" spans="7:8" x14ac:dyDescent="0.3">
      <c r="G6313" s="78">
        <v>6310</v>
      </c>
      <c r="H6313">
        <f t="shared" ca="1" si="93"/>
        <v>1.0060402814761797E-2</v>
      </c>
    </row>
    <row r="6314" spans="7:8" x14ac:dyDescent="0.3">
      <c r="G6314" s="78">
        <v>6311</v>
      </c>
      <c r="H6314">
        <f t="shared" ca="1" si="93"/>
        <v>-8.0485895118645161E-3</v>
      </c>
    </row>
    <row r="6315" spans="7:8" x14ac:dyDescent="0.3">
      <c r="G6315" s="78">
        <v>6312</v>
      </c>
      <c r="H6315">
        <f t="shared" ca="1" si="93"/>
        <v>-3.0026088985572096E-2</v>
      </c>
    </row>
    <row r="6316" spans="7:8" x14ac:dyDescent="0.3">
      <c r="G6316" s="78">
        <v>6313</v>
      </c>
      <c r="H6316">
        <f t="shared" ca="1" si="93"/>
        <v>1.8732975131364179E-2</v>
      </c>
    </row>
    <row r="6317" spans="7:8" x14ac:dyDescent="0.3">
      <c r="G6317" s="78">
        <v>6314</v>
      </c>
      <c r="H6317">
        <f t="shared" ca="1" si="93"/>
        <v>-5.1003854293408474E-3</v>
      </c>
    </row>
    <row r="6318" spans="7:8" x14ac:dyDescent="0.3">
      <c r="G6318" s="78">
        <v>6315</v>
      </c>
      <c r="H6318">
        <f t="shared" ca="1" si="93"/>
        <v>3.3025114581834557E-3</v>
      </c>
    </row>
    <row r="6319" spans="7:8" x14ac:dyDescent="0.3">
      <c r="G6319" s="78">
        <v>6316</v>
      </c>
      <c r="H6319">
        <f t="shared" ca="1" si="93"/>
        <v>1.5935707405915676E-2</v>
      </c>
    </row>
    <row r="6320" spans="7:8" x14ac:dyDescent="0.3">
      <c r="G6320" s="78">
        <v>6317</v>
      </c>
      <c r="H6320">
        <f t="shared" ca="1" si="93"/>
        <v>-1.5133894293964344E-3</v>
      </c>
    </row>
    <row r="6321" spans="7:8" x14ac:dyDescent="0.3">
      <c r="G6321" s="78">
        <v>6318</v>
      </c>
      <c r="H6321">
        <f t="shared" ca="1" si="93"/>
        <v>-2.6551690333366362E-2</v>
      </c>
    </row>
    <row r="6322" spans="7:8" x14ac:dyDescent="0.3">
      <c r="G6322" s="78">
        <v>6319</v>
      </c>
      <c r="H6322">
        <f t="shared" ca="1" si="93"/>
        <v>-6.2200471935964308E-3</v>
      </c>
    </row>
    <row r="6323" spans="7:8" x14ac:dyDescent="0.3">
      <c r="G6323" s="78">
        <v>6320</v>
      </c>
      <c r="H6323">
        <f t="shared" ca="1" si="93"/>
        <v>2.1515666629592735E-2</v>
      </c>
    </row>
    <row r="6324" spans="7:8" x14ac:dyDescent="0.3">
      <c r="G6324" s="78">
        <v>6321</v>
      </c>
      <c r="H6324">
        <f t="shared" ca="1" si="93"/>
        <v>-2.0724254619130895E-3</v>
      </c>
    </row>
    <row r="6325" spans="7:8" x14ac:dyDescent="0.3">
      <c r="G6325" s="78">
        <v>6322</v>
      </c>
      <c r="H6325">
        <f t="shared" ca="1" si="93"/>
        <v>-5.9091416965804024E-3</v>
      </c>
    </row>
    <row r="6326" spans="7:8" x14ac:dyDescent="0.3">
      <c r="G6326" s="78">
        <v>6323</v>
      </c>
      <c r="H6326">
        <f t="shared" ca="1" si="93"/>
        <v>9.4463424423367362E-4</v>
      </c>
    </row>
    <row r="6327" spans="7:8" x14ac:dyDescent="0.3">
      <c r="G6327" s="78">
        <v>6324</v>
      </c>
      <c r="H6327">
        <f t="shared" ca="1" si="93"/>
        <v>2.450174477347972E-2</v>
      </c>
    </row>
    <row r="6328" spans="7:8" x14ac:dyDescent="0.3">
      <c r="G6328" s="78">
        <v>6325</v>
      </c>
      <c r="H6328">
        <f t="shared" ca="1" si="93"/>
        <v>-4.2452350297411314E-3</v>
      </c>
    </row>
    <row r="6329" spans="7:8" x14ac:dyDescent="0.3">
      <c r="G6329" s="78">
        <v>6326</v>
      </c>
      <c r="H6329">
        <f t="shared" ca="1" si="93"/>
        <v>2.080027221231439E-2</v>
      </c>
    </row>
    <row r="6330" spans="7:8" x14ac:dyDescent="0.3">
      <c r="G6330" s="78">
        <v>6327</v>
      </c>
      <c r="H6330">
        <f t="shared" ca="1" si="93"/>
        <v>-1.7420644521124659E-3</v>
      </c>
    </row>
    <row r="6331" spans="7:8" x14ac:dyDescent="0.3">
      <c r="G6331" s="78">
        <v>6328</v>
      </c>
      <c r="H6331">
        <f t="shared" ca="1" si="93"/>
        <v>3.4410068554010069E-2</v>
      </c>
    </row>
    <row r="6332" spans="7:8" x14ac:dyDescent="0.3">
      <c r="G6332" s="78">
        <v>6329</v>
      </c>
      <c r="H6332">
        <f t="shared" ca="1" si="93"/>
        <v>2.6403602974013146E-2</v>
      </c>
    </row>
    <row r="6333" spans="7:8" x14ac:dyDescent="0.3">
      <c r="G6333" s="78">
        <v>6330</v>
      </c>
      <c r="H6333">
        <f t="shared" ca="1" si="93"/>
        <v>-2.50746175628986E-2</v>
      </c>
    </row>
    <row r="6334" spans="7:8" x14ac:dyDescent="0.3">
      <c r="G6334" s="78">
        <v>6331</v>
      </c>
      <c r="H6334">
        <f t="shared" ca="1" si="93"/>
        <v>5.8036877810554964E-3</v>
      </c>
    </row>
    <row r="6335" spans="7:8" x14ac:dyDescent="0.3">
      <c r="G6335" s="78">
        <v>6332</v>
      </c>
      <c r="H6335">
        <f t="shared" ca="1" si="93"/>
        <v>4.9305734667227548E-3</v>
      </c>
    </row>
    <row r="6336" spans="7:8" x14ac:dyDescent="0.3">
      <c r="G6336" s="78">
        <v>6333</v>
      </c>
      <c r="H6336">
        <f t="shared" ca="1" si="93"/>
        <v>-3.8108820326048483E-3</v>
      </c>
    </row>
    <row r="6337" spans="7:8" x14ac:dyDescent="0.3">
      <c r="G6337" s="78">
        <v>6334</v>
      </c>
      <c r="H6337">
        <f t="shared" ca="1" si="93"/>
        <v>6.6338030198142672E-4</v>
      </c>
    </row>
    <row r="6338" spans="7:8" x14ac:dyDescent="0.3">
      <c r="G6338" s="78">
        <v>6335</v>
      </c>
      <c r="H6338">
        <f t="shared" ca="1" si="93"/>
        <v>-1.0404136923205104E-2</v>
      </c>
    </row>
    <row r="6339" spans="7:8" x14ac:dyDescent="0.3">
      <c r="G6339" s="78">
        <v>6336</v>
      </c>
      <c r="H6339">
        <f t="shared" ca="1" si="93"/>
        <v>-3.9019839369920539E-2</v>
      </c>
    </row>
    <row r="6340" spans="7:8" x14ac:dyDescent="0.3">
      <c r="G6340" s="78">
        <v>6337</v>
      </c>
      <c r="H6340">
        <f t="shared" ref="H6340:H6403" ca="1" si="94">_xlfn.NORM.INV(RAND(),$N$4,$N$5)</f>
        <v>-1.9112728702210688E-2</v>
      </c>
    </row>
    <row r="6341" spans="7:8" x14ac:dyDescent="0.3">
      <c r="G6341" s="78">
        <v>6338</v>
      </c>
      <c r="H6341">
        <f t="shared" ca="1" si="94"/>
        <v>-3.4328495159344843E-2</v>
      </c>
    </row>
    <row r="6342" spans="7:8" x14ac:dyDescent="0.3">
      <c r="G6342" s="78">
        <v>6339</v>
      </c>
      <c r="H6342">
        <f t="shared" ca="1" si="94"/>
        <v>-1.737432515646882E-2</v>
      </c>
    </row>
    <row r="6343" spans="7:8" x14ac:dyDescent="0.3">
      <c r="G6343" s="78">
        <v>6340</v>
      </c>
      <c r="H6343">
        <f t="shared" ca="1" si="94"/>
        <v>1.9254239930024886E-2</v>
      </c>
    </row>
    <row r="6344" spans="7:8" x14ac:dyDescent="0.3">
      <c r="G6344" s="78">
        <v>6341</v>
      </c>
      <c r="H6344">
        <f t="shared" ca="1" si="94"/>
        <v>9.9655557221340705E-3</v>
      </c>
    </row>
    <row r="6345" spans="7:8" x14ac:dyDescent="0.3">
      <c r="G6345" s="78">
        <v>6342</v>
      </c>
      <c r="H6345">
        <f t="shared" ca="1" si="94"/>
        <v>-1.0481212289778568E-3</v>
      </c>
    </row>
    <row r="6346" spans="7:8" x14ac:dyDescent="0.3">
      <c r="G6346" s="78">
        <v>6343</v>
      </c>
      <c r="H6346">
        <f t="shared" ca="1" si="94"/>
        <v>2.243388131033144E-2</v>
      </c>
    </row>
    <row r="6347" spans="7:8" x14ac:dyDescent="0.3">
      <c r="G6347" s="78">
        <v>6344</v>
      </c>
      <c r="H6347">
        <f t="shared" ca="1" si="94"/>
        <v>1.7189249588185126E-2</v>
      </c>
    </row>
    <row r="6348" spans="7:8" x14ac:dyDescent="0.3">
      <c r="G6348" s="78">
        <v>6345</v>
      </c>
      <c r="H6348">
        <f t="shared" ca="1" si="94"/>
        <v>3.262742405289322E-2</v>
      </c>
    </row>
    <row r="6349" spans="7:8" x14ac:dyDescent="0.3">
      <c r="G6349" s="78">
        <v>6346</v>
      </c>
      <c r="H6349">
        <f t="shared" ca="1" si="94"/>
        <v>1.8773469860021402E-2</v>
      </c>
    </row>
    <row r="6350" spans="7:8" x14ac:dyDescent="0.3">
      <c r="G6350" s="78">
        <v>6347</v>
      </c>
      <c r="H6350">
        <f t="shared" ca="1" si="94"/>
        <v>3.4710038909328722E-2</v>
      </c>
    </row>
    <row r="6351" spans="7:8" x14ac:dyDescent="0.3">
      <c r="G6351" s="78">
        <v>6348</v>
      </c>
      <c r="H6351">
        <f t="shared" ca="1" si="94"/>
        <v>2.3187819566527188E-2</v>
      </c>
    </row>
    <row r="6352" spans="7:8" x14ac:dyDescent="0.3">
      <c r="G6352" s="78">
        <v>6349</v>
      </c>
      <c r="H6352">
        <f t="shared" ca="1" si="94"/>
        <v>-1.7851435799781424E-3</v>
      </c>
    </row>
    <row r="6353" spans="7:8" x14ac:dyDescent="0.3">
      <c r="G6353" s="78">
        <v>6350</v>
      </c>
      <c r="H6353">
        <f t="shared" ca="1" si="94"/>
        <v>3.7089427432372625E-2</v>
      </c>
    </row>
    <row r="6354" spans="7:8" x14ac:dyDescent="0.3">
      <c r="G6354" s="78">
        <v>6351</v>
      </c>
      <c r="H6354">
        <f t="shared" ca="1" si="94"/>
        <v>-7.5289416129567114E-3</v>
      </c>
    </row>
    <row r="6355" spans="7:8" x14ac:dyDescent="0.3">
      <c r="G6355" s="78">
        <v>6352</v>
      </c>
      <c r="H6355">
        <f t="shared" ca="1" si="94"/>
        <v>4.3728080333294179E-3</v>
      </c>
    </row>
    <row r="6356" spans="7:8" x14ac:dyDescent="0.3">
      <c r="G6356" s="78">
        <v>6353</v>
      </c>
      <c r="H6356">
        <f t="shared" ca="1" si="94"/>
        <v>2.0087227580319063E-2</v>
      </c>
    </row>
    <row r="6357" spans="7:8" x14ac:dyDescent="0.3">
      <c r="G6357" s="78">
        <v>6354</v>
      </c>
      <c r="H6357">
        <f t="shared" ca="1" si="94"/>
        <v>-7.4228954212871468E-4</v>
      </c>
    </row>
    <row r="6358" spans="7:8" x14ac:dyDescent="0.3">
      <c r="G6358" s="78">
        <v>6355</v>
      </c>
      <c r="H6358">
        <f t="shared" ca="1" si="94"/>
        <v>1.7738743277673046E-2</v>
      </c>
    </row>
    <row r="6359" spans="7:8" x14ac:dyDescent="0.3">
      <c r="G6359" s="78">
        <v>6356</v>
      </c>
      <c r="H6359">
        <f t="shared" ca="1" si="94"/>
        <v>2.2696620350465248E-2</v>
      </c>
    </row>
    <row r="6360" spans="7:8" x14ac:dyDescent="0.3">
      <c r="G6360" s="78">
        <v>6357</v>
      </c>
      <c r="H6360">
        <f t="shared" ca="1" si="94"/>
        <v>-8.4153855735436892E-3</v>
      </c>
    </row>
    <row r="6361" spans="7:8" x14ac:dyDescent="0.3">
      <c r="G6361" s="78">
        <v>6358</v>
      </c>
      <c r="H6361">
        <f t="shared" ca="1" si="94"/>
        <v>4.1791191651074505E-3</v>
      </c>
    </row>
    <row r="6362" spans="7:8" x14ac:dyDescent="0.3">
      <c r="G6362" s="78">
        <v>6359</v>
      </c>
      <c r="H6362">
        <f t="shared" ca="1" si="94"/>
        <v>5.5563488765348135E-3</v>
      </c>
    </row>
    <row r="6363" spans="7:8" x14ac:dyDescent="0.3">
      <c r="G6363" s="78">
        <v>6360</v>
      </c>
      <c r="H6363">
        <f t="shared" ca="1" si="94"/>
        <v>8.6308460148368273E-3</v>
      </c>
    </row>
    <row r="6364" spans="7:8" x14ac:dyDescent="0.3">
      <c r="G6364" s="78">
        <v>6361</v>
      </c>
      <c r="H6364">
        <f t="shared" ca="1" si="94"/>
        <v>1.9409882009456033E-2</v>
      </c>
    </row>
    <row r="6365" spans="7:8" x14ac:dyDescent="0.3">
      <c r="G6365" s="78">
        <v>6362</v>
      </c>
      <c r="H6365">
        <f t="shared" ca="1" si="94"/>
        <v>1.6253411391653969E-2</v>
      </c>
    </row>
    <row r="6366" spans="7:8" x14ac:dyDescent="0.3">
      <c r="G6366" s="78">
        <v>6363</v>
      </c>
      <c r="H6366">
        <f t="shared" ca="1" si="94"/>
        <v>-9.2510194171763465E-3</v>
      </c>
    </row>
    <row r="6367" spans="7:8" x14ac:dyDescent="0.3">
      <c r="G6367" s="78">
        <v>6364</v>
      </c>
      <c r="H6367">
        <f t="shared" ca="1" si="94"/>
        <v>-1.9854210412139358E-2</v>
      </c>
    </row>
    <row r="6368" spans="7:8" x14ac:dyDescent="0.3">
      <c r="G6368" s="78">
        <v>6365</v>
      </c>
      <c r="H6368">
        <f t="shared" ca="1" si="94"/>
        <v>-2.7138825270366904E-2</v>
      </c>
    </row>
    <row r="6369" spans="7:8" x14ac:dyDescent="0.3">
      <c r="G6369" s="78">
        <v>6366</v>
      </c>
      <c r="H6369">
        <f t="shared" ca="1" si="94"/>
        <v>-1.8553938652777879E-2</v>
      </c>
    </row>
    <row r="6370" spans="7:8" x14ac:dyDescent="0.3">
      <c r="G6370" s="78">
        <v>6367</v>
      </c>
      <c r="H6370">
        <f t="shared" ca="1" si="94"/>
        <v>-1.2478851591294049E-2</v>
      </c>
    </row>
    <row r="6371" spans="7:8" x14ac:dyDescent="0.3">
      <c r="G6371" s="78">
        <v>6368</v>
      </c>
      <c r="H6371">
        <f t="shared" ca="1" si="94"/>
        <v>3.7056048307249977E-2</v>
      </c>
    </row>
    <row r="6372" spans="7:8" x14ac:dyDescent="0.3">
      <c r="G6372" s="78">
        <v>6369</v>
      </c>
      <c r="H6372">
        <f t="shared" ca="1" si="94"/>
        <v>6.4028038856738237E-3</v>
      </c>
    </row>
    <row r="6373" spans="7:8" x14ac:dyDescent="0.3">
      <c r="G6373" s="78">
        <v>6370</v>
      </c>
      <c r="H6373">
        <f t="shared" ca="1" si="94"/>
        <v>2.63563256237139E-2</v>
      </c>
    </row>
    <row r="6374" spans="7:8" x14ac:dyDescent="0.3">
      <c r="G6374" s="78">
        <v>6371</v>
      </c>
      <c r="H6374">
        <f t="shared" ca="1" si="94"/>
        <v>1.9150671855887789E-2</v>
      </c>
    </row>
    <row r="6375" spans="7:8" x14ac:dyDescent="0.3">
      <c r="G6375" s="78">
        <v>6372</v>
      </c>
      <c r="H6375">
        <f t="shared" ca="1" si="94"/>
        <v>-3.4631761052351988E-2</v>
      </c>
    </row>
    <row r="6376" spans="7:8" x14ac:dyDescent="0.3">
      <c r="G6376" s="78">
        <v>6373</v>
      </c>
      <c r="H6376">
        <f t="shared" ca="1" si="94"/>
        <v>1.4134545906241179E-2</v>
      </c>
    </row>
    <row r="6377" spans="7:8" x14ac:dyDescent="0.3">
      <c r="G6377" s="78">
        <v>6374</v>
      </c>
      <c r="H6377">
        <f t="shared" ca="1" si="94"/>
        <v>3.1606390145953449E-2</v>
      </c>
    </row>
    <row r="6378" spans="7:8" x14ac:dyDescent="0.3">
      <c r="G6378" s="78">
        <v>6375</v>
      </c>
      <c r="H6378">
        <f t="shared" ca="1" si="94"/>
        <v>-2.4224124627158132E-3</v>
      </c>
    </row>
    <row r="6379" spans="7:8" x14ac:dyDescent="0.3">
      <c r="G6379" s="78">
        <v>6376</v>
      </c>
      <c r="H6379">
        <f t="shared" ca="1" si="94"/>
        <v>-1.8442125037785254E-2</v>
      </c>
    </row>
    <row r="6380" spans="7:8" x14ac:dyDescent="0.3">
      <c r="G6380" s="78">
        <v>6377</v>
      </c>
      <c r="H6380">
        <f t="shared" ca="1" si="94"/>
        <v>1.181698597950614E-2</v>
      </c>
    </row>
    <row r="6381" spans="7:8" x14ac:dyDescent="0.3">
      <c r="G6381" s="78">
        <v>6378</v>
      </c>
      <c r="H6381">
        <f t="shared" ca="1" si="94"/>
        <v>-2.6979711258047441E-2</v>
      </c>
    </row>
    <row r="6382" spans="7:8" x14ac:dyDescent="0.3">
      <c r="G6382" s="78">
        <v>6379</v>
      </c>
      <c r="H6382">
        <f t="shared" ca="1" si="94"/>
        <v>1.0215505815802193E-2</v>
      </c>
    </row>
    <row r="6383" spans="7:8" x14ac:dyDescent="0.3">
      <c r="G6383" s="78">
        <v>6380</v>
      </c>
      <c r="H6383">
        <f t="shared" ca="1" si="94"/>
        <v>3.2735010550653892E-2</v>
      </c>
    </row>
    <row r="6384" spans="7:8" x14ac:dyDescent="0.3">
      <c r="G6384" s="78">
        <v>6381</v>
      </c>
      <c r="H6384">
        <f t="shared" ca="1" si="94"/>
        <v>3.2383304121840644E-4</v>
      </c>
    </row>
    <row r="6385" spans="7:8" x14ac:dyDescent="0.3">
      <c r="G6385" s="78">
        <v>6382</v>
      </c>
      <c r="H6385">
        <f t="shared" ca="1" si="94"/>
        <v>-4.5714462452208685E-2</v>
      </c>
    </row>
    <row r="6386" spans="7:8" x14ac:dyDescent="0.3">
      <c r="G6386" s="78">
        <v>6383</v>
      </c>
      <c r="H6386">
        <f t="shared" ca="1" si="94"/>
        <v>-2.5358159689716914E-2</v>
      </c>
    </row>
    <row r="6387" spans="7:8" x14ac:dyDescent="0.3">
      <c r="G6387" s="78">
        <v>6384</v>
      </c>
      <c r="H6387">
        <f t="shared" ca="1" si="94"/>
        <v>3.1563007875152753E-2</v>
      </c>
    </row>
    <row r="6388" spans="7:8" x14ac:dyDescent="0.3">
      <c r="G6388" s="78">
        <v>6385</v>
      </c>
      <c r="H6388">
        <f t="shared" ca="1" si="94"/>
        <v>-1.0830198020568586E-2</v>
      </c>
    </row>
    <row r="6389" spans="7:8" x14ac:dyDescent="0.3">
      <c r="G6389" s="78">
        <v>6386</v>
      </c>
      <c r="H6389">
        <f t="shared" ca="1" si="94"/>
        <v>1.0631040254913425E-2</v>
      </c>
    </row>
    <row r="6390" spans="7:8" x14ac:dyDescent="0.3">
      <c r="G6390" s="78">
        <v>6387</v>
      </c>
      <c r="H6390">
        <f t="shared" ca="1" si="94"/>
        <v>3.7939808627623058E-3</v>
      </c>
    </row>
    <row r="6391" spans="7:8" x14ac:dyDescent="0.3">
      <c r="G6391" s="78">
        <v>6388</v>
      </c>
      <c r="H6391">
        <f t="shared" ca="1" si="94"/>
        <v>-1.9802759022809882E-2</v>
      </c>
    </row>
    <row r="6392" spans="7:8" x14ac:dyDescent="0.3">
      <c r="G6392" s="78">
        <v>6389</v>
      </c>
      <c r="H6392">
        <f t="shared" ca="1" si="94"/>
        <v>7.0670232832773542E-3</v>
      </c>
    </row>
    <row r="6393" spans="7:8" x14ac:dyDescent="0.3">
      <c r="G6393" s="78">
        <v>6390</v>
      </c>
      <c r="H6393">
        <f t="shared" ca="1" si="94"/>
        <v>-2.2868055863516118E-2</v>
      </c>
    </row>
    <row r="6394" spans="7:8" x14ac:dyDescent="0.3">
      <c r="G6394" s="78">
        <v>6391</v>
      </c>
      <c r="H6394">
        <f t="shared" ca="1" si="94"/>
        <v>-1.4770551638777352E-2</v>
      </c>
    </row>
    <row r="6395" spans="7:8" x14ac:dyDescent="0.3">
      <c r="G6395" s="78">
        <v>6392</v>
      </c>
      <c r="H6395">
        <f t="shared" ca="1" si="94"/>
        <v>9.1080863331355344E-3</v>
      </c>
    </row>
    <row r="6396" spans="7:8" x14ac:dyDescent="0.3">
      <c r="G6396" s="78">
        <v>6393</v>
      </c>
      <c r="H6396">
        <f t="shared" ca="1" si="94"/>
        <v>-1.1098583009435106E-2</v>
      </c>
    </row>
    <row r="6397" spans="7:8" x14ac:dyDescent="0.3">
      <c r="G6397" s="78">
        <v>6394</v>
      </c>
      <c r="H6397">
        <f t="shared" ca="1" si="94"/>
        <v>-3.4783554696638817E-2</v>
      </c>
    </row>
    <row r="6398" spans="7:8" x14ac:dyDescent="0.3">
      <c r="G6398" s="78">
        <v>6395</v>
      </c>
      <c r="H6398">
        <f t="shared" ca="1" si="94"/>
        <v>-2.2271661623771782E-2</v>
      </c>
    </row>
    <row r="6399" spans="7:8" x14ac:dyDescent="0.3">
      <c r="G6399" s="78">
        <v>6396</v>
      </c>
      <c r="H6399">
        <f t="shared" ca="1" si="94"/>
        <v>1.7510167309466074E-2</v>
      </c>
    </row>
    <row r="6400" spans="7:8" x14ac:dyDescent="0.3">
      <c r="G6400" s="78">
        <v>6397</v>
      </c>
      <c r="H6400">
        <f t="shared" ca="1" si="94"/>
        <v>-9.9297002464779956E-3</v>
      </c>
    </row>
    <row r="6401" spans="7:8" x14ac:dyDescent="0.3">
      <c r="G6401" s="78">
        <v>6398</v>
      </c>
      <c r="H6401">
        <f t="shared" ca="1" si="94"/>
        <v>-3.3474795224777379E-2</v>
      </c>
    </row>
    <row r="6402" spans="7:8" x14ac:dyDescent="0.3">
      <c r="G6402" s="78">
        <v>6399</v>
      </c>
      <c r="H6402">
        <f t="shared" ca="1" si="94"/>
        <v>1.2486956897635817E-2</v>
      </c>
    </row>
    <row r="6403" spans="7:8" x14ac:dyDescent="0.3">
      <c r="G6403" s="78">
        <v>6400</v>
      </c>
      <c r="H6403">
        <f t="shared" ca="1" si="94"/>
        <v>3.0832036728503376E-2</v>
      </c>
    </row>
    <row r="6404" spans="7:8" x14ac:dyDescent="0.3">
      <c r="G6404" s="78">
        <v>6401</v>
      </c>
      <c r="H6404">
        <f t="shared" ref="H6404:H6467" ca="1" si="95">_xlfn.NORM.INV(RAND(),$N$4,$N$5)</f>
        <v>1.9762922994119681E-2</v>
      </c>
    </row>
    <row r="6405" spans="7:8" x14ac:dyDescent="0.3">
      <c r="G6405" s="78">
        <v>6402</v>
      </c>
      <c r="H6405">
        <f t="shared" ca="1" si="95"/>
        <v>2.8260311804558555E-2</v>
      </c>
    </row>
    <row r="6406" spans="7:8" x14ac:dyDescent="0.3">
      <c r="G6406" s="78">
        <v>6403</v>
      </c>
      <c r="H6406">
        <f t="shared" ca="1" si="95"/>
        <v>-3.2050740122351595E-2</v>
      </c>
    </row>
    <row r="6407" spans="7:8" x14ac:dyDescent="0.3">
      <c r="G6407" s="78">
        <v>6404</v>
      </c>
      <c r="H6407">
        <f t="shared" ca="1" si="95"/>
        <v>8.0373378195995378E-3</v>
      </c>
    </row>
    <row r="6408" spans="7:8" x14ac:dyDescent="0.3">
      <c r="G6408" s="78">
        <v>6405</v>
      </c>
      <c r="H6408">
        <f t="shared" ca="1" si="95"/>
        <v>1.4021747732113319E-3</v>
      </c>
    </row>
    <row r="6409" spans="7:8" x14ac:dyDescent="0.3">
      <c r="G6409" s="78">
        <v>6406</v>
      </c>
      <c r="H6409">
        <f t="shared" ca="1" si="95"/>
        <v>-1.52763141341556E-3</v>
      </c>
    </row>
    <row r="6410" spans="7:8" x14ac:dyDescent="0.3">
      <c r="G6410" s="78">
        <v>6407</v>
      </c>
      <c r="H6410">
        <f t="shared" ca="1" si="95"/>
        <v>2.6428186372017156E-2</v>
      </c>
    </row>
    <row r="6411" spans="7:8" x14ac:dyDescent="0.3">
      <c r="G6411" s="78">
        <v>6408</v>
      </c>
      <c r="H6411">
        <f t="shared" ca="1" si="95"/>
        <v>5.5129634536286824E-3</v>
      </c>
    </row>
    <row r="6412" spans="7:8" x14ac:dyDescent="0.3">
      <c r="G6412" s="78">
        <v>6409</v>
      </c>
      <c r="H6412">
        <f t="shared" ca="1" si="95"/>
        <v>-1.7874231272462272E-2</v>
      </c>
    </row>
    <row r="6413" spans="7:8" x14ac:dyDescent="0.3">
      <c r="G6413" s="78">
        <v>6410</v>
      </c>
      <c r="H6413">
        <f t="shared" ca="1" si="95"/>
        <v>-4.8168115859766776E-3</v>
      </c>
    </row>
    <row r="6414" spans="7:8" x14ac:dyDescent="0.3">
      <c r="G6414" s="78">
        <v>6411</v>
      </c>
      <c r="H6414">
        <f t="shared" ca="1" si="95"/>
        <v>3.2535307266849937E-2</v>
      </c>
    </row>
    <row r="6415" spans="7:8" x14ac:dyDescent="0.3">
      <c r="G6415" s="78">
        <v>6412</v>
      </c>
      <c r="H6415">
        <f t="shared" ca="1" si="95"/>
        <v>-2.2922589439370426E-2</v>
      </c>
    </row>
    <row r="6416" spans="7:8" x14ac:dyDescent="0.3">
      <c r="G6416" s="78">
        <v>6413</v>
      </c>
      <c r="H6416">
        <f t="shared" ca="1" si="95"/>
        <v>5.1492329180934E-3</v>
      </c>
    </row>
    <row r="6417" spans="7:8" x14ac:dyDescent="0.3">
      <c r="G6417" s="78">
        <v>6414</v>
      </c>
      <c r="H6417">
        <f t="shared" ca="1" si="95"/>
        <v>-2.7573351067290454E-3</v>
      </c>
    </row>
    <row r="6418" spans="7:8" x14ac:dyDescent="0.3">
      <c r="G6418" s="78">
        <v>6415</v>
      </c>
      <c r="H6418">
        <f t="shared" ca="1" si="95"/>
        <v>-1.5268425982293969E-2</v>
      </c>
    </row>
    <row r="6419" spans="7:8" x14ac:dyDescent="0.3">
      <c r="G6419" s="78">
        <v>6416</v>
      </c>
      <c r="H6419">
        <f t="shared" ca="1" si="95"/>
        <v>-1.0862330267658338E-2</v>
      </c>
    </row>
    <row r="6420" spans="7:8" x14ac:dyDescent="0.3">
      <c r="G6420" s="78">
        <v>6417</v>
      </c>
      <c r="H6420">
        <f t="shared" ca="1" si="95"/>
        <v>2.6884733302127622E-2</v>
      </c>
    </row>
    <row r="6421" spans="7:8" x14ac:dyDescent="0.3">
      <c r="G6421" s="78">
        <v>6418</v>
      </c>
      <c r="H6421">
        <f t="shared" ca="1" si="95"/>
        <v>2.2674080109142843E-2</v>
      </c>
    </row>
    <row r="6422" spans="7:8" x14ac:dyDescent="0.3">
      <c r="G6422" s="78">
        <v>6419</v>
      </c>
      <c r="H6422">
        <f t="shared" ca="1" si="95"/>
        <v>-1.7350774685008823E-2</v>
      </c>
    </row>
    <row r="6423" spans="7:8" x14ac:dyDescent="0.3">
      <c r="G6423" s="78">
        <v>6420</v>
      </c>
      <c r="H6423">
        <f t="shared" ca="1" si="95"/>
        <v>-9.2966240436853573E-3</v>
      </c>
    </row>
    <row r="6424" spans="7:8" x14ac:dyDescent="0.3">
      <c r="G6424" s="78">
        <v>6421</v>
      </c>
      <c r="H6424">
        <f t="shared" ca="1" si="95"/>
        <v>1.345830169645945E-2</v>
      </c>
    </row>
    <row r="6425" spans="7:8" x14ac:dyDescent="0.3">
      <c r="G6425" s="78">
        <v>6422</v>
      </c>
      <c r="H6425">
        <f t="shared" ca="1" si="95"/>
        <v>1.9502698425319653E-2</v>
      </c>
    </row>
    <row r="6426" spans="7:8" x14ac:dyDescent="0.3">
      <c r="G6426" s="78">
        <v>6423</v>
      </c>
      <c r="H6426">
        <f t="shared" ca="1" si="95"/>
        <v>-2.893760061392512E-2</v>
      </c>
    </row>
    <row r="6427" spans="7:8" x14ac:dyDescent="0.3">
      <c r="G6427" s="78">
        <v>6424</v>
      </c>
      <c r="H6427">
        <f t="shared" ca="1" si="95"/>
        <v>-3.7235173623959717E-3</v>
      </c>
    </row>
    <row r="6428" spans="7:8" x14ac:dyDescent="0.3">
      <c r="G6428" s="78">
        <v>6425</v>
      </c>
      <c r="H6428">
        <f t="shared" ca="1" si="95"/>
        <v>-4.4123735256382107E-3</v>
      </c>
    </row>
    <row r="6429" spans="7:8" x14ac:dyDescent="0.3">
      <c r="G6429" s="78">
        <v>6426</v>
      </c>
      <c r="H6429">
        <f t="shared" ca="1" si="95"/>
        <v>3.1419709616220537E-2</v>
      </c>
    </row>
    <row r="6430" spans="7:8" x14ac:dyDescent="0.3">
      <c r="G6430" s="78">
        <v>6427</v>
      </c>
      <c r="H6430">
        <f t="shared" ca="1" si="95"/>
        <v>-7.6316445880938123E-3</v>
      </c>
    </row>
    <row r="6431" spans="7:8" x14ac:dyDescent="0.3">
      <c r="G6431" s="78">
        <v>6428</v>
      </c>
      <c r="H6431">
        <f t="shared" ca="1" si="95"/>
        <v>2.3304380972602547E-2</v>
      </c>
    </row>
    <row r="6432" spans="7:8" x14ac:dyDescent="0.3">
      <c r="G6432" s="78">
        <v>6429</v>
      </c>
      <c r="H6432">
        <f t="shared" ca="1" si="95"/>
        <v>1.6984871911883578E-2</v>
      </c>
    </row>
    <row r="6433" spans="7:8" x14ac:dyDescent="0.3">
      <c r="G6433" s="78">
        <v>6430</v>
      </c>
      <c r="H6433">
        <f t="shared" ca="1" si="95"/>
        <v>3.2804055065229903E-2</v>
      </c>
    </row>
    <row r="6434" spans="7:8" x14ac:dyDescent="0.3">
      <c r="G6434" s="78">
        <v>6431</v>
      </c>
      <c r="H6434">
        <f t="shared" ca="1" si="95"/>
        <v>2.7296976192330048E-2</v>
      </c>
    </row>
    <row r="6435" spans="7:8" x14ac:dyDescent="0.3">
      <c r="G6435" s="78">
        <v>6432</v>
      </c>
      <c r="H6435">
        <f t="shared" ca="1" si="95"/>
        <v>7.560857305374505E-3</v>
      </c>
    </row>
    <row r="6436" spans="7:8" x14ac:dyDescent="0.3">
      <c r="G6436" s="78">
        <v>6433</v>
      </c>
      <c r="H6436">
        <f t="shared" ca="1" si="95"/>
        <v>-2.6879940023263492E-5</v>
      </c>
    </row>
    <row r="6437" spans="7:8" x14ac:dyDescent="0.3">
      <c r="G6437" s="78">
        <v>6434</v>
      </c>
      <c r="H6437">
        <f t="shared" ca="1" si="95"/>
        <v>6.6317673154791213E-3</v>
      </c>
    </row>
    <row r="6438" spans="7:8" x14ac:dyDescent="0.3">
      <c r="G6438" s="78">
        <v>6435</v>
      </c>
      <c r="H6438">
        <f t="shared" ca="1" si="95"/>
        <v>1.3980272721308301E-2</v>
      </c>
    </row>
    <row r="6439" spans="7:8" x14ac:dyDescent="0.3">
      <c r="G6439" s="78">
        <v>6436</v>
      </c>
      <c r="H6439">
        <f t="shared" ca="1" si="95"/>
        <v>1.080445936806214E-2</v>
      </c>
    </row>
    <row r="6440" spans="7:8" x14ac:dyDescent="0.3">
      <c r="G6440" s="78">
        <v>6437</v>
      </c>
      <c r="H6440">
        <f t="shared" ca="1" si="95"/>
        <v>-1.6802638726690453E-2</v>
      </c>
    </row>
    <row r="6441" spans="7:8" x14ac:dyDescent="0.3">
      <c r="G6441" s="78">
        <v>6438</v>
      </c>
      <c r="H6441">
        <f t="shared" ca="1" si="95"/>
        <v>-1.115134915468991E-2</v>
      </c>
    </row>
    <row r="6442" spans="7:8" x14ac:dyDescent="0.3">
      <c r="G6442" s="78">
        <v>6439</v>
      </c>
      <c r="H6442">
        <f t="shared" ca="1" si="95"/>
        <v>2.5176129827835236E-2</v>
      </c>
    </row>
    <row r="6443" spans="7:8" x14ac:dyDescent="0.3">
      <c r="G6443" s="78">
        <v>6440</v>
      </c>
      <c r="H6443">
        <f t="shared" ca="1" si="95"/>
        <v>-1.1166158359432842E-2</v>
      </c>
    </row>
    <row r="6444" spans="7:8" x14ac:dyDescent="0.3">
      <c r="G6444" s="78">
        <v>6441</v>
      </c>
      <c r="H6444">
        <f t="shared" ca="1" si="95"/>
        <v>-3.1399064711519166E-3</v>
      </c>
    </row>
    <row r="6445" spans="7:8" x14ac:dyDescent="0.3">
      <c r="G6445" s="78">
        <v>6442</v>
      </c>
      <c r="H6445">
        <f t="shared" ca="1" si="95"/>
        <v>-2.2486897505402302E-2</v>
      </c>
    </row>
    <row r="6446" spans="7:8" x14ac:dyDescent="0.3">
      <c r="G6446" s="78">
        <v>6443</v>
      </c>
      <c r="H6446">
        <f t="shared" ca="1" si="95"/>
        <v>-6.8417677762072332E-2</v>
      </c>
    </row>
    <row r="6447" spans="7:8" x14ac:dyDescent="0.3">
      <c r="G6447" s="78">
        <v>6444</v>
      </c>
      <c r="H6447">
        <f t="shared" ca="1" si="95"/>
        <v>3.5112255528010989E-3</v>
      </c>
    </row>
    <row r="6448" spans="7:8" x14ac:dyDescent="0.3">
      <c r="G6448" s="78">
        <v>6445</v>
      </c>
      <c r="H6448">
        <f t="shared" ca="1" si="95"/>
        <v>-2.0253407507312363E-2</v>
      </c>
    </row>
    <row r="6449" spans="7:8" x14ac:dyDescent="0.3">
      <c r="G6449" s="78">
        <v>6446</v>
      </c>
      <c r="H6449">
        <f t="shared" ca="1" si="95"/>
        <v>1.1316224712639429E-3</v>
      </c>
    </row>
    <row r="6450" spans="7:8" x14ac:dyDescent="0.3">
      <c r="G6450" s="78">
        <v>6447</v>
      </c>
      <c r="H6450">
        <f t="shared" ca="1" si="95"/>
        <v>1.5142731417229553E-2</v>
      </c>
    </row>
    <row r="6451" spans="7:8" x14ac:dyDescent="0.3">
      <c r="G6451" s="78">
        <v>6448</v>
      </c>
      <c r="H6451">
        <f t="shared" ca="1" si="95"/>
        <v>1.2315082165897709E-2</v>
      </c>
    </row>
    <row r="6452" spans="7:8" x14ac:dyDescent="0.3">
      <c r="G6452" s="78">
        <v>6449</v>
      </c>
      <c r="H6452">
        <f t="shared" ca="1" si="95"/>
        <v>-5.3362382323163021E-4</v>
      </c>
    </row>
    <row r="6453" spans="7:8" x14ac:dyDescent="0.3">
      <c r="G6453" s="78">
        <v>6450</v>
      </c>
      <c r="H6453">
        <f t="shared" ca="1" si="95"/>
        <v>-8.1153995069169465E-3</v>
      </c>
    </row>
    <row r="6454" spans="7:8" x14ac:dyDescent="0.3">
      <c r="G6454" s="78">
        <v>6451</v>
      </c>
      <c r="H6454">
        <f t="shared" ca="1" si="95"/>
        <v>1.8254562131219853E-2</v>
      </c>
    </row>
    <row r="6455" spans="7:8" x14ac:dyDescent="0.3">
      <c r="G6455" s="78">
        <v>6452</v>
      </c>
      <c r="H6455">
        <f t="shared" ca="1" si="95"/>
        <v>-1.3450099771930381E-2</v>
      </c>
    </row>
    <row r="6456" spans="7:8" x14ac:dyDescent="0.3">
      <c r="G6456" s="78">
        <v>6453</v>
      </c>
      <c r="H6456">
        <f t="shared" ca="1" si="95"/>
        <v>-4.0179737188250414E-4</v>
      </c>
    </row>
    <row r="6457" spans="7:8" x14ac:dyDescent="0.3">
      <c r="G6457" s="78">
        <v>6454</v>
      </c>
      <c r="H6457">
        <f t="shared" ca="1" si="95"/>
        <v>2.0186073659395586E-2</v>
      </c>
    </row>
    <row r="6458" spans="7:8" x14ac:dyDescent="0.3">
      <c r="G6458" s="78">
        <v>6455</v>
      </c>
      <c r="H6458">
        <f t="shared" ca="1" si="95"/>
        <v>-1.2742856289087336E-2</v>
      </c>
    </row>
    <row r="6459" spans="7:8" x14ac:dyDescent="0.3">
      <c r="G6459" s="78">
        <v>6456</v>
      </c>
      <c r="H6459">
        <f t="shared" ca="1" si="95"/>
        <v>-3.0521204334667353E-2</v>
      </c>
    </row>
    <row r="6460" spans="7:8" x14ac:dyDescent="0.3">
      <c r="G6460" s="78">
        <v>6457</v>
      </c>
      <c r="H6460">
        <f t="shared" ca="1" si="95"/>
        <v>-1.2314792628937167E-3</v>
      </c>
    </row>
    <row r="6461" spans="7:8" x14ac:dyDescent="0.3">
      <c r="G6461" s="78">
        <v>6458</v>
      </c>
      <c r="H6461">
        <f t="shared" ca="1" si="95"/>
        <v>-7.239573290929697E-3</v>
      </c>
    </row>
    <row r="6462" spans="7:8" x14ac:dyDescent="0.3">
      <c r="G6462" s="78">
        <v>6459</v>
      </c>
      <c r="H6462">
        <f t="shared" ca="1" si="95"/>
        <v>4.7253980506444969E-3</v>
      </c>
    </row>
    <row r="6463" spans="7:8" x14ac:dyDescent="0.3">
      <c r="G6463" s="78">
        <v>6460</v>
      </c>
      <c r="H6463">
        <f t="shared" ca="1" si="95"/>
        <v>2.341607765527259E-2</v>
      </c>
    </row>
    <row r="6464" spans="7:8" x14ac:dyDescent="0.3">
      <c r="G6464" s="78">
        <v>6461</v>
      </c>
      <c r="H6464">
        <f t="shared" ca="1" si="95"/>
        <v>9.024372900052504E-3</v>
      </c>
    </row>
    <row r="6465" spans="7:8" x14ac:dyDescent="0.3">
      <c r="G6465" s="78">
        <v>6462</v>
      </c>
      <c r="H6465">
        <f t="shared" ca="1" si="95"/>
        <v>-2.2396933576341423E-2</v>
      </c>
    </row>
    <row r="6466" spans="7:8" x14ac:dyDescent="0.3">
      <c r="G6466" s="78">
        <v>6463</v>
      </c>
      <c r="H6466">
        <f t="shared" ca="1" si="95"/>
        <v>-7.2491325268605493E-3</v>
      </c>
    </row>
    <row r="6467" spans="7:8" x14ac:dyDescent="0.3">
      <c r="G6467" s="78">
        <v>6464</v>
      </c>
      <c r="H6467">
        <f t="shared" ca="1" si="95"/>
        <v>1.1403625354630523E-2</v>
      </c>
    </row>
    <row r="6468" spans="7:8" x14ac:dyDescent="0.3">
      <c r="G6468" s="78">
        <v>6465</v>
      </c>
      <c r="H6468">
        <f t="shared" ref="H6468:H6531" ca="1" si="96">_xlfn.NORM.INV(RAND(),$N$4,$N$5)</f>
        <v>7.5964912550854418E-3</v>
      </c>
    </row>
    <row r="6469" spans="7:8" x14ac:dyDescent="0.3">
      <c r="G6469" s="78">
        <v>6466</v>
      </c>
      <c r="H6469">
        <f t="shared" ca="1" si="96"/>
        <v>-2.2568719698431629E-2</v>
      </c>
    </row>
    <row r="6470" spans="7:8" x14ac:dyDescent="0.3">
      <c r="G6470" s="78">
        <v>6467</v>
      </c>
      <c r="H6470">
        <f t="shared" ca="1" si="96"/>
        <v>1.7021053124491304E-2</v>
      </c>
    </row>
    <row r="6471" spans="7:8" x14ac:dyDescent="0.3">
      <c r="G6471" s="78">
        <v>6468</v>
      </c>
      <c r="H6471">
        <f t="shared" ca="1" si="96"/>
        <v>2.110230658311622E-2</v>
      </c>
    </row>
    <row r="6472" spans="7:8" x14ac:dyDescent="0.3">
      <c r="G6472" s="78">
        <v>6469</v>
      </c>
      <c r="H6472">
        <f t="shared" ca="1" si="96"/>
        <v>-1.6773158987503787E-2</v>
      </c>
    </row>
    <row r="6473" spans="7:8" x14ac:dyDescent="0.3">
      <c r="G6473" s="78">
        <v>6470</v>
      </c>
      <c r="H6473">
        <f t="shared" ca="1" si="96"/>
        <v>6.871266979276848E-3</v>
      </c>
    </row>
    <row r="6474" spans="7:8" x14ac:dyDescent="0.3">
      <c r="G6474" s="78">
        <v>6471</v>
      </c>
      <c r="H6474">
        <f t="shared" ca="1" si="96"/>
        <v>2.8444308742956344E-2</v>
      </c>
    </row>
    <row r="6475" spans="7:8" x14ac:dyDescent="0.3">
      <c r="G6475" s="78">
        <v>6472</v>
      </c>
      <c r="H6475">
        <f t="shared" ca="1" si="96"/>
        <v>2.3041688022705072E-2</v>
      </c>
    </row>
    <row r="6476" spans="7:8" x14ac:dyDescent="0.3">
      <c r="G6476" s="78">
        <v>6473</v>
      </c>
      <c r="H6476">
        <f t="shared" ca="1" si="96"/>
        <v>3.772318886906518E-3</v>
      </c>
    </row>
    <row r="6477" spans="7:8" x14ac:dyDescent="0.3">
      <c r="G6477" s="78">
        <v>6474</v>
      </c>
      <c r="H6477">
        <f t="shared" ca="1" si="96"/>
        <v>1.9501953110844954E-2</v>
      </c>
    </row>
    <row r="6478" spans="7:8" x14ac:dyDescent="0.3">
      <c r="G6478" s="78">
        <v>6475</v>
      </c>
      <c r="H6478">
        <f t="shared" ca="1" si="96"/>
        <v>-4.4398341350617224E-2</v>
      </c>
    </row>
    <row r="6479" spans="7:8" x14ac:dyDescent="0.3">
      <c r="G6479" s="78">
        <v>6476</v>
      </c>
      <c r="H6479">
        <f t="shared" ca="1" si="96"/>
        <v>-1.4877660531312885E-2</v>
      </c>
    </row>
    <row r="6480" spans="7:8" x14ac:dyDescent="0.3">
      <c r="G6480" s="78">
        <v>6477</v>
      </c>
      <c r="H6480">
        <f t="shared" ca="1" si="96"/>
        <v>-5.8398240264956748E-2</v>
      </c>
    </row>
    <row r="6481" spans="7:8" x14ac:dyDescent="0.3">
      <c r="G6481" s="78">
        <v>6478</v>
      </c>
      <c r="H6481">
        <f t="shared" ca="1" si="96"/>
        <v>-2.050617690954883E-2</v>
      </c>
    </row>
    <row r="6482" spans="7:8" x14ac:dyDescent="0.3">
      <c r="G6482" s="78">
        <v>6479</v>
      </c>
      <c r="H6482">
        <f t="shared" ca="1" si="96"/>
        <v>1.5915604363751367E-3</v>
      </c>
    </row>
    <row r="6483" spans="7:8" x14ac:dyDescent="0.3">
      <c r="G6483" s="78">
        <v>6480</v>
      </c>
      <c r="H6483">
        <f t="shared" ca="1" si="96"/>
        <v>2.8287489984462018E-2</v>
      </c>
    </row>
    <row r="6484" spans="7:8" x14ac:dyDescent="0.3">
      <c r="G6484" s="78">
        <v>6481</v>
      </c>
      <c r="H6484">
        <f t="shared" ca="1" si="96"/>
        <v>-1.0993578966105352E-2</v>
      </c>
    </row>
    <row r="6485" spans="7:8" x14ac:dyDescent="0.3">
      <c r="G6485" s="78">
        <v>6482</v>
      </c>
      <c r="H6485">
        <f t="shared" ca="1" si="96"/>
        <v>-5.0430210554631939E-3</v>
      </c>
    </row>
    <row r="6486" spans="7:8" x14ac:dyDescent="0.3">
      <c r="G6486" s="78">
        <v>6483</v>
      </c>
      <c r="H6486">
        <f t="shared" ca="1" si="96"/>
        <v>-9.7499748327183403E-3</v>
      </c>
    </row>
    <row r="6487" spans="7:8" x14ac:dyDescent="0.3">
      <c r="G6487" s="78">
        <v>6484</v>
      </c>
      <c r="H6487">
        <f t="shared" ca="1" si="96"/>
        <v>1.9548670572638829E-2</v>
      </c>
    </row>
    <row r="6488" spans="7:8" x14ac:dyDescent="0.3">
      <c r="G6488" s="78">
        <v>6485</v>
      </c>
      <c r="H6488">
        <f t="shared" ca="1" si="96"/>
        <v>5.6449481948384859E-3</v>
      </c>
    </row>
    <row r="6489" spans="7:8" x14ac:dyDescent="0.3">
      <c r="G6489" s="78">
        <v>6486</v>
      </c>
      <c r="H6489">
        <f t="shared" ca="1" si="96"/>
        <v>-1.8267392682902645E-2</v>
      </c>
    </row>
    <row r="6490" spans="7:8" x14ac:dyDescent="0.3">
      <c r="G6490" s="78">
        <v>6487</v>
      </c>
      <c r="H6490">
        <f t="shared" ca="1" si="96"/>
        <v>-6.6929837694136582E-3</v>
      </c>
    </row>
    <row r="6491" spans="7:8" x14ac:dyDescent="0.3">
      <c r="G6491" s="78">
        <v>6488</v>
      </c>
      <c r="H6491">
        <f t="shared" ca="1" si="96"/>
        <v>-2.3710023533050949E-3</v>
      </c>
    </row>
    <row r="6492" spans="7:8" x14ac:dyDescent="0.3">
      <c r="G6492" s="78">
        <v>6489</v>
      </c>
      <c r="H6492">
        <f t="shared" ca="1" si="96"/>
        <v>-5.5768275808688499E-3</v>
      </c>
    </row>
    <row r="6493" spans="7:8" x14ac:dyDescent="0.3">
      <c r="G6493" s="78">
        <v>6490</v>
      </c>
      <c r="H6493">
        <f t="shared" ca="1" si="96"/>
        <v>-2.7284466319888456E-2</v>
      </c>
    </row>
    <row r="6494" spans="7:8" x14ac:dyDescent="0.3">
      <c r="G6494" s="78">
        <v>6491</v>
      </c>
      <c r="H6494">
        <f t="shared" ca="1" si="96"/>
        <v>3.7233685993562811E-3</v>
      </c>
    </row>
    <row r="6495" spans="7:8" x14ac:dyDescent="0.3">
      <c r="G6495" s="78">
        <v>6492</v>
      </c>
      <c r="H6495">
        <f t="shared" ca="1" si="96"/>
        <v>7.462882708108836E-3</v>
      </c>
    </row>
    <row r="6496" spans="7:8" x14ac:dyDescent="0.3">
      <c r="G6496" s="78">
        <v>6493</v>
      </c>
      <c r="H6496">
        <f t="shared" ca="1" si="96"/>
        <v>2.7945228778477544E-3</v>
      </c>
    </row>
    <row r="6497" spans="7:8" x14ac:dyDescent="0.3">
      <c r="G6497" s="78">
        <v>6494</v>
      </c>
      <c r="H6497">
        <f t="shared" ca="1" si="96"/>
        <v>-1.9008188738553252E-2</v>
      </c>
    </row>
    <row r="6498" spans="7:8" x14ac:dyDescent="0.3">
      <c r="G6498" s="78">
        <v>6495</v>
      </c>
      <c r="H6498">
        <f t="shared" ca="1" si="96"/>
        <v>1.0010671239602184E-2</v>
      </c>
    </row>
    <row r="6499" spans="7:8" x14ac:dyDescent="0.3">
      <c r="G6499" s="78">
        <v>6496</v>
      </c>
      <c r="H6499">
        <f t="shared" ca="1" si="96"/>
        <v>-8.2549545314808404E-3</v>
      </c>
    </row>
    <row r="6500" spans="7:8" x14ac:dyDescent="0.3">
      <c r="G6500" s="78">
        <v>6497</v>
      </c>
      <c r="H6500">
        <f t="shared" ca="1" si="96"/>
        <v>2.5276332175456891E-2</v>
      </c>
    </row>
    <row r="6501" spans="7:8" x14ac:dyDescent="0.3">
      <c r="G6501" s="78">
        <v>6498</v>
      </c>
      <c r="H6501">
        <f t="shared" ca="1" si="96"/>
        <v>6.2133721012727497E-3</v>
      </c>
    </row>
    <row r="6502" spans="7:8" x14ac:dyDescent="0.3">
      <c r="G6502" s="78">
        <v>6499</v>
      </c>
      <c r="H6502">
        <f t="shared" ca="1" si="96"/>
        <v>1.947783363230178E-2</v>
      </c>
    </row>
    <row r="6503" spans="7:8" x14ac:dyDescent="0.3">
      <c r="G6503" s="78">
        <v>6500</v>
      </c>
      <c r="H6503">
        <f t="shared" ca="1" si="96"/>
        <v>1.3693406212703105E-2</v>
      </c>
    </row>
    <row r="6504" spans="7:8" x14ac:dyDescent="0.3">
      <c r="G6504" s="78">
        <v>6501</v>
      </c>
      <c r="H6504">
        <f t="shared" ca="1" si="96"/>
        <v>-4.3355428268615291E-2</v>
      </c>
    </row>
    <row r="6505" spans="7:8" x14ac:dyDescent="0.3">
      <c r="G6505" s="78">
        <v>6502</v>
      </c>
      <c r="H6505">
        <f t="shared" ca="1" si="96"/>
        <v>2.4234527716427384E-3</v>
      </c>
    </row>
    <row r="6506" spans="7:8" x14ac:dyDescent="0.3">
      <c r="G6506" s="78">
        <v>6503</v>
      </c>
      <c r="H6506">
        <f t="shared" ca="1" si="96"/>
        <v>-6.3446398855672862E-3</v>
      </c>
    </row>
    <row r="6507" spans="7:8" x14ac:dyDescent="0.3">
      <c r="G6507" s="78">
        <v>6504</v>
      </c>
      <c r="H6507">
        <f t="shared" ca="1" si="96"/>
        <v>2.7972697930385419E-2</v>
      </c>
    </row>
    <row r="6508" spans="7:8" x14ac:dyDescent="0.3">
      <c r="G6508" s="78">
        <v>6505</v>
      </c>
      <c r="H6508">
        <f t="shared" ca="1" si="96"/>
        <v>-1.1127169007006624E-2</v>
      </c>
    </row>
    <row r="6509" spans="7:8" x14ac:dyDescent="0.3">
      <c r="G6509" s="78">
        <v>6506</v>
      </c>
      <c r="H6509">
        <f t="shared" ca="1" si="96"/>
        <v>-3.3816695437049425E-3</v>
      </c>
    </row>
    <row r="6510" spans="7:8" x14ac:dyDescent="0.3">
      <c r="G6510" s="78">
        <v>6507</v>
      </c>
      <c r="H6510">
        <f t="shared" ca="1" si="96"/>
        <v>1.7049272123641043E-2</v>
      </c>
    </row>
    <row r="6511" spans="7:8" x14ac:dyDescent="0.3">
      <c r="G6511" s="78">
        <v>6508</v>
      </c>
      <c r="H6511">
        <f t="shared" ca="1" si="96"/>
        <v>2.9193253988711973E-3</v>
      </c>
    </row>
    <row r="6512" spans="7:8" x14ac:dyDescent="0.3">
      <c r="G6512" s="78">
        <v>6509</v>
      </c>
      <c r="H6512">
        <f t="shared" ca="1" si="96"/>
        <v>2.6320603823972801E-2</v>
      </c>
    </row>
    <row r="6513" spans="7:8" x14ac:dyDescent="0.3">
      <c r="G6513" s="78">
        <v>6510</v>
      </c>
      <c r="H6513">
        <f t="shared" ca="1" si="96"/>
        <v>-1.3637061797509191E-4</v>
      </c>
    </row>
    <row r="6514" spans="7:8" x14ac:dyDescent="0.3">
      <c r="G6514" s="78">
        <v>6511</v>
      </c>
      <c r="H6514">
        <f t="shared" ca="1" si="96"/>
        <v>2.0742413862482281E-2</v>
      </c>
    </row>
    <row r="6515" spans="7:8" x14ac:dyDescent="0.3">
      <c r="G6515" s="78">
        <v>6512</v>
      </c>
      <c r="H6515">
        <f t="shared" ca="1" si="96"/>
        <v>9.0112262565779228E-3</v>
      </c>
    </row>
    <row r="6516" spans="7:8" x14ac:dyDescent="0.3">
      <c r="G6516" s="78">
        <v>6513</v>
      </c>
      <c r="H6516">
        <f t="shared" ca="1" si="96"/>
        <v>-1.1552209930372219E-3</v>
      </c>
    </row>
    <row r="6517" spans="7:8" x14ac:dyDescent="0.3">
      <c r="G6517" s="78">
        <v>6514</v>
      </c>
      <c r="H6517">
        <f t="shared" ca="1" si="96"/>
        <v>-2.0865286250612607E-2</v>
      </c>
    </row>
    <row r="6518" spans="7:8" x14ac:dyDescent="0.3">
      <c r="G6518" s="78">
        <v>6515</v>
      </c>
      <c r="H6518">
        <f t="shared" ca="1" si="96"/>
        <v>9.3450044209447101E-3</v>
      </c>
    </row>
    <row r="6519" spans="7:8" x14ac:dyDescent="0.3">
      <c r="G6519" s="78">
        <v>6516</v>
      </c>
      <c r="H6519">
        <f t="shared" ca="1" si="96"/>
        <v>-6.0159212270684105E-3</v>
      </c>
    </row>
    <row r="6520" spans="7:8" x14ac:dyDescent="0.3">
      <c r="G6520" s="78">
        <v>6517</v>
      </c>
      <c r="H6520">
        <f t="shared" ca="1" si="96"/>
        <v>-1.5402352000293188E-2</v>
      </c>
    </row>
    <row r="6521" spans="7:8" x14ac:dyDescent="0.3">
      <c r="G6521" s="78">
        <v>6518</v>
      </c>
      <c r="H6521">
        <f t="shared" ca="1" si="96"/>
        <v>8.6898869836810853E-3</v>
      </c>
    </row>
    <row r="6522" spans="7:8" x14ac:dyDescent="0.3">
      <c r="G6522" s="78">
        <v>6519</v>
      </c>
      <c r="H6522">
        <f t="shared" ca="1" si="96"/>
        <v>8.8161551077816248E-3</v>
      </c>
    </row>
    <row r="6523" spans="7:8" x14ac:dyDescent="0.3">
      <c r="G6523" s="78">
        <v>6520</v>
      </c>
      <c r="H6523">
        <f t="shared" ca="1" si="96"/>
        <v>4.3547485945988462E-3</v>
      </c>
    </row>
    <row r="6524" spans="7:8" x14ac:dyDescent="0.3">
      <c r="G6524" s="78">
        <v>6521</v>
      </c>
      <c r="H6524">
        <f t="shared" ca="1" si="96"/>
        <v>3.4620917828345123E-2</v>
      </c>
    </row>
    <row r="6525" spans="7:8" x14ac:dyDescent="0.3">
      <c r="G6525" s="78">
        <v>6522</v>
      </c>
      <c r="H6525">
        <f t="shared" ca="1" si="96"/>
        <v>2.7522441750577272E-2</v>
      </c>
    </row>
    <row r="6526" spans="7:8" x14ac:dyDescent="0.3">
      <c r="G6526" s="78">
        <v>6523</v>
      </c>
      <c r="H6526">
        <f t="shared" ca="1" si="96"/>
        <v>2.2379970679423523E-2</v>
      </c>
    </row>
    <row r="6527" spans="7:8" x14ac:dyDescent="0.3">
      <c r="G6527" s="78">
        <v>6524</v>
      </c>
      <c r="H6527">
        <f t="shared" ca="1" si="96"/>
        <v>-2.6480536304619696E-2</v>
      </c>
    </row>
    <row r="6528" spans="7:8" x14ac:dyDescent="0.3">
      <c r="G6528" s="78">
        <v>6525</v>
      </c>
      <c r="H6528">
        <f t="shared" ca="1" si="96"/>
        <v>3.1376874219855536E-2</v>
      </c>
    </row>
    <row r="6529" spans="7:8" x14ac:dyDescent="0.3">
      <c r="G6529" s="78">
        <v>6526</v>
      </c>
      <c r="H6529">
        <f t="shared" ca="1" si="96"/>
        <v>6.6973851279141161E-3</v>
      </c>
    </row>
    <row r="6530" spans="7:8" x14ac:dyDescent="0.3">
      <c r="G6530" s="78">
        <v>6527</v>
      </c>
      <c r="H6530">
        <f t="shared" ca="1" si="96"/>
        <v>2.3979650816515128E-2</v>
      </c>
    </row>
    <row r="6531" spans="7:8" x14ac:dyDescent="0.3">
      <c r="G6531" s="78">
        <v>6528</v>
      </c>
      <c r="H6531">
        <f t="shared" ca="1" si="96"/>
        <v>-8.3800126733061305E-3</v>
      </c>
    </row>
    <row r="6532" spans="7:8" x14ac:dyDescent="0.3">
      <c r="G6532" s="78">
        <v>6529</v>
      </c>
      <c r="H6532">
        <f t="shared" ref="H6532:H6595" ca="1" si="97">_xlfn.NORM.INV(RAND(),$N$4,$N$5)</f>
        <v>2.2525785676199055E-2</v>
      </c>
    </row>
    <row r="6533" spans="7:8" x14ac:dyDescent="0.3">
      <c r="G6533" s="78">
        <v>6530</v>
      </c>
      <c r="H6533">
        <f t="shared" ca="1" si="97"/>
        <v>4.0350715545409588E-2</v>
      </c>
    </row>
    <row r="6534" spans="7:8" x14ac:dyDescent="0.3">
      <c r="G6534" s="78">
        <v>6531</v>
      </c>
      <c r="H6534">
        <f t="shared" ca="1" si="97"/>
        <v>-1.2378244046284011E-2</v>
      </c>
    </row>
    <row r="6535" spans="7:8" x14ac:dyDescent="0.3">
      <c r="G6535" s="78">
        <v>6532</v>
      </c>
      <c r="H6535">
        <f t="shared" ca="1" si="97"/>
        <v>1.1268389654816646E-2</v>
      </c>
    </row>
    <row r="6536" spans="7:8" x14ac:dyDescent="0.3">
      <c r="G6536" s="78">
        <v>6533</v>
      </c>
      <c r="H6536">
        <f t="shared" ca="1" si="97"/>
        <v>-1.8923884441994342E-2</v>
      </c>
    </row>
    <row r="6537" spans="7:8" x14ac:dyDescent="0.3">
      <c r="G6537" s="78">
        <v>6534</v>
      </c>
      <c r="H6537">
        <f t="shared" ca="1" si="97"/>
        <v>2.1891813974722969E-2</v>
      </c>
    </row>
    <row r="6538" spans="7:8" x14ac:dyDescent="0.3">
      <c r="G6538" s="78">
        <v>6535</v>
      </c>
      <c r="H6538">
        <f t="shared" ca="1" si="97"/>
        <v>3.9950023387257359E-2</v>
      </c>
    </row>
    <row r="6539" spans="7:8" x14ac:dyDescent="0.3">
      <c r="G6539" s="78">
        <v>6536</v>
      </c>
      <c r="H6539">
        <f t="shared" ca="1" si="97"/>
        <v>3.7239092460580443E-2</v>
      </c>
    </row>
    <row r="6540" spans="7:8" x14ac:dyDescent="0.3">
      <c r="G6540" s="78">
        <v>6537</v>
      </c>
      <c r="H6540">
        <f t="shared" ca="1" si="97"/>
        <v>-1.9869279795157034E-2</v>
      </c>
    </row>
    <row r="6541" spans="7:8" x14ac:dyDescent="0.3">
      <c r="G6541" s="78">
        <v>6538</v>
      </c>
      <c r="H6541">
        <f t="shared" ca="1" si="97"/>
        <v>-6.7032912801155012E-3</v>
      </c>
    </row>
    <row r="6542" spans="7:8" x14ac:dyDescent="0.3">
      <c r="G6542" s="78">
        <v>6539</v>
      </c>
      <c r="H6542">
        <f t="shared" ca="1" si="97"/>
        <v>3.7273001702794607E-2</v>
      </c>
    </row>
    <row r="6543" spans="7:8" x14ac:dyDescent="0.3">
      <c r="G6543" s="78">
        <v>6540</v>
      </c>
      <c r="H6543">
        <f t="shared" ca="1" si="97"/>
        <v>1.3323952425881326E-3</v>
      </c>
    </row>
    <row r="6544" spans="7:8" x14ac:dyDescent="0.3">
      <c r="G6544" s="78">
        <v>6541</v>
      </c>
      <c r="H6544">
        <f t="shared" ca="1" si="97"/>
        <v>2.867943742620253E-2</v>
      </c>
    </row>
    <row r="6545" spans="7:8" x14ac:dyDescent="0.3">
      <c r="G6545" s="78">
        <v>6542</v>
      </c>
      <c r="H6545">
        <f t="shared" ca="1" si="97"/>
        <v>9.5564779409314515E-3</v>
      </c>
    </row>
    <row r="6546" spans="7:8" x14ac:dyDescent="0.3">
      <c r="G6546" s="78">
        <v>6543</v>
      </c>
      <c r="H6546">
        <f t="shared" ca="1" si="97"/>
        <v>3.3086850849483379E-3</v>
      </c>
    </row>
    <row r="6547" spans="7:8" x14ac:dyDescent="0.3">
      <c r="G6547" s="78">
        <v>6544</v>
      </c>
      <c r="H6547">
        <f t="shared" ca="1" si="97"/>
        <v>1.1506922025317726E-2</v>
      </c>
    </row>
    <row r="6548" spans="7:8" x14ac:dyDescent="0.3">
      <c r="G6548" s="78">
        <v>6545</v>
      </c>
      <c r="H6548">
        <f t="shared" ca="1" si="97"/>
        <v>-2.5456736033066554E-2</v>
      </c>
    </row>
    <row r="6549" spans="7:8" x14ac:dyDescent="0.3">
      <c r="G6549" s="78">
        <v>6546</v>
      </c>
      <c r="H6549">
        <f t="shared" ca="1" si="97"/>
        <v>-3.6224964406722081E-3</v>
      </c>
    </row>
    <row r="6550" spans="7:8" x14ac:dyDescent="0.3">
      <c r="G6550" s="78">
        <v>6547</v>
      </c>
      <c r="H6550">
        <f t="shared" ca="1" si="97"/>
        <v>5.6160813375710468E-3</v>
      </c>
    </row>
    <row r="6551" spans="7:8" x14ac:dyDescent="0.3">
      <c r="G6551" s="78">
        <v>6548</v>
      </c>
      <c r="H6551">
        <f t="shared" ca="1" si="97"/>
        <v>-2.0230217077580812E-2</v>
      </c>
    </row>
    <row r="6552" spans="7:8" x14ac:dyDescent="0.3">
      <c r="G6552" s="78">
        <v>6549</v>
      </c>
      <c r="H6552">
        <f t="shared" ca="1" si="97"/>
        <v>1.3761305806072612E-4</v>
      </c>
    </row>
    <row r="6553" spans="7:8" x14ac:dyDescent="0.3">
      <c r="G6553" s="78">
        <v>6550</v>
      </c>
      <c r="H6553">
        <f t="shared" ca="1" si="97"/>
        <v>-8.8086779233860091E-3</v>
      </c>
    </row>
    <row r="6554" spans="7:8" x14ac:dyDescent="0.3">
      <c r="G6554" s="78">
        <v>6551</v>
      </c>
      <c r="H6554">
        <f t="shared" ca="1" si="97"/>
        <v>2.2961274761756877E-2</v>
      </c>
    </row>
    <row r="6555" spans="7:8" x14ac:dyDescent="0.3">
      <c r="G6555" s="78">
        <v>6552</v>
      </c>
      <c r="H6555">
        <f t="shared" ca="1" si="97"/>
        <v>-3.0118043468943187E-3</v>
      </c>
    </row>
    <row r="6556" spans="7:8" x14ac:dyDescent="0.3">
      <c r="G6556" s="78">
        <v>6553</v>
      </c>
      <c r="H6556">
        <f t="shared" ca="1" si="97"/>
        <v>3.7258611377560279E-2</v>
      </c>
    </row>
    <row r="6557" spans="7:8" x14ac:dyDescent="0.3">
      <c r="G6557" s="78">
        <v>6554</v>
      </c>
      <c r="H6557">
        <f t="shared" ca="1" si="97"/>
        <v>1.038339183018267E-2</v>
      </c>
    </row>
    <row r="6558" spans="7:8" x14ac:dyDescent="0.3">
      <c r="G6558" s="78">
        <v>6555</v>
      </c>
      <c r="H6558">
        <f t="shared" ca="1" si="97"/>
        <v>-8.6779040340035033E-3</v>
      </c>
    </row>
    <row r="6559" spans="7:8" x14ac:dyDescent="0.3">
      <c r="G6559" s="78">
        <v>6556</v>
      </c>
      <c r="H6559">
        <f t="shared" ca="1" si="97"/>
        <v>1.3260545514412372E-2</v>
      </c>
    </row>
    <row r="6560" spans="7:8" x14ac:dyDescent="0.3">
      <c r="G6560" s="78">
        <v>6557</v>
      </c>
      <c r="H6560">
        <f t="shared" ca="1" si="97"/>
        <v>-1.9725461000224404E-3</v>
      </c>
    </row>
    <row r="6561" spans="7:8" x14ac:dyDescent="0.3">
      <c r="G6561" s="78">
        <v>6558</v>
      </c>
      <c r="H6561">
        <f t="shared" ca="1" si="97"/>
        <v>8.0175444003188039E-3</v>
      </c>
    </row>
    <row r="6562" spans="7:8" x14ac:dyDescent="0.3">
      <c r="G6562" s="78">
        <v>6559</v>
      </c>
      <c r="H6562">
        <f t="shared" ca="1" si="97"/>
        <v>-8.6911447275174838E-4</v>
      </c>
    </row>
    <row r="6563" spans="7:8" x14ac:dyDescent="0.3">
      <c r="G6563" s="78">
        <v>6560</v>
      </c>
      <c r="H6563">
        <f t="shared" ca="1" si="97"/>
        <v>-9.4699673296210537E-3</v>
      </c>
    </row>
    <row r="6564" spans="7:8" x14ac:dyDescent="0.3">
      <c r="G6564" s="78">
        <v>6561</v>
      </c>
      <c r="H6564">
        <f t="shared" ca="1" si="97"/>
        <v>5.0599360515377698E-3</v>
      </c>
    </row>
    <row r="6565" spans="7:8" x14ac:dyDescent="0.3">
      <c r="G6565" s="78">
        <v>6562</v>
      </c>
      <c r="H6565">
        <f t="shared" ca="1" si="97"/>
        <v>6.7426090305847588E-3</v>
      </c>
    </row>
    <row r="6566" spans="7:8" x14ac:dyDescent="0.3">
      <c r="G6566" s="78">
        <v>6563</v>
      </c>
      <c r="H6566">
        <f t="shared" ca="1" si="97"/>
        <v>1.4677346178411804E-2</v>
      </c>
    </row>
    <row r="6567" spans="7:8" x14ac:dyDescent="0.3">
      <c r="G6567" s="78">
        <v>6564</v>
      </c>
      <c r="H6567">
        <f t="shared" ca="1" si="97"/>
        <v>-2.1074504500452177E-2</v>
      </c>
    </row>
    <row r="6568" spans="7:8" x14ac:dyDescent="0.3">
      <c r="G6568" s="78">
        <v>6565</v>
      </c>
      <c r="H6568">
        <f t="shared" ca="1" si="97"/>
        <v>7.5678686182267555E-3</v>
      </c>
    </row>
    <row r="6569" spans="7:8" x14ac:dyDescent="0.3">
      <c r="G6569" s="78">
        <v>6566</v>
      </c>
      <c r="H6569">
        <f t="shared" ca="1" si="97"/>
        <v>-1.0178514285935114E-2</v>
      </c>
    </row>
    <row r="6570" spans="7:8" x14ac:dyDescent="0.3">
      <c r="G6570" s="78">
        <v>6567</v>
      </c>
      <c r="H6570">
        <f t="shared" ca="1" si="97"/>
        <v>-4.2494261055907492E-2</v>
      </c>
    </row>
    <row r="6571" spans="7:8" x14ac:dyDescent="0.3">
      <c r="G6571" s="78">
        <v>6568</v>
      </c>
      <c r="H6571">
        <f t="shared" ca="1" si="97"/>
        <v>-2.8059827487594068E-2</v>
      </c>
    </row>
    <row r="6572" spans="7:8" x14ac:dyDescent="0.3">
      <c r="G6572" s="78">
        <v>6569</v>
      </c>
      <c r="H6572">
        <f t="shared" ca="1" si="97"/>
        <v>-7.900781812855355E-3</v>
      </c>
    </row>
    <row r="6573" spans="7:8" x14ac:dyDescent="0.3">
      <c r="G6573" s="78">
        <v>6570</v>
      </c>
      <c r="H6573">
        <f t="shared" ca="1" si="97"/>
        <v>7.4858920101637623E-3</v>
      </c>
    </row>
    <row r="6574" spans="7:8" x14ac:dyDescent="0.3">
      <c r="G6574" s="78">
        <v>6571</v>
      </c>
      <c r="H6574">
        <f t="shared" ca="1" si="97"/>
        <v>-4.0556722814726068E-2</v>
      </c>
    </row>
    <row r="6575" spans="7:8" x14ac:dyDescent="0.3">
      <c r="G6575" s="78">
        <v>6572</v>
      </c>
      <c r="H6575">
        <f t="shared" ca="1" si="97"/>
        <v>-1.4344414022976234E-2</v>
      </c>
    </row>
    <row r="6576" spans="7:8" x14ac:dyDescent="0.3">
      <c r="G6576" s="78">
        <v>6573</v>
      </c>
      <c r="H6576">
        <f t="shared" ca="1" si="97"/>
        <v>3.5919869087974628E-3</v>
      </c>
    </row>
    <row r="6577" spans="7:8" x14ac:dyDescent="0.3">
      <c r="G6577" s="78">
        <v>6574</v>
      </c>
      <c r="H6577">
        <f t="shared" ca="1" si="97"/>
        <v>2.6282895699873436E-3</v>
      </c>
    </row>
    <row r="6578" spans="7:8" x14ac:dyDescent="0.3">
      <c r="G6578" s="78">
        <v>6575</v>
      </c>
      <c r="H6578">
        <f t="shared" ca="1" si="97"/>
        <v>1.6519443514288284E-2</v>
      </c>
    </row>
    <row r="6579" spans="7:8" x14ac:dyDescent="0.3">
      <c r="G6579" s="78">
        <v>6576</v>
      </c>
      <c r="H6579">
        <f t="shared" ca="1" si="97"/>
        <v>-1.0747391322277345E-3</v>
      </c>
    </row>
    <row r="6580" spans="7:8" x14ac:dyDescent="0.3">
      <c r="G6580" s="78">
        <v>6577</v>
      </c>
      <c r="H6580">
        <f t="shared" ca="1" si="97"/>
        <v>-2.1538361567805947E-3</v>
      </c>
    </row>
    <row r="6581" spans="7:8" x14ac:dyDescent="0.3">
      <c r="G6581" s="78">
        <v>6578</v>
      </c>
      <c r="H6581">
        <f t="shared" ca="1" si="97"/>
        <v>1.4677855733463394E-2</v>
      </c>
    </row>
    <row r="6582" spans="7:8" x14ac:dyDescent="0.3">
      <c r="G6582" s="78">
        <v>6579</v>
      </c>
      <c r="H6582">
        <f t="shared" ca="1" si="97"/>
        <v>-3.6380384831622065E-2</v>
      </c>
    </row>
    <row r="6583" spans="7:8" x14ac:dyDescent="0.3">
      <c r="G6583" s="78">
        <v>6580</v>
      </c>
      <c r="H6583">
        <f t="shared" ca="1" si="97"/>
        <v>-2.1732763993461086E-2</v>
      </c>
    </row>
    <row r="6584" spans="7:8" x14ac:dyDescent="0.3">
      <c r="G6584" s="78">
        <v>6581</v>
      </c>
      <c r="H6584">
        <f t="shared" ca="1" si="97"/>
        <v>-9.3560520722044717E-3</v>
      </c>
    </row>
    <row r="6585" spans="7:8" x14ac:dyDescent="0.3">
      <c r="G6585" s="78">
        <v>6582</v>
      </c>
      <c r="H6585">
        <f t="shared" ca="1" si="97"/>
        <v>-4.9973737678700035E-4</v>
      </c>
    </row>
    <row r="6586" spans="7:8" x14ac:dyDescent="0.3">
      <c r="G6586" s="78">
        <v>6583</v>
      </c>
      <c r="H6586">
        <f t="shared" ca="1" si="97"/>
        <v>2.3259366060790432E-2</v>
      </c>
    </row>
    <row r="6587" spans="7:8" x14ac:dyDescent="0.3">
      <c r="G6587" s="78">
        <v>6584</v>
      </c>
      <c r="H6587">
        <f t="shared" ca="1" si="97"/>
        <v>1.1249030641216464E-3</v>
      </c>
    </row>
    <row r="6588" spans="7:8" x14ac:dyDescent="0.3">
      <c r="G6588" s="78">
        <v>6585</v>
      </c>
      <c r="H6588">
        <f t="shared" ca="1" si="97"/>
        <v>-2.6523359311891443E-2</v>
      </c>
    </row>
    <row r="6589" spans="7:8" x14ac:dyDescent="0.3">
      <c r="G6589" s="78">
        <v>6586</v>
      </c>
      <c r="H6589">
        <f t="shared" ca="1" si="97"/>
        <v>1.5901851991710927E-2</v>
      </c>
    </row>
    <row r="6590" spans="7:8" x14ac:dyDescent="0.3">
      <c r="G6590" s="78">
        <v>6587</v>
      </c>
      <c r="H6590">
        <f t="shared" ca="1" si="97"/>
        <v>-9.9014257259872219E-3</v>
      </c>
    </row>
    <row r="6591" spans="7:8" x14ac:dyDescent="0.3">
      <c r="G6591" s="78">
        <v>6588</v>
      </c>
      <c r="H6591">
        <f t="shared" ca="1" si="97"/>
        <v>1.242067288551478E-2</v>
      </c>
    </row>
    <row r="6592" spans="7:8" x14ac:dyDescent="0.3">
      <c r="G6592" s="78">
        <v>6589</v>
      </c>
      <c r="H6592">
        <f t="shared" ca="1" si="97"/>
        <v>1.1262073520393172E-2</v>
      </c>
    </row>
    <row r="6593" spans="7:8" x14ac:dyDescent="0.3">
      <c r="G6593" s="78">
        <v>6590</v>
      </c>
      <c r="H6593">
        <f t="shared" ca="1" si="97"/>
        <v>2.6356755446671966E-2</v>
      </c>
    </row>
    <row r="6594" spans="7:8" x14ac:dyDescent="0.3">
      <c r="G6594" s="78">
        <v>6591</v>
      </c>
      <c r="H6594">
        <f t="shared" ca="1" si="97"/>
        <v>7.4164098385676915E-3</v>
      </c>
    </row>
    <row r="6595" spans="7:8" x14ac:dyDescent="0.3">
      <c r="G6595" s="78">
        <v>6592</v>
      </c>
      <c r="H6595">
        <f t="shared" ca="1" si="97"/>
        <v>5.5560880968361561E-3</v>
      </c>
    </row>
    <row r="6596" spans="7:8" x14ac:dyDescent="0.3">
      <c r="G6596" s="78">
        <v>6593</v>
      </c>
      <c r="H6596">
        <f t="shared" ref="H6596:H6659" ca="1" si="98">_xlfn.NORM.INV(RAND(),$N$4,$N$5)</f>
        <v>2.4364625498360343E-2</v>
      </c>
    </row>
    <row r="6597" spans="7:8" x14ac:dyDescent="0.3">
      <c r="G6597" s="78">
        <v>6594</v>
      </c>
      <c r="H6597">
        <f t="shared" ca="1" si="98"/>
        <v>-1.1117332044536257E-2</v>
      </c>
    </row>
    <row r="6598" spans="7:8" x14ac:dyDescent="0.3">
      <c r="G6598" s="78">
        <v>6595</v>
      </c>
      <c r="H6598">
        <f t="shared" ca="1" si="98"/>
        <v>5.5583668527411853E-3</v>
      </c>
    </row>
    <row r="6599" spans="7:8" x14ac:dyDescent="0.3">
      <c r="G6599" s="78">
        <v>6596</v>
      </c>
      <c r="H6599">
        <f t="shared" ca="1" si="98"/>
        <v>-8.4178161404945516E-3</v>
      </c>
    </row>
    <row r="6600" spans="7:8" x14ac:dyDescent="0.3">
      <c r="G6600" s="78">
        <v>6597</v>
      </c>
      <c r="H6600">
        <f t="shared" ca="1" si="98"/>
        <v>-2.3742973708594638E-2</v>
      </c>
    </row>
    <row r="6601" spans="7:8" x14ac:dyDescent="0.3">
      <c r="G6601" s="78">
        <v>6598</v>
      </c>
      <c r="H6601">
        <f t="shared" ca="1" si="98"/>
        <v>2.5644229051010325E-3</v>
      </c>
    </row>
    <row r="6602" spans="7:8" x14ac:dyDescent="0.3">
      <c r="G6602" s="78">
        <v>6599</v>
      </c>
      <c r="H6602">
        <f t="shared" ca="1" si="98"/>
        <v>-1.3575929160303757E-2</v>
      </c>
    </row>
    <row r="6603" spans="7:8" x14ac:dyDescent="0.3">
      <c r="G6603" s="78">
        <v>6600</v>
      </c>
      <c r="H6603">
        <f t="shared" ca="1" si="98"/>
        <v>6.6181911322262942E-4</v>
      </c>
    </row>
    <row r="6604" spans="7:8" x14ac:dyDescent="0.3">
      <c r="G6604" s="78">
        <v>6601</v>
      </c>
      <c r="H6604">
        <f t="shared" ca="1" si="98"/>
        <v>-1.0319079238797861E-3</v>
      </c>
    </row>
    <row r="6605" spans="7:8" x14ac:dyDescent="0.3">
      <c r="G6605" s="78">
        <v>6602</v>
      </c>
      <c r="H6605">
        <f t="shared" ca="1" si="98"/>
        <v>5.2525783274341492E-3</v>
      </c>
    </row>
    <row r="6606" spans="7:8" x14ac:dyDescent="0.3">
      <c r="G6606" s="78">
        <v>6603</v>
      </c>
      <c r="H6606">
        <f t="shared" ca="1" si="98"/>
        <v>-7.4843349186986376E-3</v>
      </c>
    </row>
    <row r="6607" spans="7:8" x14ac:dyDescent="0.3">
      <c r="G6607" s="78">
        <v>6604</v>
      </c>
      <c r="H6607">
        <f t="shared" ca="1" si="98"/>
        <v>-1.0645604259499779E-2</v>
      </c>
    </row>
    <row r="6608" spans="7:8" x14ac:dyDescent="0.3">
      <c r="G6608" s="78">
        <v>6605</v>
      </c>
      <c r="H6608">
        <f t="shared" ca="1" si="98"/>
        <v>7.1583482021579199E-3</v>
      </c>
    </row>
    <row r="6609" spans="7:8" x14ac:dyDescent="0.3">
      <c r="G6609" s="78">
        <v>6606</v>
      </c>
      <c r="H6609">
        <f t="shared" ca="1" si="98"/>
        <v>3.44896252505833E-2</v>
      </c>
    </row>
    <row r="6610" spans="7:8" x14ac:dyDescent="0.3">
      <c r="G6610" s="78">
        <v>6607</v>
      </c>
      <c r="H6610">
        <f t="shared" ca="1" si="98"/>
        <v>8.9356478631515343E-3</v>
      </c>
    </row>
    <row r="6611" spans="7:8" x14ac:dyDescent="0.3">
      <c r="G6611" s="78">
        <v>6608</v>
      </c>
      <c r="H6611">
        <f t="shared" ca="1" si="98"/>
        <v>-1.626515333803121E-3</v>
      </c>
    </row>
    <row r="6612" spans="7:8" x14ac:dyDescent="0.3">
      <c r="G6612" s="78">
        <v>6609</v>
      </c>
      <c r="H6612">
        <f t="shared" ca="1" si="98"/>
        <v>-8.3903696916539337E-3</v>
      </c>
    </row>
    <row r="6613" spans="7:8" x14ac:dyDescent="0.3">
      <c r="G6613" s="78">
        <v>6610</v>
      </c>
      <c r="H6613">
        <f t="shared" ca="1" si="98"/>
        <v>-2.321318695941773E-2</v>
      </c>
    </row>
    <row r="6614" spans="7:8" x14ac:dyDescent="0.3">
      <c r="G6614" s="78">
        <v>6611</v>
      </c>
      <c r="H6614">
        <f t="shared" ca="1" si="98"/>
        <v>-2.2376338548301348E-2</v>
      </c>
    </row>
    <row r="6615" spans="7:8" x14ac:dyDescent="0.3">
      <c r="G6615" s="78">
        <v>6612</v>
      </c>
      <c r="H6615">
        <f t="shared" ca="1" si="98"/>
        <v>-6.46039245745834E-3</v>
      </c>
    </row>
    <row r="6616" spans="7:8" x14ac:dyDescent="0.3">
      <c r="G6616" s="78">
        <v>6613</v>
      </c>
      <c r="H6616">
        <f t="shared" ca="1" si="98"/>
        <v>-4.4187676592999355E-3</v>
      </c>
    </row>
    <row r="6617" spans="7:8" x14ac:dyDescent="0.3">
      <c r="G6617" s="78">
        <v>6614</v>
      </c>
      <c r="H6617">
        <f t="shared" ca="1" si="98"/>
        <v>-8.7694873785409844E-3</v>
      </c>
    </row>
    <row r="6618" spans="7:8" x14ac:dyDescent="0.3">
      <c r="G6618" s="78">
        <v>6615</v>
      </c>
      <c r="H6618">
        <f t="shared" ca="1" si="98"/>
        <v>6.3373394480027764E-3</v>
      </c>
    </row>
    <row r="6619" spans="7:8" x14ac:dyDescent="0.3">
      <c r="G6619" s="78">
        <v>6616</v>
      </c>
      <c r="H6619">
        <f t="shared" ca="1" si="98"/>
        <v>-1.6268030711995285E-2</v>
      </c>
    </row>
    <row r="6620" spans="7:8" x14ac:dyDescent="0.3">
      <c r="G6620" s="78">
        <v>6617</v>
      </c>
      <c r="H6620">
        <f t="shared" ca="1" si="98"/>
        <v>-6.01812688936501E-3</v>
      </c>
    </row>
    <row r="6621" spans="7:8" x14ac:dyDescent="0.3">
      <c r="G6621" s="78">
        <v>6618</v>
      </c>
      <c r="H6621">
        <f t="shared" ca="1" si="98"/>
        <v>-7.5209015414184747E-4</v>
      </c>
    </row>
    <row r="6622" spans="7:8" x14ac:dyDescent="0.3">
      <c r="G6622" s="78">
        <v>6619</v>
      </c>
      <c r="H6622">
        <f t="shared" ca="1" si="98"/>
        <v>-1.4303763049100424E-2</v>
      </c>
    </row>
    <row r="6623" spans="7:8" x14ac:dyDescent="0.3">
      <c r="G6623" s="78">
        <v>6620</v>
      </c>
      <c r="H6623">
        <f t="shared" ca="1" si="98"/>
        <v>7.5848839964719802E-3</v>
      </c>
    </row>
    <row r="6624" spans="7:8" x14ac:dyDescent="0.3">
      <c r="G6624" s="78">
        <v>6621</v>
      </c>
      <c r="H6624">
        <f t="shared" ca="1" si="98"/>
        <v>4.5471386445677777E-3</v>
      </c>
    </row>
    <row r="6625" spans="7:8" x14ac:dyDescent="0.3">
      <c r="G6625" s="78">
        <v>6622</v>
      </c>
      <c r="H6625">
        <f t="shared" ca="1" si="98"/>
        <v>-6.3528442691162144E-3</v>
      </c>
    </row>
    <row r="6626" spans="7:8" x14ac:dyDescent="0.3">
      <c r="G6626" s="78">
        <v>6623</v>
      </c>
      <c r="H6626">
        <f t="shared" ca="1" si="98"/>
        <v>-4.2793188597076721E-3</v>
      </c>
    </row>
    <row r="6627" spans="7:8" x14ac:dyDescent="0.3">
      <c r="G6627" s="78">
        <v>6624</v>
      </c>
      <c r="H6627">
        <f t="shared" ca="1" si="98"/>
        <v>-4.6160205942145623E-3</v>
      </c>
    </row>
    <row r="6628" spans="7:8" x14ac:dyDescent="0.3">
      <c r="G6628" s="78">
        <v>6625</v>
      </c>
      <c r="H6628">
        <f t="shared" ca="1" si="98"/>
        <v>1.4144879259517856E-2</v>
      </c>
    </row>
    <row r="6629" spans="7:8" x14ac:dyDescent="0.3">
      <c r="G6629" s="78">
        <v>6626</v>
      </c>
      <c r="H6629">
        <f t="shared" ca="1" si="98"/>
        <v>-1.3971646722610547E-2</v>
      </c>
    </row>
    <row r="6630" spans="7:8" x14ac:dyDescent="0.3">
      <c r="G6630" s="78">
        <v>6627</v>
      </c>
      <c r="H6630">
        <f t="shared" ca="1" si="98"/>
        <v>5.5345056531112163E-4</v>
      </c>
    </row>
    <row r="6631" spans="7:8" x14ac:dyDescent="0.3">
      <c r="G6631" s="78">
        <v>6628</v>
      </c>
      <c r="H6631">
        <f t="shared" ca="1" si="98"/>
        <v>-1.9874097065403693E-2</v>
      </c>
    </row>
    <row r="6632" spans="7:8" x14ac:dyDescent="0.3">
      <c r="G6632" s="78">
        <v>6629</v>
      </c>
      <c r="H6632">
        <f t="shared" ca="1" si="98"/>
        <v>-1.6700040384803796E-4</v>
      </c>
    </row>
    <row r="6633" spans="7:8" x14ac:dyDescent="0.3">
      <c r="G6633" s="78">
        <v>6630</v>
      </c>
      <c r="H6633">
        <f t="shared" ca="1" si="98"/>
        <v>-5.196449762614846E-3</v>
      </c>
    </row>
    <row r="6634" spans="7:8" x14ac:dyDescent="0.3">
      <c r="G6634" s="78">
        <v>6631</v>
      </c>
      <c r="H6634">
        <f t="shared" ca="1" si="98"/>
        <v>3.2040475639084777E-2</v>
      </c>
    </row>
    <row r="6635" spans="7:8" x14ac:dyDescent="0.3">
      <c r="G6635" s="78">
        <v>6632</v>
      </c>
      <c r="H6635">
        <f t="shared" ca="1" si="98"/>
        <v>-2.3119951341854381E-2</v>
      </c>
    </row>
    <row r="6636" spans="7:8" x14ac:dyDescent="0.3">
      <c r="G6636" s="78">
        <v>6633</v>
      </c>
      <c r="H6636">
        <f t="shared" ca="1" si="98"/>
        <v>-1.5655660372143006E-2</v>
      </c>
    </row>
    <row r="6637" spans="7:8" x14ac:dyDescent="0.3">
      <c r="G6637" s="78">
        <v>6634</v>
      </c>
      <c r="H6637">
        <f t="shared" ca="1" si="98"/>
        <v>-1.8626169471743004E-2</v>
      </c>
    </row>
    <row r="6638" spans="7:8" x14ac:dyDescent="0.3">
      <c r="G6638" s="78">
        <v>6635</v>
      </c>
      <c r="H6638">
        <f t="shared" ca="1" si="98"/>
        <v>-2.934929944012377E-2</v>
      </c>
    </row>
    <row r="6639" spans="7:8" x14ac:dyDescent="0.3">
      <c r="G6639" s="78">
        <v>6636</v>
      </c>
      <c r="H6639">
        <f t="shared" ca="1" si="98"/>
        <v>1.6690240314119566E-2</v>
      </c>
    </row>
    <row r="6640" spans="7:8" x14ac:dyDescent="0.3">
      <c r="G6640" s="78">
        <v>6637</v>
      </c>
      <c r="H6640">
        <f t="shared" ca="1" si="98"/>
        <v>5.9688547309890187E-4</v>
      </c>
    </row>
    <row r="6641" spans="7:8" x14ac:dyDescent="0.3">
      <c r="G6641" s="78">
        <v>6638</v>
      </c>
      <c r="H6641">
        <f t="shared" ca="1" si="98"/>
        <v>-4.5188590801107245E-3</v>
      </c>
    </row>
    <row r="6642" spans="7:8" x14ac:dyDescent="0.3">
      <c r="G6642" s="78">
        <v>6639</v>
      </c>
      <c r="H6642">
        <f t="shared" ca="1" si="98"/>
        <v>1.3426315321780263E-2</v>
      </c>
    </row>
    <row r="6643" spans="7:8" x14ac:dyDescent="0.3">
      <c r="G6643" s="78">
        <v>6640</v>
      </c>
      <c r="H6643">
        <f t="shared" ca="1" si="98"/>
        <v>1.9099102133243947E-2</v>
      </c>
    </row>
    <row r="6644" spans="7:8" x14ac:dyDescent="0.3">
      <c r="G6644" s="78">
        <v>6641</v>
      </c>
      <c r="H6644">
        <f t="shared" ca="1" si="98"/>
        <v>1.3678277883260495E-2</v>
      </c>
    </row>
    <row r="6645" spans="7:8" x14ac:dyDescent="0.3">
      <c r="G6645" s="78">
        <v>6642</v>
      </c>
      <c r="H6645">
        <f t="shared" ca="1" si="98"/>
        <v>-2.0888422243685242E-3</v>
      </c>
    </row>
    <row r="6646" spans="7:8" x14ac:dyDescent="0.3">
      <c r="G6646" s="78">
        <v>6643</v>
      </c>
      <c r="H6646">
        <f t="shared" ca="1" si="98"/>
        <v>-7.6039325325988069E-3</v>
      </c>
    </row>
    <row r="6647" spans="7:8" x14ac:dyDescent="0.3">
      <c r="G6647" s="78">
        <v>6644</v>
      </c>
      <c r="H6647">
        <f t="shared" ca="1" si="98"/>
        <v>2.9688630863602454E-2</v>
      </c>
    </row>
    <row r="6648" spans="7:8" x14ac:dyDescent="0.3">
      <c r="G6648" s="78">
        <v>6645</v>
      </c>
      <c r="H6648">
        <f t="shared" ca="1" si="98"/>
        <v>6.4698775076905499E-3</v>
      </c>
    </row>
    <row r="6649" spans="7:8" x14ac:dyDescent="0.3">
      <c r="G6649" s="78">
        <v>6646</v>
      </c>
      <c r="H6649">
        <f t="shared" ca="1" si="98"/>
        <v>1.6066143732438604E-2</v>
      </c>
    </row>
    <row r="6650" spans="7:8" x14ac:dyDescent="0.3">
      <c r="G6650" s="78">
        <v>6647</v>
      </c>
      <c r="H6650">
        <f t="shared" ca="1" si="98"/>
        <v>-9.5425322959885924E-3</v>
      </c>
    </row>
    <row r="6651" spans="7:8" x14ac:dyDescent="0.3">
      <c r="G6651" s="78">
        <v>6648</v>
      </c>
      <c r="H6651">
        <f t="shared" ca="1" si="98"/>
        <v>1.8962169015680538E-2</v>
      </c>
    </row>
    <row r="6652" spans="7:8" x14ac:dyDescent="0.3">
      <c r="G6652" s="78">
        <v>6649</v>
      </c>
      <c r="H6652">
        <f t="shared" ca="1" si="98"/>
        <v>2.796414118868798E-2</v>
      </c>
    </row>
    <row r="6653" spans="7:8" x14ac:dyDescent="0.3">
      <c r="G6653" s="78">
        <v>6650</v>
      </c>
      <c r="H6653">
        <f t="shared" ca="1" si="98"/>
        <v>-2.060565616083922E-3</v>
      </c>
    </row>
    <row r="6654" spans="7:8" x14ac:dyDescent="0.3">
      <c r="G6654" s="78">
        <v>6651</v>
      </c>
      <c r="H6654">
        <f t="shared" ca="1" si="98"/>
        <v>3.1817563996050978E-2</v>
      </c>
    </row>
    <row r="6655" spans="7:8" x14ac:dyDescent="0.3">
      <c r="G6655" s="78">
        <v>6652</v>
      </c>
      <c r="H6655">
        <f t="shared" ca="1" si="98"/>
        <v>-1.2588429713648507E-2</v>
      </c>
    </row>
    <row r="6656" spans="7:8" x14ac:dyDescent="0.3">
      <c r="G6656" s="78">
        <v>6653</v>
      </c>
      <c r="H6656">
        <f t="shared" ca="1" si="98"/>
        <v>-2.8780768440211834E-2</v>
      </c>
    </row>
    <row r="6657" spans="7:8" x14ac:dyDescent="0.3">
      <c r="G6657" s="78">
        <v>6654</v>
      </c>
      <c r="H6657">
        <f t="shared" ca="1" si="98"/>
        <v>-9.3631034449477893E-4</v>
      </c>
    </row>
    <row r="6658" spans="7:8" x14ac:dyDescent="0.3">
      <c r="G6658" s="78">
        <v>6655</v>
      </c>
      <c r="H6658">
        <f t="shared" ca="1" si="98"/>
        <v>-1.5400676724583706E-2</v>
      </c>
    </row>
    <row r="6659" spans="7:8" x14ac:dyDescent="0.3">
      <c r="G6659" s="78">
        <v>6656</v>
      </c>
      <c r="H6659">
        <f t="shared" ca="1" si="98"/>
        <v>1.2649489936439651E-2</v>
      </c>
    </row>
    <row r="6660" spans="7:8" x14ac:dyDescent="0.3">
      <c r="G6660" s="78">
        <v>6657</v>
      </c>
      <c r="H6660">
        <f t="shared" ref="H6660:H6723" ca="1" si="99">_xlfn.NORM.INV(RAND(),$N$4,$N$5)</f>
        <v>1.672195614945245E-2</v>
      </c>
    </row>
    <row r="6661" spans="7:8" x14ac:dyDescent="0.3">
      <c r="G6661" s="78">
        <v>6658</v>
      </c>
      <c r="H6661">
        <f t="shared" ca="1" si="99"/>
        <v>1.5050273735654062E-3</v>
      </c>
    </row>
    <row r="6662" spans="7:8" x14ac:dyDescent="0.3">
      <c r="G6662" s="78">
        <v>6659</v>
      </c>
      <c r="H6662">
        <f t="shared" ca="1" si="99"/>
        <v>-1.9478201843713294E-2</v>
      </c>
    </row>
    <row r="6663" spans="7:8" x14ac:dyDescent="0.3">
      <c r="G6663" s="78">
        <v>6660</v>
      </c>
      <c r="H6663">
        <f t="shared" ca="1" si="99"/>
        <v>3.0200339241432126E-3</v>
      </c>
    </row>
    <row r="6664" spans="7:8" x14ac:dyDescent="0.3">
      <c r="G6664" s="78">
        <v>6661</v>
      </c>
      <c r="H6664">
        <f t="shared" ca="1" si="99"/>
        <v>-2.3330229194971807E-2</v>
      </c>
    </row>
    <row r="6665" spans="7:8" x14ac:dyDescent="0.3">
      <c r="G6665" s="78">
        <v>6662</v>
      </c>
      <c r="H6665">
        <f t="shared" ca="1" si="99"/>
        <v>1.2354238227798992E-2</v>
      </c>
    </row>
    <row r="6666" spans="7:8" x14ac:dyDescent="0.3">
      <c r="G6666" s="78">
        <v>6663</v>
      </c>
      <c r="H6666">
        <f t="shared" ca="1" si="99"/>
        <v>1.1070396147913419E-2</v>
      </c>
    </row>
    <row r="6667" spans="7:8" x14ac:dyDescent="0.3">
      <c r="G6667" s="78">
        <v>6664</v>
      </c>
      <c r="H6667">
        <f t="shared" ca="1" si="99"/>
        <v>-3.1914726423158631E-2</v>
      </c>
    </row>
    <row r="6668" spans="7:8" x14ac:dyDescent="0.3">
      <c r="G6668" s="78">
        <v>6665</v>
      </c>
      <c r="H6668">
        <f t="shared" ca="1" si="99"/>
        <v>-1.7846639668753866E-2</v>
      </c>
    </row>
    <row r="6669" spans="7:8" x14ac:dyDescent="0.3">
      <c r="G6669" s="78">
        <v>6666</v>
      </c>
      <c r="H6669">
        <f t="shared" ca="1" si="99"/>
        <v>-1.3612435127809687E-2</v>
      </c>
    </row>
    <row r="6670" spans="7:8" x14ac:dyDescent="0.3">
      <c r="G6670" s="78">
        <v>6667</v>
      </c>
      <c r="H6670">
        <f t="shared" ca="1" si="99"/>
        <v>-2.3293260852640232E-2</v>
      </c>
    </row>
    <row r="6671" spans="7:8" x14ac:dyDescent="0.3">
      <c r="G6671" s="78">
        <v>6668</v>
      </c>
      <c r="H6671">
        <f t="shared" ca="1" si="99"/>
        <v>9.0933574413068416E-3</v>
      </c>
    </row>
    <row r="6672" spans="7:8" x14ac:dyDescent="0.3">
      <c r="G6672" s="78">
        <v>6669</v>
      </c>
      <c r="H6672">
        <f t="shared" ca="1" si="99"/>
        <v>1.7245175114395463E-2</v>
      </c>
    </row>
    <row r="6673" spans="7:8" x14ac:dyDescent="0.3">
      <c r="G6673" s="78">
        <v>6670</v>
      </c>
      <c r="H6673">
        <f t="shared" ca="1" si="99"/>
        <v>-1.6403250700853672E-3</v>
      </c>
    </row>
    <row r="6674" spans="7:8" x14ac:dyDescent="0.3">
      <c r="G6674" s="78">
        <v>6671</v>
      </c>
      <c r="H6674">
        <f t="shared" ca="1" si="99"/>
        <v>1.6870302034525619E-2</v>
      </c>
    </row>
    <row r="6675" spans="7:8" x14ac:dyDescent="0.3">
      <c r="G6675" s="78">
        <v>6672</v>
      </c>
      <c r="H6675">
        <f t="shared" ca="1" si="99"/>
        <v>-1.8989335579740172E-2</v>
      </c>
    </row>
    <row r="6676" spans="7:8" x14ac:dyDescent="0.3">
      <c r="G6676" s="78">
        <v>6673</v>
      </c>
      <c r="H6676">
        <f t="shared" ca="1" si="99"/>
        <v>5.5137888747800474E-3</v>
      </c>
    </row>
    <row r="6677" spans="7:8" x14ac:dyDescent="0.3">
      <c r="G6677" s="78">
        <v>6674</v>
      </c>
      <c r="H6677">
        <f t="shared" ca="1" si="99"/>
        <v>2.8228666958401692E-3</v>
      </c>
    </row>
    <row r="6678" spans="7:8" x14ac:dyDescent="0.3">
      <c r="G6678" s="78">
        <v>6675</v>
      </c>
      <c r="H6678">
        <f t="shared" ca="1" si="99"/>
        <v>1.5693452962321263E-3</v>
      </c>
    </row>
    <row r="6679" spans="7:8" x14ac:dyDescent="0.3">
      <c r="G6679" s="78">
        <v>6676</v>
      </c>
      <c r="H6679">
        <f t="shared" ca="1" si="99"/>
        <v>-3.0181486468153157E-3</v>
      </c>
    </row>
    <row r="6680" spans="7:8" x14ac:dyDescent="0.3">
      <c r="G6680" s="78">
        <v>6677</v>
      </c>
      <c r="H6680">
        <f t="shared" ca="1" si="99"/>
        <v>5.5006371233465232E-3</v>
      </c>
    </row>
    <row r="6681" spans="7:8" x14ac:dyDescent="0.3">
      <c r="G6681" s="78">
        <v>6678</v>
      </c>
      <c r="H6681">
        <f t="shared" ca="1" si="99"/>
        <v>6.7870302788914563E-3</v>
      </c>
    </row>
    <row r="6682" spans="7:8" x14ac:dyDescent="0.3">
      <c r="G6682" s="78">
        <v>6679</v>
      </c>
      <c r="H6682">
        <f t="shared" ca="1" si="99"/>
        <v>2.2347460153560345E-2</v>
      </c>
    </row>
    <row r="6683" spans="7:8" x14ac:dyDescent="0.3">
      <c r="G6683" s="78">
        <v>6680</v>
      </c>
      <c r="H6683">
        <f t="shared" ca="1" si="99"/>
        <v>3.1000117017133152E-4</v>
      </c>
    </row>
    <row r="6684" spans="7:8" x14ac:dyDescent="0.3">
      <c r="G6684" s="78">
        <v>6681</v>
      </c>
      <c r="H6684">
        <f t="shared" ca="1" si="99"/>
        <v>1.5100277404126838E-2</v>
      </c>
    </row>
    <row r="6685" spans="7:8" x14ac:dyDescent="0.3">
      <c r="G6685" s="78">
        <v>6682</v>
      </c>
      <c r="H6685">
        <f t="shared" ca="1" si="99"/>
        <v>-1.8825644410916102E-2</v>
      </c>
    </row>
    <row r="6686" spans="7:8" x14ac:dyDescent="0.3">
      <c r="G6686" s="78">
        <v>6683</v>
      </c>
      <c r="H6686">
        <f t="shared" ca="1" si="99"/>
        <v>5.9551929454604025E-3</v>
      </c>
    </row>
    <row r="6687" spans="7:8" x14ac:dyDescent="0.3">
      <c r="G6687" s="78">
        <v>6684</v>
      </c>
      <c r="H6687">
        <f t="shared" ca="1" si="99"/>
        <v>3.2088037352419517E-2</v>
      </c>
    </row>
    <row r="6688" spans="7:8" x14ac:dyDescent="0.3">
      <c r="G6688" s="78">
        <v>6685</v>
      </c>
      <c r="H6688">
        <f t="shared" ca="1" si="99"/>
        <v>-1.6277083765959807E-2</v>
      </c>
    </row>
    <row r="6689" spans="7:8" x14ac:dyDescent="0.3">
      <c r="G6689" s="78">
        <v>6686</v>
      </c>
      <c r="H6689">
        <f t="shared" ca="1" si="99"/>
        <v>-2.2407936184212156E-2</v>
      </c>
    </row>
    <row r="6690" spans="7:8" x14ac:dyDescent="0.3">
      <c r="G6690" s="78">
        <v>6687</v>
      </c>
      <c r="H6690">
        <f t="shared" ca="1" si="99"/>
        <v>-1.9904614023382138E-2</v>
      </c>
    </row>
    <row r="6691" spans="7:8" x14ac:dyDescent="0.3">
      <c r="G6691" s="78">
        <v>6688</v>
      </c>
      <c r="H6691">
        <f t="shared" ca="1" si="99"/>
        <v>1.3896107062950603E-2</v>
      </c>
    </row>
    <row r="6692" spans="7:8" x14ac:dyDescent="0.3">
      <c r="G6692" s="78">
        <v>6689</v>
      </c>
      <c r="H6692">
        <f t="shared" ca="1" si="99"/>
        <v>7.0980075320854297E-4</v>
      </c>
    </row>
    <row r="6693" spans="7:8" x14ac:dyDescent="0.3">
      <c r="G6693" s="78">
        <v>6690</v>
      </c>
      <c r="H6693">
        <f t="shared" ca="1" si="99"/>
        <v>-2.5992654867420431E-2</v>
      </c>
    </row>
    <row r="6694" spans="7:8" x14ac:dyDescent="0.3">
      <c r="G6694" s="78">
        <v>6691</v>
      </c>
      <c r="H6694">
        <f t="shared" ca="1" si="99"/>
        <v>6.3940680782139901E-3</v>
      </c>
    </row>
    <row r="6695" spans="7:8" x14ac:dyDescent="0.3">
      <c r="G6695" s="78">
        <v>6692</v>
      </c>
      <c r="H6695">
        <f t="shared" ca="1" si="99"/>
        <v>2.3080168407813184E-2</v>
      </c>
    </row>
    <row r="6696" spans="7:8" x14ac:dyDescent="0.3">
      <c r="G6696" s="78">
        <v>6693</v>
      </c>
      <c r="H6696">
        <f t="shared" ca="1" si="99"/>
        <v>5.0200671275154899E-3</v>
      </c>
    </row>
    <row r="6697" spans="7:8" x14ac:dyDescent="0.3">
      <c r="G6697" s="78">
        <v>6694</v>
      </c>
      <c r="H6697">
        <f t="shared" ca="1" si="99"/>
        <v>3.5189320796532057E-3</v>
      </c>
    </row>
    <row r="6698" spans="7:8" x14ac:dyDescent="0.3">
      <c r="G6698" s="78">
        <v>6695</v>
      </c>
      <c r="H6698">
        <f t="shared" ca="1" si="99"/>
        <v>-1.735296930027725E-2</v>
      </c>
    </row>
    <row r="6699" spans="7:8" x14ac:dyDescent="0.3">
      <c r="G6699" s="78">
        <v>6696</v>
      </c>
      <c r="H6699">
        <f t="shared" ca="1" si="99"/>
        <v>2.1330038602815748E-2</v>
      </c>
    </row>
    <row r="6700" spans="7:8" x14ac:dyDescent="0.3">
      <c r="G6700" s="78">
        <v>6697</v>
      </c>
      <c r="H6700">
        <f t="shared" ca="1" si="99"/>
        <v>1.8670987414645932E-2</v>
      </c>
    </row>
    <row r="6701" spans="7:8" x14ac:dyDescent="0.3">
      <c r="G6701" s="78">
        <v>6698</v>
      </c>
      <c r="H6701">
        <f t="shared" ca="1" si="99"/>
        <v>3.2615827590854296E-2</v>
      </c>
    </row>
    <row r="6702" spans="7:8" x14ac:dyDescent="0.3">
      <c r="G6702" s="78">
        <v>6699</v>
      </c>
      <c r="H6702">
        <f t="shared" ca="1" si="99"/>
        <v>-2.7922743788126661E-3</v>
      </c>
    </row>
    <row r="6703" spans="7:8" x14ac:dyDescent="0.3">
      <c r="G6703" s="78">
        <v>6700</v>
      </c>
      <c r="H6703">
        <f t="shared" ca="1" si="99"/>
        <v>-2.4691550238395872E-3</v>
      </c>
    </row>
    <row r="6704" spans="7:8" x14ac:dyDescent="0.3">
      <c r="G6704" s="78">
        <v>6701</v>
      </c>
      <c r="H6704">
        <f t="shared" ca="1" si="99"/>
        <v>-3.9753727536073775E-3</v>
      </c>
    </row>
    <row r="6705" spans="7:8" x14ac:dyDescent="0.3">
      <c r="G6705" s="78">
        <v>6702</v>
      </c>
      <c r="H6705">
        <f t="shared" ca="1" si="99"/>
        <v>1.7181997160380023E-2</v>
      </c>
    </row>
    <row r="6706" spans="7:8" x14ac:dyDescent="0.3">
      <c r="G6706" s="78">
        <v>6703</v>
      </c>
      <c r="H6706">
        <f t="shared" ca="1" si="99"/>
        <v>-4.7836411162010879E-2</v>
      </c>
    </row>
    <row r="6707" spans="7:8" x14ac:dyDescent="0.3">
      <c r="G6707" s="78">
        <v>6704</v>
      </c>
      <c r="H6707">
        <f t="shared" ca="1" si="99"/>
        <v>-1.4537705406795035E-2</v>
      </c>
    </row>
    <row r="6708" spans="7:8" x14ac:dyDescent="0.3">
      <c r="G6708" s="78">
        <v>6705</v>
      </c>
      <c r="H6708">
        <f t="shared" ca="1" si="99"/>
        <v>-1.9460469385390242E-2</v>
      </c>
    </row>
    <row r="6709" spans="7:8" x14ac:dyDescent="0.3">
      <c r="G6709" s="78">
        <v>6706</v>
      </c>
      <c r="H6709">
        <f t="shared" ca="1" si="99"/>
        <v>-2.7577569077228891E-3</v>
      </c>
    </row>
    <row r="6710" spans="7:8" x14ac:dyDescent="0.3">
      <c r="G6710" s="78">
        <v>6707</v>
      </c>
      <c r="H6710">
        <f t="shared" ca="1" si="99"/>
        <v>-6.8780243785775798E-3</v>
      </c>
    </row>
    <row r="6711" spans="7:8" x14ac:dyDescent="0.3">
      <c r="G6711" s="78">
        <v>6708</v>
      </c>
      <c r="H6711">
        <f t="shared" ca="1" si="99"/>
        <v>-1.4591606620738275E-2</v>
      </c>
    </row>
    <row r="6712" spans="7:8" x14ac:dyDescent="0.3">
      <c r="G6712" s="78">
        <v>6709</v>
      </c>
      <c r="H6712">
        <f t="shared" ca="1" si="99"/>
        <v>4.9229282698681157E-3</v>
      </c>
    </row>
    <row r="6713" spans="7:8" x14ac:dyDescent="0.3">
      <c r="G6713" s="78">
        <v>6710</v>
      </c>
      <c r="H6713">
        <f t="shared" ca="1" si="99"/>
        <v>-3.7218105597240235E-4</v>
      </c>
    </row>
    <row r="6714" spans="7:8" x14ac:dyDescent="0.3">
      <c r="G6714" s="78">
        <v>6711</v>
      </c>
      <c r="H6714">
        <f t="shared" ca="1" si="99"/>
        <v>-8.4546350204601217E-3</v>
      </c>
    </row>
    <row r="6715" spans="7:8" x14ac:dyDescent="0.3">
      <c r="G6715" s="78">
        <v>6712</v>
      </c>
      <c r="H6715">
        <f t="shared" ca="1" si="99"/>
        <v>-3.5566477063705498E-2</v>
      </c>
    </row>
    <row r="6716" spans="7:8" x14ac:dyDescent="0.3">
      <c r="G6716" s="78">
        <v>6713</v>
      </c>
      <c r="H6716">
        <f t="shared" ca="1" si="99"/>
        <v>8.3678132482620134E-3</v>
      </c>
    </row>
    <row r="6717" spans="7:8" x14ac:dyDescent="0.3">
      <c r="G6717" s="78">
        <v>6714</v>
      </c>
      <c r="H6717">
        <f t="shared" ca="1" si="99"/>
        <v>2.1148179737911551E-2</v>
      </c>
    </row>
    <row r="6718" spans="7:8" x14ac:dyDescent="0.3">
      <c r="G6718" s="78">
        <v>6715</v>
      </c>
      <c r="H6718">
        <f t="shared" ca="1" si="99"/>
        <v>2.9349904454884909E-3</v>
      </c>
    </row>
    <row r="6719" spans="7:8" x14ac:dyDescent="0.3">
      <c r="G6719" s="78">
        <v>6716</v>
      </c>
      <c r="H6719">
        <f t="shared" ca="1" si="99"/>
        <v>4.9657237938246057E-2</v>
      </c>
    </row>
    <row r="6720" spans="7:8" x14ac:dyDescent="0.3">
      <c r="G6720" s="78">
        <v>6717</v>
      </c>
      <c r="H6720">
        <f t="shared" ca="1" si="99"/>
        <v>2.6099479148237086E-3</v>
      </c>
    </row>
    <row r="6721" spans="7:8" x14ac:dyDescent="0.3">
      <c r="G6721" s="78">
        <v>6718</v>
      </c>
      <c r="H6721">
        <f t="shared" ca="1" si="99"/>
        <v>-1.572957467832185E-2</v>
      </c>
    </row>
    <row r="6722" spans="7:8" x14ac:dyDescent="0.3">
      <c r="G6722" s="78">
        <v>6719</v>
      </c>
      <c r="H6722">
        <f t="shared" ca="1" si="99"/>
        <v>3.1219342392457923E-3</v>
      </c>
    </row>
    <row r="6723" spans="7:8" x14ac:dyDescent="0.3">
      <c r="G6723" s="78">
        <v>6720</v>
      </c>
      <c r="H6723">
        <f t="shared" ca="1" si="99"/>
        <v>-2.1548900371742345E-2</v>
      </c>
    </row>
    <row r="6724" spans="7:8" x14ac:dyDescent="0.3">
      <c r="G6724" s="78">
        <v>6721</v>
      </c>
      <c r="H6724">
        <f t="shared" ref="H6724:H6787" ca="1" si="100">_xlfn.NORM.INV(RAND(),$N$4,$N$5)</f>
        <v>-2.0020800616424739E-2</v>
      </c>
    </row>
    <row r="6725" spans="7:8" x14ac:dyDescent="0.3">
      <c r="G6725" s="78">
        <v>6722</v>
      </c>
      <c r="H6725">
        <f t="shared" ca="1" si="100"/>
        <v>6.8121209321126783E-3</v>
      </c>
    </row>
    <row r="6726" spans="7:8" x14ac:dyDescent="0.3">
      <c r="G6726" s="78">
        <v>6723</v>
      </c>
      <c r="H6726">
        <f t="shared" ca="1" si="100"/>
        <v>1.0908548466157816E-2</v>
      </c>
    </row>
    <row r="6727" spans="7:8" x14ac:dyDescent="0.3">
      <c r="G6727" s="78">
        <v>6724</v>
      </c>
      <c r="H6727">
        <f t="shared" ca="1" si="100"/>
        <v>-6.8124873510291952E-3</v>
      </c>
    </row>
    <row r="6728" spans="7:8" x14ac:dyDescent="0.3">
      <c r="G6728" s="78">
        <v>6725</v>
      </c>
      <c r="H6728">
        <f t="shared" ca="1" si="100"/>
        <v>-8.0426314435558446E-3</v>
      </c>
    </row>
    <row r="6729" spans="7:8" x14ac:dyDescent="0.3">
      <c r="G6729" s="78">
        <v>6726</v>
      </c>
      <c r="H6729">
        <f t="shared" ca="1" si="100"/>
        <v>-1.9592125027018022E-2</v>
      </c>
    </row>
    <row r="6730" spans="7:8" x14ac:dyDescent="0.3">
      <c r="G6730" s="78">
        <v>6727</v>
      </c>
      <c r="H6730">
        <f t="shared" ca="1" si="100"/>
        <v>4.2440350952506782E-3</v>
      </c>
    </row>
    <row r="6731" spans="7:8" x14ac:dyDescent="0.3">
      <c r="G6731" s="78">
        <v>6728</v>
      </c>
      <c r="H6731">
        <f t="shared" ca="1" si="100"/>
        <v>4.2461586445642239E-4</v>
      </c>
    </row>
    <row r="6732" spans="7:8" x14ac:dyDescent="0.3">
      <c r="G6732" s="78">
        <v>6729</v>
      </c>
      <c r="H6732">
        <f t="shared" ca="1" si="100"/>
        <v>4.6246414373835344E-3</v>
      </c>
    </row>
    <row r="6733" spans="7:8" x14ac:dyDescent="0.3">
      <c r="G6733" s="78">
        <v>6730</v>
      </c>
      <c r="H6733">
        <f t="shared" ca="1" si="100"/>
        <v>1.2287493010144137E-2</v>
      </c>
    </row>
    <row r="6734" spans="7:8" x14ac:dyDescent="0.3">
      <c r="G6734" s="78">
        <v>6731</v>
      </c>
      <c r="H6734">
        <f t="shared" ca="1" si="100"/>
        <v>8.4070712818741077E-3</v>
      </c>
    </row>
    <row r="6735" spans="7:8" x14ac:dyDescent="0.3">
      <c r="G6735" s="78">
        <v>6732</v>
      </c>
      <c r="H6735">
        <f t="shared" ca="1" si="100"/>
        <v>2.3755654527100684E-2</v>
      </c>
    </row>
    <row r="6736" spans="7:8" x14ac:dyDescent="0.3">
      <c r="G6736" s="78">
        <v>6733</v>
      </c>
      <c r="H6736">
        <f t="shared" ca="1" si="100"/>
        <v>-2.3126290624824138E-2</v>
      </c>
    </row>
    <row r="6737" spans="7:8" x14ac:dyDescent="0.3">
      <c r="G6737" s="78">
        <v>6734</v>
      </c>
      <c r="H6737">
        <f t="shared" ca="1" si="100"/>
        <v>-3.8850646056929963E-2</v>
      </c>
    </row>
    <row r="6738" spans="7:8" x14ac:dyDescent="0.3">
      <c r="G6738" s="78">
        <v>6735</v>
      </c>
      <c r="H6738">
        <f t="shared" ca="1" si="100"/>
        <v>-1.2463837447981737E-3</v>
      </c>
    </row>
    <row r="6739" spans="7:8" x14ac:dyDescent="0.3">
      <c r="G6739" s="78">
        <v>6736</v>
      </c>
      <c r="H6739">
        <f t="shared" ca="1" si="100"/>
        <v>6.612652587624163E-3</v>
      </c>
    </row>
    <row r="6740" spans="7:8" x14ac:dyDescent="0.3">
      <c r="G6740" s="78">
        <v>6737</v>
      </c>
      <c r="H6740">
        <f t="shared" ca="1" si="100"/>
        <v>1.3702572319693259E-2</v>
      </c>
    </row>
    <row r="6741" spans="7:8" x14ac:dyDescent="0.3">
      <c r="G6741" s="78">
        <v>6738</v>
      </c>
      <c r="H6741">
        <f t="shared" ca="1" si="100"/>
        <v>1.1161084959026592E-2</v>
      </c>
    </row>
    <row r="6742" spans="7:8" x14ac:dyDescent="0.3">
      <c r="G6742" s="78">
        <v>6739</v>
      </c>
      <c r="H6742">
        <f t="shared" ca="1" si="100"/>
        <v>2.0222059510386144E-2</v>
      </c>
    </row>
    <row r="6743" spans="7:8" x14ac:dyDescent="0.3">
      <c r="G6743" s="78">
        <v>6740</v>
      </c>
      <c r="H6743">
        <f t="shared" ca="1" si="100"/>
        <v>-3.0186726501189552E-3</v>
      </c>
    </row>
    <row r="6744" spans="7:8" x14ac:dyDescent="0.3">
      <c r="G6744" s="78">
        <v>6741</v>
      </c>
      <c r="H6744">
        <f t="shared" ca="1" si="100"/>
        <v>-3.133107745605801E-2</v>
      </c>
    </row>
    <row r="6745" spans="7:8" x14ac:dyDescent="0.3">
      <c r="G6745" s="78">
        <v>6742</v>
      </c>
      <c r="H6745">
        <f t="shared" ca="1" si="100"/>
        <v>1.3538401186427025E-2</v>
      </c>
    </row>
    <row r="6746" spans="7:8" x14ac:dyDescent="0.3">
      <c r="G6746" s="78">
        <v>6743</v>
      </c>
      <c r="H6746">
        <f t="shared" ca="1" si="100"/>
        <v>-8.55672564126456E-3</v>
      </c>
    </row>
    <row r="6747" spans="7:8" x14ac:dyDescent="0.3">
      <c r="G6747" s="78">
        <v>6744</v>
      </c>
      <c r="H6747">
        <f t="shared" ca="1" si="100"/>
        <v>-1.9351079894522161E-2</v>
      </c>
    </row>
    <row r="6748" spans="7:8" x14ac:dyDescent="0.3">
      <c r="G6748" s="78">
        <v>6745</v>
      </c>
      <c r="H6748">
        <f t="shared" ca="1" si="100"/>
        <v>-5.5305551983400947E-3</v>
      </c>
    </row>
    <row r="6749" spans="7:8" x14ac:dyDescent="0.3">
      <c r="G6749" s="78">
        <v>6746</v>
      </c>
      <c r="H6749">
        <f t="shared" ca="1" si="100"/>
        <v>-3.713495776692389E-3</v>
      </c>
    </row>
    <row r="6750" spans="7:8" x14ac:dyDescent="0.3">
      <c r="G6750" s="78">
        <v>6747</v>
      </c>
      <c r="H6750">
        <f t="shared" ca="1" si="100"/>
        <v>-1.980742370482869E-3</v>
      </c>
    </row>
    <row r="6751" spans="7:8" x14ac:dyDescent="0.3">
      <c r="G6751" s="78">
        <v>6748</v>
      </c>
      <c r="H6751">
        <f t="shared" ca="1" si="100"/>
        <v>-1.9837402770155929E-2</v>
      </c>
    </row>
    <row r="6752" spans="7:8" x14ac:dyDescent="0.3">
      <c r="G6752" s="78">
        <v>6749</v>
      </c>
      <c r="H6752">
        <f t="shared" ca="1" si="100"/>
        <v>-1.6860658573203877E-2</v>
      </c>
    </row>
    <row r="6753" spans="7:8" x14ac:dyDescent="0.3">
      <c r="G6753" s="78">
        <v>6750</v>
      </c>
      <c r="H6753">
        <f t="shared" ca="1" si="100"/>
        <v>3.0244675225871136E-3</v>
      </c>
    </row>
    <row r="6754" spans="7:8" x14ac:dyDescent="0.3">
      <c r="G6754" s="78">
        <v>6751</v>
      </c>
      <c r="H6754">
        <f t="shared" ca="1" si="100"/>
        <v>1.1494447296300121E-3</v>
      </c>
    </row>
    <row r="6755" spans="7:8" x14ac:dyDescent="0.3">
      <c r="G6755" s="78">
        <v>6752</v>
      </c>
      <c r="H6755">
        <f t="shared" ca="1" si="100"/>
        <v>8.0601267554307951E-3</v>
      </c>
    </row>
    <row r="6756" spans="7:8" x14ac:dyDescent="0.3">
      <c r="G6756" s="78">
        <v>6753</v>
      </c>
      <c r="H6756">
        <f t="shared" ca="1" si="100"/>
        <v>1.1544684632255942E-3</v>
      </c>
    </row>
    <row r="6757" spans="7:8" x14ac:dyDescent="0.3">
      <c r="G6757" s="78">
        <v>6754</v>
      </c>
      <c r="H6757">
        <f t="shared" ca="1" si="100"/>
        <v>7.4877356081964877E-3</v>
      </c>
    </row>
    <row r="6758" spans="7:8" x14ac:dyDescent="0.3">
      <c r="G6758" s="78">
        <v>6755</v>
      </c>
      <c r="H6758">
        <f t="shared" ca="1" si="100"/>
        <v>-7.3531642383691193E-3</v>
      </c>
    </row>
    <row r="6759" spans="7:8" x14ac:dyDescent="0.3">
      <c r="G6759" s="78">
        <v>6756</v>
      </c>
      <c r="H6759">
        <f t="shared" ca="1" si="100"/>
        <v>-5.933446947979672E-4</v>
      </c>
    </row>
    <row r="6760" spans="7:8" x14ac:dyDescent="0.3">
      <c r="G6760" s="78">
        <v>6757</v>
      </c>
      <c r="H6760">
        <f t="shared" ca="1" si="100"/>
        <v>1.3276069164502989E-2</v>
      </c>
    </row>
    <row r="6761" spans="7:8" x14ac:dyDescent="0.3">
      <c r="G6761" s="78">
        <v>6758</v>
      </c>
      <c r="H6761">
        <f t="shared" ca="1" si="100"/>
        <v>-1.6894750264082496E-2</v>
      </c>
    </row>
    <row r="6762" spans="7:8" x14ac:dyDescent="0.3">
      <c r="G6762" s="78">
        <v>6759</v>
      </c>
      <c r="H6762">
        <f t="shared" ca="1" si="100"/>
        <v>-1.9451622866211903E-2</v>
      </c>
    </row>
    <row r="6763" spans="7:8" x14ac:dyDescent="0.3">
      <c r="G6763" s="78">
        <v>6760</v>
      </c>
      <c r="H6763">
        <f t="shared" ca="1" si="100"/>
        <v>-9.7083102312978623E-3</v>
      </c>
    </row>
    <row r="6764" spans="7:8" x14ac:dyDescent="0.3">
      <c r="G6764" s="78">
        <v>6761</v>
      </c>
      <c r="H6764">
        <f t="shared" ca="1" si="100"/>
        <v>-4.8225706973258967E-2</v>
      </c>
    </row>
    <row r="6765" spans="7:8" x14ac:dyDescent="0.3">
      <c r="G6765" s="78">
        <v>6762</v>
      </c>
      <c r="H6765">
        <f t="shared" ca="1" si="100"/>
        <v>-4.8815044885740046E-2</v>
      </c>
    </row>
    <row r="6766" spans="7:8" x14ac:dyDescent="0.3">
      <c r="G6766" s="78">
        <v>6763</v>
      </c>
      <c r="H6766">
        <f t="shared" ca="1" si="100"/>
        <v>-3.1882289579546049E-3</v>
      </c>
    </row>
    <row r="6767" spans="7:8" x14ac:dyDescent="0.3">
      <c r="G6767" s="78">
        <v>6764</v>
      </c>
      <c r="H6767">
        <f t="shared" ca="1" si="100"/>
        <v>-1.0172515923251909E-2</v>
      </c>
    </row>
    <row r="6768" spans="7:8" x14ac:dyDescent="0.3">
      <c r="G6768" s="78">
        <v>6765</v>
      </c>
      <c r="H6768">
        <f t="shared" ca="1" si="100"/>
        <v>-6.2924627130824511E-3</v>
      </c>
    </row>
    <row r="6769" spans="7:8" x14ac:dyDescent="0.3">
      <c r="G6769" s="78">
        <v>6766</v>
      </c>
      <c r="H6769">
        <f t="shared" ca="1" si="100"/>
        <v>-8.8237041478080244E-3</v>
      </c>
    </row>
    <row r="6770" spans="7:8" x14ac:dyDescent="0.3">
      <c r="G6770" s="78">
        <v>6767</v>
      </c>
      <c r="H6770">
        <f t="shared" ca="1" si="100"/>
        <v>-7.931084523367429E-3</v>
      </c>
    </row>
    <row r="6771" spans="7:8" x14ac:dyDescent="0.3">
      <c r="G6771" s="78">
        <v>6768</v>
      </c>
      <c r="H6771">
        <f t="shared" ca="1" si="100"/>
        <v>-4.7200536338735319E-3</v>
      </c>
    </row>
    <row r="6772" spans="7:8" x14ac:dyDescent="0.3">
      <c r="G6772" s="78">
        <v>6769</v>
      </c>
      <c r="H6772">
        <f t="shared" ca="1" si="100"/>
        <v>-1.7268087702642963E-2</v>
      </c>
    </row>
    <row r="6773" spans="7:8" x14ac:dyDescent="0.3">
      <c r="G6773" s="78">
        <v>6770</v>
      </c>
      <c r="H6773">
        <f t="shared" ca="1" si="100"/>
        <v>-1.4978601630871813E-3</v>
      </c>
    </row>
    <row r="6774" spans="7:8" x14ac:dyDescent="0.3">
      <c r="G6774" s="78">
        <v>6771</v>
      </c>
      <c r="H6774">
        <f t="shared" ca="1" si="100"/>
        <v>6.0025220170664239E-4</v>
      </c>
    </row>
    <row r="6775" spans="7:8" x14ac:dyDescent="0.3">
      <c r="G6775" s="78">
        <v>6772</v>
      </c>
      <c r="H6775">
        <f t="shared" ca="1" si="100"/>
        <v>-8.2922467600497871E-4</v>
      </c>
    </row>
    <row r="6776" spans="7:8" x14ac:dyDescent="0.3">
      <c r="G6776" s="78">
        <v>6773</v>
      </c>
      <c r="H6776">
        <f t="shared" ca="1" si="100"/>
        <v>1.1134643902900599E-2</v>
      </c>
    </row>
    <row r="6777" spans="7:8" x14ac:dyDescent="0.3">
      <c r="G6777" s="78">
        <v>6774</v>
      </c>
      <c r="H6777">
        <f t="shared" ca="1" si="100"/>
        <v>1.4493671818669269E-2</v>
      </c>
    </row>
    <row r="6778" spans="7:8" x14ac:dyDescent="0.3">
      <c r="G6778" s="78">
        <v>6775</v>
      </c>
      <c r="H6778">
        <f t="shared" ca="1" si="100"/>
        <v>-1.2679003105611335E-2</v>
      </c>
    </row>
    <row r="6779" spans="7:8" x14ac:dyDescent="0.3">
      <c r="G6779" s="78">
        <v>6776</v>
      </c>
      <c r="H6779">
        <f t="shared" ca="1" si="100"/>
        <v>2.8854616929673066E-3</v>
      </c>
    </row>
    <row r="6780" spans="7:8" x14ac:dyDescent="0.3">
      <c r="G6780" s="78">
        <v>6777</v>
      </c>
      <c r="H6780">
        <f t="shared" ca="1" si="100"/>
        <v>-4.5168614470432342E-2</v>
      </c>
    </row>
    <row r="6781" spans="7:8" x14ac:dyDescent="0.3">
      <c r="G6781" s="78">
        <v>6778</v>
      </c>
      <c r="H6781">
        <f t="shared" ca="1" si="100"/>
        <v>4.3153395442560817E-3</v>
      </c>
    </row>
    <row r="6782" spans="7:8" x14ac:dyDescent="0.3">
      <c r="G6782" s="78">
        <v>6779</v>
      </c>
      <c r="H6782">
        <f t="shared" ca="1" si="100"/>
        <v>-6.1255524984376005E-3</v>
      </c>
    </row>
    <row r="6783" spans="7:8" x14ac:dyDescent="0.3">
      <c r="G6783" s="78">
        <v>6780</v>
      </c>
      <c r="H6783">
        <f t="shared" ca="1" si="100"/>
        <v>2.4046235124201062E-2</v>
      </c>
    </row>
    <row r="6784" spans="7:8" x14ac:dyDescent="0.3">
      <c r="G6784" s="78">
        <v>6781</v>
      </c>
      <c r="H6784">
        <f t="shared" ca="1" si="100"/>
        <v>-3.2203565274639807E-2</v>
      </c>
    </row>
    <row r="6785" spans="7:8" x14ac:dyDescent="0.3">
      <c r="G6785" s="78">
        <v>6782</v>
      </c>
      <c r="H6785">
        <f t="shared" ca="1" si="100"/>
        <v>4.2359179859576684E-3</v>
      </c>
    </row>
    <row r="6786" spans="7:8" x14ac:dyDescent="0.3">
      <c r="G6786" s="78">
        <v>6783</v>
      </c>
      <c r="H6786">
        <f t="shared" ca="1" si="100"/>
        <v>1.565142072397922E-2</v>
      </c>
    </row>
    <row r="6787" spans="7:8" x14ac:dyDescent="0.3">
      <c r="G6787" s="78">
        <v>6784</v>
      </c>
      <c r="H6787">
        <f t="shared" ca="1" si="100"/>
        <v>-1.2430000827908325E-2</v>
      </c>
    </row>
    <row r="6788" spans="7:8" x14ac:dyDescent="0.3">
      <c r="G6788" s="78">
        <v>6785</v>
      </c>
      <c r="H6788">
        <f t="shared" ref="H6788:H6851" ca="1" si="101">_xlfn.NORM.INV(RAND(),$N$4,$N$5)</f>
        <v>-8.9642574092907564E-5</v>
      </c>
    </row>
    <row r="6789" spans="7:8" x14ac:dyDescent="0.3">
      <c r="G6789" s="78">
        <v>6786</v>
      </c>
      <c r="H6789">
        <f t="shared" ca="1" si="101"/>
        <v>-2.1890111349298434E-2</v>
      </c>
    </row>
    <row r="6790" spans="7:8" x14ac:dyDescent="0.3">
      <c r="G6790" s="78">
        <v>6787</v>
      </c>
      <c r="H6790">
        <f t="shared" ca="1" si="101"/>
        <v>-1.9873875317294617E-2</v>
      </c>
    </row>
    <row r="6791" spans="7:8" x14ac:dyDescent="0.3">
      <c r="G6791" s="78">
        <v>6788</v>
      </c>
      <c r="H6791">
        <f t="shared" ca="1" si="101"/>
        <v>-1.2741263758480743E-2</v>
      </c>
    </row>
    <row r="6792" spans="7:8" x14ac:dyDescent="0.3">
      <c r="G6792" s="78">
        <v>6789</v>
      </c>
      <c r="H6792">
        <f t="shared" ca="1" si="101"/>
        <v>3.6783806805814868E-2</v>
      </c>
    </row>
    <row r="6793" spans="7:8" x14ac:dyDescent="0.3">
      <c r="G6793" s="78">
        <v>6790</v>
      </c>
      <c r="H6793">
        <f t="shared" ca="1" si="101"/>
        <v>-8.9811202316721576E-3</v>
      </c>
    </row>
    <row r="6794" spans="7:8" x14ac:dyDescent="0.3">
      <c r="G6794" s="78">
        <v>6791</v>
      </c>
      <c r="H6794">
        <f t="shared" ca="1" si="101"/>
        <v>1.9108460923559174E-2</v>
      </c>
    </row>
    <row r="6795" spans="7:8" x14ac:dyDescent="0.3">
      <c r="G6795" s="78">
        <v>6792</v>
      </c>
      <c r="H6795">
        <f t="shared" ca="1" si="101"/>
        <v>-6.0761487422354337E-3</v>
      </c>
    </row>
    <row r="6796" spans="7:8" x14ac:dyDescent="0.3">
      <c r="G6796" s="78">
        <v>6793</v>
      </c>
      <c r="H6796">
        <f t="shared" ca="1" si="101"/>
        <v>-1.3417004639194914E-2</v>
      </c>
    </row>
    <row r="6797" spans="7:8" x14ac:dyDescent="0.3">
      <c r="G6797" s="78">
        <v>6794</v>
      </c>
      <c r="H6797">
        <f t="shared" ca="1" si="101"/>
        <v>3.0032995501756955E-2</v>
      </c>
    </row>
    <row r="6798" spans="7:8" x14ac:dyDescent="0.3">
      <c r="G6798" s="78">
        <v>6795</v>
      </c>
      <c r="H6798">
        <f t="shared" ca="1" si="101"/>
        <v>2.8396347544741339E-3</v>
      </c>
    </row>
    <row r="6799" spans="7:8" x14ac:dyDescent="0.3">
      <c r="G6799" s="78">
        <v>6796</v>
      </c>
      <c r="H6799">
        <f t="shared" ca="1" si="101"/>
        <v>-5.19980637117583E-3</v>
      </c>
    </row>
    <row r="6800" spans="7:8" x14ac:dyDescent="0.3">
      <c r="G6800" s="78">
        <v>6797</v>
      </c>
      <c r="H6800">
        <f t="shared" ca="1" si="101"/>
        <v>7.4499252202330953E-3</v>
      </c>
    </row>
    <row r="6801" spans="7:8" x14ac:dyDescent="0.3">
      <c r="G6801" s="78">
        <v>6798</v>
      </c>
      <c r="H6801">
        <f t="shared" ca="1" si="101"/>
        <v>-1.0348538078149647E-2</v>
      </c>
    </row>
    <row r="6802" spans="7:8" x14ac:dyDescent="0.3">
      <c r="G6802" s="78">
        <v>6799</v>
      </c>
      <c r="H6802">
        <f t="shared" ca="1" si="101"/>
        <v>2.369317106711278E-3</v>
      </c>
    </row>
    <row r="6803" spans="7:8" x14ac:dyDescent="0.3">
      <c r="G6803" s="78">
        <v>6800</v>
      </c>
      <c r="H6803">
        <f t="shared" ca="1" si="101"/>
        <v>-1.5883581685237673E-2</v>
      </c>
    </row>
    <row r="6804" spans="7:8" x14ac:dyDescent="0.3">
      <c r="G6804" s="78">
        <v>6801</v>
      </c>
      <c r="H6804">
        <f t="shared" ca="1" si="101"/>
        <v>2.2511794180759416E-2</v>
      </c>
    </row>
    <row r="6805" spans="7:8" x14ac:dyDescent="0.3">
      <c r="G6805" s="78">
        <v>6802</v>
      </c>
      <c r="H6805">
        <f t="shared" ca="1" si="101"/>
        <v>1.5239909162573067E-2</v>
      </c>
    </row>
    <row r="6806" spans="7:8" x14ac:dyDescent="0.3">
      <c r="G6806" s="78">
        <v>6803</v>
      </c>
      <c r="H6806">
        <f t="shared" ca="1" si="101"/>
        <v>-1.7520997765837494E-2</v>
      </c>
    </row>
    <row r="6807" spans="7:8" x14ac:dyDescent="0.3">
      <c r="G6807" s="78">
        <v>6804</v>
      </c>
      <c r="H6807">
        <f t="shared" ca="1" si="101"/>
        <v>-2.3894902362807391E-2</v>
      </c>
    </row>
    <row r="6808" spans="7:8" x14ac:dyDescent="0.3">
      <c r="G6808" s="78">
        <v>6805</v>
      </c>
      <c r="H6808">
        <f t="shared" ca="1" si="101"/>
        <v>6.2950609411746503E-3</v>
      </c>
    </row>
    <row r="6809" spans="7:8" x14ac:dyDescent="0.3">
      <c r="G6809" s="78">
        <v>6806</v>
      </c>
      <c r="H6809">
        <f t="shared" ca="1" si="101"/>
        <v>-5.9760384293043754E-3</v>
      </c>
    </row>
    <row r="6810" spans="7:8" x14ac:dyDescent="0.3">
      <c r="G6810" s="78">
        <v>6807</v>
      </c>
      <c r="H6810">
        <f t="shared" ca="1" si="101"/>
        <v>-1.4013952200415757E-2</v>
      </c>
    </row>
    <row r="6811" spans="7:8" x14ac:dyDescent="0.3">
      <c r="G6811" s="78">
        <v>6808</v>
      </c>
      <c r="H6811">
        <f t="shared" ca="1" si="101"/>
        <v>6.9586567721666298E-3</v>
      </c>
    </row>
    <row r="6812" spans="7:8" x14ac:dyDescent="0.3">
      <c r="G6812" s="78">
        <v>6809</v>
      </c>
      <c r="H6812">
        <f t="shared" ca="1" si="101"/>
        <v>1.9082608768043189E-2</v>
      </c>
    </row>
    <row r="6813" spans="7:8" x14ac:dyDescent="0.3">
      <c r="G6813" s="78">
        <v>6810</v>
      </c>
      <c r="H6813">
        <f t="shared" ca="1" si="101"/>
        <v>1.4084512723535038E-2</v>
      </c>
    </row>
    <row r="6814" spans="7:8" x14ac:dyDescent="0.3">
      <c r="G6814" s="78">
        <v>6811</v>
      </c>
      <c r="H6814">
        <f t="shared" ca="1" si="101"/>
        <v>-1.9450675393964108E-2</v>
      </c>
    </row>
    <row r="6815" spans="7:8" x14ac:dyDescent="0.3">
      <c r="G6815" s="78">
        <v>6812</v>
      </c>
      <c r="H6815">
        <f t="shared" ca="1" si="101"/>
        <v>-3.0193609537117513E-2</v>
      </c>
    </row>
    <row r="6816" spans="7:8" x14ac:dyDescent="0.3">
      <c r="G6816" s="78">
        <v>6813</v>
      </c>
      <c r="H6816">
        <f t="shared" ca="1" si="101"/>
        <v>4.6272520474523827E-2</v>
      </c>
    </row>
    <row r="6817" spans="7:8" x14ac:dyDescent="0.3">
      <c r="G6817" s="78">
        <v>6814</v>
      </c>
      <c r="H6817">
        <f t="shared" ca="1" si="101"/>
        <v>-2.2960472668598107E-2</v>
      </c>
    </row>
    <row r="6818" spans="7:8" x14ac:dyDescent="0.3">
      <c r="G6818" s="78">
        <v>6815</v>
      </c>
      <c r="H6818">
        <f t="shared" ca="1" si="101"/>
        <v>1.5775613795993734E-2</v>
      </c>
    </row>
    <row r="6819" spans="7:8" x14ac:dyDescent="0.3">
      <c r="G6819" s="78">
        <v>6816</v>
      </c>
      <c r="H6819">
        <f t="shared" ca="1" si="101"/>
        <v>1.4741570012242487E-2</v>
      </c>
    </row>
    <row r="6820" spans="7:8" x14ac:dyDescent="0.3">
      <c r="G6820" s="78">
        <v>6817</v>
      </c>
      <c r="H6820">
        <f t="shared" ca="1" si="101"/>
        <v>-2.4145886571817914E-2</v>
      </c>
    </row>
    <row r="6821" spans="7:8" x14ac:dyDescent="0.3">
      <c r="G6821" s="78">
        <v>6818</v>
      </c>
      <c r="H6821">
        <f t="shared" ca="1" si="101"/>
        <v>-1.9822095091861846E-2</v>
      </c>
    </row>
    <row r="6822" spans="7:8" x14ac:dyDescent="0.3">
      <c r="G6822" s="78">
        <v>6819</v>
      </c>
      <c r="H6822">
        <f t="shared" ca="1" si="101"/>
        <v>9.2612741413787975E-3</v>
      </c>
    </row>
    <row r="6823" spans="7:8" x14ac:dyDescent="0.3">
      <c r="G6823" s="78">
        <v>6820</v>
      </c>
      <c r="H6823">
        <f t="shared" ca="1" si="101"/>
        <v>1.5116175975722205E-2</v>
      </c>
    </row>
    <row r="6824" spans="7:8" x14ac:dyDescent="0.3">
      <c r="G6824" s="78">
        <v>6821</v>
      </c>
      <c r="H6824">
        <f t="shared" ca="1" si="101"/>
        <v>-2.3762210937313812E-2</v>
      </c>
    </row>
    <row r="6825" spans="7:8" x14ac:dyDescent="0.3">
      <c r="G6825" s="78">
        <v>6822</v>
      </c>
      <c r="H6825">
        <f t="shared" ca="1" si="101"/>
        <v>-2.9813952216443347E-2</v>
      </c>
    </row>
    <row r="6826" spans="7:8" x14ac:dyDescent="0.3">
      <c r="G6826" s="78">
        <v>6823</v>
      </c>
      <c r="H6826">
        <f t="shared" ca="1" si="101"/>
        <v>-3.8882053408799732E-3</v>
      </c>
    </row>
    <row r="6827" spans="7:8" x14ac:dyDescent="0.3">
      <c r="G6827" s="78">
        <v>6824</v>
      </c>
      <c r="H6827">
        <f t="shared" ca="1" si="101"/>
        <v>-6.4024819463952649E-3</v>
      </c>
    </row>
    <row r="6828" spans="7:8" x14ac:dyDescent="0.3">
      <c r="G6828" s="78">
        <v>6825</v>
      </c>
      <c r="H6828">
        <f t="shared" ca="1" si="101"/>
        <v>-1.9735088870646893E-2</v>
      </c>
    </row>
    <row r="6829" spans="7:8" x14ac:dyDescent="0.3">
      <c r="G6829" s="78">
        <v>6826</v>
      </c>
      <c r="H6829">
        <f t="shared" ca="1" si="101"/>
        <v>1.0055934884274228E-2</v>
      </c>
    </row>
    <row r="6830" spans="7:8" x14ac:dyDescent="0.3">
      <c r="G6830" s="78">
        <v>6827</v>
      </c>
      <c r="H6830">
        <f t="shared" ca="1" si="101"/>
        <v>-4.4595763417946674E-2</v>
      </c>
    </row>
    <row r="6831" spans="7:8" x14ac:dyDescent="0.3">
      <c r="G6831" s="78">
        <v>6828</v>
      </c>
      <c r="H6831">
        <f t="shared" ca="1" si="101"/>
        <v>-4.9967196520855359E-3</v>
      </c>
    </row>
    <row r="6832" spans="7:8" x14ac:dyDescent="0.3">
      <c r="G6832" s="78">
        <v>6829</v>
      </c>
      <c r="H6832">
        <f t="shared" ca="1" si="101"/>
        <v>-9.8380991146684946E-3</v>
      </c>
    </row>
    <row r="6833" spans="7:8" x14ac:dyDescent="0.3">
      <c r="G6833" s="78">
        <v>6830</v>
      </c>
      <c r="H6833">
        <f t="shared" ca="1" si="101"/>
        <v>1.0477331642472724E-2</v>
      </c>
    </row>
    <row r="6834" spans="7:8" x14ac:dyDescent="0.3">
      <c r="G6834" s="78">
        <v>6831</v>
      </c>
      <c r="H6834">
        <f t="shared" ca="1" si="101"/>
        <v>-1.1233110613544761E-2</v>
      </c>
    </row>
    <row r="6835" spans="7:8" x14ac:dyDescent="0.3">
      <c r="G6835" s="78">
        <v>6832</v>
      </c>
      <c r="H6835">
        <f t="shared" ca="1" si="101"/>
        <v>2.7674764944695542E-2</v>
      </c>
    </row>
    <row r="6836" spans="7:8" x14ac:dyDescent="0.3">
      <c r="G6836" s="78">
        <v>6833</v>
      </c>
      <c r="H6836">
        <f t="shared" ca="1" si="101"/>
        <v>7.141622203799115E-3</v>
      </c>
    </row>
    <row r="6837" spans="7:8" x14ac:dyDescent="0.3">
      <c r="G6837" s="78">
        <v>6834</v>
      </c>
      <c r="H6837">
        <f t="shared" ca="1" si="101"/>
        <v>1.8171474238234422E-2</v>
      </c>
    </row>
    <row r="6838" spans="7:8" x14ac:dyDescent="0.3">
      <c r="G6838" s="78">
        <v>6835</v>
      </c>
      <c r="H6838">
        <f t="shared" ca="1" si="101"/>
        <v>3.7641288963227264E-2</v>
      </c>
    </row>
    <row r="6839" spans="7:8" x14ac:dyDescent="0.3">
      <c r="G6839" s="78">
        <v>6836</v>
      </c>
      <c r="H6839">
        <f t="shared" ca="1" si="101"/>
        <v>-3.2388991670300959E-2</v>
      </c>
    </row>
    <row r="6840" spans="7:8" x14ac:dyDescent="0.3">
      <c r="G6840" s="78">
        <v>6837</v>
      </c>
      <c r="H6840">
        <f t="shared" ca="1" si="101"/>
        <v>7.3823567767800592E-3</v>
      </c>
    </row>
    <row r="6841" spans="7:8" x14ac:dyDescent="0.3">
      <c r="G6841" s="78">
        <v>6838</v>
      </c>
      <c r="H6841">
        <f t="shared" ca="1" si="101"/>
        <v>1.0781396897850185E-2</v>
      </c>
    </row>
    <row r="6842" spans="7:8" x14ac:dyDescent="0.3">
      <c r="G6842" s="78">
        <v>6839</v>
      </c>
      <c r="H6842">
        <f t="shared" ca="1" si="101"/>
        <v>2.0915218034556417E-3</v>
      </c>
    </row>
    <row r="6843" spans="7:8" x14ac:dyDescent="0.3">
      <c r="G6843" s="78">
        <v>6840</v>
      </c>
      <c r="H6843">
        <f t="shared" ca="1" si="101"/>
        <v>-3.8571006072463257E-3</v>
      </c>
    </row>
    <row r="6844" spans="7:8" x14ac:dyDescent="0.3">
      <c r="G6844" s="78">
        <v>6841</v>
      </c>
      <c r="H6844">
        <f t="shared" ca="1" si="101"/>
        <v>-3.0832575140282557E-2</v>
      </c>
    </row>
    <row r="6845" spans="7:8" x14ac:dyDescent="0.3">
      <c r="G6845" s="78">
        <v>6842</v>
      </c>
      <c r="H6845">
        <f t="shared" ca="1" si="101"/>
        <v>8.5029646728288898E-5</v>
      </c>
    </row>
    <row r="6846" spans="7:8" x14ac:dyDescent="0.3">
      <c r="G6846" s="78">
        <v>6843</v>
      </c>
      <c r="H6846">
        <f t="shared" ca="1" si="101"/>
        <v>-8.127354119841319E-3</v>
      </c>
    </row>
    <row r="6847" spans="7:8" x14ac:dyDescent="0.3">
      <c r="G6847" s="78">
        <v>6844</v>
      </c>
      <c r="H6847">
        <f t="shared" ca="1" si="101"/>
        <v>-5.0808754566432357E-3</v>
      </c>
    </row>
    <row r="6848" spans="7:8" x14ac:dyDescent="0.3">
      <c r="G6848" s="78">
        <v>6845</v>
      </c>
      <c r="H6848">
        <f t="shared" ca="1" si="101"/>
        <v>1.5259663995437989E-2</v>
      </c>
    </row>
    <row r="6849" spans="7:8" x14ac:dyDescent="0.3">
      <c r="G6849" s="78">
        <v>6846</v>
      </c>
      <c r="H6849">
        <f t="shared" ca="1" si="101"/>
        <v>1.7326215355487232E-2</v>
      </c>
    </row>
    <row r="6850" spans="7:8" x14ac:dyDescent="0.3">
      <c r="G6850" s="78">
        <v>6847</v>
      </c>
      <c r="H6850">
        <f t="shared" ca="1" si="101"/>
        <v>-2.17738433216054E-2</v>
      </c>
    </row>
    <row r="6851" spans="7:8" x14ac:dyDescent="0.3">
      <c r="G6851" s="78">
        <v>6848</v>
      </c>
      <c r="H6851">
        <f t="shared" ca="1" si="101"/>
        <v>6.9549526642792266E-3</v>
      </c>
    </row>
    <row r="6852" spans="7:8" x14ac:dyDescent="0.3">
      <c r="G6852" s="78">
        <v>6849</v>
      </c>
      <c r="H6852">
        <f t="shared" ref="H6852:H6915" ca="1" si="102">_xlfn.NORM.INV(RAND(),$N$4,$N$5)</f>
        <v>3.488888637086876E-2</v>
      </c>
    </row>
    <row r="6853" spans="7:8" x14ac:dyDescent="0.3">
      <c r="G6853" s="78">
        <v>6850</v>
      </c>
      <c r="H6853">
        <f t="shared" ca="1" si="102"/>
        <v>1.1469089216040652E-2</v>
      </c>
    </row>
    <row r="6854" spans="7:8" x14ac:dyDescent="0.3">
      <c r="G6854" s="78">
        <v>6851</v>
      </c>
      <c r="H6854">
        <f t="shared" ca="1" si="102"/>
        <v>3.2427122528062249E-2</v>
      </c>
    </row>
    <row r="6855" spans="7:8" x14ac:dyDescent="0.3">
      <c r="G6855" s="78">
        <v>6852</v>
      </c>
      <c r="H6855">
        <f t="shared" ca="1" si="102"/>
        <v>-9.7144611559859054E-3</v>
      </c>
    </row>
    <row r="6856" spans="7:8" x14ac:dyDescent="0.3">
      <c r="G6856" s="78">
        <v>6853</v>
      </c>
      <c r="H6856">
        <f t="shared" ca="1" si="102"/>
        <v>2.3095917370632112E-2</v>
      </c>
    </row>
    <row r="6857" spans="7:8" x14ac:dyDescent="0.3">
      <c r="G6857" s="78">
        <v>6854</v>
      </c>
      <c r="H6857">
        <f t="shared" ca="1" si="102"/>
        <v>-1.8411026781033783E-2</v>
      </c>
    </row>
    <row r="6858" spans="7:8" x14ac:dyDescent="0.3">
      <c r="G6858" s="78">
        <v>6855</v>
      </c>
      <c r="H6858">
        <f t="shared" ca="1" si="102"/>
        <v>2.1014160711686256E-2</v>
      </c>
    </row>
    <row r="6859" spans="7:8" x14ac:dyDescent="0.3">
      <c r="G6859" s="78">
        <v>6856</v>
      </c>
      <c r="H6859">
        <f t="shared" ca="1" si="102"/>
        <v>-2.1900311784055913E-2</v>
      </c>
    </row>
    <row r="6860" spans="7:8" x14ac:dyDescent="0.3">
      <c r="G6860" s="78">
        <v>6857</v>
      </c>
      <c r="H6860">
        <f t="shared" ca="1" si="102"/>
        <v>9.6098481441005325E-3</v>
      </c>
    </row>
    <row r="6861" spans="7:8" x14ac:dyDescent="0.3">
      <c r="G6861" s="78">
        <v>6858</v>
      </c>
      <c r="H6861">
        <f t="shared" ca="1" si="102"/>
        <v>-2.8418885736829078E-2</v>
      </c>
    </row>
    <row r="6862" spans="7:8" x14ac:dyDescent="0.3">
      <c r="G6862" s="78">
        <v>6859</v>
      </c>
      <c r="H6862">
        <f t="shared" ca="1" si="102"/>
        <v>4.1246402318358645E-3</v>
      </c>
    </row>
    <row r="6863" spans="7:8" x14ac:dyDescent="0.3">
      <c r="G6863" s="78">
        <v>6860</v>
      </c>
      <c r="H6863">
        <f t="shared" ca="1" si="102"/>
        <v>-1.2740218759628698E-2</v>
      </c>
    </row>
    <row r="6864" spans="7:8" x14ac:dyDescent="0.3">
      <c r="G6864" s="78">
        <v>6861</v>
      </c>
      <c r="H6864">
        <f t="shared" ca="1" si="102"/>
        <v>7.8320719776124852E-3</v>
      </c>
    </row>
    <row r="6865" spans="7:8" x14ac:dyDescent="0.3">
      <c r="G6865" s="78">
        <v>6862</v>
      </c>
      <c r="H6865">
        <f t="shared" ca="1" si="102"/>
        <v>3.5332066914218078E-2</v>
      </c>
    </row>
    <row r="6866" spans="7:8" x14ac:dyDescent="0.3">
      <c r="G6866" s="78">
        <v>6863</v>
      </c>
      <c r="H6866">
        <f t="shared" ca="1" si="102"/>
        <v>-1.2523626075552829E-2</v>
      </c>
    </row>
    <row r="6867" spans="7:8" x14ac:dyDescent="0.3">
      <c r="G6867" s="78">
        <v>6864</v>
      </c>
      <c r="H6867">
        <f t="shared" ca="1" si="102"/>
        <v>1.0185379130773747E-2</v>
      </c>
    </row>
    <row r="6868" spans="7:8" x14ac:dyDescent="0.3">
      <c r="G6868" s="78">
        <v>6865</v>
      </c>
      <c r="H6868">
        <f t="shared" ca="1" si="102"/>
        <v>-9.6453318129685432E-3</v>
      </c>
    </row>
    <row r="6869" spans="7:8" x14ac:dyDescent="0.3">
      <c r="G6869" s="78">
        <v>6866</v>
      </c>
      <c r="H6869">
        <f t="shared" ca="1" si="102"/>
        <v>-1.4543036744040299E-2</v>
      </c>
    </row>
    <row r="6870" spans="7:8" x14ac:dyDescent="0.3">
      <c r="G6870" s="78">
        <v>6867</v>
      </c>
      <c r="H6870">
        <f t="shared" ca="1" si="102"/>
        <v>4.5622890396360659E-2</v>
      </c>
    </row>
    <row r="6871" spans="7:8" x14ac:dyDescent="0.3">
      <c r="G6871" s="78">
        <v>6868</v>
      </c>
      <c r="H6871">
        <f t="shared" ca="1" si="102"/>
        <v>-5.0296800234033165E-3</v>
      </c>
    </row>
    <row r="6872" spans="7:8" x14ac:dyDescent="0.3">
      <c r="G6872" s="78">
        <v>6869</v>
      </c>
      <c r="H6872">
        <f t="shared" ca="1" si="102"/>
        <v>-1.0549209243101465E-2</v>
      </c>
    </row>
    <row r="6873" spans="7:8" x14ac:dyDescent="0.3">
      <c r="G6873" s="78">
        <v>6870</v>
      </c>
      <c r="H6873">
        <f t="shared" ca="1" si="102"/>
        <v>-1.2347815386362952E-2</v>
      </c>
    </row>
    <row r="6874" spans="7:8" x14ac:dyDescent="0.3">
      <c r="G6874" s="78">
        <v>6871</v>
      </c>
      <c r="H6874">
        <f t="shared" ca="1" si="102"/>
        <v>1.9090333916670123E-2</v>
      </c>
    </row>
    <row r="6875" spans="7:8" x14ac:dyDescent="0.3">
      <c r="G6875" s="78">
        <v>6872</v>
      </c>
      <c r="H6875">
        <f t="shared" ca="1" si="102"/>
        <v>1.713582248122705E-2</v>
      </c>
    </row>
    <row r="6876" spans="7:8" x14ac:dyDescent="0.3">
      <c r="G6876" s="78">
        <v>6873</v>
      </c>
      <c r="H6876">
        <f t="shared" ca="1" si="102"/>
        <v>-6.976936131619304E-4</v>
      </c>
    </row>
    <row r="6877" spans="7:8" x14ac:dyDescent="0.3">
      <c r="G6877" s="78">
        <v>6874</v>
      </c>
      <c r="H6877">
        <f t="shared" ca="1" si="102"/>
        <v>4.8026425465944739E-3</v>
      </c>
    </row>
    <row r="6878" spans="7:8" x14ac:dyDescent="0.3">
      <c r="G6878" s="78">
        <v>6875</v>
      </c>
      <c r="H6878">
        <f t="shared" ca="1" si="102"/>
        <v>2.2608158501980879E-3</v>
      </c>
    </row>
    <row r="6879" spans="7:8" x14ac:dyDescent="0.3">
      <c r="G6879" s="78">
        <v>6876</v>
      </c>
      <c r="H6879">
        <f t="shared" ca="1" si="102"/>
        <v>-3.4131451151159543E-2</v>
      </c>
    </row>
    <row r="6880" spans="7:8" x14ac:dyDescent="0.3">
      <c r="G6880" s="78">
        <v>6877</v>
      </c>
      <c r="H6880">
        <f t="shared" ca="1" si="102"/>
        <v>5.6433345454728681E-3</v>
      </c>
    </row>
    <row r="6881" spans="7:8" x14ac:dyDescent="0.3">
      <c r="G6881" s="78">
        <v>6878</v>
      </c>
      <c r="H6881">
        <f t="shared" ca="1" si="102"/>
        <v>8.2970603136056989E-3</v>
      </c>
    </row>
    <row r="6882" spans="7:8" x14ac:dyDescent="0.3">
      <c r="G6882" s="78">
        <v>6879</v>
      </c>
      <c r="H6882">
        <f t="shared" ca="1" si="102"/>
        <v>2.0447155395857532E-2</v>
      </c>
    </row>
    <row r="6883" spans="7:8" x14ac:dyDescent="0.3">
      <c r="G6883" s="78">
        <v>6880</v>
      </c>
      <c r="H6883">
        <f t="shared" ca="1" si="102"/>
        <v>2.0270328251441637E-3</v>
      </c>
    </row>
    <row r="6884" spans="7:8" x14ac:dyDescent="0.3">
      <c r="G6884" s="78">
        <v>6881</v>
      </c>
      <c r="H6884">
        <f t="shared" ca="1" si="102"/>
        <v>2.58855408362966E-2</v>
      </c>
    </row>
    <row r="6885" spans="7:8" x14ac:dyDescent="0.3">
      <c r="G6885" s="78">
        <v>6882</v>
      </c>
      <c r="H6885">
        <f t="shared" ca="1" si="102"/>
        <v>-3.5468619800286833E-3</v>
      </c>
    </row>
    <row r="6886" spans="7:8" x14ac:dyDescent="0.3">
      <c r="G6886" s="78">
        <v>6883</v>
      </c>
      <c r="H6886">
        <f t="shared" ca="1" si="102"/>
        <v>3.4003414190369237E-2</v>
      </c>
    </row>
    <row r="6887" spans="7:8" x14ac:dyDescent="0.3">
      <c r="G6887" s="78">
        <v>6884</v>
      </c>
      <c r="H6887">
        <f t="shared" ca="1" si="102"/>
        <v>2.6353368655680026E-2</v>
      </c>
    </row>
    <row r="6888" spans="7:8" x14ac:dyDescent="0.3">
      <c r="G6888" s="78">
        <v>6885</v>
      </c>
      <c r="H6888">
        <f t="shared" ca="1" si="102"/>
        <v>2.4065006538899914E-2</v>
      </c>
    </row>
    <row r="6889" spans="7:8" x14ac:dyDescent="0.3">
      <c r="G6889" s="78">
        <v>6886</v>
      </c>
      <c r="H6889">
        <f t="shared" ca="1" si="102"/>
        <v>-9.272354722294561E-3</v>
      </c>
    </row>
    <row r="6890" spans="7:8" x14ac:dyDescent="0.3">
      <c r="G6890" s="78">
        <v>6887</v>
      </c>
      <c r="H6890">
        <f t="shared" ca="1" si="102"/>
        <v>-1.4776438831005477E-2</v>
      </c>
    </row>
    <row r="6891" spans="7:8" x14ac:dyDescent="0.3">
      <c r="G6891" s="78">
        <v>6888</v>
      </c>
      <c r="H6891">
        <f t="shared" ca="1" si="102"/>
        <v>1.2861692778722119E-2</v>
      </c>
    </row>
    <row r="6892" spans="7:8" x14ac:dyDescent="0.3">
      <c r="G6892" s="78">
        <v>6889</v>
      </c>
      <c r="H6892">
        <f t="shared" ca="1" si="102"/>
        <v>-4.2475838666817686E-2</v>
      </c>
    </row>
    <row r="6893" spans="7:8" x14ac:dyDescent="0.3">
      <c r="G6893" s="78">
        <v>6890</v>
      </c>
      <c r="H6893">
        <f t="shared" ca="1" si="102"/>
        <v>-3.3365777431735223E-2</v>
      </c>
    </row>
    <row r="6894" spans="7:8" x14ac:dyDescent="0.3">
      <c r="G6894" s="78">
        <v>6891</v>
      </c>
      <c r="H6894">
        <f t="shared" ca="1" si="102"/>
        <v>4.5965205280641276E-2</v>
      </c>
    </row>
    <row r="6895" spans="7:8" x14ac:dyDescent="0.3">
      <c r="G6895" s="78">
        <v>6892</v>
      </c>
      <c r="H6895">
        <f t="shared" ca="1" si="102"/>
        <v>8.7369171655379777E-3</v>
      </c>
    </row>
    <row r="6896" spans="7:8" x14ac:dyDescent="0.3">
      <c r="G6896" s="78">
        <v>6893</v>
      </c>
      <c r="H6896">
        <f t="shared" ca="1" si="102"/>
        <v>-2.9491886575745193E-3</v>
      </c>
    </row>
    <row r="6897" spans="7:8" x14ac:dyDescent="0.3">
      <c r="G6897" s="78">
        <v>6894</v>
      </c>
      <c r="H6897">
        <f t="shared" ca="1" si="102"/>
        <v>-4.3632936158379404E-3</v>
      </c>
    </row>
    <row r="6898" spans="7:8" x14ac:dyDescent="0.3">
      <c r="G6898" s="78">
        <v>6895</v>
      </c>
      <c r="H6898">
        <f t="shared" ca="1" si="102"/>
        <v>5.983290026217989E-2</v>
      </c>
    </row>
    <row r="6899" spans="7:8" x14ac:dyDescent="0.3">
      <c r="G6899" s="78">
        <v>6896</v>
      </c>
      <c r="H6899">
        <f t="shared" ca="1" si="102"/>
        <v>1.1275474490616675E-2</v>
      </c>
    </row>
    <row r="6900" spans="7:8" x14ac:dyDescent="0.3">
      <c r="G6900" s="78">
        <v>6897</v>
      </c>
      <c r="H6900">
        <f t="shared" ca="1" si="102"/>
        <v>-2.7653098735976817E-3</v>
      </c>
    </row>
    <row r="6901" spans="7:8" x14ac:dyDescent="0.3">
      <c r="G6901" s="78">
        <v>6898</v>
      </c>
      <c r="H6901">
        <f t="shared" ca="1" si="102"/>
        <v>2.1631544490241721E-2</v>
      </c>
    </row>
    <row r="6902" spans="7:8" x14ac:dyDescent="0.3">
      <c r="G6902" s="78">
        <v>6899</v>
      </c>
      <c r="H6902">
        <f t="shared" ca="1" si="102"/>
        <v>2.5595316592714187E-2</v>
      </c>
    </row>
    <row r="6903" spans="7:8" x14ac:dyDescent="0.3">
      <c r="G6903" s="78">
        <v>6900</v>
      </c>
      <c r="H6903">
        <f t="shared" ca="1" si="102"/>
        <v>1.584054309694417E-2</v>
      </c>
    </row>
    <row r="6904" spans="7:8" x14ac:dyDescent="0.3">
      <c r="G6904" s="78">
        <v>6901</v>
      </c>
      <c r="H6904">
        <f t="shared" ca="1" si="102"/>
        <v>5.0161763236824487E-3</v>
      </c>
    </row>
    <row r="6905" spans="7:8" x14ac:dyDescent="0.3">
      <c r="G6905" s="78">
        <v>6902</v>
      </c>
      <c r="H6905">
        <f t="shared" ca="1" si="102"/>
        <v>-3.8973648836944895E-3</v>
      </c>
    </row>
    <row r="6906" spans="7:8" x14ac:dyDescent="0.3">
      <c r="G6906" s="78">
        <v>6903</v>
      </c>
      <c r="H6906">
        <f t="shared" ca="1" si="102"/>
        <v>-8.3814700295472265E-4</v>
      </c>
    </row>
    <row r="6907" spans="7:8" x14ac:dyDescent="0.3">
      <c r="G6907" s="78">
        <v>6904</v>
      </c>
      <c r="H6907">
        <f t="shared" ca="1" si="102"/>
        <v>-4.2350152578398803E-2</v>
      </c>
    </row>
    <row r="6908" spans="7:8" x14ac:dyDescent="0.3">
      <c r="G6908" s="78">
        <v>6905</v>
      </c>
      <c r="H6908">
        <f t="shared" ca="1" si="102"/>
        <v>-1.2974392015552932E-2</v>
      </c>
    </row>
    <row r="6909" spans="7:8" x14ac:dyDescent="0.3">
      <c r="G6909" s="78">
        <v>6906</v>
      </c>
      <c r="H6909">
        <f t="shared" ca="1" si="102"/>
        <v>-4.3606225316182835E-2</v>
      </c>
    </row>
    <row r="6910" spans="7:8" x14ac:dyDescent="0.3">
      <c r="G6910" s="78">
        <v>6907</v>
      </c>
      <c r="H6910">
        <f t="shared" ca="1" si="102"/>
        <v>-3.7727259380737024E-2</v>
      </c>
    </row>
    <row r="6911" spans="7:8" x14ac:dyDescent="0.3">
      <c r="G6911" s="78">
        <v>6908</v>
      </c>
      <c r="H6911">
        <f t="shared" ca="1" si="102"/>
        <v>-2.2188171592301551E-2</v>
      </c>
    </row>
    <row r="6912" spans="7:8" x14ac:dyDescent="0.3">
      <c r="G6912" s="78">
        <v>6909</v>
      </c>
      <c r="H6912">
        <f t="shared" ca="1" si="102"/>
        <v>-3.5492839971944114E-2</v>
      </c>
    </row>
    <row r="6913" spans="7:8" x14ac:dyDescent="0.3">
      <c r="G6913" s="78">
        <v>6910</v>
      </c>
      <c r="H6913">
        <f t="shared" ca="1" si="102"/>
        <v>9.6458961375145511E-3</v>
      </c>
    </row>
    <row r="6914" spans="7:8" x14ac:dyDescent="0.3">
      <c r="G6914" s="78">
        <v>6911</v>
      </c>
      <c r="H6914">
        <f t="shared" ca="1" si="102"/>
        <v>-2.1493640821779295E-2</v>
      </c>
    </row>
    <row r="6915" spans="7:8" x14ac:dyDescent="0.3">
      <c r="G6915" s="78">
        <v>6912</v>
      </c>
      <c r="H6915">
        <f t="shared" ca="1" si="102"/>
        <v>1.8165624090364731E-2</v>
      </c>
    </row>
    <row r="6916" spans="7:8" x14ac:dyDescent="0.3">
      <c r="G6916" s="78">
        <v>6913</v>
      </c>
      <c r="H6916">
        <f t="shared" ref="H6916:H6979" ca="1" si="103">_xlfn.NORM.INV(RAND(),$N$4,$N$5)</f>
        <v>-1.8290807786151081E-2</v>
      </c>
    </row>
    <row r="6917" spans="7:8" x14ac:dyDescent="0.3">
      <c r="G6917" s="78">
        <v>6914</v>
      </c>
      <c r="H6917">
        <f t="shared" ca="1" si="103"/>
        <v>4.6531961247439097E-3</v>
      </c>
    </row>
    <row r="6918" spans="7:8" x14ac:dyDescent="0.3">
      <c r="G6918" s="78">
        <v>6915</v>
      </c>
      <c r="H6918">
        <f t="shared" ca="1" si="103"/>
        <v>1.054015931748316E-2</v>
      </c>
    </row>
    <row r="6919" spans="7:8" x14ac:dyDescent="0.3">
      <c r="G6919" s="78">
        <v>6916</v>
      </c>
      <c r="H6919">
        <f t="shared" ca="1" si="103"/>
        <v>1.055480968002467E-2</v>
      </c>
    </row>
    <row r="6920" spans="7:8" x14ac:dyDescent="0.3">
      <c r="G6920" s="78">
        <v>6917</v>
      </c>
      <c r="H6920">
        <f t="shared" ca="1" si="103"/>
        <v>5.5729001534427967E-4</v>
      </c>
    </row>
    <row r="6921" spans="7:8" x14ac:dyDescent="0.3">
      <c r="G6921" s="78">
        <v>6918</v>
      </c>
      <c r="H6921">
        <f t="shared" ca="1" si="103"/>
        <v>1.6976361361497418E-2</v>
      </c>
    </row>
    <row r="6922" spans="7:8" x14ac:dyDescent="0.3">
      <c r="G6922" s="78">
        <v>6919</v>
      </c>
      <c r="H6922">
        <f t="shared" ca="1" si="103"/>
        <v>2.7010527132665392E-2</v>
      </c>
    </row>
    <row r="6923" spans="7:8" x14ac:dyDescent="0.3">
      <c r="G6923" s="78">
        <v>6920</v>
      </c>
      <c r="H6923">
        <f t="shared" ca="1" si="103"/>
        <v>8.3407812615905498E-3</v>
      </c>
    </row>
    <row r="6924" spans="7:8" x14ac:dyDescent="0.3">
      <c r="G6924" s="78">
        <v>6921</v>
      </c>
      <c r="H6924">
        <f t="shared" ca="1" si="103"/>
        <v>-1.3821896445877604E-2</v>
      </c>
    </row>
    <row r="6925" spans="7:8" x14ac:dyDescent="0.3">
      <c r="G6925" s="78">
        <v>6922</v>
      </c>
      <c r="H6925">
        <f t="shared" ca="1" si="103"/>
        <v>-1.8426347191851277E-2</v>
      </c>
    </row>
    <row r="6926" spans="7:8" x14ac:dyDescent="0.3">
      <c r="G6926" s="78">
        <v>6923</v>
      </c>
      <c r="H6926">
        <f t="shared" ca="1" si="103"/>
        <v>9.6564839263460294E-4</v>
      </c>
    </row>
    <row r="6927" spans="7:8" x14ac:dyDescent="0.3">
      <c r="G6927" s="78">
        <v>6924</v>
      </c>
      <c r="H6927">
        <f t="shared" ca="1" si="103"/>
        <v>3.6330498155807559E-3</v>
      </c>
    </row>
    <row r="6928" spans="7:8" x14ac:dyDescent="0.3">
      <c r="G6928" s="78">
        <v>6925</v>
      </c>
      <c r="H6928">
        <f t="shared" ca="1" si="103"/>
        <v>2.6869559182481143E-2</v>
      </c>
    </row>
    <row r="6929" spans="7:8" x14ac:dyDescent="0.3">
      <c r="G6929" s="78">
        <v>6926</v>
      </c>
      <c r="H6929">
        <f t="shared" ca="1" si="103"/>
        <v>-2.2093645936854259E-2</v>
      </c>
    </row>
    <row r="6930" spans="7:8" x14ac:dyDescent="0.3">
      <c r="G6930" s="78">
        <v>6927</v>
      </c>
      <c r="H6930">
        <f t="shared" ca="1" si="103"/>
        <v>-6.7742232071643224E-3</v>
      </c>
    </row>
    <row r="6931" spans="7:8" x14ac:dyDescent="0.3">
      <c r="G6931" s="78">
        <v>6928</v>
      </c>
      <c r="H6931">
        <f t="shared" ca="1" si="103"/>
        <v>-3.4526589427187185E-2</v>
      </c>
    </row>
    <row r="6932" spans="7:8" x14ac:dyDescent="0.3">
      <c r="G6932" s="78">
        <v>6929</v>
      </c>
      <c r="H6932">
        <f t="shared" ca="1" si="103"/>
        <v>1.6362822383203537E-2</v>
      </c>
    </row>
    <row r="6933" spans="7:8" x14ac:dyDescent="0.3">
      <c r="G6933" s="78">
        <v>6930</v>
      </c>
      <c r="H6933">
        <f t="shared" ca="1" si="103"/>
        <v>-4.477869945515584E-3</v>
      </c>
    </row>
    <row r="6934" spans="7:8" x14ac:dyDescent="0.3">
      <c r="G6934" s="78">
        <v>6931</v>
      </c>
      <c r="H6934">
        <f t="shared" ca="1" si="103"/>
        <v>-9.3339236475448416E-3</v>
      </c>
    </row>
    <row r="6935" spans="7:8" x14ac:dyDescent="0.3">
      <c r="G6935" s="78">
        <v>6932</v>
      </c>
      <c r="H6935">
        <f t="shared" ca="1" si="103"/>
        <v>1.7358614322848822E-2</v>
      </c>
    </row>
    <row r="6936" spans="7:8" x14ac:dyDescent="0.3">
      <c r="G6936" s="78">
        <v>6933</v>
      </c>
      <c r="H6936">
        <f t="shared" ca="1" si="103"/>
        <v>8.1689450589983968E-3</v>
      </c>
    </row>
    <row r="6937" spans="7:8" x14ac:dyDescent="0.3">
      <c r="G6937" s="78">
        <v>6934</v>
      </c>
      <c r="H6937">
        <f t="shared" ca="1" si="103"/>
        <v>4.2662999159538501E-2</v>
      </c>
    </row>
    <row r="6938" spans="7:8" x14ac:dyDescent="0.3">
      <c r="G6938" s="78">
        <v>6935</v>
      </c>
      <c r="H6938">
        <f t="shared" ca="1" si="103"/>
        <v>-6.9890219828818182E-3</v>
      </c>
    </row>
    <row r="6939" spans="7:8" x14ac:dyDescent="0.3">
      <c r="G6939" s="78">
        <v>6936</v>
      </c>
      <c r="H6939">
        <f t="shared" ca="1" si="103"/>
        <v>-3.4700500879555056E-2</v>
      </c>
    </row>
    <row r="6940" spans="7:8" x14ac:dyDescent="0.3">
      <c r="G6940" s="78">
        <v>6937</v>
      </c>
      <c r="H6940">
        <f t="shared" ca="1" si="103"/>
        <v>1.922069570291772E-2</v>
      </c>
    </row>
    <row r="6941" spans="7:8" x14ac:dyDescent="0.3">
      <c r="G6941" s="78">
        <v>6938</v>
      </c>
      <c r="H6941">
        <f t="shared" ca="1" si="103"/>
        <v>1.0206798576802711E-2</v>
      </c>
    </row>
    <row r="6942" spans="7:8" x14ac:dyDescent="0.3">
      <c r="G6942" s="78">
        <v>6939</v>
      </c>
      <c r="H6942">
        <f t="shared" ca="1" si="103"/>
        <v>1.6014935611364536E-2</v>
      </c>
    </row>
    <row r="6943" spans="7:8" x14ac:dyDescent="0.3">
      <c r="G6943" s="78">
        <v>6940</v>
      </c>
      <c r="H6943">
        <f t="shared" ca="1" si="103"/>
        <v>3.476994687091594E-2</v>
      </c>
    </row>
    <row r="6944" spans="7:8" x14ac:dyDescent="0.3">
      <c r="G6944" s="78">
        <v>6941</v>
      </c>
      <c r="H6944">
        <f t="shared" ca="1" si="103"/>
        <v>1.7884844620999572E-3</v>
      </c>
    </row>
    <row r="6945" spans="7:8" x14ac:dyDescent="0.3">
      <c r="G6945" s="78">
        <v>6942</v>
      </c>
      <c r="H6945">
        <f t="shared" ca="1" si="103"/>
        <v>1.2572001021429961E-2</v>
      </c>
    </row>
    <row r="6946" spans="7:8" x14ac:dyDescent="0.3">
      <c r="G6946" s="78">
        <v>6943</v>
      </c>
      <c r="H6946">
        <f t="shared" ca="1" si="103"/>
        <v>-1.2466369729063473E-2</v>
      </c>
    </row>
    <row r="6947" spans="7:8" x14ac:dyDescent="0.3">
      <c r="G6947" s="78">
        <v>6944</v>
      </c>
      <c r="H6947">
        <f t="shared" ca="1" si="103"/>
        <v>6.6476387172520876E-3</v>
      </c>
    </row>
    <row r="6948" spans="7:8" x14ac:dyDescent="0.3">
      <c r="G6948" s="78">
        <v>6945</v>
      </c>
      <c r="H6948">
        <f t="shared" ca="1" si="103"/>
        <v>1.5355018769150828E-2</v>
      </c>
    </row>
    <row r="6949" spans="7:8" x14ac:dyDescent="0.3">
      <c r="G6949" s="78">
        <v>6946</v>
      </c>
      <c r="H6949">
        <f t="shared" ca="1" si="103"/>
        <v>9.9347116975577361E-3</v>
      </c>
    </row>
    <row r="6950" spans="7:8" x14ac:dyDescent="0.3">
      <c r="G6950" s="78">
        <v>6947</v>
      </c>
      <c r="H6950">
        <f t="shared" ca="1" si="103"/>
        <v>-5.5416830986210468E-2</v>
      </c>
    </row>
    <row r="6951" spans="7:8" x14ac:dyDescent="0.3">
      <c r="G6951" s="78">
        <v>6948</v>
      </c>
      <c r="H6951">
        <f t="shared" ca="1" si="103"/>
        <v>-5.1524714040129494E-3</v>
      </c>
    </row>
    <row r="6952" spans="7:8" x14ac:dyDescent="0.3">
      <c r="G6952" s="78">
        <v>6949</v>
      </c>
      <c r="H6952">
        <f t="shared" ca="1" si="103"/>
        <v>-1.5858795843407075E-2</v>
      </c>
    </row>
    <row r="6953" spans="7:8" x14ac:dyDescent="0.3">
      <c r="G6953" s="78">
        <v>6950</v>
      </c>
      <c r="H6953">
        <f t="shared" ca="1" si="103"/>
        <v>-1.5091946757207817E-2</v>
      </c>
    </row>
    <row r="6954" spans="7:8" x14ac:dyDescent="0.3">
      <c r="G6954" s="78">
        <v>6951</v>
      </c>
      <c r="H6954">
        <f t="shared" ca="1" si="103"/>
        <v>1.4873808816965419E-2</v>
      </c>
    </row>
    <row r="6955" spans="7:8" x14ac:dyDescent="0.3">
      <c r="G6955" s="78">
        <v>6952</v>
      </c>
      <c r="H6955">
        <f t="shared" ca="1" si="103"/>
        <v>2.3150279034292922E-2</v>
      </c>
    </row>
    <row r="6956" spans="7:8" x14ac:dyDescent="0.3">
      <c r="G6956" s="78">
        <v>6953</v>
      </c>
      <c r="H6956">
        <f t="shared" ca="1" si="103"/>
        <v>6.6967727219454185E-3</v>
      </c>
    </row>
    <row r="6957" spans="7:8" x14ac:dyDescent="0.3">
      <c r="G6957" s="78">
        <v>6954</v>
      </c>
      <c r="H6957">
        <f t="shared" ca="1" si="103"/>
        <v>-1.6460924368901259E-2</v>
      </c>
    </row>
    <row r="6958" spans="7:8" x14ac:dyDescent="0.3">
      <c r="G6958" s="78">
        <v>6955</v>
      </c>
      <c r="H6958">
        <f t="shared" ca="1" si="103"/>
        <v>1.2305381137667152E-3</v>
      </c>
    </row>
    <row r="6959" spans="7:8" x14ac:dyDescent="0.3">
      <c r="G6959" s="78">
        <v>6956</v>
      </c>
      <c r="H6959">
        <f t="shared" ca="1" si="103"/>
        <v>9.2235247659713717E-3</v>
      </c>
    </row>
    <row r="6960" spans="7:8" x14ac:dyDescent="0.3">
      <c r="G6960" s="78">
        <v>6957</v>
      </c>
      <c r="H6960">
        <f t="shared" ca="1" si="103"/>
        <v>3.8930485425658905E-2</v>
      </c>
    </row>
    <row r="6961" spans="7:8" x14ac:dyDescent="0.3">
      <c r="G6961" s="78">
        <v>6958</v>
      </c>
      <c r="H6961">
        <f t="shared" ca="1" si="103"/>
        <v>-1.359051182594574E-2</v>
      </c>
    </row>
    <row r="6962" spans="7:8" x14ac:dyDescent="0.3">
      <c r="G6962" s="78">
        <v>6959</v>
      </c>
      <c r="H6962">
        <f t="shared" ca="1" si="103"/>
        <v>1.9609057604316586E-2</v>
      </c>
    </row>
    <row r="6963" spans="7:8" x14ac:dyDescent="0.3">
      <c r="G6963" s="78">
        <v>6960</v>
      </c>
      <c r="H6963">
        <f t="shared" ca="1" si="103"/>
        <v>-1.738747843162413E-2</v>
      </c>
    </row>
    <row r="6964" spans="7:8" x14ac:dyDescent="0.3">
      <c r="G6964" s="78">
        <v>6961</v>
      </c>
      <c r="H6964">
        <f t="shared" ca="1" si="103"/>
        <v>-1.0158820431594096E-2</v>
      </c>
    </row>
    <row r="6965" spans="7:8" x14ac:dyDescent="0.3">
      <c r="G6965" s="78">
        <v>6962</v>
      </c>
      <c r="H6965">
        <f t="shared" ca="1" si="103"/>
        <v>2.8222353739609924E-2</v>
      </c>
    </row>
    <row r="6966" spans="7:8" x14ac:dyDescent="0.3">
      <c r="G6966" s="78">
        <v>6963</v>
      </c>
      <c r="H6966">
        <f t="shared" ca="1" si="103"/>
        <v>4.7289944721455781E-3</v>
      </c>
    </row>
    <row r="6967" spans="7:8" x14ac:dyDescent="0.3">
      <c r="G6967" s="78">
        <v>6964</v>
      </c>
      <c r="H6967">
        <f t="shared" ca="1" si="103"/>
        <v>-2.1175380118124754E-2</v>
      </c>
    </row>
    <row r="6968" spans="7:8" x14ac:dyDescent="0.3">
      <c r="G6968" s="78">
        <v>6965</v>
      </c>
      <c r="H6968">
        <f t="shared" ca="1" si="103"/>
        <v>1.3748166910815204E-2</v>
      </c>
    </row>
    <row r="6969" spans="7:8" x14ac:dyDescent="0.3">
      <c r="G6969" s="78">
        <v>6966</v>
      </c>
      <c r="H6969">
        <f t="shared" ca="1" si="103"/>
        <v>3.8437659592538568E-3</v>
      </c>
    </row>
    <row r="6970" spans="7:8" x14ac:dyDescent="0.3">
      <c r="G6970" s="78">
        <v>6967</v>
      </c>
      <c r="H6970">
        <f t="shared" ca="1" si="103"/>
        <v>2.1085456199038937E-2</v>
      </c>
    </row>
    <row r="6971" spans="7:8" x14ac:dyDescent="0.3">
      <c r="G6971" s="78">
        <v>6968</v>
      </c>
      <c r="H6971">
        <f t="shared" ca="1" si="103"/>
        <v>1.9316360260013238E-2</v>
      </c>
    </row>
    <row r="6972" spans="7:8" x14ac:dyDescent="0.3">
      <c r="G6972" s="78">
        <v>6969</v>
      </c>
      <c r="H6972">
        <f t="shared" ca="1" si="103"/>
        <v>1.6569616219392402E-2</v>
      </c>
    </row>
    <row r="6973" spans="7:8" x14ac:dyDescent="0.3">
      <c r="G6973" s="78">
        <v>6970</v>
      </c>
      <c r="H6973">
        <f t="shared" ca="1" si="103"/>
        <v>1.780590524838629E-4</v>
      </c>
    </row>
    <row r="6974" spans="7:8" x14ac:dyDescent="0.3">
      <c r="G6974" s="78">
        <v>6971</v>
      </c>
      <c r="H6974">
        <f t="shared" ca="1" si="103"/>
        <v>6.9539660838786627E-2</v>
      </c>
    </row>
    <row r="6975" spans="7:8" x14ac:dyDescent="0.3">
      <c r="G6975" s="78">
        <v>6972</v>
      </c>
      <c r="H6975">
        <f t="shared" ca="1" si="103"/>
        <v>-1.504393046181929E-2</v>
      </c>
    </row>
    <row r="6976" spans="7:8" x14ac:dyDescent="0.3">
      <c r="G6976" s="78">
        <v>6973</v>
      </c>
      <c r="H6976">
        <f t="shared" ca="1" si="103"/>
        <v>-3.6269132923052443E-2</v>
      </c>
    </row>
    <row r="6977" spans="7:8" x14ac:dyDescent="0.3">
      <c r="G6977" s="78">
        <v>6974</v>
      </c>
      <c r="H6977">
        <f t="shared" ca="1" si="103"/>
        <v>7.1624387673355243E-3</v>
      </c>
    </row>
    <row r="6978" spans="7:8" x14ac:dyDescent="0.3">
      <c r="G6978" s="78">
        <v>6975</v>
      </c>
      <c r="H6978">
        <f t="shared" ca="1" si="103"/>
        <v>3.0141370904161555E-3</v>
      </c>
    </row>
    <row r="6979" spans="7:8" x14ac:dyDescent="0.3">
      <c r="G6979" s="78">
        <v>6976</v>
      </c>
      <c r="H6979">
        <f t="shared" ca="1" si="103"/>
        <v>1.4856950486248754E-2</v>
      </c>
    </row>
    <row r="6980" spans="7:8" x14ac:dyDescent="0.3">
      <c r="G6980" s="78">
        <v>6977</v>
      </c>
      <c r="H6980">
        <f t="shared" ref="H6980:H7043" ca="1" si="104">_xlfn.NORM.INV(RAND(),$N$4,$N$5)</f>
        <v>1.6202930365699222E-2</v>
      </c>
    </row>
    <row r="6981" spans="7:8" x14ac:dyDescent="0.3">
      <c r="G6981" s="78">
        <v>6978</v>
      </c>
      <c r="H6981">
        <f t="shared" ca="1" si="104"/>
        <v>-3.3065695942951896E-2</v>
      </c>
    </row>
    <row r="6982" spans="7:8" x14ac:dyDescent="0.3">
      <c r="G6982" s="78">
        <v>6979</v>
      </c>
      <c r="H6982">
        <f t="shared" ca="1" si="104"/>
        <v>-2.8293066518841848E-3</v>
      </c>
    </row>
    <row r="6983" spans="7:8" x14ac:dyDescent="0.3">
      <c r="G6983" s="78">
        <v>6980</v>
      </c>
      <c r="H6983">
        <f t="shared" ca="1" si="104"/>
        <v>2.5875915642447178E-2</v>
      </c>
    </row>
    <row r="6984" spans="7:8" x14ac:dyDescent="0.3">
      <c r="G6984" s="78">
        <v>6981</v>
      </c>
      <c r="H6984">
        <f t="shared" ca="1" si="104"/>
        <v>-1.1120845886715207E-2</v>
      </c>
    </row>
    <row r="6985" spans="7:8" x14ac:dyDescent="0.3">
      <c r="G6985" s="78">
        <v>6982</v>
      </c>
      <c r="H6985">
        <f t="shared" ca="1" si="104"/>
        <v>1.1828408319788953E-2</v>
      </c>
    </row>
    <row r="6986" spans="7:8" x14ac:dyDescent="0.3">
      <c r="G6986" s="78">
        <v>6983</v>
      </c>
      <c r="H6986">
        <f t="shared" ca="1" si="104"/>
        <v>3.144389783237556E-3</v>
      </c>
    </row>
    <row r="6987" spans="7:8" x14ac:dyDescent="0.3">
      <c r="G6987" s="78">
        <v>6984</v>
      </c>
      <c r="H6987">
        <f t="shared" ca="1" si="104"/>
        <v>1.5822772180986565E-2</v>
      </c>
    </row>
    <row r="6988" spans="7:8" x14ac:dyDescent="0.3">
      <c r="G6988" s="78">
        <v>6985</v>
      </c>
      <c r="H6988">
        <f t="shared" ca="1" si="104"/>
        <v>2.9021809604251634E-2</v>
      </c>
    </row>
    <row r="6989" spans="7:8" x14ac:dyDescent="0.3">
      <c r="G6989" s="78">
        <v>6986</v>
      </c>
      <c r="H6989">
        <f t="shared" ca="1" si="104"/>
        <v>-1.0402417663891389E-3</v>
      </c>
    </row>
    <row r="6990" spans="7:8" x14ac:dyDescent="0.3">
      <c r="G6990" s="78">
        <v>6987</v>
      </c>
      <c r="H6990">
        <f t="shared" ca="1" si="104"/>
        <v>-7.1299711482927528E-3</v>
      </c>
    </row>
    <row r="6991" spans="7:8" x14ac:dyDescent="0.3">
      <c r="G6991" s="78">
        <v>6988</v>
      </c>
      <c r="H6991">
        <f t="shared" ca="1" si="104"/>
        <v>-2.4965040343327506E-2</v>
      </c>
    </row>
    <row r="6992" spans="7:8" x14ac:dyDescent="0.3">
      <c r="G6992" s="78">
        <v>6989</v>
      </c>
      <c r="H6992">
        <f t="shared" ca="1" si="104"/>
        <v>-3.2197438973585575E-2</v>
      </c>
    </row>
    <row r="6993" spans="7:8" x14ac:dyDescent="0.3">
      <c r="G6993" s="78">
        <v>6990</v>
      </c>
      <c r="H6993">
        <f t="shared" ca="1" si="104"/>
        <v>5.2225011963855979E-3</v>
      </c>
    </row>
    <row r="6994" spans="7:8" x14ac:dyDescent="0.3">
      <c r="G6994" s="78">
        <v>6991</v>
      </c>
      <c r="H6994">
        <f t="shared" ca="1" si="104"/>
        <v>2.2354456485359796E-2</v>
      </c>
    </row>
    <row r="6995" spans="7:8" x14ac:dyDescent="0.3">
      <c r="G6995" s="78">
        <v>6992</v>
      </c>
      <c r="H6995">
        <f t="shared" ca="1" si="104"/>
        <v>1.3919091487889354E-2</v>
      </c>
    </row>
    <row r="6996" spans="7:8" x14ac:dyDescent="0.3">
      <c r="G6996" s="78">
        <v>6993</v>
      </c>
      <c r="H6996">
        <f t="shared" ca="1" si="104"/>
        <v>-5.4262948807311372E-3</v>
      </c>
    </row>
    <row r="6997" spans="7:8" x14ac:dyDescent="0.3">
      <c r="G6997" s="78">
        <v>6994</v>
      </c>
      <c r="H6997">
        <f t="shared" ca="1" si="104"/>
        <v>-1.7700423298642659E-2</v>
      </c>
    </row>
    <row r="6998" spans="7:8" x14ac:dyDescent="0.3">
      <c r="G6998" s="78">
        <v>6995</v>
      </c>
      <c r="H6998">
        <f t="shared" ca="1" si="104"/>
        <v>2.3186914365036396E-3</v>
      </c>
    </row>
    <row r="6999" spans="7:8" x14ac:dyDescent="0.3">
      <c r="G6999" s="78">
        <v>6996</v>
      </c>
      <c r="H6999">
        <f t="shared" ca="1" si="104"/>
        <v>2.9235942381327863E-2</v>
      </c>
    </row>
    <row r="7000" spans="7:8" x14ac:dyDescent="0.3">
      <c r="G7000" s="78">
        <v>6997</v>
      </c>
      <c r="H7000">
        <f t="shared" ca="1" si="104"/>
        <v>-1.5512542389368127E-2</v>
      </c>
    </row>
    <row r="7001" spans="7:8" x14ac:dyDescent="0.3">
      <c r="G7001" s="78">
        <v>6998</v>
      </c>
      <c r="H7001">
        <f t="shared" ca="1" si="104"/>
        <v>1.3175001689105277E-2</v>
      </c>
    </row>
    <row r="7002" spans="7:8" x14ac:dyDescent="0.3">
      <c r="G7002" s="78">
        <v>6999</v>
      </c>
      <c r="H7002">
        <f t="shared" ca="1" si="104"/>
        <v>5.704954680831837E-3</v>
      </c>
    </row>
    <row r="7003" spans="7:8" x14ac:dyDescent="0.3">
      <c r="G7003" s="78">
        <v>7000</v>
      </c>
      <c r="H7003">
        <f t="shared" ca="1" si="104"/>
        <v>-2.0680597679514955E-3</v>
      </c>
    </row>
    <row r="7004" spans="7:8" x14ac:dyDescent="0.3">
      <c r="G7004" s="78">
        <v>7001</v>
      </c>
      <c r="H7004">
        <f t="shared" ca="1" si="104"/>
        <v>-1.932488993108842E-2</v>
      </c>
    </row>
    <row r="7005" spans="7:8" x14ac:dyDescent="0.3">
      <c r="G7005" s="78">
        <v>7002</v>
      </c>
      <c r="H7005">
        <f t="shared" ca="1" si="104"/>
        <v>-2.1065389091611372E-2</v>
      </c>
    </row>
    <row r="7006" spans="7:8" x14ac:dyDescent="0.3">
      <c r="G7006" s="78">
        <v>7003</v>
      </c>
      <c r="H7006">
        <f t="shared" ca="1" si="104"/>
        <v>-2.7714450999553913E-2</v>
      </c>
    </row>
    <row r="7007" spans="7:8" x14ac:dyDescent="0.3">
      <c r="G7007" s="78">
        <v>7004</v>
      </c>
      <c r="H7007">
        <f t="shared" ca="1" si="104"/>
        <v>-1.0520184469525996E-2</v>
      </c>
    </row>
    <row r="7008" spans="7:8" x14ac:dyDescent="0.3">
      <c r="G7008" s="78">
        <v>7005</v>
      </c>
      <c r="H7008">
        <f t="shared" ca="1" si="104"/>
        <v>4.4755622985248426E-3</v>
      </c>
    </row>
    <row r="7009" spans="7:8" x14ac:dyDescent="0.3">
      <c r="G7009" s="78">
        <v>7006</v>
      </c>
      <c r="H7009">
        <f t="shared" ca="1" si="104"/>
        <v>-1.6705382462543064E-2</v>
      </c>
    </row>
    <row r="7010" spans="7:8" x14ac:dyDescent="0.3">
      <c r="G7010" s="78">
        <v>7007</v>
      </c>
      <c r="H7010">
        <f t="shared" ca="1" si="104"/>
        <v>-2.5135510406805494E-3</v>
      </c>
    </row>
    <row r="7011" spans="7:8" x14ac:dyDescent="0.3">
      <c r="G7011" s="78">
        <v>7008</v>
      </c>
      <c r="H7011">
        <f t="shared" ca="1" si="104"/>
        <v>1.6923400910513042E-2</v>
      </c>
    </row>
    <row r="7012" spans="7:8" x14ac:dyDescent="0.3">
      <c r="G7012" s="78">
        <v>7009</v>
      </c>
      <c r="H7012">
        <f t="shared" ca="1" si="104"/>
        <v>-8.4410795567133792E-3</v>
      </c>
    </row>
    <row r="7013" spans="7:8" x14ac:dyDescent="0.3">
      <c r="G7013" s="78">
        <v>7010</v>
      </c>
      <c r="H7013">
        <f t="shared" ca="1" si="104"/>
        <v>3.5623032055938121E-3</v>
      </c>
    </row>
    <row r="7014" spans="7:8" x14ac:dyDescent="0.3">
      <c r="G7014" s="78">
        <v>7011</v>
      </c>
      <c r="H7014">
        <f t="shared" ca="1" si="104"/>
        <v>3.5280637476426312E-2</v>
      </c>
    </row>
    <row r="7015" spans="7:8" x14ac:dyDescent="0.3">
      <c r="G7015" s="78">
        <v>7012</v>
      </c>
      <c r="H7015">
        <f t="shared" ca="1" si="104"/>
        <v>-4.2205210431423258E-2</v>
      </c>
    </row>
    <row r="7016" spans="7:8" x14ac:dyDescent="0.3">
      <c r="G7016" s="78">
        <v>7013</v>
      </c>
      <c r="H7016">
        <f t="shared" ca="1" si="104"/>
        <v>1.0301753137996908E-2</v>
      </c>
    </row>
    <row r="7017" spans="7:8" x14ac:dyDescent="0.3">
      <c r="G7017" s="78">
        <v>7014</v>
      </c>
      <c r="H7017">
        <f t="shared" ca="1" si="104"/>
        <v>-1.0634621216286683E-2</v>
      </c>
    </row>
    <row r="7018" spans="7:8" x14ac:dyDescent="0.3">
      <c r="G7018" s="78">
        <v>7015</v>
      </c>
      <c r="H7018">
        <f t="shared" ca="1" si="104"/>
        <v>7.7138488574713254E-3</v>
      </c>
    </row>
    <row r="7019" spans="7:8" x14ac:dyDescent="0.3">
      <c r="G7019" s="78">
        <v>7016</v>
      </c>
      <c r="H7019">
        <f t="shared" ca="1" si="104"/>
        <v>4.7613653382665953E-3</v>
      </c>
    </row>
    <row r="7020" spans="7:8" x14ac:dyDescent="0.3">
      <c r="G7020" s="78">
        <v>7017</v>
      </c>
      <c r="H7020">
        <f t="shared" ca="1" si="104"/>
        <v>-2.1577731993459782E-2</v>
      </c>
    </row>
    <row r="7021" spans="7:8" x14ac:dyDescent="0.3">
      <c r="G7021" s="78">
        <v>7018</v>
      </c>
      <c r="H7021">
        <f t="shared" ca="1" si="104"/>
        <v>2.675138364544084E-2</v>
      </c>
    </row>
    <row r="7022" spans="7:8" x14ac:dyDescent="0.3">
      <c r="G7022" s="78">
        <v>7019</v>
      </c>
      <c r="H7022">
        <f t="shared" ca="1" si="104"/>
        <v>-3.2440525523071459E-2</v>
      </c>
    </row>
    <row r="7023" spans="7:8" x14ac:dyDescent="0.3">
      <c r="G7023" s="78">
        <v>7020</v>
      </c>
      <c r="H7023">
        <f t="shared" ca="1" si="104"/>
        <v>7.2079563939880367E-2</v>
      </c>
    </row>
    <row r="7024" spans="7:8" x14ac:dyDescent="0.3">
      <c r="G7024" s="78">
        <v>7021</v>
      </c>
      <c r="H7024">
        <f t="shared" ca="1" si="104"/>
        <v>2.216876786829582E-2</v>
      </c>
    </row>
    <row r="7025" spans="7:8" x14ac:dyDescent="0.3">
      <c r="G7025" s="78">
        <v>7022</v>
      </c>
      <c r="H7025">
        <f t="shared" ca="1" si="104"/>
        <v>-3.8245903509247989E-3</v>
      </c>
    </row>
    <row r="7026" spans="7:8" x14ac:dyDescent="0.3">
      <c r="G7026" s="78">
        <v>7023</v>
      </c>
      <c r="H7026">
        <f t="shared" ca="1" si="104"/>
        <v>1.8129589299668906E-2</v>
      </c>
    </row>
    <row r="7027" spans="7:8" x14ac:dyDescent="0.3">
      <c r="G7027" s="78">
        <v>7024</v>
      </c>
      <c r="H7027">
        <f t="shared" ca="1" si="104"/>
        <v>-2.682993847507668E-2</v>
      </c>
    </row>
    <row r="7028" spans="7:8" x14ac:dyDescent="0.3">
      <c r="G7028" s="78">
        <v>7025</v>
      </c>
      <c r="H7028">
        <f t="shared" ca="1" si="104"/>
        <v>1.7233212657016796E-2</v>
      </c>
    </row>
    <row r="7029" spans="7:8" x14ac:dyDescent="0.3">
      <c r="G7029" s="78">
        <v>7026</v>
      </c>
      <c r="H7029">
        <f t="shared" ca="1" si="104"/>
        <v>2.7195293886891077E-2</v>
      </c>
    </row>
    <row r="7030" spans="7:8" x14ac:dyDescent="0.3">
      <c r="G7030" s="78">
        <v>7027</v>
      </c>
      <c r="H7030">
        <f t="shared" ca="1" si="104"/>
        <v>-3.6566472778769683E-2</v>
      </c>
    </row>
    <row r="7031" spans="7:8" x14ac:dyDescent="0.3">
      <c r="G7031" s="78">
        <v>7028</v>
      </c>
      <c r="H7031">
        <f t="shared" ca="1" si="104"/>
        <v>9.1329943906028836E-3</v>
      </c>
    </row>
    <row r="7032" spans="7:8" x14ac:dyDescent="0.3">
      <c r="G7032" s="78">
        <v>7029</v>
      </c>
      <c r="H7032">
        <f t="shared" ca="1" si="104"/>
        <v>-4.0748800837951613E-3</v>
      </c>
    </row>
    <row r="7033" spans="7:8" x14ac:dyDescent="0.3">
      <c r="G7033" s="78">
        <v>7030</v>
      </c>
      <c r="H7033">
        <f t="shared" ca="1" si="104"/>
        <v>1.2576045761004961E-2</v>
      </c>
    </row>
    <row r="7034" spans="7:8" x14ac:dyDescent="0.3">
      <c r="G7034" s="78">
        <v>7031</v>
      </c>
      <c r="H7034">
        <f t="shared" ca="1" si="104"/>
        <v>-8.0327350692359651E-3</v>
      </c>
    </row>
    <row r="7035" spans="7:8" x14ac:dyDescent="0.3">
      <c r="G7035" s="78">
        <v>7032</v>
      </c>
      <c r="H7035">
        <f t="shared" ca="1" si="104"/>
        <v>3.9369235348748321E-3</v>
      </c>
    </row>
    <row r="7036" spans="7:8" x14ac:dyDescent="0.3">
      <c r="G7036" s="78">
        <v>7033</v>
      </c>
      <c r="H7036">
        <f t="shared" ca="1" si="104"/>
        <v>3.3415177894357113E-2</v>
      </c>
    </row>
    <row r="7037" spans="7:8" x14ac:dyDescent="0.3">
      <c r="G7037" s="78">
        <v>7034</v>
      </c>
      <c r="H7037">
        <f t="shared" ca="1" si="104"/>
        <v>-4.1455666063779945E-3</v>
      </c>
    </row>
    <row r="7038" spans="7:8" x14ac:dyDescent="0.3">
      <c r="G7038" s="78">
        <v>7035</v>
      </c>
      <c r="H7038">
        <f t="shared" ca="1" si="104"/>
        <v>6.5897765035088356E-3</v>
      </c>
    </row>
    <row r="7039" spans="7:8" x14ac:dyDescent="0.3">
      <c r="G7039" s="78">
        <v>7036</v>
      </c>
      <c r="H7039">
        <f t="shared" ca="1" si="104"/>
        <v>6.2032603998436889E-3</v>
      </c>
    </row>
    <row r="7040" spans="7:8" x14ac:dyDescent="0.3">
      <c r="G7040" s="78">
        <v>7037</v>
      </c>
      <c r="H7040">
        <f t="shared" ca="1" si="104"/>
        <v>3.811887648882227E-2</v>
      </c>
    </row>
    <row r="7041" spans="7:8" x14ac:dyDescent="0.3">
      <c r="G7041" s="78">
        <v>7038</v>
      </c>
      <c r="H7041">
        <f t="shared" ca="1" si="104"/>
        <v>-1.1787790771995271E-2</v>
      </c>
    </row>
    <row r="7042" spans="7:8" x14ac:dyDescent="0.3">
      <c r="G7042" s="78">
        <v>7039</v>
      </c>
      <c r="H7042">
        <f t="shared" ca="1" si="104"/>
        <v>-1.605041567693492E-2</v>
      </c>
    </row>
    <row r="7043" spans="7:8" x14ac:dyDescent="0.3">
      <c r="G7043" s="78">
        <v>7040</v>
      </c>
      <c r="H7043">
        <f t="shared" ca="1" si="104"/>
        <v>3.6154214815392383E-2</v>
      </c>
    </row>
    <row r="7044" spans="7:8" x14ac:dyDescent="0.3">
      <c r="G7044" s="78">
        <v>7041</v>
      </c>
      <c r="H7044">
        <f t="shared" ref="H7044:H7107" ca="1" si="105">_xlfn.NORM.INV(RAND(),$N$4,$N$5)</f>
        <v>3.2600043825546619E-2</v>
      </c>
    </row>
    <row r="7045" spans="7:8" x14ac:dyDescent="0.3">
      <c r="G7045" s="78">
        <v>7042</v>
      </c>
      <c r="H7045">
        <f t="shared" ca="1" si="105"/>
        <v>1.3380522656312476E-3</v>
      </c>
    </row>
    <row r="7046" spans="7:8" x14ac:dyDescent="0.3">
      <c r="G7046" s="78">
        <v>7043</v>
      </c>
      <c r="H7046">
        <f t="shared" ca="1" si="105"/>
        <v>4.2282502095330785E-2</v>
      </c>
    </row>
    <row r="7047" spans="7:8" x14ac:dyDescent="0.3">
      <c r="G7047" s="78">
        <v>7044</v>
      </c>
      <c r="H7047">
        <f t="shared" ca="1" si="105"/>
        <v>1.8391527100949066E-2</v>
      </c>
    </row>
    <row r="7048" spans="7:8" x14ac:dyDescent="0.3">
      <c r="G7048" s="78">
        <v>7045</v>
      </c>
      <c r="H7048">
        <f t="shared" ca="1" si="105"/>
        <v>-6.4759637559804384E-3</v>
      </c>
    </row>
    <row r="7049" spans="7:8" x14ac:dyDescent="0.3">
      <c r="G7049" s="78">
        <v>7046</v>
      </c>
      <c r="H7049">
        <f t="shared" ca="1" si="105"/>
        <v>1.6829264150437024E-2</v>
      </c>
    </row>
    <row r="7050" spans="7:8" x14ac:dyDescent="0.3">
      <c r="G7050" s="78">
        <v>7047</v>
      </c>
      <c r="H7050">
        <f t="shared" ca="1" si="105"/>
        <v>-5.158901761004084E-3</v>
      </c>
    </row>
    <row r="7051" spans="7:8" x14ac:dyDescent="0.3">
      <c r="G7051" s="78">
        <v>7048</v>
      </c>
      <c r="H7051">
        <f t="shared" ca="1" si="105"/>
        <v>-3.6157053758525702E-2</v>
      </c>
    </row>
    <row r="7052" spans="7:8" x14ac:dyDescent="0.3">
      <c r="G7052" s="78">
        <v>7049</v>
      </c>
      <c r="H7052">
        <f t="shared" ca="1" si="105"/>
        <v>1.869821962130613E-2</v>
      </c>
    </row>
    <row r="7053" spans="7:8" x14ac:dyDescent="0.3">
      <c r="G7053" s="78">
        <v>7050</v>
      </c>
      <c r="H7053">
        <f t="shared" ca="1" si="105"/>
        <v>1.1488860133070588E-2</v>
      </c>
    </row>
    <row r="7054" spans="7:8" x14ac:dyDescent="0.3">
      <c r="G7054" s="78">
        <v>7051</v>
      </c>
      <c r="H7054">
        <f t="shared" ca="1" si="105"/>
        <v>1.4036878131827107E-3</v>
      </c>
    </row>
    <row r="7055" spans="7:8" x14ac:dyDescent="0.3">
      <c r="G7055" s="78">
        <v>7052</v>
      </c>
      <c r="H7055">
        <f t="shared" ca="1" si="105"/>
        <v>1.1320489390167107E-2</v>
      </c>
    </row>
    <row r="7056" spans="7:8" x14ac:dyDescent="0.3">
      <c r="G7056" s="78">
        <v>7053</v>
      </c>
      <c r="H7056">
        <f t="shared" ca="1" si="105"/>
        <v>4.0308377833757764E-3</v>
      </c>
    </row>
    <row r="7057" spans="7:8" x14ac:dyDescent="0.3">
      <c r="G7057" s="78">
        <v>7054</v>
      </c>
      <c r="H7057">
        <f t="shared" ca="1" si="105"/>
        <v>1.9432568573605931E-2</v>
      </c>
    </row>
    <row r="7058" spans="7:8" x14ac:dyDescent="0.3">
      <c r="G7058" s="78">
        <v>7055</v>
      </c>
      <c r="H7058">
        <f t="shared" ca="1" si="105"/>
        <v>3.0492950992435444E-2</v>
      </c>
    </row>
    <row r="7059" spans="7:8" x14ac:dyDescent="0.3">
      <c r="G7059" s="78">
        <v>7056</v>
      </c>
      <c r="H7059">
        <f t="shared" ca="1" si="105"/>
        <v>1.99865772882486E-2</v>
      </c>
    </row>
    <row r="7060" spans="7:8" x14ac:dyDescent="0.3">
      <c r="G7060" s="78">
        <v>7057</v>
      </c>
      <c r="H7060">
        <f t="shared" ca="1" si="105"/>
        <v>-1.0148868309770168E-2</v>
      </c>
    </row>
    <row r="7061" spans="7:8" x14ac:dyDescent="0.3">
      <c r="G7061" s="78">
        <v>7058</v>
      </c>
      <c r="H7061">
        <f t="shared" ca="1" si="105"/>
        <v>-5.3607808997266013E-2</v>
      </c>
    </row>
    <row r="7062" spans="7:8" x14ac:dyDescent="0.3">
      <c r="G7062" s="78">
        <v>7059</v>
      </c>
      <c r="H7062">
        <f t="shared" ca="1" si="105"/>
        <v>5.6721346976652621E-3</v>
      </c>
    </row>
    <row r="7063" spans="7:8" x14ac:dyDescent="0.3">
      <c r="G7063" s="78">
        <v>7060</v>
      </c>
      <c r="H7063">
        <f t="shared" ca="1" si="105"/>
        <v>-2.5677504032616504E-3</v>
      </c>
    </row>
    <row r="7064" spans="7:8" x14ac:dyDescent="0.3">
      <c r="G7064" s="78">
        <v>7061</v>
      </c>
      <c r="H7064">
        <f t="shared" ca="1" si="105"/>
        <v>2.7096453417003213E-2</v>
      </c>
    </row>
    <row r="7065" spans="7:8" x14ac:dyDescent="0.3">
      <c r="G7065" s="78">
        <v>7062</v>
      </c>
      <c r="H7065">
        <f t="shared" ca="1" si="105"/>
        <v>9.7968106919783735E-3</v>
      </c>
    </row>
    <row r="7066" spans="7:8" x14ac:dyDescent="0.3">
      <c r="G7066" s="78">
        <v>7063</v>
      </c>
      <c r="H7066">
        <f t="shared" ca="1" si="105"/>
        <v>1.2263799204797846E-2</v>
      </c>
    </row>
    <row r="7067" spans="7:8" x14ac:dyDescent="0.3">
      <c r="G7067" s="78">
        <v>7064</v>
      </c>
      <c r="H7067">
        <f t="shared" ca="1" si="105"/>
        <v>-1.724234658848671E-3</v>
      </c>
    </row>
    <row r="7068" spans="7:8" x14ac:dyDescent="0.3">
      <c r="G7068" s="78">
        <v>7065</v>
      </c>
      <c r="H7068">
        <f t="shared" ca="1" si="105"/>
        <v>-3.959522972146772E-3</v>
      </c>
    </row>
    <row r="7069" spans="7:8" x14ac:dyDescent="0.3">
      <c r="G7069" s="78">
        <v>7066</v>
      </c>
      <c r="H7069">
        <f t="shared" ca="1" si="105"/>
        <v>2.5761784151354699E-2</v>
      </c>
    </row>
    <row r="7070" spans="7:8" x14ac:dyDescent="0.3">
      <c r="G7070" s="78">
        <v>7067</v>
      </c>
      <c r="H7070">
        <f t="shared" ca="1" si="105"/>
        <v>9.9620420552774952E-3</v>
      </c>
    </row>
    <row r="7071" spans="7:8" x14ac:dyDescent="0.3">
      <c r="G7071" s="78">
        <v>7068</v>
      </c>
      <c r="H7071">
        <f t="shared" ca="1" si="105"/>
        <v>-1.8078601385105544E-2</v>
      </c>
    </row>
    <row r="7072" spans="7:8" x14ac:dyDescent="0.3">
      <c r="G7072" s="78">
        <v>7069</v>
      </c>
      <c r="H7072">
        <f t="shared" ca="1" si="105"/>
        <v>1.9997273961703033E-3</v>
      </c>
    </row>
    <row r="7073" spans="7:8" x14ac:dyDescent="0.3">
      <c r="G7073" s="78">
        <v>7070</v>
      </c>
      <c r="H7073">
        <f t="shared" ca="1" si="105"/>
        <v>5.7258703819289564E-3</v>
      </c>
    </row>
    <row r="7074" spans="7:8" x14ac:dyDescent="0.3">
      <c r="G7074" s="78">
        <v>7071</v>
      </c>
      <c r="H7074">
        <f t="shared" ca="1" si="105"/>
        <v>-2.6353917133191671E-2</v>
      </c>
    </row>
    <row r="7075" spans="7:8" x14ac:dyDescent="0.3">
      <c r="G7075" s="78">
        <v>7072</v>
      </c>
      <c r="H7075">
        <f t="shared" ca="1" si="105"/>
        <v>2.0070587838776697E-3</v>
      </c>
    </row>
    <row r="7076" spans="7:8" x14ac:dyDescent="0.3">
      <c r="G7076" s="78">
        <v>7073</v>
      </c>
      <c r="H7076">
        <f t="shared" ca="1" si="105"/>
        <v>6.2279736378959066E-3</v>
      </c>
    </row>
    <row r="7077" spans="7:8" x14ac:dyDescent="0.3">
      <c r="G7077" s="78">
        <v>7074</v>
      </c>
      <c r="H7077">
        <f t="shared" ca="1" si="105"/>
        <v>1.3289222733453773E-2</v>
      </c>
    </row>
    <row r="7078" spans="7:8" x14ac:dyDescent="0.3">
      <c r="G7078" s="78">
        <v>7075</v>
      </c>
      <c r="H7078">
        <f t="shared" ca="1" si="105"/>
        <v>4.2222805784058674E-2</v>
      </c>
    </row>
    <row r="7079" spans="7:8" x14ac:dyDescent="0.3">
      <c r="G7079" s="78">
        <v>7076</v>
      </c>
      <c r="H7079">
        <f t="shared" ca="1" si="105"/>
        <v>-7.1928512463766197E-3</v>
      </c>
    </row>
    <row r="7080" spans="7:8" x14ac:dyDescent="0.3">
      <c r="G7080" s="78">
        <v>7077</v>
      </c>
      <c r="H7080">
        <f t="shared" ca="1" si="105"/>
        <v>-2.2736953776999077E-2</v>
      </c>
    </row>
    <row r="7081" spans="7:8" x14ac:dyDescent="0.3">
      <c r="G7081" s="78">
        <v>7078</v>
      </c>
      <c r="H7081">
        <f t="shared" ca="1" si="105"/>
        <v>3.0458904624657383E-3</v>
      </c>
    </row>
    <row r="7082" spans="7:8" x14ac:dyDescent="0.3">
      <c r="G7082" s="78">
        <v>7079</v>
      </c>
      <c r="H7082">
        <f t="shared" ca="1" si="105"/>
        <v>1.9744125887773703E-2</v>
      </c>
    </row>
    <row r="7083" spans="7:8" x14ac:dyDescent="0.3">
      <c r="G7083" s="78">
        <v>7080</v>
      </c>
      <c r="H7083">
        <f t="shared" ca="1" si="105"/>
        <v>-3.903448819991729E-2</v>
      </c>
    </row>
    <row r="7084" spans="7:8" x14ac:dyDescent="0.3">
      <c r="G7084" s="78">
        <v>7081</v>
      </c>
      <c r="H7084">
        <f t="shared" ca="1" si="105"/>
        <v>-1.6299876478075785E-2</v>
      </c>
    </row>
    <row r="7085" spans="7:8" x14ac:dyDescent="0.3">
      <c r="G7085" s="78">
        <v>7082</v>
      </c>
      <c r="H7085">
        <f t="shared" ca="1" si="105"/>
        <v>1.6925637542293363E-3</v>
      </c>
    </row>
    <row r="7086" spans="7:8" x14ac:dyDescent="0.3">
      <c r="G7086" s="78">
        <v>7083</v>
      </c>
      <c r="H7086">
        <f t="shared" ca="1" si="105"/>
        <v>-3.4249059236465013E-2</v>
      </c>
    </row>
    <row r="7087" spans="7:8" x14ac:dyDescent="0.3">
      <c r="G7087" s="78">
        <v>7084</v>
      </c>
      <c r="H7087">
        <f t="shared" ca="1" si="105"/>
        <v>7.6439247851955066E-3</v>
      </c>
    </row>
    <row r="7088" spans="7:8" x14ac:dyDescent="0.3">
      <c r="G7088" s="78">
        <v>7085</v>
      </c>
      <c r="H7088">
        <f t="shared" ca="1" si="105"/>
        <v>-2.199467579131072E-2</v>
      </c>
    </row>
    <row r="7089" spans="7:8" x14ac:dyDescent="0.3">
      <c r="G7089" s="78">
        <v>7086</v>
      </c>
      <c r="H7089">
        <f t="shared" ca="1" si="105"/>
        <v>-1.9418606688320045E-2</v>
      </c>
    </row>
    <row r="7090" spans="7:8" x14ac:dyDescent="0.3">
      <c r="G7090" s="78">
        <v>7087</v>
      </c>
      <c r="H7090">
        <f t="shared" ca="1" si="105"/>
        <v>7.6765792158638799E-3</v>
      </c>
    </row>
    <row r="7091" spans="7:8" x14ac:dyDescent="0.3">
      <c r="G7091" s="78">
        <v>7088</v>
      </c>
      <c r="H7091">
        <f t="shared" ca="1" si="105"/>
        <v>-9.4446315075566341E-3</v>
      </c>
    </row>
    <row r="7092" spans="7:8" x14ac:dyDescent="0.3">
      <c r="G7092" s="78">
        <v>7089</v>
      </c>
      <c r="H7092">
        <f t="shared" ca="1" si="105"/>
        <v>1.0797843332171032E-2</v>
      </c>
    </row>
    <row r="7093" spans="7:8" x14ac:dyDescent="0.3">
      <c r="G7093" s="78">
        <v>7090</v>
      </c>
      <c r="H7093">
        <f t="shared" ca="1" si="105"/>
        <v>2.4247878409836977E-2</v>
      </c>
    </row>
    <row r="7094" spans="7:8" x14ac:dyDescent="0.3">
      <c r="G7094" s="78">
        <v>7091</v>
      </c>
      <c r="H7094">
        <f t="shared" ca="1" si="105"/>
        <v>1.9696505797382212E-2</v>
      </c>
    </row>
    <row r="7095" spans="7:8" x14ac:dyDescent="0.3">
      <c r="G7095" s="78">
        <v>7092</v>
      </c>
      <c r="H7095">
        <f t="shared" ca="1" si="105"/>
        <v>2.2511555021279713E-2</v>
      </c>
    </row>
    <row r="7096" spans="7:8" x14ac:dyDescent="0.3">
      <c r="G7096" s="78">
        <v>7093</v>
      </c>
      <c r="H7096">
        <f t="shared" ca="1" si="105"/>
        <v>-3.1087350894000776E-2</v>
      </c>
    </row>
    <row r="7097" spans="7:8" x14ac:dyDescent="0.3">
      <c r="G7097" s="78">
        <v>7094</v>
      </c>
      <c r="H7097">
        <f t="shared" ca="1" si="105"/>
        <v>-1.1059669452896354E-2</v>
      </c>
    </row>
    <row r="7098" spans="7:8" x14ac:dyDescent="0.3">
      <c r="G7098" s="78">
        <v>7095</v>
      </c>
      <c r="H7098">
        <f t="shared" ca="1" si="105"/>
        <v>1.8951980945021906E-4</v>
      </c>
    </row>
    <row r="7099" spans="7:8" x14ac:dyDescent="0.3">
      <c r="G7099" s="78">
        <v>7096</v>
      </c>
      <c r="H7099">
        <f t="shared" ca="1" si="105"/>
        <v>-2.4255147711028436E-4</v>
      </c>
    </row>
    <row r="7100" spans="7:8" x14ac:dyDescent="0.3">
      <c r="G7100" s="78">
        <v>7097</v>
      </c>
      <c r="H7100">
        <f t="shared" ca="1" si="105"/>
        <v>-3.3167623115688558E-3</v>
      </c>
    </row>
    <row r="7101" spans="7:8" x14ac:dyDescent="0.3">
      <c r="G7101" s="78">
        <v>7098</v>
      </c>
      <c r="H7101">
        <f t="shared" ca="1" si="105"/>
        <v>-1.342890145705085E-2</v>
      </c>
    </row>
    <row r="7102" spans="7:8" x14ac:dyDescent="0.3">
      <c r="G7102" s="78">
        <v>7099</v>
      </c>
      <c r="H7102">
        <f t="shared" ca="1" si="105"/>
        <v>1.1778420226697986E-2</v>
      </c>
    </row>
    <row r="7103" spans="7:8" x14ac:dyDescent="0.3">
      <c r="G7103" s="78">
        <v>7100</v>
      </c>
      <c r="H7103">
        <f t="shared" ca="1" si="105"/>
        <v>7.7203970428063066E-3</v>
      </c>
    </row>
    <row r="7104" spans="7:8" x14ac:dyDescent="0.3">
      <c r="G7104" s="78">
        <v>7101</v>
      </c>
      <c r="H7104">
        <f t="shared" ca="1" si="105"/>
        <v>-4.4762118420204264E-3</v>
      </c>
    </row>
    <row r="7105" spans="7:8" x14ac:dyDescent="0.3">
      <c r="G7105" s="78">
        <v>7102</v>
      </c>
      <c r="H7105">
        <f t="shared" ca="1" si="105"/>
        <v>-1.2774950563751213E-2</v>
      </c>
    </row>
    <row r="7106" spans="7:8" x14ac:dyDescent="0.3">
      <c r="G7106" s="78">
        <v>7103</v>
      </c>
      <c r="H7106">
        <f t="shared" ca="1" si="105"/>
        <v>-1.3268796415128086E-2</v>
      </c>
    </row>
    <row r="7107" spans="7:8" x14ac:dyDescent="0.3">
      <c r="G7107" s="78">
        <v>7104</v>
      </c>
      <c r="H7107">
        <f t="shared" ca="1" si="105"/>
        <v>3.6885431898411401E-3</v>
      </c>
    </row>
    <row r="7108" spans="7:8" x14ac:dyDescent="0.3">
      <c r="G7108" s="78">
        <v>7105</v>
      </c>
      <c r="H7108">
        <f t="shared" ref="H7108:H7171" ca="1" si="106">_xlfn.NORM.INV(RAND(),$N$4,$N$5)</f>
        <v>-2.9144432245712427E-3</v>
      </c>
    </row>
    <row r="7109" spans="7:8" x14ac:dyDescent="0.3">
      <c r="G7109" s="78">
        <v>7106</v>
      </c>
      <c r="H7109">
        <f t="shared" ca="1" si="106"/>
        <v>9.611932265297744E-3</v>
      </c>
    </row>
    <row r="7110" spans="7:8" x14ac:dyDescent="0.3">
      <c r="G7110" s="78">
        <v>7107</v>
      </c>
      <c r="H7110">
        <f t="shared" ca="1" si="106"/>
        <v>5.3873539788240237E-3</v>
      </c>
    </row>
    <row r="7111" spans="7:8" x14ac:dyDescent="0.3">
      <c r="G7111" s="78">
        <v>7108</v>
      </c>
      <c r="H7111">
        <f t="shared" ca="1" si="106"/>
        <v>8.2776246768421751E-3</v>
      </c>
    </row>
    <row r="7112" spans="7:8" x14ac:dyDescent="0.3">
      <c r="G7112" s="78">
        <v>7109</v>
      </c>
      <c r="H7112">
        <f t="shared" ca="1" si="106"/>
        <v>4.2414082068212202E-3</v>
      </c>
    </row>
    <row r="7113" spans="7:8" x14ac:dyDescent="0.3">
      <c r="G7113" s="78">
        <v>7110</v>
      </c>
      <c r="H7113">
        <f t="shared" ca="1" si="106"/>
        <v>-9.3097582061846627E-3</v>
      </c>
    </row>
    <row r="7114" spans="7:8" x14ac:dyDescent="0.3">
      <c r="G7114" s="78">
        <v>7111</v>
      </c>
      <c r="H7114">
        <f t="shared" ca="1" si="106"/>
        <v>7.8021705286075577E-3</v>
      </c>
    </row>
    <row r="7115" spans="7:8" x14ac:dyDescent="0.3">
      <c r="G7115" s="78">
        <v>7112</v>
      </c>
      <c r="H7115">
        <f t="shared" ca="1" si="106"/>
        <v>-1.4400172547972616E-2</v>
      </c>
    </row>
    <row r="7116" spans="7:8" x14ac:dyDescent="0.3">
      <c r="G7116" s="78">
        <v>7113</v>
      </c>
      <c r="H7116">
        <f t="shared" ca="1" si="106"/>
        <v>1.8856766594895269E-2</v>
      </c>
    </row>
    <row r="7117" spans="7:8" x14ac:dyDescent="0.3">
      <c r="G7117" s="78">
        <v>7114</v>
      </c>
      <c r="H7117">
        <f t="shared" ca="1" si="106"/>
        <v>1.1538096089535405E-2</v>
      </c>
    </row>
    <row r="7118" spans="7:8" x14ac:dyDescent="0.3">
      <c r="G7118" s="78">
        <v>7115</v>
      </c>
      <c r="H7118">
        <f t="shared" ca="1" si="106"/>
        <v>7.2329488247829976E-2</v>
      </c>
    </row>
    <row r="7119" spans="7:8" x14ac:dyDescent="0.3">
      <c r="G7119" s="78">
        <v>7116</v>
      </c>
      <c r="H7119">
        <f t="shared" ca="1" si="106"/>
        <v>1.356394955881165E-2</v>
      </c>
    </row>
    <row r="7120" spans="7:8" x14ac:dyDescent="0.3">
      <c r="G7120" s="78">
        <v>7117</v>
      </c>
      <c r="H7120">
        <f t="shared" ca="1" si="106"/>
        <v>1.7972439923829624E-2</v>
      </c>
    </row>
    <row r="7121" spans="7:8" x14ac:dyDescent="0.3">
      <c r="G7121" s="78">
        <v>7118</v>
      </c>
      <c r="H7121">
        <f t="shared" ca="1" si="106"/>
        <v>-9.4833847605233067E-3</v>
      </c>
    </row>
    <row r="7122" spans="7:8" x14ac:dyDescent="0.3">
      <c r="G7122" s="78">
        <v>7119</v>
      </c>
      <c r="H7122">
        <f t="shared" ca="1" si="106"/>
        <v>-1.4135665267298111E-2</v>
      </c>
    </row>
    <row r="7123" spans="7:8" x14ac:dyDescent="0.3">
      <c r="G7123" s="78">
        <v>7120</v>
      </c>
      <c r="H7123">
        <f t="shared" ca="1" si="106"/>
        <v>7.0177573678040801E-3</v>
      </c>
    </row>
    <row r="7124" spans="7:8" x14ac:dyDescent="0.3">
      <c r="G7124" s="78">
        <v>7121</v>
      </c>
      <c r="H7124">
        <f t="shared" ca="1" si="106"/>
        <v>-2.4384143176518474E-3</v>
      </c>
    </row>
    <row r="7125" spans="7:8" x14ac:dyDescent="0.3">
      <c r="G7125" s="78">
        <v>7122</v>
      </c>
      <c r="H7125">
        <f t="shared" ca="1" si="106"/>
        <v>2.088858110419145E-2</v>
      </c>
    </row>
    <row r="7126" spans="7:8" x14ac:dyDescent="0.3">
      <c r="G7126" s="78">
        <v>7123</v>
      </c>
      <c r="H7126">
        <f t="shared" ca="1" si="106"/>
        <v>7.4864936559054093E-3</v>
      </c>
    </row>
    <row r="7127" spans="7:8" x14ac:dyDescent="0.3">
      <c r="G7127" s="78">
        <v>7124</v>
      </c>
      <c r="H7127">
        <f t="shared" ca="1" si="106"/>
        <v>-2.6017027487569899E-2</v>
      </c>
    </row>
    <row r="7128" spans="7:8" x14ac:dyDescent="0.3">
      <c r="G7128" s="78">
        <v>7125</v>
      </c>
      <c r="H7128">
        <f t="shared" ca="1" si="106"/>
        <v>2.7317375013178231E-2</v>
      </c>
    </row>
    <row r="7129" spans="7:8" x14ac:dyDescent="0.3">
      <c r="G7129" s="78">
        <v>7126</v>
      </c>
      <c r="H7129">
        <f t="shared" ca="1" si="106"/>
        <v>-1.896957964126684E-3</v>
      </c>
    </row>
    <row r="7130" spans="7:8" x14ac:dyDescent="0.3">
      <c r="G7130" s="78">
        <v>7127</v>
      </c>
      <c r="H7130">
        <f t="shared" ca="1" si="106"/>
        <v>-5.0427959379144337E-3</v>
      </c>
    </row>
    <row r="7131" spans="7:8" x14ac:dyDescent="0.3">
      <c r="G7131" s="78">
        <v>7128</v>
      </c>
      <c r="H7131">
        <f t="shared" ca="1" si="106"/>
        <v>8.2969832390708646E-3</v>
      </c>
    </row>
    <row r="7132" spans="7:8" x14ac:dyDescent="0.3">
      <c r="G7132" s="78">
        <v>7129</v>
      </c>
      <c r="H7132">
        <f t="shared" ca="1" si="106"/>
        <v>1.6390413360579319E-2</v>
      </c>
    </row>
    <row r="7133" spans="7:8" x14ac:dyDescent="0.3">
      <c r="G7133" s="78">
        <v>7130</v>
      </c>
      <c r="H7133">
        <f t="shared" ca="1" si="106"/>
        <v>-1.1477588597226102E-2</v>
      </c>
    </row>
    <row r="7134" spans="7:8" x14ac:dyDescent="0.3">
      <c r="G7134" s="78">
        <v>7131</v>
      </c>
      <c r="H7134">
        <f t="shared" ca="1" si="106"/>
        <v>-2.7753287944692062E-2</v>
      </c>
    </row>
    <row r="7135" spans="7:8" x14ac:dyDescent="0.3">
      <c r="G7135" s="78">
        <v>7132</v>
      </c>
      <c r="H7135">
        <f t="shared" ca="1" si="106"/>
        <v>3.4388178577874504E-2</v>
      </c>
    </row>
    <row r="7136" spans="7:8" x14ac:dyDescent="0.3">
      <c r="G7136" s="78">
        <v>7133</v>
      </c>
      <c r="H7136">
        <f t="shared" ca="1" si="106"/>
        <v>-5.3471117908019923E-3</v>
      </c>
    </row>
    <row r="7137" spans="7:8" x14ac:dyDescent="0.3">
      <c r="G7137" s="78">
        <v>7134</v>
      </c>
      <c r="H7137">
        <f t="shared" ca="1" si="106"/>
        <v>6.4519035165183109E-3</v>
      </c>
    </row>
    <row r="7138" spans="7:8" x14ac:dyDescent="0.3">
      <c r="G7138" s="78">
        <v>7135</v>
      </c>
      <c r="H7138">
        <f t="shared" ca="1" si="106"/>
        <v>1.8600014713956413E-2</v>
      </c>
    </row>
    <row r="7139" spans="7:8" x14ac:dyDescent="0.3">
      <c r="G7139" s="78">
        <v>7136</v>
      </c>
      <c r="H7139">
        <f t="shared" ca="1" si="106"/>
        <v>1.2627866080670576E-2</v>
      </c>
    </row>
    <row r="7140" spans="7:8" x14ac:dyDescent="0.3">
      <c r="G7140" s="78">
        <v>7137</v>
      </c>
      <c r="H7140">
        <f t="shared" ca="1" si="106"/>
        <v>-5.7879844688123114E-2</v>
      </c>
    </row>
    <row r="7141" spans="7:8" x14ac:dyDescent="0.3">
      <c r="G7141" s="78">
        <v>7138</v>
      </c>
      <c r="H7141">
        <f t="shared" ca="1" si="106"/>
        <v>-6.7397583441523258E-3</v>
      </c>
    </row>
    <row r="7142" spans="7:8" x14ac:dyDescent="0.3">
      <c r="G7142" s="78">
        <v>7139</v>
      </c>
      <c r="H7142">
        <f t="shared" ca="1" si="106"/>
        <v>-2.4076413688069263E-4</v>
      </c>
    </row>
    <row r="7143" spans="7:8" x14ac:dyDescent="0.3">
      <c r="G7143" s="78">
        <v>7140</v>
      </c>
      <c r="H7143">
        <f t="shared" ca="1" si="106"/>
        <v>-2.9217965522190942E-2</v>
      </c>
    </row>
    <row r="7144" spans="7:8" x14ac:dyDescent="0.3">
      <c r="G7144" s="78">
        <v>7141</v>
      </c>
      <c r="H7144">
        <f t="shared" ca="1" si="106"/>
        <v>-9.7568674863497467E-5</v>
      </c>
    </row>
    <row r="7145" spans="7:8" x14ac:dyDescent="0.3">
      <c r="G7145" s="78">
        <v>7142</v>
      </c>
      <c r="H7145">
        <f t="shared" ca="1" si="106"/>
        <v>-5.9915846050012569E-3</v>
      </c>
    </row>
    <row r="7146" spans="7:8" x14ac:dyDescent="0.3">
      <c r="G7146" s="78">
        <v>7143</v>
      </c>
      <c r="H7146">
        <f t="shared" ca="1" si="106"/>
        <v>2.6035043126106293E-2</v>
      </c>
    </row>
    <row r="7147" spans="7:8" x14ac:dyDescent="0.3">
      <c r="G7147" s="78">
        <v>7144</v>
      </c>
      <c r="H7147">
        <f t="shared" ca="1" si="106"/>
        <v>-1.3627264401173978E-2</v>
      </c>
    </row>
    <row r="7148" spans="7:8" x14ac:dyDescent="0.3">
      <c r="G7148" s="78">
        <v>7145</v>
      </c>
      <c r="H7148">
        <f t="shared" ca="1" si="106"/>
        <v>-1.9669266969032904E-2</v>
      </c>
    </row>
    <row r="7149" spans="7:8" x14ac:dyDescent="0.3">
      <c r="G7149" s="78">
        <v>7146</v>
      </c>
      <c r="H7149">
        <f t="shared" ca="1" si="106"/>
        <v>-6.3294383447496045E-3</v>
      </c>
    </row>
    <row r="7150" spans="7:8" x14ac:dyDescent="0.3">
      <c r="G7150" s="78">
        <v>7147</v>
      </c>
      <c r="H7150">
        <f t="shared" ca="1" si="106"/>
        <v>-4.2346235957474054E-2</v>
      </c>
    </row>
    <row r="7151" spans="7:8" x14ac:dyDescent="0.3">
      <c r="G7151" s="78">
        <v>7148</v>
      </c>
      <c r="H7151">
        <f t="shared" ca="1" si="106"/>
        <v>2.220821751265414E-2</v>
      </c>
    </row>
    <row r="7152" spans="7:8" x14ac:dyDescent="0.3">
      <c r="G7152" s="78">
        <v>7149</v>
      </c>
      <c r="H7152">
        <f t="shared" ca="1" si="106"/>
        <v>1.8205731330281805E-2</v>
      </c>
    </row>
    <row r="7153" spans="7:8" x14ac:dyDescent="0.3">
      <c r="G7153" s="78">
        <v>7150</v>
      </c>
      <c r="H7153">
        <f t="shared" ca="1" si="106"/>
        <v>4.8295198987024467E-3</v>
      </c>
    </row>
    <row r="7154" spans="7:8" x14ac:dyDescent="0.3">
      <c r="G7154" s="78">
        <v>7151</v>
      </c>
      <c r="H7154">
        <f t="shared" ca="1" si="106"/>
        <v>-1.8516035718833902E-2</v>
      </c>
    </row>
    <row r="7155" spans="7:8" x14ac:dyDescent="0.3">
      <c r="G7155" s="78">
        <v>7152</v>
      </c>
      <c r="H7155">
        <f t="shared" ca="1" si="106"/>
        <v>1.0096177552496521E-3</v>
      </c>
    </row>
    <row r="7156" spans="7:8" x14ac:dyDescent="0.3">
      <c r="G7156" s="78">
        <v>7153</v>
      </c>
      <c r="H7156">
        <f t="shared" ca="1" si="106"/>
        <v>1.1867217128010748E-3</v>
      </c>
    </row>
    <row r="7157" spans="7:8" x14ac:dyDescent="0.3">
      <c r="G7157" s="78">
        <v>7154</v>
      </c>
      <c r="H7157">
        <f t="shared" ca="1" si="106"/>
        <v>2.0646807456683815E-2</v>
      </c>
    </row>
    <row r="7158" spans="7:8" x14ac:dyDescent="0.3">
      <c r="G7158" s="78">
        <v>7155</v>
      </c>
      <c r="H7158">
        <f t="shared" ca="1" si="106"/>
        <v>-4.8281884952414188E-3</v>
      </c>
    </row>
    <row r="7159" spans="7:8" x14ac:dyDescent="0.3">
      <c r="G7159" s="78">
        <v>7156</v>
      </c>
      <c r="H7159">
        <f t="shared" ca="1" si="106"/>
        <v>2.3829740394099633E-2</v>
      </c>
    </row>
    <row r="7160" spans="7:8" x14ac:dyDescent="0.3">
      <c r="G7160" s="78">
        <v>7157</v>
      </c>
      <c r="H7160">
        <f t="shared" ca="1" si="106"/>
        <v>-1.9213381896836781E-3</v>
      </c>
    </row>
    <row r="7161" spans="7:8" x14ac:dyDescent="0.3">
      <c r="G7161" s="78">
        <v>7158</v>
      </c>
      <c r="H7161">
        <f t="shared" ca="1" si="106"/>
        <v>-1.5253034181777684E-2</v>
      </c>
    </row>
    <row r="7162" spans="7:8" x14ac:dyDescent="0.3">
      <c r="G7162" s="78">
        <v>7159</v>
      </c>
      <c r="H7162">
        <f t="shared" ca="1" si="106"/>
        <v>-7.0117324868000938E-3</v>
      </c>
    </row>
    <row r="7163" spans="7:8" x14ac:dyDescent="0.3">
      <c r="G7163" s="78">
        <v>7160</v>
      </c>
      <c r="H7163">
        <f t="shared" ca="1" si="106"/>
        <v>2.7403929939414122E-4</v>
      </c>
    </row>
    <row r="7164" spans="7:8" x14ac:dyDescent="0.3">
      <c r="G7164" s="78">
        <v>7161</v>
      </c>
      <c r="H7164">
        <f t="shared" ca="1" si="106"/>
        <v>-5.0817590318958328E-2</v>
      </c>
    </row>
    <row r="7165" spans="7:8" x14ac:dyDescent="0.3">
      <c r="G7165" s="78">
        <v>7162</v>
      </c>
      <c r="H7165">
        <f t="shared" ca="1" si="106"/>
        <v>3.8199533899811067E-2</v>
      </c>
    </row>
    <row r="7166" spans="7:8" x14ac:dyDescent="0.3">
      <c r="G7166" s="78">
        <v>7163</v>
      </c>
      <c r="H7166">
        <f t="shared" ca="1" si="106"/>
        <v>9.4328115288632476E-3</v>
      </c>
    </row>
    <row r="7167" spans="7:8" x14ac:dyDescent="0.3">
      <c r="G7167" s="78">
        <v>7164</v>
      </c>
      <c r="H7167">
        <f t="shared" ca="1" si="106"/>
        <v>-2.9690161984097995E-3</v>
      </c>
    </row>
    <row r="7168" spans="7:8" x14ac:dyDescent="0.3">
      <c r="G7168" s="78">
        <v>7165</v>
      </c>
      <c r="H7168">
        <f t="shared" ca="1" si="106"/>
        <v>4.0599722066843015E-2</v>
      </c>
    </row>
    <row r="7169" spans="7:8" x14ac:dyDescent="0.3">
      <c r="G7169" s="78">
        <v>7166</v>
      </c>
      <c r="H7169">
        <f t="shared" ca="1" si="106"/>
        <v>-1.5436312602282223E-2</v>
      </c>
    </row>
    <row r="7170" spans="7:8" x14ac:dyDescent="0.3">
      <c r="G7170" s="78">
        <v>7167</v>
      </c>
      <c r="H7170">
        <f t="shared" ca="1" si="106"/>
        <v>2.1207209500863283E-2</v>
      </c>
    </row>
    <row r="7171" spans="7:8" x14ac:dyDescent="0.3">
      <c r="G7171" s="78">
        <v>7168</v>
      </c>
      <c r="H7171">
        <f t="shared" ca="1" si="106"/>
        <v>2.9423567145146663E-2</v>
      </c>
    </row>
    <row r="7172" spans="7:8" x14ac:dyDescent="0.3">
      <c r="G7172" s="78">
        <v>7169</v>
      </c>
      <c r="H7172">
        <f t="shared" ref="H7172:H7235" ca="1" si="107">_xlfn.NORM.INV(RAND(),$N$4,$N$5)</f>
        <v>-2.8321212683504052E-3</v>
      </c>
    </row>
    <row r="7173" spans="7:8" x14ac:dyDescent="0.3">
      <c r="G7173" s="78">
        <v>7170</v>
      </c>
      <c r="H7173">
        <f t="shared" ca="1" si="107"/>
        <v>-2.4819401962910916E-2</v>
      </c>
    </row>
    <row r="7174" spans="7:8" x14ac:dyDescent="0.3">
      <c r="G7174" s="78">
        <v>7171</v>
      </c>
      <c r="H7174">
        <f t="shared" ca="1" si="107"/>
        <v>1.174535698965277E-2</v>
      </c>
    </row>
    <row r="7175" spans="7:8" x14ac:dyDescent="0.3">
      <c r="G7175" s="78">
        <v>7172</v>
      </c>
      <c r="H7175">
        <f t="shared" ca="1" si="107"/>
        <v>-3.3925271777369877E-2</v>
      </c>
    </row>
    <row r="7176" spans="7:8" x14ac:dyDescent="0.3">
      <c r="G7176" s="78">
        <v>7173</v>
      </c>
      <c r="H7176">
        <f t="shared" ca="1" si="107"/>
        <v>-1.3440466878777846E-2</v>
      </c>
    </row>
    <row r="7177" spans="7:8" x14ac:dyDescent="0.3">
      <c r="G7177" s="78">
        <v>7174</v>
      </c>
      <c r="H7177">
        <f t="shared" ca="1" si="107"/>
        <v>9.4426204235727035E-3</v>
      </c>
    </row>
    <row r="7178" spans="7:8" x14ac:dyDescent="0.3">
      <c r="G7178" s="78">
        <v>7175</v>
      </c>
      <c r="H7178">
        <f t="shared" ca="1" si="107"/>
        <v>4.1182521084834486E-4</v>
      </c>
    </row>
    <row r="7179" spans="7:8" x14ac:dyDescent="0.3">
      <c r="G7179" s="78">
        <v>7176</v>
      </c>
      <c r="H7179">
        <f t="shared" ca="1" si="107"/>
        <v>-3.7297003826873001E-3</v>
      </c>
    </row>
    <row r="7180" spans="7:8" x14ac:dyDescent="0.3">
      <c r="G7180" s="78">
        <v>7177</v>
      </c>
      <c r="H7180">
        <f t="shared" ca="1" si="107"/>
        <v>-2.3249144602449319E-2</v>
      </c>
    </row>
    <row r="7181" spans="7:8" x14ac:dyDescent="0.3">
      <c r="G7181" s="78">
        <v>7178</v>
      </c>
      <c r="H7181">
        <f t="shared" ca="1" si="107"/>
        <v>2.3703944583528921E-2</v>
      </c>
    </row>
    <row r="7182" spans="7:8" x14ac:dyDescent="0.3">
      <c r="G7182" s="78">
        <v>7179</v>
      </c>
      <c r="H7182">
        <f t="shared" ca="1" si="107"/>
        <v>2.6938210640588761E-3</v>
      </c>
    </row>
    <row r="7183" spans="7:8" x14ac:dyDescent="0.3">
      <c r="G7183" s="78">
        <v>7180</v>
      </c>
      <c r="H7183">
        <f t="shared" ca="1" si="107"/>
        <v>6.6852749571672679E-3</v>
      </c>
    </row>
    <row r="7184" spans="7:8" x14ac:dyDescent="0.3">
      <c r="G7184" s="78">
        <v>7181</v>
      </c>
      <c r="H7184">
        <f t="shared" ca="1" si="107"/>
        <v>1.3018733617439405E-2</v>
      </c>
    </row>
    <row r="7185" spans="7:8" x14ac:dyDescent="0.3">
      <c r="G7185" s="78">
        <v>7182</v>
      </c>
      <c r="H7185">
        <f t="shared" ca="1" si="107"/>
        <v>6.5231211800502757E-3</v>
      </c>
    </row>
    <row r="7186" spans="7:8" x14ac:dyDescent="0.3">
      <c r="G7186" s="78">
        <v>7183</v>
      </c>
      <c r="H7186">
        <f t="shared" ca="1" si="107"/>
        <v>4.0373511313584916E-2</v>
      </c>
    </row>
    <row r="7187" spans="7:8" x14ac:dyDescent="0.3">
      <c r="G7187" s="78">
        <v>7184</v>
      </c>
      <c r="H7187">
        <f t="shared" ca="1" si="107"/>
        <v>2.5430870555401625E-2</v>
      </c>
    </row>
    <row r="7188" spans="7:8" x14ac:dyDescent="0.3">
      <c r="G7188" s="78">
        <v>7185</v>
      </c>
      <c r="H7188">
        <f t="shared" ca="1" si="107"/>
        <v>-1.0756660452378023E-3</v>
      </c>
    </row>
    <row r="7189" spans="7:8" x14ac:dyDescent="0.3">
      <c r="G7189" s="78">
        <v>7186</v>
      </c>
      <c r="H7189">
        <f t="shared" ca="1" si="107"/>
        <v>2.6286118163519129E-2</v>
      </c>
    </row>
    <row r="7190" spans="7:8" x14ac:dyDescent="0.3">
      <c r="G7190" s="78">
        <v>7187</v>
      </c>
      <c r="H7190">
        <f t="shared" ca="1" si="107"/>
        <v>-2.6560141371263883E-2</v>
      </c>
    </row>
    <row r="7191" spans="7:8" x14ac:dyDescent="0.3">
      <c r="G7191" s="78">
        <v>7188</v>
      </c>
      <c r="H7191">
        <f t="shared" ca="1" si="107"/>
        <v>2.1715011159831397E-2</v>
      </c>
    </row>
    <row r="7192" spans="7:8" x14ac:dyDescent="0.3">
      <c r="G7192" s="78">
        <v>7189</v>
      </c>
      <c r="H7192">
        <f t="shared" ca="1" si="107"/>
        <v>3.7692816793687516E-3</v>
      </c>
    </row>
    <row r="7193" spans="7:8" x14ac:dyDescent="0.3">
      <c r="G7193" s="78">
        <v>7190</v>
      </c>
      <c r="H7193">
        <f t="shared" ca="1" si="107"/>
        <v>-1.9371562084048728E-2</v>
      </c>
    </row>
    <row r="7194" spans="7:8" x14ac:dyDescent="0.3">
      <c r="G7194" s="78">
        <v>7191</v>
      </c>
      <c r="H7194">
        <f t="shared" ca="1" si="107"/>
        <v>8.3286051273721226E-3</v>
      </c>
    </row>
    <row r="7195" spans="7:8" x14ac:dyDescent="0.3">
      <c r="G7195" s="78">
        <v>7192</v>
      </c>
      <c r="H7195">
        <f t="shared" ca="1" si="107"/>
        <v>1.2189355584158968E-2</v>
      </c>
    </row>
    <row r="7196" spans="7:8" x14ac:dyDescent="0.3">
      <c r="G7196" s="78">
        <v>7193</v>
      </c>
      <c r="H7196">
        <f t="shared" ca="1" si="107"/>
        <v>4.0484668191002136E-3</v>
      </c>
    </row>
    <row r="7197" spans="7:8" x14ac:dyDescent="0.3">
      <c r="G7197" s="78">
        <v>7194</v>
      </c>
      <c r="H7197">
        <f t="shared" ca="1" si="107"/>
        <v>2.9910319354070056E-2</v>
      </c>
    </row>
    <row r="7198" spans="7:8" x14ac:dyDescent="0.3">
      <c r="G7198" s="78">
        <v>7195</v>
      </c>
      <c r="H7198">
        <f t="shared" ca="1" si="107"/>
        <v>-2.0252599987126231E-2</v>
      </c>
    </row>
    <row r="7199" spans="7:8" x14ac:dyDescent="0.3">
      <c r="G7199" s="78">
        <v>7196</v>
      </c>
      <c r="H7199">
        <f t="shared" ca="1" si="107"/>
        <v>2.3233622511762749E-2</v>
      </c>
    </row>
    <row r="7200" spans="7:8" x14ac:dyDescent="0.3">
      <c r="G7200" s="78">
        <v>7197</v>
      </c>
      <c r="H7200">
        <f t="shared" ca="1" si="107"/>
        <v>-1.5255313379565006E-2</v>
      </c>
    </row>
    <row r="7201" spans="7:8" x14ac:dyDescent="0.3">
      <c r="G7201" s="78">
        <v>7198</v>
      </c>
      <c r="H7201">
        <f t="shared" ca="1" si="107"/>
        <v>2.3651841711838539E-2</v>
      </c>
    </row>
    <row r="7202" spans="7:8" x14ac:dyDescent="0.3">
      <c r="G7202" s="78">
        <v>7199</v>
      </c>
      <c r="H7202">
        <f t="shared" ca="1" si="107"/>
        <v>-2.7856595491334644E-2</v>
      </c>
    </row>
    <row r="7203" spans="7:8" x14ac:dyDescent="0.3">
      <c r="G7203" s="78">
        <v>7200</v>
      </c>
      <c r="H7203">
        <f t="shared" ca="1" si="107"/>
        <v>-1.1532763051561158E-3</v>
      </c>
    </row>
    <row r="7204" spans="7:8" x14ac:dyDescent="0.3">
      <c r="G7204" s="78">
        <v>7201</v>
      </c>
      <c r="H7204">
        <f t="shared" ca="1" si="107"/>
        <v>8.7987502192770663E-3</v>
      </c>
    </row>
    <row r="7205" spans="7:8" x14ac:dyDescent="0.3">
      <c r="G7205" s="78">
        <v>7202</v>
      </c>
      <c r="H7205">
        <f t="shared" ca="1" si="107"/>
        <v>-6.1086758944963295E-3</v>
      </c>
    </row>
    <row r="7206" spans="7:8" x14ac:dyDescent="0.3">
      <c r="G7206" s="78">
        <v>7203</v>
      </c>
      <c r="H7206">
        <f t="shared" ca="1" si="107"/>
        <v>1.2847898387472792E-2</v>
      </c>
    </row>
    <row r="7207" spans="7:8" x14ac:dyDescent="0.3">
      <c r="G7207" s="78">
        <v>7204</v>
      </c>
      <c r="H7207">
        <f t="shared" ca="1" si="107"/>
        <v>1.8625221316833425E-2</v>
      </c>
    </row>
    <row r="7208" spans="7:8" x14ac:dyDescent="0.3">
      <c r="G7208" s="78">
        <v>7205</v>
      </c>
      <c r="H7208">
        <f t="shared" ca="1" si="107"/>
        <v>1.0469918337402536E-2</v>
      </c>
    </row>
    <row r="7209" spans="7:8" x14ac:dyDescent="0.3">
      <c r="G7209" s="78">
        <v>7206</v>
      </c>
      <c r="H7209">
        <f t="shared" ca="1" si="107"/>
        <v>3.8202140032962802E-2</v>
      </c>
    </row>
    <row r="7210" spans="7:8" x14ac:dyDescent="0.3">
      <c r="G7210" s="78">
        <v>7207</v>
      </c>
      <c r="H7210">
        <f t="shared" ca="1" si="107"/>
        <v>-1.5252996640372418E-2</v>
      </c>
    </row>
    <row r="7211" spans="7:8" x14ac:dyDescent="0.3">
      <c r="G7211" s="78">
        <v>7208</v>
      </c>
      <c r="H7211">
        <f t="shared" ca="1" si="107"/>
        <v>3.1769690936712417E-3</v>
      </c>
    </row>
    <row r="7212" spans="7:8" x14ac:dyDescent="0.3">
      <c r="G7212" s="78">
        <v>7209</v>
      </c>
      <c r="H7212">
        <f t="shared" ca="1" si="107"/>
        <v>1.0116554603980886E-2</v>
      </c>
    </row>
    <row r="7213" spans="7:8" x14ac:dyDescent="0.3">
      <c r="G7213" s="78">
        <v>7210</v>
      </c>
      <c r="H7213">
        <f t="shared" ca="1" si="107"/>
        <v>2.0216542991715426E-2</v>
      </c>
    </row>
    <row r="7214" spans="7:8" x14ac:dyDescent="0.3">
      <c r="G7214" s="78">
        <v>7211</v>
      </c>
      <c r="H7214">
        <f t="shared" ca="1" si="107"/>
        <v>-8.1132545940929834E-3</v>
      </c>
    </row>
    <row r="7215" spans="7:8" x14ac:dyDescent="0.3">
      <c r="G7215" s="78">
        <v>7212</v>
      </c>
      <c r="H7215">
        <f t="shared" ca="1" si="107"/>
        <v>-1.6963124005500235E-2</v>
      </c>
    </row>
    <row r="7216" spans="7:8" x14ac:dyDescent="0.3">
      <c r="G7216" s="78">
        <v>7213</v>
      </c>
      <c r="H7216">
        <f t="shared" ca="1" si="107"/>
        <v>-1.192521933846566E-3</v>
      </c>
    </row>
    <row r="7217" spans="7:8" x14ac:dyDescent="0.3">
      <c r="G7217" s="78">
        <v>7214</v>
      </c>
      <c r="H7217">
        <f t="shared" ca="1" si="107"/>
        <v>2.1917870738721217E-4</v>
      </c>
    </row>
    <row r="7218" spans="7:8" x14ac:dyDescent="0.3">
      <c r="G7218" s="78">
        <v>7215</v>
      </c>
      <c r="H7218">
        <f t="shared" ca="1" si="107"/>
        <v>1.7864888462792165E-2</v>
      </c>
    </row>
    <row r="7219" spans="7:8" x14ac:dyDescent="0.3">
      <c r="G7219" s="78">
        <v>7216</v>
      </c>
      <c r="H7219">
        <f t="shared" ca="1" si="107"/>
        <v>1.2163616104354267E-2</v>
      </c>
    </row>
    <row r="7220" spans="7:8" x14ac:dyDescent="0.3">
      <c r="G7220" s="78">
        <v>7217</v>
      </c>
      <c r="H7220">
        <f t="shared" ca="1" si="107"/>
        <v>-1.8213594693143188E-2</v>
      </c>
    </row>
    <row r="7221" spans="7:8" x14ac:dyDescent="0.3">
      <c r="G7221" s="78">
        <v>7218</v>
      </c>
      <c r="H7221">
        <f t="shared" ca="1" si="107"/>
        <v>-1.5356794176713656E-2</v>
      </c>
    </row>
    <row r="7222" spans="7:8" x14ac:dyDescent="0.3">
      <c r="G7222" s="78">
        <v>7219</v>
      </c>
      <c r="H7222">
        <f t="shared" ca="1" si="107"/>
        <v>1.8681186302006828E-2</v>
      </c>
    </row>
    <row r="7223" spans="7:8" x14ac:dyDescent="0.3">
      <c r="G7223" s="78">
        <v>7220</v>
      </c>
      <c r="H7223">
        <f t="shared" ca="1" si="107"/>
        <v>-1.6576604864060838E-2</v>
      </c>
    </row>
    <row r="7224" spans="7:8" x14ac:dyDescent="0.3">
      <c r="G7224" s="78">
        <v>7221</v>
      </c>
      <c r="H7224">
        <f t="shared" ca="1" si="107"/>
        <v>5.245773532143316E-3</v>
      </c>
    </row>
    <row r="7225" spans="7:8" x14ac:dyDescent="0.3">
      <c r="G7225" s="78">
        <v>7222</v>
      </c>
      <c r="H7225">
        <f t="shared" ca="1" si="107"/>
        <v>-3.6745467327386185E-2</v>
      </c>
    </row>
    <row r="7226" spans="7:8" x14ac:dyDescent="0.3">
      <c r="G7226" s="78">
        <v>7223</v>
      </c>
      <c r="H7226">
        <f t="shared" ca="1" si="107"/>
        <v>2.8462581117246089E-2</v>
      </c>
    </row>
    <row r="7227" spans="7:8" x14ac:dyDescent="0.3">
      <c r="G7227" s="78">
        <v>7224</v>
      </c>
      <c r="H7227">
        <f t="shared" ca="1" si="107"/>
        <v>-2.6889513184578433E-2</v>
      </c>
    </row>
    <row r="7228" spans="7:8" x14ac:dyDescent="0.3">
      <c r="G7228" s="78">
        <v>7225</v>
      </c>
      <c r="H7228">
        <f t="shared" ca="1" si="107"/>
        <v>1.0181029001289739E-2</v>
      </c>
    </row>
    <row r="7229" spans="7:8" x14ac:dyDescent="0.3">
      <c r="G7229" s="78">
        <v>7226</v>
      </c>
      <c r="H7229">
        <f t="shared" ca="1" si="107"/>
        <v>-4.0469381142997415E-3</v>
      </c>
    </row>
    <row r="7230" spans="7:8" x14ac:dyDescent="0.3">
      <c r="G7230" s="78">
        <v>7227</v>
      </c>
      <c r="H7230">
        <f t="shared" ca="1" si="107"/>
        <v>-2.0923674671987094E-2</v>
      </c>
    </row>
    <row r="7231" spans="7:8" x14ac:dyDescent="0.3">
      <c r="G7231" s="78">
        <v>7228</v>
      </c>
      <c r="H7231">
        <f t="shared" ca="1" si="107"/>
        <v>1.2060945356182356E-2</v>
      </c>
    </row>
    <row r="7232" spans="7:8" x14ac:dyDescent="0.3">
      <c r="G7232" s="78">
        <v>7229</v>
      </c>
      <c r="H7232">
        <f t="shared" ca="1" si="107"/>
        <v>7.2417817585092416E-3</v>
      </c>
    </row>
    <row r="7233" spans="7:8" x14ac:dyDescent="0.3">
      <c r="G7233" s="78">
        <v>7230</v>
      </c>
      <c r="H7233">
        <f t="shared" ca="1" si="107"/>
        <v>1.0896950197000373E-2</v>
      </c>
    </row>
    <row r="7234" spans="7:8" x14ac:dyDescent="0.3">
      <c r="G7234" s="78">
        <v>7231</v>
      </c>
      <c r="H7234">
        <f t="shared" ca="1" si="107"/>
        <v>-1.2716250707821893E-2</v>
      </c>
    </row>
    <row r="7235" spans="7:8" x14ac:dyDescent="0.3">
      <c r="G7235" s="78">
        <v>7232</v>
      </c>
      <c r="H7235">
        <f t="shared" ca="1" si="107"/>
        <v>6.5745466241045897E-3</v>
      </c>
    </row>
    <row r="7236" spans="7:8" x14ac:dyDescent="0.3">
      <c r="G7236" s="78">
        <v>7233</v>
      </c>
      <c r="H7236">
        <f t="shared" ref="H7236:H7299" ca="1" si="108">_xlfn.NORM.INV(RAND(),$N$4,$N$5)</f>
        <v>4.38315447960691E-4</v>
      </c>
    </row>
    <row r="7237" spans="7:8" x14ac:dyDescent="0.3">
      <c r="G7237" s="78">
        <v>7234</v>
      </c>
      <c r="H7237">
        <f t="shared" ca="1" si="108"/>
        <v>1.1718699829034696E-2</v>
      </c>
    </row>
    <row r="7238" spans="7:8" x14ac:dyDescent="0.3">
      <c r="G7238" s="78">
        <v>7235</v>
      </c>
      <c r="H7238">
        <f t="shared" ca="1" si="108"/>
        <v>-2.6672789984910194E-2</v>
      </c>
    </row>
    <row r="7239" spans="7:8" x14ac:dyDescent="0.3">
      <c r="G7239" s="78">
        <v>7236</v>
      </c>
      <c r="H7239">
        <f t="shared" ca="1" si="108"/>
        <v>1.9753012588430579E-2</v>
      </c>
    </row>
    <row r="7240" spans="7:8" x14ac:dyDescent="0.3">
      <c r="G7240" s="78">
        <v>7237</v>
      </c>
      <c r="H7240">
        <f t="shared" ca="1" si="108"/>
        <v>2.6005580453872287E-2</v>
      </c>
    </row>
    <row r="7241" spans="7:8" x14ac:dyDescent="0.3">
      <c r="G7241" s="78">
        <v>7238</v>
      </c>
      <c r="H7241">
        <f t="shared" ca="1" si="108"/>
        <v>-1.576031256372875E-2</v>
      </c>
    </row>
    <row r="7242" spans="7:8" x14ac:dyDescent="0.3">
      <c r="G7242" s="78">
        <v>7239</v>
      </c>
      <c r="H7242">
        <f t="shared" ca="1" si="108"/>
        <v>3.7051684184724105E-2</v>
      </c>
    </row>
    <row r="7243" spans="7:8" x14ac:dyDescent="0.3">
      <c r="G7243" s="78">
        <v>7240</v>
      </c>
      <c r="H7243">
        <f t="shared" ca="1" si="108"/>
        <v>-6.4105969701758691E-4</v>
      </c>
    </row>
    <row r="7244" spans="7:8" x14ac:dyDescent="0.3">
      <c r="G7244" s="78">
        <v>7241</v>
      </c>
      <c r="H7244">
        <f t="shared" ca="1" si="108"/>
        <v>-7.3631912650561496E-3</v>
      </c>
    </row>
    <row r="7245" spans="7:8" x14ac:dyDescent="0.3">
      <c r="G7245" s="78">
        <v>7242</v>
      </c>
      <c r="H7245">
        <f t="shared" ca="1" si="108"/>
        <v>7.9523259140901817E-3</v>
      </c>
    </row>
    <row r="7246" spans="7:8" x14ac:dyDescent="0.3">
      <c r="G7246" s="78">
        <v>7243</v>
      </c>
      <c r="H7246">
        <f t="shared" ca="1" si="108"/>
        <v>-3.0400092054494602E-3</v>
      </c>
    </row>
    <row r="7247" spans="7:8" x14ac:dyDescent="0.3">
      <c r="G7247" s="78">
        <v>7244</v>
      </c>
      <c r="H7247">
        <f t="shared" ca="1" si="108"/>
        <v>-2.0165318800811537E-2</v>
      </c>
    </row>
    <row r="7248" spans="7:8" x14ac:dyDescent="0.3">
      <c r="G7248" s="78">
        <v>7245</v>
      </c>
      <c r="H7248">
        <f t="shared" ca="1" si="108"/>
        <v>-1.7847388849570777E-2</v>
      </c>
    </row>
    <row r="7249" spans="7:8" x14ac:dyDescent="0.3">
      <c r="G7249" s="78">
        <v>7246</v>
      </c>
      <c r="H7249">
        <f t="shared" ca="1" si="108"/>
        <v>-1.2055146038328765E-2</v>
      </c>
    </row>
    <row r="7250" spans="7:8" x14ac:dyDescent="0.3">
      <c r="G7250" s="78">
        <v>7247</v>
      </c>
      <c r="H7250">
        <f t="shared" ca="1" si="108"/>
        <v>-3.0882689671335374E-2</v>
      </c>
    </row>
    <row r="7251" spans="7:8" x14ac:dyDescent="0.3">
      <c r="G7251" s="78">
        <v>7248</v>
      </c>
      <c r="H7251">
        <f t="shared" ca="1" si="108"/>
        <v>-1.7083719737948942E-2</v>
      </c>
    </row>
    <row r="7252" spans="7:8" x14ac:dyDescent="0.3">
      <c r="G7252" s="78">
        <v>7249</v>
      </c>
      <c r="H7252">
        <f t="shared" ca="1" si="108"/>
        <v>1.3279997257849381E-2</v>
      </c>
    </row>
    <row r="7253" spans="7:8" x14ac:dyDescent="0.3">
      <c r="G7253" s="78">
        <v>7250</v>
      </c>
      <c r="H7253">
        <f t="shared" ca="1" si="108"/>
        <v>-1.2079854734063348E-2</v>
      </c>
    </row>
    <row r="7254" spans="7:8" x14ac:dyDescent="0.3">
      <c r="G7254" s="78">
        <v>7251</v>
      </c>
      <c r="H7254">
        <f t="shared" ca="1" si="108"/>
        <v>-2.1716478465508601E-2</v>
      </c>
    </row>
    <row r="7255" spans="7:8" x14ac:dyDescent="0.3">
      <c r="G7255" s="78">
        <v>7252</v>
      </c>
      <c r="H7255">
        <f t="shared" ca="1" si="108"/>
        <v>7.7606713228165255E-3</v>
      </c>
    </row>
    <row r="7256" spans="7:8" x14ac:dyDescent="0.3">
      <c r="G7256" s="78">
        <v>7253</v>
      </c>
      <c r="H7256">
        <f t="shared" ca="1" si="108"/>
        <v>2.4170024645449643E-2</v>
      </c>
    </row>
    <row r="7257" spans="7:8" x14ac:dyDescent="0.3">
      <c r="G7257" s="78">
        <v>7254</v>
      </c>
      <c r="H7257">
        <f t="shared" ca="1" si="108"/>
        <v>-1.1869986279013733E-3</v>
      </c>
    </row>
    <row r="7258" spans="7:8" x14ac:dyDescent="0.3">
      <c r="G7258" s="78">
        <v>7255</v>
      </c>
      <c r="H7258">
        <f t="shared" ca="1" si="108"/>
        <v>-3.2016407337438768E-3</v>
      </c>
    </row>
    <row r="7259" spans="7:8" x14ac:dyDescent="0.3">
      <c r="G7259" s="78">
        <v>7256</v>
      </c>
      <c r="H7259">
        <f t="shared" ca="1" si="108"/>
        <v>1.5814941991143833E-3</v>
      </c>
    </row>
    <row r="7260" spans="7:8" x14ac:dyDescent="0.3">
      <c r="G7260" s="78">
        <v>7257</v>
      </c>
      <c r="H7260">
        <f t="shared" ca="1" si="108"/>
        <v>6.5360884618968834E-3</v>
      </c>
    </row>
    <row r="7261" spans="7:8" x14ac:dyDescent="0.3">
      <c r="G7261" s="78">
        <v>7258</v>
      </c>
      <c r="H7261">
        <f t="shared" ca="1" si="108"/>
        <v>5.7274328265313219E-3</v>
      </c>
    </row>
    <row r="7262" spans="7:8" x14ac:dyDescent="0.3">
      <c r="G7262" s="78">
        <v>7259</v>
      </c>
      <c r="H7262">
        <f t="shared" ca="1" si="108"/>
        <v>2.1979854136655382E-2</v>
      </c>
    </row>
    <row r="7263" spans="7:8" x14ac:dyDescent="0.3">
      <c r="G7263" s="78">
        <v>7260</v>
      </c>
      <c r="H7263">
        <f t="shared" ca="1" si="108"/>
        <v>4.1445927360515035E-3</v>
      </c>
    </row>
    <row r="7264" spans="7:8" x14ac:dyDescent="0.3">
      <c r="G7264" s="78">
        <v>7261</v>
      </c>
      <c r="H7264">
        <f t="shared" ca="1" si="108"/>
        <v>8.9365349717160161E-3</v>
      </c>
    </row>
    <row r="7265" spans="7:8" x14ac:dyDescent="0.3">
      <c r="G7265" s="78">
        <v>7262</v>
      </c>
      <c r="H7265">
        <f t="shared" ca="1" si="108"/>
        <v>-3.2037511141920728E-3</v>
      </c>
    </row>
    <row r="7266" spans="7:8" x14ac:dyDescent="0.3">
      <c r="G7266" s="78">
        <v>7263</v>
      </c>
      <c r="H7266">
        <f t="shared" ca="1" si="108"/>
        <v>1.8120780352914843E-3</v>
      </c>
    </row>
    <row r="7267" spans="7:8" x14ac:dyDescent="0.3">
      <c r="G7267" s="78">
        <v>7264</v>
      </c>
      <c r="H7267">
        <f t="shared" ca="1" si="108"/>
        <v>3.5018566101336695E-3</v>
      </c>
    </row>
    <row r="7268" spans="7:8" x14ac:dyDescent="0.3">
      <c r="G7268" s="78">
        <v>7265</v>
      </c>
      <c r="H7268">
        <f t="shared" ca="1" si="108"/>
        <v>-2.5241462123605233E-2</v>
      </c>
    </row>
    <row r="7269" spans="7:8" x14ac:dyDescent="0.3">
      <c r="G7269" s="78">
        <v>7266</v>
      </c>
      <c r="H7269">
        <f t="shared" ca="1" si="108"/>
        <v>4.6569048319374199E-3</v>
      </c>
    </row>
    <row r="7270" spans="7:8" x14ac:dyDescent="0.3">
      <c r="G7270" s="78">
        <v>7267</v>
      </c>
      <c r="H7270">
        <f t="shared" ca="1" si="108"/>
        <v>-2.5685606317196533E-3</v>
      </c>
    </row>
    <row r="7271" spans="7:8" x14ac:dyDescent="0.3">
      <c r="G7271" s="78">
        <v>7268</v>
      </c>
      <c r="H7271">
        <f t="shared" ca="1" si="108"/>
        <v>1.4779550213430743E-2</v>
      </c>
    </row>
    <row r="7272" spans="7:8" x14ac:dyDescent="0.3">
      <c r="G7272" s="78">
        <v>7269</v>
      </c>
      <c r="H7272">
        <f t="shared" ca="1" si="108"/>
        <v>2.6909181823259014E-3</v>
      </c>
    </row>
    <row r="7273" spans="7:8" x14ac:dyDescent="0.3">
      <c r="G7273" s="78">
        <v>7270</v>
      </c>
      <c r="H7273">
        <f t="shared" ca="1" si="108"/>
        <v>-2.5182993148609969E-2</v>
      </c>
    </row>
    <row r="7274" spans="7:8" x14ac:dyDescent="0.3">
      <c r="G7274" s="78">
        <v>7271</v>
      </c>
      <c r="H7274">
        <f t="shared" ca="1" si="108"/>
        <v>-1.6342895585251271E-2</v>
      </c>
    </row>
    <row r="7275" spans="7:8" x14ac:dyDescent="0.3">
      <c r="G7275" s="78">
        <v>7272</v>
      </c>
      <c r="H7275">
        <f t="shared" ca="1" si="108"/>
        <v>2.4878255217172869E-3</v>
      </c>
    </row>
    <row r="7276" spans="7:8" x14ac:dyDescent="0.3">
      <c r="G7276" s="78">
        <v>7273</v>
      </c>
      <c r="H7276">
        <f t="shared" ca="1" si="108"/>
        <v>-3.2131707367695821E-2</v>
      </c>
    </row>
    <row r="7277" spans="7:8" x14ac:dyDescent="0.3">
      <c r="G7277" s="78">
        <v>7274</v>
      </c>
      <c r="H7277">
        <f t="shared" ca="1" si="108"/>
        <v>-1.0492864353848141E-4</v>
      </c>
    </row>
    <row r="7278" spans="7:8" x14ac:dyDescent="0.3">
      <c r="G7278" s="78">
        <v>7275</v>
      </c>
      <c r="H7278">
        <f t="shared" ca="1" si="108"/>
        <v>-5.7643791994171287E-2</v>
      </c>
    </row>
    <row r="7279" spans="7:8" x14ac:dyDescent="0.3">
      <c r="G7279" s="78">
        <v>7276</v>
      </c>
      <c r="H7279">
        <f t="shared" ca="1" si="108"/>
        <v>-8.8550915555352778E-4</v>
      </c>
    </row>
    <row r="7280" spans="7:8" x14ac:dyDescent="0.3">
      <c r="G7280" s="78">
        <v>7277</v>
      </c>
      <c r="H7280">
        <f t="shared" ca="1" si="108"/>
        <v>-1.2408343777415649E-3</v>
      </c>
    </row>
    <row r="7281" spans="7:8" x14ac:dyDescent="0.3">
      <c r="G7281" s="78">
        <v>7278</v>
      </c>
      <c r="H7281">
        <f t="shared" ca="1" si="108"/>
        <v>3.6772852077388604E-2</v>
      </c>
    </row>
    <row r="7282" spans="7:8" x14ac:dyDescent="0.3">
      <c r="G7282" s="78">
        <v>7279</v>
      </c>
      <c r="H7282">
        <f t="shared" ca="1" si="108"/>
        <v>3.1458157037309552E-4</v>
      </c>
    </row>
    <row r="7283" spans="7:8" x14ac:dyDescent="0.3">
      <c r="G7283" s="78">
        <v>7280</v>
      </c>
      <c r="H7283">
        <f t="shared" ca="1" si="108"/>
        <v>1.1949474310962468E-3</v>
      </c>
    </row>
    <row r="7284" spans="7:8" x14ac:dyDescent="0.3">
      <c r="G7284" s="78">
        <v>7281</v>
      </c>
      <c r="H7284">
        <f t="shared" ca="1" si="108"/>
        <v>1.5062354205674354E-2</v>
      </c>
    </row>
    <row r="7285" spans="7:8" x14ac:dyDescent="0.3">
      <c r="G7285" s="78">
        <v>7282</v>
      </c>
      <c r="H7285">
        <f t="shared" ca="1" si="108"/>
        <v>3.2488855448304351E-3</v>
      </c>
    </row>
    <row r="7286" spans="7:8" x14ac:dyDescent="0.3">
      <c r="G7286" s="78">
        <v>7283</v>
      </c>
      <c r="H7286">
        <f t="shared" ca="1" si="108"/>
        <v>-1.6967613448084804E-3</v>
      </c>
    </row>
    <row r="7287" spans="7:8" x14ac:dyDescent="0.3">
      <c r="G7287" s="78">
        <v>7284</v>
      </c>
      <c r="H7287">
        <f t="shared" ca="1" si="108"/>
        <v>9.3666354801667552E-3</v>
      </c>
    </row>
    <row r="7288" spans="7:8" x14ac:dyDescent="0.3">
      <c r="G7288" s="78">
        <v>7285</v>
      </c>
      <c r="H7288">
        <f t="shared" ca="1" si="108"/>
        <v>-9.6758882565659756E-3</v>
      </c>
    </row>
    <row r="7289" spans="7:8" x14ac:dyDescent="0.3">
      <c r="G7289" s="78">
        <v>7286</v>
      </c>
      <c r="H7289">
        <f t="shared" ca="1" si="108"/>
        <v>7.1393540883731349E-3</v>
      </c>
    </row>
    <row r="7290" spans="7:8" x14ac:dyDescent="0.3">
      <c r="G7290" s="78">
        <v>7287</v>
      </c>
      <c r="H7290">
        <f t="shared" ca="1" si="108"/>
        <v>-1.3104835740177396E-2</v>
      </c>
    </row>
    <row r="7291" spans="7:8" x14ac:dyDescent="0.3">
      <c r="G7291" s="78">
        <v>7288</v>
      </c>
      <c r="H7291">
        <f t="shared" ca="1" si="108"/>
        <v>-8.8792509955697378E-3</v>
      </c>
    </row>
    <row r="7292" spans="7:8" x14ac:dyDescent="0.3">
      <c r="G7292" s="78">
        <v>7289</v>
      </c>
      <c r="H7292">
        <f t="shared" ca="1" si="108"/>
        <v>-4.3804456740404859E-3</v>
      </c>
    </row>
    <row r="7293" spans="7:8" x14ac:dyDescent="0.3">
      <c r="G7293" s="78">
        <v>7290</v>
      </c>
      <c r="H7293">
        <f t="shared" ca="1" si="108"/>
        <v>2.6939833958639053E-2</v>
      </c>
    </row>
    <row r="7294" spans="7:8" x14ac:dyDescent="0.3">
      <c r="G7294" s="78">
        <v>7291</v>
      </c>
      <c r="H7294">
        <f t="shared" ca="1" si="108"/>
        <v>5.1385166297713272E-3</v>
      </c>
    </row>
    <row r="7295" spans="7:8" x14ac:dyDescent="0.3">
      <c r="G7295" s="78">
        <v>7292</v>
      </c>
      <c r="H7295">
        <f t="shared" ca="1" si="108"/>
        <v>-1.3973196819222527E-2</v>
      </c>
    </row>
    <row r="7296" spans="7:8" x14ac:dyDescent="0.3">
      <c r="G7296" s="78">
        <v>7293</v>
      </c>
      <c r="H7296">
        <f t="shared" ca="1" si="108"/>
        <v>-9.1792447549923634E-3</v>
      </c>
    </row>
    <row r="7297" spans="7:8" x14ac:dyDescent="0.3">
      <c r="G7297" s="78">
        <v>7294</v>
      </c>
      <c r="H7297">
        <f t="shared" ca="1" si="108"/>
        <v>1.5825295365441045E-2</v>
      </c>
    </row>
    <row r="7298" spans="7:8" x14ac:dyDescent="0.3">
      <c r="G7298" s="78">
        <v>7295</v>
      </c>
      <c r="H7298">
        <f t="shared" ca="1" si="108"/>
        <v>1.8524147470586443E-2</v>
      </c>
    </row>
    <row r="7299" spans="7:8" x14ac:dyDescent="0.3">
      <c r="G7299" s="78">
        <v>7296</v>
      </c>
      <c r="H7299">
        <f t="shared" ca="1" si="108"/>
        <v>-5.3895548495716721E-3</v>
      </c>
    </row>
    <row r="7300" spans="7:8" x14ac:dyDescent="0.3">
      <c r="G7300" s="78">
        <v>7297</v>
      </c>
      <c r="H7300">
        <f t="shared" ref="H7300:H7363" ca="1" si="109">_xlfn.NORM.INV(RAND(),$N$4,$N$5)</f>
        <v>-4.3091600149440905E-3</v>
      </c>
    </row>
    <row r="7301" spans="7:8" x14ac:dyDescent="0.3">
      <c r="G7301" s="78">
        <v>7298</v>
      </c>
      <c r="H7301">
        <f t="shared" ca="1" si="109"/>
        <v>5.5643067391568648E-3</v>
      </c>
    </row>
    <row r="7302" spans="7:8" x14ac:dyDescent="0.3">
      <c r="G7302" s="78">
        <v>7299</v>
      </c>
      <c r="H7302">
        <f t="shared" ca="1" si="109"/>
        <v>1.7705656573031699E-2</v>
      </c>
    </row>
    <row r="7303" spans="7:8" x14ac:dyDescent="0.3">
      <c r="G7303" s="78">
        <v>7300</v>
      </c>
      <c r="H7303">
        <f t="shared" ca="1" si="109"/>
        <v>-8.0013206386835289E-3</v>
      </c>
    </row>
    <row r="7304" spans="7:8" x14ac:dyDescent="0.3">
      <c r="G7304" s="78">
        <v>7301</v>
      </c>
      <c r="H7304">
        <f t="shared" ca="1" si="109"/>
        <v>-7.1835906519150819E-3</v>
      </c>
    </row>
    <row r="7305" spans="7:8" x14ac:dyDescent="0.3">
      <c r="G7305" s="78">
        <v>7302</v>
      </c>
      <c r="H7305">
        <f t="shared" ca="1" si="109"/>
        <v>2.4484830365231216E-2</v>
      </c>
    </row>
    <row r="7306" spans="7:8" x14ac:dyDescent="0.3">
      <c r="G7306" s="78">
        <v>7303</v>
      </c>
      <c r="H7306">
        <f t="shared" ca="1" si="109"/>
        <v>3.5497362007684476E-2</v>
      </c>
    </row>
    <row r="7307" spans="7:8" x14ac:dyDescent="0.3">
      <c r="G7307" s="78">
        <v>7304</v>
      </c>
      <c r="H7307">
        <f t="shared" ca="1" si="109"/>
        <v>8.4798596405320243E-3</v>
      </c>
    </row>
    <row r="7308" spans="7:8" x14ac:dyDescent="0.3">
      <c r="G7308" s="78">
        <v>7305</v>
      </c>
      <c r="H7308">
        <f t="shared" ca="1" si="109"/>
        <v>4.7447446692276705E-2</v>
      </c>
    </row>
    <row r="7309" spans="7:8" x14ac:dyDescent="0.3">
      <c r="G7309" s="78">
        <v>7306</v>
      </c>
      <c r="H7309">
        <f t="shared" ca="1" si="109"/>
        <v>2.3651152496592266E-2</v>
      </c>
    </row>
    <row r="7310" spans="7:8" x14ac:dyDescent="0.3">
      <c r="G7310" s="78">
        <v>7307</v>
      </c>
      <c r="H7310">
        <f t="shared" ca="1" si="109"/>
        <v>-3.4967656101126572E-3</v>
      </c>
    </row>
    <row r="7311" spans="7:8" x14ac:dyDescent="0.3">
      <c r="G7311" s="78">
        <v>7308</v>
      </c>
      <c r="H7311">
        <f t="shared" ca="1" si="109"/>
        <v>-4.6852660955113406E-3</v>
      </c>
    </row>
    <row r="7312" spans="7:8" x14ac:dyDescent="0.3">
      <c r="G7312" s="78">
        <v>7309</v>
      </c>
      <c r="H7312">
        <f t="shared" ca="1" si="109"/>
        <v>1.7461823799697684E-2</v>
      </c>
    </row>
    <row r="7313" spans="7:8" x14ac:dyDescent="0.3">
      <c r="G7313" s="78">
        <v>7310</v>
      </c>
      <c r="H7313">
        <f t="shared" ca="1" si="109"/>
        <v>-1.1460442258432952E-2</v>
      </c>
    </row>
    <row r="7314" spans="7:8" x14ac:dyDescent="0.3">
      <c r="G7314" s="78">
        <v>7311</v>
      </c>
      <c r="H7314">
        <f t="shared" ca="1" si="109"/>
        <v>1.9477217018426828E-2</v>
      </c>
    </row>
    <row r="7315" spans="7:8" x14ac:dyDescent="0.3">
      <c r="G7315" s="78">
        <v>7312</v>
      </c>
      <c r="H7315">
        <f t="shared" ca="1" si="109"/>
        <v>-3.1070112482878401E-2</v>
      </c>
    </row>
    <row r="7316" spans="7:8" x14ac:dyDescent="0.3">
      <c r="G7316" s="78">
        <v>7313</v>
      </c>
      <c r="H7316">
        <f t="shared" ca="1" si="109"/>
        <v>1.1930060417033959E-2</v>
      </c>
    </row>
    <row r="7317" spans="7:8" x14ac:dyDescent="0.3">
      <c r="G7317" s="78">
        <v>7314</v>
      </c>
      <c r="H7317">
        <f t="shared" ca="1" si="109"/>
        <v>-3.5030286687410886E-3</v>
      </c>
    </row>
    <row r="7318" spans="7:8" x14ac:dyDescent="0.3">
      <c r="G7318" s="78">
        <v>7315</v>
      </c>
      <c r="H7318">
        <f t="shared" ca="1" si="109"/>
        <v>1.5428946977433305E-2</v>
      </c>
    </row>
    <row r="7319" spans="7:8" x14ac:dyDescent="0.3">
      <c r="G7319" s="78">
        <v>7316</v>
      </c>
      <c r="H7319">
        <f t="shared" ca="1" si="109"/>
        <v>-2.5288411414221505E-3</v>
      </c>
    </row>
    <row r="7320" spans="7:8" x14ac:dyDescent="0.3">
      <c r="G7320" s="78">
        <v>7317</v>
      </c>
      <c r="H7320">
        <f t="shared" ca="1" si="109"/>
        <v>1.9575870742034783E-2</v>
      </c>
    </row>
    <row r="7321" spans="7:8" x14ac:dyDescent="0.3">
      <c r="G7321" s="78">
        <v>7318</v>
      </c>
      <c r="H7321">
        <f t="shared" ca="1" si="109"/>
        <v>-6.0571293669267308E-3</v>
      </c>
    </row>
    <row r="7322" spans="7:8" x14ac:dyDescent="0.3">
      <c r="G7322" s="78">
        <v>7319</v>
      </c>
      <c r="H7322">
        <f t="shared" ca="1" si="109"/>
        <v>1.8645471527648474E-2</v>
      </c>
    </row>
    <row r="7323" spans="7:8" x14ac:dyDescent="0.3">
      <c r="G7323" s="78">
        <v>7320</v>
      </c>
      <c r="H7323">
        <f t="shared" ca="1" si="109"/>
        <v>-3.7079891007646679E-2</v>
      </c>
    </row>
    <row r="7324" spans="7:8" x14ac:dyDescent="0.3">
      <c r="G7324" s="78">
        <v>7321</v>
      </c>
      <c r="H7324">
        <f t="shared" ca="1" si="109"/>
        <v>-5.2630840389203126E-3</v>
      </c>
    </row>
    <row r="7325" spans="7:8" x14ac:dyDescent="0.3">
      <c r="G7325" s="78">
        <v>7322</v>
      </c>
      <c r="H7325">
        <f t="shared" ca="1" si="109"/>
        <v>7.0457268751797286E-3</v>
      </c>
    </row>
    <row r="7326" spans="7:8" x14ac:dyDescent="0.3">
      <c r="G7326" s="78">
        <v>7323</v>
      </c>
      <c r="H7326">
        <f t="shared" ca="1" si="109"/>
        <v>-7.7538109865440902E-3</v>
      </c>
    </row>
    <row r="7327" spans="7:8" x14ac:dyDescent="0.3">
      <c r="G7327" s="78">
        <v>7324</v>
      </c>
      <c r="H7327">
        <f t="shared" ca="1" si="109"/>
        <v>2.3007730774478822E-2</v>
      </c>
    </row>
    <row r="7328" spans="7:8" x14ac:dyDescent="0.3">
      <c r="G7328" s="78">
        <v>7325</v>
      </c>
      <c r="H7328">
        <f t="shared" ca="1" si="109"/>
        <v>-2.0404692720201973E-2</v>
      </c>
    </row>
    <row r="7329" spans="7:8" x14ac:dyDescent="0.3">
      <c r="G7329" s="78">
        <v>7326</v>
      </c>
      <c r="H7329">
        <f t="shared" ca="1" si="109"/>
        <v>-1.9187954884244407E-2</v>
      </c>
    </row>
    <row r="7330" spans="7:8" x14ac:dyDescent="0.3">
      <c r="G7330" s="78">
        <v>7327</v>
      </c>
      <c r="H7330">
        <f t="shared" ca="1" si="109"/>
        <v>1.301908027801383E-2</v>
      </c>
    </row>
    <row r="7331" spans="7:8" x14ac:dyDescent="0.3">
      <c r="G7331" s="78">
        <v>7328</v>
      </c>
      <c r="H7331">
        <f t="shared" ca="1" si="109"/>
        <v>2.0418975396504786E-2</v>
      </c>
    </row>
    <row r="7332" spans="7:8" x14ac:dyDescent="0.3">
      <c r="G7332" s="78">
        <v>7329</v>
      </c>
      <c r="H7332">
        <f t="shared" ca="1" si="109"/>
        <v>-7.3455961211155189E-3</v>
      </c>
    </row>
    <row r="7333" spans="7:8" x14ac:dyDescent="0.3">
      <c r="G7333" s="78">
        <v>7330</v>
      </c>
      <c r="H7333">
        <f t="shared" ca="1" si="109"/>
        <v>2.8935726665158283E-3</v>
      </c>
    </row>
    <row r="7334" spans="7:8" x14ac:dyDescent="0.3">
      <c r="G7334" s="78">
        <v>7331</v>
      </c>
      <c r="H7334">
        <f t="shared" ca="1" si="109"/>
        <v>1.6228597783769602E-2</v>
      </c>
    </row>
    <row r="7335" spans="7:8" x14ac:dyDescent="0.3">
      <c r="G7335" s="78">
        <v>7332</v>
      </c>
      <c r="H7335">
        <f t="shared" ca="1" si="109"/>
        <v>-1.5357415627507162E-3</v>
      </c>
    </row>
    <row r="7336" spans="7:8" x14ac:dyDescent="0.3">
      <c r="G7336" s="78">
        <v>7333</v>
      </c>
      <c r="H7336">
        <f t="shared" ca="1" si="109"/>
        <v>2.6809114675237108E-2</v>
      </c>
    </row>
    <row r="7337" spans="7:8" x14ac:dyDescent="0.3">
      <c r="G7337" s="78">
        <v>7334</v>
      </c>
      <c r="H7337">
        <f t="shared" ca="1" si="109"/>
        <v>-1.7406036275263628E-2</v>
      </c>
    </row>
    <row r="7338" spans="7:8" x14ac:dyDescent="0.3">
      <c r="G7338" s="78">
        <v>7335</v>
      </c>
      <c r="H7338">
        <f t="shared" ca="1" si="109"/>
        <v>-5.4203146198294099E-3</v>
      </c>
    </row>
    <row r="7339" spans="7:8" x14ac:dyDescent="0.3">
      <c r="G7339" s="78">
        <v>7336</v>
      </c>
      <c r="H7339">
        <f t="shared" ca="1" si="109"/>
        <v>1.1566972952184165E-2</v>
      </c>
    </row>
    <row r="7340" spans="7:8" x14ac:dyDescent="0.3">
      <c r="G7340" s="78">
        <v>7337</v>
      </c>
      <c r="H7340">
        <f t="shared" ca="1" si="109"/>
        <v>3.9826590895890648E-4</v>
      </c>
    </row>
    <row r="7341" spans="7:8" x14ac:dyDescent="0.3">
      <c r="G7341" s="78">
        <v>7338</v>
      </c>
      <c r="H7341">
        <f t="shared" ca="1" si="109"/>
        <v>1.6901288382012609E-2</v>
      </c>
    </row>
    <row r="7342" spans="7:8" x14ac:dyDescent="0.3">
      <c r="G7342" s="78">
        <v>7339</v>
      </c>
      <c r="H7342">
        <f t="shared" ca="1" si="109"/>
        <v>2.2544845617601172E-2</v>
      </c>
    </row>
    <row r="7343" spans="7:8" x14ac:dyDescent="0.3">
      <c r="G7343" s="78">
        <v>7340</v>
      </c>
      <c r="H7343">
        <f t="shared" ca="1" si="109"/>
        <v>-1.007533030436799E-2</v>
      </c>
    </row>
    <row r="7344" spans="7:8" x14ac:dyDescent="0.3">
      <c r="G7344" s="78">
        <v>7341</v>
      </c>
      <c r="H7344">
        <f t="shared" ca="1" si="109"/>
        <v>-1.629772637618947E-2</v>
      </c>
    </row>
    <row r="7345" spans="7:8" x14ac:dyDescent="0.3">
      <c r="G7345" s="78">
        <v>7342</v>
      </c>
      <c r="H7345">
        <f t="shared" ca="1" si="109"/>
        <v>2.4963886325633389E-3</v>
      </c>
    </row>
    <row r="7346" spans="7:8" x14ac:dyDescent="0.3">
      <c r="G7346" s="78">
        <v>7343</v>
      </c>
      <c r="H7346">
        <f t="shared" ca="1" si="109"/>
        <v>2.8092901445814993E-2</v>
      </c>
    </row>
    <row r="7347" spans="7:8" x14ac:dyDescent="0.3">
      <c r="G7347" s="78">
        <v>7344</v>
      </c>
      <c r="H7347">
        <f t="shared" ca="1" si="109"/>
        <v>2.1606938458419395E-2</v>
      </c>
    </row>
    <row r="7348" spans="7:8" x14ac:dyDescent="0.3">
      <c r="G7348" s="78">
        <v>7345</v>
      </c>
      <c r="H7348">
        <f t="shared" ca="1" si="109"/>
        <v>2.4846160525644555E-2</v>
      </c>
    </row>
    <row r="7349" spans="7:8" x14ac:dyDescent="0.3">
      <c r="G7349" s="78">
        <v>7346</v>
      </c>
      <c r="H7349">
        <f t="shared" ca="1" si="109"/>
        <v>-1.0079438692766831E-2</v>
      </c>
    </row>
    <row r="7350" spans="7:8" x14ac:dyDescent="0.3">
      <c r="G7350" s="78">
        <v>7347</v>
      </c>
      <c r="H7350">
        <f t="shared" ca="1" si="109"/>
        <v>2.2329899979393244E-2</v>
      </c>
    </row>
    <row r="7351" spans="7:8" x14ac:dyDescent="0.3">
      <c r="G7351" s="78">
        <v>7348</v>
      </c>
      <c r="H7351">
        <f t="shared" ca="1" si="109"/>
        <v>-4.2067744863475889E-3</v>
      </c>
    </row>
    <row r="7352" spans="7:8" x14ac:dyDescent="0.3">
      <c r="G7352" s="78">
        <v>7349</v>
      </c>
      <c r="H7352">
        <f t="shared" ca="1" si="109"/>
        <v>-1.2996305007746741E-3</v>
      </c>
    </row>
    <row r="7353" spans="7:8" x14ac:dyDescent="0.3">
      <c r="G7353" s="78">
        <v>7350</v>
      </c>
      <c r="H7353">
        <f t="shared" ca="1" si="109"/>
        <v>1.837117276198804E-2</v>
      </c>
    </row>
    <row r="7354" spans="7:8" x14ac:dyDescent="0.3">
      <c r="G7354" s="78">
        <v>7351</v>
      </c>
      <c r="H7354">
        <f t="shared" ca="1" si="109"/>
        <v>1.0420018577268498E-2</v>
      </c>
    </row>
    <row r="7355" spans="7:8" x14ac:dyDescent="0.3">
      <c r="G7355" s="78">
        <v>7352</v>
      </c>
      <c r="H7355">
        <f t="shared" ca="1" si="109"/>
        <v>1.8157568948592311E-2</v>
      </c>
    </row>
    <row r="7356" spans="7:8" x14ac:dyDescent="0.3">
      <c r="G7356" s="78">
        <v>7353</v>
      </c>
      <c r="H7356">
        <f t="shared" ca="1" si="109"/>
        <v>7.5196959956359824E-3</v>
      </c>
    </row>
    <row r="7357" spans="7:8" x14ac:dyDescent="0.3">
      <c r="G7357" s="78">
        <v>7354</v>
      </c>
      <c r="H7357">
        <f t="shared" ca="1" si="109"/>
        <v>-6.6826637585519098E-3</v>
      </c>
    </row>
    <row r="7358" spans="7:8" x14ac:dyDescent="0.3">
      <c r="G7358" s="78">
        <v>7355</v>
      </c>
      <c r="H7358">
        <f t="shared" ca="1" si="109"/>
        <v>-1.9492065258297341E-2</v>
      </c>
    </row>
    <row r="7359" spans="7:8" x14ac:dyDescent="0.3">
      <c r="G7359" s="78">
        <v>7356</v>
      </c>
      <c r="H7359">
        <f t="shared" ca="1" si="109"/>
        <v>2.5340570941167753E-3</v>
      </c>
    </row>
    <row r="7360" spans="7:8" x14ac:dyDescent="0.3">
      <c r="G7360" s="78">
        <v>7357</v>
      </c>
      <c r="H7360">
        <f t="shared" ca="1" si="109"/>
        <v>1.0748620545323597E-4</v>
      </c>
    </row>
    <row r="7361" spans="7:8" x14ac:dyDescent="0.3">
      <c r="G7361" s="78">
        <v>7358</v>
      </c>
      <c r="H7361">
        <f t="shared" ca="1" si="109"/>
        <v>9.3175886551142232E-3</v>
      </c>
    </row>
    <row r="7362" spans="7:8" x14ac:dyDescent="0.3">
      <c r="G7362" s="78">
        <v>7359</v>
      </c>
      <c r="H7362">
        <f t="shared" ca="1" si="109"/>
        <v>-2.2452920181215259E-2</v>
      </c>
    </row>
    <row r="7363" spans="7:8" x14ac:dyDescent="0.3">
      <c r="G7363" s="78">
        <v>7360</v>
      </c>
      <c r="H7363">
        <f t="shared" ca="1" si="109"/>
        <v>1.7468074071460408E-3</v>
      </c>
    </row>
    <row r="7364" spans="7:8" x14ac:dyDescent="0.3">
      <c r="G7364" s="78">
        <v>7361</v>
      </c>
      <c r="H7364">
        <f t="shared" ref="H7364:H7427" ca="1" si="110">_xlfn.NORM.INV(RAND(),$N$4,$N$5)</f>
        <v>9.7233580532280432E-3</v>
      </c>
    </row>
    <row r="7365" spans="7:8" x14ac:dyDescent="0.3">
      <c r="G7365" s="78">
        <v>7362</v>
      </c>
      <c r="H7365">
        <f t="shared" ca="1" si="110"/>
        <v>9.7998826636781118E-3</v>
      </c>
    </row>
    <row r="7366" spans="7:8" x14ac:dyDescent="0.3">
      <c r="G7366" s="78">
        <v>7363</v>
      </c>
      <c r="H7366">
        <f t="shared" ca="1" si="110"/>
        <v>8.1806084304751354E-4</v>
      </c>
    </row>
    <row r="7367" spans="7:8" x14ac:dyDescent="0.3">
      <c r="G7367" s="78">
        <v>7364</v>
      </c>
      <c r="H7367">
        <f t="shared" ca="1" si="110"/>
        <v>-1.8197364031990047E-2</v>
      </c>
    </row>
    <row r="7368" spans="7:8" x14ac:dyDescent="0.3">
      <c r="G7368" s="78">
        <v>7365</v>
      </c>
      <c r="H7368">
        <f t="shared" ca="1" si="110"/>
        <v>2.8064697370449147E-2</v>
      </c>
    </row>
    <row r="7369" spans="7:8" x14ac:dyDescent="0.3">
      <c r="G7369" s="78">
        <v>7366</v>
      </c>
      <c r="H7369">
        <f t="shared" ca="1" si="110"/>
        <v>-7.4814539918761436E-3</v>
      </c>
    </row>
    <row r="7370" spans="7:8" x14ac:dyDescent="0.3">
      <c r="G7370" s="78">
        <v>7367</v>
      </c>
      <c r="H7370">
        <f t="shared" ca="1" si="110"/>
        <v>1.8051720392014931E-2</v>
      </c>
    </row>
    <row r="7371" spans="7:8" x14ac:dyDescent="0.3">
      <c r="G7371" s="78">
        <v>7368</v>
      </c>
      <c r="H7371">
        <f t="shared" ca="1" si="110"/>
        <v>3.4451304922916016E-2</v>
      </c>
    </row>
    <row r="7372" spans="7:8" x14ac:dyDescent="0.3">
      <c r="G7372" s="78">
        <v>7369</v>
      </c>
      <c r="H7372">
        <f t="shared" ca="1" si="110"/>
        <v>1.8412437479153419E-2</v>
      </c>
    </row>
    <row r="7373" spans="7:8" x14ac:dyDescent="0.3">
      <c r="G7373" s="78">
        <v>7370</v>
      </c>
      <c r="H7373">
        <f t="shared" ca="1" si="110"/>
        <v>-2.3456796937195917E-2</v>
      </c>
    </row>
    <row r="7374" spans="7:8" x14ac:dyDescent="0.3">
      <c r="G7374" s="78">
        <v>7371</v>
      </c>
      <c r="H7374">
        <f t="shared" ca="1" si="110"/>
        <v>1.8825981950926236E-2</v>
      </c>
    </row>
    <row r="7375" spans="7:8" x14ac:dyDescent="0.3">
      <c r="G7375" s="78">
        <v>7372</v>
      </c>
      <c r="H7375">
        <f t="shared" ca="1" si="110"/>
        <v>-2.3155906907274967E-2</v>
      </c>
    </row>
    <row r="7376" spans="7:8" x14ac:dyDescent="0.3">
      <c r="G7376" s="78">
        <v>7373</v>
      </c>
      <c r="H7376">
        <f t="shared" ca="1" si="110"/>
        <v>-1.1324308102772636E-2</v>
      </c>
    </row>
    <row r="7377" spans="7:8" x14ac:dyDescent="0.3">
      <c r="G7377" s="78">
        <v>7374</v>
      </c>
      <c r="H7377">
        <f t="shared" ca="1" si="110"/>
        <v>3.9615201633492825E-3</v>
      </c>
    </row>
    <row r="7378" spans="7:8" x14ac:dyDescent="0.3">
      <c r="G7378" s="78">
        <v>7375</v>
      </c>
      <c r="H7378">
        <f t="shared" ca="1" si="110"/>
        <v>3.392591170489577E-2</v>
      </c>
    </row>
    <row r="7379" spans="7:8" x14ac:dyDescent="0.3">
      <c r="G7379" s="78">
        <v>7376</v>
      </c>
      <c r="H7379">
        <f t="shared" ca="1" si="110"/>
        <v>6.4337935961405351E-4</v>
      </c>
    </row>
    <row r="7380" spans="7:8" x14ac:dyDescent="0.3">
      <c r="G7380" s="78">
        <v>7377</v>
      </c>
      <c r="H7380">
        <f t="shared" ca="1" si="110"/>
        <v>3.0709586318920394E-2</v>
      </c>
    </row>
    <row r="7381" spans="7:8" x14ac:dyDescent="0.3">
      <c r="G7381" s="78">
        <v>7378</v>
      </c>
      <c r="H7381">
        <f t="shared" ca="1" si="110"/>
        <v>2.7725120389255127E-2</v>
      </c>
    </row>
    <row r="7382" spans="7:8" x14ac:dyDescent="0.3">
      <c r="G7382" s="78">
        <v>7379</v>
      </c>
      <c r="H7382">
        <f t="shared" ca="1" si="110"/>
        <v>-1.3519924442603872E-3</v>
      </c>
    </row>
    <row r="7383" spans="7:8" x14ac:dyDescent="0.3">
      <c r="G7383" s="78">
        <v>7380</v>
      </c>
      <c r="H7383">
        <f t="shared" ca="1" si="110"/>
        <v>2.2451198418466982E-2</v>
      </c>
    </row>
    <row r="7384" spans="7:8" x14ac:dyDescent="0.3">
      <c r="G7384" s="78">
        <v>7381</v>
      </c>
      <c r="H7384">
        <f t="shared" ca="1" si="110"/>
        <v>5.8098700865970548E-4</v>
      </c>
    </row>
    <row r="7385" spans="7:8" x14ac:dyDescent="0.3">
      <c r="G7385" s="78">
        <v>7382</v>
      </c>
      <c r="H7385">
        <f t="shared" ca="1" si="110"/>
        <v>-1.9390475430005289E-2</v>
      </c>
    </row>
    <row r="7386" spans="7:8" x14ac:dyDescent="0.3">
      <c r="G7386" s="78">
        <v>7383</v>
      </c>
      <c r="H7386">
        <f t="shared" ca="1" si="110"/>
        <v>-5.6955779310358216E-3</v>
      </c>
    </row>
    <row r="7387" spans="7:8" x14ac:dyDescent="0.3">
      <c r="G7387" s="78">
        <v>7384</v>
      </c>
      <c r="H7387">
        <f t="shared" ca="1" si="110"/>
        <v>9.3097837888698684E-4</v>
      </c>
    </row>
    <row r="7388" spans="7:8" x14ac:dyDescent="0.3">
      <c r="G7388" s="78">
        <v>7385</v>
      </c>
      <c r="H7388">
        <f t="shared" ca="1" si="110"/>
        <v>2.0247030165953452E-2</v>
      </c>
    </row>
    <row r="7389" spans="7:8" x14ac:dyDescent="0.3">
      <c r="G7389" s="78">
        <v>7386</v>
      </c>
      <c r="H7389">
        <f t="shared" ca="1" si="110"/>
        <v>8.6880881574896516E-3</v>
      </c>
    </row>
    <row r="7390" spans="7:8" x14ac:dyDescent="0.3">
      <c r="G7390" s="78">
        <v>7387</v>
      </c>
      <c r="H7390">
        <f t="shared" ca="1" si="110"/>
        <v>-3.4031497762604238E-2</v>
      </c>
    </row>
    <row r="7391" spans="7:8" x14ac:dyDescent="0.3">
      <c r="G7391" s="78">
        <v>7388</v>
      </c>
      <c r="H7391">
        <f t="shared" ca="1" si="110"/>
        <v>-2.006577408540108E-2</v>
      </c>
    </row>
    <row r="7392" spans="7:8" x14ac:dyDescent="0.3">
      <c r="G7392" s="78">
        <v>7389</v>
      </c>
      <c r="H7392">
        <f t="shared" ca="1" si="110"/>
        <v>-2.5872162550948496E-3</v>
      </c>
    </row>
    <row r="7393" spans="7:8" x14ac:dyDescent="0.3">
      <c r="G7393" s="78">
        <v>7390</v>
      </c>
      <c r="H7393">
        <f t="shared" ca="1" si="110"/>
        <v>-1.2867690170871393E-2</v>
      </c>
    </row>
    <row r="7394" spans="7:8" x14ac:dyDescent="0.3">
      <c r="G7394" s="78">
        <v>7391</v>
      </c>
      <c r="H7394">
        <f t="shared" ca="1" si="110"/>
        <v>9.6527009556747175E-4</v>
      </c>
    </row>
    <row r="7395" spans="7:8" x14ac:dyDescent="0.3">
      <c r="G7395" s="78">
        <v>7392</v>
      </c>
      <c r="H7395">
        <f t="shared" ca="1" si="110"/>
        <v>6.5327963273455571E-4</v>
      </c>
    </row>
    <row r="7396" spans="7:8" x14ac:dyDescent="0.3">
      <c r="G7396" s="78">
        <v>7393</v>
      </c>
      <c r="H7396">
        <f t="shared" ca="1" si="110"/>
        <v>1.739881554238481E-3</v>
      </c>
    </row>
    <row r="7397" spans="7:8" x14ac:dyDescent="0.3">
      <c r="G7397" s="78">
        <v>7394</v>
      </c>
      <c r="H7397">
        <f t="shared" ca="1" si="110"/>
        <v>-2.4229299641510202E-2</v>
      </c>
    </row>
    <row r="7398" spans="7:8" x14ac:dyDescent="0.3">
      <c r="G7398" s="78">
        <v>7395</v>
      </c>
      <c r="H7398">
        <f t="shared" ca="1" si="110"/>
        <v>-2.408360962164937E-2</v>
      </c>
    </row>
    <row r="7399" spans="7:8" x14ac:dyDescent="0.3">
      <c r="G7399" s="78">
        <v>7396</v>
      </c>
      <c r="H7399">
        <f t="shared" ca="1" si="110"/>
        <v>7.9998555096320607E-3</v>
      </c>
    </row>
    <row r="7400" spans="7:8" x14ac:dyDescent="0.3">
      <c r="G7400" s="78">
        <v>7397</v>
      </c>
      <c r="H7400">
        <f t="shared" ca="1" si="110"/>
        <v>-4.4286377304218255E-3</v>
      </c>
    </row>
    <row r="7401" spans="7:8" x14ac:dyDescent="0.3">
      <c r="G7401" s="78">
        <v>7398</v>
      </c>
      <c r="H7401">
        <f t="shared" ca="1" si="110"/>
        <v>-1.6734353020436996E-2</v>
      </c>
    </row>
    <row r="7402" spans="7:8" x14ac:dyDescent="0.3">
      <c r="G7402" s="78">
        <v>7399</v>
      </c>
      <c r="H7402">
        <f t="shared" ca="1" si="110"/>
        <v>2.028075172698442E-2</v>
      </c>
    </row>
    <row r="7403" spans="7:8" x14ac:dyDescent="0.3">
      <c r="G7403" s="78">
        <v>7400</v>
      </c>
      <c r="H7403">
        <f t="shared" ca="1" si="110"/>
        <v>4.3620738101770015E-2</v>
      </c>
    </row>
    <row r="7404" spans="7:8" x14ac:dyDescent="0.3">
      <c r="G7404" s="78">
        <v>7401</v>
      </c>
      <c r="H7404">
        <f t="shared" ca="1" si="110"/>
        <v>-1.2263438772996009E-2</v>
      </c>
    </row>
    <row r="7405" spans="7:8" x14ac:dyDescent="0.3">
      <c r="G7405" s="78">
        <v>7402</v>
      </c>
      <c r="H7405">
        <f t="shared" ca="1" si="110"/>
        <v>1.1235227053774657E-2</v>
      </c>
    </row>
    <row r="7406" spans="7:8" x14ac:dyDescent="0.3">
      <c r="G7406" s="78">
        <v>7403</v>
      </c>
      <c r="H7406">
        <f t="shared" ca="1" si="110"/>
        <v>-1.208987560020282E-2</v>
      </c>
    </row>
    <row r="7407" spans="7:8" x14ac:dyDescent="0.3">
      <c r="G7407" s="78">
        <v>7404</v>
      </c>
      <c r="H7407">
        <f t="shared" ca="1" si="110"/>
        <v>-2.2838111502469623E-2</v>
      </c>
    </row>
    <row r="7408" spans="7:8" x14ac:dyDescent="0.3">
      <c r="G7408" s="78">
        <v>7405</v>
      </c>
      <c r="H7408">
        <f t="shared" ca="1" si="110"/>
        <v>-1.3325633108391783E-2</v>
      </c>
    </row>
    <row r="7409" spans="7:8" x14ac:dyDescent="0.3">
      <c r="G7409" s="78">
        <v>7406</v>
      </c>
      <c r="H7409">
        <f t="shared" ca="1" si="110"/>
        <v>-4.5116248566786903E-3</v>
      </c>
    </row>
    <row r="7410" spans="7:8" x14ac:dyDescent="0.3">
      <c r="G7410" s="78">
        <v>7407</v>
      </c>
      <c r="H7410">
        <f t="shared" ca="1" si="110"/>
        <v>7.3429049798359519E-3</v>
      </c>
    </row>
    <row r="7411" spans="7:8" x14ac:dyDescent="0.3">
      <c r="G7411" s="78">
        <v>7408</v>
      </c>
      <c r="H7411">
        <f t="shared" ca="1" si="110"/>
        <v>2.0929607285213363E-2</v>
      </c>
    </row>
    <row r="7412" spans="7:8" x14ac:dyDescent="0.3">
      <c r="G7412" s="78">
        <v>7409</v>
      </c>
      <c r="H7412">
        <f t="shared" ca="1" si="110"/>
        <v>3.3532248920412823E-2</v>
      </c>
    </row>
    <row r="7413" spans="7:8" x14ac:dyDescent="0.3">
      <c r="G7413" s="78">
        <v>7410</v>
      </c>
      <c r="H7413">
        <f t="shared" ca="1" si="110"/>
        <v>-3.0379453802906992E-2</v>
      </c>
    </row>
    <row r="7414" spans="7:8" x14ac:dyDescent="0.3">
      <c r="G7414" s="78">
        <v>7411</v>
      </c>
      <c r="H7414">
        <f t="shared" ca="1" si="110"/>
        <v>1.5518553047801076E-2</v>
      </c>
    </row>
    <row r="7415" spans="7:8" x14ac:dyDescent="0.3">
      <c r="G7415" s="78">
        <v>7412</v>
      </c>
      <c r="H7415">
        <f t="shared" ca="1" si="110"/>
        <v>-1.7753481654085631E-2</v>
      </c>
    </row>
    <row r="7416" spans="7:8" x14ac:dyDescent="0.3">
      <c r="G7416" s="78">
        <v>7413</v>
      </c>
      <c r="H7416">
        <f t="shared" ca="1" si="110"/>
        <v>-9.6065779587981241E-3</v>
      </c>
    </row>
    <row r="7417" spans="7:8" x14ac:dyDescent="0.3">
      <c r="G7417" s="78">
        <v>7414</v>
      </c>
      <c r="H7417">
        <f t="shared" ca="1" si="110"/>
        <v>-3.5023946918292222E-3</v>
      </c>
    </row>
    <row r="7418" spans="7:8" x14ac:dyDescent="0.3">
      <c r="G7418" s="78">
        <v>7415</v>
      </c>
      <c r="H7418">
        <f t="shared" ca="1" si="110"/>
        <v>3.0972419466576157E-2</v>
      </c>
    </row>
    <row r="7419" spans="7:8" x14ac:dyDescent="0.3">
      <c r="G7419" s="78">
        <v>7416</v>
      </c>
      <c r="H7419">
        <f t="shared" ca="1" si="110"/>
        <v>-3.2320803827665494E-2</v>
      </c>
    </row>
    <row r="7420" spans="7:8" x14ac:dyDescent="0.3">
      <c r="G7420" s="78">
        <v>7417</v>
      </c>
      <c r="H7420">
        <f t="shared" ca="1" si="110"/>
        <v>3.6980106474297589E-3</v>
      </c>
    </row>
    <row r="7421" spans="7:8" x14ac:dyDescent="0.3">
      <c r="G7421" s="78">
        <v>7418</v>
      </c>
      <c r="H7421">
        <f t="shared" ca="1" si="110"/>
        <v>-5.1180245251356915E-3</v>
      </c>
    </row>
    <row r="7422" spans="7:8" x14ac:dyDescent="0.3">
      <c r="G7422" s="78">
        <v>7419</v>
      </c>
      <c r="H7422">
        <f t="shared" ca="1" si="110"/>
        <v>1.4331059318760487E-2</v>
      </c>
    </row>
    <row r="7423" spans="7:8" x14ac:dyDescent="0.3">
      <c r="G7423" s="78">
        <v>7420</v>
      </c>
      <c r="H7423">
        <f t="shared" ca="1" si="110"/>
        <v>1.4120219886006294E-3</v>
      </c>
    </row>
    <row r="7424" spans="7:8" x14ac:dyDescent="0.3">
      <c r="G7424" s="78">
        <v>7421</v>
      </c>
      <c r="H7424">
        <f t="shared" ca="1" si="110"/>
        <v>-3.9364512276170292E-2</v>
      </c>
    </row>
    <row r="7425" spans="7:8" x14ac:dyDescent="0.3">
      <c r="G7425" s="78">
        <v>7422</v>
      </c>
      <c r="H7425">
        <f t="shared" ca="1" si="110"/>
        <v>-2.7420608678893454E-2</v>
      </c>
    </row>
    <row r="7426" spans="7:8" x14ac:dyDescent="0.3">
      <c r="G7426" s="78">
        <v>7423</v>
      </c>
      <c r="H7426">
        <f t="shared" ca="1" si="110"/>
        <v>-9.4912889660791477E-3</v>
      </c>
    </row>
    <row r="7427" spans="7:8" x14ac:dyDescent="0.3">
      <c r="G7427" s="78">
        <v>7424</v>
      </c>
      <c r="H7427">
        <f t="shared" ca="1" si="110"/>
        <v>-1.1102566776593036E-2</v>
      </c>
    </row>
    <row r="7428" spans="7:8" x14ac:dyDescent="0.3">
      <c r="G7428" s="78">
        <v>7425</v>
      </c>
      <c r="H7428">
        <f t="shared" ref="H7428:H7491" ca="1" si="111">_xlfn.NORM.INV(RAND(),$N$4,$N$5)</f>
        <v>-4.4668933380765594E-3</v>
      </c>
    </row>
    <row r="7429" spans="7:8" x14ac:dyDescent="0.3">
      <c r="G7429" s="78">
        <v>7426</v>
      </c>
      <c r="H7429">
        <f t="shared" ca="1" si="111"/>
        <v>6.2386200959501696E-2</v>
      </c>
    </row>
    <row r="7430" spans="7:8" x14ac:dyDescent="0.3">
      <c r="G7430" s="78">
        <v>7427</v>
      </c>
      <c r="H7430">
        <f t="shared" ca="1" si="111"/>
        <v>8.2414696267487583E-3</v>
      </c>
    </row>
    <row r="7431" spans="7:8" x14ac:dyDescent="0.3">
      <c r="G7431" s="78">
        <v>7428</v>
      </c>
      <c r="H7431">
        <f t="shared" ca="1" si="111"/>
        <v>1.561214560037698E-2</v>
      </c>
    </row>
    <row r="7432" spans="7:8" x14ac:dyDescent="0.3">
      <c r="G7432" s="78">
        <v>7429</v>
      </c>
      <c r="H7432">
        <f t="shared" ca="1" si="111"/>
        <v>4.9993619867828833E-2</v>
      </c>
    </row>
    <row r="7433" spans="7:8" x14ac:dyDescent="0.3">
      <c r="G7433" s="78">
        <v>7430</v>
      </c>
      <c r="H7433">
        <f t="shared" ca="1" si="111"/>
        <v>-3.447288207284057E-2</v>
      </c>
    </row>
    <row r="7434" spans="7:8" x14ac:dyDescent="0.3">
      <c r="G7434" s="78">
        <v>7431</v>
      </c>
      <c r="H7434">
        <f t="shared" ca="1" si="111"/>
        <v>1.5733003460282648E-2</v>
      </c>
    </row>
    <row r="7435" spans="7:8" x14ac:dyDescent="0.3">
      <c r="G7435" s="78">
        <v>7432</v>
      </c>
      <c r="H7435">
        <f t="shared" ca="1" si="111"/>
        <v>1.4365649866672714E-2</v>
      </c>
    </row>
    <row r="7436" spans="7:8" x14ac:dyDescent="0.3">
      <c r="G7436" s="78">
        <v>7433</v>
      </c>
      <c r="H7436">
        <f t="shared" ca="1" si="111"/>
        <v>3.4257711162664363E-3</v>
      </c>
    </row>
    <row r="7437" spans="7:8" x14ac:dyDescent="0.3">
      <c r="G7437" s="78">
        <v>7434</v>
      </c>
      <c r="H7437">
        <f t="shared" ca="1" si="111"/>
        <v>4.0530534338806531E-2</v>
      </c>
    </row>
    <row r="7438" spans="7:8" x14ac:dyDescent="0.3">
      <c r="G7438" s="78">
        <v>7435</v>
      </c>
      <c r="H7438">
        <f t="shared" ca="1" si="111"/>
        <v>1.0052822044827752E-2</v>
      </c>
    </row>
    <row r="7439" spans="7:8" x14ac:dyDescent="0.3">
      <c r="G7439" s="78">
        <v>7436</v>
      </c>
      <c r="H7439">
        <f t="shared" ca="1" si="111"/>
        <v>-2.7949083329188171E-3</v>
      </c>
    </row>
    <row r="7440" spans="7:8" x14ac:dyDescent="0.3">
      <c r="G7440" s="78">
        <v>7437</v>
      </c>
      <c r="H7440">
        <f t="shared" ca="1" si="111"/>
        <v>8.8088352074376843E-3</v>
      </c>
    </row>
    <row r="7441" spans="7:8" x14ac:dyDescent="0.3">
      <c r="G7441" s="78">
        <v>7438</v>
      </c>
      <c r="H7441">
        <f t="shared" ca="1" si="111"/>
        <v>1.8188354865403083E-2</v>
      </c>
    </row>
    <row r="7442" spans="7:8" x14ac:dyDescent="0.3">
      <c r="G7442" s="78">
        <v>7439</v>
      </c>
      <c r="H7442">
        <f t="shared" ca="1" si="111"/>
        <v>-9.7883084785733813E-3</v>
      </c>
    </row>
    <row r="7443" spans="7:8" x14ac:dyDescent="0.3">
      <c r="G7443" s="78">
        <v>7440</v>
      </c>
      <c r="H7443">
        <f t="shared" ca="1" si="111"/>
        <v>1.8093149988879391E-2</v>
      </c>
    </row>
    <row r="7444" spans="7:8" x14ac:dyDescent="0.3">
      <c r="G7444" s="78">
        <v>7441</v>
      </c>
      <c r="H7444">
        <f t="shared" ca="1" si="111"/>
        <v>4.2876894642229602E-2</v>
      </c>
    </row>
    <row r="7445" spans="7:8" x14ac:dyDescent="0.3">
      <c r="G7445" s="78">
        <v>7442</v>
      </c>
      <c r="H7445">
        <f t="shared" ca="1" si="111"/>
        <v>-1.3090836671812081E-2</v>
      </c>
    </row>
    <row r="7446" spans="7:8" x14ac:dyDescent="0.3">
      <c r="G7446" s="78">
        <v>7443</v>
      </c>
      <c r="H7446">
        <f t="shared" ca="1" si="111"/>
        <v>8.3395345126856518E-3</v>
      </c>
    </row>
    <row r="7447" spans="7:8" x14ac:dyDescent="0.3">
      <c r="G7447" s="78">
        <v>7444</v>
      </c>
      <c r="H7447">
        <f t="shared" ca="1" si="111"/>
        <v>1.3537841058227501E-2</v>
      </c>
    </row>
    <row r="7448" spans="7:8" x14ac:dyDescent="0.3">
      <c r="G7448" s="78">
        <v>7445</v>
      </c>
      <c r="H7448">
        <f t="shared" ca="1" si="111"/>
        <v>4.8121259627911736E-3</v>
      </c>
    </row>
    <row r="7449" spans="7:8" x14ac:dyDescent="0.3">
      <c r="G7449" s="78">
        <v>7446</v>
      </c>
      <c r="H7449">
        <f t="shared" ca="1" si="111"/>
        <v>1.5610275690799131E-2</v>
      </c>
    </row>
    <row r="7450" spans="7:8" x14ac:dyDescent="0.3">
      <c r="G7450" s="78">
        <v>7447</v>
      </c>
      <c r="H7450">
        <f t="shared" ca="1" si="111"/>
        <v>-1.2231674763383684E-2</v>
      </c>
    </row>
    <row r="7451" spans="7:8" x14ac:dyDescent="0.3">
      <c r="G7451" s="78">
        <v>7448</v>
      </c>
      <c r="H7451">
        <f t="shared" ca="1" si="111"/>
        <v>1.0033285468267355E-2</v>
      </c>
    </row>
    <row r="7452" spans="7:8" x14ac:dyDescent="0.3">
      <c r="G7452" s="78">
        <v>7449</v>
      </c>
      <c r="H7452">
        <f t="shared" ca="1" si="111"/>
        <v>1.0640685366975509E-2</v>
      </c>
    </row>
    <row r="7453" spans="7:8" x14ac:dyDescent="0.3">
      <c r="G7453" s="78">
        <v>7450</v>
      </c>
      <c r="H7453">
        <f t="shared" ca="1" si="111"/>
        <v>-1.3729737934945949E-3</v>
      </c>
    </row>
    <row r="7454" spans="7:8" x14ac:dyDescent="0.3">
      <c r="G7454" s="78">
        <v>7451</v>
      </c>
      <c r="H7454">
        <f t="shared" ca="1" si="111"/>
        <v>4.9629242069148339E-3</v>
      </c>
    </row>
    <row r="7455" spans="7:8" x14ac:dyDescent="0.3">
      <c r="G7455" s="78">
        <v>7452</v>
      </c>
      <c r="H7455">
        <f t="shared" ca="1" si="111"/>
        <v>1.965209495153904E-2</v>
      </c>
    </row>
    <row r="7456" spans="7:8" x14ac:dyDescent="0.3">
      <c r="G7456" s="78">
        <v>7453</v>
      </c>
      <c r="H7456">
        <f t="shared" ca="1" si="111"/>
        <v>-2.0325490830330275E-2</v>
      </c>
    </row>
    <row r="7457" spans="7:8" x14ac:dyDescent="0.3">
      <c r="G7457" s="78">
        <v>7454</v>
      </c>
      <c r="H7457">
        <f t="shared" ca="1" si="111"/>
        <v>-1.5144816025585877E-3</v>
      </c>
    </row>
    <row r="7458" spans="7:8" x14ac:dyDescent="0.3">
      <c r="G7458" s="78">
        <v>7455</v>
      </c>
      <c r="H7458">
        <f t="shared" ca="1" si="111"/>
        <v>1.8463847220248252E-2</v>
      </c>
    </row>
    <row r="7459" spans="7:8" x14ac:dyDescent="0.3">
      <c r="G7459" s="78">
        <v>7456</v>
      </c>
      <c r="H7459">
        <f t="shared" ca="1" si="111"/>
        <v>2.3582342002438878E-2</v>
      </c>
    </row>
    <row r="7460" spans="7:8" x14ac:dyDescent="0.3">
      <c r="G7460" s="78">
        <v>7457</v>
      </c>
      <c r="H7460">
        <f t="shared" ca="1" si="111"/>
        <v>-2.4389970230142447E-2</v>
      </c>
    </row>
    <row r="7461" spans="7:8" x14ac:dyDescent="0.3">
      <c r="G7461" s="78">
        <v>7458</v>
      </c>
      <c r="H7461">
        <f t="shared" ca="1" si="111"/>
        <v>1.3714257539896449E-2</v>
      </c>
    </row>
    <row r="7462" spans="7:8" x14ac:dyDescent="0.3">
      <c r="G7462" s="78">
        <v>7459</v>
      </c>
      <c r="H7462">
        <f t="shared" ca="1" si="111"/>
        <v>1.0075179252629516E-2</v>
      </c>
    </row>
    <row r="7463" spans="7:8" x14ac:dyDescent="0.3">
      <c r="G7463" s="78">
        <v>7460</v>
      </c>
      <c r="H7463">
        <f t="shared" ca="1" si="111"/>
        <v>2.6048446098763473E-2</v>
      </c>
    </row>
    <row r="7464" spans="7:8" x14ac:dyDescent="0.3">
      <c r="G7464" s="78">
        <v>7461</v>
      </c>
      <c r="H7464">
        <f t="shared" ca="1" si="111"/>
        <v>-4.9844038590846637E-3</v>
      </c>
    </row>
    <row r="7465" spans="7:8" x14ac:dyDescent="0.3">
      <c r="G7465" s="78">
        <v>7462</v>
      </c>
      <c r="H7465">
        <f t="shared" ca="1" si="111"/>
        <v>-2.064580880147342E-2</v>
      </c>
    </row>
    <row r="7466" spans="7:8" x14ac:dyDescent="0.3">
      <c r="G7466" s="78">
        <v>7463</v>
      </c>
      <c r="H7466">
        <f t="shared" ca="1" si="111"/>
        <v>4.4289739169265215E-2</v>
      </c>
    </row>
    <row r="7467" spans="7:8" x14ac:dyDescent="0.3">
      <c r="G7467" s="78">
        <v>7464</v>
      </c>
      <c r="H7467">
        <f t="shared" ca="1" si="111"/>
        <v>3.4818356234713049E-2</v>
      </c>
    </row>
    <row r="7468" spans="7:8" x14ac:dyDescent="0.3">
      <c r="G7468" s="78">
        <v>7465</v>
      </c>
      <c r="H7468">
        <f t="shared" ca="1" si="111"/>
        <v>-1.915383079522253E-2</v>
      </c>
    </row>
    <row r="7469" spans="7:8" x14ac:dyDescent="0.3">
      <c r="G7469" s="78">
        <v>7466</v>
      </c>
      <c r="H7469">
        <f t="shared" ca="1" si="111"/>
        <v>1.4653143270394926E-2</v>
      </c>
    </row>
    <row r="7470" spans="7:8" x14ac:dyDescent="0.3">
      <c r="G7470" s="78">
        <v>7467</v>
      </c>
      <c r="H7470">
        <f t="shared" ca="1" si="111"/>
        <v>-4.5107659173177821E-2</v>
      </c>
    </row>
    <row r="7471" spans="7:8" x14ac:dyDescent="0.3">
      <c r="G7471" s="78">
        <v>7468</v>
      </c>
      <c r="H7471">
        <f t="shared" ca="1" si="111"/>
        <v>6.8681202510863289E-3</v>
      </c>
    </row>
    <row r="7472" spans="7:8" x14ac:dyDescent="0.3">
      <c r="G7472" s="78">
        <v>7469</v>
      </c>
      <c r="H7472">
        <f t="shared" ca="1" si="111"/>
        <v>-6.7651801183612201E-3</v>
      </c>
    </row>
    <row r="7473" spans="7:8" x14ac:dyDescent="0.3">
      <c r="G7473" s="78">
        <v>7470</v>
      </c>
      <c r="H7473">
        <f t="shared" ca="1" si="111"/>
        <v>-5.8567988077287622E-3</v>
      </c>
    </row>
    <row r="7474" spans="7:8" x14ac:dyDescent="0.3">
      <c r="G7474" s="78">
        <v>7471</v>
      </c>
      <c r="H7474">
        <f t="shared" ca="1" si="111"/>
        <v>-7.1818974852518578E-4</v>
      </c>
    </row>
    <row r="7475" spans="7:8" x14ac:dyDescent="0.3">
      <c r="G7475" s="78">
        <v>7472</v>
      </c>
      <c r="H7475">
        <f t="shared" ca="1" si="111"/>
        <v>1.4203641374921142E-2</v>
      </c>
    </row>
    <row r="7476" spans="7:8" x14ac:dyDescent="0.3">
      <c r="G7476" s="78">
        <v>7473</v>
      </c>
      <c r="H7476">
        <f t="shared" ca="1" si="111"/>
        <v>5.1665722072550884E-4</v>
      </c>
    </row>
    <row r="7477" spans="7:8" x14ac:dyDescent="0.3">
      <c r="G7477" s="78">
        <v>7474</v>
      </c>
      <c r="H7477">
        <f t="shared" ca="1" si="111"/>
        <v>2.136924537277137E-3</v>
      </c>
    </row>
    <row r="7478" spans="7:8" x14ac:dyDescent="0.3">
      <c r="G7478" s="78">
        <v>7475</v>
      </c>
      <c r="H7478">
        <f t="shared" ca="1" si="111"/>
        <v>1.298850952121316E-2</v>
      </c>
    </row>
    <row r="7479" spans="7:8" x14ac:dyDescent="0.3">
      <c r="G7479" s="78">
        <v>7476</v>
      </c>
      <c r="H7479">
        <f t="shared" ca="1" si="111"/>
        <v>-4.6259399618183766E-3</v>
      </c>
    </row>
    <row r="7480" spans="7:8" x14ac:dyDescent="0.3">
      <c r="G7480" s="78">
        <v>7477</v>
      </c>
      <c r="H7480">
        <f t="shared" ca="1" si="111"/>
        <v>-9.0282576300426721E-3</v>
      </c>
    </row>
    <row r="7481" spans="7:8" x14ac:dyDescent="0.3">
      <c r="G7481" s="78">
        <v>7478</v>
      </c>
      <c r="H7481">
        <f t="shared" ca="1" si="111"/>
        <v>5.8873592523098791E-4</v>
      </c>
    </row>
    <row r="7482" spans="7:8" x14ac:dyDescent="0.3">
      <c r="G7482" s="78">
        <v>7479</v>
      </c>
      <c r="H7482">
        <f t="shared" ca="1" si="111"/>
        <v>2.1533001877845362E-2</v>
      </c>
    </row>
    <row r="7483" spans="7:8" x14ac:dyDescent="0.3">
      <c r="G7483" s="78">
        <v>7480</v>
      </c>
      <c r="H7483">
        <f t="shared" ca="1" si="111"/>
        <v>9.1745038005285734E-4</v>
      </c>
    </row>
    <row r="7484" spans="7:8" x14ac:dyDescent="0.3">
      <c r="G7484" s="78">
        <v>7481</v>
      </c>
      <c r="H7484">
        <f t="shared" ca="1" si="111"/>
        <v>2.5385083767316005E-2</v>
      </c>
    </row>
    <row r="7485" spans="7:8" x14ac:dyDescent="0.3">
      <c r="G7485" s="78">
        <v>7482</v>
      </c>
      <c r="H7485">
        <f t="shared" ca="1" si="111"/>
        <v>-8.3997474548096526E-3</v>
      </c>
    </row>
    <row r="7486" spans="7:8" x14ac:dyDescent="0.3">
      <c r="G7486" s="78">
        <v>7483</v>
      </c>
      <c r="H7486">
        <f t="shared" ca="1" si="111"/>
        <v>1.9556937973068999E-3</v>
      </c>
    </row>
    <row r="7487" spans="7:8" x14ac:dyDescent="0.3">
      <c r="G7487" s="78">
        <v>7484</v>
      </c>
      <c r="H7487">
        <f t="shared" ca="1" si="111"/>
        <v>1.0234686830134067E-2</v>
      </c>
    </row>
    <row r="7488" spans="7:8" x14ac:dyDescent="0.3">
      <c r="G7488" s="78">
        <v>7485</v>
      </c>
      <c r="H7488">
        <f t="shared" ca="1" si="111"/>
        <v>8.5716513332188202E-3</v>
      </c>
    </row>
    <row r="7489" spans="7:8" x14ac:dyDescent="0.3">
      <c r="G7489" s="78">
        <v>7486</v>
      </c>
      <c r="H7489">
        <f t="shared" ca="1" si="111"/>
        <v>-8.6723635748402871E-3</v>
      </c>
    </row>
    <row r="7490" spans="7:8" x14ac:dyDescent="0.3">
      <c r="G7490" s="78">
        <v>7487</v>
      </c>
      <c r="H7490">
        <f t="shared" ca="1" si="111"/>
        <v>8.3675221113577863E-3</v>
      </c>
    </row>
    <row r="7491" spans="7:8" x14ac:dyDescent="0.3">
      <c r="G7491" s="78">
        <v>7488</v>
      </c>
      <c r="H7491">
        <f t="shared" ca="1" si="111"/>
        <v>2.8633597131113978E-2</v>
      </c>
    </row>
    <row r="7492" spans="7:8" x14ac:dyDescent="0.3">
      <c r="G7492" s="78">
        <v>7489</v>
      </c>
      <c r="H7492">
        <f t="shared" ref="H7492:H7555" ca="1" si="112">_xlfn.NORM.INV(RAND(),$N$4,$N$5)</f>
        <v>-1.6566558056692406E-2</v>
      </c>
    </row>
    <row r="7493" spans="7:8" x14ac:dyDescent="0.3">
      <c r="G7493" s="78">
        <v>7490</v>
      </c>
      <c r="H7493">
        <f t="shared" ca="1" si="112"/>
        <v>1.6922609075634292E-2</v>
      </c>
    </row>
    <row r="7494" spans="7:8" x14ac:dyDescent="0.3">
      <c r="G7494" s="78">
        <v>7491</v>
      </c>
      <c r="H7494">
        <f t="shared" ca="1" si="112"/>
        <v>-3.2732992155698665E-2</v>
      </c>
    </row>
    <row r="7495" spans="7:8" x14ac:dyDescent="0.3">
      <c r="G7495" s="78">
        <v>7492</v>
      </c>
      <c r="H7495">
        <f t="shared" ca="1" si="112"/>
        <v>-6.0191426531858256E-3</v>
      </c>
    </row>
    <row r="7496" spans="7:8" x14ac:dyDescent="0.3">
      <c r="G7496" s="78">
        <v>7493</v>
      </c>
      <c r="H7496">
        <f t="shared" ca="1" si="112"/>
        <v>-3.3295709336515718E-2</v>
      </c>
    </row>
    <row r="7497" spans="7:8" x14ac:dyDescent="0.3">
      <c r="G7497" s="78">
        <v>7494</v>
      </c>
      <c r="H7497">
        <f t="shared" ca="1" si="112"/>
        <v>5.3978603271851847E-2</v>
      </c>
    </row>
    <row r="7498" spans="7:8" x14ac:dyDescent="0.3">
      <c r="G7498" s="78">
        <v>7495</v>
      </c>
      <c r="H7498">
        <f t="shared" ca="1" si="112"/>
        <v>2.2827726820278685E-2</v>
      </c>
    </row>
    <row r="7499" spans="7:8" x14ac:dyDescent="0.3">
      <c r="G7499" s="78">
        <v>7496</v>
      </c>
      <c r="H7499">
        <f t="shared" ca="1" si="112"/>
        <v>-2.7545856030415646E-2</v>
      </c>
    </row>
    <row r="7500" spans="7:8" x14ac:dyDescent="0.3">
      <c r="G7500" s="78">
        <v>7497</v>
      </c>
      <c r="H7500">
        <f t="shared" ca="1" si="112"/>
        <v>6.2609886158769199E-4</v>
      </c>
    </row>
    <row r="7501" spans="7:8" x14ac:dyDescent="0.3">
      <c r="G7501" s="78">
        <v>7498</v>
      </c>
      <c r="H7501">
        <f t="shared" ca="1" si="112"/>
        <v>2.4805024917921208E-3</v>
      </c>
    </row>
    <row r="7502" spans="7:8" x14ac:dyDescent="0.3">
      <c r="G7502" s="78">
        <v>7499</v>
      </c>
      <c r="H7502">
        <f t="shared" ca="1" si="112"/>
        <v>9.1735569232421991E-3</v>
      </c>
    </row>
    <row r="7503" spans="7:8" x14ac:dyDescent="0.3">
      <c r="G7503" s="78">
        <v>7500</v>
      </c>
      <c r="H7503">
        <f t="shared" ca="1" si="112"/>
        <v>-1.1027720346885593E-2</v>
      </c>
    </row>
    <row r="7504" spans="7:8" x14ac:dyDescent="0.3">
      <c r="G7504" s="78">
        <v>7501</v>
      </c>
      <c r="H7504">
        <f t="shared" ca="1" si="112"/>
        <v>2.096334316077909E-2</v>
      </c>
    </row>
    <row r="7505" spans="7:8" x14ac:dyDescent="0.3">
      <c r="G7505" s="78">
        <v>7502</v>
      </c>
      <c r="H7505">
        <f t="shared" ca="1" si="112"/>
        <v>-5.9700752592863468E-3</v>
      </c>
    </row>
    <row r="7506" spans="7:8" x14ac:dyDescent="0.3">
      <c r="G7506" s="78">
        <v>7503</v>
      </c>
      <c r="H7506">
        <f t="shared" ca="1" si="112"/>
        <v>8.7245516925819246E-3</v>
      </c>
    </row>
    <row r="7507" spans="7:8" x14ac:dyDescent="0.3">
      <c r="G7507" s="78">
        <v>7504</v>
      </c>
      <c r="H7507">
        <f t="shared" ca="1" si="112"/>
        <v>-5.3989801715680153E-3</v>
      </c>
    </row>
    <row r="7508" spans="7:8" x14ac:dyDescent="0.3">
      <c r="G7508" s="78">
        <v>7505</v>
      </c>
      <c r="H7508">
        <f t="shared" ca="1" si="112"/>
        <v>-2.0981623842272402E-2</v>
      </c>
    </row>
    <row r="7509" spans="7:8" x14ac:dyDescent="0.3">
      <c r="G7509" s="78">
        <v>7506</v>
      </c>
      <c r="H7509">
        <f t="shared" ca="1" si="112"/>
        <v>3.9690540016650987E-4</v>
      </c>
    </row>
    <row r="7510" spans="7:8" x14ac:dyDescent="0.3">
      <c r="G7510" s="78">
        <v>7507</v>
      </c>
      <c r="H7510">
        <f t="shared" ca="1" si="112"/>
        <v>-3.6808297014419619E-3</v>
      </c>
    </row>
    <row r="7511" spans="7:8" x14ac:dyDescent="0.3">
      <c r="G7511" s="78">
        <v>7508</v>
      </c>
      <c r="H7511">
        <f t="shared" ca="1" si="112"/>
        <v>-4.8864576187049114E-3</v>
      </c>
    </row>
    <row r="7512" spans="7:8" x14ac:dyDescent="0.3">
      <c r="G7512" s="78">
        <v>7509</v>
      </c>
      <c r="H7512">
        <f t="shared" ca="1" si="112"/>
        <v>-5.2878700926868678E-3</v>
      </c>
    </row>
    <row r="7513" spans="7:8" x14ac:dyDescent="0.3">
      <c r="G7513" s="78">
        <v>7510</v>
      </c>
      <c r="H7513">
        <f t="shared" ca="1" si="112"/>
        <v>2.2282413504609046E-2</v>
      </c>
    </row>
    <row r="7514" spans="7:8" x14ac:dyDescent="0.3">
      <c r="G7514" s="78">
        <v>7511</v>
      </c>
      <c r="H7514">
        <f t="shared" ca="1" si="112"/>
        <v>-5.4869625310019618E-3</v>
      </c>
    </row>
    <row r="7515" spans="7:8" x14ac:dyDescent="0.3">
      <c r="G7515" s="78">
        <v>7512</v>
      </c>
      <c r="H7515">
        <f t="shared" ca="1" si="112"/>
        <v>7.1421588542315501E-3</v>
      </c>
    </row>
    <row r="7516" spans="7:8" x14ac:dyDescent="0.3">
      <c r="G7516" s="78">
        <v>7513</v>
      </c>
      <c r="H7516">
        <f t="shared" ca="1" si="112"/>
        <v>-1.2231205593261499E-2</v>
      </c>
    </row>
    <row r="7517" spans="7:8" x14ac:dyDescent="0.3">
      <c r="G7517" s="78">
        <v>7514</v>
      </c>
      <c r="H7517">
        <f t="shared" ca="1" si="112"/>
        <v>7.4942669911024669E-3</v>
      </c>
    </row>
    <row r="7518" spans="7:8" x14ac:dyDescent="0.3">
      <c r="G7518" s="78">
        <v>7515</v>
      </c>
      <c r="H7518">
        <f t="shared" ca="1" si="112"/>
        <v>-1.0990750528896015E-3</v>
      </c>
    </row>
    <row r="7519" spans="7:8" x14ac:dyDescent="0.3">
      <c r="G7519" s="78">
        <v>7516</v>
      </c>
      <c r="H7519">
        <f t="shared" ca="1" si="112"/>
        <v>-1.0267772429421177E-2</v>
      </c>
    </row>
    <row r="7520" spans="7:8" x14ac:dyDescent="0.3">
      <c r="G7520" s="78">
        <v>7517</v>
      </c>
      <c r="H7520">
        <f t="shared" ca="1" si="112"/>
        <v>5.2063927748125273E-3</v>
      </c>
    </row>
    <row r="7521" spans="7:8" x14ac:dyDescent="0.3">
      <c r="G7521" s="78">
        <v>7518</v>
      </c>
      <c r="H7521">
        <f t="shared" ca="1" si="112"/>
        <v>-1.844044987773051E-3</v>
      </c>
    </row>
    <row r="7522" spans="7:8" x14ac:dyDescent="0.3">
      <c r="G7522" s="78">
        <v>7519</v>
      </c>
      <c r="H7522">
        <f t="shared" ca="1" si="112"/>
        <v>-2.5003673180506699E-3</v>
      </c>
    </row>
    <row r="7523" spans="7:8" x14ac:dyDescent="0.3">
      <c r="G7523" s="78">
        <v>7520</v>
      </c>
      <c r="H7523">
        <f t="shared" ca="1" si="112"/>
        <v>1.8122461133235006E-2</v>
      </c>
    </row>
    <row r="7524" spans="7:8" x14ac:dyDescent="0.3">
      <c r="G7524" s="78">
        <v>7521</v>
      </c>
      <c r="H7524">
        <f t="shared" ca="1" si="112"/>
        <v>9.4374835619844451E-3</v>
      </c>
    </row>
    <row r="7525" spans="7:8" x14ac:dyDescent="0.3">
      <c r="G7525" s="78">
        <v>7522</v>
      </c>
      <c r="H7525">
        <f t="shared" ca="1" si="112"/>
        <v>2.4964090700190709E-2</v>
      </c>
    </row>
    <row r="7526" spans="7:8" x14ac:dyDescent="0.3">
      <c r="G7526" s="78">
        <v>7523</v>
      </c>
      <c r="H7526">
        <f t="shared" ca="1" si="112"/>
        <v>-1.6257706782433663E-2</v>
      </c>
    </row>
    <row r="7527" spans="7:8" x14ac:dyDescent="0.3">
      <c r="G7527" s="78">
        <v>7524</v>
      </c>
      <c r="H7527">
        <f t="shared" ca="1" si="112"/>
        <v>1.6323243410172814E-2</v>
      </c>
    </row>
    <row r="7528" spans="7:8" x14ac:dyDescent="0.3">
      <c r="G7528" s="78">
        <v>7525</v>
      </c>
      <c r="H7528">
        <f t="shared" ca="1" si="112"/>
        <v>7.2477131465847194E-3</v>
      </c>
    </row>
    <row r="7529" spans="7:8" x14ac:dyDescent="0.3">
      <c r="G7529" s="78">
        <v>7526</v>
      </c>
      <c r="H7529">
        <f t="shared" ca="1" si="112"/>
        <v>4.4767498253833254E-3</v>
      </c>
    </row>
    <row r="7530" spans="7:8" x14ac:dyDescent="0.3">
      <c r="G7530" s="78">
        <v>7527</v>
      </c>
      <c r="H7530">
        <f t="shared" ca="1" si="112"/>
        <v>8.7668931939240829E-3</v>
      </c>
    </row>
    <row r="7531" spans="7:8" x14ac:dyDescent="0.3">
      <c r="G7531" s="78">
        <v>7528</v>
      </c>
      <c r="H7531">
        <f t="shared" ca="1" si="112"/>
        <v>1.1968353589149007E-2</v>
      </c>
    </row>
    <row r="7532" spans="7:8" x14ac:dyDescent="0.3">
      <c r="G7532" s="78">
        <v>7529</v>
      </c>
      <c r="H7532">
        <f t="shared" ca="1" si="112"/>
        <v>-4.2100493889135329E-3</v>
      </c>
    </row>
    <row r="7533" spans="7:8" x14ac:dyDescent="0.3">
      <c r="G7533" s="78">
        <v>7530</v>
      </c>
      <c r="H7533">
        <f t="shared" ca="1" si="112"/>
        <v>2.6641363017141279E-2</v>
      </c>
    </row>
    <row r="7534" spans="7:8" x14ac:dyDescent="0.3">
      <c r="G7534" s="78">
        <v>7531</v>
      </c>
      <c r="H7534">
        <f t="shared" ca="1" si="112"/>
        <v>1.2359220885604755E-2</v>
      </c>
    </row>
    <row r="7535" spans="7:8" x14ac:dyDescent="0.3">
      <c r="G7535" s="78">
        <v>7532</v>
      </c>
      <c r="H7535">
        <f t="shared" ca="1" si="112"/>
        <v>-3.4865279780612593E-3</v>
      </c>
    </row>
    <row r="7536" spans="7:8" x14ac:dyDescent="0.3">
      <c r="G7536" s="78">
        <v>7533</v>
      </c>
      <c r="H7536">
        <f t="shared" ca="1" si="112"/>
        <v>5.6678066341390243E-3</v>
      </c>
    </row>
    <row r="7537" spans="7:8" x14ac:dyDescent="0.3">
      <c r="G7537" s="78">
        <v>7534</v>
      </c>
      <c r="H7537">
        <f t="shared" ca="1" si="112"/>
        <v>2.0184275430369138E-2</v>
      </c>
    </row>
    <row r="7538" spans="7:8" x14ac:dyDescent="0.3">
      <c r="G7538" s="78">
        <v>7535</v>
      </c>
      <c r="H7538">
        <f t="shared" ca="1" si="112"/>
        <v>4.5814947872018673E-3</v>
      </c>
    </row>
    <row r="7539" spans="7:8" x14ac:dyDescent="0.3">
      <c r="G7539" s="78">
        <v>7536</v>
      </c>
      <c r="H7539">
        <f t="shared" ca="1" si="112"/>
        <v>3.6706683864503598E-3</v>
      </c>
    </row>
    <row r="7540" spans="7:8" x14ac:dyDescent="0.3">
      <c r="G7540" s="78">
        <v>7537</v>
      </c>
      <c r="H7540">
        <f t="shared" ca="1" si="112"/>
        <v>1.5156379586518835E-2</v>
      </c>
    </row>
    <row r="7541" spans="7:8" x14ac:dyDescent="0.3">
      <c r="G7541" s="78">
        <v>7538</v>
      </c>
      <c r="H7541">
        <f t="shared" ca="1" si="112"/>
        <v>5.4162128023949865E-3</v>
      </c>
    </row>
    <row r="7542" spans="7:8" x14ac:dyDescent="0.3">
      <c r="G7542" s="78">
        <v>7539</v>
      </c>
      <c r="H7542">
        <f t="shared" ca="1" si="112"/>
        <v>-3.5572473993423469E-3</v>
      </c>
    </row>
    <row r="7543" spans="7:8" x14ac:dyDescent="0.3">
      <c r="G7543" s="78">
        <v>7540</v>
      </c>
      <c r="H7543">
        <f t="shared" ca="1" si="112"/>
        <v>-3.9311236718553945E-2</v>
      </c>
    </row>
    <row r="7544" spans="7:8" x14ac:dyDescent="0.3">
      <c r="G7544" s="78">
        <v>7541</v>
      </c>
      <c r="H7544">
        <f t="shared" ca="1" si="112"/>
        <v>4.6613268948835712E-3</v>
      </c>
    </row>
    <row r="7545" spans="7:8" x14ac:dyDescent="0.3">
      <c r="G7545" s="78">
        <v>7542</v>
      </c>
      <c r="H7545">
        <f t="shared" ca="1" si="112"/>
        <v>1.2400733818878051E-2</v>
      </c>
    </row>
    <row r="7546" spans="7:8" x14ac:dyDescent="0.3">
      <c r="G7546" s="78">
        <v>7543</v>
      </c>
      <c r="H7546">
        <f t="shared" ca="1" si="112"/>
        <v>-3.7091469681368908E-2</v>
      </c>
    </row>
    <row r="7547" spans="7:8" x14ac:dyDescent="0.3">
      <c r="G7547" s="78">
        <v>7544</v>
      </c>
      <c r="H7547">
        <f t="shared" ca="1" si="112"/>
        <v>1.0702566150982782E-2</v>
      </c>
    </row>
    <row r="7548" spans="7:8" x14ac:dyDescent="0.3">
      <c r="G7548" s="78">
        <v>7545</v>
      </c>
      <c r="H7548">
        <f t="shared" ca="1" si="112"/>
        <v>1.6210132794002796E-2</v>
      </c>
    </row>
    <row r="7549" spans="7:8" x14ac:dyDescent="0.3">
      <c r="G7549" s="78">
        <v>7546</v>
      </c>
      <c r="H7549">
        <f t="shared" ca="1" si="112"/>
        <v>5.9563490936867551E-3</v>
      </c>
    </row>
    <row r="7550" spans="7:8" x14ac:dyDescent="0.3">
      <c r="G7550" s="78">
        <v>7547</v>
      </c>
      <c r="H7550">
        <f t="shared" ca="1" si="112"/>
        <v>-3.2878683855425729E-2</v>
      </c>
    </row>
    <row r="7551" spans="7:8" x14ac:dyDescent="0.3">
      <c r="G7551" s="78">
        <v>7548</v>
      </c>
      <c r="H7551">
        <f t="shared" ca="1" si="112"/>
        <v>-1.9835508652572286E-2</v>
      </c>
    </row>
    <row r="7552" spans="7:8" x14ac:dyDescent="0.3">
      <c r="G7552" s="78">
        <v>7549</v>
      </c>
      <c r="H7552">
        <f t="shared" ca="1" si="112"/>
        <v>-1.4958326716566507E-2</v>
      </c>
    </row>
    <row r="7553" spans="7:8" x14ac:dyDescent="0.3">
      <c r="G7553" s="78">
        <v>7550</v>
      </c>
      <c r="H7553">
        <f t="shared" ca="1" si="112"/>
        <v>-7.0450450991957512E-3</v>
      </c>
    </row>
    <row r="7554" spans="7:8" x14ac:dyDescent="0.3">
      <c r="G7554" s="78">
        <v>7551</v>
      </c>
      <c r="H7554">
        <f t="shared" ca="1" si="112"/>
        <v>-2.4727332093701766E-2</v>
      </c>
    </row>
    <row r="7555" spans="7:8" x14ac:dyDescent="0.3">
      <c r="G7555" s="78">
        <v>7552</v>
      </c>
      <c r="H7555">
        <f t="shared" ca="1" si="112"/>
        <v>9.2071294287917101E-3</v>
      </c>
    </row>
    <row r="7556" spans="7:8" x14ac:dyDescent="0.3">
      <c r="G7556" s="78">
        <v>7553</v>
      </c>
      <c r="H7556">
        <f t="shared" ref="H7556:H7619" ca="1" si="113">_xlfn.NORM.INV(RAND(),$N$4,$N$5)</f>
        <v>3.3679295899816816E-2</v>
      </c>
    </row>
    <row r="7557" spans="7:8" x14ac:dyDescent="0.3">
      <c r="G7557" s="78">
        <v>7554</v>
      </c>
      <c r="H7557">
        <f t="shared" ca="1" si="113"/>
        <v>-2.8495885715752838E-3</v>
      </c>
    </row>
    <row r="7558" spans="7:8" x14ac:dyDescent="0.3">
      <c r="G7558" s="78">
        <v>7555</v>
      </c>
      <c r="H7558">
        <f t="shared" ca="1" si="113"/>
        <v>-2.9821985073334126E-2</v>
      </c>
    </row>
    <row r="7559" spans="7:8" x14ac:dyDescent="0.3">
      <c r="G7559" s="78">
        <v>7556</v>
      </c>
      <c r="H7559">
        <f t="shared" ca="1" si="113"/>
        <v>-6.403089009687596E-3</v>
      </c>
    </row>
    <row r="7560" spans="7:8" x14ac:dyDescent="0.3">
      <c r="G7560" s="78">
        <v>7557</v>
      </c>
      <c r="H7560">
        <f t="shared" ca="1" si="113"/>
        <v>-4.4485423134497624E-3</v>
      </c>
    </row>
    <row r="7561" spans="7:8" x14ac:dyDescent="0.3">
      <c r="G7561" s="78">
        <v>7558</v>
      </c>
      <c r="H7561">
        <f t="shared" ca="1" si="113"/>
        <v>2.2676874658096435E-3</v>
      </c>
    </row>
    <row r="7562" spans="7:8" x14ac:dyDescent="0.3">
      <c r="G7562" s="78">
        <v>7559</v>
      </c>
      <c r="H7562">
        <f t="shared" ca="1" si="113"/>
        <v>5.9189743450477322E-3</v>
      </c>
    </row>
    <row r="7563" spans="7:8" x14ac:dyDescent="0.3">
      <c r="G7563" s="78">
        <v>7560</v>
      </c>
      <c r="H7563">
        <f t="shared" ca="1" si="113"/>
        <v>2.3387133661261553E-2</v>
      </c>
    </row>
    <row r="7564" spans="7:8" x14ac:dyDescent="0.3">
      <c r="G7564" s="78">
        <v>7561</v>
      </c>
      <c r="H7564">
        <f t="shared" ca="1" si="113"/>
        <v>1.8126868700396214E-2</v>
      </c>
    </row>
    <row r="7565" spans="7:8" x14ac:dyDescent="0.3">
      <c r="G7565" s="78">
        <v>7562</v>
      </c>
      <c r="H7565">
        <f t="shared" ca="1" si="113"/>
        <v>3.5093595946942273E-2</v>
      </c>
    </row>
    <row r="7566" spans="7:8" x14ac:dyDescent="0.3">
      <c r="G7566" s="78">
        <v>7563</v>
      </c>
      <c r="H7566">
        <f t="shared" ca="1" si="113"/>
        <v>-1.5370577708443071E-3</v>
      </c>
    </row>
    <row r="7567" spans="7:8" x14ac:dyDescent="0.3">
      <c r="G7567" s="78">
        <v>7564</v>
      </c>
      <c r="H7567">
        <f t="shared" ca="1" si="113"/>
        <v>2.0060087008455799E-2</v>
      </c>
    </row>
    <row r="7568" spans="7:8" x14ac:dyDescent="0.3">
      <c r="G7568" s="78">
        <v>7565</v>
      </c>
      <c r="H7568">
        <f t="shared" ca="1" si="113"/>
        <v>-8.209026937221954E-3</v>
      </c>
    </row>
    <row r="7569" spans="7:8" x14ac:dyDescent="0.3">
      <c r="G7569" s="78">
        <v>7566</v>
      </c>
      <c r="H7569">
        <f t="shared" ca="1" si="113"/>
        <v>2.0760878961851251E-2</v>
      </c>
    </row>
    <row r="7570" spans="7:8" x14ac:dyDescent="0.3">
      <c r="G7570" s="78">
        <v>7567</v>
      </c>
      <c r="H7570">
        <f t="shared" ca="1" si="113"/>
        <v>1.5770245161293737E-2</v>
      </c>
    </row>
    <row r="7571" spans="7:8" x14ac:dyDescent="0.3">
      <c r="G7571" s="78">
        <v>7568</v>
      </c>
      <c r="H7571">
        <f t="shared" ca="1" si="113"/>
        <v>-2.0450395830568843E-2</v>
      </c>
    </row>
    <row r="7572" spans="7:8" x14ac:dyDescent="0.3">
      <c r="G7572" s="78">
        <v>7569</v>
      </c>
      <c r="H7572">
        <f t="shared" ca="1" si="113"/>
        <v>2.5704121001913088E-2</v>
      </c>
    </row>
    <row r="7573" spans="7:8" x14ac:dyDescent="0.3">
      <c r="G7573" s="78">
        <v>7570</v>
      </c>
      <c r="H7573">
        <f t="shared" ca="1" si="113"/>
        <v>-1.5162939862182577E-2</v>
      </c>
    </row>
    <row r="7574" spans="7:8" x14ac:dyDescent="0.3">
      <c r="G7574" s="78">
        <v>7571</v>
      </c>
      <c r="H7574">
        <f t="shared" ca="1" si="113"/>
        <v>-1.54233995287147E-2</v>
      </c>
    </row>
    <row r="7575" spans="7:8" x14ac:dyDescent="0.3">
      <c r="G7575" s="78">
        <v>7572</v>
      </c>
      <c r="H7575">
        <f t="shared" ca="1" si="113"/>
        <v>1.7735332102704518E-2</v>
      </c>
    </row>
    <row r="7576" spans="7:8" x14ac:dyDescent="0.3">
      <c r="G7576" s="78">
        <v>7573</v>
      </c>
      <c r="H7576">
        <f t="shared" ca="1" si="113"/>
        <v>3.7377420852850096E-3</v>
      </c>
    </row>
    <row r="7577" spans="7:8" x14ac:dyDescent="0.3">
      <c r="G7577" s="78">
        <v>7574</v>
      </c>
      <c r="H7577">
        <f t="shared" ca="1" si="113"/>
        <v>4.7049874583788183E-3</v>
      </c>
    </row>
    <row r="7578" spans="7:8" x14ac:dyDescent="0.3">
      <c r="G7578" s="78">
        <v>7575</v>
      </c>
      <c r="H7578">
        <f t="shared" ca="1" si="113"/>
        <v>5.0777617718396626E-3</v>
      </c>
    </row>
    <row r="7579" spans="7:8" x14ac:dyDescent="0.3">
      <c r="G7579" s="78">
        <v>7576</v>
      </c>
      <c r="H7579">
        <f t="shared" ca="1" si="113"/>
        <v>7.1459252323342708E-3</v>
      </c>
    </row>
    <row r="7580" spans="7:8" x14ac:dyDescent="0.3">
      <c r="G7580" s="78">
        <v>7577</v>
      </c>
      <c r="H7580">
        <f t="shared" ca="1" si="113"/>
        <v>3.7760572717606836E-3</v>
      </c>
    </row>
    <row r="7581" spans="7:8" x14ac:dyDescent="0.3">
      <c r="G7581" s="78">
        <v>7578</v>
      </c>
      <c r="H7581">
        <f t="shared" ca="1" si="113"/>
        <v>5.2118915323316264E-3</v>
      </c>
    </row>
    <row r="7582" spans="7:8" x14ac:dyDescent="0.3">
      <c r="G7582" s="78">
        <v>7579</v>
      </c>
      <c r="H7582">
        <f t="shared" ca="1" si="113"/>
        <v>1.5919393790541574E-2</v>
      </c>
    </row>
    <row r="7583" spans="7:8" x14ac:dyDescent="0.3">
      <c r="G7583" s="78">
        <v>7580</v>
      </c>
      <c r="H7583">
        <f t="shared" ca="1" si="113"/>
        <v>5.2693412787053794E-3</v>
      </c>
    </row>
    <row r="7584" spans="7:8" x14ac:dyDescent="0.3">
      <c r="G7584" s="78">
        <v>7581</v>
      </c>
      <c r="H7584">
        <f t="shared" ca="1" si="113"/>
        <v>-1.3515547669276994E-2</v>
      </c>
    </row>
    <row r="7585" spans="7:8" x14ac:dyDescent="0.3">
      <c r="G7585" s="78">
        <v>7582</v>
      </c>
      <c r="H7585">
        <f t="shared" ca="1" si="113"/>
        <v>3.2461260524498527E-2</v>
      </c>
    </row>
    <row r="7586" spans="7:8" x14ac:dyDescent="0.3">
      <c r="G7586" s="78">
        <v>7583</v>
      </c>
      <c r="H7586">
        <f t="shared" ca="1" si="113"/>
        <v>-2.3430682222628195E-2</v>
      </c>
    </row>
    <row r="7587" spans="7:8" x14ac:dyDescent="0.3">
      <c r="G7587" s="78">
        <v>7584</v>
      </c>
      <c r="H7587">
        <f t="shared" ca="1" si="113"/>
        <v>5.4556904270526068E-3</v>
      </c>
    </row>
    <row r="7588" spans="7:8" x14ac:dyDescent="0.3">
      <c r="G7588" s="78">
        <v>7585</v>
      </c>
      <c r="H7588">
        <f t="shared" ca="1" si="113"/>
        <v>1.7614315961011314E-2</v>
      </c>
    </row>
    <row r="7589" spans="7:8" x14ac:dyDescent="0.3">
      <c r="G7589" s="78">
        <v>7586</v>
      </c>
      <c r="H7589">
        <f t="shared" ca="1" si="113"/>
        <v>2.2829093627097518E-2</v>
      </c>
    </row>
    <row r="7590" spans="7:8" x14ac:dyDescent="0.3">
      <c r="G7590" s="78">
        <v>7587</v>
      </c>
      <c r="H7590">
        <f t="shared" ca="1" si="113"/>
        <v>1.3129962815908709E-2</v>
      </c>
    </row>
    <row r="7591" spans="7:8" x14ac:dyDescent="0.3">
      <c r="G7591" s="78">
        <v>7588</v>
      </c>
      <c r="H7591">
        <f t="shared" ca="1" si="113"/>
        <v>2.075141149130498E-2</v>
      </c>
    </row>
    <row r="7592" spans="7:8" x14ac:dyDescent="0.3">
      <c r="G7592" s="78">
        <v>7589</v>
      </c>
      <c r="H7592">
        <f t="shared" ca="1" si="113"/>
        <v>2.4608080176285849E-3</v>
      </c>
    </row>
    <row r="7593" spans="7:8" x14ac:dyDescent="0.3">
      <c r="G7593" s="78">
        <v>7590</v>
      </c>
      <c r="H7593">
        <f t="shared" ca="1" si="113"/>
        <v>-2.0037103346433407E-2</v>
      </c>
    </row>
    <row r="7594" spans="7:8" x14ac:dyDescent="0.3">
      <c r="G7594" s="78">
        <v>7591</v>
      </c>
      <c r="H7594">
        <f t="shared" ca="1" si="113"/>
        <v>-3.1333820501459095E-2</v>
      </c>
    </row>
    <row r="7595" spans="7:8" x14ac:dyDescent="0.3">
      <c r="G7595" s="78">
        <v>7592</v>
      </c>
      <c r="H7595">
        <f t="shared" ca="1" si="113"/>
        <v>3.3291261555152399E-2</v>
      </c>
    </row>
    <row r="7596" spans="7:8" x14ac:dyDescent="0.3">
      <c r="G7596" s="78">
        <v>7593</v>
      </c>
      <c r="H7596">
        <f t="shared" ca="1" si="113"/>
        <v>-2.7452054069924112E-2</v>
      </c>
    </row>
    <row r="7597" spans="7:8" x14ac:dyDescent="0.3">
      <c r="G7597" s="78">
        <v>7594</v>
      </c>
      <c r="H7597">
        <f t="shared" ca="1" si="113"/>
        <v>1.2632825102347922E-2</v>
      </c>
    </row>
    <row r="7598" spans="7:8" x14ac:dyDescent="0.3">
      <c r="G7598" s="78">
        <v>7595</v>
      </c>
      <c r="H7598">
        <f t="shared" ca="1" si="113"/>
        <v>-1.8097778525547923E-2</v>
      </c>
    </row>
    <row r="7599" spans="7:8" x14ac:dyDescent="0.3">
      <c r="G7599" s="78">
        <v>7596</v>
      </c>
      <c r="H7599">
        <f t="shared" ca="1" si="113"/>
        <v>2.4065850038259232E-3</v>
      </c>
    </row>
    <row r="7600" spans="7:8" x14ac:dyDescent="0.3">
      <c r="G7600" s="78">
        <v>7597</v>
      </c>
      <c r="H7600">
        <f t="shared" ca="1" si="113"/>
        <v>1.9080883819044814E-2</v>
      </c>
    </row>
    <row r="7601" spans="7:8" x14ac:dyDescent="0.3">
      <c r="G7601" s="78">
        <v>7598</v>
      </c>
      <c r="H7601">
        <f t="shared" ca="1" si="113"/>
        <v>1.4037370148961972E-2</v>
      </c>
    </row>
    <row r="7602" spans="7:8" x14ac:dyDescent="0.3">
      <c r="G7602" s="78">
        <v>7599</v>
      </c>
      <c r="H7602">
        <f t="shared" ca="1" si="113"/>
        <v>2.5623245847124277E-3</v>
      </c>
    </row>
    <row r="7603" spans="7:8" x14ac:dyDescent="0.3">
      <c r="G7603" s="78">
        <v>7600</v>
      </c>
      <c r="H7603">
        <f t="shared" ca="1" si="113"/>
        <v>1.9071269098835388E-3</v>
      </c>
    </row>
    <row r="7604" spans="7:8" x14ac:dyDescent="0.3">
      <c r="G7604" s="78">
        <v>7601</v>
      </c>
      <c r="H7604">
        <f t="shared" ca="1" si="113"/>
        <v>1.6575238082231949E-2</v>
      </c>
    </row>
    <row r="7605" spans="7:8" x14ac:dyDescent="0.3">
      <c r="G7605" s="78">
        <v>7602</v>
      </c>
      <c r="H7605">
        <f t="shared" ca="1" si="113"/>
        <v>8.8867982927127599E-3</v>
      </c>
    </row>
    <row r="7606" spans="7:8" x14ac:dyDescent="0.3">
      <c r="G7606" s="78">
        <v>7603</v>
      </c>
      <c r="H7606">
        <f t="shared" ca="1" si="113"/>
        <v>-2.6369138830886287E-2</v>
      </c>
    </row>
    <row r="7607" spans="7:8" x14ac:dyDescent="0.3">
      <c r="G7607" s="78">
        <v>7604</v>
      </c>
      <c r="H7607">
        <f t="shared" ca="1" si="113"/>
        <v>-7.4205234469374324E-3</v>
      </c>
    </row>
    <row r="7608" spans="7:8" x14ac:dyDescent="0.3">
      <c r="G7608" s="78">
        <v>7605</v>
      </c>
      <c r="H7608">
        <f t="shared" ca="1" si="113"/>
        <v>-2.1403245433634314E-4</v>
      </c>
    </row>
    <row r="7609" spans="7:8" x14ac:dyDescent="0.3">
      <c r="G7609" s="78">
        <v>7606</v>
      </c>
      <c r="H7609">
        <f t="shared" ca="1" si="113"/>
        <v>-5.313520395416698E-3</v>
      </c>
    </row>
    <row r="7610" spans="7:8" x14ac:dyDescent="0.3">
      <c r="G7610" s="78">
        <v>7607</v>
      </c>
      <c r="H7610">
        <f t="shared" ca="1" si="113"/>
        <v>-5.969698772409443E-2</v>
      </c>
    </row>
    <row r="7611" spans="7:8" x14ac:dyDescent="0.3">
      <c r="G7611" s="78">
        <v>7608</v>
      </c>
      <c r="H7611">
        <f t="shared" ca="1" si="113"/>
        <v>3.9720934284396554E-2</v>
      </c>
    </row>
    <row r="7612" spans="7:8" x14ac:dyDescent="0.3">
      <c r="G7612" s="78">
        <v>7609</v>
      </c>
      <c r="H7612">
        <f t="shared" ca="1" si="113"/>
        <v>-1.742095897883314E-2</v>
      </c>
    </row>
    <row r="7613" spans="7:8" x14ac:dyDescent="0.3">
      <c r="G7613" s="78">
        <v>7610</v>
      </c>
      <c r="H7613">
        <f t="shared" ca="1" si="113"/>
        <v>1.6805869231988502E-2</v>
      </c>
    </row>
    <row r="7614" spans="7:8" x14ac:dyDescent="0.3">
      <c r="G7614" s="78">
        <v>7611</v>
      </c>
      <c r="H7614">
        <f t="shared" ca="1" si="113"/>
        <v>1.3891633937828279E-2</v>
      </c>
    </row>
    <row r="7615" spans="7:8" x14ac:dyDescent="0.3">
      <c r="G7615" s="78">
        <v>7612</v>
      </c>
      <c r="H7615">
        <f t="shared" ca="1" si="113"/>
        <v>-1.7176157861831241E-3</v>
      </c>
    </row>
    <row r="7616" spans="7:8" x14ac:dyDescent="0.3">
      <c r="G7616" s="78">
        <v>7613</v>
      </c>
      <c r="H7616">
        <f t="shared" ca="1" si="113"/>
        <v>8.9413943648080311E-3</v>
      </c>
    </row>
    <row r="7617" spans="7:8" x14ac:dyDescent="0.3">
      <c r="G7617" s="78">
        <v>7614</v>
      </c>
      <c r="H7617">
        <f t="shared" ca="1" si="113"/>
        <v>2.3052766592113062E-2</v>
      </c>
    </row>
    <row r="7618" spans="7:8" x14ac:dyDescent="0.3">
      <c r="G7618" s="78">
        <v>7615</v>
      </c>
      <c r="H7618">
        <f t="shared" ca="1" si="113"/>
        <v>4.0898760795647542E-3</v>
      </c>
    </row>
    <row r="7619" spans="7:8" x14ac:dyDescent="0.3">
      <c r="G7619" s="78">
        <v>7616</v>
      </c>
      <c r="H7619">
        <f t="shared" ca="1" si="113"/>
        <v>-6.380729221076238E-3</v>
      </c>
    </row>
    <row r="7620" spans="7:8" x14ac:dyDescent="0.3">
      <c r="G7620" s="78">
        <v>7617</v>
      </c>
      <c r="H7620">
        <f t="shared" ref="H7620:H7683" ca="1" si="114">_xlfn.NORM.INV(RAND(),$N$4,$N$5)</f>
        <v>-1.8326614827936015E-3</v>
      </c>
    </row>
    <row r="7621" spans="7:8" x14ac:dyDescent="0.3">
      <c r="G7621" s="78">
        <v>7618</v>
      </c>
      <c r="H7621">
        <f t="shared" ca="1" si="114"/>
        <v>5.4919921179976412E-2</v>
      </c>
    </row>
    <row r="7622" spans="7:8" x14ac:dyDescent="0.3">
      <c r="G7622" s="78">
        <v>7619</v>
      </c>
      <c r="H7622">
        <f t="shared" ca="1" si="114"/>
        <v>2.2144976897199409E-2</v>
      </c>
    </row>
    <row r="7623" spans="7:8" x14ac:dyDescent="0.3">
      <c r="G7623" s="78">
        <v>7620</v>
      </c>
      <c r="H7623">
        <f t="shared" ca="1" si="114"/>
        <v>3.7244131443743202E-2</v>
      </c>
    </row>
    <row r="7624" spans="7:8" x14ac:dyDescent="0.3">
      <c r="G7624" s="78">
        <v>7621</v>
      </c>
      <c r="H7624">
        <f t="shared" ca="1" si="114"/>
        <v>9.4159538584790668E-3</v>
      </c>
    </row>
    <row r="7625" spans="7:8" x14ac:dyDescent="0.3">
      <c r="G7625" s="78">
        <v>7622</v>
      </c>
      <c r="H7625">
        <f t="shared" ca="1" si="114"/>
        <v>-1.7657191173482259E-2</v>
      </c>
    </row>
    <row r="7626" spans="7:8" x14ac:dyDescent="0.3">
      <c r="G7626" s="78">
        <v>7623</v>
      </c>
      <c r="H7626">
        <f t="shared" ca="1" si="114"/>
        <v>-2.0579212604141393E-2</v>
      </c>
    </row>
    <row r="7627" spans="7:8" x14ac:dyDescent="0.3">
      <c r="G7627" s="78">
        <v>7624</v>
      </c>
      <c r="H7627">
        <f t="shared" ca="1" si="114"/>
        <v>-1.7542519231877509E-3</v>
      </c>
    </row>
    <row r="7628" spans="7:8" x14ac:dyDescent="0.3">
      <c r="G7628" s="78">
        <v>7625</v>
      </c>
      <c r="H7628">
        <f t="shared" ca="1" si="114"/>
        <v>1.0175467212560338E-2</v>
      </c>
    </row>
    <row r="7629" spans="7:8" x14ac:dyDescent="0.3">
      <c r="G7629" s="78">
        <v>7626</v>
      </c>
      <c r="H7629">
        <f t="shared" ca="1" si="114"/>
        <v>-2.3523525834557007E-5</v>
      </c>
    </row>
    <row r="7630" spans="7:8" x14ac:dyDescent="0.3">
      <c r="G7630" s="78">
        <v>7627</v>
      </c>
      <c r="H7630">
        <f t="shared" ca="1" si="114"/>
        <v>3.5464490796506723E-2</v>
      </c>
    </row>
    <row r="7631" spans="7:8" x14ac:dyDescent="0.3">
      <c r="G7631" s="78">
        <v>7628</v>
      </c>
      <c r="H7631">
        <f t="shared" ca="1" si="114"/>
        <v>1.801080162311533E-2</v>
      </c>
    </row>
    <row r="7632" spans="7:8" x14ac:dyDescent="0.3">
      <c r="G7632" s="78">
        <v>7629</v>
      </c>
      <c r="H7632">
        <f t="shared" ca="1" si="114"/>
        <v>-3.4348230854422349E-3</v>
      </c>
    </row>
    <row r="7633" spans="7:8" x14ac:dyDescent="0.3">
      <c r="G7633" s="78">
        <v>7630</v>
      </c>
      <c r="H7633">
        <f t="shared" ca="1" si="114"/>
        <v>6.8976285331884121E-3</v>
      </c>
    </row>
    <row r="7634" spans="7:8" x14ac:dyDescent="0.3">
      <c r="G7634" s="78">
        <v>7631</v>
      </c>
      <c r="H7634">
        <f t="shared" ca="1" si="114"/>
        <v>3.5530324240437984E-2</v>
      </c>
    </row>
    <row r="7635" spans="7:8" x14ac:dyDescent="0.3">
      <c r="G7635" s="78">
        <v>7632</v>
      </c>
      <c r="H7635">
        <f t="shared" ca="1" si="114"/>
        <v>-1.1246161088593546E-3</v>
      </c>
    </row>
    <row r="7636" spans="7:8" x14ac:dyDescent="0.3">
      <c r="G7636" s="78">
        <v>7633</v>
      </c>
      <c r="H7636">
        <f t="shared" ca="1" si="114"/>
        <v>2.1545741121435483E-2</v>
      </c>
    </row>
    <row r="7637" spans="7:8" x14ac:dyDescent="0.3">
      <c r="G7637" s="78">
        <v>7634</v>
      </c>
      <c r="H7637">
        <f t="shared" ca="1" si="114"/>
        <v>2.6527305850731993E-2</v>
      </c>
    </row>
    <row r="7638" spans="7:8" x14ac:dyDescent="0.3">
      <c r="G7638" s="78">
        <v>7635</v>
      </c>
      <c r="H7638">
        <f t="shared" ca="1" si="114"/>
        <v>-1.014155860254792E-2</v>
      </c>
    </row>
    <row r="7639" spans="7:8" x14ac:dyDescent="0.3">
      <c r="G7639" s="78">
        <v>7636</v>
      </c>
      <c r="H7639">
        <f t="shared" ca="1" si="114"/>
        <v>-4.4295761078365734E-2</v>
      </c>
    </row>
    <row r="7640" spans="7:8" x14ac:dyDescent="0.3">
      <c r="G7640" s="78">
        <v>7637</v>
      </c>
      <c r="H7640">
        <f t="shared" ca="1" si="114"/>
        <v>-2.5465521086899898E-2</v>
      </c>
    </row>
    <row r="7641" spans="7:8" x14ac:dyDescent="0.3">
      <c r="G7641" s="78">
        <v>7638</v>
      </c>
      <c r="H7641">
        <f t="shared" ca="1" si="114"/>
        <v>-6.0217451046346935E-3</v>
      </c>
    </row>
    <row r="7642" spans="7:8" x14ac:dyDescent="0.3">
      <c r="G7642" s="78">
        <v>7639</v>
      </c>
      <c r="H7642">
        <f t="shared" ca="1" si="114"/>
        <v>-8.4924979813559617E-3</v>
      </c>
    </row>
    <row r="7643" spans="7:8" x14ac:dyDescent="0.3">
      <c r="G7643" s="78">
        <v>7640</v>
      </c>
      <c r="H7643">
        <f t="shared" ca="1" si="114"/>
        <v>2.2011969171731476E-2</v>
      </c>
    </row>
    <row r="7644" spans="7:8" x14ac:dyDescent="0.3">
      <c r="G7644" s="78">
        <v>7641</v>
      </c>
      <c r="H7644">
        <f t="shared" ca="1" si="114"/>
        <v>-5.9430972095003776E-3</v>
      </c>
    </row>
    <row r="7645" spans="7:8" x14ac:dyDescent="0.3">
      <c r="G7645" s="78">
        <v>7642</v>
      </c>
      <c r="H7645">
        <f t="shared" ca="1" si="114"/>
        <v>-3.1750868627698275E-3</v>
      </c>
    </row>
    <row r="7646" spans="7:8" x14ac:dyDescent="0.3">
      <c r="G7646" s="78">
        <v>7643</v>
      </c>
      <c r="H7646">
        <f t="shared" ca="1" si="114"/>
        <v>3.0462666624989782E-2</v>
      </c>
    </row>
    <row r="7647" spans="7:8" x14ac:dyDescent="0.3">
      <c r="G7647" s="78">
        <v>7644</v>
      </c>
      <c r="H7647">
        <f t="shared" ca="1" si="114"/>
        <v>-2.4992271918927566E-2</v>
      </c>
    </row>
    <row r="7648" spans="7:8" x14ac:dyDescent="0.3">
      <c r="G7648" s="78">
        <v>7645</v>
      </c>
      <c r="H7648">
        <f t="shared" ca="1" si="114"/>
        <v>2.0251470721635398E-2</v>
      </c>
    </row>
    <row r="7649" spans="7:8" x14ac:dyDescent="0.3">
      <c r="G7649" s="78">
        <v>7646</v>
      </c>
      <c r="H7649">
        <f t="shared" ca="1" si="114"/>
        <v>2.685338598213521E-2</v>
      </c>
    </row>
    <row r="7650" spans="7:8" x14ac:dyDescent="0.3">
      <c r="G7650" s="78">
        <v>7647</v>
      </c>
      <c r="H7650">
        <f t="shared" ca="1" si="114"/>
        <v>-2.1843013774254471E-2</v>
      </c>
    </row>
    <row r="7651" spans="7:8" x14ac:dyDescent="0.3">
      <c r="G7651" s="78">
        <v>7648</v>
      </c>
      <c r="H7651">
        <f t="shared" ca="1" si="114"/>
        <v>-7.0757957631439215E-3</v>
      </c>
    </row>
    <row r="7652" spans="7:8" x14ac:dyDescent="0.3">
      <c r="G7652" s="78">
        <v>7649</v>
      </c>
      <c r="H7652">
        <f t="shared" ca="1" si="114"/>
        <v>4.7160916654191325E-3</v>
      </c>
    </row>
    <row r="7653" spans="7:8" x14ac:dyDescent="0.3">
      <c r="G7653" s="78">
        <v>7650</v>
      </c>
      <c r="H7653">
        <f t="shared" ca="1" si="114"/>
        <v>5.3263919177791658E-3</v>
      </c>
    </row>
    <row r="7654" spans="7:8" x14ac:dyDescent="0.3">
      <c r="G7654" s="78">
        <v>7651</v>
      </c>
      <c r="H7654">
        <f t="shared" ca="1" si="114"/>
        <v>-1.1031048709697068E-2</v>
      </c>
    </row>
    <row r="7655" spans="7:8" x14ac:dyDescent="0.3">
      <c r="G7655" s="78">
        <v>7652</v>
      </c>
      <c r="H7655">
        <f t="shared" ca="1" si="114"/>
        <v>-1.4646124256790806E-2</v>
      </c>
    </row>
    <row r="7656" spans="7:8" x14ac:dyDescent="0.3">
      <c r="G7656" s="78">
        <v>7653</v>
      </c>
      <c r="H7656">
        <f t="shared" ca="1" si="114"/>
        <v>-1.8328090280899462E-2</v>
      </c>
    </row>
    <row r="7657" spans="7:8" x14ac:dyDescent="0.3">
      <c r="G7657" s="78">
        <v>7654</v>
      </c>
      <c r="H7657">
        <f t="shared" ca="1" si="114"/>
        <v>-2.4244545124476973E-2</v>
      </c>
    </row>
    <row r="7658" spans="7:8" x14ac:dyDescent="0.3">
      <c r="G7658" s="78">
        <v>7655</v>
      </c>
      <c r="H7658">
        <f t="shared" ca="1" si="114"/>
        <v>1.1647874919929746E-3</v>
      </c>
    </row>
    <row r="7659" spans="7:8" x14ac:dyDescent="0.3">
      <c r="G7659" s="78">
        <v>7656</v>
      </c>
      <c r="H7659">
        <f t="shared" ca="1" si="114"/>
        <v>1.4540704374477284E-2</v>
      </c>
    </row>
    <row r="7660" spans="7:8" x14ac:dyDescent="0.3">
      <c r="G7660" s="78">
        <v>7657</v>
      </c>
      <c r="H7660">
        <f t="shared" ca="1" si="114"/>
        <v>-2.4848866649619668E-2</v>
      </c>
    </row>
    <row r="7661" spans="7:8" x14ac:dyDescent="0.3">
      <c r="G7661" s="78">
        <v>7658</v>
      </c>
      <c r="H7661">
        <f t="shared" ca="1" si="114"/>
        <v>-3.5690277964011861E-4</v>
      </c>
    </row>
    <row r="7662" spans="7:8" x14ac:dyDescent="0.3">
      <c r="G7662" s="78">
        <v>7659</v>
      </c>
      <c r="H7662">
        <f t="shared" ca="1" si="114"/>
        <v>-5.4264307387688554E-3</v>
      </c>
    </row>
    <row r="7663" spans="7:8" x14ac:dyDescent="0.3">
      <c r="G7663" s="78">
        <v>7660</v>
      </c>
      <c r="H7663">
        <f t="shared" ca="1" si="114"/>
        <v>2.6327299329993753E-2</v>
      </c>
    </row>
    <row r="7664" spans="7:8" x14ac:dyDescent="0.3">
      <c r="G7664" s="78">
        <v>7661</v>
      </c>
      <c r="H7664">
        <f t="shared" ca="1" si="114"/>
        <v>-7.1671712992449994E-3</v>
      </c>
    </row>
    <row r="7665" spans="7:8" x14ac:dyDescent="0.3">
      <c r="G7665" s="78">
        <v>7662</v>
      </c>
      <c r="H7665">
        <f t="shared" ca="1" si="114"/>
        <v>-1.4797190181300315E-2</v>
      </c>
    </row>
    <row r="7666" spans="7:8" x14ac:dyDescent="0.3">
      <c r="G7666" s="78">
        <v>7663</v>
      </c>
      <c r="H7666">
        <f t="shared" ca="1" si="114"/>
        <v>3.0062792087159279E-3</v>
      </c>
    </row>
    <row r="7667" spans="7:8" x14ac:dyDescent="0.3">
      <c r="G7667" s="78">
        <v>7664</v>
      </c>
      <c r="H7667">
        <f t="shared" ca="1" si="114"/>
        <v>-9.0180463607111502E-3</v>
      </c>
    </row>
    <row r="7668" spans="7:8" x14ac:dyDescent="0.3">
      <c r="G7668" s="78">
        <v>7665</v>
      </c>
      <c r="H7668">
        <f t="shared" ca="1" si="114"/>
        <v>1.7781956851835992E-2</v>
      </c>
    </row>
    <row r="7669" spans="7:8" x14ac:dyDescent="0.3">
      <c r="G7669" s="78">
        <v>7666</v>
      </c>
      <c r="H7669">
        <f t="shared" ca="1" si="114"/>
        <v>4.8285341402976101E-3</v>
      </c>
    </row>
    <row r="7670" spans="7:8" x14ac:dyDescent="0.3">
      <c r="G7670" s="78">
        <v>7667</v>
      </c>
      <c r="H7670">
        <f t="shared" ca="1" si="114"/>
        <v>3.5615702511777293E-2</v>
      </c>
    </row>
    <row r="7671" spans="7:8" x14ac:dyDescent="0.3">
      <c r="G7671" s="78">
        <v>7668</v>
      </c>
      <c r="H7671">
        <f t="shared" ca="1" si="114"/>
        <v>4.780028355795074E-2</v>
      </c>
    </row>
    <row r="7672" spans="7:8" x14ac:dyDescent="0.3">
      <c r="G7672" s="78">
        <v>7669</v>
      </c>
      <c r="H7672">
        <f t="shared" ca="1" si="114"/>
        <v>-4.2029796038957259E-3</v>
      </c>
    </row>
    <row r="7673" spans="7:8" x14ac:dyDescent="0.3">
      <c r="G7673" s="78">
        <v>7670</v>
      </c>
      <c r="H7673">
        <f t="shared" ca="1" si="114"/>
        <v>-1.4060617376484131E-2</v>
      </c>
    </row>
    <row r="7674" spans="7:8" x14ac:dyDescent="0.3">
      <c r="G7674" s="78">
        <v>7671</v>
      </c>
      <c r="H7674">
        <f t="shared" ca="1" si="114"/>
        <v>-7.4547325950658711E-3</v>
      </c>
    </row>
    <row r="7675" spans="7:8" x14ac:dyDescent="0.3">
      <c r="G7675" s="78">
        <v>7672</v>
      </c>
      <c r="H7675">
        <f t="shared" ca="1" si="114"/>
        <v>-2.1498681306604652E-3</v>
      </c>
    </row>
    <row r="7676" spans="7:8" x14ac:dyDescent="0.3">
      <c r="G7676" s="78">
        <v>7673</v>
      </c>
      <c r="H7676">
        <f t="shared" ca="1" si="114"/>
        <v>2.0803729843614529E-2</v>
      </c>
    </row>
    <row r="7677" spans="7:8" x14ac:dyDescent="0.3">
      <c r="G7677" s="78">
        <v>7674</v>
      </c>
      <c r="H7677">
        <f t="shared" ca="1" si="114"/>
        <v>2.5570879313367274E-2</v>
      </c>
    </row>
    <row r="7678" spans="7:8" x14ac:dyDescent="0.3">
      <c r="G7678" s="78">
        <v>7675</v>
      </c>
      <c r="H7678">
        <f t="shared" ca="1" si="114"/>
        <v>5.3286636432454092E-3</v>
      </c>
    </row>
    <row r="7679" spans="7:8" x14ac:dyDescent="0.3">
      <c r="G7679" s="78">
        <v>7676</v>
      </c>
      <c r="H7679">
        <f t="shared" ca="1" si="114"/>
        <v>-6.9756345530142495E-3</v>
      </c>
    </row>
    <row r="7680" spans="7:8" x14ac:dyDescent="0.3">
      <c r="G7680" s="78">
        <v>7677</v>
      </c>
      <c r="H7680">
        <f t="shared" ca="1" si="114"/>
        <v>2.038246192863102E-2</v>
      </c>
    </row>
    <row r="7681" spans="7:8" x14ac:dyDescent="0.3">
      <c r="G7681" s="78">
        <v>7678</v>
      </c>
      <c r="H7681">
        <f t="shared" ca="1" si="114"/>
        <v>3.6289417753568094E-2</v>
      </c>
    </row>
    <row r="7682" spans="7:8" x14ac:dyDescent="0.3">
      <c r="G7682" s="78">
        <v>7679</v>
      </c>
      <c r="H7682">
        <f t="shared" ca="1" si="114"/>
        <v>-3.4960288911392969E-3</v>
      </c>
    </row>
    <row r="7683" spans="7:8" x14ac:dyDescent="0.3">
      <c r="G7683" s="78">
        <v>7680</v>
      </c>
      <c r="H7683">
        <f t="shared" ca="1" si="114"/>
        <v>1.684297043487732E-2</v>
      </c>
    </row>
    <row r="7684" spans="7:8" x14ac:dyDescent="0.3">
      <c r="G7684" s="78">
        <v>7681</v>
      </c>
      <c r="H7684">
        <f t="shared" ref="H7684:H7747" ca="1" si="115">_xlfn.NORM.INV(RAND(),$N$4,$N$5)</f>
        <v>6.9837556175707171E-3</v>
      </c>
    </row>
    <row r="7685" spans="7:8" x14ac:dyDescent="0.3">
      <c r="G7685" s="78">
        <v>7682</v>
      </c>
      <c r="H7685">
        <f t="shared" ca="1" si="115"/>
        <v>2.0690160143312718E-2</v>
      </c>
    </row>
    <row r="7686" spans="7:8" x14ac:dyDescent="0.3">
      <c r="G7686" s="78">
        <v>7683</v>
      </c>
      <c r="H7686">
        <f t="shared" ca="1" si="115"/>
        <v>-6.8335506908831544E-3</v>
      </c>
    </row>
    <row r="7687" spans="7:8" x14ac:dyDescent="0.3">
      <c r="G7687" s="78">
        <v>7684</v>
      </c>
      <c r="H7687">
        <f t="shared" ca="1" si="115"/>
        <v>1.7118933142547879E-2</v>
      </c>
    </row>
    <row r="7688" spans="7:8" x14ac:dyDescent="0.3">
      <c r="G7688" s="78">
        <v>7685</v>
      </c>
      <c r="H7688">
        <f t="shared" ca="1" si="115"/>
        <v>5.4782472277346587E-3</v>
      </c>
    </row>
    <row r="7689" spans="7:8" x14ac:dyDescent="0.3">
      <c r="G7689" s="78">
        <v>7686</v>
      </c>
      <c r="H7689">
        <f t="shared" ca="1" si="115"/>
        <v>-2.5326756880413928E-2</v>
      </c>
    </row>
    <row r="7690" spans="7:8" x14ac:dyDescent="0.3">
      <c r="G7690" s="78">
        <v>7687</v>
      </c>
      <c r="H7690">
        <f t="shared" ca="1" si="115"/>
        <v>4.0834176514626215E-3</v>
      </c>
    </row>
    <row r="7691" spans="7:8" x14ac:dyDescent="0.3">
      <c r="G7691" s="78">
        <v>7688</v>
      </c>
      <c r="H7691">
        <f t="shared" ca="1" si="115"/>
        <v>-2.1379992046167012E-2</v>
      </c>
    </row>
    <row r="7692" spans="7:8" x14ac:dyDescent="0.3">
      <c r="G7692" s="78">
        <v>7689</v>
      </c>
      <c r="H7692">
        <f t="shared" ca="1" si="115"/>
        <v>3.4258619734990878E-2</v>
      </c>
    </row>
    <row r="7693" spans="7:8" x14ac:dyDescent="0.3">
      <c r="G7693" s="78">
        <v>7690</v>
      </c>
      <c r="H7693">
        <f t="shared" ca="1" si="115"/>
        <v>-2.6116305421768508E-2</v>
      </c>
    </row>
    <row r="7694" spans="7:8" x14ac:dyDescent="0.3">
      <c r="G7694" s="78">
        <v>7691</v>
      </c>
      <c r="H7694">
        <f t="shared" ca="1" si="115"/>
        <v>-1.1406399861116528E-2</v>
      </c>
    </row>
    <row r="7695" spans="7:8" x14ac:dyDescent="0.3">
      <c r="G7695" s="78">
        <v>7692</v>
      </c>
      <c r="H7695">
        <f t="shared" ca="1" si="115"/>
        <v>4.5460131628006946E-2</v>
      </c>
    </row>
    <row r="7696" spans="7:8" x14ac:dyDescent="0.3">
      <c r="G7696" s="78">
        <v>7693</v>
      </c>
      <c r="H7696">
        <f t="shared" ca="1" si="115"/>
        <v>4.0448865316440423E-2</v>
      </c>
    </row>
    <row r="7697" spans="7:8" x14ac:dyDescent="0.3">
      <c r="G7697" s="78">
        <v>7694</v>
      </c>
      <c r="H7697">
        <f t="shared" ca="1" si="115"/>
        <v>4.2980617007833209E-3</v>
      </c>
    </row>
    <row r="7698" spans="7:8" x14ac:dyDescent="0.3">
      <c r="G7698" s="78">
        <v>7695</v>
      </c>
      <c r="H7698">
        <f t="shared" ca="1" si="115"/>
        <v>1.1508496846979056E-2</v>
      </c>
    </row>
    <row r="7699" spans="7:8" x14ac:dyDescent="0.3">
      <c r="G7699" s="78">
        <v>7696</v>
      </c>
      <c r="H7699">
        <f t="shared" ca="1" si="115"/>
        <v>-2.3174746838847951E-3</v>
      </c>
    </row>
    <row r="7700" spans="7:8" x14ac:dyDescent="0.3">
      <c r="G7700" s="78">
        <v>7697</v>
      </c>
      <c r="H7700">
        <f t="shared" ca="1" si="115"/>
        <v>-3.3555635673331594E-3</v>
      </c>
    </row>
    <row r="7701" spans="7:8" x14ac:dyDescent="0.3">
      <c r="G7701" s="78">
        <v>7698</v>
      </c>
      <c r="H7701">
        <f t="shared" ca="1" si="115"/>
        <v>4.8021547967419677E-2</v>
      </c>
    </row>
    <row r="7702" spans="7:8" x14ac:dyDescent="0.3">
      <c r="G7702" s="78">
        <v>7699</v>
      </c>
      <c r="H7702">
        <f t="shared" ca="1" si="115"/>
        <v>-1.0276342916193653E-2</v>
      </c>
    </row>
    <row r="7703" spans="7:8" x14ac:dyDescent="0.3">
      <c r="G7703" s="78">
        <v>7700</v>
      </c>
      <c r="H7703">
        <f t="shared" ca="1" si="115"/>
        <v>-4.1110577459858834E-2</v>
      </c>
    </row>
    <row r="7704" spans="7:8" x14ac:dyDescent="0.3">
      <c r="G7704" s="78">
        <v>7701</v>
      </c>
      <c r="H7704">
        <f t="shared" ca="1" si="115"/>
        <v>-1.2058176935464534E-2</v>
      </c>
    </row>
    <row r="7705" spans="7:8" x14ac:dyDescent="0.3">
      <c r="G7705" s="78">
        <v>7702</v>
      </c>
      <c r="H7705">
        <f t="shared" ca="1" si="115"/>
        <v>5.7398249025929424E-3</v>
      </c>
    </row>
    <row r="7706" spans="7:8" x14ac:dyDescent="0.3">
      <c r="G7706" s="78">
        <v>7703</v>
      </c>
      <c r="H7706">
        <f t="shared" ca="1" si="115"/>
        <v>-2.0113063978645482E-4</v>
      </c>
    </row>
    <row r="7707" spans="7:8" x14ac:dyDescent="0.3">
      <c r="G7707" s="78">
        <v>7704</v>
      </c>
      <c r="H7707">
        <f t="shared" ca="1" si="115"/>
        <v>-4.8744528440910241E-3</v>
      </c>
    </row>
    <row r="7708" spans="7:8" x14ac:dyDescent="0.3">
      <c r="G7708" s="78">
        <v>7705</v>
      </c>
      <c r="H7708">
        <f t="shared" ca="1" si="115"/>
        <v>4.9072593142764449E-3</v>
      </c>
    </row>
    <row r="7709" spans="7:8" x14ac:dyDescent="0.3">
      <c r="G7709" s="78">
        <v>7706</v>
      </c>
      <c r="H7709">
        <f t="shared" ca="1" si="115"/>
        <v>8.9730501854337029E-3</v>
      </c>
    </row>
    <row r="7710" spans="7:8" x14ac:dyDescent="0.3">
      <c r="G7710" s="78">
        <v>7707</v>
      </c>
      <c r="H7710">
        <f t="shared" ca="1" si="115"/>
        <v>7.1599405058485766E-4</v>
      </c>
    </row>
    <row r="7711" spans="7:8" x14ac:dyDescent="0.3">
      <c r="G7711" s="78">
        <v>7708</v>
      </c>
      <c r="H7711">
        <f t="shared" ca="1" si="115"/>
        <v>-2.1899640541320139E-3</v>
      </c>
    </row>
    <row r="7712" spans="7:8" x14ac:dyDescent="0.3">
      <c r="G7712" s="78">
        <v>7709</v>
      </c>
      <c r="H7712">
        <f t="shared" ca="1" si="115"/>
        <v>8.7419825646664218E-3</v>
      </c>
    </row>
    <row r="7713" spans="7:8" x14ac:dyDescent="0.3">
      <c r="G7713" s="78">
        <v>7710</v>
      </c>
      <c r="H7713">
        <f t="shared" ca="1" si="115"/>
        <v>9.786091253421109E-3</v>
      </c>
    </row>
    <row r="7714" spans="7:8" x14ac:dyDescent="0.3">
      <c r="G7714" s="78">
        <v>7711</v>
      </c>
      <c r="H7714">
        <f t="shared" ca="1" si="115"/>
        <v>-2.9179583812684734E-2</v>
      </c>
    </row>
    <row r="7715" spans="7:8" x14ac:dyDescent="0.3">
      <c r="G7715" s="78">
        <v>7712</v>
      </c>
      <c r="H7715">
        <f t="shared" ca="1" si="115"/>
        <v>-2.8232439240408073E-2</v>
      </c>
    </row>
    <row r="7716" spans="7:8" x14ac:dyDescent="0.3">
      <c r="G7716" s="78">
        <v>7713</v>
      </c>
      <c r="H7716">
        <f t="shared" ca="1" si="115"/>
        <v>6.7331800669110202E-3</v>
      </c>
    </row>
    <row r="7717" spans="7:8" x14ac:dyDescent="0.3">
      <c r="G7717" s="78">
        <v>7714</v>
      </c>
      <c r="H7717">
        <f t="shared" ca="1" si="115"/>
        <v>7.454111486949834E-3</v>
      </c>
    </row>
    <row r="7718" spans="7:8" x14ac:dyDescent="0.3">
      <c r="G7718" s="78">
        <v>7715</v>
      </c>
      <c r="H7718">
        <f t="shared" ca="1" si="115"/>
        <v>1.2367409053433349E-2</v>
      </c>
    </row>
    <row r="7719" spans="7:8" x14ac:dyDescent="0.3">
      <c r="G7719" s="78">
        <v>7716</v>
      </c>
      <c r="H7719">
        <f t="shared" ca="1" si="115"/>
        <v>1.1510049775001108E-2</v>
      </c>
    </row>
    <row r="7720" spans="7:8" x14ac:dyDescent="0.3">
      <c r="G7720" s="78">
        <v>7717</v>
      </c>
      <c r="H7720">
        <f t="shared" ca="1" si="115"/>
        <v>-2.3487898055479517E-2</v>
      </c>
    </row>
    <row r="7721" spans="7:8" x14ac:dyDescent="0.3">
      <c r="G7721" s="78">
        <v>7718</v>
      </c>
      <c r="H7721">
        <f t="shared" ca="1" si="115"/>
        <v>-2.9387532807010456E-2</v>
      </c>
    </row>
    <row r="7722" spans="7:8" x14ac:dyDescent="0.3">
      <c r="G7722" s="78">
        <v>7719</v>
      </c>
      <c r="H7722">
        <f t="shared" ca="1" si="115"/>
        <v>1.7781557318110725E-2</v>
      </c>
    </row>
    <row r="7723" spans="7:8" x14ac:dyDescent="0.3">
      <c r="G7723" s="78">
        <v>7720</v>
      </c>
      <c r="H7723">
        <f t="shared" ca="1" si="115"/>
        <v>-1.457124150856415E-2</v>
      </c>
    </row>
    <row r="7724" spans="7:8" x14ac:dyDescent="0.3">
      <c r="G7724" s="78">
        <v>7721</v>
      </c>
      <c r="H7724">
        <f t="shared" ca="1" si="115"/>
        <v>-3.0494925321216886E-2</v>
      </c>
    </row>
    <row r="7725" spans="7:8" x14ac:dyDescent="0.3">
      <c r="G7725" s="78">
        <v>7722</v>
      </c>
      <c r="H7725">
        <f t="shared" ca="1" si="115"/>
        <v>-9.2587909903301454E-3</v>
      </c>
    </row>
    <row r="7726" spans="7:8" x14ac:dyDescent="0.3">
      <c r="G7726" s="78">
        <v>7723</v>
      </c>
      <c r="H7726">
        <f t="shared" ca="1" si="115"/>
        <v>-1.1549248298095158E-2</v>
      </c>
    </row>
    <row r="7727" spans="7:8" x14ac:dyDescent="0.3">
      <c r="G7727" s="78">
        <v>7724</v>
      </c>
      <c r="H7727">
        <f t="shared" ca="1" si="115"/>
        <v>-4.165848296801675E-3</v>
      </c>
    </row>
    <row r="7728" spans="7:8" x14ac:dyDescent="0.3">
      <c r="G7728" s="78">
        <v>7725</v>
      </c>
      <c r="H7728">
        <f t="shared" ca="1" si="115"/>
        <v>3.7936304586659635E-2</v>
      </c>
    </row>
    <row r="7729" spans="7:8" x14ac:dyDescent="0.3">
      <c r="G7729" s="78">
        <v>7726</v>
      </c>
      <c r="H7729">
        <f t="shared" ca="1" si="115"/>
        <v>4.3332535070822317E-3</v>
      </c>
    </row>
    <row r="7730" spans="7:8" x14ac:dyDescent="0.3">
      <c r="G7730" s="78">
        <v>7727</v>
      </c>
      <c r="H7730">
        <f t="shared" ca="1" si="115"/>
        <v>-7.7811781302192648E-3</v>
      </c>
    </row>
    <row r="7731" spans="7:8" x14ac:dyDescent="0.3">
      <c r="G7731" s="78">
        <v>7728</v>
      </c>
      <c r="H7731">
        <f t="shared" ca="1" si="115"/>
        <v>1.1485433897415225E-2</v>
      </c>
    </row>
    <row r="7732" spans="7:8" x14ac:dyDescent="0.3">
      <c r="G7732" s="78">
        <v>7729</v>
      </c>
      <c r="H7732">
        <f t="shared" ca="1" si="115"/>
        <v>-1.425912852844125E-2</v>
      </c>
    </row>
    <row r="7733" spans="7:8" x14ac:dyDescent="0.3">
      <c r="G7733" s="78">
        <v>7730</v>
      </c>
      <c r="H7733">
        <f t="shared" ca="1" si="115"/>
        <v>9.5207072760014524E-3</v>
      </c>
    </row>
    <row r="7734" spans="7:8" x14ac:dyDescent="0.3">
      <c r="G7734" s="78">
        <v>7731</v>
      </c>
      <c r="H7734">
        <f t="shared" ca="1" si="115"/>
        <v>-3.457135795684891E-2</v>
      </c>
    </row>
    <row r="7735" spans="7:8" x14ac:dyDescent="0.3">
      <c r="G7735" s="78">
        <v>7732</v>
      </c>
      <c r="H7735">
        <f t="shared" ca="1" si="115"/>
        <v>-2.6244052632742515E-2</v>
      </c>
    </row>
    <row r="7736" spans="7:8" x14ac:dyDescent="0.3">
      <c r="G7736" s="78">
        <v>7733</v>
      </c>
      <c r="H7736">
        <f t="shared" ca="1" si="115"/>
        <v>-1.9714793056479843E-2</v>
      </c>
    </row>
    <row r="7737" spans="7:8" x14ac:dyDescent="0.3">
      <c r="G7737" s="78">
        <v>7734</v>
      </c>
      <c r="H7737">
        <f t="shared" ca="1" si="115"/>
        <v>-2.0742338334778728E-2</v>
      </c>
    </row>
    <row r="7738" spans="7:8" x14ac:dyDescent="0.3">
      <c r="G7738" s="78">
        <v>7735</v>
      </c>
      <c r="H7738">
        <f t="shared" ca="1" si="115"/>
        <v>1.4708362517442245E-3</v>
      </c>
    </row>
    <row r="7739" spans="7:8" x14ac:dyDescent="0.3">
      <c r="G7739" s="78">
        <v>7736</v>
      </c>
      <c r="H7739">
        <f t="shared" ca="1" si="115"/>
        <v>-2.28579035317041E-2</v>
      </c>
    </row>
    <row r="7740" spans="7:8" x14ac:dyDescent="0.3">
      <c r="G7740" s="78">
        <v>7737</v>
      </c>
      <c r="H7740">
        <f t="shared" ca="1" si="115"/>
        <v>1.9145450983464106E-3</v>
      </c>
    </row>
    <row r="7741" spans="7:8" x14ac:dyDescent="0.3">
      <c r="G7741" s="78">
        <v>7738</v>
      </c>
      <c r="H7741">
        <f t="shared" ca="1" si="115"/>
        <v>-1.6181298986668528E-2</v>
      </c>
    </row>
    <row r="7742" spans="7:8" x14ac:dyDescent="0.3">
      <c r="G7742" s="78">
        <v>7739</v>
      </c>
      <c r="H7742">
        <f t="shared" ca="1" si="115"/>
        <v>3.7491300815662614E-3</v>
      </c>
    </row>
    <row r="7743" spans="7:8" x14ac:dyDescent="0.3">
      <c r="G7743" s="78">
        <v>7740</v>
      </c>
      <c r="H7743">
        <f t="shared" ca="1" si="115"/>
        <v>-3.2624127149467497E-2</v>
      </c>
    </row>
    <row r="7744" spans="7:8" x14ac:dyDescent="0.3">
      <c r="G7744" s="78">
        <v>7741</v>
      </c>
      <c r="H7744">
        <f t="shared" ca="1" si="115"/>
        <v>5.0250584880324287E-2</v>
      </c>
    </row>
    <row r="7745" spans="7:8" x14ac:dyDescent="0.3">
      <c r="G7745" s="78">
        <v>7742</v>
      </c>
      <c r="H7745">
        <f t="shared" ca="1" si="115"/>
        <v>-1.6009069190590284E-2</v>
      </c>
    </row>
    <row r="7746" spans="7:8" x14ac:dyDescent="0.3">
      <c r="G7746" s="78">
        <v>7743</v>
      </c>
      <c r="H7746">
        <f t="shared" ca="1" si="115"/>
        <v>6.1755017162033413E-3</v>
      </c>
    </row>
    <row r="7747" spans="7:8" x14ac:dyDescent="0.3">
      <c r="G7747" s="78">
        <v>7744</v>
      </c>
      <c r="H7747">
        <f t="shared" ca="1" si="115"/>
        <v>1.2820548124294218E-2</v>
      </c>
    </row>
    <row r="7748" spans="7:8" x14ac:dyDescent="0.3">
      <c r="G7748" s="78">
        <v>7745</v>
      </c>
      <c r="H7748">
        <f t="shared" ref="H7748:H7811" ca="1" si="116">_xlfn.NORM.INV(RAND(),$N$4,$N$5)</f>
        <v>1.1677921348622717E-2</v>
      </c>
    </row>
    <row r="7749" spans="7:8" x14ac:dyDescent="0.3">
      <c r="G7749" s="78">
        <v>7746</v>
      </c>
      <c r="H7749">
        <f t="shared" ca="1" si="116"/>
        <v>5.9854550165485488E-3</v>
      </c>
    </row>
    <row r="7750" spans="7:8" x14ac:dyDescent="0.3">
      <c r="G7750" s="78">
        <v>7747</v>
      </c>
      <c r="H7750">
        <f t="shared" ca="1" si="116"/>
        <v>4.1142086341388016E-3</v>
      </c>
    </row>
    <row r="7751" spans="7:8" x14ac:dyDescent="0.3">
      <c r="G7751" s="78">
        <v>7748</v>
      </c>
      <c r="H7751">
        <f t="shared" ca="1" si="116"/>
        <v>-1.7954995980116585E-3</v>
      </c>
    </row>
    <row r="7752" spans="7:8" x14ac:dyDescent="0.3">
      <c r="G7752" s="78">
        <v>7749</v>
      </c>
      <c r="H7752">
        <f t="shared" ca="1" si="116"/>
        <v>-7.707128482385109E-3</v>
      </c>
    </row>
    <row r="7753" spans="7:8" x14ac:dyDescent="0.3">
      <c r="G7753" s="78">
        <v>7750</v>
      </c>
      <c r="H7753">
        <f t="shared" ca="1" si="116"/>
        <v>1.923707878022347E-2</v>
      </c>
    </row>
    <row r="7754" spans="7:8" x14ac:dyDescent="0.3">
      <c r="G7754" s="78">
        <v>7751</v>
      </c>
      <c r="H7754">
        <f t="shared" ca="1" si="116"/>
        <v>-2.3221020336337578E-2</v>
      </c>
    </row>
    <row r="7755" spans="7:8" x14ac:dyDescent="0.3">
      <c r="G7755" s="78">
        <v>7752</v>
      </c>
      <c r="H7755">
        <f t="shared" ca="1" si="116"/>
        <v>-8.2583994868126766E-3</v>
      </c>
    </row>
    <row r="7756" spans="7:8" x14ac:dyDescent="0.3">
      <c r="G7756" s="78">
        <v>7753</v>
      </c>
      <c r="H7756">
        <f t="shared" ca="1" si="116"/>
        <v>-4.5527558628546691E-3</v>
      </c>
    </row>
    <row r="7757" spans="7:8" x14ac:dyDescent="0.3">
      <c r="G7757" s="78">
        <v>7754</v>
      </c>
      <c r="H7757">
        <f t="shared" ca="1" si="116"/>
        <v>-5.8022460814907703E-3</v>
      </c>
    </row>
    <row r="7758" spans="7:8" x14ac:dyDescent="0.3">
      <c r="G7758" s="78">
        <v>7755</v>
      </c>
      <c r="H7758">
        <f t="shared" ca="1" si="116"/>
        <v>-1.3708337332679279E-2</v>
      </c>
    </row>
    <row r="7759" spans="7:8" x14ac:dyDescent="0.3">
      <c r="G7759" s="78">
        <v>7756</v>
      </c>
      <c r="H7759">
        <f t="shared" ca="1" si="116"/>
        <v>2.9079109404686908E-2</v>
      </c>
    </row>
    <row r="7760" spans="7:8" x14ac:dyDescent="0.3">
      <c r="G7760" s="78">
        <v>7757</v>
      </c>
      <c r="H7760">
        <f t="shared" ca="1" si="116"/>
        <v>-7.2390571675148953E-3</v>
      </c>
    </row>
    <row r="7761" spans="7:8" x14ac:dyDescent="0.3">
      <c r="G7761" s="78">
        <v>7758</v>
      </c>
      <c r="H7761">
        <f t="shared" ca="1" si="116"/>
        <v>-2.5830911951866078E-4</v>
      </c>
    </row>
    <row r="7762" spans="7:8" x14ac:dyDescent="0.3">
      <c r="G7762" s="78">
        <v>7759</v>
      </c>
      <c r="H7762">
        <f t="shared" ca="1" si="116"/>
        <v>1.2432119858956495E-2</v>
      </c>
    </row>
    <row r="7763" spans="7:8" x14ac:dyDescent="0.3">
      <c r="G7763" s="78">
        <v>7760</v>
      </c>
      <c r="H7763">
        <f t="shared" ca="1" si="116"/>
        <v>1.5187946664122293E-2</v>
      </c>
    </row>
    <row r="7764" spans="7:8" x14ac:dyDescent="0.3">
      <c r="G7764" s="78">
        <v>7761</v>
      </c>
      <c r="H7764">
        <f t="shared" ca="1" si="116"/>
        <v>-1.0645402400082278E-4</v>
      </c>
    </row>
    <row r="7765" spans="7:8" x14ac:dyDescent="0.3">
      <c r="G7765" s="78">
        <v>7762</v>
      </c>
      <c r="H7765">
        <f t="shared" ca="1" si="116"/>
        <v>3.018566623242452E-2</v>
      </c>
    </row>
    <row r="7766" spans="7:8" x14ac:dyDescent="0.3">
      <c r="G7766" s="78">
        <v>7763</v>
      </c>
      <c r="H7766">
        <f t="shared" ca="1" si="116"/>
        <v>-3.154671852853843E-2</v>
      </c>
    </row>
    <row r="7767" spans="7:8" x14ac:dyDescent="0.3">
      <c r="G7767" s="78">
        <v>7764</v>
      </c>
      <c r="H7767">
        <f t="shared" ca="1" si="116"/>
        <v>-2.8547201441150617E-3</v>
      </c>
    </row>
    <row r="7768" spans="7:8" x14ac:dyDescent="0.3">
      <c r="G7768" s="78">
        <v>7765</v>
      </c>
      <c r="H7768">
        <f t="shared" ca="1" si="116"/>
        <v>2.5257332604917547E-2</v>
      </c>
    </row>
    <row r="7769" spans="7:8" x14ac:dyDescent="0.3">
      <c r="G7769" s="78">
        <v>7766</v>
      </c>
      <c r="H7769">
        <f t="shared" ca="1" si="116"/>
        <v>1.3305074183500474E-2</v>
      </c>
    </row>
    <row r="7770" spans="7:8" x14ac:dyDescent="0.3">
      <c r="G7770" s="78">
        <v>7767</v>
      </c>
      <c r="H7770">
        <f t="shared" ca="1" si="116"/>
        <v>2.3222391836481938E-2</v>
      </c>
    </row>
    <row r="7771" spans="7:8" x14ac:dyDescent="0.3">
      <c r="G7771" s="78">
        <v>7768</v>
      </c>
      <c r="H7771">
        <f t="shared" ca="1" si="116"/>
        <v>1.0887742811661593E-2</v>
      </c>
    </row>
    <row r="7772" spans="7:8" x14ac:dyDescent="0.3">
      <c r="G7772" s="78">
        <v>7769</v>
      </c>
      <c r="H7772">
        <f t="shared" ca="1" si="116"/>
        <v>-1.75373338513212E-2</v>
      </c>
    </row>
    <row r="7773" spans="7:8" x14ac:dyDescent="0.3">
      <c r="G7773" s="78">
        <v>7770</v>
      </c>
      <c r="H7773">
        <f t="shared" ca="1" si="116"/>
        <v>2.1659931486626661E-3</v>
      </c>
    </row>
    <row r="7774" spans="7:8" x14ac:dyDescent="0.3">
      <c r="G7774" s="78">
        <v>7771</v>
      </c>
      <c r="H7774">
        <f t="shared" ca="1" si="116"/>
        <v>-5.2998591162952526E-3</v>
      </c>
    </row>
    <row r="7775" spans="7:8" x14ac:dyDescent="0.3">
      <c r="G7775" s="78">
        <v>7772</v>
      </c>
      <c r="H7775">
        <f t="shared" ca="1" si="116"/>
        <v>-3.4623689206449114E-2</v>
      </c>
    </row>
    <row r="7776" spans="7:8" x14ac:dyDescent="0.3">
      <c r="G7776" s="78">
        <v>7773</v>
      </c>
      <c r="H7776">
        <f t="shared" ca="1" si="116"/>
        <v>-3.1896972068112449E-2</v>
      </c>
    </row>
    <row r="7777" spans="7:8" x14ac:dyDescent="0.3">
      <c r="G7777" s="78">
        <v>7774</v>
      </c>
      <c r="H7777">
        <f t="shared" ca="1" si="116"/>
        <v>6.2173486792444282E-3</v>
      </c>
    </row>
    <row r="7778" spans="7:8" x14ac:dyDescent="0.3">
      <c r="G7778" s="78">
        <v>7775</v>
      </c>
      <c r="H7778">
        <f t="shared" ca="1" si="116"/>
        <v>1.2740314790647567E-2</v>
      </c>
    </row>
    <row r="7779" spans="7:8" x14ac:dyDescent="0.3">
      <c r="G7779" s="78">
        <v>7776</v>
      </c>
      <c r="H7779">
        <f t="shared" ca="1" si="116"/>
        <v>-2.1428707076593539E-2</v>
      </c>
    </row>
    <row r="7780" spans="7:8" x14ac:dyDescent="0.3">
      <c r="G7780" s="78">
        <v>7777</v>
      </c>
      <c r="H7780">
        <f t="shared" ca="1" si="116"/>
        <v>-6.4818899378087354E-3</v>
      </c>
    </row>
    <row r="7781" spans="7:8" x14ac:dyDescent="0.3">
      <c r="G7781" s="78">
        <v>7778</v>
      </c>
      <c r="H7781">
        <f t="shared" ca="1" si="116"/>
        <v>1.6690058417229064E-2</v>
      </c>
    </row>
    <row r="7782" spans="7:8" x14ac:dyDescent="0.3">
      <c r="G7782" s="78">
        <v>7779</v>
      </c>
      <c r="H7782">
        <f t="shared" ca="1" si="116"/>
        <v>-1.90992816351199E-2</v>
      </c>
    </row>
    <row r="7783" spans="7:8" x14ac:dyDescent="0.3">
      <c r="G7783" s="78">
        <v>7780</v>
      </c>
      <c r="H7783">
        <f t="shared" ca="1" si="116"/>
        <v>1.814923444774421E-2</v>
      </c>
    </row>
    <row r="7784" spans="7:8" x14ac:dyDescent="0.3">
      <c r="G7784" s="78">
        <v>7781</v>
      </c>
      <c r="H7784">
        <f t="shared" ca="1" si="116"/>
        <v>-2.260240846801383E-2</v>
      </c>
    </row>
    <row r="7785" spans="7:8" x14ac:dyDescent="0.3">
      <c r="G7785" s="78">
        <v>7782</v>
      </c>
      <c r="H7785">
        <f t="shared" ca="1" si="116"/>
        <v>-3.9375970251060528E-3</v>
      </c>
    </row>
    <row r="7786" spans="7:8" x14ac:dyDescent="0.3">
      <c r="G7786" s="78">
        <v>7783</v>
      </c>
      <c r="H7786">
        <f t="shared" ca="1" si="116"/>
        <v>-6.9621248581455751E-4</v>
      </c>
    </row>
    <row r="7787" spans="7:8" x14ac:dyDescent="0.3">
      <c r="G7787" s="78">
        <v>7784</v>
      </c>
      <c r="H7787">
        <f t="shared" ca="1" si="116"/>
        <v>5.4373260304883212E-3</v>
      </c>
    </row>
    <row r="7788" spans="7:8" x14ac:dyDescent="0.3">
      <c r="G7788" s="78">
        <v>7785</v>
      </c>
      <c r="H7788">
        <f t="shared" ca="1" si="116"/>
        <v>4.3519152818512355E-3</v>
      </c>
    </row>
    <row r="7789" spans="7:8" x14ac:dyDescent="0.3">
      <c r="G7789" s="78">
        <v>7786</v>
      </c>
      <c r="H7789">
        <f t="shared" ca="1" si="116"/>
        <v>8.513367221256259E-3</v>
      </c>
    </row>
    <row r="7790" spans="7:8" x14ac:dyDescent="0.3">
      <c r="G7790" s="78">
        <v>7787</v>
      </c>
      <c r="H7790">
        <f t="shared" ca="1" si="116"/>
        <v>-4.3763657203717506E-2</v>
      </c>
    </row>
    <row r="7791" spans="7:8" x14ac:dyDescent="0.3">
      <c r="G7791" s="78">
        <v>7788</v>
      </c>
      <c r="H7791">
        <f t="shared" ca="1" si="116"/>
        <v>3.3162224060299735E-2</v>
      </c>
    </row>
    <row r="7792" spans="7:8" x14ac:dyDescent="0.3">
      <c r="G7792" s="78">
        <v>7789</v>
      </c>
      <c r="H7792">
        <f t="shared" ca="1" si="116"/>
        <v>-1.3307215978650932E-2</v>
      </c>
    </row>
    <row r="7793" spans="7:8" x14ac:dyDescent="0.3">
      <c r="G7793" s="78">
        <v>7790</v>
      </c>
      <c r="H7793">
        <f t="shared" ca="1" si="116"/>
        <v>-1.5628095146247335E-2</v>
      </c>
    </row>
    <row r="7794" spans="7:8" x14ac:dyDescent="0.3">
      <c r="G7794" s="78">
        <v>7791</v>
      </c>
      <c r="H7794">
        <f t="shared" ca="1" si="116"/>
        <v>1.0902184838665884E-2</v>
      </c>
    </row>
    <row r="7795" spans="7:8" x14ac:dyDescent="0.3">
      <c r="G7795" s="78">
        <v>7792</v>
      </c>
      <c r="H7795">
        <f t="shared" ca="1" si="116"/>
        <v>-9.1403296014002083E-3</v>
      </c>
    </row>
    <row r="7796" spans="7:8" x14ac:dyDescent="0.3">
      <c r="G7796" s="78">
        <v>7793</v>
      </c>
      <c r="H7796">
        <f t="shared" ca="1" si="116"/>
        <v>1.628034522873539E-2</v>
      </c>
    </row>
    <row r="7797" spans="7:8" x14ac:dyDescent="0.3">
      <c r="G7797" s="78">
        <v>7794</v>
      </c>
      <c r="H7797">
        <f t="shared" ca="1" si="116"/>
        <v>-2.1846827831794027E-3</v>
      </c>
    </row>
    <row r="7798" spans="7:8" x14ac:dyDescent="0.3">
      <c r="G7798" s="78">
        <v>7795</v>
      </c>
      <c r="H7798">
        <f t="shared" ca="1" si="116"/>
        <v>-1.1618558411778451E-2</v>
      </c>
    </row>
    <row r="7799" spans="7:8" x14ac:dyDescent="0.3">
      <c r="G7799" s="78">
        <v>7796</v>
      </c>
      <c r="H7799">
        <f t="shared" ca="1" si="116"/>
        <v>-2.3819601205945836E-2</v>
      </c>
    </row>
    <row r="7800" spans="7:8" x14ac:dyDescent="0.3">
      <c r="G7800" s="78">
        <v>7797</v>
      </c>
      <c r="H7800">
        <f t="shared" ca="1" si="116"/>
        <v>1.7233223471387588E-2</v>
      </c>
    </row>
    <row r="7801" spans="7:8" x14ac:dyDescent="0.3">
      <c r="G7801" s="78">
        <v>7798</v>
      </c>
      <c r="H7801">
        <f t="shared" ca="1" si="116"/>
        <v>-6.2577719312673303E-3</v>
      </c>
    </row>
    <row r="7802" spans="7:8" x14ac:dyDescent="0.3">
      <c r="G7802" s="78">
        <v>7799</v>
      </c>
      <c r="H7802">
        <f t="shared" ca="1" si="116"/>
        <v>2.1425450317575936E-2</v>
      </c>
    </row>
    <row r="7803" spans="7:8" x14ac:dyDescent="0.3">
      <c r="G7803" s="78">
        <v>7800</v>
      </c>
      <c r="H7803">
        <f t="shared" ca="1" si="116"/>
        <v>2.283852958954273E-2</v>
      </c>
    </row>
    <row r="7804" spans="7:8" x14ac:dyDescent="0.3">
      <c r="G7804" s="78">
        <v>7801</v>
      </c>
      <c r="H7804">
        <f t="shared" ca="1" si="116"/>
        <v>9.0064649846231283E-3</v>
      </c>
    </row>
    <row r="7805" spans="7:8" x14ac:dyDescent="0.3">
      <c r="G7805" s="78">
        <v>7802</v>
      </c>
      <c r="H7805">
        <f t="shared" ca="1" si="116"/>
        <v>1.7128818391085085E-2</v>
      </c>
    </row>
    <row r="7806" spans="7:8" x14ac:dyDescent="0.3">
      <c r="G7806" s="78">
        <v>7803</v>
      </c>
      <c r="H7806">
        <f t="shared" ca="1" si="116"/>
        <v>-8.3768357643615905E-3</v>
      </c>
    </row>
    <row r="7807" spans="7:8" x14ac:dyDescent="0.3">
      <c r="G7807" s="78">
        <v>7804</v>
      </c>
      <c r="H7807">
        <f t="shared" ca="1" si="116"/>
        <v>2.6024412578965754E-2</v>
      </c>
    </row>
    <row r="7808" spans="7:8" x14ac:dyDescent="0.3">
      <c r="G7808" s="78">
        <v>7805</v>
      </c>
      <c r="H7808">
        <f t="shared" ca="1" si="116"/>
        <v>1.7137009747879722E-2</v>
      </c>
    </row>
    <row r="7809" spans="7:8" x14ac:dyDescent="0.3">
      <c r="G7809" s="78">
        <v>7806</v>
      </c>
      <c r="H7809">
        <f t="shared" ca="1" si="116"/>
        <v>4.2528401280369617E-2</v>
      </c>
    </row>
    <row r="7810" spans="7:8" x14ac:dyDescent="0.3">
      <c r="G7810" s="78">
        <v>7807</v>
      </c>
      <c r="H7810">
        <f t="shared" ca="1" si="116"/>
        <v>-4.647873024897854E-3</v>
      </c>
    </row>
    <row r="7811" spans="7:8" x14ac:dyDescent="0.3">
      <c r="G7811" s="78">
        <v>7808</v>
      </c>
      <c r="H7811">
        <f t="shared" ca="1" si="116"/>
        <v>-2.4577345053276241E-2</v>
      </c>
    </row>
    <row r="7812" spans="7:8" x14ac:dyDescent="0.3">
      <c r="G7812" s="78">
        <v>7809</v>
      </c>
      <c r="H7812">
        <f t="shared" ref="H7812:H7875" ca="1" si="117">_xlfn.NORM.INV(RAND(),$N$4,$N$5)</f>
        <v>-9.9110570812417967E-4</v>
      </c>
    </row>
    <row r="7813" spans="7:8" x14ac:dyDescent="0.3">
      <c r="G7813" s="78">
        <v>7810</v>
      </c>
      <c r="H7813">
        <f t="shared" ca="1" si="117"/>
        <v>1.1129333845935636E-2</v>
      </c>
    </row>
    <row r="7814" spans="7:8" x14ac:dyDescent="0.3">
      <c r="G7814" s="78">
        <v>7811</v>
      </c>
      <c r="H7814">
        <f t="shared" ca="1" si="117"/>
        <v>-2.0303099164870166E-3</v>
      </c>
    </row>
    <row r="7815" spans="7:8" x14ac:dyDescent="0.3">
      <c r="G7815" s="78">
        <v>7812</v>
      </c>
      <c r="H7815">
        <f t="shared" ca="1" si="117"/>
        <v>5.3883124054693214E-3</v>
      </c>
    </row>
    <row r="7816" spans="7:8" x14ac:dyDescent="0.3">
      <c r="G7816" s="78">
        <v>7813</v>
      </c>
      <c r="H7816">
        <f t="shared" ca="1" si="117"/>
        <v>6.6943961075950006E-3</v>
      </c>
    </row>
    <row r="7817" spans="7:8" x14ac:dyDescent="0.3">
      <c r="G7817" s="78">
        <v>7814</v>
      </c>
      <c r="H7817">
        <f t="shared" ca="1" si="117"/>
        <v>1.0277781964399612E-2</v>
      </c>
    </row>
    <row r="7818" spans="7:8" x14ac:dyDescent="0.3">
      <c r="G7818" s="78">
        <v>7815</v>
      </c>
      <c r="H7818">
        <f t="shared" ca="1" si="117"/>
        <v>-9.9533517388749183E-4</v>
      </c>
    </row>
    <row r="7819" spans="7:8" x14ac:dyDescent="0.3">
      <c r="G7819" s="78">
        <v>7816</v>
      </c>
      <c r="H7819">
        <f t="shared" ca="1" si="117"/>
        <v>1.948763379704007E-2</v>
      </c>
    </row>
    <row r="7820" spans="7:8" x14ac:dyDescent="0.3">
      <c r="G7820" s="78">
        <v>7817</v>
      </c>
      <c r="H7820">
        <f t="shared" ca="1" si="117"/>
        <v>-1.6939884813212056E-2</v>
      </c>
    </row>
    <row r="7821" spans="7:8" x14ac:dyDescent="0.3">
      <c r="G7821" s="78">
        <v>7818</v>
      </c>
      <c r="H7821">
        <f t="shared" ca="1" si="117"/>
        <v>-3.3173186081379251E-3</v>
      </c>
    </row>
    <row r="7822" spans="7:8" x14ac:dyDescent="0.3">
      <c r="G7822" s="78">
        <v>7819</v>
      </c>
      <c r="H7822">
        <f t="shared" ca="1" si="117"/>
        <v>7.9087247215102064E-3</v>
      </c>
    </row>
    <row r="7823" spans="7:8" x14ac:dyDescent="0.3">
      <c r="G7823" s="78">
        <v>7820</v>
      </c>
      <c r="H7823">
        <f t="shared" ca="1" si="117"/>
        <v>6.0998775964212371E-3</v>
      </c>
    </row>
    <row r="7824" spans="7:8" x14ac:dyDescent="0.3">
      <c r="G7824" s="78">
        <v>7821</v>
      </c>
      <c r="H7824">
        <f t="shared" ca="1" si="117"/>
        <v>-3.2405477207193008E-2</v>
      </c>
    </row>
    <row r="7825" spans="7:8" x14ac:dyDescent="0.3">
      <c r="G7825" s="78">
        <v>7822</v>
      </c>
      <c r="H7825">
        <f t="shared" ca="1" si="117"/>
        <v>1.8679127078531661E-2</v>
      </c>
    </row>
    <row r="7826" spans="7:8" x14ac:dyDescent="0.3">
      <c r="G7826" s="78">
        <v>7823</v>
      </c>
      <c r="H7826">
        <f t="shared" ca="1" si="117"/>
        <v>-1.477930142677863E-2</v>
      </c>
    </row>
    <row r="7827" spans="7:8" x14ac:dyDescent="0.3">
      <c r="G7827" s="78">
        <v>7824</v>
      </c>
      <c r="H7827">
        <f t="shared" ca="1" si="117"/>
        <v>4.2442769978712644E-2</v>
      </c>
    </row>
    <row r="7828" spans="7:8" x14ac:dyDescent="0.3">
      <c r="G7828" s="78">
        <v>7825</v>
      </c>
      <c r="H7828">
        <f t="shared" ca="1" si="117"/>
        <v>-9.0867362139788466E-3</v>
      </c>
    </row>
    <row r="7829" spans="7:8" x14ac:dyDescent="0.3">
      <c r="G7829" s="78">
        <v>7826</v>
      </c>
      <c r="H7829">
        <f t="shared" ca="1" si="117"/>
        <v>4.7364510884247805E-3</v>
      </c>
    </row>
    <row r="7830" spans="7:8" x14ac:dyDescent="0.3">
      <c r="G7830" s="78">
        <v>7827</v>
      </c>
      <c r="H7830">
        <f t="shared" ca="1" si="117"/>
        <v>1.387160395568221E-2</v>
      </c>
    </row>
    <row r="7831" spans="7:8" x14ac:dyDescent="0.3">
      <c r="G7831" s="78">
        <v>7828</v>
      </c>
      <c r="H7831">
        <f t="shared" ca="1" si="117"/>
        <v>3.8237311254118757E-2</v>
      </c>
    </row>
    <row r="7832" spans="7:8" x14ac:dyDescent="0.3">
      <c r="G7832" s="78">
        <v>7829</v>
      </c>
      <c r="H7832">
        <f t="shared" ca="1" si="117"/>
        <v>2.2466919846194668E-2</v>
      </c>
    </row>
    <row r="7833" spans="7:8" x14ac:dyDescent="0.3">
      <c r="G7833" s="78">
        <v>7830</v>
      </c>
      <c r="H7833">
        <f t="shared" ca="1" si="117"/>
        <v>-1.5194118769716715E-2</v>
      </c>
    </row>
    <row r="7834" spans="7:8" x14ac:dyDescent="0.3">
      <c r="G7834" s="78">
        <v>7831</v>
      </c>
      <c r="H7834">
        <f t="shared" ca="1" si="117"/>
        <v>2.5221725728545495E-2</v>
      </c>
    </row>
    <row r="7835" spans="7:8" x14ac:dyDescent="0.3">
      <c r="G7835" s="78">
        <v>7832</v>
      </c>
      <c r="H7835">
        <f t="shared" ca="1" si="117"/>
        <v>4.5250276944942486E-3</v>
      </c>
    </row>
    <row r="7836" spans="7:8" x14ac:dyDescent="0.3">
      <c r="G7836" s="78">
        <v>7833</v>
      </c>
      <c r="H7836">
        <f t="shared" ca="1" si="117"/>
        <v>9.7927490170890349E-3</v>
      </c>
    </row>
    <row r="7837" spans="7:8" x14ac:dyDescent="0.3">
      <c r="G7837" s="78">
        <v>7834</v>
      </c>
      <c r="H7837">
        <f t="shared" ca="1" si="117"/>
        <v>-3.0252000391928935E-2</v>
      </c>
    </row>
    <row r="7838" spans="7:8" x14ac:dyDescent="0.3">
      <c r="G7838" s="78">
        <v>7835</v>
      </c>
      <c r="H7838">
        <f t="shared" ca="1" si="117"/>
        <v>1.0277466790303703E-2</v>
      </c>
    </row>
    <row r="7839" spans="7:8" x14ac:dyDescent="0.3">
      <c r="G7839" s="78">
        <v>7836</v>
      </c>
      <c r="H7839">
        <f t="shared" ca="1" si="117"/>
        <v>-1.44961624001576E-2</v>
      </c>
    </row>
    <row r="7840" spans="7:8" x14ac:dyDescent="0.3">
      <c r="G7840" s="78">
        <v>7837</v>
      </c>
      <c r="H7840">
        <f t="shared" ca="1" si="117"/>
        <v>-1.0109350957751086E-2</v>
      </c>
    </row>
    <row r="7841" spans="7:8" x14ac:dyDescent="0.3">
      <c r="G7841" s="78">
        <v>7838</v>
      </c>
      <c r="H7841">
        <f t="shared" ca="1" si="117"/>
        <v>-9.1903517312038625E-3</v>
      </c>
    </row>
    <row r="7842" spans="7:8" x14ac:dyDescent="0.3">
      <c r="G7842" s="78">
        <v>7839</v>
      </c>
      <c r="H7842">
        <f t="shared" ca="1" si="117"/>
        <v>-1.4290971709505359E-2</v>
      </c>
    </row>
    <row r="7843" spans="7:8" x14ac:dyDescent="0.3">
      <c r="G7843" s="78">
        <v>7840</v>
      </c>
      <c r="H7843">
        <f t="shared" ca="1" si="117"/>
        <v>4.4376888164189117E-2</v>
      </c>
    </row>
    <row r="7844" spans="7:8" x14ac:dyDescent="0.3">
      <c r="G7844" s="78">
        <v>7841</v>
      </c>
      <c r="H7844">
        <f t="shared" ca="1" si="117"/>
        <v>-1.3915451839748381E-2</v>
      </c>
    </row>
    <row r="7845" spans="7:8" x14ac:dyDescent="0.3">
      <c r="G7845" s="78">
        <v>7842</v>
      </c>
      <c r="H7845">
        <f t="shared" ca="1" si="117"/>
        <v>1.5581701103683355E-2</v>
      </c>
    </row>
    <row r="7846" spans="7:8" x14ac:dyDescent="0.3">
      <c r="G7846" s="78">
        <v>7843</v>
      </c>
      <c r="H7846">
        <f t="shared" ca="1" si="117"/>
        <v>1.0961697910116235E-3</v>
      </c>
    </row>
    <row r="7847" spans="7:8" x14ac:dyDescent="0.3">
      <c r="G7847" s="78">
        <v>7844</v>
      </c>
      <c r="H7847">
        <f t="shared" ca="1" si="117"/>
        <v>3.5153222589807825E-2</v>
      </c>
    </row>
    <row r="7848" spans="7:8" x14ac:dyDescent="0.3">
      <c r="G7848" s="78">
        <v>7845</v>
      </c>
      <c r="H7848">
        <f t="shared" ca="1" si="117"/>
        <v>-2.1716726421559564E-2</v>
      </c>
    </row>
    <row r="7849" spans="7:8" x14ac:dyDescent="0.3">
      <c r="G7849" s="78">
        <v>7846</v>
      </c>
      <c r="H7849">
        <f t="shared" ca="1" si="117"/>
        <v>3.6975167746328697E-2</v>
      </c>
    </row>
    <row r="7850" spans="7:8" x14ac:dyDescent="0.3">
      <c r="G7850" s="78">
        <v>7847</v>
      </c>
      <c r="H7850">
        <f t="shared" ca="1" si="117"/>
        <v>-2.4879910496796574E-2</v>
      </c>
    </row>
    <row r="7851" spans="7:8" x14ac:dyDescent="0.3">
      <c r="G7851" s="78">
        <v>7848</v>
      </c>
      <c r="H7851">
        <f t="shared" ca="1" si="117"/>
        <v>-2.2843555727263831E-2</v>
      </c>
    </row>
    <row r="7852" spans="7:8" x14ac:dyDescent="0.3">
      <c r="G7852" s="78">
        <v>7849</v>
      </c>
      <c r="H7852">
        <f t="shared" ca="1" si="117"/>
        <v>-1.8825447650813027E-2</v>
      </c>
    </row>
    <row r="7853" spans="7:8" x14ac:dyDescent="0.3">
      <c r="G7853" s="78">
        <v>7850</v>
      </c>
      <c r="H7853">
        <f t="shared" ca="1" si="117"/>
        <v>5.0930206272345045E-4</v>
      </c>
    </row>
    <row r="7854" spans="7:8" x14ac:dyDescent="0.3">
      <c r="G7854" s="78">
        <v>7851</v>
      </c>
      <c r="H7854">
        <f t="shared" ca="1" si="117"/>
        <v>-2.3139471979117081E-3</v>
      </c>
    </row>
    <row r="7855" spans="7:8" x14ac:dyDescent="0.3">
      <c r="G7855" s="78">
        <v>7852</v>
      </c>
      <c r="H7855">
        <f t="shared" ca="1" si="117"/>
        <v>-8.2628367460270066E-5</v>
      </c>
    </row>
    <row r="7856" spans="7:8" x14ac:dyDescent="0.3">
      <c r="G7856" s="78">
        <v>7853</v>
      </c>
      <c r="H7856">
        <f t="shared" ca="1" si="117"/>
        <v>1.9707600322735368E-2</v>
      </c>
    </row>
    <row r="7857" spans="7:8" x14ac:dyDescent="0.3">
      <c r="G7857" s="78">
        <v>7854</v>
      </c>
      <c r="H7857">
        <f t="shared" ca="1" si="117"/>
        <v>-2.9391978009188618E-3</v>
      </c>
    </row>
    <row r="7858" spans="7:8" x14ac:dyDescent="0.3">
      <c r="G7858" s="78">
        <v>7855</v>
      </c>
      <c r="H7858">
        <f t="shared" ca="1" si="117"/>
        <v>8.5838291440312395E-3</v>
      </c>
    </row>
    <row r="7859" spans="7:8" x14ac:dyDescent="0.3">
      <c r="G7859" s="78">
        <v>7856</v>
      </c>
      <c r="H7859">
        <f t="shared" ca="1" si="117"/>
        <v>-2.0822918944406524E-2</v>
      </c>
    </row>
    <row r="7860" spans="7:8" x14ac:dyDescent="0.3">
      <c r="G7860" s="78">
        <v>7857</v>
      </c>
      <c r="H7860">
        <f t="shared" ca="1" si="117"/>
        <v>-2.2139677140811369E-3</v>
      </c>
    </row>
    <row r="7861" spans="7:8" x14ac:dyDescent="0.3">
      <c r="G7861" s="78">
        <v>7858</v>
      </c>
      <c r="H7861">
        <f t="shared" ca="1" si="117"/>
        <v>-2.440737788907682E-2</v>
      </c>
    </row>
    <row r="7862" spans="7:8" x14ac:dyDescent="0.3">
      <c r="G7862" s="78">
        <v>7859</v>
      </c>
      <c r="H7862">
        <f t="shared" ca="1" si="117"/>
        <v>-4.8475068242746396E-3</v>
      </c>
    </row>
    <row r="7863" spans="7:8" x14ac:dyDescent="0.3">
      <c r="G7863" s="78">
        <v>7860</v>
      </c>
      <c r="H7863">
        <f t="shared" ca="1" si="117"/>
        <v>-3.3181280592259589E-2</v>
      </c>
    </row>
    <row r="7864" spans="7:8" x14ac:dyDescent="0.3">
      <c r="G7864" s="78">
        <v>7861</v>
      </c>
      <c r="H7864">
        <f t="shared" ca="1" si="117"/>
        <v>-1.47238343059849E-2</v>
      </c>
    </row>
    <row r="7865" spans="7:8" x14ac:dyDescent="0.3">
      <c r="G7865" s="78">
        <v>7862</v>
      </c>
      <c r="H7865">
        <f t="shared" ca="1" si="117"/>
        <v>-4.7708504509019152E-2</v>
      </c>
    </row>
    <row r="7866" spans="7:8" x14ac:dyDescent="0.3">
      <c r="G7866" s="78">
        <v>7863</v>
      </c>
      <c r="H7866">
        <f t="shared" ca="1" si="117"/>
        <v>4.0313682229057408E-2</v>
      </c>
    </row>
    <row r="7867" spans="7:8" x14ac:dyDescent="0.3">
      <c r="G7867" s="78">
        <v>7864</v>
      </c>
      <c r="H7867">
        <f t="shared" ca="1" si="117"/>
        <v>-9.6494346849975605E-3</v>
      </c>
    </row>
    <row r="7868" spans="7:8" x14ac:dyDescent="0.3">
      <c r="G7868" s="78">
        <v>7865</v>
      </c>
      <c r="H7868">
        <f t="shared" ca="1" si="117"/>
        <v>-2.0169302490595512E-2</v>
      </c>
    </row>
    <row r="7869" spans="7:8" x14ac:dyDescent="0.3">
      <c r="G7869" s="78">
        <v>7866</v>
      </c>
      <c r="H7869">
        <f t="shared" ca="1" si="117"/>
        <v>7.3775558525553545E-3</v>
      </c>
    </row>
    <row r="7870" spans="7:8" x14ac:dyDescent="0.3">
      <c r="G7870" s="78">
        <v>7867</v>
      </c>
      <c r="H7870">
        <f t="shared" ca="1" si="117"/>
        <v>-2.5872331262855972E-2</v>
      </c>
    </row>
    <row r="7871" spans="7:8" x14ac:dyDescent="0.3">
      <c r="G7871" s="78">
        <v>7868</v>
      </c>
      <c r="H7871">
        <f t="shared" ca="1" si="117"/>
        <v>1.3232742583714025E-2</v>
      </c>
    </row>
    <row r="7872" spans="7:8" x14ac:dyDescent="0.3">
      <c r="G7872" s="78">
        <v>7869</v>
      </c>
      <c r="H7872">
        <f t="shared" ca="1" si="117"/>
        <v>-2.0901409482499876E-2</v>
      </c>
    </row>
    <row r="7873" spans="7:8" x14ac:dyDescent="0.3">
      <c r="G7873" s="78">
        <v>7870</v>
      </c>
      <c r="H7873">
        <f t="shared" ca="1" si="117"/>
        <v>-1.1453804611939381E-2</v>
      </c>
    </row>
    <row r="7874" spans="7:8" x14ac:dyDescent="0.3">
      <c r="G7874" s="78">
        <v>7871</v>
      </c>
      <c r="H7874">
        <f t="shared" ca="1" si="117"/>
        <v>-1.0406109608887411E-2</v>
      </c>
    </row>
    <row r="7875" spans="7:8" x14ac:dyDescent="0.3">
      <c r="G7875" s="78">
        <v>7872</v>
      </c>
      <c r="H7875">
        <f t="shared" ca="1" si="117"/>
        <v>-2.1287728048991622E-2</v>
      </c>
    </row>
    <row r="7876" spans="7:8" x14ac:dyDescent="0.3">
      <c r="G7876" s="78">
        <v>7873</v>
      </c>
      <c r="H7876">
        <f t="shared" ref="H7876:H7939" ca="1" si="118">_xlfn.NORM.INV(RAND(),$N$4,$N$5)</f>
        <v>1.7089769627321824E-2</v>
      </c>
    </row>
    <row r="7877" spans="7:8" x14ac:dyDescent="0.3">
      <c r="G7877" s="78">
        <v>7874</v>
      </c>
      <c r="H7877">
        <f t="shared" ca="1" si="118"/>
        <v>-3.4964411800319558E-3</v>
      </c>
    </row>
    <row r="7878" spans="7:8" x14ac:dyDescent="0.3">
      <c r="G7878" s="78">
        <v>7875</v>
      </c>
      <c r="H7878">
        <f t="shared" ca="1" si="118"/>
        <v>7.7417791373319547E-3</v>
      </c>
    </row>
    <row r="7879" spans="7:8" x14ac:dyDescent="0.3">
      <c r="G7879" s="78">
        <v>7876</v>
      </c>
      <c r="H7879">
        <f t="shared" ca="1" si="118"/>
        <v>-4.0160198332498025E-3</v>
      </c>
    </row>
    <row r="7880" spans="7:8" x14ac:dyDescent="0.3">
      <c r="G7880" s="78">
        <v>7877</v>
      </c>
      <c r="H7880">
        <f t="shared" ca="1" si="118"/>
        <v>-6.3061568900246246E-5</v>
      </c>
    </row>
    <row r="7881" spans="7:8" x14ac:dyDescent="0.3">
      <c r="G7881" s="78">
        <v>7878</v>
      </c>
      <c r="H7881">
        <f t="shared" ca="1" si="118"/>
        <v>-4.1404806436925942E-2</v>
      </c>
    </row>
    <row r="7882" spans="7:8" x14ac:dyDescent="0.3">
      <c r="G7882" s="78">
        <v>7879</v>
      </c>
      <c r="H7882">
        <f t="shared" ca="1" si="118"/>
        <v>1.9837970120424087E-2</v>
      </c>
    </row>
    <row r="7883" spans="7:8" x14ac:dyDescent="0.3">
      <c r="G7883" s="78">
        <v>7880</v>
      </c>
      <c r="H7883">
        <f t="shared" ca="1" si="118"/>
        <v>-2.0874425671588526E-2</v>
      </c>
    </row>
    <row r="7884" spans="7:8" x14ac:dyDescent="0.3">
      <c r="G7884" s="78">
        <v>7881</v>
      </c>
      <c r="H7884">
        <f t="shared" ca="1" si="118"/>
        <v>1.743681031289657E-3</v>
      </c>
    </row>
    <row r="7885" spans="7:8" x14ac:dyDescent="0.3">
      <c r="G7885" s="78">
        <v>7882</v>
      </c>
      <c r="H7885">
        <f t="shared" ca="1" si="118"/>
        <v>1.7877204883950178E-2</v>
      </c>
    </row>
    <row r="7886" spans="7:8" x14ac:dyDescent="0.3">
      <c r="G7886" s="78">
        <v>7883</v>
      </c>
      <c r="H7886">
        <f t="shared" ca="1" si="118"/>
        <v>-3.4717283779349586E-2</v>
      </c>
    </row>
    <row r="7887" spans="7:8" x14ac:dyDescent="0.3">
      <c r="G7887" s="78">
        <v>7884</v>
      </c>
      <c r="H7887">
        <f t="shared" ca="1" si="118"/>
        <v>6.417277938603641E-2</v>
      </c>
    </row>
    <row r="7888" spans="7:8" x14ac:dyDescent="0.3">
      <c r="G7888" s="78">
        <v>7885</v>
      </c>
      <c r="H7888">
        <f t="shared" ca="1" si="118"/>
        <v>-1.7190701204474593E-2</v>
      </c>
    </row>
    <row r="7889" spans="7:8" x14ac:dyDescent="0.3">
      <c r="G7889" s="78">
        <v>7886</v>
      </c>
      <c r="H7889">
        <f t="shared" ca="1" si="118"/>
        <v>-1.1055037066211663E-2</v>
      </c>
    </row>
    <row r="7890" spans="7:8" x14ac:dyDescent="0.3">
      <c r="G7890" s="78">
        <v>7887</v>
      </c>
      <c r="H7890">
        <f t="shared" ca="1" si="118"/>
        <v>-5.3827590480088394E-2</v>
      </c>
    </row>
    <row r="7891" spans="7:8" x14ac:dyDescent="0.3">
      <c r="G7891" s="78">
        <v>7888</v>
      </c>
      <c r="H7891">
        <f t="shared" ca="1" si="118"/>
        <v>8.7696414916905701E-3</v>
      </c>
    </row>
    <row r="7892" spans="7:8" x14ac:dyDescent="0.3">
      <c r="G7892" s="78">
        <v>7889</v>
      </c>
      <c r="H7892">
        <f t="shared" ca="1" si="118"/>
        <v>2.666561922069258E-2</v>
      </c>
    </row>
    <row r="7893" spans="7:8" x14ac:dyDescent="0.3">
      <c r="G7893" s="78">
        <v>7890</v>
      </c>
      <c r="H7893">
        <f t="shared" ca="1" si="118"/>
        <v>-2.125359564633977E-3</v>
      </c>
    </row>
    <row r="7894" spans="7:8" x14ac:dyDescent="0.3">
      <c r="G7894" s="78">
        <v>7891</v>
      </c>
      <c r="H7894">
        <f t="shared" ca="1" si="118"/>
        <v>-1.2676303046632533E-2</v>
      </c>
    </row>
    <row r="7895" spans="7:8" x14ac:dyDescent="0.3">
      <c r="G7895" s="78">
        <v>7892</v>
      </c>
      <c r="H7895">
        <f t="shared" ca="1" si="118"/>
        <v>-1.36223694128413E-2</v>
      </c>
    </row>
    <row r="7896" spans="7:8" x14ac:dyDescent="0.3">
      <c r="G7896" s="78">
        <v>7893</v>
      </c>
      <c r="H7896">
        <f t="shared" ca="1" si="118"/>
        <v>2.0352247167850106E-2</v>
      </c>
    </row>
    <row r="7897" spans="7:8" x14ac:dyDescent="0.3">
      <c r="G7897" s="78">
        <v>7894</v>
      </c>
      <c r="H7897">
        <f t="shared" ca="1" si="118"/>
        <v>-2.0983011073845013E-2</v>
      </c>
    </row>
    <row r="7898" spans="7:8" x14ac:dyDescent="0.3">
      <c r="G7898" s="78">
        <v>7895</v>
      </c>
      <c r="H7898">
        <f t="shared" ca="1" si="118"/>
        <v>6.0875063864753495E-3</v>
      </c>
    </row>
    <row r="7899" spans="7:8" x14ac:dyDescent="0.3">
      <c r="G7899" s="78">
        <v>7896</v>
      </c>
      <c r="H7899">
        <f t="shared" ca="1" si="118"/>
        <v>-1.4322086464802335E-2</v>
      </c>
    </row>
    <row r="7900" spans="7:8" x14ac:dyDescent="0.3">
      <c r="G7900" s="78">
        <v>7897</v>
      </c>
      <c r="H7900">
        <f t="shared" ca="1" si="118"/>
        <v>9.4384652016121209E-4</v>
      </c>
    </row>
    <row r="7901" spans="7:8" x14ac:dyDescent="0.3">
      <c r="G7901" s="78">
        <v>7898</v>
      </c>
      <c r="H7901">
        <f t="shared" ca="1" si="118"/>
        <v>2.8378798129028078E-4</v>
      </c>
    </row>
    <row r="7902" spans="7:8" x14ac:dyDescent="0.3">
      <c r="G7902" s="78">
        <v>7899</v>
      </c>
      <c r="H7902">
        <f t="shared" ca="1" si="118"/>
        <v>2.6195942622949569E-3</v>
      </c>
    </row>
    <row r="7903" spans="7:8" x14ac:dyDescent="0.3">
      <c r="G7903" s="78">
        <v>7900</v>
      </c>
      <c r="H7903">
        <f t="shared" ca="1" si="118"/>
        <v>-8.6020247365290229E-4</v>
      </c>
    </row>
    <row r="7904" spans="7:8" x14ac:dyDescent="0.3">
      <c r="G7904" s="78">
        <v>7901</v>
      </c>
      <c r="H7904">
        <f t="shared" ca="1" si="118"/>
        <v>1.8828236143078131E-2</v>
      </c>
    </row>
    <row r="7905" spans="7:8" x14ac:dyDescent="0.3">
      <c r="G7905" s="78">
        <v>7902</v>
      </c>
      <c r="H7905">
        <f t="shared" ca="1" si="118"/>
        <v>2.2589770889542431E-2</v>
      </c>
    </row>
    <row r="7906" spans="7:8" x14ac:dyDescent="0.3">
      <c r="G7906" s="78">
        <v>7903</v>
      </c>
      <c r="H7906">
        <f t="shared" ca="1" si="118"/>
        <v>1.4265275123373639E-2</v>
      </c>
    </row>
    <row r="7907" spans="7:8" x14ac:dyDescent="0.3">
      <c r="G7907" s="78">
        <v>7904</v>
      </c>
      <c r="H7907">
        <f t="shared" ca="1" si="118"/>
        <v>-2.1614065128772075E-2</v>
      </c>
    </row>
    <row r="7908" spans="7:8" x14ac:dyDescent="0.3">
      <c r="G7908" s="78">
        <v>7905</v>
      </c>
      <c r="H7908">
        <f t="shared" ca="1" si="118"/>
        <v>-2.5194728026412951E-2</v>
      </c>
    </row>
    <row r="7909" spans="7:8" x14ac:dyDescent="0.3">
      <c r="G7909" s="78">
        <v>7906</v>
      </c>
      <c r="H7909">
        <f t="shared" ca="1" si="118"/>
        <v>5.1019215918730919E-4</v>
      </c>
    </row>
    <row r="7910" spans="7:8" x14ac:dyDescent="0.3">
      <c r="G7910" s="78">
        <v>7907</v>
      </c>
      <c r="H7910">
        <f t="shared" ca="1" si="118"/>
        <v>4.0098863924688168E-3</v>
      </c>
    </row>
    <row r="7911" spans="7:8" x14ac:dyDescent="0.3">
      <c r="G7911" s="78">
        <v>7908</v>
      </c>
      <c r="H7911">
        <f t="shared" ca="1" si="118"/>
        <v>7.7246933691031434E-3</v>
      </c>
    </row>
    <row r="7912" spans="7:8" x14ac:dyDescent="0.3">
      <c r="G7912" s="78">
        <v>7909</v>
      </c>
      <c r="H7912">
        <f t="shared" ca="1" si="118"/>
        <v>2.4364057181163027E-2</v>
      </c>
    </row>
    <row r="7913" spans="7:8" x14ac:dyDescent="0.3">
      <c r="G7913" s="78">
        <v>7910</v>
      </c>
      <c r="H7913">
        <f t="shared" ca="1" si="118"/>
        <v>9.8243571887110049E-4</v>
      </c>
    </row>
    <row r="7914" spans="7:8" x14ac:dyDescent="0.3">
      <c r="G7914" s="78">
        <v>7911</v>
      </c>
      <c r="H7914">
        <f t="shared" ca="1" si="118"/>
        <v>-5.8232155699243834E-3</v>
      </c>
    </row>
    <row r="7915" spans="7:8" x14ac:dyDescent="0.3">
      <c r="G7915" s="78">
        <v>7912</v>
      </c>
      <c r="H7915">
        <f t="shared" ca="1" si="118"/>
        <v>3.0062795227790975E-3</v>
      </c>
    </row>
    <row r="7916" spans="7:8" x14ac:dyDescent="0.3">
      <c r="G7916" s="78">
        <v>7913</v>
      </c>
      <c r="H7916">
        <f t="shared" ca="1" si="118"/>
        <v>2.3055894381653749E-3</v>
      </c>
    </row>
    <row r="7917" spans="7:8" x14ac:dyDescent="0.3">
      <c r="G7917" s="78">
        <v>7914</v>
      </c>
      <c r="H7917">
        <f t="shared" ca="1" si="118"/>
        <v>-1.8089053353400407E-2</v>
      </c>
    </row>
    <row r="7918" spans="7:8" x14ac:dyDescent="0.3">
      <c r="G7918" s="78">
        <v>7915</v>
      </c>
      <c r="H7918">
        <f t="shared" ca="1" si="118"/>
        <v>-2.4278711101968737E-2</v>
      </c>
    </row>
    <row r="7919" spans="7:8" x14ac:dyDescent="0.3">
      <c r="G7919" s="78">
        <v>7916</v>
      </c>
      <c r="H7919">
        <f t="shared" ca="1" si="118"/>
        <v>-1.7009179021099607E-2</v>
      </c>
    </row>
    <row r="7920" spans="7:8" x14ac:dyDescent="0.3">
      <c r="G7920" s="78">
        <v>7917</v>
      </c>
      <c r="H7920">
        <f t="shared" ca="1" si="118"/>
        <v>-1.2764146024884127E-2</v>
      </c>
    </row>
    <row r="7921" spans="7:8" x14ac:dyDescent="0.3">
      <c r="G7921" s="78">
        <v>7918</v>
      </c>
      <c r="H7921">
        <f t="shared" ca="1" si="118"/>
        <v>1.1603345281552191E-2</v>
      </c>
    </row>
    <row r="7922" spans="7:8" x14ac:dyDescent="0.3">
      <c r="G7922" s="78">
        <v>7919</v>
      </c>
      <c r="H7922">
        <f t="shared" ca="1" si="118"/>
        <v>-3.642516993781808E-2</v>
      </c>
    </row>
    <row r="7923" spans="7:8" x14ac:dyDescent="0.3">
      <c r="G7923" s="78">
        <v>7920</v>
      </c>
      <c r="H7923">
        <f t="shared" ca="1" si="118"/>
        <v>-1.1581966191560693E-2</v>
      </c>
    </row>
    <row r="7924" spans="7:8" x14ac:dyDescent="0.3">
      <c r="G7924" s="78">
        <v>7921</v>
      </c>
      <c r="H7924">
        <f t="shared" ca="1" si="118"/>
        <v>1.9685798690866667E-2</v>
      </c>
    </row>
    <row r="7925" spans="7:8" x14ac:dyDescent="0.3">
      <c r="G7925" s="78">
        <v>7922</v>
      </c>
      <c r="H7925">
        <f t="shared" ca="1" si="118"/>
        <v>5.2592842004630944E-3</v>
      </c>
    </row>
    <row r="7926" spans="7:8" x14ac:dyDescent="0.3">
      <c r="G7926" s="78">
        <v>7923</v>
      </c>
      <c r="H7926">
        <f t="shared" ca="1" si="118"/>
        <v>3.4725164962110394E-3</v>
      </c>
    </row>
    <row r="7927" spans="7:8" x14ac:dyDescent="0.3">
      <c r="G7927" s="78">
        <v>7924</v>
      </c>
      <c r="H7927">
        <f t="shared" ca="1" si="118"/>
        <v>-2.2088566099985191E-2</v>
      </c>
    </row>
    <row r="7928" spans="7:8" x14ac:dyDescent="0.3">
      <c r="G7928" s="78">
        <v>7925</v>
      </c>
      <c r="H7928">
        <f t="shared" ca="1" si="118"/>
        <v>2.8437069949164624E-2</v>
      </c>
    </row>
    <row r="7929" spans="7:8" x14ac:dyDescent="0.3">
      <c r="G7929" s="78">
        <v>7926</v>
      </c>
      <c r="H7929">
        <f t="shared" ca="1" si="118"/>
        <v>-1.7556998530078107E-2</v>
      </c>
    </row>
    <row r="7930" spans="7:8" x14ac:dyDescent="0.3">
      <c r="G7930" s="78">
        <v>7927</v>
      </c>
      <c r="H7930">
        <f t="shared" ca="1" si="118"/>
        <v>2.0297664490763073E-2</v>
      </c>
    </row>
    <row r="7931" spans="7:8" x14ac:dyDescent="0.3">
      <c r="G7931" s="78">
        <v>7928</v>
      </c>
      <c r="H7931">
        <f t="shared" ca="1" si="118"/>
        <v>-1.6968873280123E-2</v>
      </c>
    </row>
    <row r="7932" spans="7:8" x14ac:dyDescent="0.3">
      <c r="G7932" s="78">
        <v>7929</v>
      </c>
      <c r="H7932">
        <f t="shared" ca="1" si="118"/>
        <v>2.0764588265546283E-2</v>
      </c>
    </row>
    <row r="7933" spans="7:8" x14ac:dyDescent="0.3">
      <c r="G7933" s="78">
        <v>7930</v>
      </c>
      <c r="H7933">
        <f t="shared" ca="1" si="118"/>
        <v>4.6197890776668313E-3</v>
      </c>
    </row>
    <row r="7934" spans="7:8" x14ac:dyDescent="0.3">
      <c r="G7934" s="78">
        <v>7931</v>
      </c>
      <c r="H7934">
        <f t="shared" ca="1" si="118"/>
        <v>-2.5739845613856616E-3</v>
      </c>
    </row>
    <row r="7935" spans="7:8" x14ac:dyDescent="0.3">
      <c r="G7935" s="78">
        <v>7932</v>
      </c>
      <c r="H7935">
        <f t="shared" ca="1" si="118"/>
        <v>-3.5577092297300557E-2</v>
      </c>
    </row>
    <row r="7936" spans="7:8" x14ac:dyDescent="0.3">
      <c r="G7936" s="78">
        <v>7933</v>
      </c>
      <c r="H7936">
        <f t="shared" ca="1" si="118"/>
        <v>1.5103833273944477E-2</v>
      </c>
    </row>
    <row r="7937" spans="7:8" x14ac:dyDescent="0.3">
      <c r="G7937" s="78">
        <v>7934</v>
      </c>
      <c r="H7937">
        <f t="shared" ca="1" si="118"/>
        <v>1.0640271349637326E-2</v>
      </c>
    </row>
    <row r="7938" spans="7:8" x14ac:dyDescent="0.3">
      <c r="G7938" s="78">
        <v>7935</v>
      </c>
      <c r="H7938">
        <f t="shared" ca="1" si="118"/>
        <v>2.6308476150323536E-3</v>
      </c>
    </row>
    <row r="7939" spans="7:8" x14ac:dyDescent="0.3">
      <c r="G7939" s="78">
        <v>7936</v>
      </c>
      <c r="H7939">
        <f t="shared" ca="1" si="118"/>
        <v>3.2320705989058819E-2</v>
      </c>
    </row>
    <row r="7940" spans="7:8" x14ac:dyDescent="0.3">
      <c r="G7940" s="78">
        <v>7937</v>
      </c>
      <c r="H7940">
        <f t="shared" ref="H7940:H8003" ca="1" si="119">_xlfn.NORM.INV(RAND(),$N$4,$N$5)</f>
        <v>-3.1865188214744072E-2</v>
      </c>
    </row>
    <row r="7941" spans="7:8" x14ac:dyDescent="0.3">
      <c r="G7941" s="78">
        <v>7938</v>
      </c>
      <c r="H7941">
        <f t="shared" ca="1" si="119"/>
        <v>2.6052557348476432E-2</v>
      </c>
    </row>
    <row r="7942" spans="7:8" x14ac:dyDescent="0.3">
      <c r="G7942" s="78">
        <v>7939</v>
      </c>
      <c r="H7942">
        <f t="shared" ca="1" si="119"/>
        <v>-3.7777884314698758E-2</v>
      </c>
    </row>
    <row r="7943" spans="7:8" x14ac:dyDescent="0.3">
      <c r="G7943" s="78">
        <v>7940</v>
      </c>
      <c r="H7943">
        <f t="shared" ca="1" si="119"/>
        <v>-3.1069393337540871E-2</v>
      </c>
    </row>
    <row r="7944" spans="7:8" x14ac:dyDescent="0.3">
      <c r="G7944" s="78">
        <v>7941</v>
      </c>
      <c r="H7944">
        <f t="shared" ca="1" si="119"/>
        <v>2.0277994662146078E-2</v>
      </c>
    </row>
    <row r="7945" spans="7:8" x14ac:dyDescent="0.3">
      <c r="G7945" s="78">
        <v>7942</v>
      </c>
      <c r="H7945">
        <f t="shared" ca="1" si="119"/>
        <v>-5.9084000019519415E-3</v>
      </c>
    </row>
    <row r="7946" spans="7:8" x14ac:dyDescent="0.3">
      <c r="G7946" s="78">
        <v>7943</v>
      </c>
      <c r="H7946">
        <f t="shared" ca="1" si="119"/>
        <v>-1.7287196980281885E-3</v>
      </c>
    </row>
    <row r="7947" spans="7:8" x14ac:dyDescent="0.3">
      <c r="G7947" s="78">
        <v>7944</v>
      </c>
      <c r="H7947">
        <f t="shared" ca="1" si="119"/>
        <v>1.2896099547566707E-2</v>
      </c>
    </row>
    <row r="7948" spans="7:8" x14ac:dyDescent="0.3">
      <c r="G7948" s="78">
        <v>7945</v>
      </c>
      <c r="H7948">
        <f t="shared" ca="1" si="119"/>
        <v>-9.8779434621745956E-3</v>
      </c>
    </row>
    <row r="7949" spans="7:8" x14ac:dyDescent="0.3">
      <c r="G7949" s="78">
        <v>7946</v>
      </c>
      <c r="H7949">
        <f t="shared" ca="1" si="119"/>
        <v>-1.8311564826681205E-2</v>
      </c>
    </row>
    <row r="7950" spans="7:8" x14ac:dyDescent="0.3">
      <c r="G7950" s="78">
        <v>7947</v>
      </c>
      <c r="H7950">
        <f t="shared" ca="1" si="119"/>
        <v>-1.8954636437133441E-2</v>
      </c>
    </row>
    <row r="7951" spans="7:8" x14ac:dyDescent="0.3">
      <c r="G7951" s="78">
        <v>7948</v>
      </c>
      <c r="H7951">
        <f t="shared" ca="1" si="119"/>
        <v>4.9560079219163064E-3</v>
      </c>
    </row>
    <row r="7952" spans="7:8" x14ac:dyDescent="0.3">
      <c r="G7952" s="78">
        <v>7949</v>
      </c>
      <c r="H7952">
        <f t="shared" ca="1" si="119"/>
        <v>5.9442947945687278E-3</v>
      </c>
    </row>
    <row r="7953" spans="7:8" x14ac:dyDescent="0.3">
      <c r="G7953" s="78">
        <v>7950</v>
      </c>
      <c r="H7953">
        <f t="shared" ca="1" si="119"/>
        <v>-1.872132336260109E-2</v>
      </c>
    </row>
    <row r="7954" spans="7:8" x14ac:dyDescent="0.3">
      <c r="G7954" s="78">
        <v>7951</v>
      </c>
      <c r="H7954">
        <f t="shared" ca="1" si="119"/>
        <v>1.5707340056547885E-2</v>
      </c>
    </row>
    <row r="7955" spans="7:8" x14ac:dyDescent="0.3">
      <c r="G7955" s="78">
        <v>7952</v>
      </c>
      <c r="H7955">
        <f t="shared" ca="1" si="119"/>
        <v>2.5165032529308958E-2</v>
      </c>
    </row>
    <row r="7956" spans="7:8" x14ac:dyDescent="0.3">
      <c r="G7956" s="78">
        <v>7953</v>
      </c>
      <c r="H7956">
        <f t="shared" ca="1" si="119"/>
        <v>3.7411405737498932E-2</v>
      </c>
    </row>
    <row r="7957" spans="7:8" x14ac:dyDescent="0.3">
      <c r="G7957" s="78">
        <v>7954</v>
      </c>
      <c r="H7957">
        <f t="shared" ca="1" si="119"/>
        <v>9.8473923782087811E-4</v>
      </c>
    </row>
    <row r="7958" spans="7:8" x14ac:dyDescent="0.3">
      <c r="G7958" s="78">
        <v>7955</v>
      </c>
      <c r="H7958">
        <f t="shared" ca="1" si="119"/>
        <v>-1.2376890851140352E-2</v>
      </c>
    </row>
    <row r="7959" spans="7:8" x14ac:dyDescent="0.3">
      <c r="G7959" s="78">
        <v>7956</v>
      </c>
      <c r="H7959">
        <f t="shared" ca="1" si="119"/>
        <v>-7.2681206781399928E-4</v>
      </c>
    </row>
    <row r="7960" spans="7:8" x14ac:dyDescent="0.3">
      <c r="G7960" s="78">
        <v>7957</v>
      </c>
      <c r="H7960">
        <f t="shared" ca="1" si="119"/>
        <v>-6.070997395018699E-3</v>
      </c>
    </row>
    <row r="7961" spans="7:8" x14ac:dyDescent="0.3">
      <c r="G7961" s="78">
        <v>7958</v>
      </c>
      <c r="H7961">
        <f t="shared" ca="1" si="119"/>
        <v>-1.8381938540101481E-2</v>
      </c>
    </row>
    <row r="7962" spans="7:8" x14ac:dyDescent="0.3">
      <c r="G7962" s="78">
        <v>7959</v>
      </c>
      <c r="H7962">
        <f t="shared" ca="1" si="119"/>
        <v>7.13043484400385E-3</v>
      </c>
    </row>
    <row r="7963" spans="7:8" x14ac:dyDescent="0.3">
      <c r="G7963" s="78">
        <v>7960</v>
      </c>
      <c r="H7963">
        <f t="shared" ca="1" si="119"/>
        <v>-6.9411115842691962E-3</v>
      </c>
    </row>
    <row r="7964" spans="7:8" x14ac:dyDescent="0.3">
      <c r="G7964" s="78">
        <v>7961</v>
      </c>
      <c r="H7964">
        <f t="shared" ca="1" si="119"/>
        <v>-3.3356385855892005E-2</v>
      </c>
    </row>
    <row r="7965" spans="7:8" x14ac:dyDescent="0.3">
      <c r="G7965" s="78">
        <v>7962</v>
      </c>
      <c r="H7965">
        <f t="shared" ca="1" si="119"/>
        <v>8.1933704645175531E-3</v>
      </c>
    </row>
    <row r="7966" spans="7:8" x14ac:dyDescent="0.3">
      <c r="G7966" s="78">
        <v>7963</v>
      </c>
      <c r="H7966">
        <f t="shared" ca="1" si="119"/>
        <v>-8.1270005733370451E-3</v>
      </c>
    </row>
    <row r="7967" spans="7:8" x14ac:dyDescent="0.3">
      <c r="G7967" s="78">
        <v>7964</v>
      </c>
      <c r="H7967">
        <f t="shared" ca="1" si="119"/>
        <v>9.938194589927259E-3</v>
      </c>
    </row>
    <row r="7968" spans="7:8" x14ac:dyDescent="0.3">
      <c r="G7968" s="78">
        <v>7965</v>
      </c>
      <c r="H7968">
        <f t="shared" ca="1" si="119"/>
        <v>-2.1649966526794982E-2</v>
      </c>
    </row>
    <row r="7969" spans="7:8" x14ac:dyDescent="0.3">
      <c r="G7969" s="78">
        <v>7966</v>
      </c>
      <c r="H7969">
        <f t="shared" ca="1" si="119"/>
        <v>-8.1209274853305865E-3</v>
      </c>
    </row>
    <row r="7970" spans="7:8" x14ac:dyDescent="0.3">
      <c r="G7970" s="78">
        <v>7967</v>
      </c>
      <c r="H7970">
        <f t="shared" ca="1" si="119"/>
        <v>-2.9349925103671477E-2</v>
      </c>
    </row>
    <row r="7971" spans="7:8" x14ac:dyDescent="0.3">
      <c r="G7971" s="78">
        <v>7968</v>
      </c>
      <c r="H7971">
        <f t="shared" ca="1" si="119"/>
        <v>2.8100410730744945E-3</v>
      </c>
    </row>
    <row r="7972" spans="7:8" x14ac:dyDescent="0.3">
      <c r="G7972" s="78">
        <v>7969</v>
      </c>
      <c r="H7972">
        <f t="shared" ca="1" si="119"/>
        <v>1.1667251401704621E-2</v>
      </c>
    </row>
    <row r="7973" spans="7:8" x14ac:dyDescent="0.3">
      <c r="G7973" s="78">
        <v>7970</v>
      </c>
      <c r="H7973">
        <f t="shared" ca="1" si="119"/>
        <v>7.2151354195341333E-3</v>
      </c>
    </row>
    <row r="7974" spans="7:8" x14ac:dyDescent="0.3">
      <c r="G7974" s="78">
        <v>7971</v>
      </c>
      <c r="H7974">
        <f t="shared" ca="1" si="119"/>
        <v>2.6265487483399151E-2</v>
      </c>
    </row>
    <row r="7975" spans="7:8" x14ac:dyDescent="0.3">
      <c r="G7975" s="78">
        <v>7972</v>
      </c>
      <c r="H7975">
        <f t="shared" ca="1" si="119"/>
        <v>2.00939709611828E-3</v>
      </c>
    </row>
    <row r="7976" spans="7:8" x14ac:dyDescent="0.3">
      <c r="G7976" s="78">
        <v>7973</v>
      </c>
      <c r="H7976">
        <f t="shared" ca="1" si="119"/>
        <v>1.5808436036609991E-2</v>
      </c>
    </row>
    <row r="7977" spans="7:8" x14ac:dyDescent="0.3">
      <c r="G7977" s="78">
        <v>7974</v>
      </c>
      <c r="H7977">
        <f t="shared" ca="1" si="119"/>
        <v>-1.0447229982044153E-2</v>
      </c>
    </row>
    <row r="7978" spans="7:8" x14ac:dyDescent="0.3">
      <c r="G7978" s="78">
        <v>7975</v>
      </c>
      <c r="H7978">
        <f t="shared" ca="1" si="119"/>
        <v>1.2875287801838069E-2</v>
      </c>
    </row>
    <row r="7979" spans="7:8" x14ac:dyDescent="0.3">
      <c r="G7979" s="78">
        <v>7976</v>
      </c>
      <c r="H7979">
        <f t="shared" ca="1" si="119"/>
        <v>-3.4601633432923225E-2</v>
      </c>
    </row>
    <row r="7980" spans="7:8" x14ac:dyDescent="0.3">
      <c r="G7980" s="78">
        <v>7977</v>
      </c>
      <c r="H7980">
        <f t="shared" ca="1" si="119"/>
        <v>1.2885628126383742E-2</v>
      </c>
    </row>
    <row r="7981" spans="7:8" x14ac:dyDescent="0.3">
      <c r="G7981" s="78">
        <v>7978</v>
      </c>
      <c r="H7981">
        <f t="shared" ca="1" si="119"/>
        <v>7.8371149088325084E-3</v>
      </c>
    </row>
    <row r="7982" spans="7:8" x14ac:dyDescent="0.3">
      <c r="G7982" s="78">
        <v>7979</v>
      </c>
      <c r="H7982">
        <f t="shared" ca="1" si="119"/>
        <v>-1.0089711306021992E-2</v>
      </c>
    </row>
    <row r="7983" spans="7:8" x14ac:dyDescent="0.3">
      <c r="G7983" s="78">
        <v>7980</v>
      </c>
      <c r="H7983">
        <f t="shared" ca="1" si="119"/>
        <v>-1.344155775378327E-2</v>
      </c>
    </row>
    <row r="7984" spans="7:8" x14ac:dyDescent="0.3">
      <c r="G7984" s="78">
        <v>7981</v>
      </c>
      <c r="H7984">
        <f t="shared" ca="1" si="119"/>
        <v>8.104226190606292E-3</v>
      </c>
    </row>
    <row r="7985" spans="7:8" x14ac:dyDescent="0.3">
      <c r="G7985" s="78">
        <v>7982</v>
      </c>
      <c r="H7985">
        <f t="shared" ca="1" si="119"/>
        <v>-3.0089644092495135E-2</v>
      </c>
    </row>
    <row r="7986" spans="7:8" x14ac:dyDescent="0.3">
      <c r="G7986" s="78">
        <v>7983</v>
      </c>
      <c r="H7986">
        <f t="shared" ca="1" si="119"/>
        <v>-5.9429835238083376E-3</v>
      </c>
    </row>
    <row r="7987" spans="7:8" x14ac:dyDescent="0.3">
      <c r="G7987" s="78">
        <v>7984</v>
      </c>
      <c r="H7987">
        <f t="shared" ca="1" si="119"/>
        <v>-1.0373236166495232E-2</v>
      </c>
    </row>
    <row r="7988" spans="7:8" x14ac:dyDescent="0.3">
      <c r="G7988" s="78">
        <v>7985</v>
      </c>
      <c r="H7988">
        <f t="shared" ca="1" si="119"/>
        <v>-1.3176632936732869E-2</v>
      </c>
    </row>
    <row r="7989" spans="7:8" x14ac:dyDescent="0.3">
      <c r="G7989" s="78">
        <v>7986</v>
      </c>
      <c r="H7989">
        <f t="shared" ca="1" si="119"/>
        <v>1.2290362894742203E-2</v>
      </c>
    </row>
    <row r="7990" spans="7:8" x14ac:dyDescent="0.3">
      <c r="G7990" s="78">
        <v>7987</v>
      </c>
      <c r="H7990">
        <f t="shared" ca="1" si="119"/>
        <v>3.0818237109690467E-3</v>
      </c>
    </row>
    <row r="7991" spans="7:8" x14ac:dyDescent="0.3">
      <c r="G7991" s="78">
        <v>7988</v>
      </c>
      <c r="H7991">
        <f t="shared" ca="1" si="119"/>
        <v>1.4952573289677935E-2</v>
      </c>
    </row>
    <row r="7992" spans="7:8" x14ac:dyDescent="0.3">
      <c r="G7992" s="78">
        <v>7989</v>
      </c>
      <c r="H7992">
        <f t="shared" ca="1" si="119"/>
        <v>3.7817503229663568E-2</v>
      </c>
    </row>
    <row r="7993" spans="7:8" x14ac:dyDescent="0.3">
      <c r="G7993" s="78">
        <v>7990</v>
      </c>
      <c r="H7993">
        <f t="shared" ca="1" si="119"/>
        <v>-9.4376002135371524E-3</v>
      </c>
    </row>
    <row r="7994" spans="7:8" x14ac:dyDescent="0.3">
      <c r="G7994" s="78">
        <v>7991</v>
      </c>
      <c r="H7994">
        <f t="shared" ca="1" si="119"/>
        <v>1.9573697709131684E-3</v>
      </c>
    </row>
    <row r="7995" spans="7:8" x14ac:dyDescent="0.3">
      <c r="G7995" s="78">
        <v>7992</v>
      </c>
      <c r="H7995">
        <f t="shared" ca="1" si="119"/>
        <v>-1.1630599808972844E-2</v>
      </c>
    </row>
    <row r="7996" spans="7:8" x14ac:dyDescent="0.3">
      <c r="G7996" s="78">
        <v>7993</v>
      </c>
      <c r="H7996">
        <f t="shared" ca="1" si="119"/>
        <v>1.0684488134576585E-3</v>
      </c>
    </row>
    <row r="7997" spans="7:8" x14ac:dyDescent="0.3">
      <c r="G7997" s="78">
        <v>7994</v>
      </c>
      <c r="H7997">
        <f t="shared" ca="1" si="119"/>
        <v>-5.2138863997928057E-3</v>
      </c>
    </row>
    <row r="7998" spans="7:8" x14ac:dyDescent="0.3">
      <c r="G7998" s="78">
        <v>7995</v>
      </c>
      <c r="H7998">
        <f t="shared" ca="1" si="119"/>
        <v>2.3653862607139645E-2</v>
      </c>
    </row>
    <row r="7999" spans="7:8" x14ac:dyDescent="0.3">
      <c r="G7999" s="78">
        <v>7996</v>
      </c>
      <c r="H7999">
        <f t="shared" ca="1" si="119"/>
        <v>-3.4901725421164452E-2</v>
      </c>
    </row>
    <row r="8000" spans="7:8" x14ac:dyDescent="0.3">
      <c r="G8000" s="78">
        <v>7997</v>
      </c>
      <c r="H8000">
        <f t="shared" ca="1" si="119"/>
        <v>3.2959351349714783E-3</v>
      </c>
    </row>
    <row r="8001" spans="7:8" x14ac:dyDescent="0.3">
      <c r="G8001" s="78">
        <v>7998</v>
      </c>
      <c r="H8001">
        <f t="shared" ca="1" si="119"/>
        <v>1.2172238022417489E-3</v>
      </c>
    </row>
    <row r="8002" spans="7:8" x14ac:dyDescent="0.3">
      <c r="G8002" s="78">
        <v>7999</v>
      </c>
      <c r="H8002">
        <f t="shared" ca="1" si="119"/>
        <v>-5.9879759110743665E-3</v>
      </c>
    </row>
    <row r="8003" spans="7:8" x14ac:dyDescent="0.3">
      <c r="G8003" s="78">
        <v>8000</v>
      </c>
      <c r="H8003">
        <f t="shared" ca="1" si="119"/>
        <v>-2.5576884698955825E-2</v>
      </c>
    </row>
    <row r="8004" spans="7:8" x14ac:dyDescent="0.3">
      <c r="G8004" s="78">
        <v>8001</v>
      </c>
      <c r="H8004">
        <f t="shared" ref="H8004:H8067" ca="1" si="120">_xlfn.NORM.INV(RAND(),$N$4,$N$5)</f>
        <v>1.6082939001736244E-2</v>
      </c>
    </row>
    <row r="8005" spans="7:8" x14ac:dyDescent="0.3">
      <c r="G8005" s="78">
        <v>8002</v>
      </c>
      <c r="H8005">
        <f t="shared" ca="1" si="120"/>
        <v>-2.3674657066425235E-2</v>
      </c>
    </row>
    <row r="8006" spans="7:8" x14ac:dyDescent="0.3">
      <c r="G8006" s="78">
        <v>8003</v>
      </c>
      <c r="H8006">
        <f t="shared" ca="1" si="120"/>
        <v>8.4823880840658589E-3</v>
      </c>
    </row>
    <row r="8007" spans="7:8" x14ac:dyDescent="0.3">
      <c r="G8007" s="78">
        <v>8004</v>
      </c>
      <c r="H8007">
        <f t="shared" ca="1" si="120"/>
        <v>5.487422827943237E-3</v>
      </c>
    </row>
    <row r="8008" spans="7:8" x14ac:dyDescent="0.3">
      <c r="G8008" s="78">
        <v>8005</v>
      </c>
      <c r="H8008">
        <f t="shared" ca="1" si="120"/>
        <v>2.7621917281323065E-2</v>
      </c>
    </row>
    <row r="8009" spans="7:8" x14ac:dyDescent="0.3">
      <c r="G8009" s="78">
        <v>8006</v>
      </c>
      <c r="H8009">
        <f t="shared" ca="1" si="120"/>
        <v>2.2637087807170558E-3</v>
      </c>
    </row>
    <row r="8010" spans="7:8" x14ac:dyDescent="0.3">
      <c r="G8010" s="78">
        <v>8007</v>
      </c>
      <c r="H8010">
        <f t="shared" ca="1" si="120"/>
        <v>9.2801613673105087E-3</v>
      </c>
    </row>
    <row r="8011" spans="7:8" x14ac:dyDescent="0.3">
      <c r="G8011" s="78">
        <v>8008</v>
      </c>
      <c r="H8011">
        <f t="shared" ca="1" si="120"/>
        <v>1.3663914990750918E-2</v>
      </c>
    </row>
    <row r="8012" spans="7:8" x14ac:dyDescent="0.3">
      <c r="G8012" s="78">
        <v>8009</v>
      </c>
      <c r="H8012">
        <f t="shared" ca="1" si="120"/>
        <v>2.7785764343099061E-2</v>
      </c>
    </row>
    <row r="8013" spans="7:8" x14ac:dyDescent="0.3">
      <c r="G8013" s="78">
        <v>8010</v>
      </c>
      <c r="H8013">
        <f t="shared" ca="1" si="120"/>
        <v>1.7805845196421463E-2</v>
      </c>
    </row>
    <row r="8014" spans="7:8" x14ac:dyDescent="0.3">
      <c r="G8014" s="78">
        <v>8011</v>
      </c>
      <c r="H8014">
        <f t="shared" ca="1" si="120"/>
        <v>1.7498148254949112E-2</v>
      </c>
    </row>
    <row r="8015" spans="7:8" x14ac:dyDescent="0.3">
      <c r="G8015" s="78">
        <v>8012</v>
      </c>
      <c r="H8015">
        <f t="shared" ca="1" si="120"/>
        <v>-4.4208171615147542E-2</v>
      </c>
    </row>
    <row r="8016" spans="7:8" x14ac:dyDescent="0.3">
      <c r="G8016" s="78">
        <v>8013</v>
      </c>
      <c r="H8016">
        <f t="shared" ca="1" si="120"/>
        <v>7.5084697137456271E-3</v>
      </c>
    </row>
    <row r="8017" spans="7:8" x14ac:dyDescent="0.3">
      <c r="G8017" s="78">
        <v>8014</v>
      </c>
      <c r="H8017">
        <f t="shared" ca="1" si="120"/>
        <v>3.9843896228213015E-2</v>
      </c>
    </row>
    <row r="8018" spans="7:8" x14ac:dyDescent="0.3">
      <c r="G8018" s="78">
        <v>8015</v>
      </c>
      <c r="H8018">
        <f t="shared" ca="1" si="120"/>
        <v>1.5314799622067803E-3</v>
      </c>
    </row>
    <row r="8019" spans="7:8" x14ac:dyDescent="0.3">
      <c r="G8019" s="78">
        <v>8016</v>
      </c>
      <c r="H8019">
        <f t="shared" ca="1" si="120"/>
        <v>2.4051291042822154E-2</v>
      </c>
    </row>
    <row r="8020" spans="7:8" x14ac:dyDescent="0.3">
      <c r="G8020" s="78">
        <v>8017</v>
      </c>
      <c r="H8020">
        <f t="shared" ca="1" si="120"/>
        <v>1.0305216838480307E-2</v>
      </c>
    </row>
    <row r="8021" spans="7:8" x14ac:dyDescent="0.3">
      <c r="G8021" s="78">
        <v>8018</v>
      </c>
      <c r="H8021">
        <f t="shared" ca="1" si="120"/>
        <v>-7.4218762165245331E-4</v>
      </c>
    </row>
    <row r="8022" spans="7:8" x14ac:dyDescent="0.3">
      <c r="G8022" s="78">
        <v>8019</v>
      </c>
      <c r="H8022">
        <f t="shared" ca="1" si="120"/>
        <v>-1.7316515956869817E-2</v>
      </c>
    </row>
    <row r="8023" spans="7:8" x14ac:dyDescent="0.3">
      <c r="G8023" s="78">
        <v>8020</v>
      </c>
      <c r="H8023">
        <f t="shared" ca="1" si="120"/>
        <v>-7.1275977293680489E-3</v>
      </c>
    </row>
    <row r="8024" spans="7:8" x14ac:dyDescent="0.3">
      <c r="G8024" s="78">
        <v>8021</v>
      </c>
      <c r="H8024">
        <f t="shared" ca="1" si="120"/>
        <v>3.8237732788917117E-3</v>
      </c>
    </row>
    <row r="8025" spans="7:8" x14ac:dyDescent="0.3">
      <c r="G8025" s="78">
        <v>8022</v>
      </c>
      <c r="H8025">
        <f t="shared" ca="1" si="120"/>
        <v>-2.0024013269847804E-2</v>
      </c>
    </row>
    <row r="8026" spans="7:8" x14ac:dyDescent="0.3">
      <c r="G8026" s="78">
        <v>8023</v>
      </c>
      <c r="H8026">
        <f t="shared" ca="1" si="120"/>
        <v>5.954743472256338E-2</v>
      </c>
    </row>
    <row r="8027" spans="7:8" x14ac:dyDescent="0.3">
      <c r="G8027" s="78">
        <v>8024</v>
      </c>
      <c r="H8027">
        <f t="shared" ca="1" si="120"/>
        <v>-2.923046166268485E-4</v>
      </c>
    </row>
    <row r="8028" spans="7:8" x14ac:dyDescent="0.3">
      <c r="G8028" s="78">
        <v>8025</v>
      </c>
      <c r="H8028">
        <f t="shared" ca="1" si="120"/>
        <v>4.1453893906302032E-2</v>
      </c>
    </row>
    <row r="8029" spans="7:8" x14ac:dyDescent="0.3">
      <c r="G8029" s="78">
        <v>8026</v>
      </c>
      <c r="H8029">
        <f t="shared" ca="1" si="120"/>
        <v>-8.8766199065238669E-3</v>
      </c>
    </row>
    <row r="8030" spans="7:8" x14ac:dyDescent="0.3">
      <c r="G8030" s="78">
        <v>8027</v>
      </c>
      <c r="H8030">
        <f t="shared" ca="1" si="120"/>
        <v>-8.0392106964683567E-3</v>
      </c>
    </row>
    <row r="8031" spans="7:8" x14ac:dyDescent="0.3">
      <c r="G8031" s="78">
        <v>8028</v>
      </c>
      <c r="H8031">
        <f t="shared" ca="1" si="120"/>
        <v>-9.1034125824431041E-3</v>
      </c>
    </row>
    <row r="8032" spans="7:8" x14ac:dyDescent="0.3">
      <c r="G8032" s="78">
        <v>8029</v>
      </c>
      <c r="H8032">
        <f t="shared" ca="1" si="120"/>
        <v>-1.0783458059303482E-2</v>
      </c>
    </row>
    <row r="8033" spans="7:8" x14ac:dyDescent="0.3">
      <c r="G8033" s="78">
        <v>8030</v>
      </c>
      <c r="H8033">
        <f t="shared" ca="1" si="120"/>
        <v>4.8691737918802385E-3</v>
      </c>
    </row>
    <row r="8034" spans="7:8" x14ac:dyDescent="0.3">
      <c r="G8034" s="78">
        <v>8031</v>
      </c>
      <c r="H8034">
        <f t="shared" ca="1" si="120"/>
        <v>8.0839793160694976E-5</v>
      </c>
    </row>
    <row r="8035" spans="7:8" x14ac:dyDescent="0.3">
      <c r="G8035" s="78">
        <v>8032</v>
      </c>
      <c r="H8035">
        <f t="shared" ca="1" si="120"/>
        <v>-3.7134246647961514E-2</v>
      </c>
    </row>
    <row r="8036" spans="7:8" x14ac:dyDescent="0.3">
      <c r="G8036" s="78">
        <v>8033</v>
      </c>
      <c r="H8036">
        <f t="shared" ca="1" si="120"/>
        <v>2.4685814910633552E-2</v>
      </c>
    </row>
    <row r="8037" spans="7:8" x14ac:dyDescent="0.3">
      <c r="G8037" s="78">
        <v>8034</v>
      </c>
      <c r="H8037">
        <f t="shared" ca="1" si="120"/>
        <v>-5.4486601448823658E-3</v>
      </c>
    </row>
    <row r="8038" spans="7:8" x14ac:dyDescent="0.3">
      <c r="G8038" s="78">
        <v>8035</v>
      </c>
      <c r="H8038">
        <f t="shared" ca="1" si="120"/>
        <v>-6.169702975338579E-3</v>
      </c>
    </row>
    <row r="8039" spans="7:8" x14ac:dyDescent="0.3">
      <c r="G8039" s="78">
        <v>8036</v>
      </c>
      <c r="H8039">
        <f t="shared" ca="1" si="120"/>
        <v>4.7803790360754928E-3</v>
      </c>
    </row>
    <row r="8040" spans="7:8" x14ac:dyDescent="0.3">
      <c r="G8040" s="78">
        <v>8037</v>
      </c>
      <c r="H8040">
        <f t="shared" ca="1" si="120"/>
        <v>-1.0989365901550094E-2</v>
      </c>
    </row>
    <row r="8041" spans="7:8" x14ac:dyDescent="0.3">
      <c r="G8041" s="78">
        <v>8038</v>
      </c>
      <c r="H8041">
        <f t="shared" ca="1" si="120"/>
        <v>-4.329715965457781E-3</v>
      </c>
    </row>
    <row r="8042" spans="7:8" x14ac:dyDescent="0.3">
      <c r="G8042" s="78">
        <v>8039</v>
      </c>
      <c r="H8042">
        <f t="shared" ca="1" si="120"/>
        <v>-7.3564867873976451E-3</v>
      </c>
    </row>
    <row r="8043" spans="7:8" x14ac:dyDescent="0.3">
      <c r="G8043" s="78">
        <v>8040</v>
      </c>
      <c r="H8043">
        <f t="shared" ca="1" si="120"/>
        <v>5.0184942597242353E-3</v>
      </c>
    </row>
    <row r="8044" spans="7:8" x14ac:dyDescent="0.3">
      <c r="G8044" s="78">
        <v>8041</v>
      </c>
      <c r="H8044">
        <f t="shared" ca="1" si="120"/>
        <v>3.0787109038336764E-2</v>
      </c>
    </row>
    <row r="8045" spans="7:8" x14ac:dyDescent="0.3">
      <c r="G8045" s="78">
        <v>8042</v>
      </c>
      <c r="H8045">
        <f t="shared" ca="1" si="120"/>
        <v>-1.971478595211314E-2</v>
      </c>
    </row>
    <row r="8046" spans="7:8" x14ac:dyDescent="0.3">
      <c r="G8046" s="78">
        <v>8043</v>
      </c>
      <c r="H8046">
        <f t="shared" ca="1" si="120"/>
        <v>1.6363630130734243E-2</v>
      </c>
    </row>
    <row r="8047" spans="7:8" x14ac:dyDescent="0.3">
      <c r="G8047" s="78">
        <v>8044</v>
      </c>
      <c r="H8047">
        <f t="shared" ca="1" si="120"/>
        <v>-5.5723173698076995E-3</v>
      </c>
    </row>
    <row r="8048" spans="7:8" x14ac:dyDescent="0.3">
      <c r="G8048" s="78">
        <v>8045</v>
      </c>
      <c r="H8048">
        <f t="shared" ca="1" si="120"/>
        <v>1.1433367137178234E-2</v>
      </c>
    </row>
    <row r="8049" spans="7:8" x14ac:dyDescent="0.3">
      <c r="G8049" s="78">
        <v>8046</v>
      </c>
      <c r="H8049">
        <f t="shared" ca="1" si="120"/>
        <v>-7.8209670196342212E-3</v>
      </c>
    </row>
    <row r="8050" spans="7:8" x14ac:dyDescent="0.3">
      <c r="G8050" s="78">
        <v>8047</v>
      </c>
      <c r="H8050">
        <f t="shared" ca="1" si="120"/>
        <v>5.7548513667564022E-3</v>
      </c>
    </row>
    <row r="8051" spans="7:8" x14ac:dyDescent="0.3">
      <c r="G8051" s="78">
        <v>8048</v>
      </c>
      <c r="H8051">
        <f t="shared" ca="1" si="120"/>
        <v>9.1829411740404782E-3</v>
      </c>
    </row>
    <row r="8052" spans="7:8" x14ac:dyDescent="0.3">
      <c r="G8052" s="78">
        <v>8049</v>
      </c>
      <c r="H8052">
        <f t="shared" ca="1" si="120"/>
        <v>6.4341947002440059E-3</v>
      </c>
    </row>
    <row r="8053" spans="7:8" x14ac:dyDescent="0.3">
      <c r="G8053" s="78">
        <v>8050</v>
      </c>
      <c r="H8053">
        <f t="shared" ca="1" si="120"/>
        <v>-1.3152090274953367E-2</v>
      </c>
    </row>
    <row r="8054" spans="7:8" x14ac:dyDescent="0.3">
      <c r="G8054" s="78">
        <v>8051</v>
      </c>
      <c r="H8054">
        <f t="shared" ca="1" si="120"/>
        <v>-3.7779992653126588E-3</v>
      </c>
    </row>
    <row r="8055" spans="7:8" x14ac:dyDescent="0.3">
      <c r="G8055" s="78">
        <v>8052</v>
      </c>
      <c r="H8055">
        <f t="shared" ca="1" si="120"/>
        <v>-2.3032336849153141E-2</v>
      </c>
    </row>
    <row r="8056" spans="7:8" x14ac:dyDescent="0.3">
      <c r="G8056" s="78">
        <v>8053</v>
      </c>
      <c r="H8056">
        <f t="shared" ca="1" si="120"/>
        <v>-1.498521322248437E-3</v>
      </c>
    </row>
    <row r="8057" spans="7:8" x14ac:dyDescent="0.3">
      <c r="G8057" s="78">
        <v>8054</v>
      </c>
      <c r="H8057">
        <f t="shared" ca="1" si="120"/>
        <v>-5.6958899111681626E-3</v>
      </c>
    </row>
    <row r="8058" spans="7:8" x14ac:dyDescent="0.3">
      <c r="G8058" s="78">
        <v>8055</v>
      </c>
      <c r="H8058">
        <f t="shared" ca="1" si="120"/>
        <v>1.4763985577690968E-2</v>
      </c>
    </row>
    <row r="8059" spans="7:8" x14ac:dyDescent="0.3">
      <c r="G8059" s="78">
        <v>8056</v>
      </c>
      <c r="H8059">
        <f t="shared" ca="1" si="120"/>
        <v>3.6542345075988849E-3</v>
      </c>
    </row>
    <row r="8060" spans="7:8" x14ac:dyDescent="0.3">
      <c r="G8060" s="78">
        <v>8057</v>
      </c>
      <c r="H8060">
        <f t="shared" ca="1" si="120"/>
        <v>1.6387531355221655E-3</v>
      </c>
    </row>
    <row r="8061" spans="7:8" x14ac:dyDescent="0.3">
      <c r="G8061" s="78">
        <v>8058</v>
      </c>
      <c r="H8061">
        <f t="shared" ca="1" si="120"/>
        <v>-1.0917425245832435E-3</v>
      </c>
    </row>
    <row r="8062" spans="7:8" x14ac:dyDescent="0.3">
      <c r="G8062" s="78">
        <v>8059</v>
      </c>
      <c r="H8062">
        <f t="shared" ca="1" si="120"/>
        <v>1.7564206146434086E-2</v>
      </c>
    </row>
    <row r="8063" spans="7:8" x14ac:dyDescent="0.3">
      <c r="G8063" s="78">
        <v>8060</v>
      </c>
      <c r="H8063">
        <f t="shared" ca="1" si="120"/>
        <v>4.1035165827016063E-3</v>
      </c>
    </row>
    <row r="8064" spans="7:8" x14ac:dyDescent="0.3">
      <c r="G8064" s="78">
        <v>8061</v>
      </c>
      <c r="H8064">
        <f t="shared" ca="1" si="120"/>
        <v>-1.7272760802698791E-2</v>
      </c>
    </row>
    <row r="8065" spans="7:8" x14ac:dyDescent="0.3">
      <c r="G8065" s="78">
        <v>8062</v>
      </c>
      <c r="H8065">
        <f t="shared" ca="1" si="120"/>
        <v>1.7395393589419779E-2</v>
      </c>
    </row>
    <row r="8066" spans="7:8" x14ac:dyDescent="0.3">
      <c r="G8066" s="78">
        <v>8063</v>
      </c>
      <c r="H8066">
        <f t="shared" ca="1" si="120"/>
        <v>-1.9963245291030392E-2</v>
      </c>
    </row>
    <row r="8067" spans="7:8" x14ac:dyDescent="0.3">
      <c r="G8067" s="78">
        <v>8064</v>
      </c>
      <c r="H8067">
        <f t="shared" ca="1" si="120"/>
        <v>-2.1702211908134077E-2</v>
      </c>
    </row>
    <row r="8068" spans="7:8" x14ac:dyDescent="0.3">
      <c r="G8068" s="78">
        <v>8065</v>
      </c>
      <c r="H8068">
        <f t="shared" ref="H8068:H8131" ca="1" si="121">_xlfn.NORM.INV(RAND(),$N$4,$N$5)</f>
        <v>1.4284491270128565E-2</v>
      </c>
    </row>
    <row r="8069" spans="7:8" x14ac:dyDescent="0.3">
      <c r="G8069" s="78">
        <v>8066</v>
      </c>
      <c r="H8069">
        <f t="shared" ca="1" si="121"/>
        <v>-3.1248628913486086E-2</v>
      </c>
    </row>
    <row r="8070" spans="7:8" x14ac:dyDescent="0.3">
      <c r="G8070" s="78">
        <v>8067</v>
      </c>
      <c r="H8070">
        <f t="shared" ca="1" si="121"/>
        <v>7.0378389784870286E-4</v>
      </c>
    </row>
    <row r="8071" spans="7:8" x14ac:dyDescent="0.3">
      <c r="G8071" s="78">
        <v>8068</v>
      </c>
      <c r="H8071">
        <f t="shared" ca="1" si="121"/>
        <v>-3.4260255200425284E-2</v>
      </c>
    </row>
    <row r="8072" spans="7:8" x14ac:dyDescent="0.3">
      <c r="G8072" s="78">
        <v>8069</v>
      </c>
      <c r="H8072">
        <f t="shared" ca="1" si="121"/>
        <v>-2.7620632962705453E-2</v>
      </c>
    </row>
    <row r="8073" spans="7:8" x14ac:dyDescent="0.3">
      <c r="G8073" s="78">
        <v>8070</v>
      </c>
      <c r="H8073">
        <f t="shared" ca="1" si="121"/>
        <v>-3.3072888663345693E-2</v>
      </c>
    </row>
    <row r="8074" spans="7:8" x14ac:dyDescent="0.3">
      <c r="G8074" s="78">
        <v>8071</v>
      </c>
      <c r="H8074">
        <f t="shared" ca="1" si="121"/>
        <v>-2.9504584147104742E-2</v>
      </c>
    </row>
    <row r="8075" spans="7:8" x14ac:dyDescent="0.3">
      <c r="G8075" s="78">
        <v>8072</v>
      </c>
      <c r="H8075">
        <f t="shared" ca="1" si="121"/>
        <v>-1.7608400491070902E-2</v>
      </c>
    </row>
    <row r="8076" spans="7:8" x14ac:dyDescent="0.3">
      <c r="G8076" s="78">
        <v>8073</v>
      </c>
      <c r="H8076">
        <f t="shared" ca="1" si="121"/>
        <v>1.76542348788905E-2</v>
      </c>
    </row>
    <row r="8077" spans="7:8" x14ac:dyDescent="0.3">
      <c r="G8077" s="78">
        <v>8074</v>
      </c>
      <c r="H8077">
        <f t="shared" ca="1" si="121"/>
        <v>2.493905564285831E-3</v>
      </c>
    </row>
    <row r="8078" spans="7:8" x14ac:dyDescent="0.3">
      <c r="G8078" s="78">
        <v>8075</v>
      </c>
      <c r="H8078">
        <f t="shared" ca="1" si="121"/>
        <v>-2.2819881914370597E-2</v>
      </c>
    </row>
    <row r="8079" spans="7:8" x14ac:dyDescent="0.3">
      <c r="G8079" s="78">
        <v>8076</v>
      </c>
      <c r="H8079">
        <f t="shared" ca="1" si="121"/>
        <v>1.0145579680229404E-2</v>
      </c>
    </row>
    <row r="8080" spans="7:8" x14ac:dyDescent="0.3">
      <c r="G8080" s="78">
        <v>8077</v>
      </c>
      <c r="H8080">
        <f t="shared" ca="1" si="121"/>
        <v>7.6383124634846644E-2</v>
      </c>
    </row>
    <row r="8081" spans="7:8" x14ac:dyDescent="0.3">
      <c r="G8081" s="78">
        <v>8078</v>
      </c>
      <c r="H8081">
        <f t="shared" ca="1" si="121"/>
        <v>-7.4604414761143241E-3</v>
      </c>
    </row>
    <row r="8082" spans="7:8" x14ac:dyDescent="0.3">
      <c r="G8082" s="78">
        <v>8079</v>
      </c>
      <c r="H8082">
        <f t="shared" ca="1" si="121"/>
        <v>4.1709845719035306E-2</v>
      </c>
    </row>
    <row r="8083" spans="7:8" x14ac:dyDescent="0.3">
      <c r="G8083" s="78">
        <v>8080</v>
      </c>
      <c r="H8083">
        <f t="shared" ca="1" si="121"/>
        <v>6.6815789463045196E-3</v>
      </c>
    </row>
    <row r="8084" spans="7:8" x14ac:dyDescent="0.3">
      <c r="G8084" s="78">
        <v>8081</v>
      </c>
      <c r="H8084">
        <f t="shared" ca="1" si="121"/>
        <v>-2.6883435097163001E-2</v>
      </c>
    </row>
    <row r="8085" spans="7:8" x14ac:dyDescent="0.3">
      <c r="G8085" s="78">
        <v>8082</v>
      </c>
      <c r="H8085">
        <f t="shared" ca="1" si="121"/>
        <v>-2.6645165705832035E-3</v>
      </c>
    </row>
    <row r="8086" spans="7:8" x14ac:dyDescent="0.3">
      <c r="G8086" s="78">
        <v>8083</v>
      </c>
      <c r="H8086">
        <f t="shared" ca="1" si="121"/>
        <v>2.986701085387691E-2</v>
      </c>
    </row>
    <row r="8087" spans="7:8" x14ac:dyDescent="0.3">
      <c r="G8087" s="78">
        <v>8084</v>
      </c>
      <c r="H8087">
        <f t="shared" ca="1" si="121"/>
        <v>2.9525979331919586E-2</v>
      </c>
    </row>
    <row r="8088" spans="7:8" x14ac:dyDescent="0.3">
      <c r="G8088" s="78">
        <v>8085</v>
      </c>
      <c r="H8088">
        <f t="shared" ca="1" si="121"/>
        <v>-8.110084576107077E-3</v>
      </c>
    </row>
    <row r="8089" spans="7:8" x14ac:dyDescent="0.3">
      <c r="G8089" s="78">
        <v>8086</v>
      </c>
      <c r="H8089">
        <f t="shared" ca="1" si="121"/>
        <v>2.8756638625080412E-2</v>
      </c>
    </row>
    <row r="8090" spans="7:8" x14ac:dyDescent="0.3">
      <c r="G8090" s="78">
        <v>8087</v>
      </c>
      <c r="H8090">
        <f t="shared" ca="1" si="121"/>
        <v>-3.2435391279389186E-2</v>
      </c>
    </row>
    <row r="8091" spans="7:8" x14ac:dyDescent="0.3">
      <c r="G8091" s="78">
        <v>8088</v>
      </c>
      <c r="H8091">
        <f t="shared" ca="1" si="121"/>
        <v>-5.7494134430148752E-2</v>
      </c>
    </row>
    <row r="8092" spans="7:8" x14ac:dyDescent="0.3">
      <c r="G8092" s="78">
        <v>8089</v>
      </c>
      <c r="H8092">
        <f t="shared" ca="1" si="121"/>
        <v>3.5090710917958963E-2</v>
      </c>
    </row>
    <row r="8093" spans="7:8" x14ac:dyDescent="0.3">
      <c r="G8093" s="78">
        <v>8090</v>
      </c>
      <c r="H8093">
        <f t="shared" ca="1" si="121"/>
        <v>3.8077224413883184E-2</v>
      </c>
    </row>
    <row r="8094" spans="7:8" x14ac:dyDescent="0.3">
      <c r="G8094" s="78">
        <v>8091</v>
      </c>
      <c r="H8094">
        <f t="shared" ca="1" si="121"/>
        <v>-4.3409383767470952E-3</v>
      </c>
    </row>
    <row r="8095" spans="7:8" x14ac:dyDescent="0.3">
      <c r="G8095" s="78">
        <v>8092</v>
      </c>
      <c r="H8095">
        <f t="shared" ca="1" si="121"/>
        <v>-9.2029904911950719E-3</v>
      </c>
    </row>
    <row r="8096" spans="7:8" x14ac:dyDescent="0.3">
      <c r="G8096" s="78">
        <v>8093</v>
      </c>
      <c r="H8096">
        <f t="shared" ca="1" si="121"/>
        <v>-1.9366269346417102E-2</v>
      </c>
    </row>
    <row r="8097" spans="7:8" x14ac:dyDescent="0.3">
      <c r="G8097" s="78">
        <v>8094</v>
      </c>
      <c r="H8097">
        <f t="shared" ca="1" si="121"/>
        <v>-2.2945028128436903E-2</v>
      </c>
    </row>
    <row r="8098" spans="7:8" x14ac:dyDescent="0.3">
      <c r="G8098" s="78">
        <v>8095</v>
      </c>
      <c r="H8098">
        <f t="shared" ca="1" si="121"/>
        <v>-2.8468107441878096E-2</v>
      </c>
    </row>
    <row r="8099" spans="7:8" x14ac:dyDescent="0.3">
      <c r="G8099" s="78">
        <v>8096</v>
      </c>
      <c r="H8099">
        <f t="shared" ca="1" si="121"/>
        <v>6.0452433225014444E-3</v>
      </c>
    </row>
    <row r="8100" spans="7:8" x14ac:dyDescent="0.3">
      <c r="G8100" s="78">
        <v>8097</v>
      </c>
      <c r="H8100">
        <f t="shared" ca="1" si="121"/>
        <v>-8.7075802537766624E-3</v>
      </c>
    </row>
    <row r="8101" spans="7:8" x14ac:dyDescent="0.3">
      <c r="G8101" s="78">
        <v>8098</v>
      </c>
      <c r="H8101">
        <f t="shared" ca="1" si="121"/>
        <v>1.9950891131467918E-2</v>
      </c>
    </row>
    <row r="8102" spans="7:8" x14ac:dyDescent="0.3">
      <c r="G8102" s="78">
        <v>8099</v>
      </c>
      <c r="H8102">
        <f t="shared" ca="1" si="121"/>
        <v>6.6649985534785088E-3</v>
      </c>
    </row>
    <row r="8103" spans="7:8" x14ac:dyDescent="0.3">
      <c r="G8103" s="78">
        <v>8100</v>
      </c>
      <c r="H8103">
        <f t="shared" ca="1" si="121"/>
        <v>-1.691073860146965E-2</v>
      </c>
    </row>
    <row r="8104" spans="7:8" x14ac:dyDescent="0.3">
      <c r="G8104" s="78">
        <v>8101</v>
      </c>
      <c r="H8104">
        <f t="shared" ca="1" si="121"/>
        <v>-1.2863925877882527E-3</v>
      </c>
    </row>
    <row r="8105" spans="7:8" x14ac:dyDescent="0.3">
      <c r="G8105" s="78">
        <v>8102</v>
      </c>
      <c r="H8105">
        <f t="shared" ca="1" si="121"/>
        <v>3.0325019519883929E-2</v>
      </c>
    </row>
    <row r="8106" spans="7:8" x14ac:dyDescent="0.3">
      <c r="G8106" s="78">
        <v>8103</v>
      </c>
      <c r="H8106">
        <f t="shared" ca="1" si="121"/>
        <v>2.186359007357536E-2</v>
      </c>
    </row>
    <row r="8107" spans="7:8" x14ac:dyDescent="0.3">
      <c r="G8107" s="78">
        <v>8104</v>
      </c>
      <c r="H8107">
        <f t="shared" ca="1" si="121"/>
        <v>3.9191986342992674E-2</v>
      </c>
    </row>
    <row r="8108" spans="7:8" x14ac:dyDescent="0.3">
      <c r="G8108" s="78">
        <v>8105</v>
      </c>
      <c r="H8108">
        <f t="shared" ca="1" si="121"/>
        <v>1.6861628290356864E-2</v>
      </c>
    </row>
    <row r="8109" spans="7:8" x14ac:dyDescent="0.3">
      <c r="G8109" s="78">
        <v>8106</v>
      </c>
      <c r="H8109">
        <f t="shared" ca="1" si="121"/>
        <v>-8.9722768247473723E-3</v>
      </c>
    </row>
    <row r="8110" spans="7:8" x14ac:dyDescent="0.3">
      <c r="G8110" s="78">
        <v>8107</v>
      </c>
      <c r="H8110">
        <f t="shared" ca="1" si="121"/>
        <v>-1.6153841694384913E-2</v>
      </c>
    </row>
    <row r="8111" spans="7:8" x14ac:dyDescent="0.3">
      <c r="G8111" s="78">
        <v>8108</v>
      </c>
      <c r="H8111">
        <f t="shared" ca="1" si="121"/>
        <v>1.6147129855073685E-2</v>
      </c>
    </row>
    <row r="8112" spans="7:8" x14ac:dyDescent="0.3">
      <c r="G8112" s="78">
        <v>8109</v>
      </c>
      <c r="H8112">
        <f t="shared" ca="1" si="121"/>
        <v>-4.188222700017361E-3</v>
      </c>
    </row>
    <row r="8113" spans="7:8" x14ac:dyDescent="0.3">
      <c r="G8113" s="78">
        <v>8110</v>
      </c>
      <c r="H8113">
        <f t="shared" ca="1" si="121"/>
        <v>2.1522331854623541E-2</v>
      </c>
    </row>
    <row r="8114" spans="7:8" x14ac:dyDescent="0.3">
      <c r="G8114" s="78">
        <v>8111</v>
      </c>
      <c r="H8114">
        <f t="shared" ca="1" si="121"/>
        <v>-2.0180625510220164E-3</v>
      </c>
    </row>
    <row r="8115" spans="7:8" x14ac:dyDescent="0.3">
      <c r="G8115" s="78">
        <v>8112</v>
      </c>
      <c r="H8115">
        <f t="shared" ca="1" si="121"/>
        <v>-1.7789255518536335E-3</v>
      </c>
    </row>
    <row r="8116" spans="7:8" x14ac:dyDescent="0.3">
      <c r="G8116" s="78">
        <v>8113</v>
      </c>
      <c r="H8116">
        <f t="shared" ca="1" si="121"/>
        <v>4.4947670195451213E-2</v>
      </c>
    </row>
    <row r="8117" spans="7:8" x14ac:dyDescent="0.3">
      <c r="G8117" s="78">
        <v>8114</v>
      </c>
      <c r="H8117">
        <f t="shared" ca="1" si="121"/>
        <v>1.7102328312550562E-2</v>
      </c>
    </row>
    <row r="8118" spans="7:8" x14ac:dyDescent="0.3">
      <c r="G8118" s="78">
        <v>8115</v>
      </c>
      <c r="H8118">
        <f t="shared" ca="1" si="121"/>
        <v>-6.1656438658049054E-3</v>
      </c>
    </row>
    <row r="8119" spans="7:8" x14ac:dyDescent="0.3">
      <c r="G8119" s="78">
        <v>8116</v>
      </c>
      <c r="H8119">
        <f t="shared" ca="1" si="121"/>
        <v>-2.3654171484846678E-2</v>
      </c>
    </row>
    <row r="8120" spans="7:8" x14ac:dyDescent="0.3">
      <c r="G8120" s="78">
        <v>8117</v>
      </c>
      <c r="H8120">
        <f t="shared" ca="1" si="121"/>
        <v>-2.0051679787091024E-2</v>
      </c>
    </row>
    <row r="8121" spans="7:8" x14ac:dyDescent="0.3">
      <c r="G8121" s="78">
        <v>8118</v>
      </c>
      <c r="H8121">
        <f t="shared" ca="1" si="121"/>
        <v>-7.9937674399765835E-3</v>
      </c>
    </row>
    <row r="8122" spans="7:8" x14ac:dyDescent="0.3">
      <c r="G8122" s="78">
        <v>8119</v>
      </c>
      <c r="H8122">
        <f t="shared" ca="1" si="121"/>
        <v>-3.3683613013431833E-2</v>
      </c>
    </row>
    <row r="8123" spans="7:8" x14ac:dyDescent="0.3">
      <c r="G8123" s="78">
        <v>8120</v>
      </c>
      <c r="H8123">
        <f t="shared" ca="1" si="121"/>
        <v>1.3150539364556579E-2</v>
      </c>
    </row>
    <row r="8124" spans="7:8" x14ac:dyDescent="0.3">
      <c r="G8124" s="78">
        <v>8121</v>
      </c>
      <c r="H8124">
        <f t="shared" ca="1" si="121"/>
        <v>2.218868718196474E-2</v>
      </c>
    </row>
    <row r="8125" spans="7:8" x14ac:dyDescent="0.3">
      <c r="G8125" s="78">
        <v>8122</v>
      </c>
      <c r="H8125">
        <f t="shared" ca="1" si="121"/>
        <v>1.8205056443085194E-2</v>
      </c>
    </row>
    <row r="8126" spans="7:8" x14ac:dyDescent="0.3">
      <c r="G8126" s="78">
        <v>8123</v>
      </c>
      <c r="H8126">
        <f t="shared" ca="1" si="121"/>
        <v>-6.8239040432638886E-3</v>
      </c>
    </row>
    <row r="8127" spans="7:8" x14ac:dyDescent="0.3">
      <c r="G8127" s="78">
        <v>8124</v>
      </c>
      <c r="H8127">
        <f t="shared" ca="1" si="121"/>
        <v>1.9813696938223047E-2</v>
      </c>
    </row>
    <row r="8128" spans="7:8" x14ac:dyDescent="0.3">
      <c r="G8128" s="78">
        <v>8125</v>
      </c>
      <c r="H8128">
        <f t="shared" ca="1" si="121"/>
        <v>1.4184631866851191E-2</v>
      </c>
    </row>
    <row r="8129" spans="7:8" x14ac:dyDescent="0.3">
      <c r="G8129" s="78">
        <v>8126</v>
      </c>
      <c r="H8129">
        <f t="shared" ca="1" si="121"/>
        <v>2.0309772216939324E-2</v>
      </c>
    </row>
    <row r="8130" spans="7:8" x14ac:dyDescent="0.3">
      <c r="G8130" s="78">
        <v>8127</v>
      </c>
      <c r="H8130">
        <f t="shared" ca="1" si="121"/>
        <v>6.7496349429080045E-4</v>
      </c>
    </row>
    <row r="8131" spans="7:8" x14ac:dyDescent="0.3">
      <c r="G8131" s="78">
        <v>8128</v>
      </c>
      <c r="H8131">
        <f t="shared" ca="1" si="121"/>
        <v>-5.3263715717791612E-3</v>
      </c>
    </row>
    <row r="8132" spans="7:8" x14ac:dyDescent="0.3">
      <c r="G8132" s="78">
        <v>8129</v>
      </c>
      <c r="H8132">
        <f t="shared" ref="H8132:H8195" ca="1" si="122">_xlfn.NORM.INV(RAND(),$N$4,$N$5)</f>
        <v>1.6685072965366522E-2</v>
      </c>
    </row>
    <row r="8133" spans="7:8" x14ac:dyDescent="0.3">
      <c r="G8133" s="78">
        <v>8130</v>
      </c>
      <c r="H8133">
        <f t="shared" ca="1" si="122"/>
        <v>8.3054742804603929E-3</v>
      </c>
    </row>
    <row r="8134" spans="7:8" x14ac:dyDescent="0.3">
      <c r="G8134" s="78">
        <v>8131</v>
      </c>
      <c r="H8134">
        <f t="shared" ca="1" si="122"/>
        <v>3.0395616501555586E-2</v>
      </c>
    </row>
    <row r="8135" spans="7:8" x14ac:dyDescent="0.3">
      <c r="G8135" s="78">
        <v>8132</v>
      </c>
      <c r="H8135">
        <f t="shared" ca="1" si="122"/>
        <v>2.5651414719917214E-2</v>
      </c>
    </row>
    <row r="8136" spans="7:8" x14ac:dyDescent="0.3">
      <c r="G8136" s="78">
        <v>8133</v>
      </c>
      <c r="H8136">
        <f t="shared" ca="1" si="122"/>
        <v>1.0252495458178872E-2</v>
      </c>
    </row>
    <row r="8137" spans="7:8" x14ac:dyDescent="0.3">
      <c r="G8137" s="78">
        <v>8134</v>
      </c>
      <c r="H8137">
        <f t="shared" ca="1" si="122"/>
        <v>-2.3356761782075609E-2</v>
      </c>
    </row>
    <row r="8138" spans="7:8" x14ac:dyDescent="0.3">
      <c r="G8138" s="78">
        <v>8135</v>
      </c>
      <c r="H8138">
        <f t="shared" ca="1" si="122"/>
        <v>-7.3894915113517272E-3</v>
      </c>
    </row>
    <row r="8139" spans="7:8" x14ac:dyDescent="0.3">
      <c r="G8139" s="78">
        <v>8136</v>
      </c>
      <c r="H8139">
        <f t="shared" ca="1" si="122"/>
        <v>-8.4301427778770907E-3</v>
      </c>
    </row>
    <row r="8140" spans="7:8" x14ac:dyDescent="0.3">
      <c r="G8140" s="78">
        <v>8137</v>
      </c>
      <c r="H8140">
        <f t="shared" ca="1" si="122"/>
        <v>3.0009252343203889E-2</v>
      </c>
    </row>
    <row r="8141" spans="7:8" x14ac:dyDescent="0.3">
      <c r="G8141" s="78">
        <v>8138</v>
      </c>
      <c r="H8141">
        <f t="shared" ca="1" si="122"/>
        <v>-2.9929100159791992E-2</v>
      </c>
    </row>
    <row r="8142" spans="7:8" x14ac:dyDescent="0.3">
      <c r="G8142" s="78">
        <v>8139</v>
      </c>
      <c r="H8142">
        <f t="shared" ca="1" si="122"/>
        <v>-1.0260076466574305E-2</v>
      </c>
    </row>
    <row r="8143" spans="7:8" x14ac:dyDescent="0.3">
      <c r="G8143" s="78">
        <v>8140</v>
      </c>
      <c r="H8143">
        <f t="shared" ca="1" si="122"/>
        <v>-3.6405269956343939E-2</v>
      </c>
    </row>
    <row r="8144" spans="7:8" x14ac:dyDescent="0.3">
      <c r="G8144" s="78">
        <v>8141</v>
      </c>
      <c r="H8144">
        <f t="shared" ca="1" si="122"/>
        <v>-6.3458298962271861E-3</v>
      </c>
    </row>
    <row r="8145" spans="7:8" x14ac:dyDescent="0.3">
      <c r="G8145" s="78">
        <v>8142</v>
      </c>
      <c r="H8145">
        <f t="shared" ca="1" si="122"/>
        <v>-4.9460483030141613E-3</v>
      </c>
    </row>
    <row r="8146" spans="7:8" x14ac:dyDescent="0.3">
      <c r="G8146" s="78">
        <v>8143</v>
      </c>
      <c r="H8146">
        <f t="shared" ca="1" si="122"/>
        <v>3.2316143024380184E-2</v>
      </c>
    </row>
    <row r="8147" spans="7:8" x14ac:dyDescent="0.3">
      <c r="G8147" s="78">
        <v>8144</v>
      </c>
      <c r="H8147">
        <f t="shared" ca="1" si="122"/>
        <v>-1.0653807802934385E-2</v>
      </c>
    </row>
    <row r="8148" spans="7:8" x14ac:dyDescent="0.3">
      <c r="G8148" s="78">
        <v>8145</v>
      </c>
      <c r="H8148">
        <f t="shared" ca="1" si="122"/>
        <v>4.2954944629099406E-2</v>
      </c>
    </row>
    <row r="8149" spans="7:8" x14ac:dyDescent="0.3">
      <c r="G8149" s="78">
        <v>8146</v>
      </c>
      <c r="H8149">
        <f t="shared" ca="1" si="122"/>
        <v>-5.3814477202957156E-3</v>
      </c>
    </row>
    <row r="8150" spans="7:8" x14ac:dyDescent="0.3">
      <c r="G8150" s="78">
        <v>8147</v>
      </c>
      <c r="H8150">
        <f t="shared" ca="1" si="122"/>
        <v>-9.031903334444492E-3</v>
      </c>
    </row>
    <row r="8151" spans="7:8" x14ac:dyDescent="0.3">
      <c r="G8151" s="78">
        <v>8148</v>
      </c>
      <c r="H8151">
        <f t="shared" ca="1" si="122"/>
        <v>1.0842188178129906E-3</v>
      </c>
    </row>
    <row r="8152" spans="7:8" x14ac:dyDescent="0.3">
      <c r="G8152" s="78">
        <v>8149</v>
      </c>
      <c r="H8152">
        <f t="shared" ca="1" si="122"/>
        <v>2.4469872711541281E-2</v>
      </c>
    </row>
    <row r="8153" spans="7:8" x14ac:dyDescent="0.3">
      <c r="G8153" s="78">
        <v>8150</v>
      </c>
      <c r="H8153">
        <f t="shared" ca="1" si="122"/>
        <v>1.1053391086297999E-3</v>
      </c>
    </row>
    <row r="8154" spans="7:8" x14ac:dyDescent="0.3">
      <c r="G8154" s="78">
        <v>8151</v>
      </c>
      <c r="H8154">
        <f t="shared" ca="1" si="122"/>
        <v>2.1566821207661093E-2</v>
      </c>
    </row>
    <row r="8155" spans="7:8" x14ac:dyDescent="0.3">
      <c r="G8155" s="78">
        <v>8152</v>
      </c>
      <c r="H8155">
        <f t="shared" ca="1" si="122"/>
        <v>-1.8756525688834551E-2</v>
      </c>
    </row>
    <row r="8156" spans="7:8" x14ac:dyDescent="0.3">
      <c r="G8156" s="78">
        <v>8153</v>
      </c>
      <c r="H8156">
        <f t="shared" ca="1" si="122"/>
        <v>-7.5178643524284041E-3</v>
      </c>
    </row>
    <row r="8157" spans="7:8" x14ac:dyDescent="0.3">
      <c r="G8157" s="78">
        <v>8154</v>
      </c>
      <c r="H8157">
        <f t="shared" ca="1" si="122"/>
        <v>1.01777862317693E-3</v>
      </c>
    </row>
    <row r="8158" spans="7:8" x14ac:dyDescent="0.3">
      <c r="G8158" s="78">
        <v>8155</v>
      </c>
      <c r="H8158">
        <f t="shared" ca="1" si="122"/>
        <v>1.9673895716689035E-2</v>
      </c>
    </row>
    <row r="8159" spans="7:8" x14ac:dyDescent="0.3">
      <c r="G8159" s="78">
        <v>8156</v>
      </c>
      <c r="H8159">
        <f t="shared" ca="1" si="122"/>
        <v>1.7014869382823768E-2</v>
      </c>
    </row>
    <row r="8160" spans="7:8" x14ac:dyDescent="0.3">
      <c r="G8160" s="78">
        <v>8157</v>
      </c>
      <c r="H8160">
        <f t="shared" ca="1" si="122"/>
        <v>-9.6557624052586964E-3</v>
      </c>
    </row>
    <row r="8161" spans="7:8" x14ac:dyDescent="0.3">
      <c r="G8161" s="78">
        <v>8158</v>
      </c>
      <c r="H8161">
        <f t="shared" ca="1" si="122"/>
        <v>-2.3366492032652619E-2</v>
      </c>
    </row>
    <row r="8162" spans="7:8" x14ac:dyDescent="0.3">
      <c r="G8162" s="78">
        <v>8159</v>
      </c>
      <c r="H8162">
        <f t="shared" ca="1" si="122"/>
        <v>-5.3335476798242347E-2</v>
      </c>
    </row>
    <row r="8163" spans="7:8" x14ac:dyDescent="0.3">
      <c r="G8163" s="78">
        <v>8160</v>
      </c>
      <c r="H8163">
        <f t="shared" ca="1" si="122"/>
        <v>1.0535861139551995E-2</v>
      </c>
    </row>
    <row r="8164" spans="7:8" x14ac:dyDescent="0.3">
      <c r="G8164" s="78">
        <v>8161</v>
      </c>
      <c r="H8164">
        <f t="shared" ca="1" si="122"/>
        <v>3.1652161370284183E-2</v>
      </c>
    </row>
    <row r="8165" spans="7:8" x14ac:dyDescent="0.3">
      <c r="G8165" s="78">
        <v>8162</v>
      </c>
      <c r="H8165">
        <f t="shared" ca="1" si="122"/>
        <v>-1.5412191653976006E-2</v>
      </c>
    </row>
    <row r="8166" spans="7:8" x14ac:dyDescent="0.3">
      <c r="G8166" s="78">
        <v>8163</v>
      </c>
      <c r="H8166">
        <f t="shared" ca="1" si="122"/>
        <v>1.3477483861034666E-2</v>
      </c>
    </row>
    <row r="8167" spans="7:8" x14ac:dyDescent="0.3">
      <c r="G8167" s="78">
        <v>8164</v>
      </c>
      <c r="H8167">
        <f t="shared" ca="1" si="122"/>
        <v>1.0413252848432109E-2</v>
      </c>
    </row>
    <row r="8168" spans="7:8" x14ac:dyDescent="0.3">
      <c r="G8168" s="78">
        <v>8165</v>
      </c>
      <c r="H8168">
        <f t="shared" ca="1" si="122"/>
        <v>2.5747947084231948E-2</v>
      </c>
    </row>
    <row r="8169" spans="7:8" x14ac:dyDescent="0.3">
      <c r="G8169" s="78">
        <v>8166</v>
      </c>
      <c r="H8169">
        <f t="shared" ca="1" si="122"/>
        <v>-5.144805665218868E-4</v>
      </c>
    </row>
    <row r="8170" spans="7:8" x14ac:dyDescent="0.3">
      <c r="G8170" s="78">
        <v>8167</v>
      </c>
      <c r="H8170">
        <f t="shared" ca="1" si="122"/>
        <v>1.2839505551832478E-2</v>
      </c>
    </row>
    <row r="8171" spans="7:8" x14ac:dyDescent="0.3">
      <c r="G8171" s="78">
        <v>8168</v>
      </c>
      <c r="H8171">
        <f t="shared" ca="1" si="122"/>
        <v>5.9750873313197646E-3</v>
      </c>
    </row>
    <row r="8172" spans="7:8" x14ac:dyDescent="0.3">
      <c r="G8172" s="78">
        <v>8169</v>
      </c>
      <c r="H8172">
        <f t="shared" ca="1" si="122"/>
        <v>-3.1305088264597727E-2</v>
      </c>
    </row>
    <row r="8173" spans="7:8" x14ac:dyDescent="0.3">
      <c r="G8173" s="78">
        <v>8170</v>
      </c>
      <c r="H8173">
        <f t="shared" ca="1" si="122"/>
        <v>-3.5690401542043282E-2</v>
      </c>
    </row>
    <row r="8174" spans="7:8" x14ac:dyDescent="0.3">
      <c r="G8174" s="78">
        <v>8171</v>
      </c>
      <c r="H8174">
        <f t="shared" ca="1" si="122"/>
        <v>-1.1397812553261812E-2</v>
      </c>
    </row>
    <row r="8175" spans="7:8" x14ac:dyDescent="0.3">
      <c r="G8175" s="78">
        <v>8172</v>
      </c>
      <c r="H8175">
        <f t="shared" ca="1" si="122"/>
        <v>2.1065087788588961E-2</v>
      </c>
    </row>
    <row r="8176" spans="7:8" x14ac:dyDescent="0.3">
      <c r="G8176" s="78">
        <v>8173</v>
      </c>
      <c r="H8176">
        <f t="shared" ca="1" si="122"/>
        <v>9.8104210316020853E-3</v>
      </c>
    </row>
    <row r="8177" spans="7:8" x14ac:dyDescent="0.3">
      <c r="G8177" s="78">
        <v>8174</v>
      </c>
      <c r="H8177">
        <f t="shared" ca="1" si="122"/>
        <v>2.2173074973861149E-3</v>
      </c>
    </row>
    <row r="8178" spans="7:8" x14ac:dyDescent="0.3">
      <c r="G8178" s="78">
        <v>8175</v>
      </c>
      <c r="H8178">
        <f t="shared" ca="1" si="122"/>
        <v>-3.4194691924242043E-2</v>
      </c>
    </row>
    <row r="8179" spans="7:8" x14ac:dyDescent="0.3">
      <c r="G8179" s="78">
        <v>8176</v>
      </c>
      <c r="H8179">
        <f t="shared" ca="1" si="122"/>
        <v>-2.3888583403705956E-2</v>
      </c>
    </row>
    <row r="8180" spans="7:8" x14ac:dyDescent="0.3">
      <c r="G8180" s="78">
        <v>8177</v>
      </c>
      <c r="H8180">
        <f t="shared" ca="1" si="122"/>
        <v>3.8339357719929468E-2</v>
      </c>
    </row>
    <row r="8181" spans="7:8" x14ac:dyDescent="0.3">
      <c r="G8181" s="78">
        <v>8178</v>
      </c>
      <c r="H8181">
        <f t="shared" ca="1" si="122"/>
        <v>2.1116528355070503E-2</v>
      </c>
    </row>
    <row r="8182" spans="7:8" x14ac:dyDescent="0.3">
      <c r="G8182" s="78">
        <v>8179</v>
      </c>
      <c r="H8182">
        <f t="shared" ca="1" si="122"/>
        <v>-6.5191346348045251E-3</v>
      </c>
    </row>
    <row r="8183" spans="7:8" x14ac:dyDescent="0.3">
      <c r="G8183" s="78">
        <v>8180</v>
      </c>
      <c r="H8183">
        <f t="shared" ca="1" si="122"/>
        <v>5.9241770403065195E-3</v>
      </c>
    </row>
    <row r="8184" spans="7:8" x14ac:dyDescent="0.3">
      <c r="G8184" s="78">
        <v>8181</v>
      </c>
      <c r="H8184">
        <f t="shared" ca="1" si="122"/>
        <v>4.5812768643885497E-2</v>
      </c>
    </row>
    <row r="8185" spans="7:8" x14ac:dyDescent="0.3">
      <c r="G8185" s="78">
        <v>8182</v>
      </c>
      <c r="H8185">
        <f t="shared" ca="1" si="122"/>
        <v>4.7605535452540343E-2</v>
      </c>
    </row>
    <row r="8186" spans="7:8" x14ac:dyDescent="0.3">
      <c r="G8186" s="78">
        <v>8183</v>
      </c>
      <c r="H8186">
        <f t="shared" ca="1" si="122"/>
        <v>2.7624750745964998E-2</v>
      </c>
    </row>
    <row r="8187" spans="7:8" x14ac:dyDescent="0.3">
      <c r="G8187" s="78">
        <v>8184</v>
      </c>
      <c r="H8187">
        <f t="shared" ca="1" si="122"/>
        <v>-6.3715662861272291E-3</v>
      </c>
    </row>
    <row r="8188" spans="7:8" x14ac:dyDescent="0.3">
      <c r="G8188" s="78">
        <v>8185</v>
      </c>
      <c r="H8188">
        <f t="shared" ca="1" si="122"/>
        <v>-8.7491964055389226E-3</v>
      </c>
    </row>
    <row r="8189" spans="7:8" x14ac:dyDescent="0.3">
      <c r="G8189" s="78">
        <v>8186</v>
      </c>
      <c r="H8189">
        <f t="shared" ca="1" si="122"/>
        <v>-8.1791441189518217E-3</v>
      </c>
    </row>
    <row r="8190" spans="7:8" x14ac:dyDescent="0.3">
      <c r="G8190" s="78">
        <v>8187</v>
      </c>
      <c r="H8190">
        <f t="shared" ca="1" si="122"/>
        <v>5.5225219203202192E-3</v>
      </c>
    </row>
    <row r="8191" spans="7:8" x14ac:dyDescent="0.3">
      <c r="G8191" s="78">
        <v>8188</v>
      </c>
      <c r="H8191">
        <f t="shared" ca="1" si="122"/>
        <v>-8.2558136921723549E-3</v>
      </c>
    </row>
    <row r="8192" spans="7:8" x14ac:dyDescent="0.3">
      <c r="G8192" s="78">
        <v>8189</v>
      </c>
      <c r="H8192">
        <f t="shared" ca="1" si="122"/>
        <v>4.425195845928237E-2</v>
      </c>
    </row>
    <row r="8193" spans="7:8" x14ac:dyDescent="0.3">
      <c r="G8193" s="78">
        <v>8190</v>
      </c>
      <c r="H8193">
        <f t="shared" ca="1" si="122"/>
        <v>2.7109599210665254E-2</v>
      </c>
    </row>
    <row r="8194" spans="7:8" x14ac:dyDescent="0.3">
      <c r="G8194" s="78">
        <v>8191</v>
      </c>
      <c r="H8194">
        <f t="shared" ca="1" si="122"/>
        <v>-8.9646240063156121E-3</v>
      </c>
    </row>
    <row r="8195" spans="7:8" x14ac:dyDescent="0.3">
      <c r="G8195" s="78">
        <v>8192</v>
      </c>
      <c r="H8195">
        <f t="shared" ca="1" si="122"/>
        <v>4.9220013886689595E-3</v>
      </c>
    </row>
    <row r="8196" spans="7:8" x14ac:dyDescent="0.3">
      <c r="G8196" s="78">
        <v>8193</v>
      </c>
      <c r="H8196">
        <f t="shared" ref="H8196:H8259" ca="1" si="123">_xlfn.NORM.INV(RAND(),$N$4,$N$5)</f>
        <v>-2.3790719074050285E-2</v>
      </c>
    </row>
    <row r="8197" spans="7:8" x14ac:dyDescent="0.3">
      <c r="G8197" s="78">
        <v>8194</v>
      </c>
      <c r="H8197">
        <f t="shared" ca="1" si="123"/>
        <v>8.3347568491032933E-3</v>
      </c>
    </row>
    <row r="8198" spans="7:8" x14ac:dyDescent="0.3">
      <c r="G8198" s="78">
        <v>8195</v>
      </c>
      <c r="H8198">
        <f t="shared" ca="1" si="123"/>
        <v>4.8849326749862074E-3</v>
      </c>
    </row>
    <row r="8199" spans="7:8" x14ac:dyDescent="0.3">
      <c r="G8199" s="78">
        <v>8196</v>
      </c>
      <c r="H8199">
        <f t="shared" ca="1" si="123"/>
        <v>-1.7404016070096107E-2</v>
      </c>
    </row>
    <row r="8200" spans="7:8" x14ac:dyDescent="0.3">
      <c r="G8200" s="78">
        <v>8197</v>
      </c>
      <c r="H8200">
        <f t="shared" ca="1" si="123"/>
        <v>-1.0617699439694615E-2</v>
      </c>
    </row>
    <row r="8201" spans="7:8" x14ac:dyDescent="0.3">
      <c r="G8201" s="78">
        <v>8198</v>
      </c>
      <c r="H8201">
        <f t="shared" ca="1" si="123"/>
        <v>-2.2044749387875422E-2</v>
      </c>
    </row>
    <row r="8202" spans="7:8" x14ac:dyDescent="0.3">
      <c r="G8202" s="78">
        <v>8199</v>
      </c>
      <c r="H8202">
        <f t="shared" ca="1" si="123"/>
        <v>6.8947674016088783E-4</v>
      </c>
    </row>
    <row r="8203" spans="7:8" x14ac:dyDescent="0.3">
      <c r="G8203" s="78">
        <v>8200</v>
      </c>
      <c r="H8203">
        <f t="shared" ca="1" si="123"/>
        <v>-2.7708052949078354E-2</v>
      </c>
    </row>
    <row r="8204" spans="7:8" x14ac:dyDescent="0.3">
      <c r="G8204" s="78">
        <v>8201</v>
      </c>
      <c r="H8204">
        <f t="shared" ca="1" si="123"/>
        <v>-1.9528243808925518E-2</v>
      </c>
    </row>
    <row r="8205" spans="7:8" x14ac:dyDescent="0.3">
      <c r="G8205" s="78">
        <v>8202</v>
      </c>
      <c r="H8205">
        <f t="shared" ca="1" si="123"/>
        <v>-2.4915024681684508E-2</v>
      </c>
    </row>
    <row r="8206" spans="7:8" x14ac:dyDescent="0.3">
      <c r="G8206" s="78">
        <v>8203</v>
      </c>
      <c r="H8206">
        <f t="shared" ca="1" si="123"/>
        <v>1.3488862938212054E-2</v>
      </c>
    </row>
    <row r="8207" spans="7:8" x14ac:dyDescent="0.3">
      <c r="G8207" s="78">
        <v>8204</v>
      </c>
      <c r="H8207">
        <f t="shared" ca="1" si="123"/>
        <v>4.8896350161877888E-4</v>
      </c>
    </row>
    <row r="8208" spans="7:8" x14ac:dyDescent="0.3">
      <c r="G8208" s="78">
        <v>8205</v>
      </c>
      <c r="H8208">
        <f t="shared" ca="1" si="123"/>
        <v>1.1036339277971971E-2</v>
      </c>
    </row>
    <row r="8209" spans="7:8" x14ac:dyDescent="0.3">
      <c r="G8209" s="78">
        <v>8206</v>
      </c>
      <c r="H8209">
        <f t="shared" ca="1" si="123"/>
        <v>2.189325631406246E-2</v>
      </c>
    </row>
    <row r="8210" spans="7:8" x14ac:dyDescent="0.3">
      <c r="G8210" s="78">
        <v>8207</v>
      </c>
      <c r="H8210">
        <f t="shared" ca="1" si="123"/>
        <v>-2.7429685484326196E-2</v>
      </c>
    </row>
    <row r="8211" spans="7:8" x14ac:dyDescent="0.3">
      <c r="G8211" s="78">
        <v>8208</v>
      </c>
      <c r="H8211">
        <f t="shared" ca="1" si="123"/>
        <v>-2.3693198451448752E-2</v>
      </c>
    </row>
    <row r="8212" spans="7:8" x14ac:dyDescent="0.3">
      <c r="G8212" s="78">
        <v>8209</v>
      </c>
      <c r="H8212">
        <f t="shared" ca="1" si="123"/>
        <v>1.2752251375693061E-2</v>
      </c>
    </row>
    <row r="8213" spans="7:8" x14ac:dyDescent="0.3">
      <c r="G8213" s="78">
        <v>8210</v>
      </c>
      <c r="H8213">
        <f t="shared" ca="1" si="123"/>
        <v>-1.8841912370166952E-2</v>
      </c>
    </row>
    <row r="8214" spans="7:8" x14ac:dyDescent="0.3">
      <c r="G8214" s="78">
        <v>8211</v>
      </c>
      <c r="H8214">
        <f t="shared" ca="1" si="123"/>
        <v>-6.5212862467786533E-3</v>
      </c>
    </row>
    <row r="8215" spans="7:8" x14ac:dyDescent="0.3">
      <c r="G8215" s="78">
        <v>8212</v>
      </c>
      <c r="H8215">
        <f t="shared" ca="1" si="123"/>
        <v>-4.5274415902606745E-2</v>
      </c>
    </row>
    <row r="8216" spans="7:8" x14ac:dyDescent="0.3">
      <c r="G8216" s="78">
        <v>8213</v>
      </c>
      <c r="H8216">
        <f t="shared" ca="1" si="123"/>
        <v>-1.4385381957061136E-2</v>
      </c>
    </row>
    <row r="8217" spans="7:8" x14ac:dyDescent="0.3">
      <c r="G8217" s="78">
        <v>8214</v>
      </c>
      <c r="H8217">
        <f t="shared" ca="1" si="123"/>
        <v>4.1227595906035523E-3</v>
      </c>
    </row>
    <row r="8218" spans="7:8" x14ac:dyDescent="0.3">
      <c r="G8218" s="78">
        <v>8215</v>
      </c>
      <c r="H8218">
        <f t="shared" ca="1" si="123"/>
        <v>-3.5494851280050844E-2</v>
      </c>
    </row>
    <row r="8219" spans="7:8" x14ac:dyDescent="0.3">
      <c r="G8219" s="78">
        <v>8216</v>
      </c>
      <c r="H8219">
        <f t="shared" ca="1" si="123"/>
        <v>-1.0281796084419493E-2</v>
      </c>
    </row>
    <row r="8220" spans="7:8" x14ac:dyDescent="0.3">
      <c r="G8220" s="78">
        <v>8217</v>
      </c>
      <c r="H8220">
        <f t="shared" ca="1" si="123"/>
        <v>-4.1233656568101323E-2</v>
      </c>
    </row>
    <row r="8221" spans="7:8" x14ac:dyDescent="0.3">
      <c r="G8221" s="78">
        <v>8218</v>
      </c>
      <c r="H8221">
        <f t="shared" ca="1" si="123"/>
        <v>-8.1414702654314663E-3</v>
      </c>
    </row>
    <row r="8222" spans="7:8" x14ac:dyDescent="0.3">
      <c r="G8222" s="78">
        <v>8219</v>
      </c>
      <c r="H8222">
        <f t="shared" ca="1" si="123"/>
        <v>1.6511958395257858E-2</v>
      </c>
    </row>
    <row r="8223" spans="7:8" x14ac:dyDescent="0.3">
      <c r="G8223" s="78">
        <v>8220</v>
      </c>
      <c r="H8223">
        <f t="shared" ca="1" si="123"/>
        <v>1.1260603749525945E-3</v>
      </c>
    </row>
    <row r="8224" spans="7:8" x14ac:dyDescent="0.3">
      <c r="G8224" s="78">
        <v>8221</v>
      </c>
      <c r="H8224">
        <f t="shared" ca="1" si="123"/>
        <v>2.5419881933446738E-3</v>
      </c>
    </row>
    <row r="8225" spans="7:8" x14ac:dyDescent="0.3">
      <c r="G8225" s="78">
        <v>8222</v>
      </c>
      <c r="H8225">
        <f t="shared" ca="1" si="123"/>
        <v>5.2673788970450169E-3</v>
      </c>
    </row>
    <row r="8226" spans="7:8" x14ac:dyDescent="0.3">
      <c r="G8226" s="78">
        <v>8223</v>
      </c>
      <c r="H8226">
        <f t="shared" ca="1" si="123"/>
        <v>-1.7914156762454354E-2</v>
      </c>
    </row>
    <row r="8227" spans="7:8" x14ac:dyDescent="0.3">
      <c r="G8227" s="78">
        <v>8224</v>
      </c>
      <c r="H8227">
        <f t="shared" ca="1" si="123"/>
        <v>-1.4259465239740915E-2</v>
      </c>
    </row>
    <row r="8228" spans="7:8" x14ac:dyDescent="0.3">
      <c r="G8228" s="78">
        <v>8225</v>
      </c>
      <c r="H8228">
        <f t="shared" ca="1" si="123"/>
        <v>3.9572357730230292E-3</v>
      </c>
    </row>
    <row r="8229" spans="7:8" x14ac:dyDescent="0.3">
      <c r="G8229" s="78">
        <v>8226</v>
      </c>
      <c r="H8229">
        <f t="shared" ca="1" si="123"/>
        <v>4.3097519942496651E-2</v>
      </c>
    </row>
    <row r="8230" spans="7:8" x14ac:dyDescent="0.3">
      <c r="G8230" s="78">
        <v>8227</v>
      </c>
      <c r="H8230">
        <f t="shared" ca="1" si="123"/>
        <v>-1.1291730025883953E-2</v>
      </c>
    </row>
    <row r="8231" spans="7:8" x14ac:dyDescent="0.3">
      <c r="G8231" s="78">
        <v>8228</v>
      </c>
      <c r="H8231">
        <f t="shared" ca="1" si="123"/>
        <v>1.6554913266396444E-2</v>
      </c>
    </row>
    <row r="8232" spans="7:8" x14ac:dyDescent="0.3">
      <c r="G8232" s="78">
        <v>8229</v>
      </c>
      <c r="H8232">
        <f t="shared" ca="1" si="123"/>
        <v>1.3721131980643951E-2</v>
      </c>
    </row>
    <row r="8233" spans="7:8" x14ac:dyDescent="0.3">
      <c r="G8233" s="78">
        <v>8230</v>
      </c>
      <c r="H8233">
        <f t="shared" ca="1" si="123"/>
        <v>-1.262611232705344E-2</v>
      </c>
    </row>
    <row r="8234" spans="7:8" x14ac:dyDescent="0.3">
      <c r="G8234" s="78">
        <v>8231</v>
      </c>
      <c r="H8234">
        <f t="shared" ca="1" si="123"/>
        <v>3.5279557087357846E-2</v>
      </c>
    </row>
    <row r="8235" spans="7:8" x14ac:dyDescent="0.3">
      <c r="G8235" s="78">
        <v>8232</v>
      </c>
      <c r="H8235">
        <f t="shared" ca="1" si="123"/>
        <v>2.4800693727236655E-2</v>
      </c>
    </row>
    <row r="8236" spans="7:8" x14ac:dyDescent="0.3">
      <c r="G8236" s="78">
        <v>8233</v>
      </c>
      <c r="H8236">
        <f t="shared" ca="1" si="123"/>
        <v>2.7630098202381791E-2</v>
      </c>
    </row>
    <row r="8237" spans="7:8" x14ac:dyDescent="0.3">
      <c r="G8237" s="78">
        <v>8234</v>
      </c>
      <c r="H8237">
        <f t="shared" ca="1" si="123"/>
        <v>7.3475986256803525E-3</v>
      </c>
    </row>
    <row r="8238" spans="7:8" x14ac:dyDescent="0.3">
      <c r="G8238" s="78">
        <v>8235</v>
      </c>
      <c r="H8238">
        <f t="shared" ca="1" si="123"/>
        <v>1.247062442884842E-2</v>
      </c>
    </row>
    <row r="8239" spans="7:8" x14ac:dyDescent="0.3">
      <c r="G8239" s="78">
        <v>8236</v>
      </c>
      <c r="H8239">
        <f t="shared" ca="1" si="123"/>
        <v>-3.8532493790058991E-2</v>
      </c>
    </row>
    <row r="8240" spans="7:8" x14ac:dyDescent="0.3">
      <c r="G8240" s="78">
        <v>8237</v>
      </c>
      <c r="H8240">
        <f t="shared" ca="1" si="123"/>
        <v>6.5365953868069555E-3</v>
      </c>
    </row>
    <row r="8241" spans="7:8" x14ac:dyDescent="0.3">
      <c r="G8241" s="78">
        <v>8238</v>
      </c>
      <c r="H8241">
        <f t="shared" ca="1" si="123"/>
        <v>5.9410429771059011E-3</v>
      </c>
    </row>
    <row r="8242" spans="7:8" x14ac:dyDescent="0.3">
      <c r="G8242" s="78">
        <v>8239</v>
      </c>
      <c r="H8242">
        <f t="shared" ca="1" si="123"/>
        <v>-2.7809671550496375E-2</v>
      </c>
    </row>
    <row r="8243" spans="7:8" x14ac:dyDescent="0.3">
      <c r="G8243" s="78">
        <v>8240</v>
      </c>
      <c r="H8243">
        <f t="shared" ca="1" si="123"/>
        <v>-2.4155294602969876E-2</v>
      </c>
    </row>
    <row r="8244" spans="7:8" x14ac:dyDescent="0.3">
      <c r="G8244" s="78">
        <v>8241</v>
      </c>
      <c r="H8244">
        <f t="shared" ca="1" si="123"/>
        <v>-3.2820684076915541E-4</v>
      </c>
    </row>
    <row r="8245" spans="7:8" x14ac:dyDescent="0.3">
      <c r="G8245" s="78">
        <v>8242</v>
      </c>
      <c r="H8245">
        <f t="shared" ca="1" si="123"/>
        <v>4.933655156957983E-4</v>
      </c>
    </row>
    <row r="8246" spans="7:8" x14ac:dyDescent="0.3">
      <c r="G8246" s="78">
        <v>8243</v>
      </c>
      <c r="H8246">
        <f t="shared" ca="1" si="123"/>
        <v>2.2762102361309509E-2</v>
      </c>
    </row>
    <row r="8247" spans="7:8" x14ac:dyDescent="0.3">
      <c r="G8247" s="78">
        <v>8244</v>
      </c>
      <c r="H8247">
        <f t="shared" ca="1" si="123"/>
        <v>8.4768844429173006E-3</v>
      </c>
    </row>
    <row r="8248" spans="7:8" x14ac:dyDescent="0.3">
      <c r="G8248" s="78">
        <v>8245</v>
      </c>
      <c r="H8248">
        <f t="shared" ca="1" si="123"/>
        <v>2.4374250690073047E-2</v>
      </c>
    </row>
    <row r="8249" spans="7:8" x14ac:dyDescent="0.3">
      <c r="G8249" s="78">
        <v>8246</v>
      </c>
      <c r="H8249">
        <f t="shared" ca="1" si="123"/>
        <v>-1.9557409998654983E-2</v>
      </c>
    </row>
    <row r="8250" spans="7:8" x14ac:dyDescent="0.3">
      <c r="G8250" s="78">
        <v>8247</v>
      </c>
      <c r="H8250">
        <f t="shared" ca="1" si="123"/>
        <v>-3.0364189292695319E-2</v>
      </c>
    </row>
    <row r="8251" spans="7:8" x14ac:dyDescent="0.3">
      <c r="G8251" s="78">
        <v>8248</v>
      </c>
      <c r="H8251">
        <f t="shared" ca="1" si="123"/>
        <v>1.9775161491619071E-3</v>
      </c>
    </row>
    <row r="8252" spans="7:8" x14ac:dyDescent="0.3">
      <c r="G8252" s="78">
        <v>8249</v>
      </c>
      <c r="H8252">
        <f t="shared" ca="1" si="123"/>
        <v>3.6983739194144181E-2</v>
      </c>
    </row>
    <row r="8253" spans="7:8" x14ac:dyDescent="0.3">
      <c r="G8253" s="78">
        <v>8250</v>
      </c>
      <c r="H8253">
        <f t="shared" ca="1" si="123"/>
        <v>1.1307407625198246E-2</v>
      </c>
    </row>
    <row r="8254" spans="7:8" x14ac:dyDescent="0.3">
      <c r="G8254" s="78">
        <v>8251</v>
      </c>
      <c r="H8254">
        <f t="shared" ca="1" si="123"/>
        <v>3.4161792854663195E-4</v>
      </c>
    </row>
    <row r="8255" spans="7:8" x14ac:dyDescent="0.3">
      <c r="G8255" s="78">
        <v>8252</v>
      </c>
      <c r="H8255">
        <f t="shared" ca="1" si="123"/>
        <v>2.4602140992045652E-2</v>
      </c>
    </row>
    <row r="8256" spans="7:8" x14ac:dyDescent="0.3">
      <c r="G8256" s="78">
        <v>8253</v>
      </c>
      <c r="H8256">
        <f t="shared" ca="1" si="123"/>
        <v>-1.054799323033463E-2</v>
      </c>
    </row>
    <row r="8257" spans="7:8" x14ac:dyDescent="0.3">
      <c r="G8257" s="78">
        <v>8254</v>
      </c>
      <c r="H8257">
        <f t="shared" ca="1" si="123"/>
        <v>-2.3533355862179212E-2</v>
      </c>
    </row>
    <row r="8258" spans="7:8" x14ac:dyDescent="0.3">
      <c r="G8258" s="78">
        <v>8255</v>
      </c>
      <c r="H8258">
        <f t="shared" ca="1" si="123"/>
        <v>3.0186758080795569E-2</v>
      </c>
    </row>
    <row r="8259" spans="7:8" x14ac:dyDescent="0.3">
      <c r="G8259" s="78">
        <v>8256</v>
      </c>
      <c r="H8259">
        <f t="shared" ca="1" si="123"/>
        <v>-2.0681343549700935E-2</v>
      </c>
    </row>
    <row r="8260" spans="7:8" x14ac:dyDescent="0.3">
      <c r="G8260" s="78">
        <v>8257</v>
      </c>
      <c r="H8260">
        <f t="shared" ref="H8260:H8323" ca="1" si="124">_xlfn.NORM.INV(RAND(),$N$4,$N$5)</f>
        <v>9.3228829295682533E-3</v>
      </c>
    </row>
    <row r="8261" spans="7:8" x14ac:dyDescent="0.3">
      <c r="G8261" s="78">
        <v>8258</v>
      </c>
      <c r="H8261">
        <f t="shared" ca="1" si="124"/>
        <v>2.1023934835445419E-2</v>
      </c>
    </row>
    <row r="8262" spans="7:8" x14ac:dyDescent="0.3">
      <c r="G8262" s="78">
        <v>8259</v>
      </c>
      <c r="H8262">
        <f t="shared" ca="1" si="124"/>
        <v>1.0011911722937163E-2</v>
      </c>
    </row>
    <row r="8263" spans="7:8" x14ac:dyDescent="0.3">
      <c r="G8263" s="78">
        <v>8260</v>
      </c>
      <c r="H8263">
        <f t="shared" ca="1" si="124"/>
        <v>1.0722122011760616E-2</v>
      </c>
    </row>
    <row r="8264" spans="7:8" x14ac:dyDescent="0.3">
      <c r="G8264" s="78">
        <v>8261</v>
      </c>
      <c r="H8264">
        <f t="shared" ca="1" si="124"/>
        <v>5.5656430949530195E-4</v>
      </c>
    </row>
    <row r="8265" spans="7:8" x14ac:dyDescent="0.3">
      <c r="G8265" s="78">
        <v>8262</v>
      </c>
      <c r="H8265">
        <f t="shared" ca="1" si="124"/>
        <v>-1.5382820116606582E-2</v>
      </c>
    </row>
    <row r="8266" spans="7:8" x14ac:dyDescent="0.3">
      <c r="G8266" s="78">
        <v>8263</v>
      </c>
      <c r="H8266">
        <f t="shared" ca="1" si="124"/>
        <v>1.8590540878059513E-2</v>
      </c>
    </row>
    <row r="8267" spans="7:8" x14ac:dyDescent="0.3">
      <c r="G8267" s="78">
        <v>8264</v>
      </c>
      <c r="H8267">
        <f t="shared" ca="1" si="124"/>
        <v>4.2690775358843712E-3</v>
      </c>
    </row>
    <row r="8268" spans="7:8" x14ac:dyDescent="0.3">
      <c r="G8268" s="78">
        <v>8265</v>
      </c>
      <c r="H8268">
        <f t="shared" ca="1" si="124"/>
        <v>2.1132932095952611E-2</v>
      </c>
    </row>
    <row r="8269" spans="7:8" x14ac:dyDescent="0.3">
      <c r="G8269" s="78">
        <v>8266</v>
      </c>
      <c r="H8269">
        <f t="shared" ca="1" si="124"/>
        <v>-7.4428622675985255E-3</v>
      </c>
    </row>
    <row r="8270" spans="7:8" x14ac:dyDescent="0.3">
      <c r="G8270" s="78">
        <v>8267</v>
      </c>
      <c r="H8270">
        <f t="shared" ca="1" si="124"/>
        <v>-1.7970057037814714E-2</v>
      </c>
    </row>
    <row r="8271" spans="7:8" x14ac:dyDescent="0.3">
      <c r="G8271" s="78">
        <v>8268</v>
      </c>
      <c r="H8271">
        <f t="shared" ca="1" si="124"/>
        <v>1.7400555423754548E-3</v>
      </c>
    </row>
    <row r="8272" spans="7:8" x14ac:dyDescent="0.3">
      <c r="G8272" s="78">
        <v>8269</v>
      </c>
      <c r="H8272">
        <f t="shared" ca="1" si="124"/>
        <v>-6.0346765169892328E-3</v>
      </c>
    </row>
    <row r="8273" spans="7:8" x14ac:dyDescent="0.3">
      <c r="G8273" s="78">
        <v>8270</v>
      </c>
      <c r="H8273">
        <f t="shared" ca="1" si="124"/>
        <v>-3.180360912077812E-2</v>
      </c>
    </row>
    <row r="8274" spans="7:8" x14ac:dyDescent="0.3">
      <c r="G8274" s="78">
        <v>8271</v>
      </c>
      <c r="H8274">
        <f t="shared" ca="1" si="124"/>
        <v>3.3192642766692176E-3</v>
      </c>
    </row>
    <row r="8275" spans="7:8" x14ac:dyDescent="0.3">
      <c r="G8275" s="78">
        <v>8272</v>
      </c>
      <c r="H8275">
        <f t="shared" ca="1" si="124"/>
        <v>-1.3424896967344157E-3</v>
      </c>
    </row>
    <row r="8276" spans="7:8" x14ac:dyDescent="0.3">
      <c r="G8276" s="78">
        <v>8273</v>
      </c>
      <c r="H8276">
        <f t="shared" ca="1" si="124"/>
        <v>3.8349913763035051E-3</v>
      </c>
    </row>
    <row r="8277" spans="7:8" x14ac:dyDescent="0.3">
      <c r="G8277" s="78">
        <v>8274</v>
      </c>
      <c r="H8277">
        <f t="shared" ca="1" si="124"/>
        <v>-2.8223014333439777E-2</v>
      </c>
    </row>
    <row r="8278" spans="7:8" x14ac:dyDescent="0.3">
      <c r="G8278" s="78">
        <v>8275</v>
      </c>
      <c r="H8278">
        <f t="shared" ca="1" si="124"/>
        <v>-9.6740382093868545E-3</v>
      </c>
    </row>
    <row r="8279" spans="7:8" x14ac:dyDescent="0.3">
      <c r="G8279" s="78">
        <v>8276</v>
      </c>
      <c r="H8279">
        <f t="shared" ca="1" si="124"/>
        <v>-5.2483269735227765E-3</v>
      </c>
    </row>
    <row r="8280" spans="7:8" x14ac:dyDescent="0.3">
      <c r="G8280" s="78">
        <v>8277</v>
      </c>
      <c r="H8280">
        <f t="shared" ca="1" si="124"/>
        <v>-4.9847131398895691E-4</v>
      </c>
    </row>
    <row r="8281" spans="7:8" x14ac:dyDescent="0.3">
      <c r="G8281" s="78">
        <v>8278</v>
      </c>
      <c r="H8281">
        <f t="shared" ca="1" si="124"/>
        <v>-2.5059767990611222E-2</v>
      </c>
    </row>
    <row r="8282" spans="7:8" x14ac:dyDescent="0.3">
      <c r="G8282" s="78">
        <v>8279</v>
      </c>
      <c r="H8282">
        <f t="shared" ca="1" si="124"/>
        <v>-1.3904468345258885E-2</v>
      </c>
    </row>
    <row r="8283" spans="7:8" x14ac:dyDescent="0.3">
      <c r="G8283" s="78">
        <v>8280</v>
      </c>
      <c r="H8283">
        <f t="shared" ca="1" si="124"/>
        <v>1.616483247922142E-2</v>
      </c>
    </row>
    <row r="8284" spans="7:8" x14ac:dyDescent="0.3">
      <c r="G8284" s="78">
        <v>8281</v>
      </c>
      <c r="H8284">
        <f t="shared" ca="1" si="124"/>
        <v>-1.6208276661947667E-2</v>
      </c>
    </row>
    <row r="8285" spans="7:8" x14ac:dyDescent="0.3">
      <c r="G8285" s="78">
        <v>8282</v>
      </c>
      <c r="H8285">
        <f t="shared" ca="1" si="124"/>
        <v>2.2174626925598743E-2</v>
      </c>
    </row>
    <row r="8286" spans="7:8" x14ac:dyDescent="0.3">
      <c r="G8286" s="78">
        <v>8283</v>
      </c>
      <c r="H8286">
        <f t="shared" ca="1" si="124"/>
        <v>-1.6565835853145749E-2</v>
      </c>
    </row>
    <row r="8287" spans="7:8" x14ac:dyDescent="0.3">
      <c r="G8287" s="78">
        <v>8284</v>
      </c>
      <c r="H8287">
        <f t="shared" ca="1" si="124"/>
        <v>-1.873073448662E-3</v>
      </c>
    </row>
    <row r="8288" spans="7:8" x14ac:dyDescent="0.3">
      <c r="G8288" s="78">
        <v>8285</v>
      </c>
      <c r="H8288">
        <f t="shared" ca="1" si="124"/>
        <v>-3.7142558758476517E-2</v>
      </c>
    </row>
    <row r="8289" spans="7:8" x14ac:dyDescent="0.3">
      <c r="G8289" s="78">
        <v>8286</v>
      </c>
      <c r="H8289">
        <f t="shared" ca="1" si="124"/>
        <v>2.5073128210032675E-2</v>
      </c>
    </row>
    <row r="8290" spans="7:8" x14ac:dyDescent="0.3">
      <c r="G8290" s="78">
        <v>8287</v>
      </c>
      <c r="H8290">
        <f t="shared" ca="1" si="124"/>
        <v>1.768149206170409E-2</v>
      </c>
    </row>
    <row r="8291" spans="7:8" x14ac:dyDescent="0.3">
      <c r="G8291" s="78">
        <v>8288</v>
      </c>
      <c r="H8291">
        <f t="shared" ca="1" si="124"/>
        <v>-1.3065724896351015E-2</v>
      </c>
    </row>
    <row r="8292" spans="7:8" x14ac:dyDescent="0.3">
      <c r="G8292" s="78">
        <v>8289</v>
      </c>
      <c r="H8292">
        <f t="shared" ca="1" si="124"/>
        <v>1.4106789602100182E-2</v>
      </c>
    </row>
    <row r="8293" spans="7:8" x14ac:dyDescent="0.3">
      <c r="G8293" s="78">
        <v>8290</v>
      </c>
      <c r="H8293">
        <f t="shared" ca="1" si="124"/>
        <v>3.7426040603691882E-2</v>
      </c>
    </row>
    <row r="8294" spans="7:8" x14ac:dyDescent="0.3">
      <c r="G8294" s="78">
        <v>8291</v>
      </c>
      <c r="H8294">
        <f t="shared" ca="1" si="124"/>
        <v>2.3299573809115799E-2</v>
      </c>
    </row>
    <row r="8295" spans="7:8" x14ac:dyDescent="0.3">
      <c r="G8295" s="78">
        <v>8292</v>
      </c>
      <c r="H8295">
        <f t="shared" ca="1" si="124"/>
        <v>2.9553784528398786E-2</v>
      </c>
    </row>
    <row r="8296" spans="7:8" x14ac:dyDescent="0.3">
      <c r="G8296" s="78">
        <v>8293</v>
      </c>
      <c r="H8296">
        <f t="shared" ca="1" si="124"/>
        <v>1.7634001827694819E-2</v>
      </c>
    </row>
    <row r="8297" spans="7:8" x14ac:dyDescent="0.3">
      <c r="G8297" s="78">
        <v>8294</v>
      </c>
      <c r="H8297">
        <f t="shared" ca="1" si="124"/>
        <v>-8.0319550557217973E-3</v>
      </c>
    </row>
    <row r="8298" spans="7:8" x14ac:dyDescent="0.3">
      <c r="G8298" s="78">
        <v>8295</v>
      </c>
      <c r="H8298">
        <f t="shared" ca="1" si="124"/>
        <v>-1.8843964956575473E-2</v>
      </c>
    </row>
    <row r="8299" spans="7:8" x14ac:dyDescent="0.3">
      <c r="G8299" s="78">
        <v>8296</v>
      </c>
      <c r="H8299">
        <f t="shared" ca="1" si="124"/>
        <v>-2.6354919177004089E-3</v>
      </c>
    </row>
    <row r="8300" spans="7:8" x14ac:dyDescent="0.3">
      <c r="G8300" s="78">
        <v>8297</v>
      </c>
      <c r="H8300">
        <f t="shared" ca="1" si="124"/>
        <v>1.1100989856694201E-3</v>
      </c>
    </row>
    <row r="8301" spans="7:8" x14ac:dyDescent="0.3">
      <c r="G8301" s="78">
        <v>8298</v>
      </c>
      <c r="H8301">
        <f t="shared" ca="1" si="124"/>
        <v>-3.6140687324205271E-2</v>
      </c>
    </row>
    <row r="8302" spans="7:8" x14ac:dyDescent="0.3">
      <c r="G8302" s="78">
        <v>8299</v>
      </c>
      <c r="H8302">
        <f t="shared" ca="1" si="124"/>
        <v>1.9804743854117301E-2</v>
      </c>
    </row>
    <row r="8303" spans="7:8" x14ac:dyDescent="0.3">
      <c r="G8303" s="78">
        <v>8300</v>
      </c>
      <c r="H8303">
        <f t="shared" ca="1" si="124"/>
        <v>-2.3790341218049215E-3</v>
      </c>
    </row>
    <row r="8304" spans="7:8" x14ac:dyDescent="0.3">
      <c r="G8304" s="78">
        <v>8301</v>
      </c>
      <c r="H8304">
        <f t="shared" ca="1" si="124"/>
        <v>-2.4611545238853859E-2</v>
      </c>
    </row>
    <row r="8305" spans="7:8" x14ac:dyDescent="0.3">
      <c r="G8305" s="78">
        <v>8302</v>
      </c>
      <c r="H8305">
        <f t="shared" ca="1" si="124"/>
        <v>-1.4555845434468205E-3</v>
      </c>
    </row>
    <row r="8306" spans="7:8" x14ac:dyDescent="0.3">
      <c r="G8306" s="78">
        <v>8303</v>
      </c>
      <c r="H8306">
        <f t="shared" ca="1" si="124"/>
        <v>3.5005649890144604E-2</v>
      </c>
    </row>
    <row r="8307" spans="7:8" x14ac:dyDescent="0.3">
      <c r="G8307" s="78">
        <v>8304</v>
      </c>
      <c r="H8307">
        <f t="shared" ca="1" si="124"/>
        <v>-2.9456321459942727E-2</v>
      </c>
    </row>
    <row r="8308" spans="7:8" x14ac:dyDescent="0.3">
      <c r="G8308" s="78">
        <v>8305</v>
      </c>
      <c r="H8308">
        <f t="shared" ca="1" si="124"/>
        <v>1.4746425533450354E-2</v>
      </c>
    </row>
    <row r="8309" spans="7:8" x14ac:dyDescent="0.3">
      <c r="G8309" s="78">
        <v>8306</v>
      </c>
      <c r="H8309">
        <f t="shared" ca="1" si="124"/>
        <v>2.5675575243489217E-2</v>
      </c>
    </row>
    <row r="8310" spans="7:8" x14ac:dyDescent="0.3">
      <c r="G8310" s="78">
        <v>8307</v>
      </c>
      <c r="H8310">
        <f t="shared" ca="1" si="124"/>
        <v>2.9384296336696851E-3</v>
      </c>
    </row>
    <row r="8311" spans="7:8" x14ac:dyDescent="0.3">
      <c r="G8311" s="78">
        <v>8308</v>
      </c>
      <c r="H8311">
        <f t="shared" ca="1" si="124"/>
        <v>2.2867086731964158E-2</v>
      </c>
    </row>
    <row r="8312" spans="7:8" x14ac:dyDescent="0.3">
      <c r="G8312" s="78">
        <v>8309</v>
      </c>
      <c r="H8312">
        <f t="shared" ca="1" si="124"/>
        <v>-1.2250843073345168E-2</v>
      </c>
    </row>
    <row r="8313" spans="7:8" x14ac:dyDescent="0.3">
      <c r="G8313" s="78">
        <v>8310</v>
      </c>
      <c r="H8313">
        <f t="shared" ca="1" si="124"/>
        <v>5.2392958839339717E-3</v>
      </c>
    </row>
    <row r="8314" spans="7:8" x14ac:dyDescent="0.3">
      <c r="G8314" s="78">
        <v>8311</v>
      </c>
      <c r="H8314">
        <f t="shared" ca="1" si="124"/>
        <v>-2.4323371216604876E-2</v>
      </c>
    </row>
    <row r="8315" spans="7:8" x14ac:dyDescent="0.3">
      <c r="G8315" s="78">
        <v>8312</v>
      </c>
      <c r="H8315">
        <f t="shared" ca="1" si="124"/>
        <v>1.8573275925543135E-2</v>
      </c>
    </row>
    <row r="8316" spans="7:8" x14ac:dyDescent="0.3">
      <c r="G8316" s="78">
        <v>8313</v>
      </c>
      <c r="H8316">
        <f t="shared" ca="1" si="124"/>
        <v>3.8690123129305962E-2</v>
      </c>
    </row>
    <row r="8317" spans="7:8" x14ac:dyDescent="0.3">
      <c r="G8317" s="78">
        <v>8314</v>
      </c>
      <c r="H8317">
        <f t="shared" ca="1" si="124"/>
        <v>2.1260346658145458E-2</v>
      </c>
    </row>
    <row r="8318" spans="7:8" x14ac:dyDescent="0.3">
      <c r="G8318" s="78">
        <v>8315</v>
      </c>
      <c r="H8318">
        <f t="shared" ca="1" si="124"/>
        <v>-1.5160761875613058E-2</v>
      </c>
    </row>
    <row r="8319" spans="7:8" x14ac:dyDescent="0.3">
      <c r="G8319" s="78">
        <v>8316</v>
      </c>
      <c r="H8319">
        <f t="shared" ca="1" si="124"/>
        <v>1.5383285770677848E-2</v>
      </c>
    </row>
    <row r="8320" spans="7:8" x14ac:dyDescent="0.3">
      <c r="G8320" s="78">
        <v>8317</v>
      </c>
      <c r="H8320">
        <f t="shared" ca="1" si="124"/>
        <v>2.6809677533225955E-3</v>
      </c>
    </row>
    <row r="8321" spans="7:8" x14ac:dyDescent="0.3">
      <c r="G8321" s="78">
        <v>8318</v>
      </c>
      <c r="H8321">
        <f t="shared" ca="1" si="124"/>
        <v>-2.6487372438760235E-3</v>
      </c>
    </row>
    <row r="8322" spans="7:8" x14ac:dyDescent="0.3">
      <c r="G8322" s="78">
        <v>8319</v>
      </c>
      <c r="H8322">
        <f t="shared" ca="1" si="124"/>
        <v>-2.1348028248930871E-2</v>
      </c>
    </row>
    <row r="8323" spans="7:8" x14ac:dyDescent="0.3">
      <c r="G8323" s="78">
        <v>8320</v>
      </c>
      <c r="H8323">
        <f t="shared" ca="1" si="124"/>
        <v>-7.7059154637896697E-3</v>
      </c>
    </row>
    <row r="8324" spans="7:8" x14ac:dyDescent="0.3">
      <c r="G8324" s="78">
        <v>8321</v>
      </c>
      <c r="H8324">
        <f t="shared" ref="H8324:H8387" ca="1" si="125">_xlfn.NORM.INV(RAND(),$N$4,$N$5)</f>
        <v>-1.901351177199782E-2</v>
      </c>
    </row>
    <row r="8325" spans="7:8" x14ac:dyDescent="0.3">
      <c r="G8325" s="78">
        <v>8322</v>
      </c>
      <c r="H8325">
        <f t="shared" ca="1" si="125"/>
        <v>7.6605383860988427E-3</v>
      </c>
    </row>
    <row r="8326" spans="7:8" x14ac:dyDescent="0.3">
      <c r="G8326" s="78">
        <v>8323</v>
      </c>
      <c r="H8326">
        <f t="shared" ca="1" si="125"/>
        <v>2.2324003035619597E-3</v>
      </c>
    </row>
    <row r="8327" spans="7:8" x14ac:dyDescent="0.3">
      <c r="G8327" s="78">
        <v>8324</v>
      </c>
      <c r="H8327">
        <f t="shared" ca="1" si="125"/>
        <v>-1.0470902906468071E-2</v>
      </c>
    </row>
    <row r="8328" spans="7:8" x14ac:dyDescent="0.3">
      <c r="G8328" s="78">
        <v>8325</v>
      </c>
      <c r="H8328">
        <f t="shared" ca="1" si="125"/>
        <v>-4.3782477414565577E-2</v>
      </c>
    </row>
    <row r="8329" spans="7:8" x14ac:dyDescent="0.3">
      <c r="G8329" s="78">
        <v>8326</v>
      </c>
      <c r="H8329">
        <f t="shared" ca="1" si="125"/>
        <v>1.984682020233287E-2</v>
      </c>
    </row>
    <row r="8330" spans="7:8" x14ac:dyDescent="0.3">
      <c r="G8330" s="78">
        <v>8327</v>
      </c>
      <c r="H8330">
        <f t="shared" ca="1" si="125"/>
        <v>-2.8645990171625325E-2</v>
      </c>
    </row>
    <row r="8331" spans="7:8" x14ac:dyDescent="0.3">
      <c r="G8331" s="78">
        <v>8328</v>
      </c>
      <c r="H8331">
        <f t="shared" ca="1" si="125"/>
        <v>1.1587173564074895E-2</v>
      </c>
    </row>
    <row r="8332" spans="7:8" x14ac:dyDescent="0.3">
      <c r="G8332" s="78">
        <v>8329</v>
      </c>
      <c r="H8332">
        <f t="shared" ca="1" si="125"/>
        <v>3.2385291007079195E-2</v>
      </c>
    </row>
    <row r="8333" spans="7:8" x14ac:dyDescent="0.3">
      <c r="G8333" s="78">
        <v>8330</v>
      </c>
      <c r="H8333">
        <f t="shared" ca="1" si="125"/>
        <v>3.9134162774945632E-3</v>
      </c>
    </row>
    <row r="8334" spans="7:8" x14ac:dyDescent="0.3">
      <c r="G8334" s="78">
        <v>8331</v>
      </c>
      <c r="H8334">
        <f t="shared" ca="1" si="125"/>
        <v>2.7843199536158468E-3</v>
      </c>
    </row>
    <row r="8335" spans="7:8" x14ac:dyDescent="0.3">
      <c r="G8335" s="78">
        <v>8332</v>
      </c>
      <c r="H8335">
        <f t="shared" ca="1" si="125"/>
        <v>-5.2983217348634227E-3</v>
      </c>
    </row>
    <row r="8336" spans="7:8" x14ac:dyDescent="0.3">
      <c r="G8336" s="78">
        <v>8333</v>
      </c>
      <c r="H8336">
        <f t="shared" ca="1" si="125"/>
        <v>-2.3494092327790712E-2</v>
      </c>
    </row>
    <row r="8337" spans="7:8" x14ac:dyDescent="0.3">
      <c r="G8337" s="78">
        <v>8334</v>
      </c>
      <c r="H8337">
        <f t="shared" ca="1" si="125"/>
        <v>-1.1972833834703786E-2</v>
      </c>
    </row>
    <row r="8338" spans="7:8" x14ac:dyDescent="0.3">
      <c r="G8338" s="78">
        <v>8335</v>
      </c>
      <c r="H8338">
        <f t="shared" ca="1" si="125"/>
        <v>3.930895278093473E-3</v>
      </c>
    </row>
    <row r="8339" spans="7:8" x14ac:dyDescent="0.3">
      <c r="G8339" s="78">
        <v>8336</v>
      </c>
      <c r="H8339">
        <f t="shared" ca="1" si="125"/>
        <v>-2.2905942654262816E-2</v>
      </c>
    </row>
    <row r="8340" spans="7:8" x14ac:dyDescent="0.3">
      <c r="G8340" s="78">
        <v>8337</v>
      </c>
      <c r="H8340">
        <f t="shared" ca="1" si="125"/>
        <v>2.5205327760742375E-2</v>
      </c>
    </row>
    <row r="8341" spans="7:8" x14ac:dyDescent="0.3">
      <c r="G8341" s="78">
        <v>8338</v>
      </c>
      <c r="H8341">
        <f t="shared" ca="1" si="125"/>
        <v>-1.1427588642055333E-2</v>
      </c>
    </row>
    <row r="8342" spans="7:8" x14ac:dyDescent="0.3">
      <c r="G8342" s="78">
        <v>8339</v>
      </c>
      <c r="H8342">
        <f t="shared" ca="1" si="125"/>
        <v>-1.7641991658689946E-2</v>
      </c>
    </row>
    <row r="8343" spans="7:8" x14ac:dyDescent="0.3">
      <c r="G8343" s="78">
        <v>8340</v>
      </c>
      <c r="H8343">
        <f t="shared" ca="1" si="125"/>
        <v>2.8237032617340677E-2</v>
      </c>
    </row>
    <row r="8344" spans="7:8" x14ac:dyDescent="0.3">
      <c r="G8344" s="78">
        <v>8341</v>
      </c>
      <c r="H8344">
        <f t="shared" ca="1" si="125"/>
        <v>7.9992195656030558E-3</v>
      </c>
    </row>
    <row r="8345" spans="7:8" x14ac:dyDescent="0.3">
      <c r="G8345" s="78">
        <v>8342</v>
      </c>
      <c r="H8345">
        <f t="shared" ca="1" si="125"/>
        <v>2.928243166049543E-2</v>
      </c>
    </row>
    <row r="8346" spans="7:8" x14ac:dyDescent="0.3">
      <c r="G8346" s="78">
        <v>8343</v>
      </c>
      <c r="H8346">
        <f t="shared" ca="1" si="125"/>
        <v>1.0385007783027637E-2</v>
      </c>
    </row>
    <row r="8347" spans="7:8" x14ac:dyDescent="0.3">
      <c r="G8347" s="78">
        <v>8344</v>
      </c>
      <c r="H8347">
        <f t="shared" ca="1" si="125"/>
        <v>1.0809977429990889E-2</v>
      </c>
    </row>
    <row r="8348" spans="7:8" x14ac:dyDescent="0.3">
      <c r="G8348" s="78">
        <v>8345</v>
      </c>
      <c r="H8348">
        <f t="shared" ca="1" si="125"/>
        <v>-2.1080791441048866E-2</v>
      </c>
    </row>
    <row r="8349" spans="7:8" x14ac:dyDescent="0.3">
      <c r="G8349" s="78">
        <v>8346</v>
      </c>
      <c r="H8349">
        <f t="shared" ca="1" si="125"/>
        <v>2.2301431191809443E-2</v>
      </c>
    </row>
    <row r="8350" spans="7:8" x14ac:dyDescent="0.3">
      <c r="G8350" s="78">
        <v>8347</v>
      </c>
      <c r="H8350">
        <f t="shared" ca="1" si="125"/>
        <v>-2.0517394472933685E-3</v>
      </c>
    </row>
    <row r="8351" spans="7:8" x14ac:dyDescent="0.3">
      <c r="G8351" s="78">
        <v>8348</v>
      </c>
      <c r="H8351">
        <f t="shared" ca="1" si="125"/>
        <v>-2.1701162328833921E-2</v>
      </c>
    </row>
    <row r="8352" spans="7:8" x14ac:dyDescent="0.3">
      <c r="G8352" s="78">
        <v>8349</v>
      </c>
      <c r="H8352">
        <f t="shared" ca="1" si="125"/>
        <v>-1.8065270839727202E-2</v>
      </c>
    </row>
    <row r="8353" spans="7:8" x14ac:dyDescent="0.3">
      <c r="G8353" s="78">
        <v>8350</v>
      </c>
      <c r="H8353">
        <f t="shared" ca="1" si="125"/>
        <v>-1.6601189088488937E-2</v>
      </c>
    </row>
    <row r="8354" spans="7:8" x14ac:dyDescent="0.3">
      <c r="G8354" s="78">
        <v>8351</v>
      </c>
      <c r="H8354">
        <f t="shared" ca="1" si="125"/>
        <v>8.6595570935647554E-4</v>
      </c>
    </row>
    <row r="8355" spans="7:8" x14ac:dyDescent="0.3">
      <c r="G8355" s="78">
        <v>8352</v>
      </c>
      <c r="H8355">
        <f t="shared" ca="1" si="125"/>
        <v>-8.8625523827890323E-3</v>
      </c>
    </row>
    <row r="8356" spans="7:8" x14ac:dyDescent="0.3">
      <c r="G8356" s="78">
        <v>8353</v>
      </c>
      <c r="H8356">
        <f t="shared" ca="1" si="125"/>
        <v>-2.8704790251273937E-3</v>
      </c>
    </row>
    <row r="8357" spans="7:8" x14ac:dyDescent="0.3">
      <c r="G8357" s="78">
        <v>8354</v>
      </c>
      <c r="H8357">
        <f t="shared" ca="1" si="125"/>
        <v>1.9984336869517352E-2</v>
      </c>
    </row>
    <row r="8358" spans="7:8" x14ac:dyDescent="0.3">
      <c r="G8358" s="78">
        <v>8355</v>
      </c>
      <c r="H8358">
        <f t="shared" ca="1" si="125"/>
        <v>3.8532235031503567E-3</v>
      </c>
    </row>
    <row r="8359" spans="7:8" x14ac:dyDescent="0.3">
      <c r="G8359" s="78">
        <v>8356</v>
      </c>
      <c r="H8359">
        <f t="shared" ca="1" si="125"/>
        <v>1.5485139134874816E-2</v>
      </c>
    </row>
    <row r="8360" spans="7:8" x14ac:dyDescent="0.3">
      <c r="G8360" s="78">
        <v>8357</v>
      </c>
      <c r="H8360">
        <f t="shared" ca="1" si="125"/>
        <v>1.1409950223156216E-2</v>
      </c>
    </row>
    <row r="8361" spans="7:8" x14ac:dyDescent="0.3">
      <c r="G8361" s="78">
        <v>8358</v>
      </c>
      <c r="H8361">
        <f t="shared" ca="1" si="125"/>
        <v>7.0142324576458791E-3</v>
      </c>
    </row>
    <row r="8362" spans="7:8" x14ac:dyDescent="0.3">
      <c r="G8362" s="78">
        <v>8359</v>
      </c>
      <c r="H8362">
        <f t="shared" ca="1" si="125"/>
        <v>-7.6953164858331374E-3</v>
      </c>
    </row>
    <row r="8363" spans="7:8" x14ac:dyDescent="0.3">
      <c r="G8363" s="78">
        <v>8360</v>
      </c>
      <c r="H8363">
        <f t="shared" ca="1" si="125"/>
        <v>-3.7972590461206393E-2</v>
      </c>
    </row>
    <row r="8364" spans="7:8" x14ac:dyDescent="0.3">
      <c r="G8364" s="78">
        <v>8361</v>
      </c>
      <c r="H8364">
        <f t="shared" ca="1" si="125"/>
        <v>1.202249009482902E-2</v>
      </c>
    </row>
    <row r="8365" spans="7:8" x14ac:dyDescent="0.3">
      <c r="G8365" s="78">
        <v>8362</v>
      </c>
      <c r="H8365">
        <f t="shared" ca="1" si="125"/>
        <v>2.0486370575177701E-2</v>
      </c>
    </row>
    <row r="8366" spans="7:8" x14ac:dyDescent="0.3">
      <c r="G8366" s="78">
        <v>8363</v>
      </c>
      <c r="H8366">
        <f t="shared" ca="1" si="125"/>
        <v>9.1309773657713422E-3</v>
      </c>
    </row>
    <row r="8367" spans="7:8" x14ac:dyDescent="0.3">
      <c r="G8367" s="78">
        <v>8364</v>
      </c>
      <c r="H8367">
        <f t="shared" ca="1" si="125"/>
        <v>-1.7361672088694824E-2</v>
      </c>
    </row>
    <row r="8368" spans="7:8" x14ac:dyDescent="0.3">
      <c r="G8368" s="78">
        <v>8365</v>
      </c>
      <c r="H8368">
        <f t="shared" ca="1" si="125"/>
        <v>-7.0922573641840651E-3</v>
      </c>
    </row>
    <row r="8369" spans="7:8" x14ac:dyDescent="0.3">
      <c r="G8369" s="78">
        <v>8366</v>
      </c>
      <c r="H8369">
        <f t="shared" ca="1" si="125"/>
        <v>-1.7058841862960767E-2</v>
      </c>
    </row>
    <row r="8370" spans="7:8" x14ac:dyDescent="0.3">
      <c r="G8370" s="78">
        <v>8367</v>
      </c>
      <c r="H8370">
        <f t="shared" ca="1" si="125"/>
        <v>-1.1201811580307083E-2</v>
      </c>
    </row>
    <row r="8371" spans="7:8" x14ac:dyDescent="0.3">
      <c r="G8371" s="78">
        <v>8368</v>
      </c>
      <c r="H8371">
        <f t="shared" ca="1" si="125"/>
        <v>2.5586247262421062E-3</v>
      </c>
    </row>
    <row r="8372" spans="7:8" x14ac:dyDescent="0.3">
      <c r="G8372" s="78">
        <v>8369</v>
      </c>
      <c r="H8372">
        <f t="shared" ca="1" si="125"/>
        <v>1.8005548603386025E-2</v>
      </c>
    </row>
    <row r="8373" spans="7:8" x14ac:dyDescent="0.3">
      <c r="G8373" s="78">
        <v>8370</v>
      </c>
      <c r="H8373">
        <f t="shared" ca="1" si="125"/>
        <v>-2.5429153485954741E-2</v>
      </c>
    </row>
    <row r="8374" spans="7:8" x14ac:dyDescent="0.3">
      <c r="G8374" s="78">
        <v>8371</v>
      </c>
      <c r="H8374">
        <f t="shared" ca="1" si="125"/>
        <v>2.2393286849638941E-2</v>
      </c>
    </row>
    <row r="8375" spans="7:8" x14ac:dyDescent="0.3">
      <c r="G8375" s="78">
        <v>8372</v>
      </c>
      <c r="H8375">
        <f t="shared" ca="1" si="125"/>
        <v>-2.3649152036376259E-2</v>
      </c>
    </row>
    <row r="8376" spans="7:8" x14ac:dyDescent="0.3">
      <c r="G8376" s="78">
        <v>8373</v>
      </c>
      <c r="H8376">
        <f t="shared" ca="1" si="125"/>
        <v>1.8483144186030975E-2</v>
      </c>
    </row>
    <row r="8377" spans="7:8" x14ac:dyDescent="0.3">
      <c r="G8377" s="78">
        <v>8374</v>
      </c>
      <c r="H8377">
        <f t="shared" ca="1" si="125"/>
        <v>1.2963894580120998E-2</v>
      </c>
    </row>
    <row r="8378" spans="7:8" x14ac:dyDescent="0.3">
      <c r="G8378" s="78">
        <v>8375</v>
      </c>
      <c r="H8378">
        <f t="shared" ca="1" si="125"/>
        <v>-2.7586432825490149E-2</v>
      </c>
    </row>
    <row r="8379" spans="7:8" x14ac:dyDescent="0.3">
      <c r="G8379" s="78">
        <v>8376</v>
      </c>
      <c r="H8379">
        <f t="shared" ca="1" si="125"/>
        <v>-1.9928107861087188E-2</v>
      </c>
    </row>
    <row r="8380" spans="7:8" x14ac:dyDescent="0.3">
      <c r="G8380" s="78">
        <v>8377</v>
      </c>
      <c r="H8380">
        <f t="shared" ca="1" si="125"/>
        <v>-6.141703815631179E-3</v>
      </c>
    </row>
    <row r="8381" spans="7:8" x14ac:dyDescent="0.3">
      <c r="G8381" s="78">
        <v>8378</v>
      </c>
      <c r="H8381">
        <f t="shared" ca="1" si="125"/>
        <v>1.3698794019510251E-2</v>
      </c>
    </row>
    <row r="8382" spans="7:8" x14ac:dyDescent="0.3">
      <c r="G8382" s="78">
        <v>8379</v>
      </c>
      <c r="H8382">
        <f t="shared" ca="1" si="125"/>
        <v>3.1178170895324406E-3</v>
      </c>
    </row>
    <row r="8383" spans="7:8" x14ac:dyDescent="0.3">
      <c r="G8383" s="78">
        <v>8380</v>
      </c>
      <c r="H8383">
        <f t="shared" ca="1" si="125"/>
        <v>-3.4134702567364204E-3</v>
      </c>
    </row>
    <row r="8384" spans="7:8" x14ac:dyDescent="0.3">
      <c r="G8384" s="78">
        <v>8381</v>
      </c>
      <c r="H8384">
        <f t="shared" ca="1" si="125"/>
        <v>-1.9186529925360424E-2</v>
      </c>
    </row>
    <row r="8385" spans="7:8" x14ac:dyDescent="0.3">
      <c r="G8385" s="78">
        <v>8382</v>
      </c>
      <c r="H8385">
        <f t="shared" ca="1" si="125"/>
        <v>-1.8538036702096434E-2</v>
      </c>
    </row>
    <row r="8386" spans="7:8" x14ac:dyDescent="0.3">
      <c r="G8386" s="78">
        <v>8383</v>
      </c>
      <c r="H8386">
        <f t="shared" ca="1" si="125"/>
        <v>8.1109967334797792E-3</v>
      </c>
    </row>
    <row r="8387" spans="7:8" x14ac:dyDescent="0.3">
      <c r="G8387" s="78">
        <v>8384</v>
      </c>
      <c r="H8387">
        <f t="shared" ca="1" si="125"/>
        <v>1.2225041203158295E-2</v>
      </c>
    </row>
    <row r="8388" spans="7:8" x14ac:dyDescent="0.3">
      <c r="G8388" s="78">
        <v>8385</v>
      </c>
      <c r="H8388">
        <f t="shared" ref="H8388:H8451" ca="1" si="126">_xlfn.NORM.INV(RAND(),$N$4,$N$5)</f>
        <v>-2.5657988982078165E-3</v>
      </c>
    </row>
    <row r="8389" spans="7:8" x14ac:dyDescent="0.3">
      <c r="G8389" s="78">
        <v>8386</v>
      </c>
      <c r="H8389">
        <f t="shared" ca="1" si="126"/>
        <v>1.1721043451652667E-2</v>
      </c>
    </row>
    <row r="8390" spans="7:8" x14ac:dyDescent="0.3">
      <c r="G8390" s="78">
        <v>8387</v>
      </c>
      <c r="H8390">
        <f t="shared" ca="1" si="126"/>
        <v>-1.1582363771301396E-2</v>
      </c>
    </row>
    <row r="8391" spans="7:8" x14ac:dyDescent="0.3">
      <c r="G8391" s="78">
        <v>8388</v>
      </c>
      <c r="H8391">
        <f t="shared" ca="1" si="126"/>
        <v>1.9268563693090525E-2</v>
      </c>
    </row>
    <row r="8392" spans="7:8" x14ac:dyDescent="0.3">
      <c r="G8392" s="78">
        <v>8389</v>
      </c>
      <c r="H8392">
        <f t="shared" ca="1" si="126"/>
        <v>-2.7893276407688385E-3</v>
      </c>
    </row>
    <row r="8393" spans="7:8" x14ac:dyDescent="0.3">
      <c r="G8393" s="78">
        <v>8390</v>
      </c>
      <c r="H8393">
        <f t="shared" ca="1" si="126"/>
        <v>5.7100999225073619E-3</v>
      </c>
    </row>
    <row r="8394" spans="7:8" x14ac:dyDescent="0.3">
      <c r="G8394" s="78">
        <v>8391</v>
      </c>
      <c r="H8394">
        <f t="shared" ca="1" si="126"/>
        <v>3.0236916384588183E-2</v>
      </c>
    </row>
    <row r="8395" spans="7:8" x14ac:dyDescent="0.3">
      <c r="G8395" s="78">
        <v>8392</v>
      </c>
      <c r="H8395">
        <f t="shared" ca="1" si="126"/>
        <v>-2.2362460387148255E-2</v>
      </c>
    </row>
    <row r="8396" spans="7:8" x14ac:dyDescent="0.3">
      <c r="G8396" s="78">
        <v>8393</v>
      </c>
      <c r="H8396">
        <f t="shared" ca="1" si="126"/>
        <v>1.4510475000837632E-2</v>
      </c>
    </row>
    <row r="8397" spans="7:8" x14ac:dyDescent="0.3">
      <c r="G8397" s="78">
        <v>8394</v>
      </c>
      <c r="H8397">
        <f t="shared" ca="1" si="126"/>
        <v>1.8970477151598032E-2</v>
      </c>
    </row>
    <row r="8398" spans="7:8" x14ac:dyDescent="0.3">
      <c r="G8398" s="78">
        <v>8395</v>
      </c>
      <c r="H8398">
        <f t="shared" ca="1" si="126"/>
        <v>1.7086661316099379E-2</v>
      </c>
    </row>
    <row r="8399" spans="7:8" x14ac:dyDescent="0.3">
      <c r="G8399" s="78">
        <v>8396</v>
      </c>
      <c r="H8399">
        <f t="shared" ca="1" si="126"/>
        <v>-2.0969228545550569E-2</v>
      </c>
    </row>
    <row r="8400" spans="7:8" x14ac:dyDescent="0.3">
      <c r="G8400" s="78">
        <v>8397</v>
      </c>
      <c r="H8400">
        <f t="shared" ca="1" si="126"/>
        <v>1.3616141189963944E-2</v>
      </c>
    </row>
    <row r="8401" spans="7:8" x14ac:dyDescent="0.3">
      <c r="G8401" s="78">
        <v>8398</v>
      </c>
      <c r="H8401">
        <f t="shared" ca="1" si="126"/>
        <v>1.581491253530292E-2</v>
      </c>
    </row>
    <row r="8402" spans="7:8" x14ac:dyDescent="0.3">
      <c r="G8402" s="78">
        <v>8399</v>
      </c>
      <c r="H8402">
        <f t="shared" ca="1" si="126"/>
        <v>-1.5788308064809412E-2</v>
      </c>
    </row>
    <row r="8403" spans="7:8" x14ac:dyDescent="0.3">
      <c r="G8403" s="78">
        <v>8400</v>
      </c>
      <c r="H8403">
        <f t="shared" ca="1" si="126"/>
        <v>-4.5893070893524464E-3</v>
      </c>
    </row>
    <row r="8404" spans="7:8" x14ac:dyDescent="0.3">
      <c r="G8404" s="78">
        <v>8401</v>
      </c>
      <c r="H8404">
        <f t="shared" ca="1" si="126"/>
        <v>-6.1550431860103779E-3</v>
      </c>
    </row>
    <row r="8405" spans="7:8" x14ac:dyDescent="0.3">
      <c r="G8405" s="78">
        <v>8402</v>
      </c>
      <c r="H8405">
        <f t="shared" ca="1" si="126"/>
        <v>-1.7337891217144331E-2</v>
      </c>
    </row>
    <row r="8406" spans="7:8" x14ac:dyDescent="0.3">
      <c r="G8406" s="78">
        <v>8403</v>
      </c>
      <c r="H8406">
        <f t="shared" ca="1" si="126"/>
        <v>-3.4503078002100389E-2</v>
      </c>
    </row>
    <row r="8407" spans="7:8" x14ac:dyDescent="0.3">
      <c r="G8407" s="78">
        <v>8404</v>
      </c>
      <c r="H8407">
        <f t="shared" ca="1" si="126"/>
        <v>6.6387118730472129E-3</v>
      </c>
    </row>
    <row r="8408" spans="7:8" x14ac:dyDescent="0.3">
      <c r="G8408" s="78">
        <v>8405</v>
      </c>
      <c r="H8408">
        <f t="shared" ca="1" si="126"/>
        <v>2.2526060335439291E-2</v>
      </c>
    </row>
    <row r="8409" spans="7:8" x14ac:dyDescent="0.3">
      <c r="G8409" s="78">
        <v>8406</v>
      </c>
      <c r="H8409">
        <f t="shared" ca="1" si="126"/>
        <v>1.6483078622733259E-2</v>
      </c>
    </row>
    <row r="8410" spans="7:8" x14ac:dyDescent="0.3">
      <c r="G8410" s="78">
        <v>8407</v>
      </c>
      <c r="H8410">
        <f t="shared" ca="1" si="126"/>
        <v>1.3933186952198508E-2</v>
      </c>
    </row>
    <row r="8411" spans="7:8" x14ac:dyDescent="0.3">
      <c r="G8411" s="78">
        <v>8408</v>
      </c>
      <c r="H8411">
        <f t="shared" ca="1" si="126"/>
        <v>3.4904795060810546E-2</v>
      </c>
    </row>
    <row r="8412" spans="7:8" x14ac:dyDescent="0.3">
      <c r="G8412" s="78">
        <v>8409</v>
      </c>
      <c r="H8412">
        <f t="shared" ca="1" si="126"/>
        <v>1.7382628990169038E-2</v>
      </c>
    </row>
    <row r="8413" spans="7:8" x14ac:dyDescent="0.3">
      <c r="G8413" s="78">
        <v>8410</v>
      </c>
      <c r="H8413">
        <f t="shared" ca="1" si="126"/>
        <v>-1.3384189384357328E-2</v>
      </c>
    </row>
    <row r="8414" spans="7:8" x14ac:dyDescent="0.3">
      <c r="G8414" s="78">
        <v>8411</v>
      </c>
      <c r="H8414">
        <f t="shared" ca="1" si="126"/>
        <v>6.4854563165227244E-3</v>
      </c>
    </row>
    <row r="8415" spans="7:8" x14ac:dyDescent="0.3">
      <c r="G8415" s="78">
        <v>8412</v>
      </c>
      <c r="H8415">
        <f t="shared" ca="1" si="126"/>
        <v>-6.4217470967742772E-3</v>
      </c>
    </row>
    <row r="8416" spans="7:8" x14ac:dyDescent="0.3">
      <c r="G8416" s="78">
        <v>8413</v>
      </c>
      <c r="H8416">
        <f t="shared" ca="1" si="126"/>
        <v>1.4269005723037581E-2</v>
      </c>
    </row>
    <row r="8417" spans="7:8" x14ac:dyDescent="0.3">
      <c r="G8417" s="78">
        <v>8414</v>
      </c>
      <c r="H8417">
        <f t="shared" ca="1" si="126"/>
        <v>7.0107235520240424E-2</v>
      </c>
    </row>
    <row r="8418" spans="7:8" x14ac:dyDescent="0.3">
      <c r="G8418" s="78">
        <v>8415</v>
      </c>
      <c r="H8418">
        <f t="shared" ca="1" si="126"/>
        <v>-1.9957804546835243E-2</v>
      </c>
    </row>
    <row r="8419" spans="7:8" x14ac:dyDescent="0.3">
      <c r="G8419" s="78">
        <v>8416</v>
      </c>
      <c r="H8419">
        <f t="shared" ca="1" si="126"/>
        <v>-7.0667519738324353E-3</v>
      </c>
    </row>
    <row r="8420" spans="7:8" x14ac:dyDescent="0.3">
      <c r="G8420" s="78">
        <v>8417</v>
      </c>
      <c r="H8420">
        <f t="shared" ca="1" si="126"/>
        <v>-2.1250061236160189E-2</v>
      </c>
    </row>
    <row r="8421" spans="7:8" x14ac:dyDescent="0.3">
      <c r="G8421" s="78">
        <v>8418</v>
      </c>
      <c r="H8421">
        <f t="shared" ca="1" si="126"/>
        <v>-2.7481426326019024E-2</v>
      </c>
    </row>
    <row r="8422" spans="7:8" x14ac:dyDescent="0.3">
      <c r="G8422" s="78">
        <v>8419</v>
      </c>
      <c r="H8422">
        <f t="shared" ca="1" si="126"/>
        <v>2.19403955471211E-2</v>
      </c>
    </row>
    <row r="8423" spans="7:8" x14ac:dyDescent="0.3">
      <c r="G8423" s="78">
        <v>8420</v>
      </c>
      <c r="H8423">
        <f t="shared" ca="1" si="126"/>
        <v>-1.9073289410583439E-4</v>
      </c>
    </row>
    <row r="8424" spans="7:8" x14ac:dyDescent="0.3">
      <c r="G8424" s="78">
        <v>8421</v>
      </c>
      <c r="H8424">
        <f t="shared" ca="1" si="126"/>
        <v>1.3175721710908584E-3</v>
      </c>
    </row>
    <row r="8425" spans="7:8" x14ac:dyDescent="0.3">
      <c r="G8425" s="78">
        <v>8422</v>
      </c>
      <c r="H8425">
        <f t="shared" ca="1" si="126"/>
        <v>2.2953353143704325E-2</v>
      </c>
    </row>
    <row r="8426" spans="7:8" x14ac:dyDescent="0.3">
      <c r="G8426" s="78">
        <v>8423</v>
      </c>
      <c r="H8426">
        <f t="shared" ca="1" si="126"/>
        <v>1.2890005605520343E-3</v>
      </c>
    </row>
    <row r="8427" spans="7:8" x14ac:dyDescent="0.3">
      <c r="G8427" s="78">
        <v>8424</v>
      </c>
      <c r="H8427">
        <f t="shared" ca="1" si="126"/>
        <v>-5.9254997082049017E-3</v>
      </c>
    </row>
    <row r="8428" spans="7:8" x14ac:dyDescent="0.3">
      <c r="G8428" s="78">
        <v>8425</v>
      </c>
      <c r="H8428">
        <f t="shared" ca="1" si="126"/>
        <v>2.1625168016444891E-2</v>
      </c>
    </row>
    <row r="8429" spans="7:8" x14ac:dyDescent="0.3">
      <c r="G8429" s="78">
        <v>8426</v>
      </c>
      <c r="H8429">
        <f t="shared" ca="1" si="126"/>
        <v>-9.9989313642827992E-3</v>
      </c>
    </row>
    <row r="8430" spans="7:8" x14ac:dyDescent="0.3">
      <c r="G8430" s="78">
        <v>8427</v>
      </c>
      <c r="H8430">
        <f t="shared" ca="1" si="126"/>
        <v>-3.7999438852144955E-3</v>
      </c>
    </row>
    <row r="8431" spans="7:8" x14ac:dyDescent="0.3">
      <c r="G8431" s="78">
        <v>8428</v>
      </c>
      <c r="H8431">
        <f t="shared" ca="1" si="126"/>
        <v>7.9681870158627086E-3</v>
      </c>
    </row>
    <row r="8432" spans="7:8" x14ac:dyDescent="0.3">
      <c r="G8432" s="78">
        <v>8429</v>
      </c>
      <c r="H8432">
        <f t="shared" ca="1" si="126"/>
        <v>3.5155771972921065E-2</v>
      </c>
    </row>
    <row r="8433" spans="7:8" x14ac:dyDescent="0.3">
      <c r="G8433" s="78">
        <v>8430</v>
      </c>
      <c r="H8433">
        <f t="shared" ca="1" si="126"/>
        <v>-2.6150713412921283E-2</v>
      </c>
    </row>
    <row r="8434" spans="7:8" x14ac:dyDescent="0.3">
      <c r="G8434" s="78">
        <v>8431</v>
      </c>
      <c r="H8434">
        <f t="shared" ca="1" si="126"/>
        <v>-7.670068617610922E-3</v>
      </c>
    </row>
    <row r="8435" spans="7:8" x14ac:dyDescent="0.3">
      <c r="G8435" s="78">
        <v>8432</v>
      </c>
      <c r="H8435">
        <f t="shared" ca="1" si="126"/>
        <v>1.0636905007279115E-2</v>
      </c>
    </row>
    <row r="8436" spans="7:8" x14ac:dyDescent="0.3">
      <c r="G8436" s="78">
        <v>8433</v>
      </c>
      <c r="H8436">
        <f t="shared" ca="1" si="126"/>
        <v>1.8475696578811224E-2</v>
      </c>
    </row>
    <row r="8437" spans="7:8" x14ac:dyDescent="0.3">
      <c r="G8437" s="78">
        <v>8434</v>
      </c>
      <c r="H8437">
        <f t="shared" ca="1" si="126"/>
        <v>-4.9962144070491415E-3</v>
      </c>
    </row>
    <row r="8438" spans="7:8" x14ac:dyDescent="0.3">
      <c r="G8438" s="78">
        <v>8435</v>
      </c>
      <c r="H8438">
        <f t="shared" ca="1" si="126"/>
        <v>-1.3443219536664948E-2</v>
      </c>
    </row>
    <row r="8439" spans="7:8" x14ac:dyDescent="0.3">
      <c r="G8439" s="78">
        <v>8436</v>
      </c>
      <c r="H8439">
        <f t="shared" ca="1" si="126"/>
        <v>-8.2461299270448259E-3</v>
      </c>
    </row>
    <row r="8440" spans="7:8" x14ac:dyDescent="0.3">
      <c r="G8440" s="78">
        <v>8437</v>
      </c>
      <c r="H8440">
        <f t="shared" ca="1" si="126"/>
        <v>-6.7437843077376549E-3</v>
      </c>
    </row>
    <row r="8441" spans="7:8" x14ac:dyDescent="0.3">
      <c r="G8441" s="78">
        <v>8438</v>
      </c>
      <c r="H8441">
        <f t="shared" ca="1" si="126"/>
        <v>-1.7585627019192935E-2</v>
      </c>
    </row>
    <row r="8442" spans="7:8" x14ac:dyDescent="0.3">
      <c r="G8442" s="78">
        <v>8439</v>
      </c>
      <c r="H8442">
        <f t="shared" ca="1" si="126"/>
        <v>4.0879943176021115E-3</v>
      </c>
    </row>
    <row r="8443" spans="7:8" x14ac:dyDescent="0.3">
      <c r="G8443" s="78">
        <v>8440</v>
      </c>
      <c r="H8443">
        <f t="shared" ca="1" si="126"/>
        <v>8.3638813070945357E-3</v>
      </c>
    </row>
    <row r="8444" spans="7:8" x14ac:dyDescent="0.3">
      <c r="G8444" s="78">
        <v>8441</v>
      </c>
      <c r="H8444">
        <f t="shared" ca="1" si="126"/>
        <v>-1.4587368679604745E-3</v>
      </c>
    </row>
    <row r="8445" spans="7:8" x14ac:dyDescent="0.3">
      <c r="G8445" s="78">
        <v>8442</v>
      </c>
      <c r="H8445">
        <f t="shared" ca="1" si="126"/>
        <v>1.8638715072633781E-2</v>
      </c>
    </row>
    <row r="8446" spans="7:8" x14ac:dyDescent="0.3">
      <c r="G8446" s="78">
        <v>8443</v>
      </c>
      <c r="H8446">
        <f t="shared" ca="1" si="126"/>
        <v>1.7687783758146624E-2</v>
      </c>
    </row>
    <row r="8447" spans="7:8" x14ac:dyDescent="0.3">
      <c r="G8447" s="78">
        <v>8444</v>
      </c>
      <c r="H8447">
        <f t="shared" ca="1" si="126"/>
        <v>-5.5635143325730736E-3</v>
      </c>
    </row>
    <row r="8448" spans="7:8" x14ac:dyDescent="0.3">
      <c r="G8448" s="78">
        <v>8445</v>
      </c>
      <c r="H8448">
        <f t="shared" ca="1" si="126"/>
        <v>-3.7968164375556416E-3</v>
      </c>
    </row>
    <row r="8449" spans="7:8" x14ac:dyDescent="0.3">
      <c r="G8449" s="78">
        <v>8446</v>
      </c>
      <c r="H8449">
        <f t="shared" ca="1" si="126"/>
        <v>1.6689737418696581E-2</v>
      </c>
    </row>
    <row r="8450" spans="7:8" x14ac:dyDescent="0.3">
      <c r="G8450" s="78">
        <v>8447</v>
      </c>
      <c r="H8450">
        <f t="shared" ca="1" si="126"/>
        <v>2.4558604872185572E-2</v>
      </c>
    </row>
    <row r="8451" spans="7:8" x14ac:dyDescent="0.3">
      <c r="G8451" s="78">
        <v>8448</v>
      </c>
      <c r="H8451">
        <f t="shared" ca="1" si="126"/>
        <v>2.3054232968114007E-2</v>
      </c>
    </row>
    <row r="8452" spans="7:8" x14ac:dyDescent="0.3">
      <c r="G8452" s="78">
        <v>8449</v>
      </c>
      <c r="H8452">
        <f t="shared" ref="H8452:H8515" ca="1" si="127">_xlfn.NORM.INV(RAND(),$N$4,$N$5)</f>
        <v>2.9059485991342435E-2</v>
      </c>
    </row>
    <row r="8453" spans="7:8" x14ac:dyDescent="0.3">
      <c r="G8453" s="78">
        <v>8450</v>
      </c>
      <c r="H8453">
        <f t="shared" ca="1" si="127"/>
        <v>9.4122240274870648E-4</v>
      </c>
    </row>
    <row r="8454" spans="7:8" x14ac:dyDescent="0.3">
      <c r="G8454" s="78">
        <v>8451</v>
      </c>
      <c r="H8454">
        <f t="shared" ca="1" si="127"/>
        <v>-4.8406097440323982E-3</v>
      </c>
    </row>
    <row r="8455" spans="7:8" x14ac:dyDescent="0.3">
      <c r="G8455" s="78">
        <v>8452</v>
      </c>
      <c r="H8455">
        <f t="shared" ca="1" si="127"/>
        <v>-2.975537666777546E-2</v>
      </c>
    </row>
    <row r="8456" spans="7:8" x14ac:dyDescent="0.3">
      <c r="G8456" s="78">
        <v>8453</v>
      </c>
      <c r="H8456">
        <f t="shared" ca="1" si="127"/>
        <v>4.6176395100206283E-2</v>
      </c>
    </row>
    <row r="8457" spans="7:8" x14ac:dyDescent="0.3">
      <c r="G8457" s="78">
        <v>8454</v>
      </c>
      <c r="H8457">
        <f t="shared" ca="1" si="127"/>
        <v>-1.6227333438250943E-2</v>
      </c>
    </row>
    <row r="8458" spans="7:8" x14ac:dyDescent="0.3">
      <c r="G8458" s="78">
        <v>8455</v>
      </c>
      <c r="H8458">
        <f t="shared" ca="1" si="127"/>
        <v>5.0982315379975605E-3</v>
      </c>
    </row>
    <row r="8459" spans="7:8" x14ac:dyDescent="0.3">
      <c r="G8459" s="78">
        <v>8456</v>
      </c>
      <c r="H8459">
        <f t="shared" ca="1" si="127"/>
        <v>-2.2140473632228114E-2</v>
      </c>
    </row>
    <row r="8460" spans="7:8" x14ac:dyDescent="0.3">
      <c r="G8460" s="78">
        <v>8457</v>
      </c>
      <c r="H8460">
        <f t="shared" ca="1" si="127"/>
        <v>-1.2608972954878263E-2</v>
      </c>
    </row>
    <row r="8461" spans="7:8" x14ac:dyDescent="0.3">
      <c r="G8461" s="78">
        <v>8458</v>
      </c>
      <c r="H8461">
        <f t="shared" ca="1" si="127"/>
        <v>-1.6411577739361565E-2</v>
      </c>
    </row>
    <row r="8462" spans="7:8" x14ac:dyDescent="0.3">
      <c r="G8462" s="78">
        <v>8459</v>
      </c>
      <c r="H8462">
        <f t="shared" ca="1" si="127"/>
        <v>-3.1870478282651597E-2</v>
      </c>
    </row>
    <row r="8463" spans="7:8" x14ac:dyDescent="0.3">
      <c r="G8463" s="78">
        <v>8460</v>
      </c>
      <c r="H8463">
        <f t="shared" ca="1" si="127"/>
        <v>-1.6771013688054084E-2</v>
      </c>
    </row>
    <row r="8464" spans="7:8" x14ac:dyDescent="0.3">
      <c r="G8464" s="78">
        <v>8461</v>
      </c>
      <c r="H8464">
        <f t="shared" ca="1" si="127"/>
        <v>-3.3521720735438618E-2</v>
      </c>
    </row>
    <row r="8465" spans="7:8" x14ac:dyDescent="0.3">
      <c r="G8465" s="78">
        <v>8462</v>
      </c>
      <c r="H8465">
        <f t="shared" ca="1" si="127"/>
        <v>1.3509042651443069E-2</v>
      </c>
    </row>
    <row r="8466" spans="7:8" x14ac:dyDescent="0.3">
      <c r="G8466" s="78">
        <v>8463</v>
      </c>
      <c r="H8466">
        <f t="shared" ca="1" si="127"/>
        <v>-2.9619483776241094E-2</v>
      </c>
    </row>
    <row r="8467" spans="7:8" x14ac:dyDescent="0.3">
      <c r="G8467" s="78">
        <v>8464</v>
      </c>
      <c r="H8467">
        <f t="shared" ca="1" si="127"/>
        <v>3.7577756885191832E-3</v>
      </c>
    </row>
    <row r="8468" spans="7:8" x14ac:dyDescent="0.3">
      <c r="G8468" s="78">
        <v>8465</v>
      </c>
      <c r="H8468">
        <f t="shared" ca="1" si="127"/>
        <v>1.3226295083951085E-2</v>
      </c>
    </row>
    <row r="8469" spans="7:8" x14ac:dyDescent="0.3">
      <c r="G8469" s="78">
        <v>8466</v>
      </c>
      <c r="H8469">
        <f t="shared" ca="1" si="127"/>
        <v>2.2917399365207137E-2</v>
      </c>
    </row>
    <row r="8470" spans="7:8" x14ac:dyDescent="0.3">
      <c r="G8470" s="78">
        <v>8467</v>
      </c>
      <c r="H8470">
        <f t="shared" ca="1" si="127"/>
        <v>-2.1121827245933044E-3</v>
      </c>
    </row>
    <row r="8471" spans="7:8" x14ac:dyDescent="0.3">
      <c r="G8471" s="78">
        <v>8468</v>
      </c>
      <c r="H8471">
        <f t="shared" ca="1" si="127"/>
        <v>1.5998902373877254E-2</v>
      </c>
    </row>
    <row r="8472" spans="7:8" x14ac:dyDescent="0.3">
      <c r="G8472" s="78">
        <v>8469</v>
      </c>
      <c r="H8472">
        <f t="shared" ca="1" si="127"/>
        <v>9.5071412367057229E-3</v>
      </c>
    </row>
    <row r="8473" spans="7:8" x14ac:dyDescent="0.3">
      <c r="G8473" s="78">
        <v>8470</v>
      </c>
      <c r="H8473">
        <f t="shared" ca="1" si="127"/>
        <v>1.4784207241603916E-2</v>
      </c>
    </row>
    <row r="8474" spans="7:8" x14ac:dyDescent="0.3">
      <c r="G8474" s="78">
        <v>8471</v>
      </c>
      <c r="H8474">
        <f t="shared" ca="1" si="127"/>
        <v>1.4120789614301677E-2</v>
      </c>
    </row>
    <row r="8475" spans="7:8" x14ac:dyDescent="0.3">
      <c r="G8475" s="78">
        <v>8472</v>
      </c>
      <c r="H8475">
        <f t="shared" ca="1" si="127"/>
        <v>1.3855636895326612E-2</v>
      </c>
    </row>
    <row r="8476" spans="7:8" x14ac:dyDescent="0.3">
      <c r="G8476" s="78">
        <v>8473</v>
      </c>
      <c r="H8476">
        <f t="shared" ca="1" si="127"/>
        <v>1.3683064673775697E-2</v>
      </c>
    </row>
    <row r="8477" spans="7:8" x14ac:dyDescent="0.3">
      <c r="G8477" s="78">
        <v>8474</v>
      </c>
      <c r="H8477">
        <f t="shared" ca="1" si="127"/>
        <v>-5.0640775177069108E-2</v>
      </c>
    </row>
    <row r="8478" spans="7:8" x14ac:dyDescent="0.3">
      <c r="G8478" s="78">
        <v>8475</v>
      </c>
      <c r="H8478">
        <f t="shared" ca="1" si="127"/>
        <v>-1.1443389082777736E-2</v>
      </c>
    </row>
    <row r="8479" spans="7:8" x14ac:dyDescent="0.3">
      <c r="G8479" s="78">
        <v>8476</v>
      </c>
      <c r="H8479">
        <f t="shared" ca="1" si="127"/>
        <v>3.2733698630810361E-2</v>
      </c>
    </row>
    <row r="8480" spans="7:8" x14ac:dyDescent="0.3">
      <c r="G8480" s="78">
        <v>8477</v>
      </c>
      <c r="H8480">
        <f t="shared" ca="1" si="127"/>
        <v>3.8891638749129022E-2</v>
      </c>
    </row>
    <row r="8481" spans="7:8" x14ac:dyDescent="0.3">
      <c r="G8481" s="78">
        <v>8478</v>
      </c>
      <c r="H8481">
        <f t="shared" ca="1" si="127"/>
        <v>-2.3063759021965547E-2</v>
      </c>
    </row>
    <row r="8482" spans="7:8" x14ac:dyDescent="0.3">
      <c r="G8482" s="78">
        <v>8479</v>
      </c>
      <c r="H8482">
        <f t="shared" ca="1" si="127"/>
        <v>-3.951466010045053E-2</v>
      </c>
    </row>
    <row r="8483" spans="7:8" x14ac:dyDescent="0.3">
      <c r="G8483" s="78">
        <v>8480</v>
      </c>
      <c r="H8483">
        <f t="shared" ca="1" si="127"/>
        <v>1.021081481361496E-2</v>
      </c>
    </row>
    <row r="8484" spans="7:8" x14ac:dyDescent="0.3">
      <c r="G8484" s="78">
        <v>8481</v>
      </c>
      <c r="H8484">
        <f t="shared" ca="1" si="127"/>
        <v>-3.4873579707314389E-2</v>
      </c>
    </row>
    <row r="8485" spans="7:8" x14ac:dyDescent="0.3">
      <c r="G8485" s="78">
        <v>8482</v>
      </c>
      <c r="H8485">
        <f t="shared" ca="1" si="127"/>
        <v>-3.9242707957586418E-3</v>
      </c>
    </row>
    <row r="8486" spans="7:8" x14ac:dyDescent="0.3">
      <c r="G8486" s="78">
        <v>8483</v>
      </c>
      <c r="H8486">
        <f t="shared" ca="1" si="127"/>
        <v>7.484116295692231E-3</v>
      </c>
    </row>
    <row r="8487" spans="7:8" x14ac:dyDescent="0.3">
      <c r="G8487" s="78">
        <v>8484</v>
      </c>
      <c r="H8487">
        <f t="shared" ca="1" si="127"/>
        <v>2.0229941292767971E-2</v>
      </c>
    </row>
    <row r="8488" spans="7:8" x14ac:dyDescent="0.3">
      <c r="G8488" s="78">
        <v>8485</v>
      </c>
      <c r="H8488">
        <f t="shared" ca="1" si="127"/>
        <v>-3.1287274509591803E-2</v>
      </c>
    </row>
    <row r="8489" spans="7:8" x14ac:dyDescent="0.3">
      <c r="G8489" s="78">
        <v>8486</v>
      </c>
      <c r="H8489">
        <f t="shared" ca="1" si="127"/>
        <v>-3.7383943204565867E-2</v>
      </c>
    </row>
    <row r="8490" spans="7:8" x14ac:dyDescent="0.3">
      <c r="G8490" s="78">
        <v>8487</v>
      </c>
      <c r="H8490">
        <f t="shared" ca="1" si="127"/>
        <v>-8.3281395650080595E-3</v>
      </c>
    </row>
    <row r="8491" spans="7:8" x14ac:dyDescent="0.3">
      <c r="G8491" s="78">
        <v>8488</v>
      </c>
      <c r="H8491">
        <f t="shared" ca="1" si="127"/>
        <v>-4.6546215748755515E-4</v>
      </c>
    </row>
    <row r="8492" spans="7:8" x14ac:dyDescent="0.3">
      <c r="G8492" s="78">
        <v>8489</v>
      </c>
      <c r="H8492">
        <f t="shared" ca="1" si="127"/>
        <v>3.7355634453897175E-2</v>
      </c>
    </row>
    <row r="8493" spans="7:8" x14ac:dyDescent="0.3">
      <c r="G8493" s="78">
        <v>8490</v>
      </c>
      <c r="H8493">
        <f t="shared" ca="1" si="127"/>
        <v>-2.1570934642918239E-2</v>
      </c>
    </row>
    <row r="8494" spans="7:8" x14ac:dyDescent="0.3">
      <c r="G8494" s="78">
        <v>8491</v>
      </c>
      <c r="H8494">
        <f t="shared" ca="1" si="127"/>
        <v>6.7636968962476503E-3</v>
      </c>
    </row>
    <row r="8495" spans="7:8" x14ac:dyDescent="0.3">
      <c r="G8495" s="78">
        <v>8492</v>
      </c>
      <c r="H8495">
        <f t="shared" ca="1" si="127"/>
        <v>3.5118545769552683E-3</v>
      </c>
    </row>
    <row r="8496" spans="7:8" x14ac:dyDescent="0.3">
      <c r="G8496" s="78">
        <v>8493</v>
      </c>
      <c r="H8496">
        <f t="shared" ca="1" si="127"/>
        <v>-1.9707086787334481E-2</v>
      </c>
    </row>
    <row r="8497" spans="7:8" x14ac:dyDescent="0.3">
      <c r="G8497" s="78">
        <v>8494</v>
      </c>
      <c r="H8497">
        <f t="shared" ca="1" si="127"/>
        <v>1.7805857465420519E-2</v>
      </c>
    </row>
    <row r="8498" spans="7:8" x14ac:dyDescent="0.3">
      <c r="G8498" s="78">
        <v>8495</v>
      </c>
      <c r="H8498">
        <f t="shared" ca="1" si="127"/>
        <v>2.2671293446277132E-2</v>
      </c>
    </row>
    <row r="8499" spans="7:8" x14ac:dyDescent="0.3">
      <c r="G8499" s="78">
        <v>8496</v>
      </c>
      <c r="H8499">
        <f t="shared" ca="1" si="127"/>
        <v>-8.8636235261774256E-3</v>
      </c>
    </row>
    <row r="8500" spans="7:8" x14ac:dyDescent="0.3">
      <c r="G8500" s="78">
        <v>8497</v>
      </c>
      <c r="H8500">
        <f t="shared" ca="1" si="127"/>
        <v>1.0913724904044339E-2</v>
      </c>
    </row>
    <row r="8501" spans="7:8" x14ac:dyDescent="0.3">
      <c r="G8501" s="78">
        <v>8498</v>
      </c>
      <c r="H8501">
        <f t="shared" ca="1" si="127"/>
        <v>1.831055555126678E-5</v>
      </c>
    </row>
    <row r="8502" spans="7:8" x14ac:dyDescent="0.3">
      <c r="G8502" s="78">
        <v>8499</v>
      </c>
      <c r="H8502">
        <f t="shared" ca="1" si="127"/>
        <v>-6.0949580141082182E-3</v>
      </c>
    </row>
    <row r="8503" spans="7:8" x14ac:dyDescent="0.3">
      <c r="G8503" s="78">
        <v>8500</v>
      </c>
      <c r="H8503">
        <f t="shared" ca="1" si="127"/>
        <v>1.3597099491531197E-2</v>
      </c>
    </row>
    <row r="8504" spans="7:8" x14ac:dyDescent="0.3">
      <c r="G8504" s="78">
        <v>8501</v>
      </c>
      <c r="H8504">
        <f t="shared" ca="1" si="127"/>
        <v>-3.4094275309728495E-4</v>
      </c>
    </row>
    <row r="8505" spans="7:8" x14ac:dyDescent="0.3">
      <c r="G8505" s="78">
        <v>8502</v>
      </c>
      <c r="H8505">
        <f t="shared" ca="1" si="127"/>
        <v>9.6419409249306563E-3</v>
      </c>
    </row>
    <row r="8506" spans="7:8" x14ac:dyDescent="0.3">
      <c r="G8506" s="78">
        <v>8503</v>
      </c>
      <c r="H8506">
        <f t="shared" ca="1" si="127"/>
        <v>4.9321182106480937E-3</v>
      </c>
    </row>
    <row r="8507" spans="7:8" x14ac:dyDescent="0.3">
      <c r="G8507" s="78">
        <v>8504</v>
      </c>
      <c r="H8507">
        <f t="shared" ca="1" si="127"/>
        <v>3.7981174204175195E-3</v>
      </c>
    </row>
    <row r="8508" spans="7:8" x14ac:dyDescent="0.3">
      <c r="G8508" s="78">
        <v>8505</v>
      </c>
      <c r="H8508">
        <f t="shared" ca="1" si="127"/>
        <v>3.2470281449733691E-2</v>
      </c>
    </row>
    <row r="8509" spans="7:8" x14ac:dyDescent="0.3">
      <c r="G8509" s="78">
        <v>8506</v>
      </c>
      <c r="H8509">
        <f t="shared" ca="1" si="127"/>
        <v>-2.1400784868203727E-2</v>
      </c>
    </row>
    <row r="8510" spans="7:8" x14ac:dyDescent="0.3">
      <c r="G8510" s="78">
        <v>8507</v>
      </c>
      <c r="H8510">
        <f t="shared" ca="1" si="127"/>
        <v>-3.0216646575049584E-2</v>
      </c>
    </row>
    <row r="8511" spans="7:8" x14ac:dyDescent="0.3">
      <c r="G8511" s="78">
        <v>8508</v>
      </c>
      <c r="H8511">
        <f t="shared" ca="1" si="127"/>
        <v>3.4277493214055613E-2</v>
      </c>
    </row>
    <row r="8512" spans="7:8" x14ac:dyDescent="0.3">
      <c r="G8512" s="78">
        <v>8509</v>
      </c>
      <c r="H8512">
        <f t="shared" ca="1" si="127"/>
        <v>1.0130083139849179E-2</v>
      </c>
    </row>
    <row r="8513" spans="7:8" x14ac:dyDescent="0.3">
      <c r="G8513" s="78">
        <v>8510</v>
      </c>
      <c r="H8513">
        <f t="shared" ca="1" si="127"/>
        <v>1.40813905396572E-2</v>
      </c>
    </row>
    <row r="8514" spans="7:8" x14ac:dyDescent="0.3">
      <c r="G8514" s="78">
        <v>8511</v>
      </c>
      <c r="H8514">
        <f t="shared" ca="1" si="127"/>
        <v>-7.160362107445758E-3</v>
      </c>
    </row>
    <row r="8515" spans="7:8" x14ac:dyDescent="0.3">
      <c r="G8515" s="78">
        <v>8512</v>
      </c>
      <c r="H8515">
        <f t="shared" ca="1" si="127"/>
        <v>-1.7077369056321264E-3</v>
      </c>
    </row>
    <row r="8516" spans="7:8" x14ac:dyDescent="0.3">
      <c r="G8516" s="78">
        <v>8513</v>
      </c>
      <c r="H8516">
        <f t="shared" ref="H8516:H8579" ca="1" si="128">_xlfn.NORM.INV(RAND(),$N$4,$N$5)</f>
        <v>-1.37121804773897E-2</v>
      </c>
    </row>
    <row r="8517" spans="7:8" x14ac:dyDescent="0.3">
      <c r="G8517" s="78">
        <v>8514</v>
      </c>
      <c r="H8517">
        <f t="shared" ca="1" si="128"/>
        <v>4.2439432948726333E-2</v>
      </c>
    </row>
    <row r="8518" spans="7:8" x14ac:dyDescent="0.3">
      <c r="G8518" s="78">
        <v>8515</v>
      </c>
      <c r="H8518">
        <f t="shared" ca="1" si="128"/>
        <v>-1.1226994083806098E-2</v>
      </c>
    </row>
    <row r="8519" spans="7:8" x14ac:dyDescent="0.3">
      <c r="G8519" s="78">
        <v>8516</v>
      </c>
      <c r="H8519">
        <f t="shared" ca="1" si="128"/>
        <v>2.1309871872954083E-3</v>
      </c>
    </row>
    <row r="8520" spans="7:8" x14ac:dyDescent="0.3">
      <c r="G8520" s="78">
        <v>8517</v>
      </c>
      <c r="H8520">
        <f t="shared" ca="1" si="128"/>
        <v>-1.1564597719232371E-2</v>
      </c>
    </row>
    <row r="8521" spans="7:8" x14ac:dyDescent="0.3">
      <c r="G8521" s="78">
        <v>8518</v>
      </c>
      <c r="H8521">
        <f t="shared" ca="1" si="128"/>
        <v>3.9091730886070951E-2</v>
      </c>
    </row>
    <row r="8522" spans="7:8" x14ac:dyDescent="0.3">
      <c r="G8522" s="78">
        <v>8519</v>
      </c>
      <c r="H8522">
        <f t="shared" ca="1" si="128"/>
        <v>-1.6921399416932291E-2</v>
      </c>
    </row>
    <row r="8523" spans="7:8" x14ac:dyDescent="0.3">
      <c r="G8523" s="78">
        <v>8520</v>
      </c>
      <c r="H8523">
        <f t="shared" ca="1" si="128"/>
        <v>-2.7896411265301891E-2</v>
      </c>
    </row>
    <row r="8524" spans="7:8" x14ac:dyDescent="0.3">
      <c r="G8524" s="78">
        <v>8521</v>
      </c>
      <c r="H8524">
        <f t="shared" ca="1" si="128"/>
        <v>-1.3427648347815596E-2</v>
      </c>
    </row>
    <row r="8525" spans="7:8" x14ac:dyDescent="0.3">
      <c r="G8525" s="78">
        <v>8522</v>
      </c>
      <c r="H8525">
        <f t="shared" ca="1" si="128"/>
        <v>4.4149409768108163E-3</v>
      </c>
    </row>
    <row r="8526" spans="7:8" x14ac:dyDescent="0.3">
      <c r="G8526" s="78">
        <v>8523</v>
      </c>
      <c r="H8526">
        <f t="shared" ca="1" si="128"/>
        <v>3.7513683548404293E-2</v>
      </c>
    </row>
    <row r="8527" spans="7:8" x14ac:dyDescent="0.3">
      <c r="G8527" s="78">
        <v>8524</v>
      </c>
      <c r="H8527">
        <f t="shared" ca="1" si="128"/>
        <v>-1.2891566806313029E-2</v>
      </c>
    </row>
    <row r="8528" spans="7:8" x14ac:dyDescent="0.3">
      <c r="G8528" s="78">
        <v>8525</v>
      </c>
      <c r="H8528">
        <f t="shared" ca="1" si="128"/>
        <v>1.0346529787632595E-2</v>
      </c>
    </row>
    <row r="8529" spans="7:8" x14ac:dyDescent="0.3">
      <c r="G8529" s="78">
        <v>8526</v>
      </c>
      <c r="H8529">
        <f t="shared" ca="1" si="128"/>
        <v>-1.3197160035288653E-2</v>
      </c>
    </row>
    <row r="8530" spans="7:8" x14ac:dyDescent="0.3">
      <c r="G8530" s="78">
        <v>8527</v>
      </c>
      <c r="H8530">
        <f t="shared" ca="1" si="128"/>
        <v>-6.1674227163987507E-3</v>
      </c>
    </row>
    <row r="8531" spans="7:8" x14ac:dyDescent="0.3">
      <c r="G8531" s="78">
        <v>8528</v>
      </c>
      <c r="H8531">
        <f t="shared" ca="1" si="128"/>
        <v>-1.377180698787283E-2</v>
      </c>
    </row>
    <row r="8532" spans="7:8" x14ac:dyDescent="0.3">
      <c r="G8532" s="78">
        <v>8529</v>
      </c>
      <c r="H8532">
        <f t="shared" ca="1" si="128"/>
        <v>6.1699622538953745E-3</v>
      </c>
    </row>
    <row r="8533" spans="7:8" x14ac:dyDescent="0.3">
      <c r="G8533" s="78">
        <v>8530</v>
      </c>
      <c r="H8533">
        <f t="shared" ca="1" si="128"/>
        <v>1.4681977959387376E-2</v>
      </c>
    </row>
    <row r="8534" spans="7:8" x14ac:dyDescent="0.3">
      <c r="G8534" s="78">
        <v>8531</v>
      </c>
      <c r="H8534">
        <f t="shared" ca="1" si="128"/>
        <v>-4.9357123595716737E-3</v>
      </c>
    </row>
    <row r="8535" spans="7:8" x14ac:dyDescent="0.3">
      <c r="G8535" s="78">
        <v>8532</v>
      </c>
      <c r="H8535">
        <f t="shared" ca="1" si="128"/>
        <v>-1.4093146685458168E-2</v>
      </c>
    </row>
    <row r="8536" spans="7:8" x14ac:dyDescent="0.3">
      <c r="G8536" s="78">
        <v>8533</v>
      </c>
      <c r="H8536">
        <f t="shared" ca="1" si="128"/>
        <v>1.118646061211071E-2</v>
      </c>
    </row>
    <row r="8537" spans="7:8" x14ac:dyDescent="0.3">
      <c r="G8537" s="78">
        <v>8534</v>
      </c>
      <c r="H8537">
        <f t="shared" ca="1" si="128"/>
        <v>5.7537637237236473E-3</v>
      </c>
    </row>
    <row r="8538" spans="7:8" x14ac:dyDescent="0.3">
      <c r="G8538" s="78">
        <v>8535</v>
      </c>
      <c r="H8538">
        <f t="shared" ca="1" si="128"/>
        <v>-6.5221185936242604E-3</v>
      </c>
    </row>
    <row r="8539" spans="7:8" x14ac:dyDescent="0.3">
      <c r="G8539" s="78">
        <v>8536</v>
      </c>
      <c r="H8539">
        <f t="shared" ca="1" si="128"/>
        <v>7.0599311268804846E-3</v>
      </c>
    </row>
    <row r="8540" spans="7:8" x14ac:dyDescent="0.3">
      <c r="G8540" s="78">
        <v>8537</v>
      </c>
      <c r="H8540">
        <f t="shared" ca="1" si="128"/>
        <v>8.0003311491985297E-3</v>
      </c>
    </row>
    <row r="8541" spans="7:8" x14ac:dyDescent="0.3">
      <c r="G8541" s="78">
        <v>8538</v>
      </c>
      <c r="H8541">
        <f t="shared" ca="1" si="128"/>
        <v>1.466440002821863E-2</v>
      </c>
    </row>
    <row r="8542" spans="7:8" x14ac:dyDescent="0.3">
      <c r="G8542" s="78">
        <v>8539</v>
      </c>
      <c r="H8542">
        <f t="shared" ca="1" si="128"/>
        <v>-2.2718340004114018E-2</v>
      </c>
    </row>
    <row r="8543" spans="7:8" x14ac:dyDescent="0.3">
      <c r="G8543" s="78">
        <v>8540</v>
      </c>
      <c r="H8543">
        <f t="shared" ca="1" si="128"/>
        <v>1.0699601590306335E-2</v>
      </c>
    </row>
    <row r="8544" spans="7:8" x14ac:dyDescent="0.3">
      <c r="G8544" s="78">
        <v>8541</v>
      </c>
      <c r="H8544">
        <f t="shared" ca="1" si="128"/>
        <v>1.3239082733916847E-2</v>
      </c>
    </row>
    <row r="8545" spans="7:8" x14ac:dyDescent="0.3">
      <c r="G8545" s="78">
        <v>8542</v>
      </c>
      <c r="H8545">
        <f t="shared" ca="1" si="128"/>
        <v>-8.522076083014642E-3</v>
      </c>
    </row>
    <row r="8546" spans="7:8" x14ac:dyDescent="0.3">
      <c r="G8546" s="78">
        <v>8543</v>
      </c>
      <c r="H8546">
        <f t="shared" ca="1" si="128"/>
        <v>1.4327210055968247E-2</v>
      </c>
    </row>
    <row r="8547" spans="7:8" x14ac:dyDescent="0.3">
      <c r="G8547" s="78">
        <v>8544</v>
      </c>
      <c r="H8547">
        <f t="shared" ca="1" si="128"/>
        <v>2.8204465043992929E-2</v>
      </c>
    </row>
    <row r="8548" spans="7:8" x14ac:dyDescent="0.3">
      <c r="G8548" s="78">
        <v>8545</v>
      </c>
      <c r="H8548">
        <f t="shared" ca="1" si="128"/>
        <v>2.9164277338584853E-2</v>
      </c>
    </row>
    <row r="8549" spans="7:8" x14ac:dyDescent="0.3">
      <c r="G8549" s="78">
        <v>8546</v>
      </c>
      <c r="H8549">
        <f t="shared" ca="1" si="128"/>
        <v>-1.0624644019276968E-2</v>
      </c>
    </row>
    <row r="8550" spans="7:8" x14ac:dyDescent="0.3">
      <c r="G8550" s="78">
        <v>8547</v>
      </c>
      <c r="H8550">
        <f t="shared" ca="1" si="128"/>
        <v>3.3451916673314354E-2</v>
      </c>
    </row>
    <row r="8551" spans="7:8" x14ac:dyDescent="0.3">
      <c r="G8551" s="78">
        <v>8548</v>
      </c>
      <c r="H8551">
        <f t="shared" ca="1" si="128"/>
        <v>2.1424665957521877E-2</v>
      </c>
    </row>
    <row r="8552" spans="7:8" x14ac:dyDescent="0.3">
      <c r="G8552" s="78">
        <v>8549</v>
      </c>
      <c r="H8552">
        <f t="shared" ca="1" si="128"/>
        <v>4.8546045866831493E-3</v>
      </c>
    </row>
    <row r="8553" spans="7:8" x14ac:dyDescent="0.3">
      <c r="G8553" s="78">
        <v>8550</v>
      </c>
      <c r="H8553">
        <f t="shared" ca="1" si="128"/>
        <v>9.4515574324283678E-4</v>
      </c>
    </row>
    <row r="8554" spans="7:8" x14ac:dyDescent="0.3">
      <c r="G8554" s="78">
        <v>8551</v>
      </c>
      <c r="H8554">
        <f t="shared" ca="1" si="128"/>
        <v>-6.2138196870898848E-3</v>
      </c>
    </row>
    <row r="8555" spans="7:8" x14ac:dyDescent="0.3">
      <c r="G8555" s="78">
        <v>8552</v>
      </c>
      <c r="H8555">
        <f t="shared" ca="1" si="128"/>
        <v>1.369013112809752E-2</v>
      </c>
    </row>
    <row r="8556" spans="7:8" x14ac:dyDescent="0.3">
      <c r="G8556" s="78">
        <v>8553</v>
      </c>
      <c r="H8556">
        <f t="shared" ca="1" si="128"/>
        <v>-8.1716615728215213E-3</v>
      </c>
    </row>
    <row r="8557" spans="7:8" x14ac:dyDescent="0.3">
      <c r="G8557" s="78">
        <v>8554</v>
      </c>
      <c r="H8557">
        <f t="shared" ca="1" si="128"/>
        <v>1.8253569803139205E-2</v>
      </c>
    </row>
    <row r="8558" spans="7:8" x14ac:dyDescent="0.3">
      <c r="G8558" s="78">
        <v>8555</v>
      </c>
      <c r="H8558">
        <f t="shared" ca="1" si="128"/>
        <v>5.4756802042556736E-2</v>
      </c>
    </row>
    <row r="8559" spans="7:8" x14ac:dyDescent="0.3">
      <c r="G8559" s="78">
        <v>8556</v>
      </c>
      <c r="H8559">
        <f t="shared" ca="1" si="128"/>
        <v>1.717221596635736E-2</v>
      </c>
    </row>
    <row r="8560" spans="7:8" x14ac:dyDescent="0.3">
      <c r="G8560" s="78">
        <v>8557</v>
      </c>
      <c r="H8560">
        <f t="shared" ca="1" si="128"/>
        <v>2.7168931874371961E-2</v>
      </c>
    </row>
    <row r="8561" spans="7:8" x14ac:dyDescent="0.3">
      <c r="G8561" s="78">
        <v>8558</v>
      </c>
      <c r="H8561">
        <f t="shared" ca="1" si="128"/>
        <v>-4.9044347652440869E-3</v>
      </c>
    </row>
    <row r="8562" spans="7:8" x14ac:dyDescent="0.3">
      <c r="G8562" s="78">
        <v>8559</v>
      </c>
      <c r="H8562">
        <f t="shared" ca="1" si="128"/>
        <v>6.4293997316915196E-3</v>
      </c>
    </row>
    <row r="8563" spans="7:8" x14ac:dyDescent="0.3">
      <c r="G8563" s="78">
        <v>8560</v>
      </c>
      <c r="H8563">
        <f t="shared" ca="1" si="128"/>
        <v>-2.1562931707205732E-3</v>
      </c>
    </row>
    <row r="8564" spans="7:8" x14ac:dyDescent="0.3">
      <c r="G8564" s="78">
        <v>8561</v>
      </c>
      <c r="H8564">
        <f t="shared" ca="1" si="128"/>
        <v>-9.572595226755588E-3</v>
      </c>
    </row>
    <row r="8565" spans="7:8" x14ac:dyDescent="0.3">
      <c r="G8565" s="78">
        <v>8562</v>
      </c>
      <c r="H8565">
        <f t="shared" ca="1" si="128"/>
        <v>1.6907787963660832E-2</v>
      </c>
    </row>
    <row r="8566" spans="7:8" x14ac:dyDescent="0.3">
      <c r="G8566" s="78">
        <v>8563</v>
      </c>
      <c r="H8566">
        <f t="shared" ca="1" si="128"/>
        <v>8.9406716957591541E-3</v>
      </c>
    </row>
    <row r="8567" spans="7:8" x14ac:dyDescent="0.3">
      <c r="G8567" s="78">
        <v>8564</v>
      </c>
      <c r="H8567">
        <f t="shared" ca="1" si="128"/>
        <v>8.8530252399643388E-3</v>
      </c>
    </row>
    <row r="8568" spans="7:8" x14ac:dyDescent="0.3">
      <c r="G8568" s="78">
        <v>8565</v>
      </c>
      <c r="H8568">
        <f t="shared" ca="1" si="128"/>
        <v>-2.1486165749784233E-2</v>
      </c>
    </row>
    <row r="8569" spans="7:8" x14ac:dyDescent="0.3">
      <c r="G8569" s="78">
        <v>8566</v>
      </c>
      <c r="H8569">
        <f t="shared" ca="1" si="128"/>
        <v>-1.4428106820347451E-2</v>
      </c>
    </row>
    <row r="8570" spans="7:8" x14ac:dyDescent="0.3">
      <c r="G8570" s="78">
        <v>8567</v>
      </c>
      <c r="H8570">
        <f t="shared" ca="1" si="128"/>
        <v>3.8185662415504327E-4</v>
      </c>
    </row>
    <row r="8571" spans="7:8" x14ac:dyDescent="0.3">
      <c r="G8571" s="78">
        <v>8568</v>
      </c>
      <c r="H8571">
        <f t="shared" ca="1" si="128"/>
        <v>2.6125957895562931E-2</v>
      </c>
    </row>
    <row r="8572" spans="7:8" x14ac:dyDescent="0.3">
      <c r="G8572" s="78">
        <v>8569</v>
      </c>
      <c r="H8572">
        <f t="shared" ca="1" si="128"/>
        <v>-8.9558863201720899E-3</v>
      </c>
    </row>
    <row r="8573" spans="7:8" x14ac:dyDescent="0.3">
      <c r="G8573" s="78">
        <v>8570</v>
      </c>
      <c r="H8573">
        <f t="shared" ca="1" si="128"/>
        <v>2.1998592915847829E-2</v>
      </c>
    </row>
    <row r="8574" spans="7:8" x14ac:dyDescent="0.3">
      <c r="G8574" s="78">
        <v>8571</v>
      </c>
      <c r="H8574">
        <f t="shared" ca="1" si="128"/>
        <v>-1.0225717507296632E-2</v>
      </c>
    </row>
    <row r="8575" spans="7:8" x14ac:dyDescent="0.3">
      <c r="G8575" s="78">
        <v>8572</v>
      </c>
      <c r="H8575">
        <f t="shared" ca="1" si="128"/>
        <v>-4.9311880961287026E-3</v>
      </c>
    </row>
    <row r="8576" spans="7:8" x14ac:dyDescent="0.3">
      <c r="G8576" s="78">
        <v>8573</v>
      </c>
      <c r="H8576">
        <f t="shared" ca="1" si="128"/>
        <v>-3.3859532250112255E-2</v>
      </c>
    </row>
    <row r="8577" spans="7:8" x14ac:dyDescent="0.3">
      <c r="G8577" s="78">
        <v>8574</v>
      </c>
      <c r="H8577">
        <f t="shared" ca="1" si="128"/>
        <v>-4.8701264679477047E-3</v>
      </c>
    </row>
    <row r="8578" spans="7:8" x14ac:dyDescent="0.3">
      <c r="G8578" s="78">
        <v>8575</v>
      </c>
      <c r="H8578">
        <f t="shared" ca="1" si="128"/>
        <v>3.9149142852781982E-2</v>
      </c>
    </row>
    <row r="8579" spans="7:8" x14ac:dyDescent="0.3">
      <c r="G8579" s="78">
        <v>8576</v>
      </c>
      <c r="H8579">
        <f t="shared" ca="1" si="128"/>
        <v>3.487763617818828E-2</v>
      </c>
    </row>
    <row r="8580" spans="7:8" x14ac:dyDescent="0.3">
      <c r="G8580" s="78">
        <v>8577</v>
      </c>
      <c r="H8580">
        <f t="shared" ref="H8580:H8643" ca="1" si="129">_xlfn.NORM.INV(RAND(),$N$4,$N$5)</f>
        <v>-5.5214748107564882E-3</v>
      </c>
    </row>
    <row r="8581" spans="7:8" x14ac:dyDescent="0.3">
      <c r="G8581" s="78">
        <v>8578</v>
      </c>
      <c r="H8581">
        <f t="shared" ca="1" si="129"/>
        <v>-8.4331385744637229E-3</v>
      </c>
    </row>
    <row r="8582" spans="7:8" x14ac:dyDescent="0.3">
      <c r="G8582" s="78">
        <v>8579</v>
      </c>
      <c r="H8582">
        <f t="shared" ca="1" si="129"/>
        <v>1.6992928449174566E-2</v>
      </c>
    </row>
    <row r="8583" spans="7:8" x14ac:dyDescent="0.3">
      <c r="G8583" s="78">
        <v>8580</v>
      </c>
      <c r="H8583">
        <f t="shared" ca="1" si="129"/>
        <v>7.5377970179149817E-4</v>
      </c>
    </row>
    <row r="8584" spans="7:8" x14ac:dyDescent="0.3">
      <c r="G8584" s="78">
        <v>8581</v>
      </c>
      <c r="H8584">
        <f t="shared" ca="1" si="129"/>
        <v>9.4355577680973E-3</v>
      </c>
    </row>
    <row r="8585" spans="7:8" x14ac:dyDescent="0.3">
      <c r="G8585" s="78">
        <v>8582</v>
      </c>
      <c r="H8585">
        <f t="shared" ca="1" si="129"/>
        <v>4.4587412691824884E-3</v>
      </c>
    </row>
    <row r="8586" spans="7:8" x14ac:dyDescent="0.3">
      <c r="G8586" s="78">
        <v>8583</v>
      </c>
      <c r="H8586">
        <f t="shared" ca="1" si="129"/>
        <v>1.4344678489169828E-2</v>
      </c>
    </row>
    <row r="8587" spans="7:8" x14ac:dyDescent="0.3">
      <c r="G8587" s="78">
        <v>8584</v>
      </c>
      <c r="H8587">
        <f t="shared" ca="1" si="129"/>
        <v>1.2958603593173934E-2</v>
      </c>
    </row>
    <row r="8588" spans="7:8" x14ac:dyDescent="0.3">
      <c r="G8588" s="78">
        <v>8585</v>
      </c>
      <c r="H8588">
        <f t="shared" ca="1" si="129"/>
        <v>1.2958602973789809E-2</v>
      </c>
    </row>
    <row r="8589" spans="7:8" x14ac:dyDescent="0.3">
      <c r="G8589" s="78">
        <v>8586</v>
      </c>
      <c r="H8589">
        <f t="shared" ca="1" si="129"/>
        <v>6.6147132993332487E-4</v>
      </c>
    </row>
    <row r="8590" spans="7:8" x14ac:dyDescent="0.3">
      <c r="G8590" s="78">
        <v>8587</v>
      </c>
      <c r="H8590">
        <f t="shared" ca="1" si="129"/>
        <v>-3.2494451928934014E-2</v>
      </c>
    </row>
    <row r="8591" spans="7:8" x14ac:dyDescent="0.3">
      <c r="G8591" s="78">
        <v>8588</v>
      </c>
      <c r="H8591">
        <f t="shared" ca="1" si="129"/>
        <v>2.7594557329433493E-2</v>
      </c>
    </row>
    <row r="8592" spans="7:8" x14ac:dyDescent="0.3">
      <c r="G8592" s="78">
        <v>8589</v>
      </c>
      <c r="H8592">
        <f t="shared" ca="1" si="129"/>
        <v>-1.8799198489245206E-3</v>
      </c>
    </row>
    <row r="8593" spans="7:8" x14ac:dyDescent="0.3">
      <c r="G8593" s="78">
        <v>8590</v>
      </c>
      <c r="H8593">
        <f t="shared" ca="1" si="129"/>
        <v>9.187856770847708E-3</v>
      </c>
    </row>
    <row r="8594" spans="7:8" x14ac:dyDescent="0.3">
      <c r="G8594" s="78">
        <v>8591</v>
      </c>
      <c r="H8594">
        <f t="shared" ca="1" si="129"/>
        <v>3.5643819834417785E-2</v>
      </c>
    </row>
    <row r="8595" spans="7:8" x14ac:dyDescent="0.3">
      <c r="G8595" s="78">
        <v>8592</v>
      </c>
      <c r="H8595">
        <f t="shared" ca="1" si="129"/>
        <v>3.891508842082547E-3</v>
      </c>
    </row>
    <row r="8596" spans="7:8" x14ac:dyDescent="0.3">
      <c r="G8596" s="78">
        <v>8593</v>
      </c>
      <c r="H8596">
        <f t="shared" ca="1" si="129"/>
        <v>3.2771619797933103E-2</v>
      </c>
    </row>
    <row r="8597" spans="7:8" x14ac:dyDescent="0.3">
      <c r="G8597" s="78">
        <v>8594</v>
      </c>
      <c r="H8597">
        <f t="shared" ca="1" si="129"/>
        <v>-1.9707715081516929E-2</v>
      </c>
    </row>
    <row r="8598" spans="7:8" x14ac:dyDescent="0.3">
      <c r="G8598" s="78">
        <v>8595</v>
      </c>
      <c r="H8598">
        <f t="shared" ca="1" si="129"/>
        <v>1.1151286900122199E-2</v>
      </c>
    </row>
    <row r="8599" spans="7:8" x14ac:dyDescent="0.3">
      <c r="G8599" s="78">
        <v>8596</v>
      </c>
      <c r="H8599">
        <f t="shared" ca="1" si="129"/>
        <v>-1.2576943485193105E-2</v>
      </c>
    </row>
    <row r="8600" spans="7:8" x14ac:dyDescent="0.3">
      <c r="G8600" s="78">
        <v>8597</v>
      </c>
      <c r="H8600">
        <f t="shared" ca="1" si="129"/>
        <v>1.6985295456904487E-2</v>
      </c>
    </row>
    <row r="8601" spans="7:8" x14ac:dyDescent="0.3">
      <c r="G8601" s="78">
        <v>8598</v>
      </c>
      <c r="H8601">
        <f t="shared" ca="1" si="129"/>
        <v>1.4404259822739789E-2</v>
      </c>
    </row>
    <row r="8602" spans="7:8" x14ac:dyDescent="0.3">
      <c r="G8602" s="78">
        <v>8599</v>
      </c>
      <c r="H8602">
        <f t="shared" ca="1" si="129"/>
        <v>8.4086396409183868E-3</v>
      </c>
    </row>
    <row r="8603" spans="7:8" x14ac:dyDescent="0.3">
      <c r="G8603" s="78">
        <v>8600</v>
      </c>
      <c r="H8603">
        <f t="shared" ca="1" si="129"/>
        <v>-6.3221446074723476E-3</v>
      </c>
    </row>
    <row r="8604" spans="7:8" x14ac:dyDescent="0.3">
      <c r="G8604" s="78">
        <v>8601</v>
      </c>
      <c r="H8604">
        <f t="shared" ca="1" si="129"/>
        <v>-1.1748971547637327E-2</v>
      </c>
    </row>
    <row r="8605" spans="7:8" x14ac:dyDescent="0.3">
      <c r="G8605" s="78">
        <v>8602</v>
      </c>
      <c r="H8605">
        <f t="shared" ca="1" si="129"/>
        <v>4.1116993164021336E-3</v>
      </c>
    </row>
    <row r="8606" spans="7:8" x14ac:dyDescent="0.3">
      <c r="G8606" s="78">
        <v>8603</v>
      </c>
      <c r="H8606">
        <f t="shared" ca="1" si="129"/>
        <v>-2.9824695134594978E-5</v>
      </c>
    </row>
    <row r="8607" spans="7:8" x14ac:dyDescent="0.3">
      <c r="G8607" s="78">
        <v>8604</v>
      </c>
      <c r="H8607">
        <f t="shared" ca="1" si="129"/>
        <v>-5.9822661177369668E-3</v>
      </c>
    </row>
    <row r="8608" spans="7:8" x14ac:dyDescent="0.3">
      <c r="G8608" s="78">
        <v>8605</v>
      </c>
      <c r="H8608">
        <f t="shared" ca="1" si="129"/>
        <v>9.35209613371649E-3</v>
      </c>
    </row>
    <row r="8609" spans="7:8" x14ac:dyDescent="0.3">
      <c r="G8609" s="78">
        <v>8606</v>
      </c>
      <c r="H8609">
        <f t="shared" ca="1" si="129"/>
        <v>2.7740744044525957E-2</v>
      </c>
    </row>
    <row r="8610" spans="7:8" x14ac:dyDescent="0.3">
      <c r="G8610" s="78">
        <v>8607</v>
      </c>
      <c r="H8610">
        <f t="shared" ca="1" si="129"/>
        <v>-2.2577675043904686E-3</v>
      </c>
    </row>
    <row r="8611" spans="7:8" x14ac:dyDescent="0.3">
      <c r="G8611" s="78">
        <v>8608</v>
      </c>
      <c r="H8611">
        <f t="shared" ca="1" si="129"/>
        <v>-6.2788163027749167E-3</v>
      </c>
    </row>
    <row r="8612" spans="7:8" x14ac:dyDescent="0.3">
      <c r="G8612" s="78">
        <v>8609</v>
      </c>
      <c r="H8612">
        <f t="shared" ca="1" si="129"/>
        <v>8.4801427116588581E-3</v>
      </c>
    </row>
    <row r="8613" spans="7:8" x14ac:dyDescent="0.3">
      <c r="G8613" s="78">
        <v>8610</v>
      </c>
      <c r="H8613">
        <f t="shared" ca="1" si="129"/>
        <v>-2.016812037728594E-2</v>
      </c>
    </row>
    <row r="8614" spans="7:8" x14ac:dyDescent="0.3">
      <c r="G8614" s="78">
        <v>8611</v>
      </c>
      <c r="H8614">
        <f t="shared" ca="1" si="129"/>
        <v>1.857546798671084E-2</v>
      </c>
    </row>
    <row r="8615" spans="7:8" x14ac:dyDescent="0.3">
      <c r="G8615" s="78">
        <v>8612</v>
      </c>
      <c r="H8615">
        <f t="shared" ca="1" si="129"/>
        <v>-2.9548743571256603E-2</v>
      </c>
    </row>
    <row r="8616" spans="7:8" x14ac:dyDescent="0.3">
      <c r="G8616" s="78">
        <v>8613</v>
      </c>
      <c r="H8616">
        <f t="shared" ca="1" si="129"/>
        <v>8.1823389435596548E-3</v>
      </c>
    </row>
    <row r="8617" spans="7:8" x14ac:dyDescent="0.3">
      <c r="G8617" s="78">
        <v>8614</v>
      </c>
      <c r="H8617">
        <f t="shared" ca="1" si="129"/>
        <v>-1.4777339400592384E-2</v>
      </c>
    </row>
    <row r="8618" spans="7:8" x14ac:dyDescent="0.3">
      <c r="G8618" s="78">
        <v>8615</v>
      </c>
      <c r="H8618">
        <f t="shared" ca="1" si="129"/>
        <v>-3.6872702151679506E-3</v>
      </c>
    </row>
    <row r="8619" spans="7:8" x14ac:dyDescent="0.3">
      <c r="G8619" s="78">
        <v>8616</v>
      </c>
      <c r="H8619">
        <f t="shared" ca="1" si="129"/>
        <v>2.95239803255605E-2</v>
      </c>
    </row>
    <row r="8620" spans="7:8" x14ac:dyDescent="0.3">
      <c r="G8620" s="78">
        <v>8617</v>
      </c>
      <c r="H8620">
        <f t="shared" ca="1" si="129"/>
        <v>9.6817646238051957E-3</v>
      </c>
    </row>
    <row r="8621" spans="7:8" x14ac:dyDescent="0.3">
      <c r="G8621" s="78">
        <v>8618</v>
      </c>
      <c r="H8621">
        <f t="shared" ca="1" si="129"/>
        <v>-1.6717333119289787E-2</v>
      </c>
    </row>
    <row r="8622" spans="7:8" x14ac:dyDescent="0.3">
      <c r="G8622" s="78">
        <v>8619</v>
      </c>
      <c r="H8622">
        <f t="shared" ca="1" si="129"/>
        <v>-1.0397694179733019E-2</v>
      </c>
    </row>
    <row r="8623" spans="7:8" x14ac:dyDescent="0.3">
      <c r="G8623" s="78">
        <v>8620</v>
      </c>
      <c r="H8623">
        <f t="shared" ca="1" si="129"/>
        <v>-1.4040529820840631E-2</v>
      </c>
    </row>
    <row r="8624" spans="7:8" x14ac:dyDescent="0.3">
      <c r="G8624" s="78">
        <v>8621</v>
      </c>
      <c r="H8624">
        <f t="shared" ca="1" si="129"/>
        <v>-9.8726128997250612E-3</v>
      </c>
    </row>
    <row r="8625" spans="7:8" x14ac:dyDescent="0.3">
      <c r="G8625" s="78">
        <v>8622</v>
      </c>
      <c r="H8625">
        <f t="shared" ca="1" si="129"/>
        <v>2.3911370066846727E-2</v>
      </c>
    </row>
    <row r="8626" spans="7:8" x14ac:dyDescent="0.3">
      <c r="G8626" s="78">
        <v>8623</v>
      </c>
      <c r="H8626">
        <f t="shared" ca="1" si="129"/>
        <v>-4.3489350345570542E-3</v>
      </c>
    </row>
    <row r="8627" spans="7:8" x14ac:dyDescent="0.3">
      <c r="G8627" s="78">
        <v>8624</v>
      </c>
      <c r="H8627">
        <f t="shared" ca="1" si="129"/>
        <v>1.4616334011898434E-3</v>
      </c>
    </row>
    <row r="8628" spans="7:8" x14ac:dyDescent="0.3">
      <c r="G8628" s="78">
        <v>8625</v>
      </c>
      <c r="H8628">
        <f t="shared" ca="1" si="129"/>
        <v>-2.9265845670175379E-2</v>
      </c>
    </row>
    <row r="8629" spans="7:8" x14ac:dyDescent="0.3">
      <c r="G8629" s="78">
        <v>8626</v>
      </c>
      <c r="H8629">
        <f t="shared" ca="1" si="129"/>
        <v>-1.3241091696056424E-4</v>
      </c>
    </row>
    <row r="8630" spans="7:8" x14ac:dyDescent="0.3">
      <c r="G8630" s="78">
        <v>8627</v>
      </c>
      <c r="H8630">
        <f t="shared" ca="1" si="129"/>
        <v>6.0194473622074125E-4</v>
      </c>
    </row>
    <row r="8631" spans="7:8" x14ac:dyDescent="0.3">
      <c r="G8631" s="78">
        <v>8628</v>
      </c>
      <c r="H8631">
        <f t="shared" ca="1" si="129"/>
        <v>-5.9701482982046244E-4</v>
      </c>
    </row>
    <row r="8632" spans="7:8" x14ac:dyDescent="0.3">
      <c r="G8632" s="78">
        <v>8629</v>
      </c>
      <c r="H8632">
        <f t="shared" ca="1" si="129"/>
        <v>4.4905733969598585E-2</v>
      </c>
    </row>
    <row r="8633" spans="7:8" x14ac:dyDescent="0.3">
      <c r="G8633" s="78">
        <v>8630</v>
      </c>
      <c r="H8633">
        <f t="shared" ca="1" si="129"/>
        <v>-5.6617225754554655E-3</v>
      </c>
    </row>
    <row r="8634" spans="7:8" x14ac:dyDescent="0.3">
      <c r="G8634" s="78">
        <v>8631</v>
      </c>
      <c r="H8634">
        <f t="shared" ca="1" si="129"/>
        <v>1.0625426976316587E-2</v>
      </c>
    </row>
    <row r="8635" spans="7:8" x14ac:dyDescent="0.3">
      <c r="G8635" s="78">
        <v>8632</v>
      </c>
      <c r="H8635">
        <f t="shared" ca="1" si="129"/>
        <v>9.7549443473212479E-3</v>
      </c>
    </row>
    <row r="8636" spans="7:8" x14ac:dyDescent="0.3">
      <c r="G8636" s="78">
        <v>8633</v>
      </c>
      <c r="H8636">
        <f t="shared" ca="1" si="129"/>
        <v>-3.3538616451708335E-4</v>
      </c>
    </row>
    <row r="8637" spans="7:8" x14ac:dyDescent="0.3">
      <c r="G8637" s="78">
        <v>8634</v>
      </c>
      <c r="H8637">
        <f t="shared" ca="1" si="129"/>
        <v>-1.7575544861712963E-2</v>
      </c>
    </row>
    <row r="8638" spans="7:8" x14ac:dyDescent="0.3">
      <c r="G8638" s="78">
        <v>8635</v>
      </c>
      <c r="H8638">
        <f t="shared" ca="1" si="129"/>
        <v>-1.0866245786473408E-3</v>
      </c>
    </row>
    <row r="8639" spans="7:8" x14ac:dyDescent="0.3">
      <c r="G8639" s="78">
        <v>8636</v>
      </c>
      <c r="H8639">
        <f t="shared" ca="1" si="129"/>
        <v>1.3255462046516314E-2</v>
      </c>
    </row>
    <row r="8640" spans="7:8" x14ac:dyDescent="0.3">
      <c r="G8640" s="78">
        <v>8637</v>
      </c>
      <c r="H8640">
        <f t="shared" ca="1" si="129"/>
        <v>3.4009181674547563E-2</v>
      </c>
    </row>
    <row r="8641" spans="7:8" x14ac:dyDescent="0.3">
      <c r="G8641" s="78">
        <v>8638</v>
      </c>
      <c r="H8641">
        <f t="shared" ca="1" si="129"/>
        <v>6.9904827611308919E-3</v>
      </c>
    </row>
    <row r="8642" spans="7:8" x14ac:dyDescent="0.3">
      <c r="G8642" s="78">
        <v>8639</v>
      </c>
      <c r="H8642">
        <f t="shared" ca="1" si="129"/>
        <v>-2.0850341464368717E-3</v>
      </c>
    </row>
    <row r="8643" spans="7:8" x14ac:dyDescent="0.3">
      <c r="G8643" s="78">
        <v>8640</v>
      </c>
      <c r="H8643">
        <f t="shared" ca="1" si="129"/>
        <v>-8.3849548879327395E-3</v>
      </c>
    </row>
    <row r="8644" spans="7:8" x14ac:dyDescent="0.3">
      <c r="G8644" s="78">
        <v>8641</v>
      </c>
      <c r="H8644">
        <f t="shared" ref="H8644:H8707" ca="1" si="130">_xlfn.NORM.INV(RAND(),$N$4,$N$5)</f>
        <v>-2.5564219694367347E-2</v>
      </c>
    </row>
    <row r="8645" spans="7:8" x14ac:dyDescent="0.3">
      <c r="G8645" s="78">
        <v>8642</v>
      </c>
      <c r="H8645">
        <f t="shared" ca="1" si="130"/>
        <v>1.6027698549312595E-2</v>
      </c>
    </row>
    <row r="8646" spans="7:8" x14ac:dyDescent="0.3">
      <c r="G8646" s="78">
        <v>8643</v>
      </c>
      <c r="H8646">
        <f t="shared" ca="1" si="130"/>
        <v>7.5409728553706866E-3</v>
      </c>
    </row>
    <row r="8647" spans="7:8" x14ac:dyDescent="0.3">
      <c r="G8647" s="78">
        <v>8644</v>
      </c>
      <c r="H8647">
        <f t="shared" ca="1" si="130"/>
        <v>2.1804207718875133E-3</v>
      </c>
    </row>
    <row r="8648" spans="7:8" x14ac:dyDescent="0.3">
      <c r="G8648" s="78">
        <v>8645</v>
      </c>
      <c r="H8648">
        <f t="shared" ca="1" si="130"/>
        <v>2.2881278576562081E-2</v>
      </c>
    </row>
    <row r="8649" spans="7:8" x14ac:dyDescent="0.3">
      <c r="G8649" s="78">
        <v>8646</v>
      </c>
      <c r="H8649">
        <f t="shared" ca="1" si="130"/>
        <v>1.8742349832937693E-2</v>
      </c>
    </row>
    <row r="8650" spans="7:8" x14ac:dyDescent="0.3">
      <c r="G8650" s="78">
        <v>8647</v>
      </c>
      <c r="H8650">
        <f t="shared" ca="1" si="130"/>
        <v>2.3499175095899483E-2</v>
      </c>
    </row>
    <row r="8651" spans="7:8" x14ac:dyDescent="0.3">
      <c r="G8651" s="78">
        <v>8648</v>
      </c>
      <c r="H8651">
        <f t="shared" ca="1" si="130"/>
        <v>-1.1149273596280833E-2</v>
      </c>
    </row>
    <row r="8652" spans="7:8" x14ac:dyDescent="0.3">
      <c r="G8652" s="78">
        <v>8649</v>
      </c>
      <c r="H8652">
        <f t="shared" ca="1" si="130"/>
        <v>-2.3880488396047683E-2</v>
      </c>
    </row>
    <row r="8653" spans="7:8" x14ac:dyDescent="0.3">
      <c r="G8653" s="78">
        <v>8650</v>
      </c>
      <c r="H8653">
        <f t="shared" ca="1" si="130"/>
        <v>2.7794022049341185E-3</v>
      </c>
    </row>
    <row r="8654" spans="7:8" x14ac:dyDescent="0.3">
      <c r="G8654" s="78">
        <v>8651</v>
      </c>
      <c r="H8654">
        <f t="shared" ca="1" si="130"/>
        <v>-1.7427359796736003E-2</v>
      </c>
    </row>
    <row r="8655" spans="7:8" x14ac:dyDescent="0.3">
      <c r="G8655" s="78">
        <v>8652</v>
      </c>
      <c r="H8655">
        <f t="shared" ca="1" si="130"/>
        <v>-1.2260475258189752E-2</v>
      </c>
    </row>
    <row r="8656" spans="7:8" x14ac:dyDescent="0.3">
      <c r="G8656" s="78">
        <v>8653</v>
      </c>
      <c r="H8656">
        <f t="shared" ca="1" si="130"/>
        <v>3.0406239688299423E-2</v>
      </c>
    </row>
    <row r="8657" spans="7:8" x14ac:dyDescent="0.3">
      <c r="G8657" s="78">
        <v>8654</v>
      </c>
      <c r="H8657">
        <f t="shared" ca="1" si="130"/>
        <v>1.1468851687534361E-2</v>
      </c>
    </row>
    <row r="8658" spans="7:8" x14ac:dyDescent="0.3">
      <c r="G8658" s="78">
        <v>8655</v>
      </c>
      <c r="H8658">
        <f t="shared" ca="1" si="130"/>
        <v>-3.1555978731132497E-3</v>
      </c>
    </row>
    <row r="8659" spans="7:8" x14ac:dyDescent="0.3">
      <c r="G8659" s="78">
        <v>8656</v>
      </c>
      <c r="H8659">
        <f t="shared" ca="1" si="130"/>
        <v>1.8915289411159709E-3</v>
      </c>
    </row>
    <row r="8660" spans="7:8" x14ac:dyDescent="0.3">
      <c r="G8660" s="78">
        <v>8657</v>
      </c>
      <c r="H8660">
        <f t="shared" ca="1" si="130"/>
        <v>3.7181025896352643E-3</v>
      </c>
    </row>
    <row r="8661" spans="7:8" x14ac:dyDescent="0.3">
      <c r="G8661" s="78">
        <v>8658</v>
      </c>
      <c r="H8661">
        <f t="shared" ca="1" si="130"/>
        <v>4.5046114099639182E-3</v>
      </c>
    </row>
    <row r="8662" spans="7:8" x14ac:dyDescent="0.3">
      <c r="G8662" s="78">
        <v>8659</v>
      </c>
      <c r="H8662">
        <f t="shared" ca="1" si="130"/>
        <v>-2.3400900544899076E-2</v>
      </c>
    </row>
    <row r="8663" spans="7:8" x14ac:dyDescent="0.3">
      <c r="G8663" s="78">
        <v>8660</v>
      </c>
      <c r="H8663">
        <f t="shared" ca="1" si="130"/>
        <v>6.8278578532575702E-3</v>
      </c>
    </row>
    <row r="8664" spans="7:8" x14ac:dyDescent="0.3">
      <c r="G8664" s="78">
        <v>8661</v>
      </c>
      <c r="H8664">
        <f t="shared" ca="1" si="130"/>
        <v>1.7399935581385747E-2</v>
      </c>
    </row>
    <row r="8665" spans="7:8" x14ac:dyDescent="0.3">
      <c r="G8665" s="78">
        <v>8662</v>
      </c>
      <c r="H8665">
        <f t="shared" ca="1" si="130"/>
        <v>-2.6459716038576945E-2</v>
      </c>
    </row>
    <row r="8666" spans="7:8" x14ac:dyDescent="0.3">
      <c r="G8666" s="78">
        <v>8663</v>
      </c>
      <c r="H8666">
        <f t="shared" ca="1" si="130"/>
        <v>-4.1816551824309003E-2</v>
      </c>
    </row>
    <row r="8667" spans="7:8" x14ac:dyDescent="0.3">
      <c r="G8667" s="78">
        <v>8664</v>
      </c>
      <c r="H8667">
        <f t="shared" ca="1" si="130"/>
        <v>2.6554255830032588E-3</v>
      </c>
    </row>
    <row r="8668" spans="7:8" x14ac:dyDescent="0.3">
      <c r="G8668" s="78">
        <v>8665</v>
      </c>
      <c r="H8668">
        <f t="shared" ca="1" si="130"/>
        <v>4.7530086662322798E-3</v>
      </c>
    </row>
    <row r="8669" spans="7:8" x14ac:dyDescent="0.3">
      <c r="G8669" s="78">
        <v>8666</v>
      </c>
      <c r="H8669">
        <f t="shared" ca="1" si="130"/>
        <v>2.173090248086785E-3</v>
      </c>
    </row>
    <row r="8670" spans="7:8" x14ac:dyDescent="0.3">
      <c r="G8670" s="78">
        <v>8667</v>
      </c>
      <c r="H8670">
        <f t="shared" ca="1" si="130"/>
        <v>6.7108631060220263E-3</v>
      </c>
    </row>
    <row r="8671" spans="7:8" x14ac:dyDescent="0.3">
      <c r="G8671" s="78">
        <v>8668</v>
      </c>
      <c r="H8671">
        <f t="shared" ca="1" si="130"/>
        <v>3.5471784554302409E-2</v>
      </c>
    </row>
    <row r="8672" spans="7:8" x14ac:dyDescent="0.3">
      <c r="G8672" s="78">
        <v>8669</v>
      </c>
      <c r="H8672">
        <f t="shared" ca="1" si="130"/>
        <v>1.1632757042184361E-2</v>
      </c>
    </row>
    <row r="8673" spans="7:8" x14ac:dyDescent="0.3">
      <c r="G8673" s="78">
        <v>8670</v>
      </c>
      <c r="H8673">
        <f t="shared" ca="1" si="130"/>
        <v>-1.4391556051010177E-2</v>
      </c>
    </row>
    <row r="8674" spans="7:8" x14ac:dyDescent="0.3">
      <c r="G8674" s="78">
        <v>8671</v>
      </c>
      <c r="H8674">
        <f t="shared" ca="1" si="130"/>
        <v>-1.3025748329474889E-2</v>
      </c>
    </row>
    <row r="8675" spans="7:8" x14ac:dyDescent="0.3">
      <c r="G8675" s="78">
        <v>8672</v>
      </c>
      <c r="H8675">
        <f t="shared" ca="1" si="130"/>
        <v>4.1145046722257774E-3</v>
      </c>
    </row>
    <row r="8676" spans="7:8" x14ac:dyDescent="0.3">
      <c r="G8676" s="78">
        <v>8673</v>
      </c>
      <c r="H8676">
        <f t="shared" ca="1" si="130"/>
        <v>-3.572122448717607E-3</v>
      </c>
    </row>
    <row r="8677" spans="7:8" x14ac:dyDescent="0.3">
      <c r="G8677" s="78">
        <v>8674</v>
      </c>
      <c r="H8677">
        <f t="shared" ca="1" si="130"/>
        <v>-1.4429262950432896E-2</v>
      </c>
    </row>
    <row r="8678" spans="7:8" x14ac:dyDescent="0.3">
      <c r="G8678" s="78">
        <v>8675</v>
      </c>
      <c r="H8678">
        <f t="shared" ca="1" si="130"/>
        <v>-1.8965575268356256E-2</v>
      </c>
    </row>
    <row r="8679" spans="7:8" x14ac:dyDescent="0.3">
      <c r="G8679" s="78">
        <v>8676</v>
      </c>
      <c r="H8679">
        <f t="shared" ca="1" si="130"/>
        <v>-1.082476059334434E-2</v>
      </c>
    </row>
    <row r="8680" spans="7:8" x14ac:dyDescent="0.3">
      <c r="G8680" s="78">
        <v>8677</v>
      </c>
      <c r="H8680">
        <f t="shared" ca="1" si="130"/>
        <v>1.6475773398922977E-2</v>
      </c>
    </row>
    <row r="8681" spans="7:8" x14ac:dyDescent="0.3">
      <c r="G8681" s="78">
        <v>8678</v>
      </c>
      <c r="H8681">
        <f t="shared" ca="1" si="130"/>
        <v>-1.5088566685184211E-2</v>
      </c>
    </row>
    <row r="8682" spans="7:8" x14ac:dyDescent="0.3">
      <c r="G8682" s="78">
        <v>8679</v>
      </c>
      <c r="H8682">
        <f t="shared" ca="1" si="130"/>
        <v>1.7631263748394375E-2</v>
      </c>
    </row>
    <row r="8683" spans="7:8" x14ac:dyDescent="0.3">
      <c r="G8683" s="78">
        <v>8680</v>
      </c>
      <c r="H8683">
        <f t="shared" ca="1" si="130"/>
        <v>-3.0835646121375938E-2</v>
      </c>
    </row>
    <row r="8684" spans="7:8" x14ac:dyDescent="0.3">
      <c r="G8684" s="78">
        <v>8681</v>
      </c>
      <c r="H8684">
        <f t="shared" ca="1" si="130"/>
        <v>5.7318431110654983E-3</v>
      </c>
    </row>
    <row r="8685" spans="7:8" x14ac:dyDescent="0.3">
      <c r="G8685" s="78">
        <v>8682</v>
      </c>
      <c r="H8685">
        <f t="shared" ca="1" si="130"/>
        <v>-2.5869999040533239E-3</v>
      </c>
    </row>
    <row r="8686" spans="7:8" x14ac:dyDescent="0.3">
      <c r="G8686" s="78">
        <v>8683</v>
      </c>
      <c r="H8686">
        <f t="shared" ca="1" si="130"/>
        <v>5.9378269671727657E-3</v>
      </c>
    </row>
    <row r="8687" spans="7:8" x14ac:dyDescent="0.3">
      <c r="G8687" s="78">
        <v>8684</v>
      </c>
      <c r="H8687">
        <f t="shared" ca="1" si="130"/>
        <v>2.952524243698745E-5</v>
      </c>
    </row>
    <row r="8688" spans="7:8" x14ac:dyDescent="0.3">
      <c r="G8688" s="78">
        <v>8685</v>
      </c>
      <c r="H8688">
        <f t="shared" ca="1" si="130"/>
        <v>3.1340288921309238E-2</v>
      </c>
    </row>
    <row r="8689" spans="7:8" x14ac:dyDescent="0.3">
      <c r="G8689" s="78">
        <v>8686</v>
      </c>
      <c r="H8689">
        <f t="shared" ca="1" si="130"/>
        <v>2.0074691136732874E-2</v>
      </c>
    </row>
    <row r="8690" spans="7:8" x14ac:dyDescent="0.3">
      <c r="G8690" s="78">
        <v>8687</v>
      </c>
      <c r="H8690">
        <f t="shared" ca="1" si="130"/>
        <v>2.1101200737941923E-2</v>
      </c>
    </row>
    <row r="8691" spans="7:8" x14ac:dyDescent="0.3">
      <c r="G8691" s="78">
        <v>8688</v>
      </c>
      <c r="H8691">
        <f t="shared" ca="1" si="130"/>
        <v>1.3831821918833564E-2</v>
      </c>
    </row>
    <row r="8692" spans="7:8" x14ac:dyDescent="0.3">
      <c r="G8692" s="78">
        <v>8689</v>
      </c>
      <c r="H8692">
        <f t="shared" ca="1" si="130"/>
        <v>2.9230483963118444E-2</v>
      </c>
    </row>
    <row r="8693" spans="7:8" x14ac:dyDescent="0.3">
      <c r="G8693" s="78">
        <v>8690</v>
      </c>
      <c r="H8693">
        <f t="shared" ca="1" si="130"/>
        <v>6.7507112891795453E-3</v>
      </c>
    </row>
    <row r="8694" spans="7:8" x14ac:dyDescent="0.3">
      <c r="G8694" s="78">
        <v>8691</v>
      </c>
      <c r="H8694">
        <f t="shared" ca="1" si="130"/>
        <v>-1.8637261074333954E-2</v>
      </c>
    </row>
    <row r="8695" spans="7:8" x14ac:dyDescent="0.3">
      <c r="G8695" s="78">
        <v>8692</v>
      </c>
      <c r="H8695">
        <f t="shared" ca="1" si="130"/>
        <v>9.3045292904100508E-3</v>
      </c>
    </row>
    <row r="8696" spans="7:8" x14ac:dyDescent="0.3">
      <c r="G8696" s="78">
        <v>8693</v>
      </c>
      <c r="H8696">
        <f t="shared" ca="1" si="130"/>
        <v>-1.7592920282822916E-2</v>
      </c>
    </row>
    <row r="8697" spans="7:8" x14ac:dyDescent="0.3">
      <c r="G8697" s="78">
        <v>8694</v>
      </c>
      <c r="H8697">
        <f t="shared" ca="1" si="130"/>
        <v>-3.6810278610104413E-2</v>
      </c>
    </row>
    <row r="8698" spans="7:8" x14ac:dyDescent="0.3">
      <c r="G8698" s="78">
        <v>8695</v>
      </c>
      <c r="H8698">
        <f t="shared" ca="1" si="130"/>
        <v>4.4431456240679821E-3</v>
      </c>
    </row>
    <row r="8699" spans="7:8" x14ac:dyDescent="0.3">
      <c r="G8699" s="78">
        <v>8696</v>
      </c>
      <c r="H8699">
        <f t="shared" ca="1" si="130"/>
        <v>1.3422016188528906E-2</v>
      </c>
    </row>
    <row r="8700" spans="7:8" x14ac:dyDescent="0.3">
      <c r="G8700" s="78">
        <v>8697</v>
      </c>
      <c r="H8700">
        <f t="shared" ca="1" si="130"/>
        <v>1.6260168901181763E-2</v>
      </c>
    </row>
    <row r="8701" spans="7:8" x14ac:dyDescent="0.3">
      <c r="G8701" s="78">
        <v>8698</v>
      </c>
      <c r="H8701">
        <f t="shared" ca="1" si="130"/>
        <v>-2.764348615168425E-2</v>
      </c>
    </row>
    <row r="8702" spans="7:8" x14ac:dyDescent="0.3">
      <c r="G8702" s="78">
        <v>8699</v>
      </c>
      <c r="H8702">
        <f t="shared" ca="1" si="130"/>
        <v>-1.0768706945087057E-2</v>
      </c>
    </row>
    <row r="8703" spans="7:8" x14ac:dyDescent="0.3">
      <c r="G8703" s="78">
        <v>8700</v>
      </c>
      <c r="H8703">
        <f t="shared" ca="1" si="130"/>
        <v>1.2745180830424179E-2</v>
      </c>
    </row>
    <row r="8704" spans="7:8" x14ac:dyDescent="0.3">
      <c r="G8704" s="78">
        <v>8701</v>
      </c>
      <c r="H8704">
        <f t="shared" ca="1" si="130"/>
        <v>-1.9178762381369931E-2</v>
      </c>
    </row>
    <row r="8705" spans="7:8" x14ac:dyDescent="0.3">
      <c r="G8705" s="78">
        <v>8702</v>
      </c>
      <c r="H8705">
        <f t="shared" ca="1" si="130"/>
        <v>2.3960381007653755E-2</v>
      </c>
    </row>
    <row r="8706" spans="7:8" x14ac:dyDescent="0.3">
      <c r="G8706" s="78">
        <v>8703</v>
      </c>
      <c r="H8706">
        <f t="shared" ca="1" si="130"/>
        <v>1.1618335011792016E-2</v>
      </c>
    </row>
    <row r="8707" spans="7:8" x14ac:dyDescent="0.3">
      <c r="G8707" s="78">
        <v>8704</v>
      </c>
      <c r="H8707">
        <f t="shared" ca="1" si="130"/>
        <v>8.205296919476043E-3</v>
      </c>
    </row>
    <row r="8708" spans="7:8" x14ac:dyDescent="0.3">
      <c r="G8708" s="78">
        <v>8705</v>
      </c>
      <c r="H8708">
        <f t="shared" ref="H8708:H8771" ca="1" si="131">_xlfn.NORM.INV(RAND(),$N$4,$N$5)</f>
        <v>-2.1344312709662337E-2</v>
      </c>
    </row>
    <row r="8709" spans="7:8" x14ac:dyDescent="0.3">
      <c r="G8709" s="78">
        <v>8706</v>
      </c>
      <c r="H8709">
        <f t="shared" ca="1" si="131"/>
        <v>9.9998294606098957E-3</v>
      </c>
    </row>
    <row r="8710" spans="7:8" x14ac:dyDescent="0.3">
      <c r="G8710" s="78">
        <v>8707</v>
      </c>
      <c r="H8710">
        <f t="shared" ca="1" si="131"/>
        <v>-2.0691930836134458E-2</v>
      </c>
    </row>
    <row r="8711" spans="7:8" x14ac:dyDescent="0.3">
      <c r="G8711" s="78">
        <v>8708</v>
      </c>
      <c r="H8711">
        <f t="shared" ca="1" si="131"/>
        <v>1.4749448993261454E-3</v>
      </c>
    </row>
    <row r="8712" spans="7:8" x14ac:dyDescent="0.3">
      <c r="G8712" s="78">
        <v>8709</v>
      </c>
      <c r="H8712">
        <f t="shared" ca="1" si="131"/>
        <v>1.1850901918549921E-2</v>
      </c>
    </row>
    <row r="8713" spans="7:8" x14ac:dyDescent="0.3">
      <c r="G8713" s="78">
        <v>8710</v>
      </c>
      <c r="H8713">
        <f t="shared" ca="1" si="131"/>
        <v>9.6344396042014648E-3</v>
      </c>
    </row>
    <row r="8714" spans="7:8" x14ac:dyDescent="0.3">
      <c r="G8714" s="78">
        <v>8711</v>
      </c>
      <c r="H8714">
        <f t="shared" ca="1" si="131"/>
        <v>-3.2769128733873963E-2</v>
      </c>
    </row>
    <row r="8715" spans="7:8" x14ac:dyDescent="0.3">
      <c r="G8715" s="78">
        <v>8712</v>
      </c>
      <c r="H8715">
        <f t="shared" ca="1" si="131"/>
        <v>-1.5515896558402768E-2</v>
      </c>
    </row>
    <row r="8716" spans="7:8" x14ac:dyDescent="0.3">
      <c r="G8716" s="78">
        <v>8713</v>
      </c>
      <c r="H8716">
        <f t="shared" ca="1" si="131"/>
        <v>4.2951931531031079E-2</v>
      </c>
    </row>
    <row r="8717" spans="7:8" x14ac:dyDescent="0.3">
      <c r="G8717" s="78">
        <v>8714</v>
      </c>
      <c r="H8717">
        <f t="shared" ca="1" si="131"/>
        <v>-1.9961477236587026E-3</v>
      </c>
    </row>
    <row r="8718" spans="7:8" x14ac:dyDescent="0.3">
      <c r="G8718" s="78">
        <v>8715</v>
      </c>
      <c r="H8718">
        <f t="shared" ca="1" si="131"/>
        <v>2.8099998007447165E-2</v>
      </c>
    </row>
    <row r="8719" spans="7:8" x14ac:dyDescent="0.3">
      <c r="G8719" s="78">
        <v>8716</v>
      </c>
      <c r="H8719">
        <f t="shared" ca="1" si="131"/>
        <v>-1.3696765170550549E-2</v>
      </c>
    </row>
    <row r="8720" spans="7:8" x14ac:dyDescent="0.3">
      <c r="G8720" s="78">
        <v>8717</v>
      </c>
      <c r="H8720">
        <f t="shared" ca="1" si="131"/>
        <v>1.0260568463660446E-2</v>
      </c>
    </row>
    <row r="8721" spans="7:8" x14ac:dyDescent="0.3">
      <c r="G8721" s="78">
        <v>8718</v>
      </c>
      <c r="H8721">
        <f t="shared" ca="1" si="131"/>
        <v>8.9734966842114818E-3</v>
      </c>
    </row>
    <row r="8722" spans="7:8" x14ac:dyDescent="0.3">
      <c r="G8722" s="78">
        <v>8719</v>
      </c>
      <c r="H8722">
        <f t="shared" ca="1" si="131"/>
        <v>-1.8593829631588104E-2</v>
      </c>
    </row>
    <row r="8723" spans="7:8" x14ac:dyDescent="0.3">
      <c r="G8723" s="78">
        <v>8720</v>
      </c>
      <c r="H8723">
        <f t="shared" ca="1" si="131"/>
        <v>5.7890417403831159E-3</v>
      </c>
    </row>
    <row r="8724" spans="7:8" x14ac:dyDescent="0.3">
      <c r="G8724" s="78">
        <v>8721</v>
      </c>
      <c r="H8724">
        <f t="shared" ca="1" si="131"/>
        <v>1.5906318191750389E-2</v>
      </c>
    </row>
    <row r="8725" spans="7:8" x14ac:dyDescent="0.3">
      <c r="G8725" s="78">
        <v>8722</v>
      </c>
      <c r="H8725">
        <f t="shared" ca="1" si="131"/>
        <v>-1.9433935970381795E-2</v>
      </c>
    </row>
    <row r="8726" spans="7:8" x14ac:dyDescent="0.3">
      <c r="G8726" s="78">
        <v>8723</v>
      </c>
      <c r="H8726">
        <f t="shared" ca="1" si="131"/>
        <v>3.4113482484278222E-2</v>
      </c>
    </row>
    <row r="8727" spans="7:8" x14ac:dyDescent="0.3">
      <c r="G8727" s="78">
        <v>8724</v>
      </c>
      <c r="H8727">
        <f t="shared" ca="1" si="131"/>
        <v>2.3976844812993277E-2</v>
      </c>
    </row>
    <row r="8728" spans="7:8" x14ac:dyDescent="0.3">
      <c r="G8728" s="78">
        <v>8725</v>
      </c>
      <c r="H8728">
        <f t="shared" ca="1" si="131"/>
        <v>-1.0974010186873804E-2</v>
      </c>
    </row>
    <row r="8729" spans="7:8" x14ac:dyDescent="0.3">
      <c r="G8729" s="78">
        <v>8726</v>
      </c>
      <c r="H8729">
        <f t="shared" ca="1" si="131"/>
        <v>1.3828799964054804E-2</v>
      </c>
    </row>
    <row r="8730" spans="7:8" x14ac:dyDescent="0.3">
      <c r="G8730" s="78">
        <v>8727</v>
      </c>
      <c r="H8730">
        <f t="shared" ca="1" si="131"/>
        <v>3.9798886880095816E-3</v>
      </c>
    </row>
    <row r="8731" spans="7:8" x14ac:dyDescent="0.3">
      <c r="G8731" s="78">
        <v>8728</v>
      </c>
      <c r="H8731">
        <f t="shared" ca="1" si="131"/>
        <v>9.6894842449460269E-3</v>
      </c>
    </row>
    <row r="8732" spans="7:8" x14ac:dyDescent="0.3">
      <c r="G8732" s="78">
        <v>8729</v>
      </c>
      <c r="H8732">
        <f t="shared" ca="1" si="131"/>
        <v>-3.0267237240129641E-2</v>
      </c>
    </row>
    <row r="8733" spans="7:8" x14ac:dyDescent="0.3">
      <c r="G8733" s="78">
        <v>8730</v>
      </c>
      <c r="H8733">
        <f t="shared" ca="1" si="131"/>
        <v>2.0350608781061295E-3</v>
      </c>
    </row>
    <row r="8734" spans="7:8" x14ac:dyDescent="0.3">
      <c r="G8734" s="78">
        <v>8731</v>
      </c>
      <c r="H8734">
        <f t="shared" ca="1" si="131"/>
        <v>4.8059545490299706E-2</v>
      </c>
    </row>
    <row r="8735" spans="7:8" x14ac:dyDescent="0.3">
      <c r="G8735" s="78">
        <v>8732</v>
      </c>
      <c r="H8735">
        <f t="shared" ca="1" si="131"/>
        <v>9.2981455073567528E-3</v>
      </c>
    </row>
    <row r="8736" spans="7:8" x14ac:dyDescent="0.3">
      <c r="G8736" s="78">
        <v>8733</v>
      </c>
      <c r="H8736">
        <f t="shared" ca="1" si="131"/>
        <v>-1.4546911734562537E-2</v>
      </c>
    </row>
    <row r="8737" spans="7:8" x14ac:dyDescent="0.3">
      <c r="G8737" s="78">
        <v>8734</v>
      </c>
      <c r="H8737">
        <f t="shared" ca="1" si="131"/>
        <v>2.7408706442888613E-2</v>
      </c>
    </row>
    <row r="8738" spans="7:8" x14ac:dyDescent="0.3">
      <c r="G8738" s="78">
        <v>8735</v>
      </c>
      <c r="H8738">
        <f t="shared" ca="1" si="131"/>
        <v>-5.538630999221166E-3</v>
      </c>
    </row>
    <row r="8739" spans="7:8" x14ac:dyDescent="0.3">
      <c r="G8739" s="78">
        <v>8736</v>
      </c>
      <c r="H8739">
        <f t="shared" ca="1" si="131"/>
        <v>4.212830734042842E-3</v>
      </c>
    </row>
    <row r="8740" spans="7:8" x14ac:dyDescent="0.3">
      <c r="G8740" s="78">
        <v>8737</v>
      </c>
      <c r="H8740">
        <f t="shared" ca="1" si="131"/>
        <v>-5.5470156795988856E-3</v>
      </c>
    </row>
    <row r="8741" spans="7:8" x14ac:dyDescent="0.3">
      <c r="G8741" s="78">
        <v>8738</v>
      </c>
      <c r="H8741">
        <f t="shared" ca="1" si="131"/>
        <v>1.3472689990940298E-2</v>
      </c>
    </row>
    <row r="8742" spans="7:8" x14ac:dyDescent="0.3">
      <c r="G8742" s="78">
        <v>8739</v>
      </c>
      <c r="H8742">
        <f t="shared" ca="1" si="131"/>
        <v>-1.6064637498724037E-2</v>
      </c>
    </row>
    <row r="8743" spans="7:8" x14ac:dyDescent="0.3">
      <c r="G8743" s="78">
        <v>8740</v>
      </c>
      <c r="H8743">
        <f t="shared" ca="1" si="131"/>
        <v>1.9526260667614169E-2</v>
      </c>
    </row>
    <row r="8744" spans="7:8" x14ac:dyDescent="0.3">
      <c r="G8744" s="78">
        <v>8741</v>
      </c>
      <c r="H8744">
        <f t="shared" ca="1" si="131"/>
        <v>2.4240935863030113E-3</v>
      </c>
    </row>
    <row r="8745" spans="7:8" x14ac:dyDescent="0.3">
      <c r="G8745" s="78">
        <v>8742</v>
      </c>
      <c r="H8745">
        <f t="shared" ca="1" si="131"/>
        <v>2.9708400426765283E-4</v>
      </c>
    </row>
    <row r="8746" spans="7:8" x14ac:dyDescent="0.3">
      <c r="G8746" s="78">
        <v>8743</v>
      </c>
      <c r="H8746">
        <f t="shared" ca="1" si="131"/>
        <v>1.4838210006107353E-2</v>
      </c>
    </row>
    <row r="8747" spans="7:8" x14ac:dyDescent="0.3">
      <c r="G8747" s="78">
        <v>8744</v>
      </c>
      <c r="H8747">
        <f t="shared" ca="1" si="131"/>
        <v>-2.940989153583496E-2</v>
      </c>
    </row>
    <row r="8748" spans="7:8" x14ac:dyDescent="0.3">
      <c r="G8748" s="78">
        <v>8745</v>
      </c>
      <c r="H8748">
        <f t="shared" ca="1" si="131"/>
        <v>9.7526459386581554E-3</v>
      </c>
    </row>
    <row r="8749" spans="7:8" x14ac:dyDescent="0.3">
      <c r="G8749" s="78">
        <v>8746</v>
      </c>
      <c r="H8749">
        <f t="shared" ca="1" si="131"/>
        <v>4.2034538071121633E-2</v>
      </c>
    </row>
    <row r="8750" spans="7:8" x14ac:dyDescent="0.3">
      <c r="G8750" s="78">
        <v>8747</v>
      </c>
      <c r="H8750">
        <f t="shared" ca="1" si="131"/>
        <v>1.1789014053120802E-2</v>
      </c>
    </row>
    <row r="8751" spans="7:8" x14ac:dyDescent="0.3">
      <c r="G8751" s="78">
        <v>8748</v>
      </c>
      <c r="H8751">
        <f t="shared" ca="1" si="131"/>
        <v>1.1249823959551864E-2</v>
      </c>
    </row>
    <row r="8752" spans="7:8" x14ac:dyDescent="0.3">
      <c r="G8752" s="78">
        <v>8749</v>
      </c>
      <c r="H8752">
        <f t="shared" ca="1" si="131"/>
        <v>-4.8123063269614168E-3</v>
      </c>
    </row>
    <row r="8753" spans="7:8" x14ac:dyDescent="0.3">
      <c r="G8753" s="78">
        <v>8750</v>
      </c>
      <c r="H8753">
        <f t="shared" ca="1" si="131"/>
        <v>5.44568394945896E-3</v>
      </c>
    </row>
    <row r="8754" spans="7:8" x14ac:dyDescent="0.3">
      <c r="G8754" s="78">
        <v>8751</v>
      </c>
      <c r="H8754">
        <f t="shared" ca="1" si="131"/>
        <v>-1.8058999004069085E-2</v>
      </c>
    </row>
    <row r="8755" spans="7:8" x14ac:dyDescent="0.3">
      <c r="G8755" s="78">
        <v>8752</v>
      </c>
      <c r="H8755">
        <f t="shared" ca="1" si="131"/>
        <v>-9.8365683564950387E-3</v>
      </c>
    </row>
    <row r="8756" spans="7:8" x14ac:dyDescent="0.3">
      <c r="G8756" s="78">
        <v>8753</v>
      </c>
      <c r="H8756">
        <f t="shared" ca="1" si="131"/>
        <v>-3.5313709296801395E-2</v>
      </c>
    </row>
    <row r="8757" spans="7:8" x14ac:dyDescent="0.3">
      <c r="G8757" s="78">
        <v>8754</v>
      </c>
      <c r="H8757">
        <f t="shared" ca="1" si="131"/>
        <v>-4.8338955519407834E-3</v>
      </c>
    </row>
    <row r="8758" spans="7:8" x14ac:dyDescent="0.3">
      <c r="G8758" s="78">
        <v>8755</v>
      </c>
      <c r="H8758">
        <f t="shared" ca="1" si="131"/>
        <v>-1.1358107015011025E-2</v>
      </c>
    </row>
    <row r="8759" spans="7:8" x14ac:dyDescent="0.3">
      <c r="G8759" s="78">
        <v>8756</v>
      </c>
      <c r="H8759">
        <f t="shared" ca="1" si="131"/>
        <v>-8.0415741048104322E-3</v>
      </c>
    </row>
    <row r="8760" spans="7:8" x14ac:dyDescent="0.3">
      <c r="G8760" s="78">
        <v>8757</v>
      </c>
      <c r="H8760">
        <f t="shared" ca="1" si="131"/>
        <v>3.3128361381681702E-2</v>
      </c>
    </row>
    <row r="8761" spans="7:8" x14ac:dyDescent="0.3">
      <c r="G8761" s="78">
        <v>8758</v>
      </c>
      <c r="H8761">
        <f t="shared" ca="1" si="131"/>
        <v>1.7830318804198376E-2</v>
      </c>
    </row>
    <row r="8762" spans="7:8" x14ac:dyDescent="0.3">
      <c r="G8762" s="78">
        <v>8759</v>
      </c>
      <c r="H8762">
        <f t="shared" ca="1" si="131"/>
        <v>-1.0369035365447088E-2</v>
      </c>
    </row>
    <row r="8763" spans="7:8" x14ac:dyDescent="0.3">
      <c r="G8763" s="78">
        <v>8760</v>
      </c>
      <c r="H8763">
        <f t="shared" ca="1" si="131"/>
        <v>2.1813947348302481E-2</v>
      </c>
    </row>
    <row r="8764" spans="7:8" x14ac:dyDescent="0.3">
      <c r="G8764" s="78">
        <v>8761</v>
      </c>
      <c r="H8764">
        <f t="shared" ca="1" si="131"/>
        <v>9.3399144481848858E-4</v>
      </c>
    </row>
    <row r="8765" spans="7:8" x14ac:dyDescent="0.3">
      <c r="G8765" s="78">
        <v>8762</v>
      </c>
      <c r="H8765">
        <f t="shared" ca="1" si="131"/>
        <v>-1.5395081012053275E-2</v>
      </c>
    </row>
    <row r="8766" spans="7:8" x14ac:dyDescent="0.3">
      <c r="G8766" s="78">
        <v>8763</v>
      </c>
      <c r="H8766">
        <f t="shared" ca="1" si="131"/>
        <v>1.317422445306392E-2</v>
      </c>
    </row>
    <row r="8767" spans="7:8" x14ac:dyDescent="0.3">
      <c r="G8767" s="78">
        <v>8764</v>
      </c>
      <c r="H8767">
        <f t="shared" ca="1" si="131"/>
        <v>-4.873011352425638E-2</v>
      </c>
    </row>
    <row r="8768" spans="7:8" x14ac:dyDescent="0.3">
      <c r="G8768" s="78">
        <v>8765</v>
      </c>
      <c r="H8768">
        <f t="shared" ca="1" si="131"/>
        <v>2.7605388298337832E-3</v>
      </c>
    </row>
    <row r="8769" spans="7:8" x14ac:dyDescent="0.3">
      <c r="G8769" s="78">
        <v>8766</v>
      </c>
      <c r="H8769">
        <f t="shared" ca="1" si="131"/>
        <v>-8.7087434298447775E-3</v>
      </c>
    </row>
    <row r="8770" spans="7:8" x14ac:dyDescent="0.3">
      <c r="G8770" s="78">
        <v>8767</v>
      </c>
      <c r="H8770">
        <f t="shared" ca="1" si="131"/>
        <v>9.2245767557710932E-3</v>
      </c>
    </row>
    <row r="8771" spans="7:8" x14ac:dyDescent="0.3">
      <c r="G8771" s="78">
        <v>8768</v>
      </c>
      <c r="H8771">
        <f t="shared" ca="1" si="131"/>
        <v>-3.7297734468348821E-3</v>
      </c>
    </row>
    <row r="8772" spans="7:8" x14ac:dyDescent="0.3">
      <c r="G8772" s="78">
        <v>8769</v>
      </c>
      <c r="H8772">
        <f t="shared" ref="H8772:H8835" ca="1" si="132">_xlfn.NORM.INV(RAND(),$N$4,$N$5)</f>
        <v>-2.7382008201191396E-2</v>
      </c>
    </row>
    <row r="8773" spans="7:8" x14ac:dyDescent="0.3">
      <c r="G8773" s="78">
        <v>8770</v>
      </c>
      <c r="H8773">
        <f t="shared" ca="1" si="132"/>
        <v>-8.657637346283734E-4</v>
      </c>
    </row>
    <row r="8774" spans="7:8" x14ac:dyDescent="0.3">
      <c r="G8774" s="78">
        <v>8771</v>
      </c>
      <c r="H8774">
        <f t="shared" ca="1" si="132"/>
        <v>5.3063248976501073E-3</v>
      </c>
    </row>
    <row r="8775" spans="7:8" x14ac:dyDescent="0.3">
      <c r="G8775" s="78">
        <v>8772</v>
      </c>
      <c r="H8775">
        <f t="shared" ca="1" si="132"/>
        <v>1.2082383827104869E-2</v>
      </c>
    </row>
    <row r="8776" spans="7:8" x14ac:dyDescent="0.3">
      <c r="G8776" s="78">
        <v>8773</v>
      </c>
      <c r="H8776">
        <f t="shared" ca="1" si="132"/>
        <v>-1.5989399003741775E-3</v>
      </c>
    </row>
    <row r="8777" spans="7:8" x14ac:dyDescent="0.3">
      <c r="G8777" s="78">
        <v>8774</v>
      </c>
      <c r="H8777">
        <f t="shared" ca="1" si="132"/>
        <v>5.330261696771383E-3</v>
      </c>
    </row>
    <row r="8778" spans="7:8" x14ac:dyDescent="0.3">
      <c r="G8778" s="78">
        <v>8775</v>
      </c>
      <c r="H8778">
        <f t="shared" ca="1" si="132"/>
        <v>2.6329581250191709E-2</v>
      </c>
    </row>
    <row r="8779" spans="7:8" x14ac:dyDescent="0.3">
      <c r="G8779" s="78">
        <v>8776</v>
      </c>
      <c r="H8779">
        <f t="shared" ca="1" si="132"/>
        <v>2.9522042797586898E-2</v>
      </c>
    </row>
    <row r="8780" spans="7:8" x14ac:dyDescent="0.3">
      <c r="G8780" s="78">
        <v>8777</v>
      </c>
      <c r="H8780">
        <f t="shared" ca="1" si="132"/>
        <v>1.8866251542114507E-2</v>
      </c>
    </row>
    <row r="8781" spans="7:8" x14ac:dyDescent="0.3">
      <c r="G8781" s="78">
        <v>8778</v>
      </c>
      <c r="H8781">
        <f t="shared" ca="1" si="132"/>
        <v>-8.043466726088213E-3</v>
      </c>
    </row>
    <row r="8782" spans="7:8" x14ac:dyDescent="0.3">
      <c r="G8782" s="78">
        <v>8779</v>
      </c>
      <c r="H8782">
        <f t="shared" ca="1" si="132"/>
        <v>2.3658951554387567E-3</v>
      </c>
    </row>
    <row r="8783" spans="7:8" x14ac:dyDescent="0.3">
      <c r="G8783" s="78">
        <v>8780</v>
      </c>
      <c r="H8783">
        <f t="shared" ca="1" si="132"/>
        <v>1.4565000621981676E-2</v>
      </c>
    </row>
    <row r="8784" spans="7:8" x14ac:dyDescent="0.3">
      <c r="G8784" s="78">
        <v>8781</v>
      </c>
      <c r="H8784">
        <f t="shared" ca="1" si="132"/>
        <v>-7.0653577694102616E-3</v>
      </c>
    </row>
    <row r="8785" spans="7:8" x14ac:dyDescent="0.3">
      <c r="G8785" s="78">
        <v>8782</v>
      </c>
      <c r="H8785">
        <f t="shared" ca="1" si="132"/>
        <v>2.3582992298252923E-2</v>
      </c>
    </row>
    <row r="8786" spans="7:8" x14ac:dyDescent="0.3">
      <c r="G8786" s="78">
        <v>8783</v>
      </c>
      <c r="H8786">
        <f t="shared" ca="1" si="132"/>
        <v>2.1318176190224518E-2</v>
      </c>
    </row>
    <row r="8787" spans="7:8" x14ac:dyDescent="0.3">
      <c r="G8787" s="78">
        <v>8784</v>
      </c>
      <c r="H8787">
        <f t="shared" ca="1" si="132"/>
        <v>-7.3993382019692027E-3</v>
      </c>
    </row>
    <row r="8788" spans="7:8" x14ac:dyDescent="0.3">
      <c r="G8788" s="78">
        <v>8785</v>
      </c>
      <c r="H8788">
        <f t="shared" ca="1" si="132"/>
        <v>-1.906989814634686E-2</v>
      </c>
    </row>
    <row r="8789" spans="7:8" x14ac:dyDescent="0.3">
      <c r="G8789" s="78">
        <v>8786</v>
      </c>
      <c r="H8789">
        <f t="shared" ca="1" si="132"/>
        <v>8.1406788895206049E-3</v>
      </c>
    </row>
    <row r="8790" spans="7:8" x14ac:dyDescent="0.3">
      <c r="G8790" s="78">
        <v>8787</v>
      </c>
      <c r="H8790">
        <f t="shared" ca="1" si="132"/>
        <v>4.1977183414104002E-2</v>
      </c>
    </row>
    <row r="8791" spans="7:8" x14ac:dyDescent="0.3">
      <c r="G8791" s="78">
        <v>8788</v>
      </c>
      <c r="H8791">
        <f t="shared" ca="1" si="132"/>
        <v>4.0740056010638973E-2</v>
      </c>
    </row>
    <row r="8792" spans="7:8" x14ac:dyDescent="0.3">
      <c r="G8792" s="78">
        <v>8789</v>
      </c>
      <c r="H8792">
        <f t="shared" ca="1" si="132"/>
        <v>5.4684561877768822E-2</v>
      </c>
    </row>
    <row r="8793" spans="7:8" x14ac:dyDescent="0.3">
      <c r="G8793" s="78">
        <v>8790</v>
      </c>
      <c r="H8793">
        <f t="shared" ca="1" si="132"/>
        <v>-2.8711657114966895E-2</v>
      </c>
    </row>
    <row r="8794" spans="7:8" x14ac:dyDescent="0.3">
      <c r="G8794" s="78">
        <v>8791</v>
      </c>
      <c r="H8794">
        <f t="shared" ca="1" si="132"/>
        <v>1.4563222465575294E-2</v>
      </c>
    </row>
    <row r="8795" spans="7:8" x14ac:dyDescent="0.3">
      <c r="G8795" s="78">
        <v>8792</v>
      </c>
      <c r="H8795">
        <f t="shared" ca="1" si="132"/>
        <v>-2.7510855096233307E-2</v>
      </c>
    </row>
    <row r="8796" spans="7:8" x14ac:dyDescent="0.3">
      <c r="G8796" s="78">
        <v>8793</v>
      </c>
      <c r="H8796">
        <f t="shared" ca="1" si="132"/>
        <v>-1.5125435959055083E-2</v>
      </c>
    </row>
    <row r="8797" spans="7:8" x14ac:dyDescent="0.3">
      <c r="G8797" s="78">
        <v>8794</v>
      </c>
      <c r="H8797">
        <f t="shared" ca="1" si="132"/>
        <v>1.163631631456862E-2</v>
      </c>
    </row>
    <row r="8798" spans="7:8" x14ac:dyDescent="0.3">
      <c r="G8798" s="78">
        <v>8795</v>
      </c>
      <c r="H8798">
        <f t="shared" ca="1" si="132"/>
        <v>1.3853658653433408E-2</v>
      </c>
    </row>
    <row r="8799" spans="7:8" x14ac:dyDescent="0.3">
      <c r="G8799" s="78">
        <v>8796</v>
      </c>
      <c r="H8799">
        <f t="shared" ca="1" si="132"/>
        <v>3.4323438875748557E-3</v>
      </c>
    </row>
    <row r="8800" spans="7:8" x14ac:dyDescent="0.3">
      <c r="G8800" s="78">
        <v>8797</v>
      </c>
      <c r="H8800">
        <f t="shared" ca="1" si="132"/>
        <v>-3.7532340192087026E-3</v>
      </c>
    </row>
    <row r="8801" spans="7:8" x14ac:dyDescent="0.3">
      <c r="G8801" s="78">
        <v>8798</v>
      </c>
      <c r="H8801">
        <f t="shared" ca="1" si="132"/>
        <v>-2.0836425256457378E-2</v>
      </c>
    </row>
    <row r="8802" spans="7:8" x14ac:dyDescent="0.3">
      <c r="G8802" s="78">
        <v>8799</v>
      </c>
      <c r="H8802">
        <f t="shared" ca="1" si="132"/>
        <v>3.5365584745378105E-2</v>
      </c>
    </row>
    <row r="8803" spans="7:8" x14ac:dyDescent="0.3">
      <c r="G8803" s="78">
        <v>8800</v>
      </c>
      <c r="H8803">
        <f t="shared" ca="1" si="132"/>
        <v>3.902060984400825E-2</v>
      </c>
    </row>
    <row r="8804" spans="7:8" x14ac:dyDescent="0.3">
      <c r="G8804" s="78">
        <v>8801</v>
      </c>
      <c r="H8804">
        <f t="shared" ca="1" si="132"/>
        <v>-1.4190781757070009E-2</v>
      </c>
    </row>
    <row r="8805" spans="7:8" x14ac:dyDescent="0.3">
      <c r="G8805" s="78">
        <v>8802</v>
      </c>
      <c r="H8805">
        <f t="shared" ca="1" si="132"/>
        <v>1.9466448011199798E-3</v>
      </c>
    </row>
    <row r="8806" spans="7:8" x14ac:dyDescent="0.3">
      <c r="G8806" s="78">
        <v>8803</v>
      </c>
      <c r="H8806">
        <f t="shared" ca="1" si="132"/>
        <v>-6.2582648639966418E-2</v>
      </c>
    </row>
    <row r="8807" spans="7:8" x14ac:dyDescent="0.3">
      <c r="G8807" s="78">
        <v>8804</v>
      </c>
      <c r="H8807">
        <f t="shared" ca="1" si="132"/>
        <v>1.7178894536043352E-2</v>
      </c>
    </row>
    <row r="8808" spans="7:8" x14ac:dyDescent="0.3">
      <c r="G8808" s="78">
        <v>8805</v>
      </c>
      <c r="H8808">
        <f t="shared" ca="1" si="132"/>
        <v>-2.6230995894538558E-2</v>
      </c>
    </row>
    <row r="8809" spans="7:8" x14ac:dyDescent="0.3">
      <c r="G8809" s="78">
        <v>8806</v>
      </c>
      <c r="H8809">
        <f t="shared" ca="1" si="132"/>
        <v>-4.0548393319584522E-3</v>
      </c>
    </row>
    <row r="8810" spans="7:8" x14ac:dyDescent="0.3">
      <c r="G8810" s="78">
        <v>8807</v>
      </c>
      <c r="H8810">
        <f t="shared" ca="1" si="132"/>
        <v>2.1855286693431349E-2</v>
      </c>
    </row>
    <row r="8811" spans="7:8" x14ac:dyDescent="0.3">
      <c r="G8811" s="78">
        <v>8808</v>
      </c>
      <c r="H8811">
        <f t="shared" ca="1" si="132"/>
        <v>-1.6995971687384218E-2</v>
      </c>
    </row>
    <row r="8812" spans="7:8" x14ac:dyDescent="0.3">
      <c r="G8812" s="78">
        <v>8809</v>
      </c>
      <c r="H8812">
        <f t="shared" ca="1" si="132"/>
        <v>1.4032228104916644E-2</v>
      </c>
    </row>
    <row r="8813" spans="7:8" x14ac:dyDescent="0.3">
      <c r="G8813" s="78">
        <v>8810</v>
      </c>
      <c r="H8813">
        <f t="shared" ca="1" si="132"/>
        <v>2.2435802122643397E-2</v>
      </c>
    </row>
    <row r="8814" spans="7:8" x14ac:dyDescent="0.3">
      <c r="G8814" s="78">
        <v>8811</v>
      </c>
      <c r="H8814">
        <f t="shared" ca="1" si="132"/>
        <v>-9.8192683099745806E-5</v>
      </c>
    </row>
    <row r="8815" spans="7:8" x14ac:dyDescent="0.3">
      <c r="G8815" s="78">
        <v>8812</v>
      </c>
      <c r="H8815">
        <f t="shared" ca="1" si="132"/>
        <v>3.0870608661295929E-2</v>
      </c>
    </row>
    <row r="8816" spans="7:8" x14ac:dyDescent="0.3">
      <c r="G8816" s="78">
        <v>8813</v>
      </c>
      <c r="H8816">
        <f t="shared" ca="1" si="132"/>
        <v>3.3372551105154196E-3</v>
      </c>
    </row>
    <row r="8817" spans="7:8" x14ac:dyDescent="0.3">
      <c r="G8817" s="78">
        <v>8814</v>
      </c>
      <c r="H8817">
        <f t="shared" ca="1" si="132"/>
        <v>9.1173392403936133E-3</v>
      </c>
    </row>
    <row r="8818" spans="7:8" x14ac:dyDescent="0.3">
      <c r="G8818" s="78">
        <v>8815</v>
      </c>
      <c r="H8818">
        <f t="shared" ca="1" si="132"/>
        <v>-3.7858892838671866E-2</v>
      </c>
    </row>
    <row r="8819" spans="7:8" x14ac:dyDescent="0.3">
      <c r="G8819" s="78">
        <v>8816</v>
      </c>
      <c r="H8819">
        <f t="shared" ca="1" si="132"/>
        <v>9.5763332958426744E-3</v>
      </c>
    </row>
    <row r="8820" spans="7:8" x14ac:dyDescent="0.3">
      <c r="G8820" s="78">
        <v>8817</v>
      </c>
      <c r="H8820">
        <f t="shared" ca="1" si="132"/>
        <v>1.2355926276466048E-2</v>
      </c>
    </row>
    <row r="8821" spans="7:8" x14ac:dyDescent="0.3">
      <c r="G8821" s="78">
        <v>8818</v>
      </c>
      <c r="H8821">
        <f t="shared" ca="1" si="132"/>
        <v>2.2676874859835897E-3</v>
      </c>
    </row>
    <row r="8822" spans="7:8" x14ac:dyDescent="0.3">
      <c r="G8822" s="78">
        <v>8819</v>
      </c>
      <c r="H8822">
        <f t="shared" ca="1" si="132"/>
        <v>7.2117749104972373E-3</v>
      </c>
    </row>
    <row r="8823" spans="7:8" x14ac:dyDescent="0.3">
      <c r="G8823" s="78">
        <v>8820</v>
      </c>
      <c r="H8823">
        <f t="shared" ca="1" si="132"/>
        <v>3.039064499792694E-2</v>
      </c>
    </row>
    <row r="8824" spans="7:8" x14ac:dyDescent="0.3">
      <c r="G8824" s="78">
        <v>8821</v>
      </c>
      <c r="H8824">
        <f t="shared" ca="1" si="132"/>
        <v>1.5810764738925426E-2</v>
      </c>
    </row>
    <row r="8825" spans="7:8" x14ac:dyDescent="0.3">
      <c r="G8825" s="78">
        <v>8822</v>
      </c>
      <c r="H8825">
        <f t="shared" ca="1" si="132"/>
        <v>2.2359874293775398E-2</v>
      </c>
    </row>
    <row r="8826" spans="7:8" x14ac:dyDescent="0.3">
      <c r="G8826" s="78">
        <v>8823</v>
      </c>
      <c r="H8826">
        <f t="shared" ca="1" si="132"/>
        <v>-1.9521459586846958E-2</v>
      </c>
    </row>
    <row r="8827" spans="7:8" x14ac:dyDescent="0.3">
      <c r="G8827" s="78">
        <v>8824</v>
      </c>
      <c r="H8827">
        <f t="shared" ca="1" si="132"/>
        <v>3.3184695221781434E-2</v>
      </c>
    </row>
    <row r="8828" spans="7:8" x14ac:dyDescent="0.3">
      <c r="G8828" s="78">
        <v>8825</v>
      </c>
      <c r="H8828">
        <f t="shared" ca="1" si="132"/>
        <v>4.5847716479550257E-2</v>
      </c>
    </row>
    <row r="8829" spans="7:8" x14ac:dyDescent="0.3">
      <c r="G8829" s="78">
        <v>8826</v>
      </c>
      <c r="H8829">
        <f t="shared" ca="1" si="132"/>
        <v>-2.7525192750372993E-2</v>
      </c>
    </row>
    <row r="8830" spans="7:8" x14ac:dyDescent="0.3">
      <c r="G8830" s="78">
        <v>8827</v>
      </c>
      <c r="H8830">
        <f t="shared" ca="1" si="132"/>
        <v>-2.6756428985612347E-2</v>
      </c>
    </row>
    <row r="8831" spans="7:8" x14ac:dyDescent="0.3">
      <c r="G8831" s="78">
        <v>8828</v>
      </c>
      <c r="H8831">
        <f t="shared" ca="1" si="132"/>
        <v>1.8030817018809257E-2</v>
      </c>
    </row>
    <row r="8832" spans="7:8" x14ac:dyDescent="0.3">
      <c r="G8832" s="78">
        <v>8829</v>
      </c>
      <c r="H8832">
        <f t="shared" ca="1" si="132"/>
        <v>3.0117002500548891E-2</v>
      </c>
    </row>
    <row r="8833" spans="7:8" x14ac:dyDescent="0.3">
      <c r="G8833" s="78">
        <v>8830</v>
      </c>
      <c r="H8833">
        <f t="shared" ca="1" si="132"/>
        <v>-1.5901014610649453E-2</v>
      </c>
    </row>
    <row r="8834" spans="7:8" x14ac:dyDescent="0.3">
      <c r="G8834" s="78">
        <v>8831</v>
      </c>
      <c r="H8834">
        <f t="shared" ca="1" si="132"/>
        <v>3.5726630133741631E-2</v>
      </c>
    </row>
    <row r="8835" spans="7:8" x14ac:dyDescent="0.3">
      <c r="G8835" s="78">
        <v>8832</v>
      </c>
      <c r="H8835">
        <f t="shared" ca="1" si="132"/>
        <v>1.1745808623485876E-2</v>
      </c>
    </row>
    <row r="8836" spans="7:8" x14ac:dyDescent="0.3">
      <c r="G8836" s="78">
        <v>8833</v>
      </c>
      <c r="H8836">
        <f t="shared" ref="H8836:H8899" ca="1" si="133">_xlfn.NORM.INV(RAND(),$N$4,$N$5)</f>
        <v>-3.4981539651126249E-2</v>
      </c>
    </row>
    <row r="8837" spans="7:8" x14ac:dyDescent="0.3">
      <c r="G8837" s="78">
        <v>8834</v>
      </c>
      <c r="H8837">
        <f t="shared" ca="1" si="133"/>
        <v>4.3669260916117314E-3</v>
      </c>
    </row>
    <row r="8838" spans="7:8" x14ac:dyDescent="0.3">
      <c r="G8838" s="78">
        <v>8835</v>
      </c>
      <c r="H8838">
        <f t="shared" ca="1" si="133"/>
        <v>4.3745455027682156E-3</v>
      </c>
    </row>
    <row r="8839" spans="7:8" x14ac:dyDescent="0.3">
      <c r="G8839" s="78">
        <v>8836</v>
      </c>
      <c r="H8839">
        <f t="shared" ca="1" si="133"/>
        <v>-3.7613380301878708E-3</v>
      </c>
    </row>
    <row r="8840" spans="7:8" x14ac:dyDescent="0.3">
      <c r="G8840" s="78">
        <v>8837</v>
      </c>
      <c r="H8840">
        <f t="shared" ca="1" si="133"/>
        <v>1.0152674777040989E-2</v>
      </c>
    </row>
    <row r="8841" spans="7:8" x14ac:dyDescent="0.3">
      <c r="G8841" s="78">
        <v>8838</v>
      </c>
      <c r="H8841">
        <f t="shared" ca="1" si="133"/>
        <v>-6.0594512834293126E-3</v>
      </c>
    </row>
    <row r="8842" spans="7:8" x14ac:dyDescent="0.3">
      <c r="G8842" s="78">
        <v>8839</v>
      </c>
      <c r="H8842">
        <f t="shared" ca="1" si="133"/>
        <v>1.5445736272482779E-2</v>
      </c>
    </row>
    <row r="8843" spans="7:8" x14ac:dyDescent="0.3">
      <c r="G8843" s="78">
        <v>8840</v>
      </c>
      <c r="H8843">
        <f t="shared" ca="1" si="133"/>
        <v>-1.6802837979145762E-2</v>
      </c>
    </row>
    <row r="8844" spans="7:8" x14ac:dyDescent="0.3">
      <c r="G8844" s="78">
        <v>8841</v>
      </c>
      <c r="H8844">
        <f t="shared" ca="1" si="133"/>
        <v>1.703884762989796E-2</v>
      </c>
    </row>
    <row r="8845" spans="7:8" x14ac:dyDescent="0.3">
      <c r="G8845" s="78">
        <v>8842</v>
      </c>
      <c r="H8845">
        <f t="shared" ca="1" si="133"/>
        <v>-5.3879296162966626E-3</v>
      </c>
    </row>
    <row r="8846" spans="7:8" x14ac:dyDescent="0.3">
      <c r="G8846" s="78">
        <v>8843</v>
      </c>
      <c r="H8846">
        <f t="shared" ca="1" si="133"/>
        <v>2.3701884488739413E-2</v>
      </c>
    </row>
    <row r="8847" spans="7:8" x14ac:dyDescent="0.3">
      <c r="G8847" s="78">
        <v>8844</v>
      </c>
      <c r="H8847">
        <f t="shared" ca="1" si="133"/>
        <v>1.0716158044131367E-2</v>
      </c>
    </row>
    <row r="8848" spans="7:8" x14ac:dyDescent="0.3">
      <c r="G8848" s="78">
        <v>8845</v>
      </c>
      <c r="H8848">
        <f t="shared" ca="1" si="133"/>
        <v>2.5714474267008805E-2</v>
      </c>
    </row>
    <row r="8849" spans="7:8" x14ac:dyDescent="0.3">
      <c r="G8849" s="78">
        <v>8846</v>
      </c>
      <c r="H8849">
        <f t="shared" ca="1" si="133"/>
        <v>-3.1970219432232917E-2</v>
      </c>
    </row>
    <row r="8850" spans="7:8" x14ac:dyDescent="0.3">
      <c r="G8850" s="78">
        <v>8847</v>
      </c>
      <c r="H8850">
        <f t="shared" ca="1" si="133"/>
        <v>2.4496093082197704E-2</v>
      </c>
    </row>
    <row r="8851" spans="7:8" x14ac:dyDescent="0.3">
      <c r="G8851" s="78">
        <v>8848</v>
      </c>
      <c r="H8851">
        <f t="shared" ca="1" si="133"/>
        <v>3.5362706078430527E-2</v>
      </c>
    </row>
    <row r="8852" spans="7:8" x14ac:dyDescent="0.3">
      <c r="G8852" s="78">
        <v>8849</v>
      </c>
      <c r="H8852">
        <f t="shared" ca="1" si="133"/>
        <v>-3.1403373939124866E-2</v>
      </c>
    </row>
    <row r="8853" spans="7:8" x14ac:dyDescent="0.3">
      <c r="G8853" s="78">
        <v>8850</v>
      </c>
      <c r="H8853">
        <f t="shared" ca="1" si="133"/>
        <v>-2.5822724463647931E-2</v>
      </c>
    </row>
    <row r="8854" spans="7:8" x14ac:dyDescent="0.3">
      <c r="G8854" s="78">
        <v>8851</v>
      </c>
      <c r="H8854">
        <f t="shared" ca="1" si="133"/>
        <v>3.942211763091806E-3</v>
      </c>
    </row>
    <row r="8855" spans="7:8" x14ac:dyDescent="0.3">
      <c r="G8855" s="78">
        <v>8852</v>
      </c>
      <c r="H8855">
        <f t="shared" ca="1" si="133"/>
        <v>-1.2254096112955049E-4</v>
      </c>
    </row>
    <row r="8856" spans="7:8" x14ac:dyDescent="0.3">
      <c r="G8856" s="78">
        <v>8853</v>
      </c>
      <c r="H8856">
        <f t="shared" ca="1" si="133"/>
        <v>1.0173394303717737E-2</v>
      </c>
    </row>
    <row r="8857" spans="7:8" x14ac:dyDescent="0.3">
      <c r="G8857" s="78">
        <v>8854</v>
      </c>
      <c r="H8857">
        <f t="shared" ca="1" si="133"/>
        <v>1.8774542947043941E-2</v>
      </c>
    </row>
    <row r="8858" spans="7:8" x14ac:dyDescent="0.3">
      <c r="G8858" s="78">
        <v>8855</v>
      </c>
      <c r="H8858">
        <f t="shared" ca="1" si="133"/>
        <v>2.5359647777812262E-2</v>
      </c>
    </row>
    <row r="8859" spans="7:8" x14ac:dyDescent="0.3">
      <c r="G8859" s="78">
        <v>8856</v>
      </c>
      <c r="H8859">
        <f t="shared" ca="1" si="133"/>
        <v>4.1819665523010224E-2</v>
      </c>
    </row>
    <row r="8860" spans="7:8" x14ac:dyDescent="0.3">
      <c r="G8860" s="78">
        <v>8857</v>
      </c>
      <c r="H8860">
        <f t="shared" ca="1" si="133"/>
        <v>-2.3070815873355209E-2</v>
      </c>
    </row>
    <row r="8861" spans="7:8" x14ac:dyDescent="0.3">
      <c r="G8861" s="78">
        <v>8858</v>
      </c>
      <c r="H8861">
        <f t="shared" ca="1" si="133"/>
        <v>-1.1007750816073287E-2</v>
      </c>
    </row>
    <row r="8862" spans="7:8" x14ac:dyDescent="0.3">
      <c r="G8862" s="78">
        <v>8859</v>
      </c>
      <c r="H8862">
        <f t="shared" ca="1" si="133"/>
        <v>-5.9859592295299956E-3</v>
      </c>
    </row>
    <row r="8863" spans="7:8" x14ac:dyDescent="0.3">
      <c r="G8863" s="78">
        <v>8860</v>
      </c>
      <c r="H8863">
        <f t="shared" ca="1" si="133"/>
        <v>7.6396366055187384E-3</v>
      </c>
    </row>
    <row r="8864" spans="7:8" x14ac:dyDescent="0.3">
      <c r="G8864" s="78">
        <v>8861</v>
      </c>
      <c r="H8864">
        <f t="shared" ca="1" si="133"/>
        <v>8.3541639865023411E-3</v>
      </c>
    </row>
    <row r="8865" spans="7:8" x14ac:dyDescent="0.3">
      <c r="G8865" s="78">
        <v>8862</v>
      </c>
      <c r="H8865">
        <f t="shared" ca="1" si="133"/>
        <v>3.4846848761852303E-4</v>
      </c>
    </row>
    <row r="8866" spans="7:8" x14ac:dyDescent="0.3">
      <c r="G8866" s="78">
        <v>8863</v>
      </c>
      <c r="H8866">
        <f t="shared" ca="1" si="133"/>
        <v>-6.7298404702591805E-3</v>
      </c>
    </row>
    <row r="8867" spans="7:8" x14ac:dyDescent="0.3">
      <c r="G8867" s="78">
        <v>8864</v>
      </c>
      <c r="H8867">
        <f t="shared" ca="1" si="133"/>
        <v>7.4986819415894862E-3</v>
      </c>
    </row>
    <row r="8868" spans="7:8" x14ac:dyDescent="0.3">
      <c r="G8868" s="78">
        <v>8865</v>
      </c>
      <c r="H8868">
        <f t="shared" ca="1" si="133"/>
        <v>1.48909183929619E-3</v>
      </c>
    </row>
    <row r="8869" spans="7:8" x14ac:dyDescent="0.3">
      <c r="G8869" s="78">
        <v>8866</v>
      </c>
      <c r="H8869">
        <f t="shared" ca="1" si="133"/>
        <v>3.3647911278943078E-4</v>
      </c>
    </row>
    <row r="8870" spans="7:8" x14ac:dyDescent="0.3">
      <c r="G8870" s="78">
        <v>8867</v>
      </c>
      <c r="H8870">
        <f t="shared" ca="1" si="133"/>
        <v>-2.1202269111567855E-2</v>
      </c>
    </row>
    <row r="8871" spans="7:8" x14ac:dyDescent="0.3">
      <c r="G8871" s="78">
        <v>8868</v>
      </c>
      <c r="H8871">
        <f t="shared" ca="1" si="133"/>
        <v>-2.0899940450130203E-2</v>
      </c>
    </row>
    <row r="8872" spans="7:8" x14ac:dyDescent="0.3">
      <c r="G8872" s="78">
        <v>8869</v>
      </c>
      <c r="H8872">
        <f t="shared" ca="1" si="133"/>
        <v>1.764554394773386E-2</v>
      </c>
    </row>
    <row r="8873" spans="7:8" x14ac:dyDescent="0.3">
      <c r="G8873" s="78">
        <v>8870</v>
      </c>
      <c r="H8873">
        <f t="shared" ca="1" si="133"/>
        <v>-1.7554140890620372E-2</v>
      </c>
    </row>
    <row r="8874" spans="7:8" x14ac:dyDescent="0.3">
      <c r="G8874" s="78">
        <v>8871</v>
      </c>
      <c r="H8874">
        <f t="shared" ca="1" si="133"/>
        <v>1.7157086681229769E-2</v>
      </c>
    </row>
    <row r="8875" spans="7:8" x14ac:dyDescent="0.3">
      <c r="G8875" s="78">
        <v>8872</v>
      </c>
      <c r="H8875">
        <f t="shared" ca="1" si="133"/>
        <v>1.8084480141045408E-2</v>
      </c>
    </row>
    <row r="8876" spans="7:8" x14ac:dyDescent="0.3">
      <c r="G8876" s="78">
        <v>8873</v>
      </c>
      <c r="H8876">
        <f t="shared" ca="1" si="133"/>
        <v>-2.8502003307306272E-2</v>
      </c>
    </row>
    <row r="8877" spans="7:8" x14ac:dyDescent="0.3">
      <c r="G8877" s="78">
        <v>8874</v>
      </c>
      <c r="H8877">
        <f t="shared" ca="1" si="133"/>
        <v>-3.1483436794535677E-3</v>
      </c>
    </row>
    <row r="8878" spans="7:8" x14ac:dyDescent="0.3">
      <c r="G8878" s="78">
        <v>8875</v>
      </c>
      <c r="H8878">
        <f t="shared" ca="1" si="133"/>
        <v>-3.1243605411747429E-2</v>
      </c>
    </row>
    <row r="8879" spans="7:8" x14ac:dyDescent="0.3">
      <c r="G8879" s="78">
        <v>8876</v>
      </c>
      <c r="H8879">
        <f t="shared" ca="1" si="133"/>
        <v>1.2610107044719191E-3</v>
      </c>
    </row>
    <row r="8880" spans="7:8" x14ac:dyDescent="0.3">
      <c r="G8880" s="78">
        <v>8877</v>
      </c>
      <c r="H8880">
        <f t="shared" ca="1" si="133"/>
        <v>-3.0519307749801577E-3</v>
      </c>
    </row>
    <row r="8881" spans="7:8" x14ac:dyDescent="0.3">
      <c r="G8881" s="78">
        <v>8878</v>
      </c>
      <c r="H8881">
        <f t="shared" ca="1" si="133"/>
        <v>1.6920836735285636E-2</v>
      </c>
    </row>
    <row r="8882" spans="7:8" x14ac:dyDescent="0.3">
      <c r="G8882" s="78">
        <v>8879</v>
      </c>
      <c r="H8882">
        <f t="shared" ca="1" si="133"/>
        <v>1.9492229236978409E-2</v>
      </c>
    </row>
    <row r="8883" spans="7:8" x14ac:dyDescent="0.3">
      <c r="G8883" s="78">
        <v>8880</v>
      </c>
      <c r="H8883">
        <f t="shared" ca="1" si="133"/>
        <v>1.2402139032860606E-2</v>
      </c>
    </row>
    <row r="8884" spans="7:8" x14ac:dyDescent="0.3">
      <c r="G8884" s="78">
        <v>8881</v>
      </c>
      <c r="H8884">
        <f t="shared" ca="1" si="133"/>
        <v>3.3858346267762726E-2</v>
      </c>
    </row>
    <row r="8885" spans="7:8" x14ac:dyDescent="0.3">
      <c r="G8885" s="78">
        <v>8882</v>
      </c>
      <c r="H8885">
        <f t="shared" ca="1" si="133"/>
        <v>-3.2169173280745707E-3</v>
      </c>
    </row>
    <row r="8886" spans="7:8" x14ac:dyDescent="0.3">
      <c r="G8886" s="78">
        <v>8883</v>
      </c>
      <c r="H8886">
        <f t="shared" ca="1" si="133"/>
        <v>7.2575704171518171E-3</v>
      </c>
    </row>
    <row r="8887" spans="7:8" x14ac:dyDescent="0.3">
      <c r="G8887" s="78">
        <v>8884</v>
      </c>
      <c r="H8887">
        <f t="shared" ca="1" si="133"/>
        <v>-5.1482097666523459E-2</v>
      </c>
    </row>
    <row r="8888" spans="7:8" x14ac:dyDescent="0.3">
      <c r="G8888" s="78">
        <v>8885</v>
      </c>
      <c r="H8888">
        <f t="shared" ca="1" si="133"/>
        <v>2.2093924058726882E-2</v>
      </c>
    </row>
    <row r="8889" spans="7:8" x14ac:dyDescent="0.3">
      <c r="G8889" s="78">
        <v>8886</v>
      </c>
      <c r="H8889">
        <f t="shared" ca="1" si="133"/>
        <v>-2.046177855061259E-2</v>
      </c>
    </row>
    <row r="8890" spans="7:8" x14ac:dyDescent="0.3">
      <c r="G8890" s="78">
        <v>8887</v>
      </c>
      <c r="H8890">
        <f t="shared" ca="1" si="133"/>
        <v>2.2649323021160647E-3</v>
      </c>
    </row>
    <row r="8891" spans="7:8" x14ac:dyDescent="0.3">
      <c r="G8891" s="78">
        <v>8888</v>
      </c>
      <c r="H8891">
        <f t="shared" ca="1" si="133"/>
        <v>-3.2378973835555528E-3</v>
      </c>
    </row>
    <row r="8892" spans="7:8" x14ac:dyDescent="0.3">
      <c r="G8892" s="78">
        <v>8889</v>
      </c>
      <c r="H8892">
        <f t="shared" ca="1" si="133"/>
        <v>5.4166459769329376E-3</v>
      </c>
    </row>
    <row r="8893" spans="7:8" x14ac:dyDescent="0.3">
      <c r="G8893" s="78">
        <v>8890</v>
      </c>
      <c r="H8893">
        <f t="shared" ca="1" si="133"/>
        <v>-8.9235448970375539E-3</v>
      </c>
    </row>
    <row r="8894" spans="7:8" x14ac:dyDescent="0.3">
      <c r="G8894" s="78">
        <v>8891</v>
      </c>
      <c r="H8894">
        <f t="shared" ca="1" si="133"/>
        <v>7.7474704464972084E-3</v>
      </c>
    </row>
    <row r="8895" spans="7:8" x14ac:dyDescent="0.3">
      <c r="G8895" s="78">
        <v>8892</v>
      </c>
      <c r="H8895">
        <f t="shared" ca="1" si="133"/>
        <v>-1.5649465492845185E-3</v>
      </c>
    </row>
    <row r="8896" spans="7:8" x14ac:dyDescent="0.3">
      <c r="G8896" s="78">
        <v>8893</v>
      </c>
      <c r="H8896">
        <f t="shared" ca="1" si="133"/>
        <v>1.8666757177047851E-2</v>
      </c>
    </row>
    <row r="8897" spans="7:8" x14ac:dyDescent="0.3">
      <c r="G8897" s="78">
        <v>8894</v>
      </c>
      <c r="H8897">
        <f t="shared" ca="1" si="133"/>
        <v>-2.6996640339635451E-2</v>
      </c>
    </row>
    <row r="8898" spans="7:8" x14ac:dyDescent="0.3">
      <c r="G8898" s="78">
        <v>8895</v>
      </c>
      <c r="H8898">
        <f t="shared" ca="1" si="133"/>
        <v>9.4172757867290961E-3</v>
      </c>
    </row>
    <row r="8899" spans="7:8" x14ac:dyDescent="0.3">
      <c r="G8899" s="78">
        <v>8896</v>
      </c>
      <c r="H8899">
        <f t="shared" ca="1" si="133"/>
        <v>3.5611337378572824E-3</v>
      </c>
    </row>
    <row r="8900" spans="7:8" x14ac:dyDescent="0.3">
      <c r="G8900" s="78">
        <v>8897</v>
      </c>
      <c r="H8900">
        <f t="shared" ref="H8900:H8963" ca="1" si="134">_xlfn.NORM.INV(RAND(),$N$4,$N$5)</f>
        <v>-1.0374703279386633E-2</v>
      </c>
    </row>
    <row r="8901" spans="7:8" x14ac:dyDescent="0.3">
      <c r="G8901" s="78">
        <v>8898</v>
      </c>
      <c r="H8901">
        <f t="shared" ca="1" si="134"/>
        <v>1.2742676277717949E-2</v>
      </c>
    </row>
    <row r="8902" spans="7:8" x14ac:dyDescent="0.3">
      <c r="G8902" s="78">
        <v>8899</v>
      </c>
      <c r="H8902">
        <f t="shared" ca="1" si="134"/>
        <v>-3.7280991695738163E-3</v>
      </c>
    </row>
    <row r="8903" spans="7:8" x14ac:dyDescent="0.3">
      <c r="G8903" s="78">
        <v>8900</v>
      </c>
      <c r="H8903">
        <f t="shared" ca="1" si="134"/>
        <v>-1.4813428305915878E-2</v>
      </c>
    </row>
    <row r="8904" spans="7:8" x14ac:dyDescent="0.3">
      <c r="G8904" s="78">
        <v>8901</v>
      </c>
      <c r="H8904">
        <f t="shared" ca="1" si="134"/>
        <v>2.5710608536070809E-3</v>
      </c>
    </row>
    <row r="8905" spans="7:8" x14ac:dyDescent="0.3">
      <c r="G8905" s="78">
        <v>8902</v>
      </c>
      <c r="H8905">
        <f t="shared" ca="1" si="134"/>
        <v>-6.7053520282671685E-3</v>
      </c>
    </row>
    <row r="8906" spans="7:8" x14ac:dyDescent="0.3">
      <c r="G8906" s="78">
        <v>8903</v>
      </c>
      <c r="H8906">
        <f t="shared" ca="1" si="134"/>
        <v>2.9218647615719393E-2</v>
      </c>
    </row>
    <row r="8907" spans="7:8" x14ac:dyDescent="0.3">
      <c r="G8907" s="78">
        <v>8904</v>
      </c>
      <c r="H8907">
        <f t="shared" ca="1" si="134"/>
        <v>-3.1705194166755178E-2</v>
      </c>
    </row>
    <row r="8908" spans="7:8" x14ac:dyDescent="0.3">
      <c r="G8908" s="78">
        <v>8905</v>
      </c>
      <c r="H8908">
        <f t="shared" ca="1" si="134"/>
        <v>1.4437152776667931E-3</v>
      </c>
    </row>
    <row r="8909" spans="7:8" x14ac:dyDescent="0.3">
      <c r="G8909" s="78">
        <v>8906</v>
      </c>
      <c r="H8909">
        <f t="shared" ca="1" si="134"/>
        <v>8.8260234597813073E-3</v>
      </c>
    </row>
    <row r="8910" spans="7:8" x14ac:dyDescent="0.3">
      <c r="G8910" s="78">
        <v>8907</v>
      </c>
      <c r="H8910">
        <f t="shared" ca="1" si="134"/>
        <v>6.6740870891860869E-4</v>
      </c>
    </row>
    <row r="8911" spans="7:8" x14ac:dyDescent="0.3">
      <c r="G8911" s="78">
        <v>8908</v>
      </c>
      <c r="H8911">
        <f t="shared" ca="1" si="134"/>
        <v>-1.4432696052944732E-2</v>
      </c>
    </row>
    <row r="8912" spans="7:8" x14ac:dyDescent="0.3">
      <c r="G8912" s="78">
        <v>8909</v>
      </c>
      <c r="H8912">
        <f t="shared" ca="1" si="134"/>
        <v>-2.5969568857139884E-3</v>
      </c>
    </row>
    <row r="8913" spans="7:8" x14ac:dyDescent="0.3">
      <c r="G8913" s="78">
        <v>8910</v>
      </c>
      <c r="H8913">
        <f t="shared" ca="1" si="134"/>
        <v>-1.978274094141798E-3</v>
      </c>
    </row>
    <row r="8914" spans="7:8" x14ac:dyDescent="0.3">
      <c r="G8914" s="78">
        <v>8911</v>
      </c>
      <c r="H8914">
        <f t="shared" ca="1" si="134"/>
        <v>1.7114705520647925E-2</v>
      </c>
    </row>
    <row r="8915" spans="7:8" x14ac:dyDescent="0.3">
      <c r="G8915" s="78">
        <v>8912</v>
      </c>
      <c r="H8915">
        <f t="shared" ca="1" si="134"/>
        <v>4.7950139502563943E-3</v>
      </c>
    </row>
    <row r="8916" spans="7:8" x14ac:dyDescent="0.3">
      <c r="G8916" s="78">
        <v>8913</v>
      </c>
      <c r="H8916">
        <f t="shared" ca="1" si="134"/>
        <v>-1.0413265636725309E-2</v>
      </c>
    </row>
    <row r="8917" spans="7:8" x14ac:dyDescent="0.3">
      <c r="G8917" s="78">
        <v>8914</v>
      </c>
      <c r="H8917">
        <f t="shared" ca="1" si="134"/>
        <v>-5.4573820694817686E-3</v>
      </c>
    </row>
    <row r="8918" spans="7:8" x14ac:dyDescent="0.3">
      <c r="G8918" s="78">
        <v>8915</v>
      </c>
      <c r="H8918">
        <f t="shared" ca="1" si="134"/>
        <v>3.0134918895704525E-2</v>
      </c>
    </row>
    <row r="8919" spans="7:8" x14ac:dyDescent="0.3">
      <c r="G8919" s="78">
        <v>8916</v>
      </c>
      <c r="H8919">
        <f t="shared" ca="1" si="134"/>
        <v>1.4826058042098314E-2</v>
      </c>
    </row>
    <row r="8920" spans="7:8" x14ac:dyDescent="0.3">
      <c r="G8920" s="78">
        <v>8917</v>
      </c>
      <c r="H8920">
        <f t="shared" ca="1" si="134"/>
        <v>2.5144760612784957E-2</v>
      </c>
    </row>
    <row r="8921" spans="7:8" x14ac:dyDescent="0.3">
      <c r="G8921" s="78">
        <v>8918</v>
      </c>
      <c r="H8921">
        <f t="shared" ca="1" si="134"/>
        <v>-2.5781717197296359E-3</v>
      </c>
    </row>
    <row r="8922" spans="7:8" x14ac:dyDescent="0.3">
      <c r="G8922" s="78">
        <v>8919</v>
      </c>
      <c r="H8922">
        <f t="shared" ca="1" si="134"/>
        <v>1.825589448834336E-2</v>
      </c>
    </row>
    <row r="8923" spans="7:8" x14ac:dyDescent="0.3">
      <c r="G8923" s="78">
        <v>8920</v>
      </c>
      <c r="H8923">
        <f t="shared" ca="1" si="134"/>
        <v>-3.5204752765644734E-2</v>
      </c>
    </row>
    <row r="8924" spans="7:8" x14ac:dyDescent="0.3">
      <c r="G8924" s="78">
        <v>8921</v>
      </c>
      <c r="H8924">
        <f t="shared" ca="1" si="134"/>
        <v>-1.2235941090447717E-2</v>
      </c>
    </row>
    <row r="8925" spans="7:8" x14ac:dyDescent="0.3">
      <c r="G8925" s="78">
        <v>8922</v>
      </c>
      <c r="H8925">
        <f t="shared" ca="1" si="134"/>
        <v>-2.2875476799972951E-2</v>
      </c>
    </row>
    <row r="8926" spans="7:8" x14ac:dyDescent="0.3">
      <c r="G8926" s="78">
        <v>8923</v>
      </c>
      <c r="H8926">
        <f t="shared" ca="1" si="134"/>
        <v>-1.2737383175446433E-2</v>
      </c>
    </row>
    <row r="8927" spans="7:8" x14ac:dyDescent="0.3">
      <c r="G8927" s="78">
        <v>8924</v>
      </c>
      <c r="H8927">
        <f t="shared" ca="1" si="134"/>
        <v>1.7560785632903578E-3</v>
      </c>
    </row>
    <row r="8928" spans="7:8" x14ac:dyDescent="0.3">
      <c r="G8928" s="78">
        <v>8925</v>
      </c>
      <c r="H8928">
        <f t="shared" ca="1" si="134"/>
        <v>-1.3008689716132889E-2</v>
      </c>
    </row>
    <row r="8929" spans="7:8" x14ac:dyDescent="0.3">
      <c r="G8929" s="78">
        <v>8926</v>
      </c>
      <c r="H8929">
        <f t="shared" ca="1" si="134"/>
        <v>1.4930269017120898E-2</v>
      </c>
    </row>
    <row r="8930" spans="7:8" x14ac:dyDescent="0.3">
      <c r="G8930" s="78">
        <v>8927</v>
      </c>
      <c r="H8930">
        <f t="shared" ca="1" si="134"/>
        <v>-1.8218021395151939E-3</v>
      </c>
    </row>
    <row r="8931" spans="7:8" x14ac:dyDescent="0.3">
      <c r="G8931" s="78">
        <v>8928</v>
      </c>
      <c r="H8931">
        <f t="shared" ca="1" si="134"/>
        <v>5.1369494591332315E-3</v>
      </c>
    </row>
    <row r="8932" spans="7:8" x14ac:dyDescent="0.3">
      <c r="G8932" s="78">
        <v>8929</v>
      </c>
      <c r="H8932">
        <f t="shared" ca="1" si="134"/>
        <v>3.7172718893392007E-3</v>
      </c>
    </row>
    <row r="8933" spans="7:8" x14ac:dyDescent="0.3">
      <c r="G8933" s="78">
        <v>8930</v>
      </c>
      <c r="H8933">
        <f t="shared" ca="1" si="134"/>
        <v>-2.0712310186077259E-2</v>
      </c>
    </row>
    <row r="8934" spans="7:8" x14ac:dyDescent="0.3">
      <c r="G8934" s="78">
        <v>8931</v>
      </c>
      <c r="H8934">
        <f t="shared" ca="1" si="134"/>
        <v>-1.5592695006854502E-2</v>
      </c>
    </row>
    <row r="8935" spans="7:8" x14ac:dyDescent="0.3">
      <c r="G8935" s="78">
        <v>8932</v>
      </c>
      <c r="H8935">
        <f t="shared" ca="1" si="134"/>
        <v>2.8228113298167084E-3</v>
      </c>
    </row>
    <row r="8936" spans="7:8" x14ac:dyDescent="0.3">
      <c r="G8936" s="78">
        <v>8933</v>
      </c>
      <c r="H8936">
        <f t="shared" ca="1" si="134"/>
        <v>2.3434121071698486E-2</v>
      </c>
    </row>
    <row r="8937" spans="7:8" x14ac:dyDescent="0.3">
      <c r="G8937" s="78">
        <v>8934</v>
      </c>
      <c r="H8937">
        <f t="shared" ca="1" si="134"/>
        <v>6.1993118036038092E-3</v>
      </c>
    </row>
    <row r="8938" spans="7:8" x14ac:dyDescent="0.3">
      <c r="G8938" s="78">
        <v>8935</v>
      </c>
      <c r="H8938">
        <f t="shared" ca="1" si="134"/>
        <v>-9.7333821947431839E-3</v>
      </c>
    </row>
    <row r="8939" spans="7:8" x14ac:dyDescent="0.3">
      <c r="G8939" s="78">
        <v>8936</v>
      </c>
      <c r="H8939">
        <f t="shared" ca="1" si="134"/>
        <v>3.4034878704107645E-2</v>
      </c>
    </row>
    <row r="8940" spans="7:8" x14ac:dyDescent="0.3">
      <c r="G8940" s="78">
        <v>8937</v>
      </c>
      <c r="H8940">
        <f t="shared" ca="1" si="134"/>
        <v>-2.3005133399676567E-2</v>
      </c>
    </row>
    <row r="8941" spans="7:8" x14ac:dyDescent="0.3">
      <c r="G8941" s="78">
        <v>8938</v>
      </c>
      <c r="H8941">
        <f t="shared" ca="1" si="134"/>
        <v>-2.0929813705417518E-2</v>
      </c>
    </row>
    <row r="8942" spans="7:8" x14ac:dyDescent="0.3">
      <c r="G8942" s="78">
        <v>8939</v>
      </c>
      <c r="H8942">
        <f t="shared" ca="1" si="134"/>
        <v>-1.2892600623990707E-2</v>
      </c>
    </row>
    <row r="8943" spans="7:8" x14ac:dyDescent="0.3">
      <c r="G8943" s="78">
        <v>8940</v>
      </c>
      <c r="H8943">
        <f t="shared" ca="1" si="134"/>
        <v>-2.8987518283305966E-3</v>
      </c>
    </row>
    <row r="8944" spans="7:8" x14ac:dyDescent="0.3">
      <c r="G8944" s="78">
        <v>8941</v>
      </c>
      <c r="H8944">
        <f t="shared" ca="1" si="134"/>
        <v>9.8229167448062888E-3</v>
      </c>
    </row>
    <row r="8945" spans="7:8" x14ac:dyDescent="0.3">
      <c r="G8945" s="78">
        <v>8942</v>
      </c>
      <c r="H8945">
        <f t="shared" ca="1" si="134"/>
        <v>-1.1816455778441308E-2</v>
      </c>
    </row>
    <row r="8946" spans="7:8" x14ac:dyDescent="0.3">
      <c r="G8946" s="78">
        <v>8943</v>
      </c>
      <c r="H8946">
        <f t="shared" ca="1" si="134"/>
        <v>2.4195285336718761E-2</v>
      </c>
    </row>
    <row r="8947" spans="7:8" x14ac:dyDescent="0.3">
      <c r="G8947" s="78">
        <v>8944</v>
      </c>
      <c r="H8947">
        <f t="shared" ca="1" si="134"/>
        <v>-3.3662854166855065E-3</v>
      </c>
    </row>
    <row r="8948" spans="7:8" x14ac:dyDescent="0.3">
      <c r="G8948" s="78">
        <v>8945</v>
      </c>
      <c r="H8948">
        <f t="shared" ca="1" si="134"/>
        <v>-3.7280521745160437E-2</v>
      </c>
    </row>
    <row r="8949" spans="7:8" x14ac:dyDescent="0.3">
      <c r="G8949" s="78">
        <v>8946</v>
      </c>
      <c r="H8949">
        <f t="shared" ca="1" si="134"/>
        <v>-1.9265687465503972E-2</v>
      </c>
    </row>
    <row r="8950" spans="7:8" x14ac:dyDescent="0.3">
      <c r="G8950" s="78">
        <v>8947</v>
      </c>
      <c r="H8950">
        <f t="shared" ca="1" si="134"/>
        <v>1.1823008908688931E-2</v>
      </c>
    </row>
    <row r="8951" spans="7:8" x14ac:dyDescent="0.3">
      <c r="G8951" s="78">
        <v>8948</v>
      </c>
      <c r="H8951">
        <f t="shared" ca="1" si="134"/>
        <v>2.0221617275573645E-2</v>
      </c>
    </row>
    <row r="8952" spans="7:8" x14ac:dyDescent="0.3">
      <c r="G8952" s="78">
        <v>8949</v>
      </c>
      <c r="H8952">
        <f t="shared" ca="1" si="134"/>
        <v>-3.5939870649776039E-3</v>
      </c>
    </row>
    <row r="8953" spans="7:8" x14ac:dyDescent="0.3">
      <c r="G8953" s="78">
        <v>8950</v>
      </c>
      <c r="H8953">
        <f t="shared" ca="1" si="134"/>
        <v>-5.1684327860205669E-3</v>
      </c>
    </row>
    <row r="8954" spans="7:8" x14ac:dyDescent="0.3">
      <c r="G8954" s="78">
        <v>8951</v>
      </c>
      <c r="H8954">
        <f t="shared" ca="1" si="134"/>
        <v>-4.2924710931715516E-4</v>
      </c>
    </row>
    <row r="8955" spans="7:8" x14ac:dyDescent="0.3">
      <c r="G8955" s="78">
        <v>8952</v>
      </c>
      <c r="H8955">
        <f t="shared" ca="1" si="134"/>
        <v>-1.0033284802552811E-2</v>
      </c>
    </row>
    <row r="8956" spans="7:8" x14ac:dyDescent="0.3">
      <c r="G8956" s="78">
        <v>8953</v>
      </c>
      <c r="H8956">
        <f t="shared" ca="1" si="134"/>
        <v>1.6809843272739086E-2</v>
      </c>
    </row>
    <row r="8957" spans="7:8" x14ac:dyDescent="0.3">
      <c r="G8957" s="78">
        <v>8954</v>
      </c>
      <c r="H8957">
        <f t="shared" ca="1" si="134"/>
        <v>1.1758244457092566E-3</v>
      </c>
    </row>
    <row r="8958" spans="7:8" x14ac:dyDescent="0.3">
      <c r="G8958" s="78">
        <v>8955</v>
      </c>
      <c r="H8958">
        <f t="shared" ca="1" si="134"/>
        <v>4.1868961044244139E-2</v>
      </c>
    </row>
    <row r="8959" spans="7:8" x14ac:dyDescent="0.3">
      <c r="G8959" s="78">
        <v>8956</v>
      </c>
      <c r="H8959">
        <f t="shared" ca="1" si="134"/>
        <v>-2.6136365514858678E-2</v>
      </c>
    </row>
    <row r="8960" spans="7:8" x14ac:dyDescent="0.3">
      <c r="G8960" s="78">
        <v>8957</v>
      </c>
      <c r="H8960">
        <f t="shared" ca="1" si="134"/>
        <v>-7.173566972901081E-3</v>
      </c>
    </row>
    <row r="8961" spans="7:8" x14ac:dyDescent="0.3">
      <c r="G8961" s="78">
        <v>8958</v>
      </c>
      <c r="H8961">
        <f t="shared" ca="1" si="134"/>
        <v>-2.0960734556991246E-3</v>
      </c>
    </row>
    <row r="8962" spans="7:8" x14ac:dyDescent="0.3">
      <c r="G8962" s="78">
        <v>8959</v>
      </c>
      <c r="H8962">
        <f t="shared" ca="1" si="134"/>
        <v>-3.4094207020068511E-2</v>
      </c>
    </row>
    <row r="8963" spans="7:8" x14ac:dyDescent="0.3">
      <c r="G8963" s="78">
        <v>8960</v>
      </c>
      <c r="H8963">
        <f t="shared" ca="1" si="134"/>
        <v>2.6861598742800079E-2</v>
      </c>
    </row>
    <row r="8964" spans="7:8" x14ac:dyDescent="0.3">
      <c r="G8964" s="78">
        <v>8961</v>
      </c>
      <c r="H8964">
        <f t="shared" ref="H8964:H9027" ca="1" si="135">_xlfn.NORM.INV(RAND(),$N$4,$N$5)</f>
        <v>-1.3875827425548701E-2</v>
      </c>
    </row>
    <row r="8965" spans="7:8" x14ac:dyDescent="0.3">
      <c r="G8965" s="78">
        <v>8962</v>
      </c>
      <c r="H8965">
        <f t="shared" ca="1" si="135"/>
        <v>-1.0104260020776776E-2</v>
      </c>
    </row>
    <row r="8966" spans="7:8" x14ac:dyDescent="0.3">
      <c r="G8966" s="78">
        <v>8963</v>
      </c>
      <c r="H8966">
        <f t="shared" ca="1" si="135"/>
        <v>-1.6809368049661634E-2</v>
      </c>
    </row>
    <row r="8967" spans="7:8" x14ac:dyDescent="0.3">
      <c r="G8967" s="78">
        <v>8964</v>
      </c>
      <c r="H8967">
        <f t="shared" ca="1" si="135"/>
        <v>-1.3670173913838679E-2</v>
      </c>
    </row>
    <row r="8968" spans="7:8" x14ac:dyDescent="0.3">
      <c r="G8968" s="78">
        <v>8965</v>
      </c>
      <c r="H8968">
        <f t="shared" ca="1" si="135"/>
        <v>-1.0835966577904336E-2</v>
      </c>
    </row>
    <row r="8969" spans="7:8" x14ac:dyDescent="0.3">
      <c r="G8969" s="78">
        <v>8966</v>
      </c>
      <c r="H8969">
        <f t="shared" ca="1" si="135"/>
        <v>7.4488229624817678E-3</v>
      </c>
    </row>
    <row r="8970" spans="7:8" x14ac:dyDescent="0.3">
      <c r="G8970" s="78">
        <v>8967</v>
      </c>
      <c r="H8970">
        <f t="shared" ca="1" si="135"/>
        <v>-1.716096392942587E-3</v>
      </c>
    </row>
    <row r="8971" spans="7:8" x14ac:dyDescent="0.3">
      <c r="G8971" s="78">
        <v>8968</v>
      </c>
      <c r="H8971">
        <f t="shared" ca="1" si="135"/>
        <v>3.2658505589342725E-2</v>
      </c>
    </row>
    <row r="8972" spans="7:8" x14ac:dyDescent="0.3">
      <c r="G8972" s="78">
        <v>8969</v>
      </c>
      <c r="H8972">
        <f t="shared" ca="1" si="135"/>
        <v>-1.0838191357692543E-2</v>
      </c>
    </row>
    <row r="8973" spans="7:8" x14ac:dyDescent="0.3">
      <c r="G8973" s="78">
        <v>8970</v>
      </c>
      <c r="H8973">
        <f t="shared" ca="1" si="135"/>
        <v>3.447769153843999E-3</v>
      </c>
    </row>
    <row r="8974" spans="7:8" x14ac:dyDescent="0.3">
      <c r="G8974" s="78">
        <v>8971</v>
      </c>
      <c r="H8974">
        <f t="shared" ca="1" si="135"/>
        <v>-2.2245338332301048E-2</v>
      </c>
    </row>
    <row r="8975" spans="7:8" x14ac:dyDescent="0.3">
      <c r="G8975" s="78">
        <v>8972</v>
      </c>
      <c r="H8975">
        <f t="shared" ca="1" si="135"/>
        <v>-3.576203662544903E-2</v>
      </c>
    </row>
    <row r="8976" spans="7:8" x14ac:dyDescent="0.3">
      <c r="G8976" s="78">
        <v>8973</v>
      </c>
      <c r="H8976">
        <f t="shared" ca="1" si="135"/>
        <v>3.1339741383895189E-3</v>
      </c>
    </row>
    <row r="8977" spans="7:8" x14ac:dyDescent="0.3">
      <c r="G8977" s="78">
        <v>8974</v>
      </c>
      <c r="H8977">
        <f t="shared" ca="1" si="135"/>
        <v>1.2749417494414819E-2</v>
      </c>
    </row>
    <row r="8978" spans="7:8" x14ac:dyDescent="0.3">
      <c r="G8978" s="78">
        <v>8975</v>
      </c>
      <c r="H8978">
        <f t="shared" ca="1" si="135"/>
        <v>2.0526088632000734E-2</v>
      </c>
    </row>
    <row r="8979" spans="7:8" x14ac:dyDescent="0.3">
      <c r="G8979" s="78">
        <v>8976</v>
      </c>
      <c r="H8979">
        <f t="shared" ca="1" si="135"/>
        <v>2.9695458185384657E-2</v>
      </c>
    </row>
    <row r="8980" spans="7:8" x14ac:dyDescent="0.3">
      <c r="G8980" s="78">
        <v>8977</v>
      </c>
      <c r="H8980">
        <f t="shared" ca="1" si="135"/>
        <v>-3.3619116491950297E-3</v>
      </c>
    </row>
    <row r="8981" spans="7:8" x14ac:dyDescent="0.3">
      <c r="G8981" s="78">
        <v>8978</v>
      </c>
      <c r="H8981">
        <f t="shared" ca="1" si="135"/>
        <v>7.9858591504046623E-3</v>
      </c>
    </row>
    <row r="8982" spans="7:8" x14ac:dyDescent="0.3">
      <c r="G8982" s="78">
        <v>8979</v>
      </c>
      <c r="H8982">
        <f t="shared" ca="1" si="135"/>
        <v>-3.9231497042538548E-3</v>
      </c>
    </row>
    <row r="8983" spans="7:8" x14ac:dyDescent="0.3">
      <c r="G8983" s="78">
        <v>8980</v>
      </c>
      <c r="H8983">
        <f t="shared" ca="1" si="135"/>
        <v>2.6882324790384337E-2</v>
      </c>
    </row>
    <row r="8984" spans="7:8" x14ac:dyDescent="0.3">
      <c r="G8984" s="78">
        <v>8981</v>
      </c>
      <c r="H8984">
        <f t="shared" ca="1" si="135"/>
        <v>-3.475576488943382E-2</v>
      </c>
    </row>
    <row r="8985" spans="7:8" x14ac:dyDescent="0.3">
      <c r="G8985" s="78">
        <v>8982</v>
      </c>
      <c r="H8985">
        <f t="shared" ca="1" si="135"/>
        <v>2.9745708220072099E-3</v>
      </c>
    </row>
    <row r="8986" spans="7:8" x14ac:dyDescent="0.3">
      <c r="G8986" s="78">
        <v>8983</v>
      </c>
      <c r="H8986">
        <f t="shared" ca="1" si="135"/>
        <v>-2.2473635004951562E-2</v>
      </c>
    </row>
    <row r="8987" spans="7:8" x14ac:dyDescent="0.3">
      <c r="G8987" s="78">
        <v>8984</v>
      </c>
      <c r="H8987">
        <f t="shared" ca="1" si="135"/>
        <v>2.8308070494320818E-2</v>
      </c>
    </row>
    <row r="8988" spans="7:8" x14ac:dyDescent="0.3">
      <c r="G8988" s="78">
        <v>8985</v>
      </c>
      <c r="H8988">
        <f t="shared" ca="1" si="135"/>
        <v>-1.7535368508437548E-2</v>
      </c>
    </row>
    <row r="8989" spans="7:8" x14ac:dyDescent="0.3">
      <c r="G8989" s="78">
        <v>8986</v>
      </c>
      <c r="H8989">
        <f t="shared" ca="1" si="135"/>
        <v>7.2230942848215659E-3</v>
      </c>
    </row>
    <row r="8990" spans="7:8" x14ac:dyDescent="0.3">
      <c r="G8990" s="78">
        <v>8987</v>
      </c>
      <c r="H8990">
        <f t="shared" ca="1" si="135"/>
        <v>-1.3092055119306868E-2</v>
      </c>
    </row>
    <row r="8991" spans="7:8" x14ac:dyDescent="0.3">
      <c r="G8991" s="78">
        <v>8988</v>
      </c>
      <c r="H8991">
        <f t="shared" ca="1" si="135"/>
        <v>3.4974266131097137E-3</v>
      </c>
    </row>
    <row r="8992" spans="7:8" x14ac:dyDescent="0.3">
      <c r="G8992" s="78">
        <v>8989</v>
      </c>
      <c r="H8992">
        <f t="shared" ca="1" si="135"/>
        <v>-1.8645849910918675E-3</v>
      </c>
    </row>
    <row r="8993" spans="7:8" x14ac:dyDescent="0.3">
      <c r="G8993" s="78">
        <v>8990</v>
      </c>
      <c r="H8993">
        <f t="shared" ca="1" si="135"/>
        <v>-1.2479033459704473E-2</v>
      </c>
    </row>
    <row r="8994" spans="7:8" x14ac:dyDescent="0.3">
      <c r="G8994" s="78">
        <v>8991</v>
      </c>
      <c r="H8994">
        <f t="shared" ca="1" si="135"/>
        <v>-2.3460466028814884E-2</v>
      </c>
    </row>
    <row r="8995" spans="7:8" x14ac:dyDescent="0.3">
      <c r="G8995" s="78">
        <v>8992</v>
      </c>
      <c r="H8995">
        <f t="shared" ca="1" si="135"/>
        <v>-9.2857662426074181E-4</v>
      </c>
    </row>
    <row r="8996" spans="7:8" x14ac:dyDescent="0.3">
      <c r="G8996" s="78">
        <v>8993</v>
      </c>
      <c r="H8996">
        <f t="shared" ca="1" si="135"/>
        <v>-1.0532646721350347E-2</v>
      </c>
    </row>
    <row r="8997" spans="7:8" x14ac:dyDescent="0.3">
      <c r="G8997" s="78">
        <v>8994</v>
      </c>
      <c r="H8997">
        <f t="shared" ca="1" si="135"/>
        <v>-7.4827577024341859E-3</v>
      </c>
    </row>
    <row r="8998" spans="7:8" x14ac:dyDescent="0.3">
      <c r="G8998" s="78">
        <v>8995</v>
      </c>
      <c r="H8998">
        <f t="shared" ca="1" si="135"/>
        <v>-6.3037483896678124E-3</v>
      </c>
    </row>
    <row r="8999" spans="7:8" x14ac:dyDescent="0.3">
      <c r="G8999" s="78">
        <v>8996</v>
      </c>
      <c r="H8999">
        <f t="shared" ca="1" si="135"/>
        <v>1.697905424327148E-2</v>
      </c>
    </row>
    <row r="9000" spans="7:8" x14ac:dyDescent="0.3">
      <c r="G9000" s="78">
        <v>8997</v>
      </c>
      <c r="H9000">
        <f t="shared" ca="1" si="135"/>
        <v>1.3397116556216192E-2</v>
      </c>
    </row>
    <row r="9001" spans="7:8" x14ac:dyDescent="0.3">
      <c r="G9001" s="78">
        <v>8998</v>
      </c>
      <c r="H9001">
        <f t="shared" ca="1" si="135"/>
        <v>-1.6362439941185986E-2</v>
      </c>
    </row>
    <row r="9002" spans="7:8" x14ac:dyDescent="0.3">
      <c r="G9002" s="78">
        <v>8999</v>
      </c>
      <c r="H9002">
        <f t="shared" ca="1" si="135"/>
        <v>3.213853039771862E-3</v>
      </c>
    </row>
    <row r="9003" spans="7:8" x14ac:dyDescent="0.3">
      <c r="G9003" s="78">
        <v>9000</v>
      </c>
      <c r="H9003">
        <f t="shared" ca="1" si="135"/>
        <v>1.8225952826482494E-2</v>
      </c>
    </row>
    <row r="9004" spans="7:8" x14ac:dyDescent="0.3">
      <c r="G9004" s="78">
        <v>9001</v>
      </c>
      <c r="H9004">
        <f t="shared" ca="1" si="135"/>
        <v>-1.3991205346078665E-2</v>
      </c>
    </row>
    <row r="9005" spans="7:8" x14ac:dyDescent="0.3">
      <c r="G9005" s="78">
        <v>9002</v>
      </c>
      <c r="H9005">
        <f t="shared" ca="1" si="135"/>
        <v>1.2735597983769375E-2</v>
      </c>
    </row>
    <row r="9006" spans="7:8" x14ac:dyDescent="0.3">
      <c r="G9006" s="78">
        <v>9003</v>
      </c>
      <c r="H9006">
        <f t="shared" ca="1" si="135"/>
        <v>-3.0733066330586077E-3</v>
      </c>
    </row>
    <row r="9007" spans="7:8" x14ac:dyDescent="0.3">
      <c r="G9007" s="78">
        <v>9004</v>
      </c>
      <c r="H9007">
        <f t="shared" ca="1" si="135"/>
        <v>1.2136206552588333E-2</v>
      </c>
    </row>
    <row r="9008" spans="7:8" x14ac:dyDescent="0.3">
      <c r="G9008" s="78">
        <v>9005</v>
      </c>
      <c r="H9008">
        <f t="shared" ca="1" si="135"/>
        <v>-2.1099828396080256E-2</v>
      </c>
    </row>
    <row r="9009" spans="7:8" x14ac:dyDescent="0.3">
      <c r="G9009" s="78">
        <v>9006</v>
      </c>
      <c r="H9009">
        <f t="shared" ca="1" si="135"/>
        <v>1.6751302132467789E-2</v>
      </c>
    </row>
    <row r="9010" spans="7:8" x14ac:dyDescent="0.3">
      <c r="G9010" s="78">
        <v>9007</v>
      </c>
      <c r="H9010">
        <f t="shared" ca="1" si="135"/>
        <v>8.0649672050114012E-3</v>
      </c>
    </row>
    <row r="9011" spans="7:8" x14ac:dyDescent="0.3">
      <c r="G9011" s="78">
        <v>9008</v>
      </c>
      <c r="H9011">
        <f t="shared" ca="1" si="135"/>
        <v>-1.1630997266051043E-2</v>
      </c>
    </row>
    <row r="9012" spans="7:8" x14ac:dyDescent="0.3">
      <c r="G9012" s="78">
        <v>9009</v>
      </c>
      <c r="H9012">
        <f t="shared" ca="1" si="135"/>
        <v>2.4421415931599421E-2</v>
      </c>
    </row>
    <row r="9013" spans="7:8" x14ac:dyDescent="0.3">
      <c r="G9013" s="78">
        <v>9010</v>
      </c>
      <c r="H9013">
        <f t="shared" ca="1" si="135"/>
        <v>7.4527195270754321E-4</v>
      </c>
    </row>
    <row r="9014" spans="7:8" x14ac:dyDescent="0.3">
      <c r="G9014" s="78">
        <v>9011</v>
      </c>
      <c r="H9014">
        <f t="shared" ca="1" si="135"/>
        <v>3.776786003535778E-2</v>
      </c>
    </row>
    <row r="9015" spans="7:8" x14ac:dyDescent="0.3">
      <c r="G9015" s="78">
        <v>9012</v>
      </c>
      <c r="H9015">
        <f t="shared" ca="1" si="135"/>
        <v>1.2896665159634682E-2</v>
      </c>
    </row>
    <row r="9016" spans="7:8" x14ac:dyDescent="0.3">
      <c r="G9016" s="78">
        <v>9013</v>
      </c>
      <c r="H9016">
        <f t="shared" ca="1" si="135"/>
        <v>-5.5440354862144499E-3</v>
      </c>
    </row>
    <row r="9017" spans="7:8" x14ac:dyDescent="0.3">
      <c r="G9017" s="78">
        <v>9014</v>
      </c>
      <c r="H9017">
        <f t="shared" ca="1" si="135"/>
        <v>2.7692086440912769E-2</v>
      </c>
    </row>
    <row r="9018" spans="7:8" x14ac:dyDescent="0.3">
      <c r="G9018" s="78">
        <v>9015</v>
      </c>
      <c r="H9018">
        <f t="shared" ca="1" si="135"/>
        <v>2.1969505367745133E-3</v>
      </c>
    </row>
    <row r="9019" spans="7:8" x14ac:dyDescent="0.3">
      <c r="G9019" s="78">
        <v>9016</v>
      </c>
      <c r="H9019">
        <f t="shared" ca="1" si="135"/>
        <v>3.9404834506117252E-2</v>
      </c>
    </row>
    <row r="9020" spans="7:8" x14ac:dyDescent="0.3">
      <c r="G9020" s="78">
        <v>9017</v>
      </c>
      <c r="H9020">
        <f t="shared" ca="1" si="135"/>
        <v>2.7662273280460472E-2</v>
      </c>
    </row>
    <row r="9021" spans="7:8" x14ac:dyDescent="0.3">
      <c r="G9021" s="78">
        <v>9018</v>
      </c>
      <c r="H9021">
        <f t="shared" ca="1" si="135"/>
        <v>1.0707137298836702E-2</v>
      </c>
    </row>
    <row r="9022" spans="7:8" x14ac:dyDescent="0.3">
      <c r="G9022" s="78">
        <v>9019</v>
      </c>
      <c r="H9022">
        <f t="shared" ca="1" si="135"/>
        <v>2.2161439065707583E-2</v>
      </c>
    </row>
    <row r="9023" spans="7:8" x14ac:dyDescent="0.3">
      <c r="G9023" s="78">
        <v>9020</v>
      </c>
      <c r="H9023">
        <f t="shared" ca="1" si="135"/>
        <v>5.4882929548909143E-3</v>
      </c>
    </row>
    <row r="9024" spans="7:8" x14ac:dyDescent="0.3">
      <c r="G9024" s="78">
        <v>9021</v>
      </c>
      <c r="H9024">
        <f t="shared" ca="1" si="135"/>
        <v>-1.8612299086267642E-3</v>
      </c>
    </row>
    <row r="9025" spans="7:8" x14ac:dyDescent="0.3">
      <c r="G9025" s="78">
        <v>9022</v>
      </c>
      <c r="H9025">
        <f t="shared" ca="1" si="135"/>
        <v>2.1280935542435753E-2</v>
      </c>
    </row>
    <row r="9026" spans="7:8" x14ac:dyDescent="0.3">
      <c r="G9026" s="78">
        <v>9023</v>
      </c>
      <c r="H9026">
        <f t="shared" ca="1" si="135"/>
        <v>1.7532748472029867E-2</v>
      </c>
    </row>
    <row r="9027" spans="7:8" x14ac:dyDescent="0.3">
      <c r="G9027" s="78">
        <v>9024</v>
      </c>
      <c r="H9027">
        <f t="shared" ca="1" si="135"/>
        <v>-9.1016470961506179E-3</v>
      </c>
    </row>
    <row r="9028" spans="7:8" x14ac:dyDescent="0.3">
      <c r="G9028" s="78">
        <v>9025</v>
      </c>
      <c r="H9028">
        <f t="shared" ref="H9028:H9091" ca="1" si="136">_xlfn.NORM.INV(RAND(),$N$4,$N$5)</f>
        <v>7.1561859931632628E-4</v>
      </c>
    </row>
    <row r="9029" spans="7:8" x14ac:dyDescent="0.3">
      <c r="G9029" s="78">
        <v>9026</v>
      </c>
      <c r="H9029">
        <f t="shared" ca="1" si="136"/>
        <v>7.0701530303694379E-3</v>
      </c>
    </row>
    <row r="9030" spans="7:8" x14ac:dyDescent="0.3">
      <c r="G9030" s="78">
        <v>9027</v>
      </c>
      <c r="H9030">
        <f t="shared" ca="1" si="136"/>
        <v>-5.1382404690429439E-3</v>
      </c>
    </row>
    <row r="9031" spans="7:8" x14ac:dyDescent="0.3">
      <c r="G9031" s="78">
        <v>9028</v>
      </c>
      <c r="H9031">
        <f t="shared" ca="1" si="136"/>
        <v>8.0032011449463411E-3</v>
      </c>
    </row>
    <row r="9032" spans="7:8" x14ac:dyDescent="0.3">
      <c r="G9032" s="78">
        <v>9029</v>
      </c>
      <c r="H9032">
        <f t="shared" ca="1" si="136"/>
        <v>-7.4187799845625161E-3</v>
      </c>
    </row>
    <row r="9033" spans="7:8" x14ac:dyDescent="0.3">
      <c r="G9033" s="78">
        <v>9030</v>
      </c>
      <c r="H9033">
        <f t="shared" ca="1" si="136"/>
        <v>-2.5549419113123965E-2</v>
      </c>
    </row>
    <row r="9034" spans="7:8" x14ac:dyDescent="0.3">
      <c r="G9034" s="78">
        <v>9031</v>
      </c>
      <c r="H9034">
        <f t="shared" ca="1" si="136"/>
        <v>-1.5581601957481395E-2</v>
      </c>
    </row>
    <row r="9035" spans="7:8" x14ac:dyDescent="0.3">
      <c r="G9035" s="78">
        <v>9032</v>
      </c>
      <c r="H9035">
        <f t="shared" ca="1" si="136"/>
        <v>-1.7586050093933114E-2</v>
      </c>
    </row>
    <row r="9036" spans="7:8" x14ac:dyDescent="0.3">
      <c r="G9036" s="78">
        <v>9033</v>
      </c>
      <c r="H9036">
        <f t="shared" ca="1" si="136"/>
        <v>-1.1210543937735724E-2</v>
      </c>
    </row>
    <row r="9037" spans="7:8" x14ac:dyDescent="0.3">
      <c r="G9037" s="78">
        <v>9034</v>
      </c>
      <c r="H9037">
        <f t="shared" ca="1" si="136"/>
        <v>7.6989602099210436E-3</v>
      </c>
    </row>
    <row r="9038" spans="7:8" x14ac:dyDescent="0.3">
      <c r="G9038" s="78">
        <v>9035</v>
      </c>
      <c r="H9038">
        <f t="shared" ca="1" si="136"/>
        <v>1.8071108306111788E-2</v>
      </c>
    </row>
    <row r="9039" spans="7:8" x14ac:dyDescent="0.3">
      <c r="G9039" s="78">
        <v>9036</v>
      </c>
      <c r="H9039">
        <f t="shared" ca="1" si="136"/>
        <v>2.4591232703154952E-2</v>
      </c>
    </row>
    <row r="9040" spans="7:8" x14ac:dyDescent="0.3">
      <c r="G9040" s="78">
        <v>9037</v>
      </c>
      <c r="H9040">
        <f t="shared" ca="1" si="136"/>
        <v>-3.7613696745989904E-2</v>
      </c>
    </row>
    <row r="9041" spans="7:8" x14ac:dyDescent="0.3">
      <c r="G9041" s="78">
        <v>9038</v>
      </c>
      <c r="H9041">
        <f t="shared" ca="1" si="136"/>
        <v>-5.7833143734384272E-3</v>
      </c>
    </row>
    <row r="9042" spans="7:8" x14ac:dyDescent="0.3">
      <c r="G9042" s="78">
        <v>9039</v>
      </c>
      <c r="H9042">
        <f t="shared" ca="1" si="136"/>
        <v>-2.4557358927209838E-2</v>
      </c>
    </row>
    <row r="9043" spans="7:8" x14ac:dyDescent="0.3">
      <c r="G9043" s="78">
        <v>9040</v>
      </c>
      <c r="H9043">
        <f t="shared" ca="1" si="136"/>
        <v>-6.2956680641246092E-3</v>
      </c>
    </row>
    <row r="9044" spans="7:8" x14ac:dyDescent="0.3">
      <c r="G9044" s="78">
        <v>9041</v>
      </c>
      <c r="H9044">
        <f t="shared" ca="1" si="136"/>
        <v>-1.2226991134265652E-2</v>
      </c>
    </row>
    <row r="9045" spans="7:8" x14ac:dyDescent="0.3">
      <c r="G9045" s="78">
        <v>9042</v>
      </c>
      <c r="H9045">
        <f t="shared" ca="1" si="136"/>
        <v>4.2980969339104346E-3</v>
      </c>
    </row>
    <row r="9046" spans="7:8" x14ac:dyDescent="0.3">
      <c r="G9046" s="78">
        <v>9043</v>
      </c>
      <c r="H9046">
        <f t="shared" ca="1" si="136"/>
        <v>-1.321399764994831E-2</v>
      </c>
    </row>
    <row r="9047" spans="7:8" x14ac:dyDescent="0.3">
      <c r="G9047" s="78">
        <v>9044</v>
      </c>
      <c r="H9047">
        <f t="shared" ca="1" si="136"/>
        <v>-3.8028431666964416E-3</v>
      </c>
    </row>
    <row r="9048" spans="7:8" x14ac:dyDescent="0.3">
      <c r="G9048" s="78">
        <v>9045</v>
      </c>
      <c r="H9048">
        <f t="shared" ca="1" si="136"/>
        <v>-2.7553883098032566E-2</v>
      </c>
    </row>
    <row r="9049" spans="7:8" x14ac:dyDescent="0.3">
      <c r="G9049" s="78">
        <v>9046</v>
      </c>
      <c r="H9049">
        <f t="shared" ca="1" si="136"/>
        <v>-3.2772126858864672E-2</v>
      </c>
    </row>
    <row r="9050" spans="7:8" x14ac:dyDescent="0.3">
      <c r="G9050" s="78">
        <v>9047</v>
      </c>
      <c r="H9050">
        <f t="shared" ca="1" si="136"/>
        <v>1.6962993348607638E-2</v>
      </c>
    </row>
    <row r="9051" spans="7:8" x14ac:dyDescent="0.3">
      <c r="G9051" s="78">
        <v>9048</v>
      </c>
      <c r="H9051">
        <f t="shared" ca="1" si="136"/>
        <v>4.287307901560026E-3</v>
      </c>
    </row>
    <row r="9052" spans="7:8" x14ac:dyDescent="0.3">
      <c r="G9052" s="78">
        <v>9049</v>
      </c>
      <c r="H9052">
        <f t="shared" ca="1" si="136"/>
        <v>1.6067278709381572E-2</v>
      </c>
    </row>
    <row r="9053" spans="7:8" x14ac:dyDescent="0.3">
      <c r="G9053" s="78">
        <v>9050</v>
      </c>
      <c r="H9053">
        <f t="shared" ca="1" si="136"/>
        <v>-4.5737786074950965E-3</v>
      </c>
    </row>
    <row r="9054" spans="7:8" x14ac:dyDescent="0.3">
      <c r="G9054" s="78">
        <v>9051</v>
      </c>
      <c r="H9054">
        <f t="shared" ca="1" si="136"/>
        <v>3.1502526516014581E-2</v>
      </c>
    </row>
    <row r="9055" spans="7:8" x14ac:dyDescent="0.3">
      <c r="G9055" s="78">
        <v>9052</v>
      </c>
      <c r="H9055">
        <f t="shared" ca="1" si="136"/>
        <v>-3.1663568678947165E-2</v>
      </c>
    </row>
    <row r="9056" spans="7:8" x14ac:dyDescent="0.3">
      <c r="G9056" s="78">
        <v>9053</v>
      </c>
      <c r="H9056">
        <f t="shared" ca="1" si="136"/>
        <v>8.1949949381463199E-3</v>
      </c>
    </row>
    <row r="9057" spans="7:8" x14ac:dyDescent="0.3">
      <c r="G9057" s="78">
        <v>9054</v>
      </c>
      <c r="H9057">
        <f t="shared" ca="1" si="136"/>
        <v>2.1243977576781342E-2</v>
      </c>
    </row>
    <row r="9058" spans="7:8" x14ac:dyDescent="0.3">
      <c r="G9058" s="78">
        <v>9055</v>
      </c>
      <c r="H9058">
        <f t="shared" ca="1" si="136"/>
        <v>1.8056624074658016E-2</v>
      </c>
    </row>
    <row r="9059" spans="7:8" x14ac:dyDescent="0.3">
      <c r="G9059" s="78">
        <v>9056</v>
      </c>
      <c r="H9059">
        <f t="shared" ca="1" si="136"/>
        <v>-4.1465063283964571E-3</v>
      </c>
    </row>
    <row r="9060" spans="7:8" x14ac:dyDescent="0.3">
      <c r="G9060" s="78">
        <v>9057</v>
      </c>
      <c r="H9060">
        <f t="shared" ca="1" si="136"/>
        <v>-1.65750664625049E-3</v>
      </c>
    </row>
    <row r="9061" spans="7:8" x14ac:dyDescent="0.3">
      <c r="G9061" s="78">
        <v>9058</v>
      </c>
      <c r="H9061">
        <f t="shared" ca="1" si="136"/>
        <v>2.8993186555620856E-2</v>
      </c>
    </row>
    <row r="9062" spans="7:8" x14ac:dyDescent="0.3">
      <c r="G9062" s="78">
        <v>9059</v>
      </c>
      <c r="H9062">
        <f t="shared" ca="1" si="136"/>
        <v>-2.4831043198798967E-3</v>
      </c>
    </row>
    <row r="9063" spans="7:8" x14ac:dyDescent="0.3">
      <c r="G9063" s="78">
        <v>9060</v>
      </c>
      <c r="H9063">
        <f t="shared" ca="1" si="136"/>
        <v>-2.0776709744887507E-2</v>
      </c>
    </row>
    <row r="9064" spans="7:8" x14ac:dyDescent="0.3">
      <c r="G9064" s="78">
        <v>9061</v>
      </c>
      <c r="H9064">
        <f t="shared" ca="1" si="136"/>
        <v>9.5288709919748964E-3</v>
      </c>
    </row>
    <row r="9065" spans="7:8" x14ac:dyDescent="0.3">
      <c r="G9065" s="78">
        <v>9062</v>
      </c>
      <c r="H9065">
        <f t="shared" ca="1" si="136"/>
        <v>-3.3246820031999115E-2</v>
      </c>
    </row>
    <row r="9066" spans="7:8" x14ac:dyDescent="0.3">
      <c r="G9066" s="78">
        <v>9063</v>
      </c>
      <c r="H9066">
        <f t="shared" ca="1" si="136"/>
        <v>-2.6236574960143064E-2</v>
      </c>
    </row>
    <row r="9067" spans="7:8" x14ac:dyDescent="0.3">
      <c r="G9067" s="78">
        <v>9064</v>
      </c>
      <c r="H9067">
        <f t="shared" ca="1" si="136"/>
        <v>-1.0261074965566719E-2</v>
      </c>
    </row>
    <row r="9068" spans="7:8" x14ac:dyDescent="0.3">
      <c r="G9068" s="78">
        <v>9065</v>
      </c>
      <c r="H9068">
        <f t="shared" ca="1" si="136"/>
        <v>7.0061867655406484E-3</v>
      </c>
    </row>
    <row r="9069" spans="7:8" x14ac:dyDescent="0.3">
      <c r="G9069" s="78">
        <v>9066</v>
      </c>
      <c r="H9069">
        <f t="shared" ca="1" si="136"/>
        <v>3.7460736389904839E-2</v>
      </c>
    </row>
    <row r="9070" spans="7:8" x14ac:dyDescent="0.3">
      <c r="G9070" s="78">
        <v>9067</v>
      </c>
      <c r="H9070">
        <f t="shared" ca="1" si="136"/>
        <v>-2.4888141171248056E-2</v>
      </c>
    </row>
    <row r="9071" spans="7:8" x14ac:dyDescent="0.3">
      <c r="G9071" s="78">
        <v>9068</v>
      </c>
      <c r="H9071">
        <f t="shared" ca="1" si="136"/>
        <v>3.584895069557132E-2</v>
      </c>
    </row>
    <row r="9072" spans="7:8" x14ac:dyDescent="0.3">
      <c r="G9072" s="78">
        <v>9069</v>
      </c>
      <c r="H9072">
        <f t="shared" ca="1" si="136"/>
        <v>-2.6572679276052925E-2</v>
      </c>
    </row>
    <row r="9073" spans="7:8" x14ac:dyDescent="0.3">
      <c r="G9073" s="78">
        <v>9070</v>
      </c>
      <c r="H9073">
        <f t="shared" ca="1" si="136"/>
        <v>1.4949545332827793E-2</v>
      </c>
    </row>
    <row r="9074" spans="7:8" x14ac:dyDescent="0.3">
      <c r="G9074" s="78">
        <v>9071</v>
      </c>
      <c r="H9074">
        <f t="shared" ca="1" si="136"/>
        <v>3.4355003364844906E-2</v>
      </c>
    </row>
    <row r="9075" spans="7:8" x14ac:dyDescent="0.3">
      <c r="G9075" s="78">
        <v>9072</v>
      </c>
      <c r="H9075">
        <f t="shared" ca="1" si="136"/>
        <v>2.0715651540984863E-2</v>
      </c>
    </row>
    <row r="9076" spans="7:8" x14ac:dyDescent="0.3">
      <c r="G9076" s="78">
        <v>9073</v>
      </c>
      <c r="H9076">
        <f t="shared" ca="1" si="136"/>
        <v>3.411235299704888E-2</v>
      </c>
    </row>
    <row r="9077" spans="7:8" x14ac:dyDescent="0.3">
      <c r="G9077" s="78">
        <v>9074</v>
      </c>
      <c r="H9077">
        <f t="shared" ca="1" si="136"/>
        <v>-8.6117719015385459E-3</v>
      </c>
    </row>
    <row r="9078" spans="7:8" x14ac:dyDescent="0.3">
      <c r="G9078" s="78">
        <v>9075</v>
      </c>
      <c r="H9078">
        <f t="shared" ca="1" si="136"/>
        <v>2.7647562720239761E-2</v>
      </c>
    </row>
    <row r="9079" spans="7:8" x14ac:dyDescent="0.3">
      <c r="G9079" s="78">
        <v>9076</v>
      </c>
      <c r="H9079">
        <f t="shared" ca="1" si="136"/>
        <v>-2.9111568901439712E-2</v>
      </c>
    </row>
    <row r="9080" spans="7:8" x14ac:dyDescent="0.3">
      <c r="G9080" s="78">
        <v>9077</v>
      </c>
      <c r="H9080">
        <f t="shared" ca="1" si="136"/>
        <v>-1.9253275558847247E-2</v>
      </c>
    </row>
    <row r="9081" spans="7:8" x14ac:dyDescent="0.3">
      <c r="G9081" s="78">
        <v>9078</v>
      </c>
      <c r="H9081">
        <f t="shared" ca="1" si="136"/>
        <v>-4.3209763465804569E-3</v>
      </c>
    </row>
    <row r="9082" spans="7:8" x14ac:dyDescent="0.3">
      <c r="G9082" s="78">
        <v>9079</v>
      </c>
      <c r="H9082">
        <f t="shared" ca="1" si="136"/>
        <v>1.6721458584293169E-3</v>
      </c>
    </row>
    <row r="9083" spans="7:8" x14ac:dyDescent="0.3">
      <c r="G9083" s="78">
        <v>9080</v>
      </c>
      <c r="H9083">
        <f t="shared" ca="1" si="136"/>
        <v>1.7707684886614998E-2</v>
      </c>
    </row>
    <row r="9084" spans="7:8" x14ac:dyDescent="0.3">
      <c r="G9084" s="78">
        <v>9081</v>
      </c>
      <c r="H9084">
        <f t="shared" ca="1" si="136"/>
        <v>-2.2412463006206976E-2</v>
      </c>
    </row>
    <row r="9085" spans="7:8" x14ac:dyDescent="0.3">
      <c r="G9085" s="78">
        <v>9082</v>
      </c>
      <c r="H9085">
        <f t="shared" ca="1" si="136"/>
        <v>5.363974993932096E-3</v>
      </c>
    </row>
    <row r="9086" spans="7:8" x14ac:dyDescent="0.3">
      <c r="G9086" s="78">
        <v>9083</v>
      </c>
      <c r="H9086">
        <f t="shared" ca="1" si="136"/>
        <v>-3.2815061803917966E-2</v>
      </c>
    </row>
    <row r="9087" spans="7:8" x14ac:dyDescent="0.3">
      <c r="G9087" s="78">
        <v>9084</v>
      </c>
      <c r="H9087">
        <f t="shared" ca="1" si="136"/>
        <v>-5.5144947542021001E-3</v>
      </c>
    </row>
    <row r="9088" spans="7:8" x14ac:dyDescent="0.3">
      <c r="G9088" s="78">
        <v>9085</v>
      </c>
      <c r="H9088">
        <f t="shared" ca="1" si="136"/>
        <v>-2.8182144405718534E-2</v>
      </c>
    </row>
    <row r="9089" spans="7:8" x14ac:dyDescent="0.3">
      <c r="G9089" s="78">
        <v>9086</v>
      </c>
      <c r="H9089">
        <f t="shared" ca="1" si="136"/>
        <v>-2.7914939294220498E-2</v>
      </c>
    </row>
    <row r="9090" spans="7:8" x14ac:dyDescent="0.3">
      <c r="G9090" s="78">
        <v>9087</v>
      </c>
      <c r="H9090">
        <f t="shared" ca="1" si="136"/>
        <v>9.7267121703372515E-3</v>
      </c>
    </row>
    <row r="9091" spans="7:8" x14ac:dyDescent="0.3">
      <c r="G9091" s="78">
        <v>9088</v>
      </c>
      <c r="H9091">
        <f t="shared" ca="1" si="136"/>
        <v>1.6249087630030686E-2</v>
      </c>
    </row>
    <row r="9092" spans="7:8" x14ac:dyDescent="0.3">
      <c r="G9092" s="78">
        <v>9089</v>
      </c>
      <c r="H9092">
        <f t="shared" ref="H9092:H9155" ca="1" si="137">_xlfn.NORM.INV(RAND(),$N$4,$N$5)</f>
        <v>7.9937244236671211E-3</v>
      </c>
    </row>
    <row r="9093" spans="7:8" x14ac:dyDescent="0.3">
      <c r="G9093" s="78">
        <v>9090</v>
      </c>
      <c r="H9093">
        <f t="shared" ca="1" si="137"/>
        <v>-4.8452252998685179E-3</v>
      </c>
    </row>
    <row r="9094" spans="7:8" x14ac:dyDescent="0.3">
      <c r="G9094" s="78">
        <v>9091</v>
      </c>
      <c r="H9094">
        <f t="shared" ca="1" si="137"/>
        <v>-2.1201519214648076E-2</v>
      </c>
    </row>
    <row r="9095" spans="7:8" x14ac:dyDescent="0.3">
      <c r="G9095" s="78">
        <v>9092</v>
      </c>
      <c r="H9095">
        <f t="shared" ca="1" si="137"/>
        <v>1.7557784905115781E-2</v>
      </c>
    </row>
    <row r="9096" spans="7:8" x14ac:dyDescent="0.3">
      <c r="G9096" s="78">
        <v>9093</v>
      </c>
      <c r="H9096">
        <f t="shared" ca="1" si="137"/>
        <v>-1.5109990100799811E-2</v>
      </c>
    </row>
    <row r="9097" spans="7:8" x14ac:dyDescent="0.3">
      <c r="G9097" s="78">
        <v>9094</v>
      </c>
      <c r="H9097">
        <f t="shared" ca="1" si="137"/>
        <v>1.2520277753586516E-2</v>
      </c>
    </row>
    <row r="9098" spans="7:8" x14ac:dyDescent="0.3">
      <c r="G9098" s="78">
        <v>9095</v>
      </c>
      <c r="H9098">
        <f t="shared" ca="1" si="137"/>
        <v>-3.1047828776977898E-2</v>
      </c>
    </row>
    <row r="9099" spans="7:8" x14ac:dyDescent="0.3">
      <c r="G9099" s="78">
        <v>9096</v>
      </c>
      <c r="H9099">
        <f t="shared" ca="1" si="137"/>
        <v>3.770268349581397E-3</v>
      </c>
    </row>
    <row r="9100" spans="7:8" x14ac:dyDescent="0.3">
      <c r="G9100" s="78">
        <v>9097</v>
      </c>
      <c r="H9100">
        <f t="shared" ca="1" si="137"/>
        <v>8.5753622736799307E-3</v>
      </c>
    </row>
    <row r="9101" spans="7:8" x14ac:dyDescent="0.3">
      <c r="G9101" s="78">
        <v>9098</v>
      </c>
      <c r="H9101">
        <f t="shared" ca="1" si="137"/>
        <v>-1.6317189303694177E-2</v>
      </c>
    </row>
    <row r="9102" spans="7:8" x14ac:dyDescent="0.3">
      <c r="G9102" s="78">
        <v>9099</v>
      </c>
      <c r="H9102">
        <f t="shared" ca="1" si="137"/>
        <v>1.6551874434208729E-2</v>
      </c>
    </row>
    <row r="9103" spans="7:8" x14ac:dyDescent="0.3">
      <c r="G9103" s="78">
        <v>9100</v>
      </c>
      <c r="H9103">
        <f t="shared" ca="1" si="137"/>
        <v>1.2812553443727509E-2</v>
      </c>
    </row>
    <row r="9104" spans="7:8" x14ac:dyDescent="0.3">
      <c r="G9104" s="78">
        <v>9101</v>
      </c>
      <c r="H9104">
        <f t="shared" ca="1" si="137"/>
        <v>8.1247008585320687E-3</v>
      </c>
    </row>
    <row r="9105" spans="7:8" x14ac:dyDescent="0.3">
      <c r="G9105" s="78">
        <v>9102</v>
      </c>
      <c r="H9105">
        <f t="shared" ca="1" si="137"/>
        <v>3.5602906180218365E-2</v>
      </c>
    </row>
    <row r="9106" spans="7:8" x14ac:dyDescent="0.3">
      <c r="G9106" s="78">
        <v>9103</v>
      </c>
      <c r="H9106">
        <f t="shared" ca="1" si="137"/>
        <v>4.1087613574892039E-2</v>
      </c>
    </row>
    <row r="9107" spans="7:8" x14ac:dyDescent="0.3">
      <c r="G9107" s="78">
        <v>9104</v>
      </c>
      <c r="H9107">
        <f t="shared" ca="1" si="137"/>
        <v>5.9164022525360307E-2</v>
      </c>
    </row>
    <row r="9108" spans="7:8" x14ac:dyDescent="0.3">
      <c r="G9108" s="78">
        <v>9105</v>
      </c>
      <c r="H9108">
        <f t="shared" ca="1" si="137"/>
        <v>1.9579729954426497E-2</v>
      </c>
    </row>
    <row r="9109" spans="7:8" x14ac:dyDescent="0.3">
      <c r="G9109" s="78">
        <v>9106</v>
      </c>
      <c r="H9109">
        <f t="shared" ca="1" si="137"/>
        <v>-1.2108476124387001E-2</v>
      </c>
    </row>
    <row r="9110" spans="7:8" x14ac:dyDescent="0.3">
      <c r="G9110" s="78">
        <v>9107</v>
      </c>
      <c r="H9110">
        <f t="shared" ca="1" si="137"/>
        <v>-2.7292075740645242E-3</v>
      </c>
    </row>
    <row r="9111" spans="7:8" x14ac:dyDescent="0.3">
      <c r="G9111" s="78">
        <v>9108</v>
      </c>
      <c r="H9111">
        <f t="shared" ca="1" si="137"/>
        <v>3.479749900306129E-2</v>
      </c>
    </row>
    <row r="9112" spans="7:8" x14ac:dyDescent="0.3">
      <c r="G9112" s="78">
        <v>9109</v>
      </c>
      <c r="H9112">
        <f t="shared" ca="1" si="137"/>
        <v>1.59569921969521E-2</v>
      </c>
    </row>
    <row r="9113" spans="7:8" x14ac:dyDescent="0.3">
      <c r="G9113" s="78">
        <v>9110</v>
      </c>
      <c r="H9113">
        <f t="shared" ca="1" si="137"/>
        <v>-1.0803012569384922E-2</v>
      </c>
    </row>
    <row r="9114" spans="7:8" x14ac:dyDescent="0.3">
      <c r="G9114" s="78">
        <v>9111</v>
      </c>
      <c r="H9114">
        <f t="shared" ca="1" si="137"/>
        <v>6.0753773911734702E-3</v>
      </c>
    </row>
    <row r="9115" spans="7:8" x14ac:dyDescent="0.3">
      <c r="G9115" s="78">
        <v>9112</v>
      </c>
      <c r="H9115">
        <f t="shared" ca="1" si="137"/>
        <v>1.1214462477880074E-2</v>
      </c>
    </row>
    <row r="9116" spans="7:8" x14ac:dyDescent="0.3">
      <c r="G9116" s="78">
        <v>9113</v>
      </c>
      <c r="H9116">
        <f t="shared" ca="1" si="137"/>
        <v>1.3347086163997873E-3</v>
      </c>
    </row>
    <row r="9117" spans="7:8" x14ac:dyDescent="0.3">
      <c r="G9117" s="78">
        <v>9114</v>
      </c>
      <c r="H9117">
        <f t="shared" ca="1" si="137"/>
        <v>6.530915881046955E-3</v>
      </c>
    </row>
    <row r="9118" spans="7:8" x14ac:dyDescent="0.3">
      <c r="G9118" s="78">
        <v>9115</v>
      </c>
      <c r="H9118">
        <f t="shared" ca="1" si="137"/>
        <v>-8.2511224210830188E-3</v>
      </c>
    </row>
    <row r="9119" spans="7:8" x14ac:dyDescent="0.3">
      <c r="G9119" s="78">
        <v>9116</v>
      </c>
      <c r="H9119">
        <f t="shared" ca="1" si="137"/>
        <v>-3.181643972881177E-2</v>
      </c>
    </row>
    <row r="9120" spans="7:8" x14ac:dyDescent="0.3">
      <c r="G9120" s="78">
        <v>9117</v>
      </c>
      <c r="H9120">
        <f t="shared" ca="1" si="137"/>
        <v>-3.1662724404892338E-2</v>
      </c>
    </row>
    <row r="9121" spans="7:8" x14ac:dyDescent="0.3">
      <c r="G9121" s="78">
        <v>9118</v>
      </c>
      <c r="H9121">
        <f t="shared" ca="1" si="137"/>
        <v>-2.3252071074419036E-2</v>
      </c>
    </row>
    <row r="9122" spans="7:8" x14ac:dyDescent="0.3">
      <c r="G9122" s="78">
        <v>9119</v>
      </c>
      <c r="H9122">
        <f t="shared" ca="1" si="137"/>
        <v>4.0900184280144034E-3</v>
      </c>
    </row>
    <row r="9123" spans="7:8" x14ac:dyDescent="0.3">
      <c r="G9123" s="78">
        <v>9120</v>
      </c>
      <c r="H9123">
        <f t="shared" ca="1" si="137"/>
        <v>5.0594830570583759E-4</v>
      </c>
    </row>
    <row r="9124" spans="7:8" x14ac:dyDescent="0.3">
      <c r="G9124" s="78">
        <v>9121</v>
      </c>
      <c r="H9124">
        <f t="shared" ca="1" si="137"/>
        <v>-5.1508521762342824E-3</v>
      </c>
    </row>
    <row r="9125" spans="7:8" x14ac:dyDescent="0.3">
      <c r="G9125" s="78">
        <v>9122</v>
      </c>
      <c r="H9125">
        <f t="shared" ca="1" si="137"/>
        <v>4.4520745777259112E-2</v>
      </c>
    </row>
    <row r="9126" spans="7:8" x14ac:dyDescent="0.3">
      <c r="G9126" s="78">
        <v>9123</v>
      </c>
      <c r="H9126">
        <f t="shared" ca="1" si="137"/>
        <v>1.6432292318456672E-2</v>
      </c>
    </row>
    <row r="9127" spans="7:8" x14ac:dyDescent="0.3">
      <c r="G9127" s="78">
        <v>9124</v>
      </c>
      <c r="H9127">
        <f t="shared" ca="1" si="137"/>
        <v>1.9903866174463387E-2</v>
      </c>
    </row>
    <row r="9128" spans="7:8" x14ac:dyDescent="0.3">
      <c r="G9128" s="78">
        <v>9125</v>
      </c>
      <c r="H9128">
        <f t="shared" ca="1" si="137"/>
        <v>2.8868108642748708E-2</v>
      </c>
    </row>
    <row r="9129" spans="7:8" x14ac:dyDescent="0.3">
      <c r="G9129" s="78">
        <v>9126</v>
      </c>
      <c r="H9129">
        <f t="shared" ca="1" si="137"/>
        <v>3.1634813938447573E-3</v>
      </c>
    </row>
    <row r="9130" spans="7:8" x14ac:dyDescent="0.3">
      <c r="G9130" s="78">
        <v>9127</v>
      </c>
      <c r="H9130">
        <f t="shared" ca="1" si="137"/>
        <v>1.5387456584378092E-2</v>
      </c>
    </row>
    <row r="9131" spans="7:8" x14ac:dyDescent="0.3">
      <c r="G9131" s="78">
        <v>9128</v>
      </c>
      <c r="H9131">
        <f t="shared" ca="1" si="137"/>
        <v>2.4045746743680953E-2</v>
      </c>
    </row>
    <row r="9132" spans="7:8" x14ac:dyDescent="0.3">
      <c r="G9132" s="78">
        <v>9129</v>
      </c>
      <c r="H9132">
        <f t="shared" ca="1" si="137"/>
        <v>-1.4991398597823719E-2</v>
      </c>
    </row>
    <row r="9133" spans="7:8" x14ac:dyDescent="0.3">
      <c r="G9133" s="78">
        <v>9130</v>
      </c>
      <c r="H9133">
        <f t="shared" ca="1" si="137"/>
        <v>-1.7197947930565848E-3</v>
      </c>
    </row>
    <row r="9134" spans="7:8" x14ac:dyDescent="0.3">
      <c r="G9134" s="78">
        <v>9131</v>
      </c>
      <c r="H9134">
        <f t="shared" ca="1" si="137"/>
        <v>-4.2313126144075078E-2</v>
      </c>
    </row>
    <row r="9135" spans="7:8" x14ac:dyDescent="0.3">
      <c r="G9135" s="78">
        <v>9132</v>
      </c>
      <c r="H9135">
        <f t="shared" ca="1" si="137"/>
        <v>-2.1072060117186334E-2</v>
      </c>
    </row>
    <row r="9136" spans="7:8" x14ac:dyDescent="0.3">
      <c r="G9136" s="78">
        <v>9133</v>
      </c>
      <c r="H9136">
        <f t="shared" ca="1" si="137"/>
        <v>9.4050872068537801E-3</v>
      </c>
    </row>
    <row r="9137" spans="7:8" x14ac:dyDescent="0.3">
      <c r="G9137" s="78">
        <v>9134</v>
      </c>
      <c r="H9137">
        <f t="shared" ca="1" si="137"/>
        <v>-5.4166107425343966E-2</v>
      </c>
    </row>
    <row r="9138" spans="7:8" x14ac:dyDescent="0.3">
      <c r="G9138" s="78">
        <v>9135</v>
      </c>
      <c r="H9138">
        <f t="shared" ca="1" si="137"/>
        <v>1.0392697794002655E-4</v>
      </c>
    </row>
    <row r="9139" spans="7:8" x14ac:dyDescent="0.3">
      <c r="G9139" s="78">
        <v>9136</v>
      </c>
      <c r="H9139">
        <f t="shared" ca="1" si="137"/>
        <v>-6.7510206080820577E-3</v>
      </c>
    </row>
    <row r="9140" spans="7:8" x14ac:dyDescent="0.3">
      <c r="G9140" s="78">
        <v>9137</v>
      </c>
      <c r="H9140">
        <f t="shared" ca="1" si="137"/>
        <v>-1.190528413430577E-2</v>
      </c>
    </row>
    <row r="9141" spans="7:8" x14ac:dyDescent="0.3">
      <c r="G9141" s="78">
        <v>9138</v>
      </c>
      <c r="H9141">
        <f t="shared" ca="1" si="137"/>
        <v>1.5837771636052517E-2</v>
      </c>
    </row>
    <row r="9142" spans="7:8" x14ac:dyDescent="0.3">
      <c r="G9142" s="78">
        <v>9139</v>
      </c>
      <c r="H9142">
        <f t="shared" ca="1" si="137"/>
        <v>2.6098925057385723E-2</v>
      </c>
    </row>
    <row r="9143" spans="7:8" x14ac:dyDescent="0.3">
      <c r="G9143" s="78">
        <v>9140</v>
      </c>
      <c r="H9143">
        <f t="shared" ca="1" si="137"/>
        <v>-1.8196853487301209E-2</v>
      </c>
    </row>
    <row r="9144" spans="7:8" x14ac:dyDescent="0.3">
      <c r="G9144" s="78">
        <v>9141</v>
      </c>
      <c r="H9144">
        <f t="shared" ca="1" si="137"/>
        <v>1.7181299766059799E-2</v>
      </c>
    </row>
    <row r="9145" spans="7:8" x14ac:dyDescent="0.3">
      <c r="G9145" s="78">
        <v>9142</v>
      </c>
      <c r="H9145">
        <f t="shared" ca="1" si="137"/>
        <v>-1.9803177355746535E-2</v>
      </c>
    </row>
    <row r="9146" spans="7:8" x14ac:dyDescent="0.3">
      <c r="G9146" s="78">
        <v>9143</v>
      </c>
      <c r="H9146">
        <f t="shared" ca="1" si="137"/>
        <v>2.6805448567898318E-2</v>
      </c>
    </row>
    <row r="9147" spans="7:8" x14ac:dyDescent="0.3">
      <c r="G9147" s="78">
        <v>9144</v>
      </c>
      <c r="H9147">
        <f t="shared" ca="1" si="137"/>
        <v>-5.7915564956696388E-3</v>
      </c>
    </row>
    <row r="9148" spans="7:8" x14ac:dyDescent="0.3">
      <c r="G9148" s="78">
        <v>9145</v>
      </c>
      <c r="H9148">
        <f t="shared" ca="1" si="137"/>
        <v>1.8517393957678509E-2</v>
      </c>
    </row>
    <row r="9149" spans="7:8" x14ac:dyDescent="0.3">
      <c r="G9149" s="78">
        <v>9146</v>
      </c>
      <c r="H9149">
        <f t="shared" ca="1" si="137"/>
        <v>-5.2939175207969615E-3</v>
      </c>
    </row>
    <row r="9150" spans="7:8" x14ac:dyDescent="0.3">
      <c r="G9150" s="78">
        <v>9147</v>
      </c>
      <c r="H9150">
        <f t="shared" ca="1" si="137"/>
        <v>3.9611844009882664E-2</v>
      </c>
    </row>
    <row r="9151" spans="7:8" x14ac:dyDescent="0.3">
      <c r="G9151" s="78">
        <v>9148</v>
      </c>
      <c r="H9151">
        <f t="shared" ca="1" si="137"/>
        <v>9.5933654473505771E-4</v>
      </c>
    </row>
    <row r="9152" spans="7:8" x14ac:dyDescent="0.3">
      <c r="G9152" s="78">
        <v>9149</v>
      </c>
      <c r="H9152">
        <f t="shared" ca="1" si="137"/>
        <v>-5.776764647247171E-3</v>
      </c>
    </row>
    <row r="9153" spans="7:8" x14ac:dyDescent="0.3">
      <c r="G9153" s="78">
        <v>9150</v>
      </c>
      <c r="H9153">
        <f t="shared" ca="1" si="137"/>
        <v>8.3646942476931895E-3</v>
      </c>
    </row>
    <row r="9154" spans="7:8" x14ac:dyDescent="0.3">
      <c r="G9154" s="78">
        <v>9151</v>
      </c>
      <c r="H9154">
        <f t="shared" ca="1" si="137"/>
        <v>-2.5474586721278735E-2</v>
      </c>
    </row>
    <row r="9155" spans="7:8" x14ac:dyDescent="0.3">
      <c r="G9155" s="78">
        <v>9152</v>
      </c>
      <c r="H9155">
        <f t="shared" ca="1" si="137"/>
        <v>-3.9879549582447276E-3</v>
      </c>
    </row>
    <row r="9156" spans="7:8" x14ac:dyDescent="0.3">
      <c r="G9156" s="78">
        <v>9153</v>
      </c>
      <c r="H9156">
        <f t="shared" ref="H9156:H9219" ca="1" si="138">_xlfn.NORM.INV(RAND(),$N$4,$N$5)</f>
        <v>4.0221317909619504E-3</v>
      </c>
    </row>
    <row r="9157" spans="7:8" x14ac:dyDescent="0.3">
      <c r="G9157" s="78">
        <v>9154</v>
      </c>
      <c r="H9157">
        <f t="shared" ca="1" si="138"/>
        <v>-3.235658997830964E-2</v>
      </c>
    </row>
    <row r="9158" spans="7:8" x14ac:dyDescent="0.3">
      <c r="G9158" s="78">
        <v>9155</v>
      </c>
      <c r="H9158">
        <f t="shared" ca="1" si="138"/>
        <v>-1.6357652878435016E-2</v>
      </c>
    </row>
    <row r="9159" spans="7:8" x14ac:dyDescent="0.3">
      <c r="G9159" s="78">
        <v>9156</v>
      </c>
      <c r="H9159">
        <f t="shared" ca="1" si="138"/>
        <v>-3.402400360751586E-4</v>
      </c>
    </row>
    <row r="9160" spans="7:8" x14ac:dyDescent="0.3">
      <c r="G9160" s="78">
        <v>9157</v>
      </c>
      <c r="H9160">
        <f t="shared" ca="1" si="138"/>
        <v>-1.2118662042765765E-2</v>
      </c>
    </row>
    <row r="9161" spans="7:8" x14ac:dyDescent="0.3">
      <c r="G9161" s="78">
        <v>9158</v>
      </c>
      <c r="H9161">
        <f t="shared" ca="1" si="138"/>
        <v>-1.4401588490734534E-2</v>
      </c>
    </row>
    <row r="9162" spans="7:8" x14ac:dyDescent="0.3">
      <c r="G9162" s="78">
        <v>9159</v>
      </c>
      <c r="H9162">
        <f t="shared" ca="1" si="138"/>
        <v>-1.3504946875489813E-3</v>
      </c>
    </row>
    <row r="9163" spans="7:8" x14ac:dyDescent="0.3">
      <c r="G9163" s="78">
        <v>9160</v>
      </c>
      <c r="H9163">
        <f t="shared" ca="1" si="138"/>
        <v>-1.8882028801397634E-2</v>
      </c>
    </row>
    <row r="9164" spans="7:8" x14ac:dyDescent="0.3">
      <c r="G9164" s="78">
        <v>9161</v>
      </c>
      <c r="H9164">
        <f t="shared" ca="1" si="138"/>
        <v>1.7665611072770562E-2</v>
      </c>
    </row>
    <row r="9165" spans="7:8" x14ac:dyDescent="0.3">
      <c r="G9165" s="78">
        <v>9162</v>
      </c>
      <c r="H9165">
        <f t="shared" ca="1" si="138"/>
        <v>3.6959583330880612E-2</v>
      </c>
    </row>
    <row r="9166" spans="7:8" x14ac:dyDescent="0.3">
      <c r="G9166" s="78">
        <v>9163</v>
      </c>
      <c r="H9166">
        <f t="shared" ca="1" si="138"/>
        <v>6.4805641577327959E-3</v>
      </c>
    </row>
    <row r="9167" spans="7:8" x14ac:dyDescent="0.3">
      <c r="G9167" s="78">
        <v>9164</v>
      </c>
      <c r="H9167">
        <f t="shared" ca="1" si="138"/>
        <v>3.5978191030513355E-2</v>
      </c>
    </row>
    <row r="9168" spans="7:8" x14ac:dyDescent="0.3">
      <c r="G9168" s="78">
        <v>9165</v>
      </c>
      <c r="H9168">
        <f t="shared" ca="1" si="138"/>
        <v>1.3026131225359826E-2</v>
      </c>
    </row>
    <row r="9169" spans="7:8" x14ac:dyDescent="0.3">
      <c r="G9169" s="78">
        <v>9166</v>
      </c>
      <c r="H9169">
        <f t="shared" ca="1" si="138"/>
        <v>-1.6816787862927987E-3</v>
      </c>
    </row>
    <row r="9170" spans="7:8" x14ac:dyDescent="0.3">
      <c r="G9170" s="78">
        <v>9167</v>
      </c>
      <c r="H9170">
        <f t="shared" ca="1" si="138"/>
        <v>-2.4619063973200664E-3</v>
      </c>
    </row>
    <row r="9171" spans="7:8" x14ac:dyDescent="0.3">
      <c r="G9171" s="78">
        <v>9168</v>
      </c>
      <c r="H9171">
        <f t="shared" ca="1" si="138"/>
        <v>-1.17171244130563E-2</v>
      </c>
    </row>
    <row r="9172" spans="7:8" x14ac:dyDescent="0.3">
      <c r="G9172" s="78">
        <v>9169</v>
      </c>
      <c r="H9172">
        <f t="shared" ca="1" si="138"/>
        <v>-2.5324242229422074E-4</v>
      </c>
    </row>
    <row r="9173" spans="7:8" x14ac:dyDescent="0.3">
      <c r="G9173" s="78">
        <v>9170</v>
      </c>
      <c r="H9173">
        <f t="shared" ca="1" si="138"/>
        <v>3.2235098380320355E-2</v>
      </c>
    </row>
    <row r="9174" spans="7:8" x14ac:dyDescent="0.3">
      <c r="G9174" s="78">
        <v>9171</v>
      </c>
      <c r="H9174">
        <f t="shared" ca="1" si="138"/>
        <v>9.0461252339423294E-3</v>
      </c>
    </row>
    <row r="9175" spans="7:8" x14ac:dyDescent="0.3">
      <c r="G9175" s="78">
        <v>9172</v>
      </c>
      <c r="H9175">
        <f t="shared" ca="1" si="138"/>
        <v>-8.4786903759139082E-3</v>
      </c>
    </row>
    <row r="9176" spans="7:8" x14ac:dyDescent="0.3">
      <c r="G9176" s="78">
        <v>9173</v>
      </c>
      <c r="H9176">
        <f t="shared" ca="1" si="138"/>
        <v>2.2954271041257444E-2</v>
      </c>
    </row>
    <row r="9177" spans="7:8" x14ac:dyDescent="0.3">
      <c r="G9177" s="78">
        <v>9174</v>
      </c>
      <c r="H9177">
        <f t="shared" ca="1" si="138"/>
        <v>2.5738335922856397E-2</v>
      </c>
    </row>
    <row r="9178" spans="7:8" x14ac:dyDescent="0.3">
      <c r="G9178" s="78">
        <v>9175</v>
      </c>
      <c r="H9178">
        <f t="shared" ca="1" si="138"/>
        <v>1.9447526611235649E-2</v>
      </c>
    </row>
    <row r="9179" spans="7:8" x14ac:dyDescent="0.3">
      <c r="G9179" s="78">
        <v>9176</v>
      </c>
      <c r="H9179">
        <f t="shared" ca="1" si="138"/>
        <v>-8.2813392003852171E-4</v>
      </c>
    </row>
    <row r="9180" spans="7:8" x14ac:dyDescent="0.3">
      <c r="G9180" s="78">
        <v>9177</v>
      </c>
      <c r="H9180">
        <f t="shared" ca="1" si="138"/>
        <v>3.1344678733246888E-3</v>
      </c>
    </row>
    <row r="9181" spans="7:8" x14ac:dyDescent="0.3">
      <c r="G9181" s="78">
        <v>9178</v>
      </c>
      <c r="H9181">
        <f t="shared" ca="1" si="138"/>
        <v>8.0066273441151328E-3</v>
      </c>
    </row>
    <row r="9182" spans="7:8" x14ac:dyDescent="0.3">
      <c r="G9182" s="78">
        <v>9179</v>
      </c>
      <c r="H9182">
        <f t="shared" ca="1" si="138"/>
        <v>2.3785705411890866E-2</v>
      </c>
    </row>
    <row r="9183" spans="7:8" x14ac:dyDescent="0.3">
      <c r="G9183" s="78">
        <v>9180</v>
      </c>
      <c r="H9183">
        <f t="shared" ca="1" si="138"/>
        <v>-3.0848483775145702E-3</v>
      </c>
    </row>
    <row r="9184" spans="7:8" x14ac:dyDescent="0.3">
      <c r="G9184" s="78">
        <v>9181</v>
      </c>
      <c r="H9184">
        <f t="shared" ca="1" si="138"/>
        <v>-3.1845846913998097E-2</v>
      </c>
    </row>
    <row r="9185" spans="7:8" x14ac:dyDescent="0.3">
      <c r="G9185" s="78">
        <v>9182</v>
      </c>
      <c r="H9185">
        <f t="shared" ca="1" si="138"/>
        <v>7.6893241383673774E-3</v>
      </c>
    </row>
    <row r="9186" spans="7:8" x14ac:dyDescent="0.3">
      <c r="G9186" s="78">
        <v>9183</v>
      </c>
      <c r="H9186">
        <f t="shared" ca="1" si="138"/>
        <v>-3.227711921875976E-3</v>
      </c>
    </row>
    <row r="9187" spans="7:8" x14ac:dyDescent="0.3">
      <c r="G9187" s="78">
        <v>9184</v>
      </c>
      <c r="H9187">
        <f t="shared" ca="1" si="138"/>
        <v>-2.4694267967434787E-3</v>
      </c>
    </row>
    <row r="9188" spans="7:8" x14ac:dyDescent="0.3">
      <c r="G9188" s="78">
        <v>9185</v>
      </c>
      <c r="H9188">
        <f t="shared" ca="1" si="138"/>
        <v>-2.0223038856668419E-2</v>
      </c>
    </row>
    <row r="9189" spans="7:8" x14ac:dyDescent="0.3">
      <c r="G9189" s="78">
        <v>9186</v>
      </c>
      <c r="H9189">
        <f t="shared" ca="1" si="138"/>
        <v>-4.3719621094948667E-2</v>
      </c>
    </row>
    <row r="9190" spans="7:8" x14ac:dyDescent="0.3">
      <c r="G9190" s="78">
        <v>9187</v>
      </c>
      <c r="H9190">
        <f t="shared" ca="1" si="138"/>
        <v>1.1749938278538073E-2</v>
      </c>
    </row>
    <row r="9191" spans="7:8" x14ac:dyDescent="0.3">
      <c r="G9191" s="78">
        <v>9188</v>
      </c>
      <c r="H9191">
        <f t="shared" ca="1" si="138"/>
        <v>1.3511952461522691E-2</v>
      </c>
    </row>
    <row r="9192" spans="7:8" x14ac:dyDescent="0.3">
      <c r="G9192" s="78">
        <v>9189</v>
      </c>
      <c r="H9192">
        <f t="shared" ca="1" si="138"/>
        <v>-3.3019587029258994E-2</v>
      </c>
    </row>
    <row r="9193" spans="7:8" x14ac:dyDescent="0.3">
      <c r="G9193" s="78">
        <v>9190</v>
      </c>
      <c r="H9193">
        <f t="shared" ca="1" si="138"/>
        <v>2.0902270009219539E-2</v>
      </c>
    </row>
    <row r="9194" spans="7:8" x14ac:dyDescent="0.3">
      <c r="G9194" s="78">
        <v>9191</v>
      </c>
      <c r="H9194">
        <f t="shared" ca="1" si="138"/>
        <v>1.102138494244341E-2</v>
      </c>
    </row>
    <row r="9195" spans="7:8" x14ac:dyDescent="0.3">
      <c r="G9195" s="78">
        <v>9192</v>
      </c>
      <c r="H9195">
        <f t="shared" ca="1" si="138"/>
        <v>1.6612363229212244E-2</v>
      </c>
    </row>
    <row r="9196" spans="7:8" x14ac:dyDescent="0.3">
      <c r="G9196" s="78">
        <v>9193</v>
      </c>
      <c r="H9196">
        <f t="shared" ca="1" si="138"/>
        <v>1.2483097509832553E-2</v>
      </c>
    </row>
    <row r="9197" spans="7:8" x14ac:dyDescent="0.3">
      <c r="G9197" s="78">
        <v>9194</v>
      </c>
      <c r="H9197">
        <f t="shared" ca="1" si="138"/>
        <v>3.3123261564715206E-3</v>
      </c>
    </row>
    <row r="9198" spans="7:8" x14ac:dyDescent="0.3">
      <c r="G9198" s="78">
        <v>9195</v>
      </c>
      <c r="H9198">
        <f t="shared" ca="1" si="138"/>
        <v>-1.3911864231054678E-2</v>
      </c>
    </row>
    <row r="9199" spans="7:8" x14ac:dyDescent="0.3">
      <c r="G9199" s="78">
        <v>9196</v>
      </c>
      <c r="H9199">
        <f t="shared" ca="1" si="138"/>
        <v>6.2723226637278302E-4</v>
      </c>
    </row>
    <row r="9200" spans="7:8" x14ac:dyDescent="0.3">
      <c r="G9200" s="78">
        <v>9197</v>
      </c>
      <c r="H9200">
        <f t="shared" ca="1" si="138"/>
        <v>1.4072219006874935E-2</v>
      </c>
    </row>
    <row r="9201" spans="7:8" x14ac:dyDescent="0.3">
      <c r="G9201" s="78">
        <v>9198</v>
      </c>
      <c r="H9201">
        <f t="shared" ca="1" si="138"/>
        <v>-1.688741763626919E-3</v>
      </c>
    </row>
    <row r="9202" spans="7:8" x14ac:dyDescent="0.3">
      <c r="G9202" s="78">
        <v>9199</v>
      </c>
      <c r="H9202">
        <f t="shared" ca="1" si="138"/>
        <v>5.3663096126151451E-2</v>
      </c>
    </row>
    <row r="9203" spans="7:8" x14ac:dyDescent="0.3">
      <c r="G9203" s="78">
        <v>9200</v>
      </c>
      <c r="H9203">
        <f t="shared" ca="1" si="138"/>
        <v>1.9652527181257172E-2</v>
      </c>
    </row>
    <row r="9204" spans="7:8" x14ac:dyDescent="0.3">
      <c r="G9204" s="78">
        <v>9201</v>
      </c>
      <c r="H9204">
        <f t="shared" ca="1" si="138"/>
        <v>-7.1344954539990938E-3</v>
      </c>
    </row>
    <row r="9205" spans="7:8" x14ac:dyDescent="0.3">
      <c r="G9205" s="78">
        <v>9202</v>
      </c>
      <c r="H9205">
        <f t="shared" ca="1" si="138"/>
        <v>1.7224961306493113E-2</v>
      </c>
    </row>
    <row r="9206" spans="7:8" x14ac:dyDescent="0.3">
      <c r="G9206" s="78">
        <v>9203</v>
      </c>
      <c r="H9206">
        <f t="shared" ca="1" si="138"/>
        <v>-2.418010004211974E-4</v>
      </c>
    </row>
    <row r="9207" spans="7:8" x14ac:dyDescent="0.3">
      <c r="G9207" s="78">
        <v>9204</v>
      </c>
      <c r="H9207">
        <f t="shared" ca="1" si="138"/>
        <v>6.3144049400201116E-2</v>
      </c>
    </row>
    <row r="9208" spans="7:8" x14ac:dyDescent="0.3">
      <c r="G9208" s="78">
        <v>9205</v>
      </c>
      <c r="H9208">
        <f t="shared" ca="1" si="138"/>
        <v>5.7940765555075328E-3</v>
      </c>
    </row>
    <row r="9209" spans="7:8" x14ac:dyDescent="0.3">
      <c r="G9209" s="78">
        <v>9206</v>
      </c>
      <c r="H9209">
        <f t="shared" ca="1" si="138"/>
        <v>3.6391541224729887E-3</v>
      </c>
    </row>
    <row r="9210" spans="7:8" x14ac:dyDescent="0.3">
      <c r="G9210" s="78">
        <v>9207</v>
      </c>
      <c r="H9210">
        <f t="shared" ca="1" si="138"/>
        <v>3.4964740150553002E-2</v>
      </c>
    </row>
    <row r="9211" spans="7:8" x14ac:dyDescent="0.3">
      <c r="G9211" s="78">
        <v>9208</v>
      </c>
      <c r="H9211">
        <f t="shared" ca="1" si="138"/>
        <v>-2.3467845927199723E-3</v>
      </c>
    </row>
    <row r="9212" spans="7:8" x14ac:dyDescent="0.3">
      <c r="G9212" s="78">
        <v>9209</v>
      </c>
      <c r="H9212">
        <f t="shared" ca="1" si="138"/>
        <v>1.2613954839815892E-2</v>
      </c>
    </row>
    <row r="9213" spans="7:8" x14ac:dyDescent="0.3">
      <c r="G9213" s="78">
        <v>9210</v>
      </c>
      <c r="H9213">
        <f t="shared" ca="1" si="138"/>
        <v>5.3127238685381582E-3</v>
      </c>
    </row>
    <row r="9214" spans="7:8" x14ac:dyDescent="0.3">
      <c r="G9214" s="78">
        <v>9211</v>
      </c>
      <c r="H9214">
        <f t="shared" ca="1" si="138"/>
        <v>-2.2562938605554948E-2</v>
      </c>
    </row>
    <row r="9215" spans="7:8" x14ac:dyDescent="0.3">
      <c r="G9215" s="78">
        <v>9212</v>
      </c>
      <c r="H9215">
        <f t="shared" ca="1" si="138"/>
        <v>2.7091147819927153E-2</v>
      </c>
    </row>
    <row r="9216" spans="7:8" x14ac:dyDescent="0.3">
      <c r="G9216" s="78">
        <v>9213</v>
      </c>
      <c r="H9216">
        <f t="shared" ca="1" si="138"/>
        <v>-6.4665686038775745E-3</v>
      </c>
    </row>
    <row r="9217" spans="7:8" x14ac:dyDescent="0.3">
      <c r="G9217" s="78">
        <v>9214</v>
      </c>
      <c r="H9217">
        <f t="shared" ca="1" si="138"/>
        <v>-2.6617261325607149E-2</v>
      </c>
    </row>
    <row r="9218" spans="7:8" x14ac:dyDescent="0.3">
      <c r="G9218" s="78">
        <v>9215</v>
      </c>
      <c r="H9218">
        <f t="shared" ca="1" si="138"/>
        <v>7.9211896780170162E-3</v>
      </c>
    </row>
    <row r="9219" spans="7:8" x14ac:dyDescent="0.3">
      <c r="G9219" s="78">
        <v>9216</v>
      </c>
      <c r="H9219">
        <f t="shared" ca="1" si="138"/>
        <v>4.17473419631523E-3</v>
      </c>
    </row>
    <row r="9220" spans="7:8" x14ac:dyDescent="0.3">
      <c r="G9220" s="78">
        <v>9217</v>
      </c>
      <c r="H9220">
        <f t="shared" ref="H9220:H9283" ca="1" si="139">_xlfn.NORM.INV(RAND(),$N$4,$N$5)</f>
        <v>-1.4698291324522913E-3</v>
      </c>
    </row>
    <row r="9221" spans="7:8" x14ac:dyDescent="0.3">
      <c r="G9221" s="78">
        <v>9218</v>
      </c>
      <c r="H9221">
        <f t="shared" ca="1" si="139"/>
        <v>1.802891065435085E-2</v>
      </c>
    </row>
    <row r="9222" spans="7:8" x14ac:dyDescent="0.3">
      <c r="G9222" s="78">
        <v>9219</v>
      </c>
      <c r="H9222">
        <f t="shared" ca="1" si="139"/>
        <v>1.9910405533199744E-2</v>
      </c>
    </row>
    <row r="9223" spans="7:8" x14ac:dyDescent="0.3">
      <c r="G9223" s="78">
        <v>9220</v>
      </c>
      <c r="H9223">
        <f t="shared" ca="1" si="139"/>
        <v>2.3066314865350424E-2</v>
      </c>
    </row>
    <row r="9224" spans="7:8" x14ac:dyDescent="0.3">
      <c r="G9224" s="78">
        <v>9221</v>
      </c>
      <c r="H9224">
        <f t="shared" ca="1" si="139"/>
        <v>3.7671311696532213E-2</v>
      </c>
    </row>
    <row r="9225" spans="7:8" x14ac:dyDescent="0.3">
      <c r="G9225" s="78">
        <v>9222</v>
      </c>
      <c r="H9225">
        <f t="shared" ca="1" si="139"/>
        <v>-3.6650291975627363E-3</v>
      </c>
    </row>
    <row r="9226" spans="7:8" x14ac:dyDescent="0.3">
      <c r="G9226" s="78">
        <v>9223</v>
      </c>
      <c r="H9226">
        <f t="shared" ca="1" si="139"/>
        <v>6.3511385813333262E-3</v>
      </c>
    </row>
    <row r="9227" spans="7:8" x14ac:dyDescent="0.3">
      <c r="G9227" s="78">
        <v>9224</v>
      </c>
      <c r="H9227">
        <f t="shared" ca="1" si="139"/>
        <v>1.6009710752323537E-2</v>
      </c>
    </row>
    <row r="9228" spans="7:8" x14ac:dyDescent="0.3">
      <c r="G9228" s="78">
        <v>9225</v>
      </c>
      <c r="H9228">
        <f t="shared" ca="1" si="139"/>
        <v>-1.0539277219099951E-2</v>
      </c>
    </row>
    <row r="9229" spans="7:8" x14ac:dyDescent="0.3">
      <c r="G9229" s="78">
        <v>9226</v>
      </c>
      <c r="H9229">
        <f t="shared" ca="1" si="139"/>
        <v>1.0984880750717426E-2</v>
      </c>
    </row>
    <row r="9230" spans="7:8" x14ac:dyDescent="0.3">
      <c r="G9230" s="78">
        <v>9227</v>
      </c>
      <c r="H9230">
        <f t="shared" ca="1" si="139"/>
        <v>1.0016812464502704E-2</v>
      </c>
    </row>
    <row r="9231" spans="7:8" x14ac:dyDescent="0.3">
      <c r="G9231" s="78">
        <v>9228</v>
      </c>
      <c r="H9231">
        <f t="shared" ca="1" si="139"/>
        <v>2.6197631216900712E-2</v>
      </c>
    </row>
    <row r="9232" spans="7:8" x14ac:dyDescent="0.3">
      <c r="G9232" s="78">
        <v>9229</v>
      </c>
      <c r="H9232">
        <f t="shared" ca="1" si="139"/>
        <v>-1.410010736533801E-2</v>
      </c>
    </row>
    <row r="9233" spans="7:8" x14ac:dyDescent="0.3">
      <c r="G9233" s="78">
        <v>9230</v>
      </c>
      <c r="H9233">
        <f t="shared" ca="1" si="139"/>
        <v>9.2642705680707534E-3</v>
      </c>
    </row>
    <row r="9234" spans="7:8" x14ac:dyDescent="0.3">
      <c r="G9234" s="78">
        <v>9231</v>
      </c>
      <c r="H9234">
        <f t="shared" ca="1" si="139"/>
        <v>-9.8312132812745888E-3</v>
      </c>
    </row>
    <row r="9235" spans="7:8" x14ac:dyDescent="0.3">
      <c r="G9235" s="78">
        <v>9232</v>
      </c>
      <c r="H9235">
        <f t="shared" ca="1" si="139"/>
        <v>3.1584033162502592E-2</v>
      </c>
    </row>
    <row r="9236" spans="7:8" x14ac:dyDescent="0.3">
      <c r="G9236" s="78">
        <v>9233</v>
      </c>
      <c r="H9236">
        <f t="shared" ca="1" si="139"/>
        <v>-1.3635892481759346E-2</v>
      </c>
    </row>
    <row r="9237" spans="7:8" x14ac:dyDescent="0.3">
      <c r="G9237" s="78">
        <v>9234</v>
      </c>
      <c r="H9237">
        <f t="shared" ca="1" si="139"/>
        <v>3.3482778086121275E-2</v>
      </c>
    </row>
    <row r="9238" spans="7:8" x14ac:dyDescent="0.3">
      <c r="G9238" s="78">
        <v>9235</v>
      </c>
      <c r="H9238">
        <f t="shared" ca="1" si="139"/>
        <v>3.6589024761609551E-2</v>
      </c>
    </row>
    <row r="9239" spans="7:8" x14ac:dyDescent="0.3">
      <c r="G9239" s="78">
        <v>9236</v>
      </c>
      <c r="H9239">
        <f t="shared" ca="1" si="139"/>
        <v>6.7072810491029958E-3</v>
      </c>
    </row>
    <row r="9240" spans="7:8" x14ac:dyDescent="0.3">
      <c r="G9240" s="78">
        <v>9237</v>
      </c>
      <c r="H9240">
        <f t="shared" ca="1" si="139"/>
        <v>-1.6045328087274335E-2</v>
      </c>
    </row>
    <row r="9241" spans="7:8" x14ac:dyDescent="0.3">
      <c r="G9241" s="78">
        <v>9238</v>
      </c>
      <c r="H9241">
        <f t="shared" ca="1" si="139"/>
        <v>4.7520809513891628E-2</v>
      </c>
    </row>
    <row r="9242" spans="7:8" x14ac:dyDescent="0.3">
      <c r="G9242" s="78">
        <v>9239</v>
      </c>
      <c r="H9242">
        <f t="shared" ca="1" si="139"/>
        <v>-1.0740710658616653E-2</v>
      </c>
    </row>
    <row r="9243" spans="7:8" x14ac:dyDescent="0.3">
      <c r="G9243" s="78">
        <v>9240</v>
      </c>
      <c r="H9243">
        <f t="shared" ca="1" si="139"/>
        <v>-5.9678637718734687E-4</v>
      </c>
    </row>
    <row r="9244" spans="7:8" x14ac:dyDescent="0.3">
      <c r="G9244" s="78">
        <v>9241</v>
      </c>
      <c r="H9244">
        <f t="shared" ca="1" si="139"/>
        <v>1.3994307672580125E-2</v>
      </c>
    </row>
    <row r="9245" spans="7:8" x14ac:dyDescent="0.3">
      <c r="G9245" s="78">
        <v>9242</v>
      </c>
      <c r="H9245">
        <f t="shared" ca="1" si="139"/>
        <v>1.0932883667981856E-2</v>
      </c>
    </row>
    <row r="9246" spans="7:8" x14ac:dyDescent="0.3">
      <c r="G9246" s="78">
        <v>9243</v>
      </c>
      <c r="H9246">
        <f t="shared" ca="1" si="139"/>
        <v>6.126367722069581E-3</v>
      </c>
    </row>
    <row r="9247" spans="7:8" x14ac:dyDescent="0.3">
      <c r="G9247" s="78">
        <v>9244</v>
      </c>
      <c r="H9247">
        <f t="shared" ca="1" si="139"/>
        <v>1.5381274449485845E-2</v>
      </c>
    </row>
    <row r="9248" spans="7:8" x14ac:dyDescent="0.3">
      <c r="G9248" s="78">
        <v>9245</v>
      </c>
      <c r="H9248">
        <f t="shared" ca="1" si="139"/>
        <v>-1.4853140758284386E-2</v>
      </c>
    </row>
    <row r="9249" spans="7:8" x14ac:dyDescent="0.3">
      <c r="G9249" s="78">
        <v>9246</v>
      </c>
      <c r="H9249">
        <f t="shared" ca="1" si="139"/>
        <v>1.3545445793896774E-3</v>
      </c>
    </row>
    <row r="9250" spans="7:8" x14ac:dyDescent="0.3">
      <c r="G9250" s="78">
        <v>9247</v>
      </c>
      <c r="H9250">
        <f t="shared" ca="1" si="139"/>
        <v>-2.863542211589601E-3</v>
      </c>
    </row>
    <row r="9251" spans="7:8" x14ac:dyDescent="0.3">
      <c r="G9251" s="78">
        <v>9248</v>
      </c>
      <c r="H9251">
        <f t="shared" ca="1" si="139"/>
        <v>2.4141997314110668E-3</v>
      </c>
    </row>
    <row r="9252" spans="7:8" x14ac:dyDescent="0.3">
      <c r="G9252" s="78">
        <v>9249</v>
      </c>
      <c r="H9252">
        <f t="shared" ca="1" si="139"/>
        <v>5.3907535065701499E-2</v>
      </c>
    </row>
    <row r="9253" spans="7:8" x14ac:dyDescent="0.3">
      <c r="G9253" s="78">
        <v>9250</v>
      </c>
      <c r="H9253">
        <f t="shared" ca="1" si="139"/>
        <v>2.9649112228283609E-2</v>
      </c>
    </row>
    <row r="9254" spans="7:8" x14ac:dyDescent="0.3">
      <c r="G9254" s="78">
        <v>9251</v>
      </c>
      <c r="H9254">
        <f t="shared" ca="1" si="139"/>
        <v>4.0462230376615135E-3</v>
      </c>
    </row>
    <row r="9255" spans="7:8" x14ac:dyDescent="0.3">
      <c r="G9255" s="78">
        <v>9252</v>
      </c>
      <c r="H9255">
        <f t="shared" ca="1" si="139"/>
        <v>-3.9949571293644492E-3</v>
      </c>
    </row>
    <row r="9256" spans="7:8" x14ac:dyDescent="0.3">
      <c r="G9256" s="78">
        <v>9253</v>
      </c>
      <c r="H9256">
        <f t="shared" ca="1" si="139"/>
        <v>-1.1316306093944978E-2</v>
      </c>
    </row>
    <row r="9257" spans="7:8" x14ac:dyDescent="0.3">
      <c r="G9257" s="78">
        <v>9254</v>
      </c>
      <c r="H9257">
        <f t="shared" ca="1" si="139"/>
        <v>-1.9874942164564841E-2</v>
      </c>
    </row>
    <row r="9258" spans="7:8" x14ac:dyDescent="0.3">
      <c r="G9258" s="78">
        <v>9255</v>
      </c>
      <c r="H9258">
        <f t="shared" ca="1" si="139"/>
        <v>-6.918040449832792E-3</v>
      </c>
    </row>
    <row r="9259" spans="7:8" x14ac:dyDescent="0.3">
      <c r="G9259" s="78">
        <v>9256</v>
      </c>
      <c r="H9259">
        <f t="shared" ca="1" si="139"/>
        <v>-1.3561831682008182E-2</v>
      </c>
    </row>
    <row r="9260" spans="7:8" x14ac:dyDescent="0.3">
      <c r="G9260" s="78">
        <v>9257</v>
      </c>
      <c r="H9260">
        <f t="shared" ca="1" si="139"/>
        <v>-2.8650499201895226E-2</v>
      </c>
    </row>
    <row r="9261" spans="7:8" x14ac:dyDescent="0.3">
      <c r="G9261" s="78">
        <v>9258</v>
      </c>
      <c r="H9261">
        <f t="shared" ca="1" si="139"/>
        <v>-1.562240456998012E-2</v>
      </c>
    </row>
    <row r="9262" spans="7:8" x14ac:dyDescent="0.3">
      <c r="G9262" s="78">
        <v>9259</v>
      </c>
      <c r="H9262">
        <f t="shared" ca="1" si="139"/>
        <v>-7.0556808650917334E-3</v>
      </c>
    </row>
    <row r="9263" spans="7:8" x14ac:dyDescent="0.3">
      <c r="G9263" s="78">
        <v>9260</v>
      </c>
      <c r="H9263">
        <f t="shared" ca="1" si="139"/>
        <v>-1.0027868624944935E-2</v>
      </c>
    </row>
    <row r="9264" spans="7:8" x14ac:dyDescent="0.3">
      <c r="G9264" s="78">
        <v>9261</v>
      </c>
      <c r="H9264">
        <f t="shared" ca="1" si="139"/>
        <v>-1.2997260422347754E-2</v>
      </c>
    </row>
    <row r="9265" spans="7:8" x14ac:dyDescent="0.3">
      <c r="G9265" s="78">
        <v>9262</v>
      </c>
      <c r="H9265">
        <f t="shared" ca="1" si="139"/>
        <v>2.1896485323530942E-2</v>
      </c>
    </row>
    <row r="9266" spans="7:8" x14ac:dyDescent="0.3">
      <c r="G9266" s="78">
        <v>9263</v>
      </c>
      <c r="H9266">
        <f t="shared" ca="1" si="139"/>
        <v>-2.9703434268667353E-2</v>
      </c>
    </row>
    <row r="9267" spans="7:8" x14ac:dyDescent="0.3">
      <c r="G9267" s="78">
        <v>9264</v>
      </c>
      <c r="H9267">
        <f t="shared" ca="1" si="139"/>
        <v>7.9715964591338586E-3</v>
      </c>
    </row>
    <row r="9268" spans="7:8" x14ac:dyDescent="0.3">
      <c r="G9268" s="78">
        <v>9265</v>
      </c>
      <c r="H9268">
        <f t="shared" ca="1" si="139"/>
        <v>-3.1526728183087951E-2</v>
      </c>
    </row>
    <row r="9269" spans="7:8" x14ac:dyDescent="0.3">
      <c r="G9269" s="78">
        <v>9266</v>
      </c>
      <c r="H9269">
        <f t="shared" ca="1" si="139"/>
        <v>1.914418408846343E-3</v>
      </c>
    </row>
    <row r="9270" spans="7:8" x14ac:dyDescent="0.3">
      <c r="G9270" s="78">
        <v>9267</v>
      </c>
      <c r="H9270">
        <f t="shared" ca="1" si="139"/>
        <v>2.4323166067395978E-2</v>
      </c>
    </row>
    <row r="9271" spans="7:8" x14ac:dyDescent="0.3">
      <c r="G9271" s="78">
        <v>9268</v>
      </c>
      <c r="H9271">
        <f t="shared" ca="1" si="139"/>
        <v>2.1597806773758194E-2</v>
      </c>
    </row>
    <row r="9272" spans="7:8" x14ac:dyDescent="0.3">
      <c r="G9272" s="78">
        <v>9269</v>
      </c>
      <c r="H9272">
        <f t="shared" ca="1" si="139"/>
        <v>-1.7056793707529615E-2</v>
      </c>
    </row>
    <row r="9273" spans="7:8" x14ac:dyDescent="0.3">
      <c r="G9273" s="78">
        <v>9270</v>
      </c>
      <c r="H9273">
        <f t="shared" ca="1" si="139"/>
        <v>3.7191557857038024E-2</v>
      </c>
    </row>
    <row r="9274" spans="7:8" x14ac:dyDescent="0.3">
      <c r="G9274" s="78">
        <v>9271</v>
      </c>
      <c r="H9274">
        <f t="shared" ca="1" si="139"/>
        <v>9.0617371039488324E-4</v>
      </c>
    </row>
    <row r="9275" spans="7:8" x14ac:dyDescent="0.3">
      <c r="G9275" s="78">
        <v>9272</v>
      </c>
      <c r="H9275">
        <f t="shared" ca="1" si="139"/>
        <v>3.2031461986938584E-2</v>
      </c>
    </row>
    <row r="9276" spans="7:8" x14ac:dyDescent="0.3">
      <c r="G9276" s="78">
        <v>9273</v>
      </c>
      <c r="H9276">
        <f t="shared" ca="1" si="139"/>
        <v>-1.2743663088323646E-2</v>
      </c>
    </row>
    <row r="9277" spans="7:8" x14ac:dyDescent="0.3">
      <c r="G9277" s="78">
        <v>9274</v>
      </c>
      <c r="H9277">
        <f t="shared" ca="1" si="139"/>
        <v>-1.284504620531126E-2</v>
      </c>
    </row>
    <row r="9278" spans="7:8" x14ac:dyDescent="0.3">
      <c r="G9278" s="78">
        <v>9275</v>
      </c>
      <c r="H9278">
        <f t="shared" ca="1" si="139"/>
        <v>5.2713027726360918E-2</v>
      </c>
    </row>
    <row r="9279" spans="7:8" x14ac:dyDescent="0.3">
      <c r="G9279" s="78">
        <v>9276</v>
      </c>
      <c r="H9279">
        <f t="shared" ca="1" si="139"/>
        <v>-2.7654423995559518E-2</v>
      </c>
    </row>
    <row r="9280" spans="7:8" x14ac:dyDescent="0.3">
      <c r="G9280" s="78">
        <v>9277</v>
      </c>
      <c r="H9280">
        <f t="shared" ca="1" si="139"/>
        <v>2.0067414676178358E-4</v>
      </c>
    </row>
    <row r="9281" spans="7:8" x14ac:dyDescent="0.3">
      <c r="G9281" s="78">
        <v>9278</v>
      </c>
      <c r="H9281">
        <f t="shared" ca="1" si="139"/>
        <v>-1.5002977300477732E-2</v>
      </c>
    </row>
    <row r="9282" spans="7:8" x14ac:dyDescent="0.3">
      <c r="G9282" s="78">
        <v>9279</v>
      </c>
      <c r="H9282">
        <f t="shared" ca="1" si="139"/>
        <v>5.3400746561402613E-3</v>
      </c>
    </row>
    <row r="9283" spans="7:8" x14ac:dyDescent="0.3">
      <c r="G9283" s="78">
        <v>9280</v>
      </c>
      <c r="H9283">
        <f t="shared" ca="1" si="139"/>
        <v>-1.3793134536697895E-2</v>
      </c>
    </row>
    <row r="9284" spans="7:8" x14ac:dyDescent="0.3">
      <c r="G9284" s="78">
        <v>9281</v>
      </c>
      <c r="H9284">
        <f t="shared" ref="H9284:H9347" ca="1" si="140">_xlfn.NORM.INV(RAND(),$N$4,$N$5)</f>
        <v>7.1021916371054969E-2</v>
      </c>
    </row>
    <row r="9285" spans="7:8" x14ac:dyDescent="0.3">
      <c r="G9285" s="78">
        <v>9282</v>
      </c>
      <c r="H9285">
        <f t="shared" ca="1" si="140"/>
        <v>-2.1742194061727543E-2</v>
      </c>
    </row>
    <row r="9286" spans="7:8" x14ac:dyDescent="0.3">
      <c r="G9286" s="78">
        <v>9283</v>
      </c>
      <c r="H9286">
        <f t="shared" ca="1" si="140"/>
        <v>1.0751201059504115E-2</v>
      </c>
    </row>
    <row r="9287" spans="7:8" x14ac:dyDescent="0.3">
      <c r="G9287" s="78">
        <v>9284</v>
      </c>
      <c r="H9287">
        <f t="shared" ca="1" si="140"/>
        <v>-2.3958031552527178E-2</v>
      </c>
    </row>
    <row r="9288" spans="7:8" x14ac:dyDescent="0.3">
      <c r="G9288" s="78">
        <v>9285</v>
      </c>
      <c r="H9288">
        <f t="shared" ca="1" si="140"/>
        <v>-1.8423794733075694E-2</v>
      </c>
    </row>
    <row r="9289" spans="7:8" x14ac:dyDescent="0.3">
      <c r="G9289" s="78">
        <v>9286</v>
      </c>
      <c r="H9289">
        <f t="shared" ca="1" si="140"/>
        <v>8.3238877004822315E-3</v>
      </c>
    </row>
    <row r="9290" spans="7:8" x14ac:dyDescent="0.3">
      <c r="G9290" s="78">
        <v>9287</v>
      </c>
      <c r="H9290">
        <f t="shared" ca="1" si="140"/>
        <v>2.3380504092719103E-2</v>
      </c>
    </row>
    <row r="9291" spans="7:8" x14ac:dyDescent="0.3">
      <c r="G9291" s="78">
        <v>9288</v>
      </c>
      <c r="H9291">
        <f t="shared" ca="1" si="140"/>
        <v>-1.4383783414014745E-2</v>
      </c>
    </row>
    <row r="9292" spans="7:8" x14ac:dyDescent="0.3">
      <c r="G9292" s="78">
        <v>9289</v>
      </c>
      <c r="H9292">
        <f t="shared" ca="1" si="140"/>
        <v>-4.1649612242291578E-3</v>
      </c>
    </row>
    <row r="9293" spans="7:8" x14ac:dyDescent="0.3">
      <c r="G9293" s="78">
        <v>9290</v>
      </c>
      <c r="H9293">
        <f t="shared" ca="1" si="140"/>
        <v>-1.0430784193023047E-2</v>
      </c>
    </row>
    <row r="9294" spans="7:8" x14ac:dyDescent="0.3">
      <c r="G9294" s="78">
        <v>9291</v>
      </c>
      <c r="H9294">
        <f t="shared" ca="1" si="140"/>
        <v>-1.0210493283942898E-2</v>
      </c>
    </row>
    <row r="9295" spans="7:8" x14ac:dyDescent="0.3">
      <c r="G9295" s="78">
        <v>9292</v>
      </c>
      <c r="H9295">
        <f t="shared" ca="1" si="140"/>
        <v>-8.2844885234970526E-3</v>
      </c>
    </row>
    <row r="9296" spans="7:8" x14ac:dyDescent="0.3">
      <c r="G9296" s="78">
        <v>9293</v>
      </c>
      <c r="H9296">
        <f t="shared" ca="1" si="140"/>
        <v>-1.6507808463254454E-2</v>
      </c>
    </row>
    <row r="9297" spans="7:8" x14ac:dyDescent="0.3">
      <c r="G9297" s="78">
        <v>9294</v>
      </c>
      <c r="H9297">
        <f t="shared" ca="1" si="140"/>
        <v>-4.9819974197591798E-3</v>
      </c>
    </row>
    <row r="9298" spans="7:8" x14ac:dyDescent="0.3">
      <c r="G9298" s="78">
        <v>9295</v>
      </c>
      <c r="H9298">
        <f t="shared" ca="1" si="140"/>
        <v>5.4663953783406667E-3</v>
      </c>
    </row>
    <row r="9299" spans="7:8" x14ac:dyDescent="0.3">
      <c r="G9299" s="78">
        <v>9296</v>
      </c>
      <c r="H9299">
        <f t="shared" ca="1" si="140"/>
        <v>3.1864688662800299E-3</v>
      </c>
    </row>
    <row r="9300" spans="7:8" x14ac:dyDescent="0.3">
      <c r="G9300" s="78">
        <v>9297</v>
      </c>
      <c r="H9300">
        <f t="shared" ca="1" si="140"/>
        <v>-8.4011210414620362E-3</v>
      </c>
    </row>
    <row r="9301" spans="7:8" x14ac:dyDescent="0.3">
      <c r="G9301" s="78">
        <v>9298</v>
      </c>
      <c r="H9301">
        <f t="shared" ca="1" si="140"/>
        <v>1.3792592499962663E-2</v>
      </c>
    </row>
    <row r="9302" spans="7:8" x14ac:dyDescent="0.3">
      <c r="G9302" s="78">
        <v>9299</v>
      </c>
      <c r="H9302">
        <f t="shared" ca="1" si="140"/>
        <v>3.1883074003528106E-2</v>
      </c>
    </row>
    <row r="9303" spans="7:8" x14ac:dyDescent="0.3">
      <c r="G9303" s="78">
        <v>9300</v>
      </c>
      <c r="H9303">
        <f t="shared" ca="1" si="140"/>
        <v>-1.2660552535995451E-2</v>
      </c>
    </row>
    <row r="9304" spans="7:8" x14ac:dyDescent="0.3">
      <c r="G9304" s="78">
        <v>9301</v>
      </c>
      <c r="H9304">
        <f t="shared" ca="1" si="140"/>
        <v>-3.5070482407023061E-2</v>
      </c>
    </row>
    <row r="9305" spans="7:8" x14ac:dyDescent="0.3">
      <c r="G9305" s="78">
        <v>9302</v>
      </c>
      <c r="H9305">
        <f t="shared" ca="1" si="140"/>
        <v>2.6504586607423587E-2</v>
      </c>
    </row>
    <row r="9306" spans="7:8" x14ac:dyDescent="0.3">
      <c r="G9306" s="78">
        <v>9303</v>
      </c>
      <c r="H9306">
        <f t="shared" ca="1" si="140"/>
        <v>1.1123008185275623E-2</v>
      </c>
    </row>
    <row r="9307" spans="7:8" x14ac:dyDescent="0.3">
      <c r="G9307" s="78">
        <v>9304</v>
      </c>
      <c r="H9307">
        <f t="shared" ca="1" si="140"/>
        <v>2.4857215670506024E-3</v>
      </c>
    </row>
    <row r="9308" spans="7:8" x14ac:dyDescent="0.3">
      <c r="G9308" s="78">
        <v>9305</v>
      </c>
      <c r="H9308">
        <f t="shared" ca="1" si="140"/>
        <v>-2.528828037617311E-2</v>
      </c>
    </row>
    <row r="9309" spans="7:8" x14ac:dyDescent="0.3">
      <c r="G9309" s="78">
        <v>9306</v>
      </c>
      <c r="H9309">
        <f t="shared" ca="1" si="140"/>
        <v>-2.2280976106100834E-2</v>
      </c>
    </row>
    <row r="9310" spans="7:8" x14ac:dyDescent="0.3">
      <c r="G9310" s="78">
        <v>9307</v>
      </c>
      <c r="H9310">
        <f t="shared" ca="1" si="140"/>
        <v>-9.673204617575322E-3</v>
      </c>
    </row>
    <row r="9311" spans="7:8" x14ac:dyDescent="0.3">
      <c r="G9311" s="78">
        <v>9308</v>
      </c>
      <c r="H9311">
        <f t="shared" ca="1" si="140"/>
        <v>5.0553942587439954E-3</v>
      </c>
    </row>
    <row r="9312" spans="7:8" x14ac:dyDescent="0.3">
      <c r="G9312" s="78">
        <v>9309</v>
      </c>
      <c r="H9312">
        <f t="shared" ca="1" si="140"/>
        <v>9.1508582521858377E-3</v>
      </c>
    </row>
    <row r="9313" spans="7:8" x14ac:dyDescent="0.3">
      <c r="G9313" s="78">
        <v>9310</v>
      </c>
      <c r="H9313">
        <f t="shared" ca="1" si="140"/>
        <v>1.854393332418584E-2</v>
      </c>
    </row>
    <row r="9314" spans="7:8" x14ac:dyDescent="0.3">
      <c r="G9314" s="78">
        <v>9311</v>
      </c>
      <c r="H9314">
        <f t="shared" ca="1" si="140"/>
        <v>-2.3048805123635396E-2</v>
      </c>
    </row>
    <row r="9315" spans="7:8" x14ac:dyDescent="0.3">
      <c r="G9315" s="78">
        <v>9312</v>
      </c>
      <c r="H9315">
        <f t="shared" ca="1" si="140"/>
        <v>-3.4546092828856506E-3</v>
      </c>
    </row>
    <row r="9316" spans="7:8" x14ac:dyDescent="0.3">
      <c r="G9316" s="78">
        <v>9313</v>
      </c>
      <c r="H9316">
        <f t="shared" ca="1" si="140"/>
        <v>2.4981985589391156E-2</v>
      </c>
    </row>
    <row r="9317" spans="7:8" x14ac:dyDescent="0.3">
      <c r="G9317" s="78">
        <v>9314</v>
      </c>
      <c r="H9317">
        <f t="shared" ca="1" si="140"/>
        <v>3.315601882158109E-2</v>
      </c>
    </row>
    <row r="9318" spans="7:8" x14ac:dyDescent="0.3">
      <c r="G9318" s="78">
        <v>9315</v>
      </c>
      <c r="H9318">
        <f t="shared" ca="1" si="140"/>
        <v>-1.1895739450831927E-3</v>
      </c>
    </row>
    <row r="9319" spans="7:8" x14ac:dyDescent="0.3">
      <c r="G9319" s="78">
        <v>9316</v>
      </c>
      <c r="H9319">
        <f t="shared" ca="1" si="140"/>
        <v>4.8050721720613414E-3</v>
      </c>
    </row>
    <row r="9320" spans="7:8" x14ac:dyDescent="0.3">
      <c r="G9320" s="78">
        <v>9317</v>
      </c>
      <c r="H9320">
        <f t="shared" ca="1" si="140"/>
        <v>-1.4616375064625377E-2</v>
      </c>
    </row>
    <row r="9321" spans="7:8" x14ac:dyDescent="0.3">
      <c r="G9321" s="78">
        <v>9318</v>
      </c>
      <c r="H9321">
        <f t="shared" ca="1" si="140"/>
        <v>2.9027294529704165E-2</v>
      </c>
    </row>
    <row r="9322" spans="7:8" x14ac:dyDescent="0.3">
      <c r="G9322" s="78">
        <v>9319</v>
      </c>
      <c r="H9322">
        <f t="shared" ca="1" si="140"/>
        <v>3.1833217518899538E-2</v>
      </c>
    </row>
    <row r="9323" spans="7:8" x14ac:dyDescent="0.3">
      <c r="G9323" s="78">
        <v>9320</v>
      </c>
      <c r="H9323">
        <f t="shared" ca="1" si="140"/>
        <v>-4.2593583264324743E-3</v>
      </c>
    </row>
    <row r="9324" spans="7:8" x14ac:dyDescent="0.3">
      <c r="G9324" s="78">
        <v>9321</v>
      </c>
      <c r="H9324">
        <f t="shared" ca="1" si="140"/>
        <v>6.6046688048343105E-3</v>
      </c>
    </row>
    <row r="9325" spans="7:8" x14ac:dyDescent="0.3">
      <c r="G9325" s="78">
        <v>9322</v>
      </c>
      <c r="H9325">
        <f t="shared" ca="1" si="140"/>
        <v>3.477664599644905E-3</v>
      </c>
    </row>
    <row r="9326" spans="7:8" x14ac:dyDescent="0.3">
      <c r="G9326" s="78">
        <v>9323</v>
      </c>
      <c r="H9326">
        <f t="shared" ca="1" si="140"/>
        <v>-3.2358621500837355E-2</v>
      </c>
    </row>
    <row r="9327" spans="7:8" x14ac:dyDescent="0.3">
      <c r="G9327" s="78">
        <v>9324</v>
      </c>
      <c r="H9327">
        <f t="shared" ca="1" si="140"/>
        <v>2.3967537243809883E-2</v>
      </c>
    </row>
    <row r="9328" spans="7:8" x14ac:dyDescent="0.3">
      <c r="G9328" s="78">
        <v>9325</v>
      </c>
      <c r="H9328">
        <f t="shared" ca="1" si="140"/>
        <v>1.2413351733794173E-2</v>
      </c>
    </row>
    <row r="9329" spans="7:8" x14ac:dyDescent="0.3">
      <c r="G9329" s="78">
        <v>9326</v>
      </c>
      <c r="H9329">
        <f t="shared" ca="1" si="140"/>
        <v>3.1367003909572068E-2</v>
      </c>
    </row>
    <row r="9330" spans="7:8" x14ac:dyDescent="0.3">
      <c r="G9330" s="78">
        <v>9327</v>
      </c>
      <c r="H9330">
        <f t="shared" ca="1" si="140"/>
        <v>1.5658480341897839E-2</v>
      </c>
    </row>
    <row r="9331" spans="7:8" x14ac:dyDescent="0.3">
      <c r="G9331" s="78">
        <v>9328</v>
      </c>
      <c r="H9331">
        <f t="shared" ca="1" si="140"/>
        <v>-1.4121532675474772E-3</v>
      </c>
    </row>
    <row r="9332" spans="7:8" x14ac:dyDescent="0.3">
      <c r="G9332" s="78">
        <v>9329</v>
      </c>
      <c r="H9332">
        <f t="shared" ca="1" si="140"/>
        <v>-9.0957844874090844E-3</v>
      </c>
    </row>
    <row r="9333" spans="7:8" x14ac:dyDescent="0.3">
      <c r="G9333" s="78">
        <v>9330</v>
      </c>
      <c r="H9333">
        <f t="shared" ca="1" si="140"/>
        <v>3.1167929065066009E-2</v>
      </c>
    </row>
    <row r="9334" spans="7:8" x14ac:dyDescent="0.3">
      <c r="G9334" s="78">
        <v>9331</v>
      </c>
      <c r="H9334">
        <f t="shared" ca="1" si="140"/>
        <v>3.2666256833897962E-2</v>
      </c>
    </row>
    <row r="9335" spans="7:8" x14ac:dyDescent="0.3">
      <c r="G9335" s="78">
        <v>9332</v>
      </c>
      <c r="H9335">
        <f t="shared" ca="1" si="140"/>
        <v>2.2298318089365606E-2</v>
      </c>
    </row>
    <row r="9336" spans="7:8" x14ac:dyDescent="0.3">
      <c r="G9336" s="78">
        <v>9333</v>
      </c>
      <c r="H9336">
        <f t="shared" ca="1" si="140"/>
        <v>1.676107373091091E-2</v>
      </c>
    </row>
    <row r="9337" spans="7:8" x14ac:dyDescent="0.3">
      <c r="G9337" s="78">
        <v>9334</v>
      </c>
      <c r="H9337">
        <f t="shared" ca="1" si="140"/>
        <v>-1.7370017927751114E-2</v>
      </c>
    </row>
    <row r="9338" spans="7:8" x14ac:dyDescent="0.3">
      <c r="G9338" s="78">
        <v>9335</v>
      </c>
      <c r="H9338">
        <f t="shared" ca="1" si="140"/>
        <v>4.1154811655683084E-2</v>
      </c>
    </row>
    <row r="9339" spans="7:8" x14ac:dyDescent="0.3">
      <c r="G9339" s="78">
        <v>9336</v>
      </c>
      <c r="H9339">
        <f t="shared" ca="1" si="140"/>
        <v>-2.0009263915774355E-2</v>
      </c>
    </row>
    <row r="9340" spans="7:8" x14ac:dyDescent="0.3">
      <c r="G9340" s="78">
        <v>9337</v>
      </c>
      <c r="H9340">
        <f t="shared" ca="1" si="140"/>
        <v>-2.3779138765785416E-2</v>
      </c>
    </row>
    <row r="9341" spans="7:8" x14ac:dyDescent="0.3">
      <c r="G9341" s="78">
        <v>9338</v>
      </c>
      <c r="H9341">
        <f t="shared" ca="1" si="140"/>
        <v>-1.502213016072451E-2</v>
      </c>
    </row>
    <row r="9342" spans="7:8" x14ac:dyDescent="0.3">
      <c r="G9342" s="78">
        <v>9339</v>
      </c>
      <c r="H9342">
        <f t="shared" ca="1" si="140"/>
        <v>1.4217363703538719E-2</v>
      </c>
    </row>
    <row r="9343" spans="7:8" x14ac:dyDescent="0.3">
      <c r="G9343" s="78">
        <v>9340</v>
      </c>
      <c r="H9343">
        <f t="shared" ca="1" si="140"/>
        <v>3.0115930078128097E-2</v>
      </c>
    </row>
    <row r="9344" spans="7:8" x14ac:dyDescent="0.3">
      <c r="G9344" s="78">
        <v>9341</v>
      </c>
      <c r="H9344">
        <f t="shared" ca="1" si="140"/>
        <v>-4.1269685707246975E-3</v>
      </c>
    </row>
    <row r="9345" spans="7:8" x14ac:dyDescent="0.3">
      <c r="G9345" s="78">
        <v>9342</v>
      </c>
      <c r="H9345">
        <f t="shared" ca="1" si="140"/>
        <v>9.0701726562584257E-3</v>
      </c>
    </row>
    <row r="9346" spans="7:8" x14ac:dyDescent="0.3">
      <c r="G9346" s="78">
        <v>9343</v>
      </c>
      <c r="H9346">
        <f t="shared" ca="1" si="140"/>
        <v>7.7338292042119696E-3</v>
      </c>
    </row>
    <row r="9347" spans="7:8" x14ac:dyDescent="0.3">
      <c r="G9347" s="78">
        <v>9344</v>
      </c>
      <c r="H9347">
        <f t="shared" ca="1" si="140"/>
        <v>-7.1906994715128054E-3</v>
      </c>
    </row>
    <row r="9348" spans="7:8" x14ac:dyDescent="0.3">
      <c r="G9348" s="78">
        <v>9345</v>
      </c>
      <c r="H9348">
        <f t="shared" ref="H9348:H9411" ca="1" si="141">_xlfn.NORM.INV(RAND(),$N$4,$N$5)</f>
        <v>-1.9119264141143906E-2</v>
      </c>
    </row>
    <row r="9349" spans="7:8" x14ac:dyDescent="0.3">
      <c r="G9349" s="78">
        <v>9346</v>
      </c>
      <c r="H9349">
        <f t="shared" ca="1" si="141"/>
        <v>9.9032320279573028E-4</v>
      </c>
    </row>
    <row r="9350" spans="7:8" x14ac:dyDescent="0.3">
      <c r="G9350" s="78">
        <v>9347</v>
      </c>
      <c r="H9350">
        <f t="shared" ca="1" si="141"/>
        <v>1.2143748058764449E-2</v>
      </c>
    </row>
    <row r="9351" spans="7:8" x14ac:dyDescent="0.3">
      <c r="G9351" s="78">
        <v>9348</v>
      </c>
      <c r="H9351">
        <f t="shared" ca="1" si="141"/>
        <v>1.1634485571051262E-2</v>
      </c>
    </row>
    <row r="9352" spans="7:8" x14ac:dyDescent="0.3">
      <c r="G9352" s="78">
        <v>9349</v>
      </c>
      <c r="H9352">
        <f t="shared" ca="1" si="141"/>
        <v>8.6441096359598339E-3</v>
      </c>
    </row>
    <row r="9353" spans="7:8" x14ac:dyDescent="0.3">
      <c r="G9353" s="78">
        <v>9350</v>
      </c>
      <c r="H9353">
        <f t="shared" ca="1" si="141"/>
        <v>-1.3427929653683302E-2</v>
      </c>
    </row>
    <row r="9354" spans="7:8" x14ac:dyDescent="0.3">
      <c r="G9354" s="78">
        <v>9351</v>
      </c>
      <c r="H9354">
        <f t="shared" ca="1" si="141"/>
        <v>2.7205365572307464E-2</v>
      </c>
    </row>
    <row r="9355" spans="7:8" x14ac:dyDescent="0.3">
      <c r="G9355" s="78">
        <v>9352</v>
      </c>
      <c r="H9355">
        <f t="shared" ca="1" si="141"/>
        <v>-1.3836262584153377E-2</v>
      </c>
    </row>
    <row r="9356" spans="7:8" x14ac:dyDescent="0.3">
      <c r="G9356" s="78">
        <v>9353</v>
      </c>
      <c r="H9356">
        <f t="shared" ca="1" si="141"/>
        <v>1.5910162701008482E-2</v>
      </c>
    </row>
    <row r="9357" spans="7:8" x14ac:dyDescent="0.3">
      <c r="G9357" s="78">
        <v>9354</v>
      </c>
      <c r="H9357">
        <f t="shared" ca="1" si="141"/>
        <v>-2.6976883186475519E-2</v>
      </c>
    </row>
    <row r="9358" spans="7:8" x14ac:dyDescent="0.3">
      <c r="G9358" s="78">
        <v>9355</v>
      </c>
      <c r="H9358">
        <f t="shared" ca="1" si="141"/>
        <v>-1.3105679913281255E-2</v>
      </c>
    </row>
    <row r="9359" spans="7:8" x14ac:dyDescent="0.3">
      <c r="G9359" s="78">
        <v>9356</v>
      </c>
      <c r="H9359">
        <f t="shared" ca="1" si="141"/>
        <v>8.3973818914417284E-3</v>
      </c>
    </row>
    <row r="9360" spans="7:8" x14ac:dyDescent="0.3">
      <c r="G9360" s="78">
        <v>9357</v>
      </c>
      <c r="H9360">
        <f t="shared" ca="1" si="141"/>
        <v>2.1745586157514492E-2</v>
      </c>
    </row>
    <row r="9361" spans="7:8" x14ac:dyDescent="0.3">
      <c r="G9361" s="78">
        <v>9358</v>
      </c>
      <c r="H9361">
        <f t="shared" ca="1" si="141"/>
        <v>-2.8194613447632143E-2</v>
      </c>
    </row>
    <row r="9362" spans="7:8" x14ac:dyDescent="0.3">
      <c r="G9362" s="78">
        <v>9359</v>
      </c>
      <c r="H9362">
        <f t="shared" ca="1" si="141"/>
        <v>5.6351743132271471E-3</v>
      </c>
    </row>
    <row r="9363" spans="7:8" x14ac:dyDescent="0.3">
      <c r="G9363" s="78">
        <v>9360</v>
      </c>
      <c r="H9363">
        <f t="shared" ca="1" si="141"/>
        <v>1.9079583931920899E-2</v>
      </c>
    </row>
    <row r="9364" spans="7:8" x14ac:dyDescent="0.3">
      <c r="G9364" s="78">
        <v>9361</v>
      </c>
      <c r="H9364">
        <f t="shared" ca="1" si="141"/>
        <v>2.155631091238704E-2</v>
      </c>
    </row>
    <row r="9365" spans="7:8" x14ac:dyDescent="0.3">
      <c r="G9365" s="78">
        <v>9362</v>
      </c>
      <c r="H9365">
        <f t="shared" ca="1" si="141"/>
        <v>4.1691251047581868E-2</v>
      </c>
    </row>
    <row r="9366" spans="7:8" x14ac:dyDescent="0.3">
      <c r="G9366" s="78">
        <v>9363</v>
      </c>
      <c r="H9366">
        <f t="shared" ca="1" si="141"/>
        <v>1.542543672302666E-3</v>
      </c>
    </row>
    <row r="9367" spans="7:8" x14ac:dyDescent="0.3">
      <c r="G9367" s="78">
        <v>9364</v>
      </c>
      <c r="H9367">
        <f t="shared" ca="1" si="141"/>
        <v>6.1902915614103805E-3</v>
      </c>
    </row>
    <row r="9368" spans="7:8" x14ac:dyDescent="0.3">
      <c r="G9368" s="78">
        <v>9365</v>
      </c>
      <c r="H9368">
        <f t="shared" ca="1" si="141"/>
        <v>4.2441259825048483E-2</v>
      </c>
    </row>
    <row r="9369" spans="7:8" x14ac:dyDescent="0.3">
      <c r="G9369" s="78">
        <v>9366</v>
      </c>
      <c r="H9369">
        <f t="shared" ca="1" si="141"/>
        <v>-6.144157189145307E-3</v>
      </c>
    </row>
    <row r="9370" spans="7:8" x14ac:dyDescent="0.3">
      <c r="G9370" s="78">
        <v>9367</v>
      </c>
      <c r="H9370">
        <f t="shared" ca="1" si="141"/>
        <v>2.7101573261163667E-2</v>
      </c>
    </row>
    <row r="9371" spans="7:8" x14ac:dyDescent="0.3">
      <c r="G9371" s="78">
        <v>9368</v>
      </c>
      <c r="H9371">
        <f t="shared" ca="1" si="141"/>
        <v>2.4707672345927269E-2</v>
      </c>
    </row>
    <row r="9372" spans="7:8" x14ac:dyDescent="0.3">
      <c r="G9372" s="78">
        <v>9369</v>
      </c>
      <c r="H9372">
        <f t="shared" ca="1" si="141"/>
        <v>8.6199944328342794E-3</v>
      </c>
    </row>
    <row r="9373" spans="7:8" x14ac:dyDescent="0.3">
      <c r="G9373" s="78">
        <v>9370</v>
      </c>
      <c r="H9373">
        <f t="shared" ca="1" si="141"/>
        <v>-3.4282028708047377E-2</v>
      </c>
    </row>
    <row r="9374" spans="7:8" x14ac:dyDescent="0.3">
      <c r="G9374" s="78">
        <v>9371</v>
      </c>
      <c r="H9374">
        <f t="shared" ca="1" si="141"/>
        <v>-3.9770459028008527E-2</v>
      </c>
    </row>
    <row r="9375" spans="7:8" x14ac:dyDescent="0.3">
      <c r="G9375" s="78">
        <v>9372</v>
      </c>
      <c r="H9375">
        <f t="shared" ca="1" si="141"/>
        <v>-2.2708339900322127E-2</v>
      </c>
    </row>
    <row r="9376" spans="7:8" x14ac:dyDescent="0.3">
      <c r="G9376" s="78">
        <v>9373</v>
      </c>
      <c r="H9376">
        <f t="shared" ca="1" si="141"/>
        <v>-3.6909551351252401E-3</v>
      </c>
    </row>
    <row r="9377" spans="7:8" x14ac:dyDescent="0.3">
      <c r="G9377" s="78">
        <v>9374</v>
      </c>
      <c r="H9377">
        <f t="shared" ca="1" si="141"/>
        <v>-4.0347173379956802E-2</v>
      </c>
    </row>
    <row r="9378" spans="7:8" x14ac:dyDescent="0.3">
      <c r="G9378" s="78">
        <v>9375</v>
      </c>
      <c r="H9378">
        <f t="shared" ca="1" si="141"/>
        <v>5.9694985976706215E-2</v>
      </c>
    </row>
    <row r="9379" spans="7:8" x14ac:dyDescent="0.3">
      <c r="G9379" s="78">
        <v>9376</v>
      </c>
      <c r="H9379">
        <f t="shared" ca="1" si="141"/>
        <v>2.8859312815295329E-2</v>
      </c>
    </row>
    <row r="9380" spans="7:8" x14ac:dyDescent="0.3">
      <c r="G9380" s="78">
        <v>9377</v>
      </c>
      <c r="H9380">
        <f t="shared" ca="1" si="141"/>
        <v>-1.5423383247603782E-2</v>
      </c>
    </row>
    <row r="9381" spans="7:8" x14ac:dyDescent="0.3">
      <c r="G9381" s="78">
        <v>9378</v>
      </c>
      <c r="H9381">
        <f t="shared" ca="1" si="141"/>
        <v>3.2233157726619499E-2</v>
      </c>
    </row>
    <row r="9382" spans="7:8" x14ac:dyDescent="0.3">
      <c r="G9382" s="78">
        <v>9379</v>
      </c>
      <c r="H9382">
        <f t="shared" ca="1" si="141"/>
        <v>-3.1721617845055661E-3</v>
      </c>
    </row>
    <row r="9383" spans="7:8" x14ac:dyDescent="0.3">
      <c r="G9383" s="78">
        <v>9380</v>
      </c>
      <c r="H9383">
        <f t="shared" ca="1" si="141"/>
        <v>-4.3797780765769704E-3</v>
      </c>
    </row>
    <row r="9384" spans="7:8" x14ac:dyDescent="0.3">
      <c r="G9384" s="78">
        <v>9381</v>
      </c>
      <c r="H9384">
        <f t="shared" ca="1" si="141"/>
        <v>5.9424042923250852E-3</v>
      </c>
    </row>
    <row r="9385" spans="7:8" x14ac:dyDescent="0.3">
      <c r="G9385" s="78">
        <v>9382</v>
      </c>
      <c r="H9385">
        <f t="shared" ca="1" si="141"/>
        <v>-2.0482164068929557E-2</v>
      </c>
    </row>
    <row r="9386" spans="7:8" x14ac:dyDescent="0.3">
      <c r="G9386" s="78">
        <v>9383</v>
      </c>
      <c r="H9386">
        <f t="shared" ca="1" si="141"/>
        <v>-3.738018273156599E-3</v>
      </c>
    </row>
    <row r="9387" spans="7:8" x14ac:dyDescent="0.3">
      <c r="G9387" s="78">
        <v>9384</v>
      </c>
      <c r="H9387">
        <f t="shared" ca="1" si="141"/>
        <v>-1.6078700494654943E-2</v>
      </c>
    </row>
    <row r="9388" spans="7:8" x14ac:dyDescent="0.3">
      <c r="G9388" s="78">
        <v>9385</v>
      </c>
      <c r="H9388">
        <f t="shared" ca="1" si="141"/>
        <v>-4.0836116451959652E-3</v>
      </c>
    </row>
    <row r="9389" spans="7:8" x14ac:dyDescent="0.3">
      <c r="G9389" s="78">
        <v>9386</v>
      </c>
      <c r="H9389">
        <f t="shared" ca="1" si="141"/>
        <v>-1.0524509791144139E-2</v>
      </c>
    </row>
    <row r="9390" spans="7:8" x14ac:dyDescent="0.3">
      <c r="G9390" s="78">
        <v>9387</v>
      </c>
      <c r="H9390">
        <f t="shared" ca="1" si="141"/>
        <v>-1.9155915249285994E-2</v>
      </c>
    </row>
    <row r="9391" spans="7:8" x14ac:dyDescent="0.3">
      <c r="G9391" s="78">
        <v>9388</v>
      </c>
      <c r="H9391">
        <f t="shared" ca="1" si="141"/>
        <v>6.2703482362509323E-3</v>
      </c>
    </row>
    <row r="9392" spans="7:8" x14ac:dyDescent="0.3">
      <c r="G9392" s="78">
        <v>9389</v>
      </c>
      <c r="H9392">
        <f t="shared" ca="1" si="141"/>
        <v>-9.4331020380538592E-3</v>
      </c>
    </row>
    <row r="9393" spans="7:8" x14ac:dyDescent="0.3">
      <c r="G9393" s="78">
        <v>9390</v>
      </c>
      <c r="H9393">
        <f t="shared" ca="1" si="141"/>
        <v>3.730015694069274E-3</v>
      </c>
    </row>
    <row r="9394" spans="7:8" x14ac:dyDescent="0.3">
      <c r="G9394" s="78">
        <v>9391</v>
      </c>
      <c r="H9394">
        <f t="shared" ca="1" si="141"/>
        <v>1.8655120830012528E-2</v>
      </c>
    </row>
    <row r="9395" spans="7:8" x14ac:dyDescent="0.3">
      <c r="G9395" s="78">
        <v>9392</v>
      </c>
      <c r="H9395">
        <f t="shared" ca="1" si="141"/>
        <v>2.0769126758940715E-2</v>
      </c>
    </row>
    <row r="9396" spans="7:8" x14ac:dyDescent="0.3">
      <c r="G9396" s="78">
        <v>9393</v>
      </c>
      <c r="H9396">
        <f t="shared" ca="1" si="141"/>
        <v>-3.5706068397752143E-3</v>
      </c>
    </row>
    <row r="9397" spans="7:8" x14ac:dyDescent="0.3">
      <c r="G9397" s="78">
        <v>9394</v>
      </c>
      <c r="H9397">
        <f t="shared" ca="1" si="141"/>
        <v>-2.3097260016391386E-2</v>
      </c>
    </row>
    <row r="9398" spans="7:8" x14ac:dyDescent="0.3">
      <c r="G9398" s="78">
        <v>9395</v>
      </c>
      <c r="H9398">
        <f t="shared" ca="1" si="141"/>
        <v>-7.7535998310530188E-3</v>
      </c>
    </row>
    <row r="9399" spans="7:8" x14ac:dyDescent="0.3">
      <c r="G9399" s="78">
        <v>9396</v>
      </c>
      <c r="H9399">
        <f t="shared" ca="1" si="141"/>
        <v>1.0946225643439632E-2</v>
      </c>
    </row>
    <row r="9400" spans="7:8" x14ac:dyDescent="0.3">
      <c r="G9400" s="78">
        <v>9397</v>
      </c>
      <c r="H9400">
        <f t="shared" ca="1" si="141"/>
        <v>-4.0987357612456898E-3</v>
      </c>
    </row>
    <row r="9401" spans="7:8" x14ac:dyDescent="0.3">
      <c r="G9401" s="78">
        <v>9398</v>
      </c>
      <c r="H9401">
        <f t="shared" ca="1" si="141"/>
        <v>-2.1010587012022078E-2</v>
      </c>
    </row>
    <row r="9402" spans="7:8" x14ac:dyDescent="0.3">
      <c r="G9402" s="78">
        <v>9399</v>
      </c>
      <c r="H9402">
        <f t="shared" ca="1" si="141"/>
        <v>1.4139733026021493E-3</v>
      </c>
    </row>
    <row r="9403" spans="7:8" x14ac:dyDescent="0.3">
      <c r="G9403" s="78">
        <v>9400</v>
      </c>
      <c r="H9403">
        <f t="shared" ca="1" si="141"/>
        <v>-1.2265266876248836E-2</v>
      </c>
    </row>
    <row r="9404" spans="7:8" x14ac:dyDescent="0.3">
      <c r="G9404" s="78">
        <v>9401</v>
      </c>
      <c r="H9404">
        <f t="shared" ca="1" si="141"/>
        <v>-3.2094415120366912E-3</v>
      </c>
    </row>
    <row r="9405" spans="7:8" x14ac:dyDescent="0.3">
      <c r="G9405" s="78">
        <v>9402</v>
      </c>
      <c r="H9405">
        <f t="shared" ca="1" si="141"/>
        <v>-1.5347101743816231E-2</v>
      </c>
    </row>
    <row r="9406" spans="7:8" x14ac:dyDescent="0.3">
      <c r="G9406" s="78">
        <v>9403</v>
      </c>
      <c r="H9406">
        <f t="shared" ca="1" si="141"/>
        <v>-1.0437864308018638E-2</v>
      </c>
    </row>
    <row r="9407" spans="7:8" x14ac:dyDescent="0.3">
      <c r="G9407" s="78">
        <v>9404</v>
      </c>
      <c r="H9407">
        <f t="shared" ca="1" si="141"/>
        <v>-4.2053217728566022E-3</v>
      </c>
    </row>
    <row r="9408" spans="7:8" x14ac:dyDescent="0.3">
      <c r="G9408" s="78">
        <v>9405</v>
      </c>
      <c r="H9408">
        <f t="shared" ca="1" si="141"/>
        <v>2.141135217789838E-3</v>
      </c>
    </row>
    <row r="9409" spans="7:8" x14ac:dyDescent="0.3">
      <c r="G9409" s="78">
        <v>9406</v>
      </c>
      <c r="H9409">
        <f t="shared" ca="1" si="141"/>
        <v>3.0035035087721085E-2</v>
      </c>
    </row>
    <row r="9410" spans="7:8" x14ac:dyDescent="0.3">
      <c r="G9410" s="78">
        <v>9407</v>
      </c>
      <c r="H9410">
        <f t="shared" ca="1" si="141"/>
        <v>-1.185734803908876E-2</v>
      </c>
    </row>
    <row r="9411" spans="7:8" x14ac:dyDescent="0.3">
      <c r="G9411" s="78">
        <v>9408</v>
      </c>
      <c r="H9411">
        <f t="shared" ca="1" si="141"/>
        <v>-3.6861580718080864E-2</v>
      </c>
    </row>
    <row r="9412" spans="7:8" x14ac:dyDescent="0.3">
      <c r="G9412" s="78">
        <v>9409</v>
      </c>
      <c r="H9412">
        <f t="shared" ref="H9412:H9475" ca="1" si="142">_xlfn.NORM.INV(RAND(),$N$4,$N$5)</f>
        <v>3.6771091110455303E-2</v>
      </c>
    </row>
    <row r="9413" spans="7:8" x14ac:dyDescent="0.3">
      <c r="G9413" s="78">
        <v>9410</v>
      </c>
      <c r="H9413">
        <f t="shared" ca="1" si="142"/>
        <v>-1.9992720892507117E-3</v>
      </c>
    </row>
    <row r="9414" spans="7:8" x14ac:dyDescent="0.3">
      <c r="G9414" s="78">
        <v>9411</v>
      </c>
      <c r="H9414">
        <f t="shared" ca="1" si="142"/>
        <v>-7.8417083796024321E-3</v>
      </c>
    </row>
    <row r="9415" spans="7:8" x14ac:dyDescent="0.3">
      <c r="G9415" s="78">
        <v>9412</v>
      </c>
      <c r="H9415">
        <f t="shared" ca="1" si="142"/>
        <v>1.344765562532972E-2</v>
      </c>
    </row>
    <row r="9416" spans="7:8" x14ac:dyDescent="0.3">
      <c r="G9416" s="78">
        <v>9413</v>
      </c>
      <c r="H9416">
        <f t="shared" ca="1" si="142"/>
        <v>-1.5741964284348112E-2</v>
      </c>
    </row>
    <row r="9417" spans="7:8" x14ac:dyDescent="0.3">
      <c r="G9417" s="78">
        <v>9414</v>
      </c>
      <c r="H9417">
        <f t="shared" ca="1" si="142"/>
        <v>-2.9922545065128536E-2</v>
      </c>
    </row>
    <row r="9418" spans="7:8" x14ac:dyDescent="0.3">
      <c r="G9418" s="78">
        <v>9415</v>
      </c>
      <c r="H9418">
        <f t="shared" ca="1" si="142"/>
        <v>-2.533119707217316E-2</v>
      </c>
    </row>
    <row r="9419" spans="7:8" x14ac:dyDescent="0.3">
      <c r="G9419" s="78">
        <v>9416</v>
      </c>
      <c r="H9419">
        <f t="shared" ca="1" si="142"/>
        <v>-2.6662794350639719E-2</v>
      </c>
    </row>
    <row r="9420" spans="7:8" x14ac:dyDescent="0.3">
      <c r="G9420" s="78">
        <v>9417</v>
      </c>
      <c r="H9420">
        <f t="shared" ca="1" si="142"/>
        <v>-3.760856582561424E-2</v>
      </c>
    </row>
    <row r="9421" spans="7:8" x14ac:dyDescent="0.3">
      <c r="G9421" s="78">
        <v>9418</v>
      </c>
      <c r="H9421">
        <f t="shared" ca="1" si="142"/>
        <v>-3.2405547294299515E-2</v>
      </c>
    </row>
    <row r="9422" spans="7:8" x14ac:dyDescent="0.3">
      <c r="G9422" s="78">
        <v>9419</v>
      </c>
      <c r="H9422">
        <f t="shared" ca="1" si="142"/>
        <v>2.3610927734257353E-2</v>
      </c>
    </row>
    <row r="9423" spans="7:8" x14ac:dyDescent="0.3">
      <c r="G9423" s="78">
        <v>9420</v>
      </c>
      <c r="H9423">
        <f t="shared" ca="1" si="142"/>
        <v>3.5118792683445171E-2</v>
      </c>
    </row>
    <row r="9424" spans="7:8" x14ac:dyDescent="0.3">
      <c r="G9424" s="78">
        <v>9421</v>
      </c>
      <c r="H9424">
        <f t="shared" ca="1" si="142"/>
        <v>1.971160831382554E-2</v>
      </c>
    </row>
    <row r="9425" spans="7:8" x14ac:dyDescent="0.3">
      <c r="G9425" s="78">
        <v>9422</v>
      </c>
      <c r="H9425">
        <f t="shared" ca="1" si="142"/>
        <v>3.6872468679432266E-2</v>
      </c>
    </row>
    <row r="9426" spans="7:8" x14ac:dyDescent="0.3">
      <c r="G9426" s="78">
        <v>9423</v>
      </c>
      <c r="H9426">
        <f t="shared" ca="1" si="142"/>
        <v>-6.4443298993843044E-3</v>
      </c>
    </row>
    <row r="9427" spans="7:8" x14ac:dyDescent="0.3">
      <c r="G9427" s="78">
        <v>9424</v>
      </c>
      <c r="H9427">
        <f t="shared" ca="1" si="142"/>
        <v>3.9527752803885253E-3</v>
      </c>
    </row>
    <row r="9428" spans="7:8" x14ac:dyDescent="0.3">
      <c r="G9428" s="78">
        <v>9425</v>
      </c>
      <c r="H9428">
        <f t="shared" ca="1" si="142"/>
        <v>-1.3289500068929044E-2</v>
      </c>
    </row>
    <row r="9429" spans="7:8" x14ac:dyDescent="0.3">
      <c r="G9429" s="78">
        <v>9426</v>
      </c>
      <c r="H9429">
        <f t="shared" ca="1" si="142"/>
        <v>3.2778027041857949E-2</v>
      </c>
    </row>
    <row r="9430" spans="7:8" x14ac:dyDescent="0.3">
      <c r="G9430" s="78">
        <v>9427</v>
      </c>
      <c r="H9430">
        <f t="shared" ca="1" si="142"/>
        <v>3.9301261498383339E-2</v>
      </c>
    </row>
    <row r="9431" spans="7:8" x14ac:dyDescent="0.3">
      <c r="G9431" s="78">
        <v>9428</v>
      </c>
      <c r="H9431">
        <f t="shared" ca="1" si="142"/>
        <v>-3.4717967878359866E-3</v>
      </c>
    </row>
    <row r="9432" spans="7:8" x14ac:dyDescent="0.3">
      <c r="G9432" s="78">
        <v>9429</v>
      </c>
      <c r="H9432">
        <f t="shared" ca="1" si="142"/>
        <v>-4.2390102301625245E-2</v>
      </c>
    </row>
    <row r="9433" spans="7:8" x14ac:dyDescent="0.3">
      <c r="G9433" s="78">
        <v>9430</v>
      </c>
      <c r="H9433">
        <f t="shared" ca="1" si="142"/>
        <v>2.6323186130288459E-2</v>
      </c>
    </row>
    <row r="9434" spans="7:8" x14ac:dyDescent="0.3">
      <c r="G9434" s="78">
        <v>9431</v>
      </c>
      <c r="H9434">
        <f t="shared" ca="1" si="142"/>
        <v>-7.6424999576878106E-3</v>
      </c>
    </row>
    <row r="9435" spans="7:8" x14ac:dyDescent="0.3">
      <c r="G9435" s="78">
        <v>9432</v>
      </c>
      <c r="H9435">
        <f t="shared" ca="1" si="142"/>
        <v>1.1548710925167457E-2</v>
      </c>
    </row>
    <row r="9436" spans="7:8" x14ac:dyDescent="0.3">
      <c r="G9436" s="78">
        <v>9433</v>
      </c>
      <c r="H9436">
        <f t="shared" ca="1" si="142"/>
        <v>-4.7127762424112492E-3</v>
      </c>
    </row>
    <row r="9437" spans="7:8" x14ac:dyDescent="0.3">
      <c r="G9437" s="78">
        <v>9434</v>
      </c>
      <c r="H9437">
        <f t="shared" ca="1" si="142"/>
        <v>2.2930329107916592E-2</v>
      </c>
    </row>
    <row r="9438" spans="7:8" x14ac:dyDescent="0.3">
      <c r="G9438" s="78">
        <v>9435</v>
      </c>
      <c r="H9438">
        <f t="shared" ca="1" si="142"/>
        <v>-1.9213113309667802E-2</v>
      </c>
    </row>
    <row r="9439" spans="7:8" x14ac:dyDescent="0.3">
      <c r="G9439" s="78">
        <v>9436</v>
      </c>
      <c r="H9439">
        <f t="shared" ca="1" si="142"/>
        <v>-1.6710720017904138E-2</v>
      </c>
    </row>
    <row r="9440" spans="7:8" x14ac:dyDescent="0.3">
      <c r="G9440" s="78">
        <v>9437</v>
      </c>
      <c r="H9440">
        <f t="shared" ca="1" si="142"/>
        <v>1.41733631017451E-2</v>
      </c>
    </row>
    <row r="9441" spans="7:8" x14ac:dyDescent="0.3">
      <c r="G9441" s="78">
        <v>9438</v>
      </c>
      <c r="H9441">
        <f t="shared" ca="1" si="142"/>
        <v>-1.8707118015608105E-5</v>
      </c>
    </row>
    <row r="9442" spans="7:8" x14ac:dyDescent="0.3">
      <c r="G9442" s="78">
        <v>9439</v>
      </c>
      <c r="H9442">
        <f t="shared" ca="1" si="142"/>
        <v>-3.8235636662249514E-3</v>
      </c>
    </row>
    <row r="9443" spans="7:8" x14ac:dyDescent="0.3">
      <c r="G9443" s="78">
        <v>9440</v>
      </c>
      <c r="H9443">
        <f t="shared" ca="1" si="142"/>
        <v>-2.5709337443044523E-2</v>
      </c>
    </row>
    <row r="9444" spans="7:8" x14ac:dyDescent="0.3">
      <c r="G9444" s="78">
        <v>9441</v>
      </c>
      <c r="H9444">
        <f t="shared" ca="1" si="142"/>
        <v>-1.5241234992562138E-2</v>
      </c>
    </row>
    <row r="9445" spans="7:8" x14ac:dyDescent="0.3">
      <c r="G9445" s="78">
        <v>9442</v>
      </c>
      <c r="H9445">
        <f t="shared" ca="1" si="142"/>
        <v>-1.1652071015104945E-2</v>
      </c>
    </row>
    <row r="9446" spans="7:8" x14ac:dyDescent="0.3">
      <c r="G9446" s="78">
        <v>9443</v>
      </c>
      <c r="H9446">
        <f t="shared" ca="1" si="142"/>
        <v>-2.0489141292316E-2</v>
      </c>
    </row>
    <row r="9447" spans="7:8" x14ac:dyDescent="0.3">
      <c r="G9447" s="78">
        <v>9444</v>
      </c>
      <c r="H9447">
        <f t="shared" ca="1" si="142"/>
        <v>3.4836515702054106E-3</v>
      </c>
    </row>
    <row r="9448" spans="7:8" x14ac:dyDescent="0.3">
      <c r="G9448" s="78">
        <v>9445</v>
      </c>
      <c r="H9448">
        <f t="shared" ca="1" si="142"/>
        <v>2.296483068036979E-2</v>
      </c>
    </row>
    <row r="9449" spans="7:8" x14ac:dyDescent="0.3">
      <c r="G9449" s="78">
        <v>9446</v>
      </c>
      <c r="H9449">
        <f t="shared" ca="1" si="142"/>
        <v>6.3464804021996627E-4</v>
      </c>
    </row>
    <row r="9450" spans="7:8" x14ac:dyDescent="0.3">
      <c r="G9450" s="78">
        <v>9447</v>
      </c>
      <c r="H9450">
        <f t="shared" ca="1" si="142"/>
        <v>-1.0296762015824855E-2</v>
      </c>
    </row>
    <row r="9451" spans="7:8" x14ac:dyDescent="0.3">
      <c r="G9451" s="78">
        <v>9448</v>
      </c>
      <c r="H9451">
        <f t="shared" ca="1" si="142"/>
        <v>1.6056716867354173E-2</v>
      </c>
    </row>
    <row r="9452" spans="7:8" x14ac:dyDescent="0.3">
      <c r="G9452" s="78">
        <v>9449</v>
      </c>
      <c r="H9452">
        <f t="shared" ca="1" si="142"/>
        <v>1.61666110404424E-2</v>
      </c>
    </row>
    <row r="9453" spans="7:8" x14ac:dyDescent="0.3">
      <c r="G9453" s="78">
        <v>9450</v>
      </c>
      <c r="H9453">
        <f t="shared" ca="1" si="142"/>
        <v>-1.4585837578302415E-2</v>
      </c>
    </row>
    <row r="9454" spans="7:8" x14ac:dyDescent="0.3">
      <c r="G9454" s="78">
        <v>9451</v>
      </c>
      <c r="H9454">
        <f t="shared" ca="1" si="142"/>
        <v>-1.34559001576211E-2</v>
      </c>
    </row>
    <row r="9455" spans="7:8" x14ac:dyDescent="0.3">
      <c r="G9455" s="78">
        <v>9452</v>
      </c>
      <c r="H9455">
        <f t="shared" ca="1" si="142"/>
        <v>-1.5249674380429011E-2</v>
      </c>
    </row>
    <row r="9456" spans="7:8" x14ac:dyDescent="0.3">
      <c r="G9456" s="78">
        <v>9453</v>
      </c>
      <c r="H9456">
        <f t="shared" ca="1" si="142"/>
        <v>3.0865417037024938E-3</v>
      </c>
    </row>
    <row r="9457" spans="7:8" x14ac:dyDescent="0.3">
      <c r="G9457" s="78">
        <v>9454</v>
      </c>
      <c r="H9457">
        <f t="shared" ca="1" si="142"/>
        <v>-1.6102466032524007E-2</v>
      </c>
    </row>
    <row r="9458" spans="7:8" x14ac:dyDescent="0.3">
      <c r="G9458" s="78">
        <v>9455</v>
      </c>
      <c r="H9458">
        <f t="shared" ca="1" si="142"/>
        <v>-3.7779640167786774E-8</v>
      </c>
    </row>
    <row r="9459" spans="7:8" x14ac:dyDescent="0.3">
      <c r="G9459" s="78">
        <v>9456</v>
      </c>
      <c r="H9459">
        <f t="shared" ca="1" si="142"/>
        <v>-1.2357267586644315E-2</v>
      </c>
    </row>
    <row r="9460" spans="7:8" x14ac:dyDescent="0.3">
      <c r="G9460" s="78">
        <v>9457</v>
      </c>
      <c r="H9460">
        <f t="shared" ca="1" si="142"/>
        <v>-1.3413068407312975E-2</v>
      </c>
    </row>
    <row r="9461" spans="7:8" x14ac:dyDescent="0.3">
      <c r="G9461" s="78">
        <v>9458</v>
      </c>
      <c r="H9461">
        <f t="shared" ca="1" si="142"/>
        <v>-1.3659136948540073E-2</v>
      </c>
    </row>
    <row r="9462" spans="7:8" x14ac:dyDescent="0.3">
      <c r="G9462" s="78">
        <v>9459</v>
      </c>
      <c r="H9462">
        <f t="shared" ca="1" si="142"/>
        <v>1.0684989483233315E-2</v>
      </c>
    </row>
    <row r="9463" spans="7:8" x14ac:dyDescent="0.3">
      <c r="G9463" s="78">
        <v>9460</v>
      </c>
      <c r="H9463">
        <f t="shared" ca="1" si="142"/>
        <v>4.8494053855007487E-3</v>
      </c>
    </row>
    <row r="9464" spans="7:8" x14ac:dyDescent="0.3">
      <c r="G9464" s="78">
        <v>9461</v>
      </c>
      <c r="H9464">
        <f t="shared" ca="1" si="142"/>
        <v>-1.8747757267848716E-2</v>
      </c>
    </row>
    <row r="9465" spans="7:8" x14ac:dyDescent="0.3">
      <c r="G9465" s="78">
        <v>9462</v>
      </c>
      <c r="H9465">
        <f t="shared" ca="1" si="142"/>
        <v>-1.8798358677644678E-2</v>
      </c>
    </row>
    <row r="9466" spans="7:8" x14ac:dyDescent="0.3">
      <c r="G9466" s="78">
        <v>9463</v>
      </c>
      <c r="H9466">
        <f t="shared" ca="1" si="142"/>
        <v>6.3333261949995679E-3</v>
      </c>
    </row>
    <row r="9467" spans="7:8" x14ac:dyDescent="0.3">
      <c r="G9467" s="78">
        <v>9464</v>
      </c>
      <c r="H9467">
        <f t="shared" ca="1" si="142"/>
        <v>1.9598996871291997E-2</v>
      </c>
    </row>
    <row r="9468" spans="7:8" x14ac:dyDescent="0.3">
      <c r="G9468" s="78">
        <v>9465</v>
      </c>
      <c r="H9468">
        <f t="shared" ca="1" si="142"/>
        <v>-3.3985990480659568E-2</v>
      </c>
    </row>
    <row r="9469" spans="7:8" x14ac:dyDescent="0.3">
      <c r="G9469" s="78">
        <v>9466</v>
      </c>
      <c r="H9469">
        <f t="shared" ca="1" si="142"/>
        <v>1.4095814997430098E-2</v>
      </c>
    </row>
    <row r="9470" spans="7:8" x14ac:dyDescent="0.3">
      <c r="G9470" s="78">
        <v>9467</v>
      </c>
      <c r="H9470">
        <f t="shared" ca="1" si="142"/>
        <v>9.7928802582853275E-3</v>
      </c>
    </row>
    <row r="9471" spans="7:8" x14ac:dyDescent="0.3">
      <c r="G9471" s="78">
        <v>9468</v>
      </c>
      <c r="H9471">
        <f t="shared" ca="1" si="142"/>
        <v>-1.081056303275066E-4</v>
      </c>
    </row>
    <row r="9472" spans="7:8" x14ac:dyDescent="0.3">
      <c r="G9472" s="78">
        <v>9469</v>
      </c>
      <c r="H9472">
        <f t="shared" ca="1" si="142"/>
        <v>-1.9227290432055344E-2</v>
      </c>
    </row>
    <row r="9473" spans="7:8" x14ac:dyDescent="0.3">
      <c r="G9473" s="78">
        <v>9470</v>
      </c>
      <c r="H9473">
        <f t="shared" ca="1" si="142"/>
        <v>2.3423751382886146E-2</v>
      </c>
    </row>
    <row r="9474" spans="7:8" x14ac:dyDescent="0.3">
      <c r="G9474" s="78">
        <v>9471</v>
      </c>
      <c r="H9474">
        <f t="shared" ca="1" si="142"/>
        <v>-2.7331056754732536E-2</v>
      </c>
    </row>
    <row r="9475" spans="7:8" x14ac:dyDescent="0.3">
      <c r="G9475" s="78">
        <v>9472</v>
      </c>
      <c r="H9475">
        <f t="shared" ca="1" si="142"/>
        <v>1.4934112263499531E-2</v>
      </c>
    </row>
    <row r="9476" spans="7:8" x14ac:dyDescent="0.3">
      <c r="G9476" s="78">
        <v>9473</v>
      </c>
      <c r="H9476">
        <f t="shared" ref="H9476:H9539" ca="1" si="143">_xlfn.NORM.INV(RAND(),$N$4,$N$5)</f>
        <v>3.3432635722849123E-2</v>
      </c>
    </row>
    <row r="9477" spans="7:8" x14ac:dyDescent="0.3">
      <c r="G9477" s="78">
        <v>9474</v>
      </c>
      <c r="H9477">
        <f t="shared" ca="1" si="143"/>
        <v>-1.201977818079035E-2</v>
      </c>
    </row>
    <row r="9478" spans="7:8" x14ac:dyDescent="0.3">
      <c r="G9478" s="78">
        <v>9475</v>
      </c>
      <c r="H9478">
        <f t="shared" ca="1" si="143"/>
        <v>-8.4168637702810418E-4</v>
      </c>
    </row>
    <row r="9479" spans="7:8" x14ac:dyDescent="0.3">
      <c r="G9479" s="78">
        <v>9476</v>
      </c>
      <c r="H9479">
        <f t="shared" ca="1" si="143"/>
        <v>-1.4318812205493961E-2</v>
      </c>
    </row>
    <row r="9480" spans="7:8" x14ac:dyDescent="0.3">
      <c r="G9480" s="78">
        <v>9477</v>
      </c>
      <c r="H9480">
        <f t="shared" ca="1" si="143"/>
        <v>-7.5860833995315133E-3</v>
      </c>
    </row>
    <row r="9481" spans="7:8" x14ac:dyDescent="0.3">
      <c r="G9481" s="78">
        <v>9478</v>
      </c>
      <c r="H9481">
        <f t="shared" ca="1" si="143"/>
        <v>6.3628617711911787E-3</v>
      </c>
    </row>
    <row r="9482" spans="7:8" x14ac:dyDescent="0.3">
      <c r="G9482" s="78">
        <v>9479</v>
      </c>
      <c r="H9482">
        <f t="shared" ca="1" si="143"/>
        <v>2.6554479687300833E-2</v>
      </c>
    </row>
    <row r="9483" spans="7:8" x14ac:dyDescent="0.3">
      <c r="G9483" s="78">
        <v>9480</v>
      </c>
      <c r="H9483">
        <f t="shared" ca="1" si="143"/>
        <v>1.9883158166835224E-2</v>
      </c>
    </row>
    <row r="9484" spans="7:8" x14ac:dyDescent="0.3">
      <c r="G9484" s="78">
        <v>9481</v>
      </c>
      <c r="H9484">
        <f t="shared" ca="1" si="143"/>
        <v>4.5945963535646717E-3</v>
      </c>
    </row>
    <row r="9485" spans="7:8" x14ac:dyDescent="0.3">
      <c r="G9485" s="78">
        <v>9482</v>
      </c>
      <c r="H9485">
        <f t="shared" ca="1" si="143"/>
        <v>-4.4623657349925827E-3</v>
      </c>
    </row>
    <row r="9486" spans="7:8" x14ac:dyDescent="0.3">
      <c r="G9486" s="78">
        <v>9483</v>
      </c>
      <c r="H9486">
        <f t="shared" ca="1" si="143"/>
        <v>-2.5986484082298394E-2</v>
      </c>
    </row>
    <row r="9487" spans="7:8" x14ac:dyDescent="0.3">
      <c r="G9487" s="78">
        <v>9484</v>
      </c>
      <c r="H9487">
        <f t="shared" ca="1" si="143"/>
        <v>-2.9834436982604524E-2</v>
      </c>
    </row>
    <row r="9488" spans="7:8" x14ac:dyDescent="0.3">
      <c r="G9488" s="78">
        <v>9485</v>
      </c>
      <c r="H9488">
        <f t="shared" ca="1" si="143"/>
        <v>4.1742245672783005E-3</v>
      </c>
    </row>
    <row r="9489" spans="7:8" x14ac:dyDescent="0.3">
      <c r="G9489" s="78">
        <v>9486</v>
      </c>
      <c r="H9489">
        <f t="shared" ca="1" si="143"/>
        <v>-6.7689405387472104E-2</v>
      </c>
    </row>
    <row r="9490" spans="7:8" x14ac:dyDescent="0.3">
      <c r="G9490" s="78">
        <v>9487</v>
      </c>
      <c r="H9490">
        <f t="shared" ca="1" si="143"/>
        <v>1.5339263418478601E-2</v>
      </c>
    </row>
    <row r="9491" spans="7:8" x14ac:dyDescent="0.3">
      <c r="G9491" s="78">
        <v>9488</v>
      </c>
      <c r="H9491">
        <f t="shared" ca="1" si="143"/>
        <v>6.7371948667620891E-4</v>
      </c>
    </row>
    <row r="9492" spans="7:8" x14ac:dyDescent="0.3">
      <c r="G9492" s="78">
        <v>9489</v>
      </c>
      <c r="H9492">
        <f t="shared" ca="1" si="143"/>
        <v>-1.1157796704828053E-2</v>
      </c>
    </row>
    <row r="9493" spans="7:8" x14ac:dyDescent="0.3">
      <c r="G9493" s="78">
        <v>9490</v>
      </c>
      <c r="H9493">
        <f t="shared" ca="1" si="143"/>
        <v>-1.0394185397912557E-2</v>
      </c>
    </row>
    <row r="9494" spans="7:8" x14ac:dyDescent="0.3">
      <c r="G9494" s="78">
        <v>9491</v>
      </c>
      <c r="H9494">
        <f t="shared" ca="1" si="143"/>
        <v>-2.7026161987258757E-2</v>
      </c>
    </row>
    <row r="9495" spans="7:8" x14ac:dyDescent="0.3">
      <c r="G9495" s="78">
        <v>9492</v>
      </c>
      <c r="H9495">
        <f t="shared" ca="1" si="143"/>
        <v>6.5729946506758565E-3</v>
      </c>
    </row>
    <row r="9496" spans="7:8" x14ac:dyDescent="0.3">
      <c r="G9496" s="78">
        <v>9493</v>
      </c>
      <c r="H9496">
        <f t="shared" ca="1" si="143"/>
        <v>-6.5877866733762931E-3</v>
      </c>
    </row>
    <row r="9497" spans="7:8" x14ac:dyDescent="0.3">
      <c r="G9497" s="78">
        <v>9494</v>
      </c>
      <c r="H9497">
        <f t="shared" ca="1" si="143"/>
        <v>4.1391571507062444E-3</v>
      </c>
    </row>
    <row r="9498" spans="7:8" x14ac:dyDescent="0.3">
      <c r="G9498" s="78">
        <v>9495</v>
      </c>
      <c r="H9498">
        <f t="shared" ca="1" si="143"/>
        <v>1.9011807098568628E-2</v>
      </c>
    </row>
    <row r="9499" spans="7:8" x14ac:dyDescent="0.3">
      <c r="G9499" s="78">
        <v>9496</v>
      </c>
      <c r="H9499">
        <f t="shared" ca="1" si="143"/>
        <v>2.7618628582145623E-5</v>
      </c>
    </row>
    <row r="9500" spans="7:8" x14ac:dyDescent="0.3">
      <c r="G9500" s="78">
        <v>9497</v>
      </c>
      <c r="H9500">
        <f t="shared" ca="1" si="143"/>
        <v>-9.4577981762122149E-3</v>
      </c>
    </row>
    <row r="9501" spans="7:8" x14ac:dyDescent="0.3">
      <c r="G9501" s="78">
        <v>9498</v>
      </c>
      <c r="H9501">
        <f t="shared" ca="1" si="143"/>
        <v>4.5537103723782496E-3</v>
      </c>
    </row>
    <row r="9502" spans="7:8" x14ac:dyDescent="0.3">
      <c r="G9502" s="78">
        <v>9499</v>
      </c>
      <c r="H9502">
        <f t="shared" ca="1" si="143"/>
        <v>7.6943978400192846E-3</v>
      </c>
    </row>
    <row r="9503" spans="7:8" x14ac:dyDescent="0.3">
      <c r="G9503" s="78">
        <v>9500</v>
      </c>
      <c r="H9503">
        <f t="shared" ca="1" si="143"/>
        <v>-2.4637455981076726E-3</v>
      </c>
    </row>
    <row r="9504" spans="7:8" x14ac:dyDescent="0.3">
      <c r="G9504" s="78">
        <v>9501</v>
      </c>
      <c r="H9504">
        <f t="shared" ca="1" si="143"/>
        <v>9.3405637156440801E-3</v>
      </c>
    </row>
    <row r="9505" spans="7:8" x14ac:dyDescent="0.3">
      <c r="G9505" s="78">
        <v>9502</v>
      </c>
      <c r="H9505">
        <f t="shared" ca="1" si="143"/>
        <v>-5.7897126604502629E-3</v>
      </c>
    </row>
    <row r="9506" spans="7:8" x14ac:dyDescent="0.3">
      <c r="G9506" s="78">
        <v>9503</v>
      </c>
      <c r="H9506">
        <f t="shared" ca="1" si="143"/>
        <v>8.1346371197348472E-3</v>
      </c>
    </row>
    <row r="9507" spans="7:8" x14ac:dyDescent="0.3">
      <c r="G9507" s="78">
        <v>9504</v>
      </c>
      <c r="H9507">
        <f t="shared" ca="1" si="143"/>
        <v>-2.412617895759862E-2</v>
      </c>
    </row>
    <row r="9508" spans="7:8" x14ac:dyDescent="0.3">
      <c r="G9508" s="78">
        <v>9505</v>
      </c>
      <c r="H9508">
        <f t="shared" ca="1" si="143"/>
        <v>-1.7666106281415302E-2</v>
      </c>
    </row>
    <row r="9509" spans="7:8" x14ac:dyDescent="0.3">
      <c r="G9509" s="78">
        <v>9506</v>
      </c>
      <c r="H9509">
        <f t="shared" ca="1" si="143"/>
        <v>-2.059622651428665E-2</v>
      </c>
    </row>
    <row r="9510" spans="7:8" x14ac:dyDescent="0.3">
      <c r="G9510" s="78">
        <v>9507</v>
      </c>
      <c r="H9510">
        <f t="shared" ca="1" si="143"/>
        <v>-4.4923976389156751E-3</v>
      </c>
    </row>
    <row r="9511" spans="7:8" x14ac:dyDescent="0.3">
      <c r="G9511" s="78">
        <v>9508</v>
      </c>
      <c r="H9511">
        <f t="shared" ca="1" si="143"/>
        <v>1.6057115945831462E-2</v>
      </c>
    </row>
    <row r="9512" spans="7:8" x14ac:dyDescent="0.3">
      <c r="G9512" s="78">
        <v>9509</v>
      </c>
      <c r="H9512">
        <f t="shared" ca="1" si="143"/>
        <v>3.6076765536729533E-2</v>
      </c>
    </row>
    <row r="9513" spans="7:8" x14ac:dyDescent="0.3">
      <c r="G9513" s="78">
        <v>9510</v>
      </c>
      <c r="H9513">
        <f t="shared" ca="1" si="143"/>
        <v>-4.143465925468294E-2</v>
      </c>
    </row>
    <row r="9514" spans="7:8" x14ac:dyDescent="0.3">
      <c r="G9514" s="78">
        <v>9511</v>
      </c>
      <c r="H9514">
        <f t="shared" ca="1" si="143"/>
        <v>-1.6765666398662744E-2</v>
      </c>
    </row>
    <row r="9515" spans="7:8" x14ac:dyDescent="0.3">
      <c r="G9515" s="78">
        <v>9512</v>
      </c>
      <c r="H9515">
        <f t="shared" ca="1" si="143"/>
        <v>9.6945552341089532E-3</v>
      </c>
    </row>
    <row r="9516" spans="7:8" x14ac:dyDescent="0.3">
      <c r="G9516" s="78">
        <v>9513</v>
      </c>
      <c r="H9516">
        <f t="shared" ca="1" si="143"/>
        <v>2.4644874703793743E-2</v>
      </c>
    </row>
    <row r="9517" spans="7:8" x14ac:dyDescent="0.3">
      <c r="G9517" s="78">
        <v>9514</v>
      </c>
      <c r="H9517">
        <f t="shared" ca="1" si="143"/>
        <v>-3.8018605594110607E-3</v>
      </c>
    </row>
    <row r="9518" spans="7:8" x14ac:dyDescent="0.3">
      <c r="G9518" s="78">
        <v>9515</v>
      </c>
      <c r="H9518">
        <f t="shared" ca="1" si="143"/>
        <v>4.1759388281616761E-3</v>
      </c>
    </row>
    <row r="9519" spans="7:8" x14ac:dyDescent="0.3">
      <c r="G9519" s="78">
        <v>9516</v>
      </c>
      <c r="H9519">
        <f t="shared" ca="1" si="143"/>
        <v>-1.2749956380660897E-2</v>
      </c>
    </row>
    <row r="9520" spans="7:8" x14ac:dyDescent="0.3">
      <c r="G9520" s="78">
        <v>9517</v>
      </c>
      <c r="H9520">
        <f t="shared" ca="1" si="143"/>
        <v>-1.2226386107356489E-2</v>
      </c>
    </row>
    <row r="9521" spans="7:8" x14ac:dyDescent="0.3">
      <c r="G9521" s="78">
        <v>9518</v>
      </c>
      <c r="H9521">
        <f t="shared" ca="1" si="143"/>
        <v>-3.8184913325007798E-3</v>
      </c>
    </row>
    <row r="9522" spans="7:8" x14ac:dyDescent="0.3">
      <c r="G9522" s="78">
        <v>9519</v>
      </c>
      <c r="H9522">
        <f t="shared" ca="1" si="143"/>
        <v>6.273529320477261E-3</v>
      </c>
    </row>
    <row r="9523" spans="7:8" x14ac:dyDescent="0.3">
      <c r="G9523" s="78">
        <v>9520</v>
      </c>
      <c r="H9523">
        <f t="shared" ca="1" si="143"/>
        <v>3.5681661165660863E-2</v>
      </c>
    </row>
    <row r="9524" spans="7:8" x14ac:dyDescent="0.3">
      <c r="G9524" s="78">
        <v>9521</v>
      </c>
      <c r="H9524">
        <f t="shared" ca="1" si="143"/>
        <v>1.4741365288027188E-2</v>
      </c>
    </row>
    <row r="9525" spans="7:8" x14ac:dyDescent="0.3">
      <c r="G9525" s="78">
        <v>9522</v>
      </c>
      <c r="H9525">
        <f t="shared" ca="1" si="143"/>
        <v>-2.8669386143846575E-2</v>
      </c>
    </row>
    <row r="9526" spans="7:8" x14ac:dyDescent="0.3">
      <c r="G9526" s="78">
        <v>9523</v>
      </c>
      <c r="H9526">
        <f t="shared" ca="1" si="143"/>
        <v>-1.5783475912351699E-2</v>
      </c>
    </row>
    <row r="9527" spans="7:8" x14ac:dyDescent="0.3">
      <c r="G9527" s="78">
        <v>9524</v>
      </c>
      <c r="H9527">
        <f t="shared" ca="1" si="143"/>
        <v>-2.1592210615071605E-2</v>
      </c>
    </row>
    <row r="9528" spans="7:8" x14ac:dyDescent="0.3">
      <c r="G9528" s="78">
        <v>9525</v>
      </c>
      <c r="H9528">
        <f t="shared" ca="1" si="143"/>
        <v>-6.256601326847736E-3</v>
      </c>
    </row>
    <row r="9529" spans="7:8" x14ac:dyDescent="0.3">
      <c r="G9529" s="78">
        <v>9526</v>
      </c>
      <c r="H9529">
        <f t="shared" ca="1" si="143"/>
        <v>1.0172189257195608E-2</v>
      </c>
    </row>
    <row r="9530" spans="7:8" x14ac:dyDescent="0.3">
      <c r="G9530" s="78">
        <v>9527</v>
      </c>
      <c r="H9530">
        <f t="shared" ca="1" si="143"/>
        <v>5.6079671734612785E-3</v>
      </c>
    </row>
    <row r="9531" spans="7:8" x14ac:dyDescent="0.3">
      <c r="G9531" s="78">
        <v>9528</v>
      </c>
      <c r="H9531">
        <f t="shared" ca="1" si="143"/>
        <v>-5.2892480100348331E-3</v>
      </c>
    </row>
    <row r="9532" spans="7:8" x14ac:dyDescent="0.3">
      <c r="G9532" s="78">
        <v>9529</v>
      </c>
      <c r="H9532">
        <f t="shared" ca="1" si="143"/>
        <v>3.852028570300807E-2</v>
      </c>
    </row>
    <row r="9533" spans="7:8" x14ac:dyDescent="0.3">
      <c r="G9533" s="78">
        <v>9530</v>
      </c>
      <c r="H9533">
        <f t="shared" ca="1" si="143"/>
        <v>-9.0152664109192284E-3</v>
      </c>
    </row>
    <row r="9534" spans="7:8" x14ac:dyDescent="0.3">
      <c r="G9534" s="78">
        <v>9531</v>
      </c>
      <c r="H9534">
        <f t="shared" ca="1" si="143"/>
        <v>-1.8841261158078125E-2</v>
      </c>
    </row>
    <row r="9535" spans="7:8" x14ac:dyDescent="0.3">
      <c r="G9535" s="78">
        <v>9532</v>
      </c>
      <c r="H9535">
        <f t="shared" ca="1" si="143"/>
        <v>-3.3256363497544343E-2</v>
      </c>
    </row>
    <row r="9536" spans="7:8" x14ac:dyDescent="0.3">
      <c r="G9536" s="78">
        <v>9533</v>
      </c>
      <c r="H9536">
        <f t="shared" ca="1" si="143"/>
        <v>2.6565847926895486E-3</v>
      </c>
    </row>
    <row r="9537" spans="7:8" x14ac:dyDescent="0.3">
      <c r="G9537" s="78">
        <v>9534</v>
      </c>
      <c r="H9537">
        <f t="shared" ca="1" si="143"/>
        <v>-3.1272418527639574E-2</v>
      </c>
    </row>
    <row r="9538" spans="7:8" x14ac:dyDescent="0.3">
      <c r="G9538" s="78">
        <v>9535</v>
      </c>
      <c r="H9538">
        <f t="shared" ca="1" si="143"/>
        <v>3.3088594019492577E-4</v>
      </c>
    </row>
    <row r="9539" spans="7:8" x14ac:dyDescent="0.3">
      <c r="G9539" s="78">
        <v>9536</v>
      </c>
      <c r="H9539">
        <f t="shared" ca="1" si="143"/>
        <v>2.8321875833928766E-2</v>
      </c>
    </row>
    <row r="9540" spans="7:8" x14ac:dyDescent="0.3">
      <c r="G9540" s="78">
        <v>9537</v>
      </c>
      <c r="H9540">
        <f t="shared" ref="H9540:H9603" ca="1" si="144">_xlfn.NORM.INV(RAND(),$N$4,$N$5)</f>
        <v>-1.1175084574287791E-2</v>
      </c>
    </row>
    <row r="9541" spans="7:8" x14ac:dyDescent="0.3">
      <c r="G9541" s="78">
        <v>9538</v>
      </c>
      <c r="H9541">
        <f t="shared" ca="1" si="144"/>
        <v>-2.7896672492304844E-3</v>
      </c>
    </row>
    <row r="9542" spans="7:8" x14ac:dyDescent="0.3">
      <c r="G9542" s="78">
        <v>9539</v>
      </c>
      <c r="H9542">
        <f t="shared" ca="1" si="144"/>
        <v>-3.9874520045259801E-3</v>
      </c>
    </row>
    <row r="9543" spans="7:8" x14ac:dyDescent="0.3">
      <c r="G9543" s="78">
        <v>9540</v>
      </c>
      <c r="H9543">
        <f t="shared" ca="1" si="144"/>
        <v>-1.2659506863086345E-2</v>
      </c>
    </row>
    <row r="9544" spans="7:8" x14ac:dyDescent="0.3">
      <c r="G9544" s="78">
        <v>9541</v>
      </c>
      <c r="H9544">
        <f t="shared" ca="1" si="144"/>
        <v>6.2377729133912835E-3</v>
      </c>
    </row>
    <row r="9545" spans="7:8" x14ac:dyDescent="0.3">
      <c r="G9545" s="78">
        <v>9542</v>
      </c>
      <c r="H9545">
        <f t="shared" ca="1" si="144"/>
        <v>-1.7685933255671045E-3</v>
      </c>
    </row>
    <row r="9546" spans="7:8" x14ac:dyDescent="0.3">
      <c r="G9546" s="78">
        <v>9543</v>
      </c>
      <c r="H9546">
        <f t="shared" ca="1" si="144"/>
        <v>3.3829639707914833E-2</v>
      </c>
    </row>
    <row r="9547" spans="7:8" x14ac:dyDescent="0.3">
      <c r="G9547" s="78">
        <v>9544</v>
      </c>
      <c r="H9547">
        <f t="shared" ca="1" si="144"/>
        <v>1.1744552208791777E-2</v>
      </c>
    </row>
    <row r="9548" spans="7:8" x14ac:dyDescent="0.3">
      <c r="G9548" s="78">
        <v>9545</v>
      </c>
      <c r="H9548">
        <f t="shared" ca="1" si="144"/>
        <v>1.5442393005846789E-2</v>
      </c>
    </row>
    <row r="9549" spans="7:8" x14ac:dyDescent="0.3">
      <c r="G9549" s="78">
        <v>9546</v>
      </c>
      <c r="H9549">
        <f t="shared" ca="1" si="144"/>
        <v>1.3379892002921686E-2</v>
      </c>
    </row>
    <row r="9550" spans="7:8" x14ac:dyDescent="0.3">
      <c r="G9550" s="78">
        <v>9547</v>
      </c>
      <c r="H9550">
        <f t="shared" ca="1" si="144"/>
        <v>3.8099770536246601E-2</v>
      </c>
    </row>
    <row r="9551" spans="7:8" x14ac:dyDescent="0.3">
      <c r="G9551" s="78">
        <v>9548</v>
      </c>
      <c r="H9551">
        <f t="shared" ca="1" si="144"/>
        <v>8.9254186782221755E-3</v>
      </c>
    </row>
    <row r="9552" spans="7:8" x14ac:dyDescent="0.3">
      <c r="G9552" s="78">
        <v>9549</v>
      </c>
      <c r="H9552">
        <f t="shared" ca="1" si="144"/>
        <v>3.2952846895074973E-2</v>
      </c>
    </row>
    <row r="9553" spans="7:8" x14ac:dyDescent="0.3">
      <c r="G9553" s="78">
        <v>9550</v>
      </c>
      <c r="H9553">
        <f t="shared" ca="1" si="144"/>
        <v>1.1231462181562047E-3</v>
      </c>
    </row>
    <row r="9554" spans="7:8" x14ac:dyDescent="0.3">
      <c r="G9554" s="78">
        <v>9551</v>
      </c>
      <c r="H9554">
        <f t="shared" ca="1" si="144"/>
        <v>-8.670725776686419E-3</v>
      </c>
    </row>
    <row r="9555" spans="7:8" x14ac:dyDescent="0.3">
      <c r="G9555" s="78">
        <v>9552</v>
      </c>
      <c r="H9555">
        <f t="shared" ca="1" si="144"/>
        <v>-1.2382519397320447E-2</v>
      </c>
    </row>
    <row r="9556" spans="7:8" x14ac:dyDescent="0.3">
      <c r="G9556" s="78">
        <v>9553</v>
      </c>
      <c r="H9556">
        <f t="shared" ca="1" si="144"/>
        <v>-2.8469806288215788E-3</v>
      </c>
    </row>
    <row r="9557" spans="7:8" x14ac:dyDescent="0.3">
      <c r="G9557" s="78">
        <v>9554</v>
      </c>
      <c r="H9557">
        <f t="shared" ca="1" si="144"/>
        <v>-6.5267598856555828E-3</v>
      </c>
    </row>
    <row r="9558" spans="7:8" x14ac:dyDescent="0.3">
      <c r="G9558" s="78">
        <v>9555</v>
      </c>
      <c r="H9558">
        <f t="shared" ca="1" si="144"/>
        <v>-1.5225923369057263E-3</v>
      </c>
    </row>
    <row r="9559" spans="7:8" x14ac:dyDescent="0.3">
      <c r="G9559" s="78">
        <v>9556</v>
      </c>
      <c r="H9559">
        <f t="shared" ca="1" si="144"/>
        <v>-1.7243207147447388E-2</v>
      </c>
    </row>
    <row r="9560" spans="7:8" x14ac:dyDescent="0.3">
      <c r="G9560" s="78">
        <v>9557</v>
      </c>
      <c r="H9560">
        <f t="shared" ca="1" si="144"/>
        <v>-3.819755994390976E-3</v>
      </c>
    </row>
    <row r="9561" spans="7:8" x14ac:dyDescent="0.3">
      <c r="G9561" s="78">
        <v>9558</v>
      </c>
      <c r="H9561">
        <f t="shared" ca="1" si="144"/>
        <v>1.9715575275495528E-2</v>
      </c>
    </row>
    <row r="9562" spans="7:8" x14ac:dyDescent="0.3">
      <c r="G9562" s="78">
        <v>9559</v>
      </c>
      <c r="H9562">
        <f t="shared" ca="1" si="144"/>
        <v>7.2399522710094432E-3</v>
      </c>
    </row>
    <row r="9563" spans="7:8" x14ac:dyDescent="0.3">
      <c r="G9563" s="78">
        <v>9560</v>
      </c>
      <c r="H9563">
        <f t="shared" ca="1" si="144"/>
        <v>-1.585437651934673E-3</v>
      </c>
    </row>
    <row r="9564" spans="7:8" x14ac:dyDescent="0.3">
      <c r="G9564" s="78">
        <v>9561</v>
      </c>
      <c r="H9564">
        <f t="shared" ca="1" si="144"/>
        <v>2.1106991163056414E-2</v>
      </c>
    </row>
    <row r="9565" spans="7:8" x14ac:dyDescent="0.3">
      <c r="G9565" s="78">
        <v>9562</v>
      </c>
      <c r="H9565">
        <f t="shared" ca="1" si="144"/>
        <v>-2.7270689217945496E-2</v>
      </c>
    </row>
    <row r="9566" spans="7:8" x14ac:dyDescent="0.3">
      <c r="G9566" s="78">
        <v>9563</v>
      </c>
      <c r="H9566">
        <f t="shared" ca="1" si="144"/>
        <v>2.0960173443029702E-2</v>
      </c>
    </row>
    <row r="9567" spans="7:8" x14ac:dyDescent="0.3">
      <c r="G9567" s="78">
        <v>9564</v>
      </c>
      <c r="H9567">
        <f t="shared" ca="1" si="144"/>
        <v>-3.0641811825546268E-3</v>
      </c>
    </row>
    <row r="9568" spans="7:8" x14ac:dyDescent="0.3">
      <c r="G9568" s="78">
        <v>9565</v>
      </c>
      <c r="H9568">
        <f t="shared" ca="1" si="144"/>
        <v>5.0963785722922036E-3</v>
      </c>
    </row>
    <row r="9569" spans="7:8" x14ac:dyDescent="0.3">
      <c r="G9569" s="78">
        <v>9566</v>
      </c>
      <c r="H9569">
        <f t="shared" ca="1" si="144"/>
        <v>-2.929657958948402E-2</v>
      </c>
    </row>
    <row r="9570" spans="7:8" x14ac:dyDescent="0.3">
      <c r="G9570" s="78">
        <v>9567</v>
      </c>
      <c r="H9570">
        <f t="shared" ca="1" si="144"/>
        <v>1.0211392200173506E-3</v>
      </c>
    </row>
    <row r="9571" spans="7:8" x14ac:dyDescent="0.3">
      <c r="G9571" s="78">
        <v>9568</v>
      </c>
      <c r="H9571">
        <f t="shared" ca="1" si="144"/>
        <v>-1.0957338898883362E-3</v>
      </c>
    </row>
    <row r="9572" spans="7:8" x14ac:dyDescent="0.3">
      <c r="G9572" s="78">
        <v>9569</v>
      </c>
      <c r="H9572">
        <f t="shared" ca="1" si="144"/>
        <v>6.8888710460052521E-3</v>
      </c>
    </row>
    <row r="9573" spans="7:8" x14ac:dyDescent="0.3">
      <c r="G9573" s="78">
        <v>9570</v>
      </c>
      <c r="H9573">
        <f t="shared" ca="1" si="144"/>
        <v>1.7352016167261574E-2</v>
      </c>
    </row>
    <row r="9574" spans="7:8" x14ac:dyDescent="0.3">
      <c r="G9574" s="78">
        <v>9571</v>
      </c>
      <c r="H9574">
        <f t="shared" ca="1" si="144"/>
        <v>-2.1184475788216688E-2</v>
      </c>
    </row>
    <row r="9575" spans="7:8" x14ac:dyDescent="0.3">
      <c r="G9575" s="78">
        <v>9572</v>
      </c>
      <c r="H9575">
        <f t="shared" ca="1" si="144"/>
        <v>-4.1716904995478532E-3</v>
      </c>
    </row>
    <row r="9576" spans="7:8" x14ac:dyDescent="0.3">
      <c r="G9576" s="78">
        <v>9573</v>
      </c>
      <c r="H9576">
        <f t="shared" ca="1" si="144"/>
        <v>1.5086904199755981E-2</v>
      </c>
    </row>
    <row r="9577" spans="7:8" x14ac:dyDescent="0.3">
      <c r="G9577" s="78">
        <v>9574</v>
      </c>
      <c r="H9577">
        <f t="shared" ca="1" si="144"/>
        <v>-3.1909222054114566E-5</v>
      </c>
    </row>
    <row r="9578" spans="7:8" x14ac:dyDescent="0.3">
      <c r="G9578" s="78">
        <v>9575</v>
      </c>
      <c r="H9578">
        <f t="shared" ca="1" si="144"/>
        <v>1.3184433637106146E-2</v>
      </c>
    </row>
    <row r="9579" spans="7:8" x14ac:dyDescent="0.3">
      <c r="G9579" s="78">
        <v>9576</v>
      </c>
      <c r="H9579">
        <f t="shared" ca="1" si="144"/>
        <v>-6.0086430173000166E-3</v>
      </c>
    </row>
    <row r="9580" spans="7:8" x14ac:dyDescent="0.3">
      <c r="G9580" s="78">
        <v>9577</v>
      </c>
      <c r="H9580">
        <f t="shared" ca="1" si="144"/>
        <v>-8.9104460064398996E-3</v>
      </c>
    </row>
    <row r="9581" spans="7:8" x14ac:dyDescent="0.3">
      <c r="G9581" s="78">
        <v>9578</v>
      </c>
      <c r="H9581">
        <f t="shared" ca="1" si="144"/>
        <v>2.4558378431350968E-2</v>
      </c>
    </row>
    <row r="9582" spans="7:8" x14ac:dyDescent="0.3">
      <c r="G9582" s="78">
        <v>9579</v>
      </c>
      <c r="H9582">
        <f t="shared" ca="1" si="144"/>
        <v>-6.4145756130760028E-3</v>
      </c>
    </row>
    <row r="9583" spans="7:8" x14ac:dyDescent="0.3">
      <c r="G9583" s="78">
        <v>9580</v>
      </c>
      <c r="H9583">
        <f t="shared" ca="1" si="144"/>
        <v>-1.9820444043461855E-2</v>
      </c>
    </row>
    <row r="9584" spans="7:8" x14ac:dyDescent="0.3">
      <c r="G9584" s="78">
        <v>9581</v>
      </c>
      <c r="H9584">
        <f t="shared" ca="1" si="144"/>
        <v>2.6244435597051766E-2</v>
      </c>
    </row>
    <row r="9585" spans="7:8" x14ac:dyDescent="0.3">
      <c r="G9585" s="78">
        <v>9582</v>
      </c>
      <c r="H9585">
        <f t="shared" ca="1" si="144"/>
        <v>-3.6746616943276113E-2</v>
      </c>
    </row>
    <row r="9586" spans="7:8" x14ac:dyDescent="0.3">
      <c r="G9586" s="78">
        <v>9583</v>
      </c>
      <c r="H9586">
        <f t="shared" ca="1" si="144"/>
        <v>-1.2345961208426336E-3</v>
      </c>
    </row>
    <row r="9587" spans="7:8" x14ac:dyDescent="0.3">
      <c r="G9587" s="78">
        <v>9584</v>
      </c>
      <c r="H9587">
        <f t="shared" ca="1" si="144"/>
        <v>3.2230894077436489E-3</v>
      </c>
    </row>
    <row r="9588" spans="7:8" x14ac:dyDescent="0.3">
      <c r="G9588" s="78">
        <v>9585</v>
      </c>
      <c r="H9588">
        <f t="shared" ca="1" si="144"/>
        <v>1.908754648050659E-2</v>
      </c>
    </row>
    <row r="9589" spans="7:8" x14ac:dyDescent="0.3">
      <c r="G9589" s="78">
        <v>9586</v>
      </c>
      <c r="H9589">
        <f t="shared" ca="1" si="144"/>
        <v>2.9937532842526267E-2</v>
      </c>
    </row>
    <row r="9590" spans="7:8" x14ac:dyDescent="0.3">
      <c r="G9590" s="78">
        <v>9587</v>
      </c>
      <c r="H9590">
        <f t="shared" ca="1" si="144"/>
        <v>-1.0280449422421496E-2</v>
      </c>
    </row>
    <row r="9591" spans="7:8" x14ac:dyDescent="0.3">
      <c r="G9591" s="78">
        <v>9588</v>
      </c>
      <c r="H9591">
        <f t="shared" ca="1" si="144"/>
        <v>1.9845510339363027E-2</v>
      </c>
    </row>
    <row r="9592" spans="7:8" x14ac:dyDescent="0.3">
      <c r="G9592" s="78">
        <v>9589</v>
      </c>
      <c r="H9592">
        <f t="shared" ca="1" si="144"/>
        <v>1.5422839070874733E-3</v>
      </c>
    </row>
    <row r="9593" spans="7:8" x14ac:dyDescent="0.3">
      <c r="G9593" s="78">
        <v>9590</v>
      </c>
      <c r="H9593">
        <f t="shared" ca="1" si="144"/>
        <v>1.1776162766106806E-2</v>
      </c>
    </row>
    <row r="9594" spans="7:8" x14ac:dyDescent="0.3">
      <c r="G9594" s="78">
        <v>9591</v>
      </c>
      <c r="H9594">
        <f t="shared" ca="1" si="144"/>
        <v>-2.7919421292119825E-2</v>
      </c>
    </row>
    <row r="9595" spans="7:8" x14ac:dyDescent="0.3">
      <c r="G9595" s="78">
        <v>9592</v>
      </c>
      <c r="H9595">
        <f t="shared" ca="1" si="144"/>
        <v>1.4827498410714289E-2</v>
      </c>
    </row>
    <row r="9596" spans="7:8" x14ac:dyDescent="0.3">
      <c r="G9596" s="78">
        <v>9593</v>
      </c>
      <c r="H9596">
        <f t="shared" ca="1" si="144"/>
        <v>1.4796072851746115E-2</v>
      </c>
    </row>
    <row r="9597" spans="7:8" x14ac:dyDescent="0.3">
      <c r="G9597" s="78">
        <v>9594</v>
      </c>
      <c r="H9597">
        <f t="shared" ca="1" si="144"/>
        <v>8.4968428988146383E-3</v>
      </c>
    </row>
    <row r="9598" spans="7:8" x14ac:dyDescent="0.3">
      <c r="G9598" s="78">
        <v>9595</v>
      </c>
      <c r="H9598">
        <f t="shared" ca="1" si="144"/>
        <v>3.1211344300233318E-3</v>
      </c>
    </row>
    <row r="9599" spans="7:8" x14ac:dyDescent="0.3">
      <c r="G9599" s="78">
        <v>9596</v>
      </c>
      <c r="H9599">
        <f t="shared" ca="1" si="144"/>
        <v>-2.4209202219381075E-2</v>
      </c>
    </row>
    <row r="9600" spans="7:8" x14ac:dyDescent="0.3">
      <c r="G9600" s="78">
        <v>9597</v>
      </c>
      <c r="H9600">
        <f t="shared" ca="1" si="144"/>
        <v>1.061268371415054E-2</v>
      </c>
    </row>
    <row r="9601" spans="7:8" x14ac:dyDescent="0.3">
      <c r="G9601" s="78">
        <v>9598</v>
      </c>
      <c r="H9601">
        <f t="shared" ca="1" si="144"/>
        <v>2.3696265096544995E-2</v>
      </c>
    </row>
    <row r="9602" spans="7:8" x14ac:dyDescent="0.3">
      <c r="G9602" s="78">
        <v>9599</v>
      </c>
      <c r="H9602">
        <f t="shared" ca="1" si="144"/>
        <v>-2.9247571020310933E-2</v>
      </c>
    </row>
    <row r="9603" spans="7:8" x14ac:dyDescent="0.3">
      <c r="G9603" s="78">
        <v>9600</v>
      </c>
      <c r="H9603">
        <f t="shared" ca="1" si="144"/>
        <v>3.7639275060789408E-2</v>
      </c>
    </row>
    <row r="9604" spans="7:8" x14ac:dyDescent="0.3">
      <c r="G9604" s="78">
        <v>9601</v>
      </c>
      <c r="H9604">
        <f t="shared" ref="H9604:H9667" ca="1" si="145">_xlfn.NORM.INV(RAND(),$N$4,$N$5)</f>
        <v>8.5764764558257363E-4</v>
      </c>
    </row>
    <row r="9605" spans="7:8" x14ac:dyDescent="0.3">
      <c r="G9605" s="78">
        <v>9602</v>
      </c>
      <c r="H9605">
        <f t="shared" ca="1" si="145"/>
        <v>1.6477457087672016E-2</v>
      </c>
    </row>
    <row r="9606" spans="7:8" x14ac:dyDescent="0.3">
      <c r="G9606" s="78">
        <v>9603</v>
      </c>
      <c r="H9606">
        <f t="shared" ca="1" si="145"/>
        <v>6.6018669344822881E-3</v>
      </c>
    </row>
    <row r="9607" spans="7:8" x14ac:dyDescent="0.3">
      <c r="G9607" s="78">
        <v>9604</v>
      </c>
      <c r="H9607">
        <f t="shared" ca="1" si="145"/>
        <v>1.5594778345593495E-2</v>
      </c>
    </row>
    <row r="9608" spans="7:8" x14ac:dyDescent="0.3">
      <c r="G9608" s="78">
        <v>9605</v>
      </c>
      <c r="H9608">
        <f t="shared" ca="1" si="145"/>
        <v>-3.5340576605787117E-3</v>
      </c>
    </row>
    <row r="9609" spans="7:8" x14ac:dyDescent="0.3">
      <c r="G9609" s="78">
        <v>9606</v>
      </c>
      <c r="H9609">
        <f t="shared" ca="1" si="145"/>
        <v>-4.8480328448137974E-3</v>
      </c>
    </row>
    <row r="9610" spans="7:8" x14ac:dyDescent="0.3">
      <c r="G9610" s="78">
        <v>9607</v>
      </c>
      <c r="H9610">
        <f t="shared" ca="1" si="145"/>
        <v>4.0278691243728404E-2</v>
      </c>
    </row>
    <row r="9611" spans="7:8" x14ac:dyDescent="0.3">
      <c r="G9611" s="78">
        <v>9608</v>
      </c>
      <c r="H9611">
        <f t="shared" ca="1" si="145"/>
        <v>9.9521947436763247E-3</v>
      </c>
    </row>
    <row r="9612" spans="7:8" x14ac:dyDescent="0.3">
      <c r="G9612" s="78">
        <v>9609</v>
      </c>
      <c r="H9612">
        <f t="shared" ca="1" si="145"/>
        <v>-4.4202076723252656E-3</v>
      </c>
    </row>
    <row r="9613" spans="7:8" x14ac:dyDescent="0.3">
      <c r="G9613" s="78">
        <v>9610</v>
      </c>
      <c r="H9613">
        <f t="shared" ca="1" si="145"/>
        <v>1.4648490985928976E-2</v>
      </c>
    </row>
    <row r="9614" spans="7:8" x14ac:dyDescent="0.3">
      <c r="G9614" s="78">
        <v>9611</v>
      </c>
      <c r="H9614">
        <f t="shared" ca="1" si="145"/>
        <v>-2.3772323187794309E-2</v>
      </c>
    </row>
    <row r="9615" spans="7:8" x14ac:dyDescent="0.3">
      <c r="G9615" s="78">
        <v>9612</v>
      </c>
      <c r="H9615">
        <f t="shared" ca="1" si="145"/>
        <v>1.3277932167567337E-3</v>
      </c>
    </row>
    <row r="9616" spans="7:8" x14ac:dyDescent="0.3">
      <c r="G9616" s="78">
        <v>9613</v>
      </c>
      <c r="H9616">
        <f t="shared" ca="1" si="145"/>
        <v>-1.1771174261818994E-2</v>
      </c>
    </row>
    <row r="9617" spans="7:8" x14ac:dyDescent="0.3">
      <c r="G9617" s="78">
        <v>9614</v>
      </c>
      <c r="H9617">
        <f t="shared" ca="1" si="145"/>
        <v>-2.0006620583075457E-3</v>
      </c>
    </row>
    <row r="9618" spans="7:8" x14ac:dyDescent="0.3">
      <c r="G9618" s="78">
        <v>9615</v>
      </c>
      <c r="H9618">
        <f t="shared" ca="1" si="145"/>
        <v>3.1611371055191316E-2</v>
      </c>
    </row>
    <row r="9619" spans="7:8" x14ac:dyDescent="0.3">
      <c r="G9619" s="78">
        <v>9616</v>
      </c>
      <c r="H9619">
        <f t="shared" ca="1" si="145"/>
        <v>9.3728502651672027E-3</v>
      </c>
    </row>
    <row r="9620" spans="7:8" x14ac:dyDescent="0.3">
      <c r="G9620" s="78">
        <v>9617</v>
      </c>
      <c r="H9620">
        <f t="shared" ca="1" si="145"/>
        <v>3.502707460721774E-2</v>
      </c>
    </row>
    <row r="9621" spans="7:8" x14ac:dyDescent="0.3">
      <c r="G9621" s="78">
        <v>9618</v>
      </c>
      <c r="H9621">
        <f t="shared" ca="1" si="145"/>
        <v>7.8461778538618764E-3</v>
      </c>
    </row>
    <row r="9622" spans="7:8" x14ac:dyDescent="0.3">
      <c r="G9622" s="78">
        <v>9619</v>
      </c>
      <c r="H9622">
        <f t="shared" ca="1" si="145"/>
        <v>-1.111505051887483E-2</v>
      </c>
    </row>
    <row r="9623" spans="7:8" x14ac:dyDescent="0.3">
      <c r="G9623" s="78">
        <v>9620</v>
      </c>
      <c r="H9623">
        <f t="shared" ca="1" si="145"/>
        <v>1.0802046701292011E-2</v>
      </c>
    </row>
    <row r="9624" spans="7:8" x14ac:dyDescent="0.3">
      <c r="G9624" s="78">
        <v>9621</v>
      </c>
      <c r="H9624">
        <f t="shared" ca="1" si="145"/>
        <v>3.0692566684835484E-2</v>
      </c>
    </row>
    <row r="9625" spans="7:8" x14ac:dyDescent="0.3">
      <c r="G9625" s="78">
        <v>9622</v>
      </c>
      <c r="H9625">
        <f t="shared" ca="1" si="145"/>
        <v>3.3671682356614954E-2</v>
      </c>
    </row>
    <row r="9626" spans="7:8" x14ac:dyDescent="0.3">
      <c r="G9626" s="78">
        <v>9623</v>
      </c>
      <c r="H9626">
        <f t="shared" ca="1" si="145"/>
        <v>-1.7064701434555664E-2</v>
      </c>
    </row>
    <row r="9627" spans="7:8" x14ac:dyDescent="0.3">
      <c r="G9627" s="78">
        <v>9624</v>
      </c>
      <c r="H9627">
        <f t="shared" ca="1" si="145"/>
        <v>-1.0518333122145541E-2</v>
      </c>
    </row>
    <row r="9628" spans="7:8" x14ac:dyDescent="0.3">
      <c r="G9628" s="78">
        <v>9625</v>
      </c>
      <c r="H9628">
        <f t="shared" ca="1" si="145"/>
        <v>-5.49384470131136E-3</v>
      </c>
    </row>
    <row r="9629" spans="7:8" x14ac:dyDescent="0.3">
      <c r="G9629" s="78">
        <v>9626</v>
      </c>
      <c r="H9629">
        <f t="shared" ca="1" si="145"/>
        <v>-4.7066041873403547E-3</v>
      </c>
    </row>
    <row r="9630" spans="7:8" x14ac:dyDescent="0.3">
      <c r="G9630" s="78">
        <v>9627</v>
      </c>
      <c r="H9630">
        <f t="shared" ca="1" si="145"/>
        <v>-3.1489046530937355E-3</v>
      </c>
    </row>
    <row r="9631" spans="7:8" x14ac:dyDescent="0.3">
      <c r="G9631" s="78">
        <v>9628</v>
      </c>
      <c r="H9631">
        <f t="shared" ca="1" si="145"/>
        <v>2.8307893006552045E-3</v>
      </c>
    </row>
    <row r="9632" spans="7:8" x14ac:dyDescent="0.3">
      <c r="G9632" s="78">
        <v>9629</v>
      </c>
      <c r="H9632">
        <f t="shared" ca="1" si="145"/>
        <v>-4.7066198935751093E-3</v>
      </c>
    </row>
    <row r="9633" spans="7:8" x14ac:dyDescent="0.3">
      <c r="G9633" s="78">
        <v>9630</v>
      </c>
      <c r="H9633">
        <f t="shared" ca="1" si="145"/>
        <v>2.6281291692114322E-2</v>
      </c>
    </row>
    <row r="9634" spans="7:8" x14ac:dyDescent="0.3">
      <c r="G9634" s="78">
        <v>9631</v>
      </c>
      <c r="H9634">
        <f t="shared" ca="1" si="145"/>
        <v>-1.085496680618874E-3</v>
      </c>
    </row>
    <row r="9635" spans="7:8" x14ac:dyDescent="0.3">
      <c r="G9635" s="78">
        <v>9632</v>
      </c>
      <c r="H9635">
        <f t="shared" ca="1" si="145"/>
        <v>2.7076118173136005E-2</v>
      </c>
    </row>
    <row r="9636" spans="7:8" x14ac:dyDescent="0.3">
      <c r="G9636" s="78">
        <v>9633</v>
      </c>
      <c r="H9636">
        <f t="shared" ca="1" si="145"/>
        <v>1.9251776104621907E-2</v>
      </c>
    </row>
    <row r="9637" spans="7:8" x14ac:dyDescent="0.3">
      <c r="G9637" s="78">
        <v>9634</v>
      </c>
      <c r="H9637">
        <f t="shared" ca="1" si="145"/>
        <v>1.3227212391584751E-2</v>
      </c>
    </row>
    <row r="9638" spans="7:8" x14ac:dyDescent="0.3">
      <c r="G9638" s="78">
        <v>9635</v>
      </c>
      <c r="H9638">
        <f t="shared" ca="1" si="145"/>
        <v>2.277010769484689E-3</v>
      </c>
    </row>
    <row r="9639" spans="7:8" x14ac:dyDescent="0.3">
      <c r="G9639" s="78">
        <v>9636</v>
      </c>
      <c r="H9639">
        <f t="shared" ca="1" si="145"/>
        <v>-4.9830287042422544E-3</v>
      </c>
    </row>
    <row r="9640" spans="7:8" x14ac:dyDescent="0.3">
      <c r="G9640" s="78">
        <v>9637</v>
      </c>
      <c r="H9640">
        <f t="shared" ca="1" si="145"/>
        <v>2.5500815038109439E-2</v>
      </c>
    </row>
    <row r="9641" spans="7:8" x14ac:dyDescent="0.3">
      <c r="G9641" s="78">
        <v>9638</v>
      </c>
      <c r="H9641">
        <f t="shared" ca="1" si="145"/>
        <v>-1.4096405776513152E-2</v>
      </c>
    </row>
    <row r="9642" spans="7:8" x14ac:dyDescent="0.3">
      <c r="G9642" s="78">
        <v>9639</v>
      </c>
      <c r="H9642">
        <f t="shared" ca="1" si="145"/>
        <v>-2.273043308346696E-3</v>
      </c>
    </row>
    <row r="9643" spans="7:8" x14ac:dyDescent="0.3">
      <c r="G9643" s="78">
        <v>9640</v>
      </c>
      <c r="H9643">
        <f t="shared" ca="1" si="145"/>
        <v>2.2446606473346578E-2</v>
      </c>
    </row>
    <row r="9644" spans="7:8" x14ac:dyDescent="0.3">
      <c r="G9644" s="78">
        <v>9641</v>
      </c>
      <c r="H9644">
        <f t="shared" ca="1" si="145"/>
        <v>6.1430533765548705E-3</v>
      </c>
    </row>
    <row r="9645" spans="7:8" x14ac:dyDescent="0.3">
      <c r="G9645" s="78">
        <v>9642</v>
      </c>
      <c r="H9645">
        <f t="shared" ca="1" si="145"/>
        <v>8.9330205849168162E-3</v>
      </c>
    </row>
    <row r="9646" spans="7:8" x14ac:dyDescent="0.3">
      <c r="G9646" s="78">
        <v>9643</v>
      </c>
      <c r="H9646">
        <f t="shared" ca="1" si="145"/>
        <v>-2.2560933574533103E-2</v>
      </c>
    </row>
    <row r="9647" spans="7:8" x14ac:dyDescent="0.3">
      <c r="G9647" s="78">
        <v>9644</v>
      </c>
      <c r="H9647">
        <f t="shared" ca="1" si="145"/>
        <v>-1.9768236110849106E-2</v>
      </c>
    </row>
    <row r="9648" spans="7:8" x14ac:dyDescent="0.3">
      <c r="G9648" s="78">
        <v>9645</v>
      </c>
      <c r="H9648">
        <f t="shared" ca="1" si="145"/>
        <v>-8.9212323584182272E-4</v>
      </c>
    </row>
    <row r="9649" spans="7:8" x14ac:dyDescent="0.3">
      <c r="G9649" s="78">
        <v>9646</v>
      </c>
      <c r="H9649">
        <f t="shared" ca="1" si="145"/>
        <v>-5.4056659042436474E-3</v>
      </c>
    </row>
    <row r="9650" spans="7:8" x14ac:dyDescent="0.3">
      <c r="G9650" s="78">
        <v>9647</v>
      </c>
      <c r="H9650">
        <f t="shared" ca="1" si="145"/>
        <v>1.0930853406541647E-2</v>
      </c>
    </row>
    <row r="9651" spans="7:8" x14ac:dyDescent="0.3">
      <c r="G9651" s="78">
        <v>9648</v>
      </c>
      <c r="H9651">
        <f t="shared" ca="1" si="145"/>
        <v>4.6987061705012056E-3</v>
      </c>
    </row>
    <row r="9652" spans="7:8" x14ac:dyDescent="0.3">
      <c r="G9652" s="78">
        <v>9649</v>
      </c>
      <c r="H9652">
        <f t="shared" ca="1" si="145"/>
        <v>3.4385187478876466E-3</v>
      </c>
    </row>
    <row r="9653" spans="7:8" x14ac:dyDescent="0.3">
      <c r="G9653" s="78">
        <v>9650</v>
      </c>
      <c r="H9653">
        <f t="shared" ca="1" si="145"/>
        <v>1.202377600665386E-2</v>
      </c>
    </row>
    <row r="9654" spans="7:8" x14ac:dyDescent="0.3">
      <c r="G9654" s="78">
        <v>9651</v>
      </c>
      <c r="H9654">
        <f t="shared" ca="1" si="145"/>
        <v>-1.410977598492775E-2</v>
      </c>
    </row>
    <row r="9655" spans="7:8" x14ac:dyDescent="0.3">
      <c r="G9655" s="78">
        <v>9652</v>
      </c>
      <c r="H9655">
        <f t="shared" ca="1" si="145"/>
        <v>9.1793222051722613E-3</v>
      </c>
    </row>
    <row r="9656" spans="7:8" x14ac:dyDescent="0.3">
      <c r="G9656" s="78">
        <v>9653</v>
      </c>
      <c r="H9656">
        <f t="shared" ca="1" si="145"/>
        <v>-1.4866782729151736E-2</v>
      </c>
    </row>
    <row r="9657" spans="7:8" x14ac:dyDescent="0.3">
      <c r="G9657" s="78">
        <v>9654</v>
      </c>
      <c r="H9657">
        <f t="shared" ca="1" si="145"/>
        <v>4.0724616593026182E-2</v>
      </c>
    </row>
    <row r="9658" spans="7:8" x14ac:dyDescent="0.3">
      <c r="G9658" s="78">
        <v>9655</v>
      </c>
      <c r="H9658">
        <f t="shared" ca="1" si="145"/>
        <v>-3.2531991833035595E-2</v>
      </c>
    </row>
    <row r="9659" spans="7:8" x14ac:dyDescent="0.3">
      <c r="G9659" s="78">
        <v>9656</v>
      </c>
      <c r="H9659">
        <f t="shared" ca="1" si="145"/>
        <v>1.1076630040686453E-2</v>
      </c>
    </row>
    <row r="9660" spans="7:8" x14ac:dyDescent="0.3">
      <c r="G9660" s="78">
        <v>9657</v>
      </c>
      <c r="H9660">
        <f t="shared" ca="1" si="145"/>
        <v>8.1630454375571544E-3</v>
      </c>
    </row>
    <row r="9661" spans="7:8" x14ac:dyDescent="0.3">
      <c r="G9661" s="78">
        <v>9658</v>
      </c>
      <c r="H9661">
        <f t="shared" ca="1" si="145"/>
        <v>9.756022712600329E-3</v>
      </c>
    </row>
    <row r="9662" spans="7:8" x14ac:dyDescent="0.3">
      <c r="G9662" s="78">
        <v>9659</v>
      </c>
      <c r="H9662">
        <f t="shared" ca="1" si="145"/>
        <v>1.4156723907350692E-2</v>
      </c>
    </row>
    <row r="9663" spans="7:8" x14ac:dyDescent="0.3">
      <c r="G9663" s="78">
        <v>9660</v>
      </c>
      <c r="H9663">
        <f t="shared" ca="1" si="145"/>
        <v>-6.7088920006336079E-3</v>
      </c>
    </row>
    <row r="9664" spans="7:8" x14ac:dyDescent="0.3">
      <c r="G9664" s="78">
        <v>9661</v>
      </c>
      <c r="H9664">
        <f t="shared" ca="1" si="145"/>
        <v>-2.642353488078235E-3</v>
      </c>
    </row>
    <row r="9665" spans="7:8" x14ac:dyDescent="0.3">
      <c r="G9665" s="78">
        <v>9662</v>
      </c>
      <c r="H9665">
        <f t="shared" ca="1" si="145"/>
        <v>1.7625166847049214E-3</v>
      </c>
    </row>
    <row r="9666" spans="7:8" x14ac:dyDescent="0.3">
      <c r="G9666" s="78">
        <v>9663</v>
      </c>
      <c r="H9666">
        <f t="shared" ca="1" si="145"/>
        <v>-1.1836742856480887E-2</v>
      </c>
    </row>
    <row r="9667" spans="7:8" x14ac:dyDescent="0.3">
      <c r="G9667" s="78">
        <v>9664</v>
      </c>
      <c r="H9667">
        <f t="shared" ca="1" si="145"/>
        <v>2.4560613021498597E-3</v>
      </c>
    </row>
    <row r="9668" spans="7:8" x14ac:dyDescent="0.3">
      <c r="G9668" s="78">
        <v>9665</v>
      </c>
      <c r="H9668">
        <f t="shared" ref="H9668:H9731" ca="1" si="146">_xlfn.NORM.INV(RAND(),$N$4,$N$5)</f>
        <v>-6.0832735924621672E-3</v>
      </c>
    </row>
    <row r="9669" spans="7:8" x14ac:dyDescent="0.3">
      <c r="G9669" s="78">
        <v>9666</v>
      </c>
      <c r="H9669">
        <f t="shared" ca="1" si="146"/>
        <v>-1.6173283352561844E-2</v>
      </c>
    </row>
    <row r="9670" spans="7:8" x14ac:dyDescent="0.3">
      <c r="G9670" s="78">
        <v>9667</v>
      </c>
      <c r="H9670">
        <f t="shared" ca="1" si="146"/>
        <v>2.9999943111625692E-2</v>
      </c>
    </row>
    <row r="9671" spans="7:8" x14ac:dyDescent="0.3">
      <c r="G9671" s="78">
        <v>9668</v>
      </c>
      <c r="H9671">
        <f t="shared" ca="1" si="146"/>
        <v>2.8395638126425073E-2</v>
      </c>
    </row>
    <row r="9672" spans="7:8" x14ac:dyDescent="0.3">
      <c r="G9672" s="78">
        <v>9669</v>
      </c>
      <c r="H9672">
        <f t="shared" ca="1" si="146"/>
        <v>-6.5100396557829275E-3</v>
      </c>
    </row>
    <row r="9673" spans="7:8" x14ac:dyDescent="0.3">
      <c r="G9673" s="78">
        <v>9670</v>
      </c>
      <c r="H9673">
        <f t="shared" ca="1" si="146"/>
        <v>-5.5914924060505699E-3</v>
      </c>
    </row>
    <row r="9674" spans="7:8" x14ac:dyDescent="0.3">
      <c r="G9674" s="78">
        <v>9671</v>
      </c>
      <c r="H9674">
        <f t="shared" ca="1" si="146"/>
        <v>-4.605451458305741E-4</v>
      </c>
    </row>
    <row r="9675" spans="7:8" x14ac:dyDescent="0.3">
      <c r="G9675" s="78">
        <v>9672</v>
      </c>
      <c r="H9675">
        <f t="shared" ca="1" si="146"/>
        <v>2.7332570998594357E-2</v>
      </c>
    </row>
    <row r="9676" spans="7:8" x14ac:dyDescent="0.3">
      <c r="G9676" s="78">
        <v>9673</v>
      </c>
      <c r="H9676">
        <f t="shared" ca="1" si="146"/>
        <v>5.7433158498093389E-3</v>
      </c>
    </row>
    <row r="9677" spans="7:8" x14ac:dyDescent="0.3">
      <c r="G9677" s="78">
        <v>9674</v>
      </c>
      <c r="H9677">
        <f t="shared" ca="1" si="146"/>
        <v>-1.4316335174611622E-2</v>
      </c>
    </row>
    <row r="9678" spans="7:8" x14ac:dyDescent="0.3">
      <c r="G9678" s="78">
        <v>9675</v>
      </c>
      <c r="H9678">
        <f t="shared" ca="1" si="146"/>
        <v>-2.159634577403647E-2</v>
      </c>
    </row>
    <row r="9679" spans="7:8" x14ac:dyDescent="0.3">
      <c r="G9679" s="78">
        <v>9676</v>
      </c>
      <c r="H9679">
        <f t="shared" ca="1" si="146"/>
        <v>-1.5277162417185465E-2</v>
      </c>
    </row>
    <row r="9680" spans="7:8" x14ac:dyDescent="0.3">
      <c r="G9680" s="78">
        <v>9677</v>
      </c>
      <c r="H9680">
        <f t="shared" ca="1" si="146"/>
        <v>2.2380591077527046E-2</v>
      </c>
    </row>
    <row r="9681" spans="7:8" x14ac:dyDescent="0.3">
      <c r="G9681" s="78">
        <v>9678</v>
      </c>
      <c r="H9681">
        <f t="shared" ca="1" si="146"/>
        <v>1.2603056127831903E-5</v>
      </c>
    </row>
    <row r="9682" spans="7:8" x14ac:dyDescent="0.3">
      <c r="G9682" s="78">
        <v>9679</v>
      </c>
      <c r="H9682">
        <f t="shared" ca="1" si="146"/>
        <v>9.1541887703684797E-3</v>
      </c>
    </row>
    <row r="9683" spans="7:8" x14ac:dyDescent="0.3">
      <c r="G9683" s="78">
        <v>9680</v>
      </c>
      <c r="H9683">
        <f t="shared" ca="1" si="146"/>
        <v>1.0765669975279864E-2</v>
      </c>
    </row>
    <row r="9684" spans="7:8" x14ac:dyDescent="0.3">
      <c r="G9684" s="78">
        <v>9681</v>
      </c>
      <c r="H9684">
        <f t="shared" ca="1" si="146"/>
        <v>3.0392468217742014E-3</v>
      </c>
    </row>
    <row r="9685" spans="7:8" x14ac:dyDescent="0.3">
      <c r="G9685" s="78">
        <v>9682</v>
      </c>
      <c r="H9685">
        <f t="shared" ca="1" si="146"/>
        <v>5.3879236132089257E-3</v>
      </c>
    </row>
    <row r="9686" spans="7:8" x14ac:dyDescent="0.3">
      <c r="G9686" s="78">
        <v>9683</v>
      </c>
      <c r="H9686">
        <f t="shared" ca="1" si="146"/>
        <v>1.4434479565465043E-2</v>
      </c>
    </row>
    <row r="9687" spans="7:8" x14ac:dyDescent="0.3">
      <c r="G9687" s="78">
        <v>9684</v>
      </c>
      <c r="H9687">
        <f t="shared" ca="1" si="146"/>
        <v>1.875322527040621E-2</v>
      </c>
    </row>
    <row r="9688" spans="7:8" x14ac:dyDescent="0.3">
      <c r="G9688" s="78">
        <v>9685</v>
      </c>
      <c r="H9688">
        <f t="shared" ca="1" si="146"/>
        <v>1.1429730324767476E-2</v>
      </c>
    </row>
    <row r="9689" spans="7:8" x14ac:dyDescent="0.3">
      <c r="G9689" s="78">
        <v>9686</v>
      </c>
      <c r="H9689">
        <f t="shared" ca="1" si="146"/>
        <v>1.9524256836419611E-2</v>
      </c>
    </row>
    <row r="9690" spans="7:8" x14ac:dyDescent="0.3">
      <c r="G9690" s="78">
        <v>9687</v>
      </c>
      <c r="H9690">
        <f t="shared" ca="1" si="146"/>
        <v>1.1755028213617198E-2</v>
      </c>
    </row>
    <row r="9691" spans="7:8" x14ac:dyDescent="0.3">
      <c r="G9691" s="78">
        <v>9688</v>
      </c>
      <c r="H9691">
        <f t="shared" ca="1" si="146"/>
        <v>2.5516222144394349E-2</v>
      </c>
    </row>
    <row r="9692" spans="7:8" x14ac:dyDescent="0.3">
      <c r="G9692" s="78">
        <v>9689</v>
      </c>
      <c r="H9692">
        <f t="shared" ca="1" si="146"/>
        <v>3.0297782476694912E-3</v>
      </c>
    </row>
    <row r="9693" spans="7:8" x14ac:dyDescent="0.3">
      <c r="G9693" s="78">
        <v>9690</v>
      </c>
      <c r="H9693">
        <f t="shared" ca="1" si="146"/>
        <v>-2.9927807316780849E-3</v>
      </c>
    </row>
    <row r="9694" spans="7:8" x14ac:dyDescent="0.3">
      <c r="G9694" s="78">
        <v>9691</v>
      </c>
      <c r="H9694">
        <f t="shared" ca="1" si="146"/>
        <v>1.5745753336697425E-2</v>
      </c>
    </row>
    <row r="9695" spans="7:8" x14ac:dyDescent="0.3">
      <c r="G9695" s="78">
        <v>9692</v>
      </c>
      <c r="H9695">
        <f t="shared" ca="1" si="146"/>
        <v>3.2854757686789415E-2</v>
      </c>
    </row>
    <row r="9696" spans="7:8" x14ac:dyDescent="0.3">
      <c r="G9696" s="78">
        <v>9693</v>
      </c>
      <c r="H9696">
        <f t="shared" ca="1" si="146"/>
        <v>-1.6635752419594828E-2</v>
      </c>
    </row>
    <row r="9697" spans="7:8" x14ac:dyDescent="0.3">
      <c r="G9697" s="78">
        <v>9694</v>
      </c>
      <c r="H9697">
        <f t="shared" ca="1" si="146"/>
        <v>1.3013203837383556E-2</v>
      </c>
    </row>
    <row r="9698" spans="7:8" x14ac:dyDescent="0.3">
      <c r="G9698" s="78">
        <v>9695</v>
      </c>
      <c r="H9698">
        <f t="shared" ca="1" si="146"/>
        <v>-1.9604188787611374E-2</v>
      </c>
    </row>
    <row r="9699" spans="7:8" x14ac:dyDescent="0.3">
      <c r="G9699" s="78">
        <v>9696</v>
      </c>
      <c r="H9699">
        <f t="shared" ca="1" si="146"/>
        <v>-1.125235353955747E-2</v>
      </c>
    </row>
    <row r="9700" spans="7:8" x14ac:dyDescent="0.3">
      <c r="G9700" s="78">
        <v>9697</v>
      </c>
      <c r="H9700">
        <f t="shared" ca="1" si="146"/>
        <v>2.5841064533576883E-3</v>
      </c>
    </row>
    <row r="9701" spans="7:8" x14ac:dyDescent="0.3">
      <c r="G9701" s="78">
        <v>9698</v>
      </c>
      <c r="H9701">
        <f t="shared" ca="1" si="146"/>
        <v>-3.1893987923936858E-3</v>
      </c>
    </row>
    <row r="9702" spans="7:8" x14ac:dyDescent="0.3">
      <c r="G9702" s="78">
        <v>9699</v>
      </c>
      <c r="H9702">
        <f t="shared" ca="1" si="146"/>
        <v>-2.2227146676752709E-2</v>
      </c>
    </row>
    <row r="9703" spans="7:8" x14ac:dyDescent="0.3">
      <c r="G9703" s="78">
        <v>9700</v>
      </c>
      <c r="H9703">
        <f t="shared" ca="1" si="146"/>
        <v>-2.8352422882408985E-2</v>
      </c>
    </row>
    <row r="9704" spans="7:8" x14ac:dyDescent="0.3">
      <c r="G9704" s="78">
        <v>9701</v>
      </c>
      <c r="H9704">
        <f t="shared" ca="1" si="146"/>
        <v>7.7280657304353859E-3</v>
      </c>
    </row>
    <row r="9705" spans="7:8" x14ac:dyDescent="0.3">
      <c r="G9705" s="78">
        <v>9702</v>
      </c>
      <c r="H9705">
        <f t="shared" ca="1" si="146"/>
        <v>-3.6233151134519252E-3</v>
      </c>
    </row>
    <row r="9706" spans="7:8" x14ac:dyDescent="0.3">
      <c r="G9706" s="78">
        <v>9703</v>
      </c>
      <c r="H9706">
        <f t="shared" ca="1" si="146"/>
        <v>-2.0622859753878404E-2</v>
      </c>
    </row>
    <row r="9707" spans="7:8" x14ac:dyDescent="0.3">
      <c r="G9707" s="78">
        <v>9704</v>
      </c>
      <c r="H9707">
        <f t="shared" ca="1" si="146"/>
        <v>2.5038820940110323E-2</v>
      </c>
    </row>
    <row r="9708" spans="7:8" x14ac:dyDescent="0.3">
      <c r="G9708" s="78">
        <v>9705</v>
      </c>
      <c r="H9708">
        <f t="shared" ca="1" si="146"/>
        <v>-6.1386756510917531E-3</v>
      </c>
    </row>
    <row r="9709" spans="7:8" x14ac:dyDescent="0.3">
      <c r="G9709" s="78">
        <v>9706</v>
      </c>
      <c r="H9709">
        <f t="shared" ca="1" si="146"/>
        <v>2.0068420800638972E-2</v>
      </c>
    </row>
    <row r="9710" spans="7:8" x14ac:dyDescent="0.3">
      <c r="G9710" s="78">
        <v>9707</v>
      </c>
      <c r="H9710">
        <f t="shared" ca="1" si="146"/>
        <v>3.5468943906390153E-2</v>
      </c>
    </row>
    <row r="9711" spans="7:8" x14ac:dyDescent="0.3">
      <c r="G9711" s="78">
        <v>9708</v>
      </c>
      <c r="H9711">
        <f t="shared" ca="1" si="146"/>
        <v>1.9945077406454119E-2</v>
      </c>
    </row>
    <row r="9712" spans="7:8" x14ac:dyDescent="0.3">
      <c r="G9712" s="78">
        <v>9709</v>
      </c>
      <c r="H9712">
        <f t="shared" ca="1" si="146"/>
        <v>-1.1989768305397091E-2</v>
      </c>
    </row>
    <row r="9713" spans="7:8" x14ac:dyDescent="0.3">
      <c r="G9713" s="78">
        <v>9710</v>
      </c>
      <c r="H9713">
        <f t="shared" ca="1" si="146"/>
        <v>1.6917643646143612E-3</v>
      </c>
    </row>
    <row r="9714" spans="7:8" x14ac:dyDescent="0.3">
      <c r="G9714" s="78">
        <v>9711</v>
      </c>
      <c r="H9714">
        <f t="shared" ca="1" si="146"/>
        <v>-4.9345161539901517E-4</v>
      </c>
    </row>
    <row r="9715" spans="7:8" x14ac:dyDescent="0.3">
      <c r="G9715" s="78">
        <v>9712</v>
      </c>
      <c r="H9715">
        <f t="shared" ca="1" si="146"/>
        <v>3.6928098702882384E-2</v>
      </c>
    </row>
    <row r="9716" spans="7:8" x14ac:dyDescent="0.3">
      <c r="G9716" s="78">
        <v>9713</v>
      </c>
      <c r="H9716">
        <f t="shared" ca="1" si="146"/>
        <v>4.1818144503714481E-2</v>
      </c>
    </row>
    <row r="9717" spans="7:8" x14ac:dyDescent="0.3">
      <c r="G9717" s="78">
        <v>9714</v>
      </c>
      <c r="H9717">
        <f t="shared" ca="1" si="146"/>
        <v>-1.4985305876559692E-2</v>
      </c>
    </row>
    <row r="9718" spans="7:8" x14ac:dyDescent="0.3">
      <c r="G9718" s="78">
        <v>9715</v>
      </c>
      <c r="H9718">
        <f t="shared" ca="1" si="146"/>
        <v>1.4689587739980093E-2</v>
      </c>
    </row>
    <row r="9719" spans="7:8" x14ac:dyDescent="0.3">
      <c r="G9719" s="78">
        <v>9716</v>
      </c>
      <c r="H9719">
        <f t="shared" ca="1" si="146"/>
        <v>-2.4823868904739321E-2</v>
      </c>
    </row>
    <row r="9720" spans="7:8" x14ac:dyDescent="0.3">
      <c r="G9720" s="78">
        <v>9717</v>
      </c>
      <c r="H9720">
        <f t="shared" ca="1" si="146"/>
        <v>-3.0140607469863528E-3</v>
      </c>
    </row>
    <row r="9721" spans="7:8" x14ac:dyDescent="0.3">
      <c r="G9721" s="78">
        <v>9718</v>
      </c>
      <c r="H9721">
        <f t="shared" ca="1" si="146"/>
        <v>-1.3153171943146918E-2</v>
      </c>
    </row>
    <row r="9722" spans="7:8" x14ac:dyDescent="0.3">
      <c r="G9722" s="78">
        <v>9719</v>
      </c>
      <c r="H9722">
        <f t="shared" ca="1" si="146"/>
        <v>2.7403464322178221E-2</v>
      </c>
    </row>
    <row r="9723" spans="7:8" x14ac:dyDescent="0.3">
      <c r="G9723" s="78">
        <v>9720</v>
      </c>
      <c r="H9723">
        <f t="shared" ca="1" si="146"/>
        <v>1.5321292702353216E-2</v>
      </c>
    </row>
    <row r="9724" spans="7:8" x14ac:dyDescent="0.3">
      <c r="G9724" s="78">
        <v>9721</v>
      </c>
      <c r="H9724">
        <f t="shared" ca="1" si="146"/>
        <v>-2.0600822691077599E-3</v>
      </c>
    </row>
    <row r="9725" spans="7:8" x14ac:dyDescent="0.3">
      <c r="G9725" s="78">
        <v>9722</v>
      </c>
      <c r="H9725">
        <f t="shared" ca="1" si="146"/>
        <v>3.0775186397211052E-2</v>
      </c>
    </row>
    <row r="9726" spans="7:8" x14ac:dyDescent="0.3">
      <c r="G9726" s="78">
        <v>9723</v>
      </c>
      <c r="H9726">
        <f t="shared" ca="1" si="146"/>
        <v>1.0643025663390454E-2</v>
      </c>
    </row>
    <row r="9727" spans="7:8" x14ac:dyDescent="0.3">
      <c r="G9727" s="78">
        <v>9724</v>
      </c>
      <c r="H9727">
        <f t="shared" ca="1" si="146"/>
        <v>2.8195567205706901E-2</v>
      </c>
    </row>
    <row r="9728" spans="7:8" x14ac:dyDescent="0.3">
      <c r="G9728" s="78">
        <v>9725</v>
      </c>
      <c r="H9728">
        <f t="shared" ca="1" si="146"/>
        <v>1.0086957991884011E-2</v>
      </c>
    </row>
    <row r="9729" spans="7:8" x14ac:dyDescent="0.3">
      <c r="G9729" s="78">
        <v>9726</v>
      </c>
      <c r="H9729">
        <f t="shared" ca="1" si="146"/>
        <v>2.5251821236036535E-2</v>
      </c>
    </row>
    <row r="9730" spans="7:8" x14ac:dyDescent="0.3">
      <c r="G9730" s="78">
        <v>9727</v>
      </c>
      <c r="H9730">
        <f t="shared" ca="1" si="146"/>
        <v>-1.0290428462121802E-2</v>
      </c>
    </row>
    <row r="9731" spans="7:8" x14ac:dyDescent="0.3">
      <c r="G9731" s="78">
        <v>9728</v>
      </c>
      <c r="H9731">
        <f t="shared" ca="1" si="146"/>
        <v>4.1030119111650802E-3</v>
      </c>
    </row>
    <row r="9732" spans="7:8" x14ac:dyDescent="0.3">
      <c r="G9732" s="78">
        <v>9729</v>
      </c>
      <c r="H9732">
        <f t="shared" ref="H9732:H9795" ca="1" si="147">_xlfn.NORM.INV(RAND(),$N$4,$N$5)</f>
        <v>1.3134441064479129E-2</v>
      </c>
    </row>
    <row r="9733" spans="7:8" x14ac:dyDescent="0.3">
      <c r="G9733" s="78">
        <v>9730</v>
      </c>
      <c r="H9733">
        <f t="shared" ca="1" si="147"/>
        <v>1.1991200045699648E-2</v>
      </c>
    </row>
    <row r="9734" spans="7:8" x14ac:dyDescent="0.3">
      <c r="G9734" s="78">
        <v>9731</v>
      </c>
      <c r="H9734">
        <f t="shared" ca="1" si="147"/>
        <v>2.4226503567591554E-2</v>
      </c>
    </row>
    <row r="9735" spans="7:8" x14ac:dyDescent="0.3">
      <c r="G9735" s="78">
        <v>9732</v>
      </c>
      <c r="H9735">
        <f t="shared" ca="1" si="147"/>
        <v>8.8633429205195683E-3</v>
      </c>
    </row>
    <row r="9736" spans="7:8" x14ac:dyDescent="0.3">
      <c r="G9736" s="78">
        <v>9733</v>
      </c>
      <c r="H9736">
        <f t="shared" ca="1" si="147"/>
        <v>1.2804095373510693E-2</v>
      </c>
    </row>
    <row r="9737" spans="7:8" x14ac:dyDescent="0.3">
      <c r="G9737" s="78">
        <v>9734</v>
      </c>
      <c r="H9737">
        <f t="shared" ca="1" si="147"/>
        <v>6.671846318240679E-3</v>
      </c>
    </row>
    <row r="9738" spans="7:8" x14ac:dyDescent="0.3">
      <c r="G9738" s="78">
        <v>9735</v>
      </c>
      <c r="H9738">
        <f t="shared" ca="1" si="147"/>
        <v>3.8621597621480284E-2</v>
      </c>
    </row>
    <row r="9739" spans="7:8" x14ac:dyDescent="0.3">
      <c r="G9739" s="78">
        <v>9736</v>
      </c>
      <c r="H9739">
        <f t="shared" ca="1" si="147"/>
        <v>-1.4202313483507317E-2</v>
      </c>
    </row>
    <row r="9740" spans="7:8" x14ac:dyDescent="0.3">
      <c r="G9740" s="78">
        <v>9737</v>
      </c>
      <c r="H9740">
        <f t="shared" ca="1" si="147"/>
        <v>3.7332865872512111E-2</v>
      </c>
    </row>
    <row r="9741" spans="7:8" x14ac:dyDescent="0.3">
      <c r="G9741" s="78">
        <v>9738</v>
      </c>
      <c r="H9741">
        <f t="shared" ca="1" si="147"/>
        <v>-2.1458949884735058E-2</v>
      </c>
    </row>
    <row r="9742" spans="7:8" x14ac:dyDescent="0.3">
      <c r="G9742" s="78">
        <v>9739</v>
      </c>
      <c r="H9742">
        <f t="shared" ca="1" si="147"/>
        <v>6.0543821077027896E-2</v>
      </c>
    </row>
    <row r="9743" spans="7:8" x14ac:dyDescent="0.3">
      <c r="G9743" s="78">
        <v>9740</v>
      </c>
      <c r="H9743">
        <f t="shared" ca="1" si="147"/>
        <v>-2.4484443527023832E-2</v>
      </c>
    </row>
    <row r="9744" spans="7:8" x14ac:dyDescent="0.3">
      <c r="G9744" s="78">
        <v>9741</v>
      </c>
      <c r="H9744">
        <f t="shared" ca="1" si="147"/>
        <v>-7.3645613663531001E-3</v>
      </c>
    </row>
    <row r="9745" spans="7:8" x14ac:dyDescent="0.3">
      <c r="G9745" s="78">
        <v>9742</v>
      </c>
      <c r="H9745">
        <f t="shared" ca="1" si="147"/>
        <v>-2.1923273846312999E-2</v>
      </c>
    </row>
    <row r="9746" spans="7:8" x14ac:dyDescent="0.3">
      <c r="G9746" s="78">
        <v>9743</v>
      </c>
      <c r="H9746">
        <f t="shared" ca="1" si="147"/>
        <v>8.9261181536124772E-3</v>
      </c>
    </row>
    <row r="9747" spans="7:8" x14ac:dyDescent="0.3">
      <c r="G9747" s="78">
        <v>9744</v>
      </c>
      <c r="H9747">
        <f t="shared" ca="1" si="147"/>
        <v>1.8867284855332553E-2</v>
      </c>
    </row>
    <row r="9748" spans="7:8" x14ac:dyDescent="0.3">
      <c r="G9748" s="78">
        <v>9745</v>
      </c>
      <c r="H9748">
        <f t="shared" ca="1" si="147"/>
        <v>-5.7581780434161917E-3</v>
      </c>
    </row>
    <row r="9749" spans="7:8" x14ac:dyDescent="0.3">
      <c r="G9749" s="78">
        <v>9746</v>
      </c>
      <c r="H9749">
        <f t="shared" ca="1" si="147"/>
        <v>-3.1752508325478657E-2</v>
      </c>
    </row>
    <row r="9750" spans="7:8" x14ac:dyDescent="0.3">
      <c r="G9750" s="78">
        <v>9747</v>
      </c>
      <c r="H9750">
        <f t="shared" ca="1" si="147"/>
        <v>-2.2804687802204099E-2</v>
      </c>
    </row>
    <row r="9751" spans="7:8" x14ac:dyDescent="0.3">
      <c r="G9751" s="78">
        <v>9748</v>
      </c>
      <c r="H9751">
        <f t="shared" ca="1" si="147"/>
        <v>4.1501708050895158E-3</v>
      </c>
    </row>
    <row r="9752" spans="7:8" x14ac:dyDescent="0.3">
      <c r="G9752" s="78">
        <v>9749</v>
      </c>
      <c r="H9752">
        <f t="shared" ca="1" si="147"/>
        <v>-1.7832423421774588E-2</v>
      </c>
    </row>
    <row r="9753" spans="7:8" x14ac:dyDescent="0.3">
      <c r="G9753" s="78">
        <v>9750</v>
      </c>
      <c r="H9753">
        <f t="shared" ca="1" si="147"/>
        <v>1.7415686056409307E-2</v>
      </c>
    </row>
    <row r="9754" spans="7:8" x14ac:dyDescent="0.3">
      <c r="G9754" s="78">
        <v>9751</v>
      </c>
      <c r="H9754">
        <f t="shared" ca="1" si="147"/>
        <v>2.0000776397915431E-2</v>
      </c>
    </row>
    <row r="9755" spans="7:8" x14ac:dyDescent="0.3">
      <c r="G9755" s="78">
        <v>9752</v>
      </c>
      <c r="H9755">
        <f t="shared" ca="1" si="147"/>
        <v>-3.0842165415656993E-2</v>
      </c>
    </row>
    <row r="9756" spans="7:8" x14ac:dyDescent="0.3">
      <c r="G9756" s="78">
        <v>9753</v>
      </c>
      <c r="H9756">
        <f t="shared" ca="1" si="147"/>
        <v>5.3334044206613989E-3</v>
      </c>
    </row>
    <row r="9757" spans="7:8" x14ac:dyDescent="0.3">
      <c r="G9757" s="78">
        <v>9754</v>
      </c>
      <c r="H9757">
        <f t="shared" ca="1" si="147"/>
        <v>-8.4797211688716258E-3</v>
      </c>
    </row>
    <row r="9758" spans="7:8" x14ac:dyDescent="0.3">
      <c r="G9758" s="78">
        <v>9755</v>
      </c>
      <c r="H9758">
        <f t="shared" ca="1" si="147"/>
        <v>2.966098613633918E-2</v>
      </c>
    </row>
    <row r="9759" spans="7:8" x14ac:dyDescent="0.3">
      <c r="G9759" s="78">
        <v>9756</v>
      </c>
      <c r="H9759">
        <f t="shared" ca="1" si="147"/>
        <v>-1.7444916775285847E-2</v>
      </c>
    </row>
    <row r="9760" spans="7:8" x14ac:dyDescent="0.3">
      <c r="G9760" s="78">
        <v>9757</v>
      </c>
      <c r="H9760">
        <f t="shared" ca="1" si="147"/>
        <v>-2.896016755352596E-3</v>
      </c>
    </row>
    <row r="9761" spans="7:8" x14ac:dyDescent="0.3">
      <c r="G9761" s="78">
        <v>9758</v>
      </c>
      <c r="H9761">
        <f t="shared" ca="1" si="147"/>
        <v>-2.8430591772447087E-2</v>
      </c>
    </row>
    <row r="9762" spans="7:8" x14ac:dyDescent="0.3">
      <c r="G9762" s="78">
        <v>9759</v>
      </c>
      <c r="H9762">
        <f t="shared" ca="1" si="147"/>
        <v>-2.6712333174995627E-2</v>
      </c>
    </row>
    <row r="9763" spans="7:8" x14ac:dyDescent="0.3">
      <c r="G9763" s="78">
        <v>9760</v>
      </c>
      <c r="H9763">
        <f t="shared" ca="1" si="147"/>
        <v>-1.2541787159845543E-2</v>
      </c>
    </row>
    <row r="9764" spans="7:8" x14ac:dyDescent="0.3">
      <c r="G9764" s="78">
        <v>9761</v>
      </c>
      <c r="H9764">
        <f t="shared" ca="1" si="147"/>
        <v>-1.0561475482859418E-2</v>
      </c>
    </row>
    <row r="9765" spans="7:8" x14ac:dyDescent="0.3">
      <c r="G9765" s="78">
        <v>9762</v>
      </c>
      <c r="H9765">
        <f t="shared" ca="1" si="147"/>
        <v>-3.415004341363749E-2</v>
      </c>
    </row>
    <row r="9766" spans="7:8" x14ac:dyDescent="0.3">
      <c r="G9766" s="78">
        <v>9763</v>
      </c>
      <c r="H9766">
        <f t="shared" ca="1" si="147"/>
        <v>-1.3753967975241482E-2</v>
      </c>
    </row>
    <row r="9767" spans="7:8" x14ac:dyDescent="0.3">
      <c r="G9767" s="78">
        <v>9764</v>
      </c>
      <c r="H9767">
        <f t="shared" ca="1" si="147"/>
        <v>-1.6840354409860165E-2</v>
      </c>
    </row>
    <row r="9768" spans="7:8" x14ac:dyDescent="0.3">
      <c r="G9768" s="78">
        <v>9765</v>
      </c>
      <c r="H9768">
        <f t="shared" ca="1" si="147"/>
        <v>-1.2563905245258031E-2</v>
      </c>
    </row>
    <row r="9769" spans="7:8" x14ac:dyDescent="0.3">
      <c r="G9769" s="78">
        <v>9766</v>
      </c>
      <c r="H9769">
        <f t="shared" ca="1" si="147"/>
        <v>-5.9507722169109597E-3</v>
      </c>
    </row>
    <row r="9770" spans="7:8" x14ac:dyDescent="0.3">
      <c r="G9770" s="78">
        <v>9767</v>
      </c>
      <c r="H9770">
        <f t="shared" ca="1" si="147"/>
        <v>-2.1763546305416211E-2</v>
      </c>
    </row>
    <row r="9771" spans="7:8" x14ac:dyDescent="0.3">
      <c r="G9771" s="78">
        <v>9768</v>
      </c>
      <c r="H9771">
        <f t="shared" ca="1" si="147"/>
        <v>-3.5653877560745742E-2</v>
      </c>
    </row>
    <row r="9772" spans="7:8" x14ac:dyDescent="0.3">
      <c r="G9772" s="78">
        <v>9769</v>
      </c>
      <c r="H9772">
        <f t="shared" ca="1" si="147"/>
        <v>2.0832753767219912E-3</v>
      </c>
    </row>
    <row r="9773" spans="7:8" x14ac:dyDescent="0.3">
      <c r="G9773" s="78">
        <v>9770</v>
      </c>
      <c r="H9773">
        <f t="shared" ca="1" si="147"/>
        <v>-9.6854081173038589E-3</v>
      </c>
    </row>
    <row r="9774" spans="7:8" x14ac:dyDescent="0.3">
      <c r="G9774" s="78">
        <v>9771</v>
      </c>
      <c r="H9774">
        <f t="shared" ca="1" si="147"/>
        <v>1.3942433732606549E-2</v>
      </c>
    </row>
    <row r="9775" spans="7:8" x14ac:dyDescent="0.3">
      <c r="G9775" s="78">
        <v>9772</v>
      </c>
      <c r="H9775">
        <f t="shared" ca="1" si="147"/>
        <v>-6.5093172506957885E-3</v>
      </c>
    </row>
    <row r="9776" spans="7:8" x14ac:dyDescent="0.3">
      <c r="G9776" s="78">
        <v>9773</v>
      </c>
      <c r="H9776">
        <f t="shared" ca="1" si="147"/>
        <v>4.0792750302395049E-2</v>
      </c>
    </row>
    <row r="9777" spans="7:8" x14ac:dyDescent="0.3">
      <c r="G9777" s="78">
        <v>9774</v>
      </c>
      <c r="H9777">
        <f t="shared" ca="1" si="147"/>
        <v>-9.7495503621005779E-3</v>
      </c>
    </row>
    <row r="9778" spans="7:8" x14ac:dyDescent="0.3">
      <c r="G9778" s="78">
        <v>9775</v>
      </c>
      <c r="H9778">
        <f t="shared" ca="1" si="147"/>
        <v>-9.342249320362853E-3</v>
      </c>
    </row>
    <row r="9779" spans="7:8" x14ac:dyDescent="0.3">
      <c r="G9779" s="78">
        <v>9776</v>
      </c>
      <c r="H9779">
        <f t="shared" ca="1" si="147"/>
        <v>3.5423072553097922E-3</v>
      </c>
    </row>
    <row r="9780" spans="7:8" x14ac:dyDescent="0.3">
      <c r="G9780" s="78">
        <v>9777</v>
      </c>
      <c r="H9780">
        <f t="shared" ca="1" si="147"/>
        <v>-2.4317180872535749E-2</v>
      </c>
    </row>
    <row r="9781" spans="7:8" x14ac:dyDescent="0.3">
      <c r="G9781" s="78">
        <v>9778</v>
      </c>
      <c r="H9781">
        <f t="shared" ca="1" si="147"/>
        <v>-2.0735553291224328E-3</v>
      </c>
    </row>
    <row r="9782" spans="7:8" x14ac:dyDescent="0.3">
      <c r="G9782" s="78">
        <v>9779</v>
      </c>
      <c r="H9782">
        <f t="shared" ca="1" si="147"/>
        <v>-1.3273480288911304E-2</v>
      </c>
    </row>
    <row r="9783" spans="7:8" x14ac:dyDescent="0.3">
      <c r="G9783" s="78">
        <v>9780</v>
      </c>
      <c r="H9783">
        <f t="shared" ca="1" si="147"/>
        <v>5.2523075428001449E-2</v>
      </c>
    </row>
    <row r="9784" spans="7:8" x14ac:dyDescent="0.3">
      <c r="G9784" s="78">
        <v>9781</v>
      </c>
      <c r="H9784">
        <f t="shared" ca="1" si="147"/>
        <v>3.5826079923143329E-2</v>
      </c>
    </row>
    <row r="9785" spans="7:8" x14ac:dyDescent="0.3">
      <c r="G9785" s="78">
        <v>9782</v>
      </c>
      <c r="H9785">
        <f t="shared" ca="1" si="147"/>
        <v>1.6967557901257362E-2</v>
      </c>
    </row>
    <row r="9786" spans="7:8" x14ac:dyDescent="0.3">
      <c r="G9786" s="78">
        <v>9783</v>
      </c>
      <c r="H9786">
        <f t="shared" ca="1" si="147"/>
        <v>1.8270647503814866E-2</v>
      </c>
    </row>
    <row r="9787" spans="7:8" x14ac:dyDescent="0.3">
      <c r="G9787" s="78">
        <v>9784</v>
      </c>
      <c r="H9787">
        <f t="shared" ca="1" si="147"/>
        <v>2.5646503220729922E-2</v>
      </c>
    </row>
    <row r="9788" spans="7:8" x14ac:dyDescent="0.3">
      <c r="G9788" s="78">
        <v>9785</v>
      </c>
      <c r="H9788">
        <f t="shared" ca="1" si="147"/>
        <v>7.7462013255918463E-3</v>
      </c>
    </row>
    <row r="9789" spans="7:8" x14ac:dyDescent="0.3">
      <c r="G9789" s="78">
        <v>9786</v>
      </c>
      <c r="H9789">
        <f t="shared" ca="1" si="147"/>
        <v>-2.6587237435278218E-3</v>
      </c>
    </row>
    <row r="9790" spans="7:8" x14ac:dyDescent="0.3">
      <c r="G9790" s="78">
        <v>9787</v>
      </c>
      <c r="H9790">
        <f t="shared" ca="1" si="147"/>
        <v>1.6967846705806987E-2</v>
      </c>
    </row>
    <row r="9791" spans="7:8" x14ac:dyDescent="0.3">
      <c r="G9791" s="78">
        <v>9788</v>
      </c>
      <c r="H9791">
        <f t="shared" ca="1" si="147"/>
        <v>-3.353064886192559E-2</v>
      </c>
    </row>
    <row r="9792" spans="7:8" x14ac:dyDescent="0.3">
      <c r="G9792" s="78">
        <v>9789</v>
      </c>
      <c r="H9792">
        <f t="shared" ca="1" si="147"/>
        <v>2.5860847798383442E-2</v>
      </c>
    </row>
    <row r="9793" spans="7:8" x14ac:dyDescent="0.3">
      <c r="G9793" s="78">
        <v>9790</v>
      </c>
      <c r="H9793">
        <f t="shared" ca="1" si="147"/>
        <v>1.7176774419893574E-2</v>
      </c>
    </row>
    <row r="9794" spans="7:8" x14ac:dyDescent="0.3">
      <c r="G9794" s="78">
        <v>9791</v>
      </c>
      <c r="H9794">
        <f t="shared" ca="1" si="147"/>
        <v>-2.8696265814303996E-3</v>
      </c>
    </row>
    <row r="9795" spans="7:8" x14ac:dyDescent="0.3">
      <c r="G9795" s="78">
        <v>9792</v>
      </c>
      <c r="H9795">
        <f t="shared" ca="1" si="147"/>
        <v>1.2469897565227823E-2</v>
      </c>
    </row>
    <row r="9796" spans="7:8" x14ac:dyDescent="0.3">
      <c r="G9796" s="78">
        <v>9793</v>
      </c>
      <c r="H9796">
        <f t="shared" ref="H9796:H9859" ca="1" si="148">_xlfn.NORM.INV(RAND(),$N$4,$N$5)</f>
        <v>-3.0632714473247322E-2</v>
      </c>
    </row>
    <row r="9797" spans="7:8" x14ac:dyDescent="0.3">
      <c r="G9797" s="78">
        <v>9794</v>
      </c>
      <c r="H9797">
        <f t="shared" ca="1" si="148"/>
        <v>8.7006381427617401E-3</v>
      </c>
    </row>
    <row r="9798" spans="7:8" x14ac:dyDescent="0.3">
      <c r="G9798" s="78">
        <v>9795</v>
      </c>
      <c r="H9798">
        <f t="shared" ca="1" si="148"/>
        <v>2.2339300305963171E-2</v>
      </c>
    </row>
    <row r="9799" spans="7:8" x14ac:dyDescent="0.3">
      <c r="G9799" s="78">
        <v>9796</v>
      </c>
      <c r="H9799">
        <f t="shared" ca="1" si="148"/>
        <v>8.9588646665631037E-3</v>
      </c>
    </row>
    <row r="9800" spans="7:8" x14ac:dyDescent="0.3">
      <c r="G9800" s="78">
        <v>9797</v>
      </c>
      <c r="H9800">
        <f t="shared" ca="1" si="148"/>
        <v>-8.5660080457171731E-3</v>
      </c>
    </row>
    <row r="9801" spans="7:8" x14ac:dyDescent="0.3">
      <c r="G9801" s="78">
        <v>9798</v>
      </c>
      <c r="H9801">
        <f t="shared" ca="1" si="148"/>
        <v>1.754446255228477E-2</v>
      </c>
    </row>
    <row r="9802" spans="7:8" x14ac:dyDescent="0.3">
      <c r="G9802" s="78">
        <v>9799</v>
      </c>
      <c r="H9802">
        <f t="shared" ca="1" si="148"/>
        <v>-9.2069456222599027E-3</v>
      </c>
    </row>
    <row r="9803" spans="7:8" x14ac:dyDescent="0.3">
      <c r="G9803" s="78">
        <v>9800</v>
      </c>
      <c r="H9803">
        <f t="shared" ca="1" si="148"/>
        <v>3.6724364939190658E-2</v>
      </c>
    </row>
    <row r="9804" spans="7:8" x14ac:dyDescent="0.3">
      <c r="G9804" s="78">
        <v>9801</v>
      </c>
      <c r="H9804">
        <f t="shared" ca="1" si="148"/>
        <v>-7.0709866628685869E-3</v>
      </c>
    </row>
    <row r="9805" spans="7:8" x14ac:dyDescent="0.3">
      <c r="G9805" s="78">
        <v>9802</v>
      </c>
      <c r="H9805">
        <f t="shared" ca="1" si="148"/>
        <v>8.219911480543832E-3</v>
      </c>
    </row>
    <row r="9806" spans="7:8" x14ac:dyDescent="0.3">
      <c r="G9806" s="78">
        <v>9803</v>
      </c>
      <c r="H9806">
        <f t="shared" ca="1" si="148"/>
        <v>-9.9495077716947131E-3</v>
      </c>
    </row>
    <row r="9807" spans="7:8" x14ac:dyDescent="0.3">
      <c r="G9807" s="78">
        <v>9804</v>
      </c>
      <c r="H9807">
        <f t="shared" ca="1" si="148"/>
        <v>-1.4099464253907736E-2</v>
      </c>
    </row>
    <row r="9808" spans="7:8" x14ac:dyDescent="0.3">
      <c r="G9808" s="78">
        <v>9805</v>
      </c>
      <c r="H9808">
        <f t="shared" ca="1" si="148"/>
        <v>-8.7303597230619229E-3</v>
      </c>
    </row>
    <row r="9809" spans="7:8" x14ac:dyDescent="0.3">
      <c r="G9809" s="78">
        <v>9806</v>
      </c>
      <c r="H9809">
        <f t="shared" ca="1" si="148"/>
        <v>3.5308292973507032E-3</v>
      </c>
    </row>
    <row r="9810" spans="7:8" x14ac:dyDescent="0.3">
      <c r="G9810" s="78">
        <v>9807</v>
      </c>
      <c r="H9810">
        <f t="shared" ca="1" si="148"/>
        <v>-2.5707144204544695E-2</v>
      </c>
    </row>
    <row r="9811" spans="7:8" x14ac:dyDescent="0.3">
      <c r="G9811" s="78">
        <v>9808</v>
      </c>
      <c r="H9811">
        <f t="shared" ca="1" si="148"/>
        <v>1.6454238921961174E-2</v>
      </c>
    </row>
    <row r="9812" spans="7:8" x14ac:dyDescent="0.3">
      <c r="G9812" s="78">
        <v>9809</v>
      </c>
      <c r="H9812">
        <f t="shared" ca="1" si="148"/>
        <v>-2.287494954521711E-2</v>
      </c>
    </row>
    <row r="9813" spans="7:8" x14ac:dyDescent="0.3">
      <c r="G9813" s="78">
        <v>9810</v>
      </c>
      <c r="H9813">
        <f t="shared" ca="1" si="148"/>
        <v>2.8522273036566737E-2</v>
      </c>
    </row>
    <row r="9814" spans="7:8" x14ac:dyDescent="0.3">
      <c r="G9814" s="78">
        <v>9811</v>
      </c>
      <c r="H9814">
        <f t="shared" ca="1" si="148"/>
        <v>-2.8508646953080915E-2</v>
      </c>
    </row>
    <row r="9815" spans="7:8" x14ac:dyDescent="0.3">
      <c r="G9815" s="78">
        <v>9812</v>
      </c>
      <c r="H9815">
        <f t="shared" ca="1" si="148"/>
        <v>-2.0952768468701932E-2</v>
      </c>
    </row>
    <row r="9816" spans="7:8" x14ac:dyDescent="0.3">
      <c r="G9816" s="78">
        <v>9813</v>
      </c>
      <c r="H9816">
        <f t="shared" ca="1" si="148"/>
        <v>6.6666646052343194E-3</v>
      </c>
    </row>
    <row r="9817" spans="7:8" x14ac:dyDescent="0.3">
      <c r="G9817" s="78">
        <v>9814</v>
      </c>
      <c r="H9817">
        <f t="shared" ca="1" si="148"/>
        <v>2.5698735571002704E-2</v>
      </c>
    </row>
    <row r="9818" spans="7:8" x14ac:dyDescent="0.3">
      <c r="G9818" s="78">
        <v>9815</v>
      </c>
      <c r="H9818">
        <f t="shared" ca="1" si="148"/>
        <v>3.6094996754135389E-3</v>
      </c>
    </row>
    <row r="9819" spans="7:8" x14ac:dyDescent="0.3">
      <c r="G9819" s="78">
        <v>9816</v>
      </c>
      <c r="H9819">
        <f t="shared" ca="1" si="148"/>
        <v>-1.4172818964726904E-3</v>
      </c>
    </row>
    <row r="9820" spans="7:8" x14ac:dyDescent="0.3">
      <c r="G9820" s="78">
        <v>9817</v>
      </c>
      <c r="H9820">
        <f t="shared" ca="1" si="148"/>
        <v>1.8956575998071291E-3</v>
      </c>
    </row>
    <row r="9821" spans="7:8" x14ac:dyDescent="0.3">
      <c r="G9821" s="78">
        <v>9818</v>
      </c>
      <c r="H9821">
        <f t="shared" ca="1" si="148"/>
        <v>-1.5920289075527447E-3</v>
      </c>
    </row>
    <row r="9822" spans="7:8" x14ac:dyDescent="0.3">
      <c r="G9822" s="78">
        <v>9819</v>
      </c>
      <c r="H9822">
        <f t="shared" ca="1" si="148"/>
        <v>-5.1007514532230656E-3</v>
      </c>
    </row>
    <row r="9823" spans="7:8" x14ac:dyDescent="0.3">
      <c r="G9823" s="78">
        <v>9820</v>
      </c>
      <c r="H9823">
        <f t="shared" ca="1" si="148"/>
        <v>5.3402820807311987E-3</v>
      </c>
    </row>
    <row r="9824" spans="7:8" x14ac:dyDescent="0.3">
      <c r="G9824" s="78">
        <v>9821</v>
      </c>
      <c r="H9824">
        <f t="shared" ca="1" si="148"/>
        <v>-1.9781788668845864E-3</v>
      </c>
    </row>
    <row r="9825" spans="7:8" x14ac:dyDescent="0.3">
      <c r="G9825" s="78">
        <v>9822</v>
      </c>
      <c r="H9825">
        <f t="shared" ca="1" si="148"/>
        <v>-1.3185098533472181E-2</v>
      </c>
    </row>
    <row r="9826" spans="7:8" x14ac:dyDescent="0.3">
      <c r="G9826" s="78">
        <v>9823</v>
      </c>
      <c r="H9826">
        <f t="shared" ca="1" si="148"/>
        <v>1.075385414689594E-2</v>
      </c>
    </row>
    <row r="9827" spans="7:8" x14ac:dyDescent="0.3">
      <c r="G9827" s="78">
        <v>9824</v>
      </c>
      <c r="H9827">
        <f t="shared" ca="1" si="148"/>
        <v>-2.0911218830196438E-2</v>
      </c>
    </row>
    <row r="9828" spans="7:8" x14ac:dyDescent="0.3">
      <c r="G9828" s="78">
        <v>9825</v>
      </c>
      <c r="H9828">
        <f t="shared" ca="1" si="148"/>
        <v>-3.2075995652885034E-2</v>
      </c>
    </row>
    <row r="9829" spans="7:8" x14ac:dyDescent="0.3">
      <c r="G9829" s="78">
        <v>9826</v>
      </c>
      <c r="H9829">
        <f t="shared" ca="1" si="148"/>
        <v>3.1869047608587699E-2</v>
      </c>
    </row>
    <row r="9830" spans="7:8" x14ac:dyDescent="0.3">
      <c r="G9830" s="78">
        <v>9827</v>
      </c>
      <c r="H9830">
        <f t="shared" ca="1" si="148"/>
        <v>-6.6294306714560413E-3</v>
      </c>
    </row>
    <row r="9831" spans="7:8" x14ac:dyDescent="0.3">
      <c r="G9831" s="78">
        <v>9828</v>
      </c>
      <c r="H9831">
        <f t="shared" ca="1" si="148"/>
        <v>-2.4604825474249845E-2</v>
      </c>
    </row>
    <row r="9832" spans="7:8" x14ac:dyDescent="0.3">
      <c r="G9832" s="78">
        <v>9829</v>
      </c>
      <c r="H9832">
        <f t="shared" ca="1" si="148"/>
        <v>7.5691090409969602E-3</v>
      </c>
    </row>
    <row r="9833" spans="7:8" x14ac:dyDescent="0.3">
      <c r="G9833" s="78">
        <v>9830</v>
      </c>
      <c r="H9833">
        <f t="shared" ca="1" si="148"/>
        <v>-4.081781379949586E-2</v>
      </c>
    </row>
    <row r="9834" spans="7:8" x14ac:dyDescent="0.3">
      <c r="G9834" s="78">
        <v>9831</v>
      </c>
      <c r="H9834">
        <f t="shared" ca="1" si="148"/>
        <v>1.5446590699319798E-3</v>
      </c>
    </row>
    <row r="9835" spans="7:8" x14ac:dyDescent="0.3">
      <c r="G9835" s="78">
        <v>9832</v>
      </c>
      <c r="H9835">
        <f t="shared" ca="1" si="148"/>
        <v>6.9434074633823676E-3</v>
      </c>
    </row>
    <row r="9836" spans="7:8" x14ac:dyDescent="0.3">
      <c r="G9836" s="78">
        <v>9833</v>
      </c>
      <c r="H9836">
        <f t="shared" ca="1" si="148"/>
        <v>3.5983233738948128E-2</v>
      </c>
    </row>
    <row r="9837" spans="7:8" x14ac:dyDescent="0.3">
      <c r="G9837" s="78">
        <v>9834</v>
      </c>
      <c r="H9837">
        <f t="shared" ca="1" si="148"/>
        <v>1.2046757950133932E-2</v>
      </c>
    </row>
    <row r="9838" spans="7:8" x14ac:dyDescent="0.3">
      <c r="G9838" s="78">
        <v>9835</v>
      </c>
      <c r="H9838">
        <f t="shared" ca="1" si="148"/>
        <v>6.6885388408591574E-3</v>
      </c>
    </row>
    <row r="9839" spans="7:8" x14ac:dyDescent="0.3">
      <c r="G9839" s="78">
        <v>9836</v>
      </c>
      <c r="H9839">
        <f t="shared" ca="1" si="148"/>
        <v>-3.4002773333240997E-2</v>
      </c>
    </row>
    <row r="9840" spans="7:8" x14ac:dyDescent="0.3">
      <c r="G9840" s="78">
        <v>9837</v>
      </c>
      <c r="H9840">
        <f t="shared" ca="1" si="148"/>
        <v>-8.2325467351491086E-3</v>
      </c>
    </row>
    <row r="9841" spans="7:8" x14ac:dyDescent="0.3">
      <c r="G9841" s="78">
        <v>9838</v>
      </c>
      <c r="H9841">
        <f t="shared" ca="1" si="148"/>
        <v>5.5731953489222038E-4</v>
      </c>
    </row>
    <row r="9842" spans="7:8" x14ac:dyDescent="0.3">
      <c r="G9842" s="78">
        <v>9839</v>
      </c>
      <c r="H9842">
        <f t="shared" ca="1" si="148"/>
        <v>-1.5851298479291898E-2</v>
      </c>
    </row>
    <row r="9843" spans="7:8" x14ac:dyDescent="0.3">
      <c r="G9843" s="78">
        <v>9840</v>
      </c>
      <c r="H9843">
        <f t="shared" ca="1" si="148"/>
        <v>2.4298314531689107E-3</v>
      </c>
    </row>
    <row r="9844" spans="7:8" x14ac:dyDescent="0.3">
      <c r="G9844" s="78">
        <v>9841</v>
      </c>
      <c r="H9844">
        <f t="shared" ca="1" si="148"/>
        <v>1.6485575398544037E-2</v>
      </c>
    </row>
    <row r="9845" spans="7:8" x14ac:dyDescent="0.3">
      <c r="G9845" s="78">
        <v>9842</v>
      </c>
      <c r="H9845">
        <f t="shared" ca="1" si="148"/>
        <v>1.8145387354103298E-2</v>
      </c>
    </row>
    <row r="9846" spans="7:8" x14ac:dyDescent="0.3">
      <c r="G9846" s="78">
        <v>9843</v>
      </c>
      <c r="H9846">
        <f t="shared" ca="1" si="148"/>
        <v>2.2232249075472769E-2</v>
      </c>
    </row>
    <row r="9847" spans="7:8" x14ac:dyDescent="0.3">
      <c r="G9847" s="78">
        <v>9844</v>
      </c>
      <c r="H9847">
        <f t="shared" ca="1" si="148"/>
        <v>4.3933684001931537E-3</v>
      </c>
    </row>
    <row r="9848" spans="7:8" x14ac:dyDescent="0.3">
      <c r="G9848" s="78">
        <v>9845</v>
      </c>
      <c r="H9848">
        <f t="shared" ca="1" si="148"/>
        <v>-4.1052187747098439E-4</v>
      </c>
    </row>
    <row r="9849" spans="7:8" x14ac:dyDescent="0.3">
      <c r="G9849" s="78">
        <v>9846</v>
      </c>
      <c r="H9849">
        <f t="shared" ca="1" si="148"/>
        <v>-2.0238804341754591E-3</v>
      </c>
    </row>
    <row r="9850" spans="7:8" x14ac:dyDescent="0.3">
      <c r="G9850" s="78">
        <v>9847</v>
      </c>
      <c r="H9850">
        <f t="shared" ca="1" si="148"/>
        <v>3.0657033260322535E-2</v>
      </c>
    </row>
    <row r="9851" spans="7:8" x14ac:dyDescent="0.3">
      <c r="G9851" s="78">
        <v>9848</v>
      </c>
      <c r="H9851">
        <f t="shared" ca="1" si="148"/>
        <v>-2.9748034108040944E-2</v>
      </c>
    </row>
    <row r="9852" spans="7:8" x14ac:dyDescent="0.3">
      <c r="G9852" s="78">
        <v>9849</v>
      </c>
      <c r="H9852">
        <f t="shared" ca="1" si="148"/>
        <v>1.4336417720704323E-2</v>
      </c>
    </row>
    <row r="9853" spans="7:8" x14ac:dyDescent="0.3">
      <c r="G9853" s="78">
        <v>9850</v>
      </c>
      <c r="H9853">
        <f t="shared" ca="1" si="148"/>
        <v>-3.8830141955811651E-2</v>
      </c>
    </row>
    <row r="9854" spans="7:8" x14ac:dyDescent="0.3">
      <c r="G9854" s="78">
        <v>9851</v>
      </c>
      <c r="H9854">
        <f t="shared" ca="1" si="148"/>
        <v>6.9243536840492611E-3</v>
      </c>
    </row>
    <row r="9855" spans="7:8" x14ac:dyDescent="0.3">
      <c r="G9855" s="78">
        <v>9852</v>
      </c>
      <c r="H9855">
        <f t="shared" ca="1" si="148"/>
        <v>-1.2856668293598061E-2</v>
      </c>
    </row>
    <row r="9856" spans="7:8" x14ac:dyDescent="0.3">
      <c r="G9856" s="78">
        <v>9853</v>
      </c>
      <c r="H9856">
        <f t="shared" ca="1" si="148"/>
        <v>5.2828286327540053E-3</v>
      </c>
    </row>
    <row r="9857" spans="7:8" x14ac:dyDescent="0.3">
      <c r="G9857" s="78">
        <v>9854</v>
      </c>
      <c r="H9857">
        <f t="shared" ca="1" si="148"/>
        <v>2.5851497753526416E-2</v>
      </c>
    </row>
    <row r="9858" spans="7:8" x14ac:dyDescent="0.3">
      <c r="G9858" s="78">
        <v>9855</v>
      </c>
      <c r="H9858">
        <f t="shared" ca="1" si="148"/>
        <v>-4.8766783473331014E-2</v>
      </c>
    </row>
    <row r="9859" spans="7:8" x14ac:dyDescent="0.3">
      <c r="G9859" s="78">
        <v>9856</v>
      </c>
      <c r="H9859">
        <f t="shared" ca="1" si="148"/>
        <v>-5.2268297103916311E-2</v>
      </c>
    </row>
    <row r="9860" spans="7:8" x14ac:dyDescent="0.3">
      <c r="G9860" s="78">
        <v>9857</v>
      </c>
      <c r="H9860">
        <f t="shared" ref="H9860:H9923" ca="1" si="149">_xlfn.NORM.INV(RAND(),$N$4,$N$5)</f>
        <v>-5.0586117208380119E-3</v>
      </c>
    </row>
    <row r="9861" spans="7:8" x14ac:dyDescent="0.3">
      <c r="G9861" s="78">
        <v>9858</v>
      </c>
      <c r="H9861">
        <f t="shared" ca="1" si="149"/>
        <v>-1.7659845546862615E-2</v>
      </c>
    </row>
    <row r="9862" spans="7:8" x14ac:dyDescent="0.3">
      <c r="G9862" s="78">
        <v>9859</v>
      </c>
      <c r="H9862">
        <f t="shared" ca="1" si="149"/>
        <v>-3.2660822021484334E-2</v>
      </c>
    </row>
    <row r="9863" spans="7:8" x14ac:dyDescent="0.3">
      <c r="G9863" s="78">
        <v>9860</v>
      </c>
      <c r="H9863">
        <f t="shared" ca="1" si="149"/>
        <v>-1.11557940215466E-2</v>
      </c>
    </row>
    <row r="9864" spans="7:8" x14ac:dyDescent="0.3">
      <c r="G9864" s="78">
        <v>9861</v>
      </c>
      <c r="H9864">
        <f t="shared" ca="1" si="149"/>
        <v>-9.7233584853941759E-3</v>
      </c>
    </row>
    <row r="9865" spans="7:8" x14ac:dyDescent="0.3">
      <c r="G9865" s="78">
        <v>9862</v>
      </c>
      <c r="H9865">
        <f t="shared" ca="1" si="149"/>
        <v>-9.9862801849029265E-3</v>
      </c>
    </row>
    <row r="9866" spans="7:8" x14ac:dyDescent="0.3">
      <c r="G9866" s="78">
        <v>9863</v>
      </c>
      <c r="H9866">
        <f t="shared" ca="1" si="149"/>
        <v>1.0921804007862268E-2</v>
      </c>
    </row>
    <row r="9867" spans="7:8" x14ac:dyDescent="0.3">
      <c r="G9867" s="78">
        <v>9864</v>
      </c>
      <c r="H9867">
        <f t="shared" ca="1" si="149"/>
        <v>1.587254945098911E-2</v>
      </c>
    </row>
    <row r="9868" spans="7:8" x14ac:dyDescent="0.3">
      <c r="G9868" s="78">
        <v>9865</v>
      </c>
      <c r="H9868">
        <f t="shared" ca="1" si="149"/>
        <v>-2.813890101237579E-4</v>
      </c>
    </row>
    <row r="9869" spans="7:8" x14ac:dyDescent="0.3">
      <c r="G9869" s="78">
        <v>9866</v>
      </c>
      <c r="H9869">
        <f t="shared" ca="1" si="149"/>
        <v>-6.9818387162068592E-3</v>
      </c>
    </row>
    <row r="9870" spans="7:8" x14ac:dyDescent="0.3">
      <c r="G9870" s="78">
        <v>9867</v>
      </c>
      <c r="H9870">
        <f t="shared" ca="1" si="149"/>
        <v>-3.6604312019584022E-2</v>
      </c>
    </row>
    <row r="9871" spans="7:8" x14ac:dyDescent="0.3">
      <c r="G9871" s="78">
        <v>9868</v>
      </c>
      <c r="H9871">
        <f t="shared" ca="1" si="149"/>
        <v>1.2391584332900317E-2</v>
      </c>
    </row>
    <row r="9872" spans="7:8" x14ac:dyDescent="0.3">
      <c r="G9872" s="78">
        <v>9869</v>
      </c>
      <c r="H9872">
        <f t="shared" ca="1" si="149"/>
        <v>-9.5790212172690574E-4</v>
      </c>
    </row>
    <row r="9873" spans="7:8" x14ac:dyDescent="0.3">
      <c r="G9873" s="78">
        <v>9870</v>
      </c>
      <c r="H9873">
        <f t="shared" ca="1" si="149"/>
        <v>-1.816980584294443E-2</v>
      </c>
    </row>
    <row r="9874" spans="7:8" x14ac:dyDescent="0.3">
      <c r="G9874" s="78">
        <v>9871</v>
      </c>
      <c r="H9874">
        <f t="shared" ca="1" si="149"/>
        <v>2.0213773978499851E-2</v>
      </c>
    </row>
    <row r="9875" spans="7:8" x14ac:dyDescent="0.3">
      <c r="G9875" s="78">
        <v>9872</v>
      </c>
      <c r="H9875">
        <f t="shared" ca="1" si="149"/>
        <v>2.2086688174925921E-2</v>
      </c>
    </row>
    <row r="9876" spans="7:8" x14ac:dyDescent="0.3">
      <c r="G9876" s="78">
        <v>9873</v>
      </c>
      <c r="H9876">
        <f t="shared" ca="1" si="149"/>
        <v>2.4464678763794602E-5</v>
      </c>
    </row>
    <row r="9877" spans="7:8" x14ac:dyDescent="0.3">
      <c r="G9877" s="78">
        <v>9874</v>
      </c>
      <c r="H9877">
        <f t="shared" ca="1" si="149"/>
        <v>-2.7582191648712175E-3</v>
      </c>
    </row>
    <row r="9878" spans="7:8" x14ac:dyDescent="0.3">
      <c r="G9878" s="78">
        <v>9875</v>
      </c>
      <c r="H9878">
        <f t="shared" ca="1" si="149"/>
        <v>-3.9585916887970356E-2</v>
      </c>
    </row>
    <row r="9879" spans="7:8" x14ac:dyDescent="0.3">
      <c r="G9879" s="78">
        <v>9876</v>
      </c>
      <c r="H9879">
        <f t="shared" ca="1" si="149"/>
        <v>5.866341843228878E-3</v>
      </c>
    </row>
    <row r="9880" spans="7:8" x14ac:dyDescent="0.3">
      <c r="G9880" s="78">
        <v>9877</v>
      </c>
      <c r="H9880">
        <f t="shared" ca="1" si="149"/>
        <v>5.5924465574268299E-2</v>
      </c>
    </row>
    <row r="9881" spans="7:8" x14ac:dyDescent="0.3">
      <c r="G9881" s="78">
        <v>9878</v>
      </c>
      <c r="H9881">
        <f t="shared" ca="1" si="149"/>
        <v>8.4837411922934827E-3</v>
      </c>
    </row>
    <row r="9882" spans="7:8" x14ac:dyDescent="0.3">
      <c r="G9882" s="78">
        <v>9879</v>
      </c>
      <c r="H9882">
        <f t="shared" ca="1" si="149"/>
        <v>-8.9845951443590279E-3</v>
      </c>
    </row>
    <row r="9883" spans="7:8" x14ac:dyDescent="0.3">
      <c r="G9883" s="78">
        <v>9880</v>
      </c>
      <c r="H9883">
        <f t="shared" ca="1" si="149"/>
        <v>-3.9746548556941754E-3</v>
      </c>
    </row>
    <row r="9884" spans="7:8" x14ac:dyDescent="0.3">
      <c r="G9884" s="78">
        <v>9881</v>
      </c>
      <c r="H9884">
        <f t="shared" ca="1" si="149"/>
        <v>-1.4537894462402548E-2</v>
      </c>
    </row>
    <row r="9885" spans="7:8" x14ac:dyDescent="0.3">
      <c r="G9885" s="78">
        <v>9882</v>
      </c>
      <c r="H9885">
        <f t="shared" ca="1" si="149"/>
        <v>-1.7746571431057727E-2</v>
      </c>
    </row>
    <row r="9886" spans="7:8" x14ac:dyDescent="0.3">
      <c r="G9886" s="78">
        <v>9883</v>
      </c>
      <c r="H9886">
        <f t="shared" ca="1" si="149"/>
        <v>2.6848513567226864E-2</v>
      </c>
    </row>
    <row r="9887" spans="7:8" x14ac:dyDescent="0.3">
      <c r="G9887" s="78">
        <v>9884</v>
      </c>
      <c r="H9887">
        <f t="shared" ca="1" si="149"/>
        <v>-2.0296185152929051E-3</v>
      </c>
    </row>
    <row r="9888" spans="7:8" x14ac:dyDescent="0.3">
      <c r="G9888" s="78">
        <v>9885</v>
      </c>
      <c r="H9888">
        <f t="shared" ca="1" si="149"/>
        <v>2.3591130632183519E-3</v>
      </c>
    </row>
    <row r="9889" spans="7:8" x14ac:dyDescent="0.3">
      <c r="G9889" s="78">
        <v>9886</v>
      </c>
      <c r="H9889">
        <f t="shared" ca="1" si="149"/>
        <v>4.1445880315564489E-2</v>
      </c>
    </row>
    <row r="9890" spans="7:8" x14ac:dyDescent="0.3">
      <c r="G9890" s="78">
        <v>9887</v>
      </c>
      <c r="H9890">
        <f t="shared" ca="1" si="149"/>
        <v>-4.0439608676977212E-2</v>
      </c>
    </row>
    <row r="9891" spans="7:8" x14ac:dyDescent="0.3">
      <c r="G9891" s="78">
        <v>9888</v>
      </c>
      <c r="H9891">
        <f t="shared" ca="1" si="149"/>
        <v>5.1958030151054999E-3</v>
      </c>
    </row>
    <row r="9892" spans="7:8" x14ac:dyDescent="0.3">
      <c r="G9892" s="78">
        <v>9889</v>
      </c>
      <c r="H9892">
        <f t="shared" ca="1" si="149"/>
        <v>-2.4547272113220275E-2</v>
      </c>
    </row>
    <row r="9893" spans="7:8" x14ac:dyDescent="0.3">
      <c r="G9893" s="78">
        <v>9890</v>
      </c>
      <c r="H9893">
        <f t="shared" ca="1" si="149"/>
        <v>-1.0055503106294394E-2</v>
      </c>
    </row>
    <row r="9894" spans="7:8" x14ac:dyDescent="0.3">
      <c r="G9894" s="78">
        <v>9891</v>
      </c>
      <c r="H9894">
        <f t="shared" ca="1" si="149"/>
        <v>-1.6009704394678963E-2</v>
      </c>
    </row>
    <row r="9895" spans="7:8" x14ac:dyDescent="0.3">
      <c r="G9895" s="78">
        <v>9892</v>
      </c>
      <c r="H9895">
        <f t="shared" ca="1" si="149"/>
        <v>2.7689284682934068E-2</v>
      </c>
    </row>
    <row r="9896" spans="7:8" x14ac:dyDescent="0.3">
      <c r="G9896" s="78">
        <v>9893</v>
      </c>
      <c r="H9896">
        <f t="shared" ca="1" si="149"/>
        <v>-1.4780539791786958E-3</v>
      </c>
    </row>
    <row r="9897" spans="7:8" x14ac:dyDescent="0.3">
      <c r="G9897" s="78">
        <v>9894</v>
      </c>
      <c r="H9897">
        <f t="shared" ca="1" si="149"/>
        <v>-1.705078950265466E-3</v>
      </c>
    </row>
    <row r="9898" spans="7:8" x14ac:dyDescent="0.3">
      <c r="G9898" s="78">
        <v>9895</v>
      </c>
      <c r="H9898">
        <f t="shared" ca="1" si="149"/>
        <v>-1.7055024145977346E-3</v>
      </c>
    </row>
    <row r="9899" spans="7:8" x14ac:dyDescent="0.3">
      <c r="G9899" s="78">
        <v>9896</v>
      </c>
      <c r="H9899">
        <f t="shared" ca="1" si="149"/>
        <v>1.9837649065413812E-2</v>
      </c>
    </row>
    <row r="9900" spans="7:8" x14ac:dyDescent="0.3">
      <c r="G9900" s="78">
        <v>9897</v>
      </c>
      <c r="H9900">
        <f t="shared" ca="1" si="149"/>
        <v>3.2588842962125802E-2</v>
      </c>
    </row>
    <row r="9901" spans="7:8" x14ac:dyDescent="0.3">
      <c r="G9901" s="78">
        <v>9898</v>
      </c>
      <c r="H9901">
        <f t="shared" ca="1" si="149"/>
        <v>2.5008784987544701E-2</v>
      </c>
    </row>
    <row r="9902" spans="7:8" x14ac:dyDescent="0.3">
      <c r="G9902" s="78">
        <v>9899</v>
      </c>
      <c r="H9902">
        <f t="shared" ca="1" si="149"/>
        <v>-2.9439226082574713E-2</v>
      </c>
    </row>
    <row r="9903" spans="7:8" x14ac:dyDescent="0.3">
      <c r="G9903" s="78">
        <v>9900</v>
      </c>
      <c r="H9903">
        <f t="shared" ca="1" si="149"/>
        <v>4.8077084331753913E-3</v>
      </c>
    </row>
    <row r="9904" spans="7:8" x14ac:dyDescent="0.3">
      <c r="G9904" s="78">
        <v>9901</v>
      </c>
      <c r="H9904">
        <f t="shared" ca="1" si="149"/>
        <v>-4.1073631966570346E-3</v>
      </c>
    </row>
    <row r="9905" spans="7:8" x14ac:dyDescent="0.3">
      <c r="G9905" s="78">
        <v>9902</v>
      </c>
      <c r="H9905">
        <f t="shared" ca="1" si="149"/>
        <v>2.8816780121213928E-3</v>
      </c>
    </row>
    <row r="9906" spans="7:8" x14ac:dyDescent="0.3">
      <c r="G9906" s="78">
        <v>9903</v>
      </c>
      <c r="H9906">
        <f t="shared" ca="1" si="149"/>
        <v>3.2798980663329286E-2</v>
      </c>
    </row>
    <row r="9907" spans="7:8" x14ac:dyDescent="0.3">
      <c r="G9907" s="78">
        <v>9904</v>
      </c>
      <c r="H9907">
        <f t="shared" ca="1" si="149"/>
        <v>3.3256800417642372E-3</v>
      </c>
    </row>
    <row r="9908" spans="7:8" x14ac:dyDescent="0.3">
      <c r="G9908" s="78">
        <v>9905</v>
      </c>
      <c r="H9908">
        <f t="shared" ca="1" si="149"/>
        <v>-4.6708426148334113E-3</v>
      </c>
    </row>
    <row r="9909" spans="7:8" x14ac:dyDescent="0.3">
      <c r="G9909" s="78">
        <v>9906</v>
      </c>
      <c r="H9909">
        <f t="shared" ca="1" si="149"/>
        <v>-2.7450995796295237E-2</v>
      </c>
    </row>
    <row r="9910" spans="7:8" x14ac:dyDescent="0.3">
      <c r="G9910" s="78">
        <v>9907</v>
      </c>
      <c r="H9910">
        <f t="shared" ca="1" si="149"/>
        <v>4.3135381032478283E-3</v>
      </c>
    </row>
    <row r="9911" spans="7:8" x14ac:dyDescent="0.3">
      <c r="G9911" s="78">
        <v>9908</v>
      </c>
      <c r="H9911">
        <f t="shared" ca="1" si="149"/>
        <v>-1.1006415903366687E-2</v>
      </c>
    </row>
    <row r="9912" spans="7:8" x14ac:dyDescent="0.3">
      <c r="G9912" s="78">
        <v>9909</v>
      </c>
      <c r="H9912">
        <f t="shared" ca="1" si="149"/>
        <v>2.6293190140834924E-3</v>
      </c>
    </row>
    <row r="9913" spans="7:8" x14ac:dyDescent="0.3">
      <c r="G9913" s="78">
        <v>9910</v>
      </c>
      <c r="H9913">
        <f t="shared" ca="1" si="149"/>
        <v>2.0631021261538349E-2</v>
      </c>
    </row>
    <row r="9914" spans="7:8" x14ac:dyDescent="0.3">
      <c r="G9914" s="78">
        <v>9911</v>
      </c>
      <c r="H9914">
        <f t="shared" ca="1" si="149"/>
        <v>4.3989044431363127E-3</v>
      </c>
    </row>
    <row r="9915" spans="7:8" x14ac:dyDescent="0.3">
      <c r="G9915" s="78">
        <v>9912</v>
      </c>
      <c r="H9915">
        <f t="shared" ca="1" si="149"/>
        <v>-3.7184470548431117E-2</v>
      </c>
    </row>
    <row r="9916" spans="7:8" x14ac:dyDescent="0.3">
      <c r="G9916" s="78">
        <v>9913</v>
      </c>
      <c r="H9916">
        <f t="shared" ca="1" si="149"/>
        <v>2.3224003480561185E-2</v>
      </c>
    </row>
    <row r="9917" spans="7:8" x14ac:dyDescent="0.3">
      <c r="G9917" s="78">
        <v>9914</v>
      </c>
      <c r="H9917">
        <f t="shared" ca="1" si="149"/>
        <v>-2.7991475411824019E-3</v>
      </c>
    </row>
    <row r="9918" spans="7:8" x14ac:dyDescent="0.3">
      <c r="G9918" s="78">
        <v>9915</v>
      </c>
      <c r="H9918">
        <f t="shared" ca="1" si="149"/>
        <v>1.1792688744817521E-2</v>
      </c>
    </row>
    <row r="9919" spans="7:8" x14ac:dyDescent="0.3">
      <c r="G9919" s="78">
        <v>9916</v>
      </c>
      <c r="H9919">
        <f t="shared" ca="1" si="149"/>
        <v>-3.687314668889359E-2</v>
      </c>
    </row>
    <row r="9920" spans="7:8" x14ac:dyDescent="0.3">
      <c r="G9920" s="78">
        <v>9917</v>
      </c>
      <c r="H9920">
        <f t="shared" ca="1" si="149"/>
        <v>1.1246158014779479E-2</v>
      </c>
    </row>
    <row r="9921" spans="7:8" x14ac:dyDescent="0.3">
      <c r="G9921" s="78">
        <v>9918</v>
      </c>
      <c r="H9921">
        <f t="shared" ca="1" si="149"/>
        <v>-1.2913854962134484E-2</v>
      </c>
    </row>
    <row r="9922" spans="7:8" x14ac:dyDescent="0.3">
      <c r="G9922" s="78">
        <v>9919</v>
      </c>
      <c r="H9922">
        <f t="shared" ca="1" si="149"/>
        <v>-1.9023404237213368E-2</v>
      </c>
    </row>
    <row r="9923" spans="7:8" x14ac:dyDescent="0.3">
      <c r="G9923" s="78">
        <v>9920</v>
      </c>
      <c r="H9923">
        <f t="shared" ca="1" si="149"/>
        <v>-2.722179704621964E-3</v>
      </c>
    </row>
    <row r="9924" spans="7:8" x14ac:dyDescent="0.3">
      <c r="G9924" s="78">
        <v>9921</v>
      </c>
      <c r="H9924">
        <f t="shared" ref="H9924:H9987" ca="1" si="150">_xlfn.NORM.INV(RAND(),$N$4,$N$5)</f>
        <v>1.1510712505765868E-2</v>
      </c>
    </row>
    <row r="9925" spans="7:8" x14ac:dyDescent="0.3">
      <c r="G9925" s="78">
        <v>9922</v>
      </c>
      <c r="H9925">
        <f t="shared" ca="1" si="150"/>
        <v>4.7364921402877382E-3</v>
      </c>
    </row>
    <row r="9926" spans="7:8" x14ac:dyDescent="0.3">
      <c r="G9926" s="78">
        <v>9923</v>
      </c>
      <c r="H9926">
        <f t="shared" ca="1" si="150"/>
        <v>-5.2485916685418013E-3</v>
      </c>
    </row>
    <row r="9927" spans="7:8" x14ac:dyDescent="0.3">
      <c r="G9927" s="78">
        <v>9924</v>
      </c>
      <c r="H9927">
        <f t="shared" ca="1" si="150"/>
        <v>-2.5369850007410957E-2</v>
      </c>
    </row>
    <row r="9928" spans="7:8" x14ac:dyDescent="0.3">
      <c r="G9928" s="78">
        <v>9925</v>
      </c>
      <c r="H9928">
        <f t="shared" ca="1" si="150"/>
        <v>7.8159606160274498E-3</v>
      </c>
    </row>
    <row r="9929" spans="7:8" x14ac:dyDescent="0.3">
      <c r="G9929" s="78">
        <v>9926</v>
      </c>
      <c r="H9929">
        <f t="shared" ca="1" si="150"/>
        <v>-1.171892151519365E-2</v>
      </c>
    </row>
    <row r="9930" spans="7:8" x14ac:dyDescent="0.3">
      <c r="G9930" s="78">
        <v>9927</v>
      </c>
      <c r="H9930">
        <f t="shared" ca="1" si="150"/>
        <v>6.4724272387883131E-3</v>
      </c>
    </row>
    <row r="9931" spans="7:8" x14ac:dyDescent="0.3">
      <c r="G9931" s="78">
        <v>9928</v>
      </c>
      <c r="H9931">
        <f t="shared" ca="1" si="150"/>
        <v>3.9531778643942542E-2</v>
      </c>
    </row>
    <row r="9932" spans="7:8" x14ac:dyDescent="0.3">
      <c r="G9932" s="78">
        <v>9929</v>
      </c>
      <c r="H9932">
        <f t="shared" ca="1" si="150"/>
        <v>1.4064510144487617E-2</v>
      </c>
    </row>
    <row r="9933" spans="7:8" x14ac:dyDescent="0.3">
      <c r="G9933" s="78">
        <v>9930</v>
      </c>
      <c r="H9933">
        <f t="shared" ca="1" si="150"/>
        <v>1.504093258954394E-2</v>
      </c>
    </row>
    <row r="9934" spans="7:8" x14ac:dyDescent="0.3">
      <c r="G9934" s="78">
        <v>9931</v>
      </c>
      <c r="H9934">
        <f t="shared" ca="1" si="150"/>
        <v>1.3148907811810594E-2</v>
      </c>
    </row>
    <row r="9935" spans="7:8" x14ac:dyDescent="0.3">
      <c r="G9935" s="78">
        <v>9932</v>
      </c>
      <c r="H9935">
        <f t="shared" ca="1" si="150"/>
        <v>1.1381717732141611E-2</v>
      </c>
    </row>
    <row r="9936" spans="7:8" x14ac:dyDescent="0.3">
      <c r="G9936" s="78">
        <v>9933</v>
      </c>
      <c r="H9936">
        <f t="shared" ca="1" si="150"/>
        <v>2.1472340503029139E-2</v>
      </c>
    </row>
    <row r="9937" spans="7:8" x14ac:dyDescent="0.3">
      <c r="G9937" s="78">
        <v>9934</v>
      </c>
      <c r="H9937">
        <f t="shared" ca="1" si="150"/>
        <v>2.7755525448585571E-2</v>
      </c>
    </row>
    <row r="9938" spans="7:8" x14ac:dyDescent="0.3">
      <c r="G9938" s="78">
        <v>9935</v>
      </c>
      <c r="H9938">
        <f t="shared" ca="1" si="150"/>
        <v>-1.5347782671109788E-2</v>
      </c>
    </row>
    <row r="9939" spans="7:8" x14ac:dyDescent="0.3">
      <c r="G9939" s="78">
        <v>9936</v>
      </c>
      <c r="H9939">
        <f t="shared" ca="1" si="150"/>
        <v>1.5501780424618944E-2</v>
      </c>
    </row>
    <row r="9940" spans="7:8" x14ac:dyDescent="0.3">
      <c r="G9940" s="78">
        <v>9937</v>
      </c>
      <c r="H9940">
        <f t="shared" ca="1" si="150"/>
        <v>-1.8782378883189822E-2</v>
      </c>
    </row>
    <row r="9941" spans="7:8" x14ac:dyDescent="0.3">
      <c r="G9941" s="78">
        <v>9938</v>
      </c>
      <c r="H9941">
        <f t="shared" ca="1" si="150"/>
        <v>2.0483559270704537E-2</v>
      </c>
    </row>
    <row r="9942" spans="7:8" x14ac:dyDescent="0.3">
      <c r="G9942" s="78">
        <v>9939</v>
      </c>
      <c r="H9942">
        <f t="shared" ca="1" si="150"/>
        <v>-2.0181276141579364E-2</v>
      </c>
    </row>
    <row r="9943" spans="7:8" x14ac:dyDescent="0.3">
      <c r="G9943" s="78">
        <v>9940</v>
      </c>
      <c r="H9943">
        <f t="shared" ca="1" si="150"/>
        <v>-1.1894322314633709E-2</v>
      </c>
    </row>
    <row r="9944" spans="7:8" x14ac:dyDescent="0.3">
      <c r="G9944" s="78">
        <v>9941</v>
      </c>
      <c r="H9944">
        <f t="shared" ca="1" si="150"/>
        <v>3.9444383810217705E-2</v>
      </c>
    </row>
    <row r="9945" spans="7:8" x14ac:dyDescent="0.3">
      <c r="G9945" s="78">
        <v>9942</v>
      </c>
      <c r="H9945">
        <f t="shared" ca="1" si="150"/>
        <v>4.3124482252040845E-3</v>
      </c>
    </row>
    <row r="9946" spans="7:8" x14ac:dyDescent="0.3">
      <c r="G9946" s="78">
        <v>9943</v>
      </c>
      <c r="H9946">
        <f t="shared" ca="1" si="150"/>
        <v>-1.1060512377409558E-2</v>
      </c>
    </row>
    <row r="9947" spans="7:8" x14ac:dyDescent="0.3">
      <c r="G9947" s="78">
        <v>9944</v>
      </c>
      <c r="H9947">
        <f t="shared" ca="1" si="150"/>
        <v>-4.3506424029066283E-3</v>
      </c>
    </row>
    <row r="9948" spans="7:8" x14ac:dyDescent="0.3">
      <c r="G9948" s="78">
        <v>9945</v>
      </c>
      <c r="H9948">
        <f t="shared" ca="1" si="150"/>
        <v>1.2035571825192467E-2</v>
      </c>
    </row>
    <row r="9949" spans="7:8" x14ac:dyDescent="0.3">
      <c r="G9949" s="78">
        <v>9946</v>
      </c>
      <c r="H9949">
        <f t="shared" ca="1" si="150"/>
        <v>2.6431857922884112E-2</v>
      </c>
    </row>
    <row r="9950" spans="7:8" x14ac:dyDescent="0.3">
      <c r="G9950" s="78">
        <v>9947</v>
      </c>
      <c r="H9950">
        <f t="shared" ca="1" si="150"/>
        <v>-2.4925357219637543E-2</v>
      </c>
    </row>
    <row r="9951" spans="7:8" x14ac:dyDescent="0.3">
      <c r="G9951" s="78">
        <v>9948</v>
      </c>
      <c r="H9951">
        <f t="shared" ca="1" si="150"/>
        <v>2.7976940599688291E-2</v>
      </c>
    </row>
    <row r="9952" spans="7:8" x14ac:dyDescent="0.3">
      <c r="G9952" s="78">
        <v>9949</v>
      </c>
      <c r="H9952">
        <f t="shared" ca="1" si="150"/>
        <v>-8.0456715617971651E-3</v>
      </c>
    </row>
    <row r="9953" spans="7:8" x14ac:dyDescent="0.3">
      <c r="G9953" s="78">
        <v>9950</v>
      </c>
      <c r="H9953">
        <f t="shared" ca="1" si="150"/>
        <v>1.5009474319639043E-2</v>
      </c>
    </row>
    <row r="9954" spans="7:8" x14ac:dyDescent="0.3">
      <c r="G9954" s="78">
        <v>9951</v>
      </c>
      <c r="H9954">
        <f t="shared" ca="1" si="150"/>
        <v>-2.2377089848309835E-2</v>
      </c>
    </row>
    <row r="9955" spans="7:8" x14ac:dyDescent="0.3">
      <c r="G9955" s="78">
        <v>9952</v>
      </c>
      <c r="H9955">
        <f t="shared" ca="1" si="150"/>
        <v>-1.9095360427366828E-2</v>
      </c>
    </row>
    <row r="9956" spans="7:8" x14ac:dyDescent="0.3">
      <c r="G9956" s="78">
        <v>9953</v>
      </c>
      <c r="H9956">
        <f t="shared" ca="1" si="150"/>
        <v>-1.7381990234679836E-3</v>
      </c>
    </row>
    <row r="9957" spans="7:8" x14ac:dyDescent="0.3">
      <c r="G9957" s="78">
        <v>9954</v>
      </c>
      <c r="H9957">
        <f t="shared" ca="1" si="150"/>
        <v>3.0323857808692632E-3</v>
      </c>
    </row>
    <row r="9958" spans="7:8" x14ac:dyDescent="0.3">
      <c r="G9958" s="78">
        <v>9955</v>
      </c>
      <c r="H9958">
        <f t="shared" ca="1" si="150"/>
        <v>-2.9009156728834948E-2</v>
      </c>
    </row>
    <row r="9959" spans="7:8" x14ac:dyDescent="0.3">
      <c r="G9959" s="78">
        <v>9956</v>
      </c>
      <c r="H9959">
        <f t="shared" ca="1" si="150"/>
        <v>1.7466673714203705E-2</v>
      </c>
    </row>
    <row r="9960" spans="7:8" x14ac:dyDescent="0.3">
      <c r="G9960" s="78">
        <v>9957</v>
      </c>
      <c r="H9960">
        <f t="shared" ca="1" si="150"/>
        <v>-2.7465350088026553E-3</v>
      </c>
    </row>
    <row r="9961" spans="7:8" x14ac:dyDescent="0.3">
      <c r="G9961" s="78">
        <v>9958</v>
      </c>
      <c r="H9961">
        <f t="shared" ca="1" si="150"/>
        <v>2.2679519187286342E-3</v>
      </c>
    </row>
    <row r="9962" spans="7:8" x14ac:dyDescent="0.3">
      <c r="G9962" s="78">
        <v>9959</v>
      </c>
      <c r="H9962">
        <f t="shared" ca="1" si="150"/>
        <v>2.3905171956151789E-2</v>
      </c>
    </row>
    <row r="9963" spans="7:8" x14ac:dyDescent="0.3">
      <c r="G9963" s="78">
        <v>9960</v>
      </c>
      <c r="H9963">
        <f t="shared" ca="1" si="150"/>
        <v>2.1121546615746563E-2</v>
      </c>
    </row>
    <row r="9964" spans="7:8" x14ac:dyDescent="0.3">
      <c r="G9964" s="78">
        <v>9961</v>
      </c>
      <c r="H9964">
        <f t="shared" ca="1" si="150"/>
        <v>2.7423269438089239E-2</v>
      </c>
    </row>
    <row r="9965" spans="7:8" x14ac:dyDescent="0.3">
      <c r="G9965" s="78">
        <v>9962</v>
      </c>
      <c r="H9965">
        <f t="shared" ca="1" si="150"/>
        <v>-4.5088549569252062E-3</v>
      </c>
    </row>
    <row r="9966" spans="7:8" x14ac:dyDescent="0.3">
      <c r="G9966" s="78">
        <v>9963</v>
      </c>
      <c r="H9966">
        <f t="shared" ca="1" si="150"/>
        <v>-8.2758719122630886E-3</v>
      </c>
    </row>
    <row r="9967" spans="7:8" x14ac:dyDescent="0.3">
      <c r="G9967" s="78">
        <v>9964</v>
      </c>
      <c r="H9967">
        <f t="shared" ca="1" si="150"/>
        <v>-2.8496305465475517E-3</v>
      </c>
    </row>
    <row r="9968" spans="7:8" x14ac:dyDescent="0.3">
      <c r="G9968" s="78">
        <v>9965</v>
      </c>
      <c r="H9968">
        <f t="shared" ca="1" si="150"/>
        <v>3.5368789207632916E-2</v>
      </c>
    </row>
    <row r="9969" spans="7:8" x14ac:dyDescent="0.3">
      <c r="G9969" s="78">
        <v>9966</v>
      </c>
      <c r="H9969">
        <f t="shared" ca="1" si="150"/>
        <v>2.440870544961183E-2</v>
      </c>
    </row>
    <row r="9970" spans="7:8" x14ac:dyDescent="0.3">
      <c r="G9970" s="78">
        <v>9967</v>
      </c>
      <c r="H9970">
        <f t="shared" ca="1" si="150"/>
        <v>-5.1332978255810451E-2</v>
      </c>
    </row>
    <row r="9971" spans="7:8" x14ac:dyDescent="0.3">
      <c r="G9971" s="78">
        <v>9968</v>
      </c>
      <c r="H9971">
        <f t="shared" ca="1" si="150"/>
        <v>-1.485161826120922E-2</v>
      </c>
    </row>
    <row r="9972" spans="7:8" x14ac:dyDescent="0.3">
      <c r="G9972" s="78">
        <v>9969</v>
      </c>
      <c r="H9972">
        <f t="shared" ca="1" si="150"/>
        <v>2.3232227617633219E-3</v>
      </c>
    </row>
    <row r="9973" spans="7:8" x14ac:dyDescent="0.3">
      <c r="G9973" s="78">
        <v>9970</v>
      </c>
      <c r="H9973">
        <f t="shared" ca="1" si="150"/>
        <v>6.2394101043175068E-3</v>
      </c>
    </row>
    <row r="9974" spans="7:8" x14ac:dyDescent="0.3">
      <c r="G9974" s="78">
        <v>9971</v>
      </c>
      <c r="H9974">
        <f t="shared" ca="1" si="150"/>
        <v>2.6144945268890749E-2</v>
      </c>
    </row>
    <row r="9975" spans="7:8" x14ac:dyDescent="0.3">
      <c r="G9975" s="78">
        <v>9972</v>
      </c>
      <c r="H9975">
        <f t="shared" ca="1" si="150"/>
        <v>5.0409925309159838E-2</v>
      </c>
    </row>
    <row r="9976" spans="7:8" x14ac:dyDescent="0.3">
      <c r="G9976" s="78">
        <v>9973</v>
      </c>
      <c r="H9976">
        <f t="shared" ca="1" si="150"/>
        <v>1.4905540013496631E-2</v>
      </c>
    </row>
    <row r="9977" spans="7:8" x14ac:dyDescent="0.3">
      <c r="G9977" s="78">
        <v>9974</v>
      </c>
      <c r="H9977">
        <f t="shared" ca="1" si="150"/>
        <v>-3.4141907522311318E-2</v>
      </c>
    </row>
    <row r="9978" spans="7:8" x14ac:dyDescent="0.3">
      <c r="G9978" s="78">
        <v>9975</v>
      </c>
      <c r="H9978">
        <f t="shared" ca="1" si="150"/>
        <v>7.2547843333863665E-3</v>
      </c>
    </row>
    <row r="9979" spans="7:8" x14ac:dyDescent="0.3">
      <c r="G9979" s="78">
        <v>9976</v>
      </c>
      <c r="H9979">
        <f t="shared" ca="1" si="150"/>
        <v>-2.3033007924428889E-2</v>
      </c>
    </row>
    <row r="9980" spans="7:8" x14ac:dyDescent="0.3">
      <c r="G9980" s="78">
        <v>9977</v>
      </c>
      <c r="H9980">
        <f t="shared" ca="1" si="150"/>
        <v>-2.2946312722241451E-2</v>
      </c>
    </row>
    <row r="9981" spans="7:8" x14ac:dyDescent="0.3">
      <c r="G9981" s="78">
        <v>9978</v>
      </c>
      <c r="H9981">
        <f t="shared" ca="1" si="150"/>
        <v>-2.591981703901753E-2</v>
      </c>
    </row>
    <row r="9982" spans="7:8" x14ac:dyDescent="0.3">
      <c r="G9982" s="78">
        <v>9979</v>
      </c>
      <c r="H9982">
        <f t="shared" ca="1" si="150"/>
        <v>3.7845082646034867E-2</v>
      </c>
    </row>
    <row r="9983" spans="7:8" x14ac:dyDescent="0.3">
      <c r="G9983" s="78">
        <v>9980</v>
      </c>
      <c r="H9983">
        <f t="shared" ca="1" si="150"/>
        <v>2.0593077554651278E-2</v>
      </c>
    </row>
    <row r="9984" spans="7:8" x14ac:dyDescent="0.3">
      <c r="G9984" s="78">
        <v>9981</v>
      </c>
      <c r="H9984">
        <f t="shared" ca="1" si="150"/>
        <v>-1.6636693278456714E-2</v>
      </c>
    </row>
    <row r="9985" spans="7:8" x14ac:dyDescent="0.3">
      <c r="G9985" s="78">
        <v>9982</v>
      </c>
      <c r="H9985">
        <f t="shared" ca="1" si="150"/>
        <v>1.2537654364914311E-2</v>
      </c>
    </row>
    <row r="9986" spans="7:8" x14ac:dyDescent="0.3">
      <c r="G9986" s="78">
        <v>9983</v>
      </c>
      <c r="H9986">
        <f t="shared" ca="1" si="150"/>
        <v>1.4829554263361241E-2</v>
      </c>
    </row>
    <row r="9987" spans="7:8" x14ac:dyDescent="0.3">
      <c r="G9987" s="78">
        <v>9984</v>
      </c>
      <c r="H9987">
        <f t="shared" ca="1" si="150"/>
        <v>1.1454617432160544E-2</v>
      </c>
    </row>
    <row r="9988" spans="7:8" x14ac:dyDescent="0.3">
      <c r="G9988" s="78">
        <v>9985</v>
      </c>
      <c r="H9988">
        <f t="shared" ref="H9988:H10003" ca="1" si="151">_xlfn.NORM.INV(RAND(),$N$4,$N$5)</f>
        <v>-4.6338469815339839E-3</v>
      </c>
    </row>
    <row r="9989" spans="7:8" x14ac:dyDescent="0.3">
      <c r="G9989" s="78">
        <v>9986</v>
      </c>
      <c r="H9989">
        <f t="shared" ca="1" si="151"/>
        <v>-3.5599480742226561E-2</v>
      </c>
    </row>
    <row r="9990" spans="7:8" x14ac:dyDescent="0.3">
      <c r="G9990" s="78">
        <v>9987</v>
      </c>
      <c r="H9990">
        <f t="shared" ca="1" si="151"/>
        <v>1.8824953394306679E-2</v>
      </c>
    </row>
    <row r="9991" spans="7:8" x14ac:dyDescent="0.3">
      <c r="G9991" s="78">
        <v>9988</v>
      </c>
      <c r="H9991">
        <f t="shared" ca="1" si="151"/>
        <v>7.9370766262754026E-3</v>
      </c>
    </row>
    <row r="9992" spans="7:8" x14ac:dyDescent="0.3">
      <c r="G9992" s="78">
        <v>9989</v>
      </c>
      <c r="H9992">
        <f t="shared" ca="1" si="151"/>
        <v>4.2352945532693094E-3</v>
      </c>
    </row>
    <row r="9993" spans="7:8" x14ac:dyDescent="0.3">
      <c r="G9993" s="78">
        <v>9990</v>
      </c>
      <c r="H9993">
        <f t="shared" ca="1" si="151"/>
        <v>9.3388174669083585E-3</v>
      </c>
    </row>
    <row r="9994" spans="7:8" x14ac:dyDescent="0.3">
      <c r="G9994" s="78">
        <v>9991</v>
      </c>
      <c r="H9994">
        <f t="shared" ca="1" si="151"/>
        <v>2.318934678705354E-3</v>
      </c>
    </row>
    <row r="9995" spans="7:8" x14ac:dyDescent="0.3">
      <c r="G9995" s="78">
        <v>9992</v>
      </c>
      <c r="H9995">
        <f t="shared" ca="1" si="151"/>
        <v>-1.5167070602252751E-2</v>
      </c>
    </row>
    <row r="9996" spans="7:8" x14ac:dyDescent="0.3">
      <c r="G9996" s="78">
        <v>9993</v>
      </c>
      <c r="H9996">
        <f t="shared" ca="1" si="151"/>
        <v>7.5577446701997576E-3</v>
      </c>
    </row>
    <row r="9997" spans="7:8" x14ac:dyDescent="0.3">
      <c r="G9997" s="78">
        <v>9994</v>
      </c>
      <c r="H9997">
        <f t="shared" ca="1" si="151"/>
        <v>5.5981921814799069E-4</v>
      </c>
    </row>
    <row r="9998" spans="7:8" x14ac:dyDescent="0.3">
      <c r="G9998" s="78">
        <v>9995</v>
      </c>
      <c r="H9998">
        <f t="shared" ca="1" si="151"/>
        <v>1.3462075101044911E-2</v>
      </c>
    </row>
    <row r="9999" spans="7:8" x14ac:dyDescent="0.3">
      <c r="G9999" s="78">
        <v>9996</v>
      </c>
      <c r="H9999">
        <f t="shared" ca="1" si="151"/>
        <v>3.9313792558251598E-2</v>
      </c>
    </row>
    <row r="10000" spans="7:8" x14ac:dyDescent="0.3">
      <c r="G10000" s="78">
        <v>9997</v>
      </c>
      <c r="H10000">
        <f t="shared" ca="1" si="151"/>
        <v>-2.4220864911428969E-2</v>
      </c>
    </row>
    <row r="10001" spans="7:8" x14ac:dyDescent="0.3">
      <c r="G10001" s="78">
        <v>9998</v>
      </c>
      <c r="H10001">
        <f t="shared" ca="1" si="151"/>
        <v>7.4685820488539457E-3</v>
      </c>
    </row>
    <row r="10002" spans="7:8" x14ac:dyDescent="0.3">
      <c r="G10002" s="78">
        <v>9999</v>
      </c>
      <c r="H10002">
        <f t="shared" ca="1" si="151"/>
        <v>1.3746108382033894E-2</v>
      </c>
    </row>
    <row r="10003" spans="7:8" x14ac:dyDescent="0.3">
      <c r="G10003" s="78">
        <v>10000</v>
      </c>
      <c r="H10003">
        <f t="shared" ca="1" si="151"/>
        <v>-2.1858996933829453E-2</v>
      </c>
    </row>
  </sheetData>
  <mergeCells count="2">
    <mergeCell ref="J2:N2"/>
    <mergeCell ref="J17:N1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3288-6849-4217-8AF1-A268E17C1404}">
  <sheetPr>
    <tabColor rgb="FF4DA42E"/>
  </sheetPr>
  <dimension ref="B2:L40"/>
  <sheetViews>
    <sheetView showGridLines="0" topLeftCell="A22" workbookViewId="0">
      <selection activeCell="B2" sqref="B2:K2"/>
    </sheetView>
  </sheetViews>
  <sheetFormatPr defaultRowHeight="14.4" x14ac:dyDescent="0.3"/>
  <cols>
    <col min="1" max="1" width="1.88671875" customWidth="1"/>
    <col min="2" max="2" width="27.21875" customWidth="1"/>
    <col min="3" max="3" width="9" bestFit="1" customWidth="1"/>
    <col min="4" max="4" width="7.88671875" bestFit="1" customWidth="1"/>
    <col min="5" max="5" width="10" bestFit="1" customWidth="1"/>
    <col min="6" max="6" width="11.109375" bestFit="1" customWidth="1"/>
    <col min="7" max="7" width="13.6640625" bestFit="1" customWidth="1"/>
    <col min="11" max="11" width="20.21875" bestFit="1" customWidth="1"/>
  </cols>
  <sheetData>
    <row r="2" spans="2:12" x14ac:dyDescent="0.3">
      <c r="B2" s="246" t="s">
        <v>209</v>
      </c>
      <c r="C2" s="246"/>
      <c r="D2" s="246"/>
      <c r="E2" s="246"/>
      <c r="F2" s="246"/>
      <c r="G2" s="246"/>
      <c r="H2" s="246"/>
      <c r="I2" s="246"/>
      <c r="J2" s="246"/>
      <c r="K2" s="246"/>
      <c r="L2" s="87"/>
    </row>
    <row r="4" spans="2:12" x14ac:dyDescent="0.3">
      <c r="B4" t="s">
        <v>210</v>
      </c>
    </row>
    <row r="6" spans="2:12" x14ac:dyDescent="0.3">
      <c r="B6" s="84" t="s">
        <v>211</v>
      </c>
      <c r="C6" s="85"/>
      <c r="D6" s="85"/>
      <c r="E6" s="85"/>
      <c r="F6" s="85"/>
      <c r="G6" s="85"/>
      <c r="H6" s="85"/>
      <c r="I6" s="85"/>
      <c r="J6" s="85"/>
      <c r="K6" s="85"/>
    </row>
    <row r="7" spans="2:12" x14ac:dyDescent="0.3">
      <c r="H7" t="s">
        <v>212</v>
      </c>
      <c r="I7" t="s">
        <v>212</v>
      </c>
      <c r="J7" s="78" t="s">
        <v>213</v>
      </c>
      <c r="K7" s="78" t="s">
        <v>214</v>
      </c>
    </row>
    <row r="8" spans="2:12" ht="16.8" thickBot="1" x14ac:dyDescent="0.35">
      <c r="B8" s="88" t="s">
        <v>215</v>
      </c>
      <c r="C8" s="89"/>
      <c r="D8" s="89" t="s">
        <v>216</v>
      </c>
      <c r="E8" s="89" t="s">
        <v>217</v>
      </c>
      <c r="F8" s="89" t="s">
        <v>218</v>
      </c>
      <c r="G8" s="89" t="s">
        <v>219</v>
      </c>
      <c r="H8" s="89" t="s">
        <v>220</v>
      </c>
      <c r="I8" s="89" t="s">
        <v>221</v>
      </c>
      <c r="J8" s="90" t="s">
        <v>222</v>
      </c>
      <c r="K8" s="90" t="s">
        <v>223</v>
      </c>
    </row>
    <row r="9" spans="2:12" ht="15" thickTop="1" x14ac:dyDescent="0.3"/>
    <row r="10" spans="2:12" x14ac:dyDescent="0.3">
      <c r="B10" s="91" t="s">
        <v>257</v>
      </c>
      <c r="C10" s="91"/>
      <c r="D10" s="91" t="s">
        <v>224</v>
      </c>
      <c r="E10" s="211">
        <v>2206</v>
      </c>
      <c r="F10" s="211">
        <v>5915</v>
      </c>
      <c r="G10" s="92">
        <v>0.3</v>
      </c>
      <c r="H10" s="93">
        <f>E10/F10</f>
        <v>0.37295012679628065</v>
      </c>
      <c r="I10" s="93">
        <f>E10/(E10+F10)</f>
        <v>0.27164142347001602</v>
      </c>
      <c r="J10" s="94">
        <v>0.21</v>
      </c>
      <c r="K10" s="95">
        <f>J10/(1+(1-G10)*H10)</f>
        <v>0.16652590090090089</v>
      </c>
    </row>
    <row r="11" spans="2:12" x14ac:dyDescent="0.3">
      <c r="B11" s="91" t="s">
        <v>258</v>
      </c>
      <c r="C11" s="91"/>
      <c r="D11" s="91" t="s">
        <v>224</v>
      </c>
      <c r="E11" s="211">
        <v>820</v>
      </c>
      <c r="F11" s="211">
        <v>21428</v>
      </c>
      <c r="G11" s="92">
        <v>0.3</v>
      </c>
      <c r="H11" s="93">
        <f t="shared" ref="H11:H15" si="0">E11/F11</f>
        <v>3.8267687138323687E-2</v>
      </c>
      <c r="I11" s="93">
        <f t="shared" ref="I11:I15" si="1">E11/(E11+F11)</f>
        <v>3.6857245595109674E-2</v>
      </c>
      <c r="J11" s="94">
        <v>0.28000000000000003</v>
      </c>
      <c r="K11" s="95">
        <f t="shared" ref="K11:K15" si="2">J11/(1+(1-G11)*H11)</f>
        <v>0.27269520952640669</v>
      </c>
    </row>
    <row r="12" spans="2:12" x14ac:dyDescent="0.3">
      <c r="B12" s="91" t="s">
        <v>259</v>
      </c>
      <c r="C12" s="91"/>
      <c r="D12" s="91" t="s">
        <v>224</v>
      </c>
      <c r="E12" s="211">
        <v>1480</v>
      </c>
      <c r="F12" s="211">
        <v>4900</v>
      </c>
      <c r="G12" s="92">
        <v>0.3</v>
      </c>
      <c r="H12" s="93">
        <f t="shared" si="0"/>
        <v>0.30204081632653063</v>
      </c>
      <c r="I12" s="93">
        <f t="shared" si="1"/>
        <v>0.23197492163009403</v>
      </c>
      <c r="J12" s="91">
        <v>1.05</v>
      </c>
      <c r="K12" s="95">
        <f t="shared" si="2"/>
        <v>0.86674528301886788</v>
      </c>
    </row>
    <row r="13" spans="2:12" x14ac:dyDescent="0.3">
      <c r="B13" s="91" t="s">
        <v>225</v>
      </c>
      <c r="C13" s="91"/>
      <c r="D13" s="91" t="s">
        <v>224</v>
      </c>
      <c r="E13" s="211">
        <v>5017</v>
      </c>
      <c r="F13" s="211">
        <v>6812</v>
      </c>
      <c r="G13" s="92">
        <v>0.3</v>
      </c>
      <c r="H13" s="93">
        <f t="shared" si="0"/>
        <v>0.73649442160892542</v>
      </c>
      <c r="I13" s="93">
        <f t="shared" si="1"/>
        <v>0.42412714515174571</v>
      </c>
      <c r="J13" s="94">
        <v>0.1</v>
      </c>
      <c r="K13" s="95">
        <f t="shared" si="2"/>
        <v>6.5982816571256986E-2</v>
      </c>
    </row>
    <row r="14" spans="2:12" x14ac:dyDescent="0.3">
      <c r="B14" s="91" t="s">
        <v>260</v>
      </c>
      <c r="C14" s="91"/>
      <c r="D14" s="91" t="s">
        <v>224</v>
      </c>
      <c r="E14" s="211">
        <v>458</v>
      </c>
      <c r="F14" s="211">
        <v>810</v>
      </c>
      <c r="G14" s="92">
        <v>0.3</v>
      </c>
      <c r="H14" s="93">
        <f t="shared" si="0"/>
        <v>0.5654320987654321</v>
      </c>
      <c r="I14" s="93">
        <f t="shared" si="1"/>
        <v>0.36119873817034698</v>
      </c>
      <c r="J14" s="91">
        <v>1.05</v>
      </c>
      <c r="K14" s="95">
        <f t="shared" si="2"/>
        <v>0.75225543958959851</v>
      </c>
    </row>
    <row r="15" spans="2:12" x14ac:dyDescent="0.3">
      <c r="B15" s="91" t="s">
        <v>261</v>
      </c>
      <c r="C15" s="91"/>
      <c r="D15" s="91" t="s">
        <v>224</v>
      </c>
      <c r="E15" s="211">
        <v>390</v>
      </c>
      <c r="F15" s="211">
        <v>720</v>
      </c>
      <c r="G15" s="92">
        <v>0.3</v>
      </c>
      <c r="H15" s="93">
        <f t="shared" si="0"/>
        <v>0.54166666666666663</v>
      </c>
      <c r="I15" s="93">
        <f t="shared" si="1"/>
        <v>0.35135135135135137</v>
      </c>
      <c r="J15" s="94">
        <v>1.4</v>
      </c>
      <c r="K15" s="95">
        <f t="shared" si="2"/>
        <v>1.0151057401812689</v>
      </c>
    </row>
    <row r="17" spans="2:11" x14ac:dyDescent="0.3">
      <c r="F17" s="96" t="s">
        <v>226</v>
      </c>
      <c r="G17" s="97">
        <f>AVERAGE(G10:G15)</f>
        <v>0.3</v>
      </c>
      <c r="H17" s="98">
        <f>AVERAGE(H10:H15)</f>
        <v>0.42614196955035988</v>
      </c>
      <c r="I17" s="98">
        <f>AVERAGE(I10:I15)</f>
        <v>0.27952513756144398</v>
      </c>
      <c r="J17" s="99">
        <f>AVERAGE(J10:J15)</f>
        <v>0.68166666666666664</v>
      </c>
      <c r="K17" s="99">
        <f>AVERAGE(K10:K15)</f>
        <v>0.52321839829804995</v>
      </c>
    </row>
    <row r="18" spans="2:11" x14ac:dyDescent="0.3">
      <c r="F18" s="100" t="s">
        <v>208</v>
      </c>
      <c r="G18" s="101">
        <f>MEDIAN(G10:G15)</f>
        <v>0.3</v>
      </c>
      <c r="H18" s="102">
        <f>MEDIAN(H10:H15)</f>
        <v>0.45730839673147361</v>
      </c>
      <c r="I18" s="102">
        <f>MEDIAN(I10:I15)</f>
        <v>0.31149638741068369</v>
      </c>
      <c r="J18" s="103">
        <f>MEDIAN(J10:J15)</f>
        <v>0.66500000000000004</v>
      </c>
      <c r="K18" s="103">
        <f>MEDIAN(K10:K15)</f>
        <v>0.5124753245580026</v>
      </c>
    </row>
    <row r="19" spans="2:11" ht="4.2" customHeight="1" x14ac:dyDescent="0.3">
      <c r="B19" s="104"/>
      <c r="C19" s="104"/>
      <c r="D19" s="104"/>
      <c r="E19" s="104"/>
      <c r="F19" s="104"/>
      <c r="G19" s="104"/>
      <c r="H19" s="104"/>
      <c r="I19" s="104"/>
      <c r="J19" s="104"/>
      <c r="K19" s="104"/>
    </row>
    <row r="20" spans="2:11" x14ac:dyDescent="0.3">
      <c r="B20" s="84" t="s">
        <v>227</v>
      </c>
      <c r="C20" s="84"/>
      <c r="D20" s="85"/>
      <c r="E20" s="85"/>
      <c r="G20" s="84" t="s">
        <v>228</v>
      </c>
      <c r="H20" s="85"/>
      <c r="I20" s="85"/>
      <c r="J20" s="85"/>
      <c r="K20" s="85"/>
    </row>
    <row r="22" spans="2:11" ht="16.2" x14ac:dyDescent="0.3">
      <c r="B22" s="105" t="s">
        <v>229</v>
      </c>
      <c r="C22" s="105"/>
      <c r="D22" s="105"/>
      <c r="E22" s="106">
        <v>0.08</v>
      </c>
      <c r="G22" s="107" t="s">
        <v>230</v>
      </c>
      <c r="H22" s="107"/>
      <c r="I22" s="107"/>
      <c r="J22" s="107"/>
      <c r="K22" s="108">
        <v>7.3899999999999993E-2</v>
      </c>
    </row>
    <row r="23" spans="2:11" ht="15" thickBot="1" x14ac:dyDescent="0.35">
      <c r="B23" t="s">
        <v>231</v>
      </c>
      <c r="E23" s="109">
        <f>G18</f>
        <v>0.3</v>
      </c>
      <c r="G23" s="107" t="s">
        <v>232</v>
      </c>
      <c r="H23" s="107"/>
      <c r="I23" s="107"/>
      <c r="J23" s="107"/>
      <c r="K23" s="110">
        <f>'[1]Rm Calculation '!G7-'WACC Calculation Trent Ltd  '!K22</f>
        <v>9.4117391304347847E-2</v>
      </c>
    </row>
    <row r="24" spans="2:11" ht="16.8" thickBot="1" x14ac:dyDescent="0.35">
      <c r="B24" s="111" t="s">
        <v>233</v>
      </c>
      <c r="C24" s="111"/>
      <c r="D24" s="111"/>
      <c r="E24" s="112">
        <f>E22*(1-E23)</f>
        <v>5.5999999999999994E-2</v>
      </c>
      <c r="G24" s="113" t="s">
        <v>234</v>
      </c>
      <c r="H24" s="113"/>
      <c r="I24" s="113"/>
      <c r="J24" s="113"/>
      <c r="K24" s="114">
        <f>K32</f>
        <v>0.65165410808467505</v>
      </c>
    </row>
    <row r="25" spans="2:11" x14ac:dyDescent="0.3">
      <c r="G25" s="111" t="s">
        <v>228</v>
      </c>
      <c r="H25" s="111"/>
      <c r="I25" s="111"/>
      <c r="J25" s="111"/>
      <c r="K25" s="115">
        <f>K22+(K23*K24)</f>
        <v>0.13523198468569114</v>
      </c>
    </row>
    <row r="28" spans="2:11" x14ac:dyDescent="0.3">
      <c r="B28" s="84" t="s">
        <v>235</v>
      </c>
      <c r="C28" s="85"/>
      <c r="D28" s="135"/>
      <c r="E28" s="135"/>
      <c r="G28" s="84" t="s">
        <v>236</v>
      </c>
      <c r="H28" s="85"/>
      <c r="I28" s="85"/>
      <c r="J28" s="85"/>
      <c r="K28" s="85"/>
    </row>
    <row r="29" spans="2:11" x14ac:dyDescent="0.3">
      <c r="B29" s="116"/>
      <c r="C29" s="96" t="s">
        <v>237</v>
      </c>
      <c r="D29" s="96" t="s">
        <v>238</v>
      </c>
      <c r="E29" s="96" t="s">
        <v>239</v>
      </c>
      <c r="G29" s="117" t="s">
        <v>240</v>
      </c>
      <c r="H29" s="117"/>
      <c r="I29" s="117"/>
      <c r="J29" s="117"/>
      <c r="K29" s="118">
        <f>K18</f>
        <v>0.5124753245580026</v>
      </c>
    </row>
    <row r="30" spans="2:11" x14ac:dyDescent="0.3">
      <c r="B30" s="117" t="s">
        <v>241</v>
      </c>
      <c r="C30" s="119">
        <f>E10</f>
        <v>2206</v>
      </c>
      <c r="D30" s="120">
        <f>C30/$C$33</f>
        <v>0.27164142347001602</v>
      </c>
      <c r="E30" s="121">
        <f>I17</f>
        <v>0.27952513756144398</v>
      </c>
      <c r="G30" s="107" t="s">
        <v>242</v>
      </c>
      <c r="H30" s="107"/>
      <c r="I30" s="107"/>
      <c r="J30" s="107"/>
      <c r="K30" s="122">
        <f>E32</f>
        <v>0.38797347712500191</v>
      </c>
    </row>
    <row r="31" spans="2:11" ht="15" thickBot="1" x14ac:dyDescent="0.35">
      <c r="B31" s="107" t="s">
        <v>243</v>
      </c>
      <c r="C31" s="91">
        <f>F10</f>
        <v>5915</v>
      </c>
      <c r="D31" s="122">
        <f>C31/$C$33</f>
        <v>0.72835857652998404</v>
      </c>
      <c r="E31" s="122">
        <f>E33-E30</f>
        <v>0.72047486243855596</v>
      </c>
      <c r="G31" s="113" t="s">
        <v>231</v>
      </c>
      <c r="H31" s="113"/>
      <c r="I31" s="113"/>
      <c r="J31" s="113"/>
      <c r="K31" s="123">
        <f>G18</f>
        <v>0.3</v>
      </c>
    </row>
    <row r="32" spans="2:11" ht="15" thickBot="1" x14ac:dyDescent="0.35">
      <c r="B32" s="113" t="s">
        <v>244</v>
      </c>
      <c r="C32" s="113"/>
      <c r="D32" s="123">
        <f>D30/D31</f>
        <v>0.37295012679628065</v>
      </c>
      <c r="E32" s="123">
        <f>E30/E31</f>
        <v>0.38797347712500191</v>
      </c>
      <c r="G32" s="239" t="s">
        <v>245</v>
      </c>
      <c r="H32" s="239"/>
      <c r="I32" s="239"/>
      <c r="J32" s="111"/>
      <c r="K32" s="124">
        <f>K29*(1+(1-K31)*K30)</f>
        <v>0.65165410808467505</v>
      </c>
    </row>
    <row r="33" spans="2:11" x14ac:dyDescent="0.3">
      <c r="B33" s="111" t="s">
        <v>246</v>
      </c>
      <c r="C33" s="111">
        <f>SUM(C30:C31)</f>
        <v>8121</v>
      </c>
      <c r="D33" s="125">
        <f>SUM(D30:D31)</f>
        <v>1</v>
      </c>
      <c r="E33" s="125">
        <f>D33</f>
        <v>1</v>
      </c>
    </row>
    <row r="34" spans="2:11" x14ac:dyDescent="0.3">
      <c r="B34" s="126" t="s">
        <v>247</v>
      </c>
      <c r="C34" s="2"/>
      <c r="D34" s="2"/>
      <c r="E34" s="5"/>
    </row>
    <row r="35" spans="2:11" x14ac:dyDescent="0.3">
      <c r="B35" s="127" t="s">
        <v>248</v>
      </c>
      <c r="D35" t="s">
        <v>172</v>
      </c>
      <c r="E35" s="128"/>
      <c r="G35" s="84" t="s">
        <v>209</v>
      </c>
      <c r="H35" s="85"/>
      <c r="I35" s="85"/>
      <c r="J35" s="85"/>
      <c r="K35" s="85"/>
    </row>
    <row r="36" spans="2:11" x14ac:dyDescent="0.3">
      <c r="B36" s="127" t="s">
        <v>249</v>
      </c>
      <c r="E36" s="128"/>
      <c r="G36" s="107"/>
      <c r="H36" s="107"/>
      <c r="I36" s="107"/>
      <c r="J36" s="30" t="s">
        <v>250</v>
      </c>
      <c r="K36" s="38" t="s">
        <v>251</v>
      </c>
    </row>
    <row r="37" spans="2:11" x14ac:dyDescent="0.3">
      <c r="B37" s="127" t="s">
        <v>252</v>
      </c>
      <c r="E37" s="128"/>
      <c r="G37" s="107" t="s">
        <v>253</v>
      </c>
      <c r="H37" s="107"/>
      <c r="I37" s="107"/>
      <c r="J37" s="129">
        <f>E24</f>
        <v>5.5999999999999994E-2</v>
      </c>
      <c r="K37" s="122">
        <f>E30</f>
        <v>0.27952513756144398</v>
      </c>
    </row>
    <row r="38" spans="2:11" ht="15" thickBot="1" x14ac:dyDescent="0.35">
      <c r="B38" s="127" t="s">
        <v>254</v>
      </c>
      <c r="E38" s="128"/>
      <c r="G38" s="130" t="s">
        <v>220</v>
      </c>
      <c r="H38" s="130"/>
      <c r="I38" s="130"/>
      <c r="J38" s="131">
        <f>K25</f>
        <v>0.13523198468569114</v>
      </c>
      <c r="K38" s="131">
        <f>E31</f>
        <v>0.72047486243855596</v>
      </c>
    </row>
    <row r="39" spans="2:11" x14ac:dyDescent="0.3">
      <c r="B39" s="132" t="s">
        <v>255</v>
      </c>
      <c r="C39" s="85"/>
      <c r="D39" s="85"/>
      <c r="E39" s="133"/>
      <c r="G39" s="86" t="s">
        <v>256</v>
      </c>
      <c r="H39" s="86"/>
      <c r="I39" s="86"/>
      <c r="J39" s="86"/>
      <c r="K39" s="134">
        <f>SUMPRODUCT(J37:J38,K37:K38)</f>
        <v>0.11308465326715708</v>
      </c>
    </row>
    <row r="40" spans="2:11" ht="5.4" customHeight="1" x14ac:dyDescent="0.3">
      <c r="B40" s="104"/>
      <c r="C40" s="104"/>
      <c r="D40" s="104"/>
      <c r="E40" s="104"/>
      <c r="F40" s="104"/>
      <c r="G40" s="104"/>
      <c r="H40" s="104"/>
      <c r="I40" s="104"/>
      <c r="J40" s="104"/>
      <c r="K40" s="104"/>
    </row>
  </sheetData>
  <mergeCells count="2">
    <mergeCell ref="B2:K2"/>
    <mergeCell ref="G32:I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A885-19CB-42AA-9B7C-958EFC9D345B}">
  <sheetPr>
    <tabColor rgb="FF4DA42E"/>
  </sheetPr>
  <dimension ref="B2:M45"/>
  <sheetViews>
    <sheetView showGridLines="0" workbookViewId="0">
      <selection activeCell="B37" sqref="B37:H37"/>
    </sheetView>
  </sheetViews>
  <sheetFormatPr defaultRowHeight="14.4" outlineLevelRow="1" x14ac:dyDescent="0.3"/>
  <cols>
    <col min="1" max="1" width="1.88671875" customWidth="1"/>
    <col min="2" max="2" width="19.5546875" bestFit="1" customWidth="1"/>
    <col min="3" max="6" width="9.44140625" bestFit="1" customWidth="1"/>
    <col min="7" max="7" width="12.109375" bestFit="1" customWidth="1"/>
    <col min="8" max="8" width="10.77734375" bestFit="1" customWidth="1"/>
  </cols>
  <sheetData>
    <row r="2" spans="2:13" x14ac:dyDescent="0.3">
      <c r="B2" s="242" t="s">
        <v>262</v>
      </c>
      <c r="C2" s="242"/>
      <c r="D2" s="242"/>
      <c r="E2" s="242"/>
      <c r="F2" s="242"/>
      <c r="G2" s="242"/>
      <c r="H2" s="243">
        <f>'Historical IFS Trent Ltd'!L3</f>
        <v>46110</v>
      </c>
      <c r="I2" s="244">
        <f>H2+366</f>
        <v>46476</v>
      </c>
      <c r="J2" s="244">
        <f t="shared" ref="J2:K2" si="0">I2+366</f>
        <v>46842</v>
      </c>
      <c r="K2" s="244">
        <f t="shared" si="0"/>
        <v>47208</v>
      </c>
      <c r="L2" s="244">
        <f>K2+365</f>
        <v>47573</v>
      </c>
      <c r="M2" s="244">
        <f>L2+365</f>
        <v>47938</v>
      </c>
    </row>
    <row r="4" spans="2:13" x14ac:dyDescent="0.3">
      <c r="B4" t="s">
        <v>206</v>
      </c>
      <c r="H4" s="184">
        <f>'Historical IFS Trent Ltd'!L27+'Historical IFS Trent Ltd'!L21</f>
        <v>2312.2000000000003</v>
      </c>
      <c r="I4" s="183">
        <f>H4*(1+$D$13)</f>
        <v>2532.3214400000002</v>
      </c>
      <c r="J4" s="183">
        <f>I4*(1+$D$13)</f>
        <v>2773.3984410880003</v>
      </c>
      <c r="K4" s="183">
        <f>J4*(1+$D$13)</f>
        <v>3037.4259726795776</v>
      </c>
      <c r="L4" s="183">
        <f>K4*(1+$D$13)</f>
        <v>3326.5889252786733</v>
      </c>
      <c r="M4" s="183">
        <f>L4*(1+$D$13)</f>
        <v>3643.280190965203</v>
      </c>
    </row>
    <row r="5" spans="2:13" x14ac:dyDescent="0.3">
      <c r="B5" t="s">
        <v>231</v>
      </c>
      <c r="H5" s="137">
        <v>0.3</v>
      </c>
      <c r="I5" s="3">
        <f>H5</f>
        <v>0.3</v>
      </c>
      <c r="J5" s="3">
        <f t="shared" ref="J5:M5" si="1">I5</f>
        <v>0.3</v>
      </c>
      <c r="K5" s="3">
        <f t="shared" si="1"/>
        <v>0.3</v>
      </c>
      <c r="L5" s="3">
        <f t="shared" si="1"/>
        <v>0.3</v>
      </c>
      <c r="M5" s="3">
        <f t="shared" si="1"/>
        <v>0.3</v>
      </c>
    </row>
    <row r="6" spans="2:13" x14ac:dyDescent="0.3">
      <c r="B6" t="s">
        <v>207</v>
      </c>
      <c r="H6" s="183">
        <f t="shared" ref="H6:M6" si="2">H4-(H4*H5)</f>
        <v>1618.5400000000002</v>
      </c>
      <c r="I6" s="183">
        <f t="shared" si="2"/>
        <v>1772.625008</v>
      </c>
      <c r="J6" s="183">
        <f t="shared" si="2"/>
        <v>1941.3789087616001</v>
      </c>
      <c r="K6" s="183">
        <f t="shared" si="2"/>
        <v>2126.1981808757046</v>
      </c>
      <c r="L6" s="183">
        <f t="shared" si="2"/>
        <v>2328.6122476950713</v>
      </c>
      <c r="M6" s="183">
        <f t="shared" si="2"/>
        <v>2550.2961336756421</v>
      </c>
    </row>
    <row r="7" spans="2:13" x14ac:dyDescent="0.3">
      <c r="B7" t="s">
        <v>263</v>
      </c>
      <c r="H7" s="109">
        <f>'Historical IFS Trent Ltd'!L44</f>
        <v>0.86903665500092098</v>
      </c>
      <c r="I7" s="3">
        <f>H7+(($M$7-$H$7)/4)</f>
        <v>0.83927749125069073</v>
      </c>
      <c r="J7" s="3">
        <f t="shared" ref="J7:L7" si="3">I7+(($M$7-$H$7)/4)</f>
        <v>0.80951832750046049</v>
      </c>
      <c r="K7" s="3">
        <f t="shared" si="3"/>
        <v>0.77975916375023024</v>
      </c>
      <c r="L7" s="3">
        <f t="shared" si="3"/>
        <v>0.75</v>
      </c>
      <c r="M7" s="138">
        <v>0.75</v>
      </c>
    </row>
    <row r="8" spans="2:13" x14ac:dyDescent="0.3">
      <c r="B8" t="s">
        <v>264</v>
      </c>
      <c r="H8" s="183">
        <f>H6*(1-H7)</f>
        <v>211.9694124148094</v>
      </c>
      <c r="I8" s="183">
        <f t="shared" ref="I8:M8" si="4">I6*(1-I7)</f>
        <v>284.9007383575244</v>
      </c>
      <c r="J8" s="183">
        <f t="shared" si="4"/>
        <v>369.79710149624049</v>
      </c>
      <c r="K8" s="183">
        <f t="shared" si="4"/>
        <v>468.27566538880438</v>
      </c>
      <c r="L8" s="183">
        <f t="shared" si="4"/>
        <v>582.15306192376784</v>
      </c>
      <c r="M8" s="183">
        <f t="shared" si="4"/>
        <v>637.57403341891052</v>
      </c>
    </row>
    <row r="9" spans="2:13" x14ac:dyDescent="0.3">
      <c r="B9" t="s">
        <v>265</v>
      </c>
      <c r="H9" s="136">
        <v>0.5</v>
      </c>
      <c r="I9">
        <f>H9+1</f>
        <v>1.5</v>
      </c>
      <c r="J9">
        <f t="shared" ref="J9:M9" si="5">I9+1</f>
        <v>2.5</v>
      </c>
      <c r="K9">
        <f t="shared" si="5"/>
        <v>3.5</v>
      </c>
      <c r="L9">
        <f t="shared" si="5"/>
        <v>4.5</v>
      </c>
      <c r="M9">
        <f t="shared" si="5"/>
        <v>5.5</v>
      </c>
    </row>
    <row r="10" spans="2:13" x14ac:dyDescent="0.3">
      <c r="B10" t="s">
        <v>266</v>
      </c>
      <c r="I10">
        <f>1/(1+$D$15)^I9</f>
        <v>0.85154520462422789</v>
      </c>
      <c r="J10">
        <f t="shared" ref="J10:M10" si="6">1/(1+$D$15)^J9</f>
        <v>0.76503184382674638</v>
      </c>
      <c r="K10">
        <f t="shared" si="6"/>
        <v>0.68730787149135841</v>
      </c>
      <c r="L10">
        <f t="shared" si="6"/>
        <v>0.61748032323862645</v>
      </c>
      <c r="M10">
        <f t="shared" si="6"/>
        <v>0.554746956061411</v>
      </c>
    </row>
    <row r="11" spans="2:13" ht="15" thickBot="1" x14ac:dyDescent="0.35">
      <c r="B11" s="139" t="s">
        <v>267</v>
      </c>
      <c r="C11" s="139"/>
      <c r="D11" s="139"/>
      <c r="E11" s="139"/>
      <c r="F11" s="139"/>
      <c r="G11" s="139"/>
      <c r="H11" s="139"/>
      <c r="I11" s="210">
        <f>I10*I8</f>
        <v>242.60585754225173</v>
      </c>
      <c r="J11" s="210">
        <f t="shared" ref="J11:M11" si="7">J10*J8</f>
        <v>282.90655839945532</v>
      </c>
      <c r="K11" s="210">
        <f t="shared" si="7"/>
        <v>321.84955084957869</v>
      </c>
      <c r="L11" s="210">
        <f t="shared" si="7"/>
        <v>359.4680608510443</v>
      </c>
      <c r="M11" s="210">
        <f t="shared" si="7"/>
        <v>353.69225430293693</v>
      </c>
    </row>
    <row r="12" spans="2:13" ht="15" thickTop="1" x14ac:dyDescent="0.3"/>
    <row r="13" spans="2:13" outlineLevel="1" x14ac:dyDescent="0.3">
      <c r="B13" s="8" t="s">
        <v>268</v>
      </c>
      <c r="C13" s="8"/>
      <c r="D13" s="140">
        <v>9.5200000000000007E-2</v>
      </c>
    </row>
    <row r="14" spans="2:13" outlineLevel="1" x14ac:dyDescent="0.3">
      <c r="B14" s="8" t="s">
        <v>269</v>
      </c>
      <c r="C14" s="8"/>
      <c r="D14" s="141">
        <v>6.5000000000000002E-2</v>
      </c>
    </row>
    <row r="15" spans="2:13" outlineLevel="1" x14ac:dyDescent="0.3">
      <c r="B15" s="8" t="s">
        <v>256</v>
      </c>
      <c r="C15" s="8"/>
      <c r="D15" s="140">
        <f>'WACC Calculation Trent Ltd  '!K39</f>
        <v>0.11308465326715708</v>
      </c>
    </row>
    <row r="17" spans="2:13" x14ac:dyDescent="0.3">
      <c r="B17" s="242" t="s">
        <v>270</v>
      </c>
      <c r="C17" s="242"/>
      <c r="D17" s="242"/>
      <c r="E17" s="242"/>
      <c r="F17" s="242"/>
      <c r="G17" s="242"/>
      <c r="H17" s="242"/>
      <c r="I17" s="142"/>
      <c r="J17" s="142"/>
      <c r="K17" s="142"/>
      <c r="L17" s="142"/>
      <c r="M17" s="142"/>
    </row>
    <row r="18" spans="2:13" x14ac:dyDescent="0.3">
      <c r="B18" t="s">
        <v>271</v>
      </c>
      <c r="H18" s="183">
        <f>M8*(1+D13)</f>
        <v>698.27108140039081</v>
      </c>
    </row>
    <row r="19" spans="2:13" x14ac:dyDescent="0.3">
      <c r="B19" t="s">
        <v>256</v>
      </c>
      <c r="H19" s="3">
        <f>D15</f>
        <v>0.11308465326715708</v>
      </c>
    </row>
    <row r="20" spans="2:13" x14ac:dyDescent="0.3">
      <c r="B20" t="s">
        <v>272</v>
      </c>
      <c r="H20" s="3">
        <f>D14</f>
        <v>6.5000000000000002E-2</v>
      </c>
    </row>
    <row r="21" spans="2:13" ht="15" thickBot="1" x14ac:dyDescent="0.35">
      <c r="B21" s="143" t="s">
        <v>273</v>
      </c>
      <c r="C21" s="143"/>
      <c r="D21" s="143"/>
      <c r="E21" s="143"/>
      <c r="F21" s="143"/>
      <c r="G21" s="143"/>
      <c r="H21" s="143">
        <f>H18/(H19-H20)</f>
        <v>14521.703578079578</v>
      </c>
    </row>
    <row r="22" spans="2:13" ht="15" thickTop="1" x14ac:dyDescent="0.3"/>
    <row r="23" spans="2:13" x14ac:dyDescent="0.3">
      <c r="B23" s="242" t="s">
        <v>274</v>
      </c>
      <c r="C23" s="242"/>
      <c r="D23" s="242"/>
      <c r="E23" s="242"/>
      <c r="F23" s="242"/>
      <c r="G23" s="242"/>
      <c r="H23" s="242"/>
    </row>
    <row r="24" spans="2:13" x14ac:dyDescent="0.3">
      <c r="B24" t="s">
        <v>267</v>
      </c>
      <c r="H24" s="183">
        <f>SUM(I11:M11)</f>
        <v>1560.522281945267</v>
      </c>
    </row>
    <row r="25" spans="2:13" x14ac:dyDescent="0.3">
      <c r="B25" t="s">
        <v>275</v>
      </c>
      <c r="H25" s="183">
        <f>H21*M10</f>
        <v>8055.8708567657468</v>
      </c>
    </row>
    <row r="26" spans="2:13" x14ac:dyDescent="0.3">
      <c r="B26" s="4" t="s">
        <v>276</v>
      </c>
      <c r="C26" s="4"/>
      <c r="D26" s="4"/>
      <c r="E26" s="4"/>
      <c r="F26" s="4"/>
      <c r="H26" s="183">
        <f>SUM(H24:H25)</f>
        <v>9616.3931387110133</v>
      </c>
    </row>
    <row r="27" spans="2:13" x14ac:dyDescent="0.3">
      <c r="H27" s="55"/>
    </row>
    <row r="28" spans="2:13" x14ac:dyDescent="0.3">
      <c r="B28" t="s">
        <v>277</v>
      </c>
      <c r="H28" s="183">
        <f>'Historical IFS Trent Ltd'!L61</f>
        <v>283</v>
      </c>
    </row>
    <row r="29" spans="2:13" x14ac:dyDescent="0.3">
      <c r="B29" t="s">
        <v>278</v>
      </c>
      <c r="H29" s="183">
        <f>'Historical IFS Trent Ltd'!L49</f>
        <v>2561.25</v>
      </c>
    </row>
    <row r="30" spans="2:13" x14ac:dyDescent="0.3">
      <c r="B30" t="s">
        <v>279</v>
      </c>
      <c r="H30" s="183">
        <f>(H26+H28)-H29</f>
        <v>7338.1431387110133</v>
      </c>
    </row>
    <row r="31" spans="2:13" x14ac:dyDescent="0.3">
      <c r="B31" t="s">
        <v>280</v>
      </c>
      <c r="H31" s="144">
        <f>'Raw Data Trent Ltd'!K93</f>
        <v>35.549999999999997</v>
      </c>
    </row>
    <row r="32" spans="2:13" ht="15" thickBot="1" x14ac:dyDescent="0.35">
      <c r="B32" s="143" t="s">
        <v>281</v>
      </c>
      <c r="C32" s="143"/>
      <c r="D32" s="143"/>
      <c r="E32" s="143"/>
      <c r="F32" s="143"/>
      <c r="G32" s="143"/>
      <c r="H32" s="145">
        <f>H30/H31</f>
        <v>206.41752851507775</v>
      </c>
    </row>
    <row r="33" spans="2:8" ht="15" thickTop="1" x14ac:dyDescent="0.3"/>
    <row r="34" spans="2:8" x14ac:dyDescent="0.3">
      <c r="B34" t="s">
        <v>282</v>
      </c>
      <c r="H34" s="185">
        <v>4101.3</v>
      </c>
    </row>
    <row r="35" spans="2:8" x14ac:dyDescent="0.3">
      <c r="B35" t="s">
        <v>283</v>
      </c>
      <c r="H35" s="146">
        <f>H34/H32</f>
        <v>19.86895216459498</v>
      </c>
    </row>
    <row r="36" spans="2:8" x14ac:dyDescent="0.3">
      <c r="G36" s="146"/>
    </row>
    <row r="37" spans="2:8" x14ac:dyDescent="0.3">
      <c r="B37" s="245" t="s">
        <v>316</v>
      </c>
      <c r="C37" s="245"/>
      <c r="D37" s="245"/>
      <c r="E37" s="245"/>
      <c r="F37" s="245"/>
      <c r="G37" s="245"/>
      <c r="H37" s="242"/>
    </row>
    <row r="38" spans="2:8" x14ac:dyDescent="0.3">
      <c r="B38" s="148">
        <f>H21</f>
        <v>14521.703578079578</v>
      </c>
      <c r="C38" s="149">
        <v>0.1</v>
      </c>
      <c r="D38" s="149">
        <v>0.11</v>
      </c>
      <c r="E38" s="149">
        <v>0.11310000000000001</v>
      </c>
      <c r="F38" s="149">
        <v>0.12</v>
      </c>
      <c r="G38" s="149">
        <v>0.13</v>
      </c>
      <c r="H38" s="152" t="s">
        <v>256</v>
      </c>
    </row>
    <row r="39" spans="2:8" x14ac:dyDescent="0.3">
      <c r="B39" s="147">
        <v>0.03</v>
      </c>
      <c r="C39" s="208">
        <f t="dataTable" ref="C39:G44" dt2D="1" dtr="1" r1="H19" r2="H20"/>
        <v>9975.3011628627246</v>
      </c>
      <c r="D39" s="208">
        <v>8728.3885175048854</v>
      </c>
      <c r="E39" s="208">
        <v>8402.7807629409235</v>
      </c>
      <c r="F39" s="208">
        <v>7758.5675711154536</v>
      </c>
      <c r="G39" s="208">
        <v>6982.7108140039081</v>
      </c>
      <c r="H39" s="150"/>
    </row>
    <row r="40" spans="2:8" x14ac:dyDescent="0.3">
      <c r="B40" s="147">
        <v>0.04</v>
      </c>
      <c r="C40" s="208">
        <v>11637.85135667318</v>
      </c>
      <c r="D40" s="208">
        <v>9975.3011628627246</v>
      </c>
      <c r="E40" s="208">
        <v>9552.2719753815436</v>
      </c>
      <c r="F40" s="208">
        <v>8728.3885175048872</v>
      </c>
      <c r="G40" s="208">
        <v>7758.5675711154536</v>
      </c>
      <c r="H40" s="150"/>
    </row>
    <row r="41" spans="2:8" x14ac:dyDescent="0.3">
      <c r="B41" s="147">
        <v>0.05</v>
      </c>
      <c r="C41" s="208">
        <v>13965.421628007816</v>
      </c>
      <c r="D41" s="208">
        <v>11637.85135667318</v>
      </c>
      <c r="E41" s="208">
        <v>11066.102716329489</v>
      </c>
      <c r="F41" s="208">
        <v>9975.3011628627264</v>
      </c>
      <c r="G41" s="208">
        <v>8728.3885175048854</v>
      </c>
      <c r="H41" s="150"/>
    </row>
    <row r="42" spans="2:8" x14ac:dyDescent="0.3">
      <c r="B42" s="147">
        <v>5.3800000000000001E-2</v>
      </c>
      <c r="C42" s="208">
        <v>15114.092671004128</v>
      </c>
      <c r="D42" s="208">
        <v>12424.752338085245</v>
      </c>
      <c r="E42" s="209">
        <v>11775.229028674381</v>
      </c>
      <c r="F42" s="208">
        <v>10547.901531727959</v>
      </c>
      <c r="G42" s="208">
        <v>9163.6624855694336</v>
      </c>
      <c r="H42" s="150"/>
    </row>
    <row r="43" spans="2:8" x14ac:dyDescent="0.3">
      <c r="B43" s="147">
        <v>0.06</v>
      </c>
      <c r="C43" s="208">
        <v>17456.777035009767</v>
      </c>
      <c r="D43" s="208">
        <v>13965.421628007816</v>
      </c>
      <c r="E43" s="208">
        <v>13150.114527314327</v>
      </c>
      <c r="F43" s="208">
        <v>11637.85135667318</v>
      </c>
      <c r="G43" s="208">
        <v>9975.3011628627246</v>
      </c>
      <c r="H43" s="150"/>
    </row>
    <row r="44" spans="2:8" x14ac:dyDescent="0.3">
      <c r="B44" s="147">
        <v>7.0000000000000007E-2</v>
      </c>
      <c r="C44" s="208">
        <v>23275.70271334636</v>
      </c>
      <c r="D44" s="208">
        <v>17456.777035009774</v>
      </c>
      <c r="E44" s="208">
        <v>16201.185183303731</v>
      </c>
      <c r="F44" s="208">
        <v>13965.42162800782</v>
      </c>
      <c r="G44" s="208">
        <v>11637.85135667318</v>
      </c>
      <c r="H44" s="150"/>
    </row>
    <row r="45" spans="2:8" x14ac:dyDescent="0.3">
      <c r="B45" s="151" t="s">
        <v>284</v>
      </c>
      <c r="C45" s="9"/>
      <c r="D45" s="9"/>
      <c r="E45" s="9"/>
      <c r="F45" s="9"/>
      <c r="G45" s="9"/>
      <c r="H45" s="9"/>
    </row>
  </sheetData>
  <mergeCells count="4">
    <mergeCell ref="B2:G2"/>
    <mergeCell ref="B37:H37"/>
    <mergeCell ref="B23:H23"/>
    <mergeCell ref="B17:H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64E27-2A7C-44B3-9D89-EA9B15C021A4}">
  <sheetPr>
    <tabColor rgb="FF4DA42E"/>
    <pageSetUpPr fitToPage="1"/>
  </sheetPr>
  <dimension ref="A2:O67"/>
  <sheetViews>
    <sheetView showGridLines="0" zoomScaleNormal="100" workbookViewId="0">
      <selection activeCell="A22" sqref="A22"/>
    </sheetView>
  </sheetViews>
  <sheetFormatPr defaultRowHeight="14.4" x14ac:dyDescent="0.3"/>
  <cols>
    <col min="1" max="1" width="1.88671875" customWidth="1"/>
    <col min="2" max="2" width="11.33203125" bestFit="1" customWidth="1"/>
    <col min="3" max="4" width="10.33203125" bestFit="1" customWidth="1"/>
    <col min="5" max="5" width="15.77734375" bestFit="1" customWidth="1"/>
    <col min="6" max="6" width="4.88671875" customWidth="1"/>
    <col min="7" max="7" width="17.44140625" bestFit="1" customWidth="1"/>
    <col min="8" max="8" width="12" bestFit="1" customWidth="1"/>
    <col min="9" max="9" width="13.44140625" bestFit="1" customWidth="1"/>
    <col min="10" max="10" width="12.6640625" bestFit="1" customWidth="1"/>
    <col min="11" max="11" width="12" bestFit="1" customWidth="1"/>
    <col min="12" max="15" width="12.6640625" bestFit="1" customWidth="1"/>
  </cols>
  <sheetData>
    <row r="2" spans="1:15" x14ac:dyDescent="0.3">
      <c r="A2" t="s">
        <v>29</v>
      </c>
      <c r="B2" s="240" t="str">
        <f>"Forecasting - "&amp;'Historical IFS Trent Ltd'!B6&amp;" ("&amp;'Raw Data Trent Ltd'!B1&amp;")."</f>
        <v>Forecasting - Sales (TRENT LTD).</v>
      </c>
      <c r="C2" s="241"/>
      <c r="D2" s="241"/>
      <c r="E2" s="241"/>
      <c r="F2" s="113"/>
      <c r="G2" s="113" t="s">
        <v>291</v>
      </c>
      <c r="H2" s="113"/>
      <c r="I2" s="113"/>
      <c r="J2" s="113"/>
      <c r="K2" s="113"/>
      <c r="L2" s="113"/>
      <c r="M2" s="113"/>
      <c r="N2" s="113"/>
      <c r="O2" s="158"/>
    </row>
    <row r="3" spans="1:15" ht="15" thickBot="1" x14ac:dyDescent="0.35">
      <c r="B3" s="159" t="s">
        <v>287</v>
      </c>
      <c r="C3" s="160" t="s">
        <v>288</v>
      </c>
      <c r="D3" s="160" t="s">
        <v>289</v>
      </c>
      <c r="E3" s="160" t="s">
        <v>290</v>
      </c>
      <c r="F3" s="161"/>
      <c r="O3" s="162"/>
    </row>
    <row r="4" spans="1:15" x14ac:dyDescent="0.3">
      <c r="B4" s="163">
        <v>1</v>
      </c>
      <c r="C4" s="181">
        <f>'Historical IFS Trent Ltd'!$C$3</f>
        <v>42825</v>
      </c>
      <c r="D4" s="164">
        <f t="array" ref="D4:D13">TRANSPOSE('Historical IFS Trent Ltd'!C6:M6)</f>
        <v>1812.44</v>
      </c>
      <c r="E4" s="78"/>
      <c r="F4" s="165"/>
      <c r="G4" s="157" t="s">
        <v>292</v>
      </c>
      <c r="H4" s="157"/>
      <c r="O4" s="162"/>
    </row>
    <row r="5" spans="1:15" x14ac:dyDescent="0.3">
      <c r="B5" s="163">
        <v>2</v>
      </c>
      <c r="C5" s="181">
        <f>C4+365</f>
        <v>43190</v>
      </c>
      <c r="D5" s="164">
        <v>2157.46</v>
      </c>
      <c r="E5" s="166">
        <f t="shared" ref="E5:E13" si="0">D5/D4-1</f>
        <v>0.19036216371300574</v>
      </c>
      <c r="G5" t="s">
        <v>293</v>
      </c>
      <c r="H5">
        <v>0.90931874265129764</v>
      </c>
      <c r="O5" s="162"/>
    </row>
    <row r="6" spans="1:15" x14ac:dyDescent="0.3">
      <c r="B6" s="163">
        <v>3</v>
      </c>
      <c r="C6" s="181">
        <f t="shared" ref="C6:C17" si="1">C5+365</f>
        <v>43555</v>
      </c>
      <c r="D6" s="164">
        <v>2630.24</v>
      </c>
      <c r="E6" s="166">
        <f t="shared" si="0"/>
        <v>0.21913731888424337</v>
      </c>
      <c r="G6" t="s">
        <v>294</v>
      </c>
      <c r="H6">
        <v>0.82686057573693683</v>
      </c>
      <c r="O6" s="162"/>
    </row>
    <row r="7" spans="1:15" x14ac:dyDescent="0.3">
      <c r="B7" s="163">
        <v>4</v>
      </c>
      <c r="C7" s="181">
        <f t="shared" si="1"/>
        <v>43920</v>
      </c>
      <c r="D7" s="164">
        <v>3485.98</v>
      </c>
      <c r="E7" s="166">
        <f t="shared" si="0"/>
        <v>0.32534673641949041</v>
      </c>
      <c r="G7" t="s">
        <v>295</v>
      </c>
      <c r="H7">
        <v>0.80521814770405398</v>
      </c>
      <c r="O7" s="162"/>
    </row>
    <row r="8" spans="1:15" x14ac:dyDescent="0.3">
      <c r="B8" s="163">
        <v>5</v>
      </c>
      <c r="C8" s="181">
        <f t="shared" si="1"/>
        <v>44285</v>
      </c>
      <c r="D8" s="164">
        <v>2592.96</v>
      </c>
      <c r="E8" s="166">
        <f t="shared" si="0"/>
        <v>-0.25617473422107984</v>
      </c>
      <c r="G8" t="s">
        <v>296</v>
      </c>
      <c r="H8">
        <v>2975.4175313882542</v>
      </c>
      <c r="O8" s="162"/>
    </row>
    <row r="9" spans="1:15" ht="15" thickBot="1" x14ac:dyDescent="0.35">
      <c r="B9" s="163">
        <v>6</v>
      </c>
      <c r="C9" s="181">
        <f t="shared" si="1"/>
        <v>44650</v>
      </c>
      <c r="D9" s="164">
        <v>4498.0200000000004</v>
      </c>
      <c r="E9" s="166">
        <f t="shared" si="0"/>
        <v>0.73470473898556099</v>
      </c>
      <c r="G9" s="155" t="s">
        <v>297</v>
      </c>
      <c r="H9" s="155">
        <v>10</v>
      </c>
      <c r="O9" s="162"/>
    </row>
    <row r="10" spans="1:15" ht="15" thickBot="1" x14ac:dyDescent="0.35">
      <c r="B10" s="163">
        <v>7</v>
      </c>
      <c r="C10" s="181">
        <f t="shared" si="1"/>
        <v>45015</v>
      </c>
      <c r="D10" s="164">
        <v>8242.02</v>
      </c>
      <c r="E10" s="166">
        <f t="shared" si="0"/>
        <v>0.83236624114610414</v>
      </c>
      <c r="G10" t="s">
        <v>298</v>
      </c>
      <c r="O10" s="162"/>
    </row>
    <row r="11" spans="1:15" x14ac:dyDescent="0.3">
      <c r="B11" s="163">
        <v>8</v>
      </c>
      <c r="C11" s="181">
        <f t="shared" si="1"/>
        <v>45380</v>
      </c>
      <c r="D11" s="164">
        <v>12375.11</v>
      </c>
      <c r="E11" s="166">
        <f t="shared" si="0"/>
        <v>0.50146566011730132</v>
      </c>
      <c r="G11" s="156"/>
      <c r="H11" s="156" t="s">
        <v>299</v>
      </c>
      <c r="I11" s="156" t="s">
        <v>300</v>
      </c>
      <c r="J11" s="156" t="s">
        <v>301</v>
      </c>
      <c r="K11" s="156" t="s">
        <v>302</v>
      </c>
      <c r="L11" s="156" t="s">
        <v>303</v>
      </c>
      <c r="O11" s="162"/>
    </row>
    <row r="12" spans="1:15" x14ac:dyDescent="0.3">
      <c r="B12" s="163">
        <v>9</v>
      </c>
      <c r="C12" s="181">
        <f t="shared" si="1"/>
        <v>45745</v>
      </c>
      <c r="D12" s="164">
        <v>17134.61</v>
      </c>
      <c r="E12" s="166">
        <f t="shared" si="0"/>
        <v>0.38460264191591031</v>
      </c>
      <c r="G12" t="s">
        <v>304</v>
      </c>
      <c r="H12">
        <v>1</v>
      </c>
      <c r="I12">
        <v>338237798.2549094</v>
      </c>
      <c r="J12">
        <v>338237798.2549094</v>
      </c>
      <c r="K12">
        <v>38.205536572912614</v>
      </c>
      <c r="L12">
        <v>2.6484272280411864E-4</v>
      </c>
      <c r="O12" s="162"/>
    </row>
    <row r="13" spans="1:15" x14ac:dyDescent="0.3">
      <c r="B13" s="163">
        <v>10</v>
      </c>
      <c r="C13" s="181">
        <f t="shared" si="1"/>
        <v>46110</v>
      </c>
      <c r="D13" s="164">
        <v>20074.21</v>
      </c>
      <c r="E13" s="166">
        <f t="shared" si="0"/>
        <v>0.17155920093891819</v>
      </c>
      <c r="G13" t="s">
        <v>305</v>
      </c>
      <c r="H13">
        <v>8</v>
      </c>
      <c r="I13">
        <v>70824875.888740584</v>
      </c>
      <c r="J13">
        <v>8853109.486092573</v>
      </c>
      <c r="O13" s="162"/>
    </row>
    <row r="14" spans="1:15" ht="15" thickBot="1" x14ac:dyDescent="0.35">
      <c r="B14" s="167">
        <v>11</v>
      </c>
      <c r="C14" s="182">
        <f t="shared" si="1"/>
        <v>46475</v>
      </c>
      <c r="D14" s="178">
        <f>$H$16+B14*$H$17</f>
        <v>18636.755333333334</v>
      </c>
      <c r="E14" s="168">
        <f t="shared" ref="E14:E17" si="2">D14/D13-1</f>
        <v>-7.1607035428376209E-2</v>
      </c>
      <c r="G14" s="155" t="s">
        <v>0</v>
      </c>
      <c r="H14" s="155">
        <v>9</v>
      </c>
      <c r="I14" s="155">
        <v>409062674.14365</v>
      </c>
      <c r="J14" s="155"/>
      <c r="K14" s="155"/>
      <c r="L14" s="155"/>
      <c r="O14" s="162"/>
    </row>
    <row r="15" spans="1:15" x14ac:dyDescent="0.3">
      <c r="B15" s="167">
        <v>12</v>
      </c>
      <c r="C15" s="182">
        <f t="shared" si="1"/>
        <v>46840</v>
      </c>
      <c r="D15" s="178">
        <f>$H$16+B15*$H$17</f>
        <v>20661.564484848488</v>
      </c>
      <c r="E15" s="168">
        <f t="shared" si="2"/>
        <v>0.10864601242543648</v>
      </c>
      <c r="G15" s="156"/>
      <c r="H15" s="156" t="s">
        <v>306</v>
      </c>
      <c r="I15" s="156" t="s">
        <v>296</v>
      </c>
      <c r="J15" s="156" t="s">
        <v>307</v>
      </c>
      <c r="K15" s="156" t="s">
        <v>308</v>
      </c>
      <c r="L15" s="156" t="s">
        <v>309</v>
      </c>
      <c r="M15" s="156" t="s">
        <v>310</v>
      </c>
      <c r="N15" s="156" t="s">
        <v>311</v>
      </c>
      <c r="O15" s="169" t="s">
        <v>312</v>
      </c>
    </row>
    <row r="16" spans="1:15" x14ac:dyDescent="0.3">
      <c r="B16" s="167">
        <v>13</v>
      </c>
      <c r="C16" s="182">
        <f t="shared" si="1"/>
        <v>47205</v>
      </c>
      <c r="D16" s="178">
        <f>$H$16+B16*$H$17</f>
        <v>22686.373636363638</v>
      </c>
      <c r="E16" s="168">
        <f t="shared" si="2"/>
        <v>9.7998830291867733E-2</v>
      </c>
      <c r="G16" t="s">
        <v>313</v>
      </c>
      <c r="H16">
        <v>-3636.1453333333375</v>
      </c>
      <c r="I16">
        <v>2032.5971301538993</v>
      </c>
      <c r="J16">
        <v>-1.7889159043819098</v>
      </c>
      <c r="K16">
        <v>0.11142382192178205</v>
      </c>
      <c r="L16">
        <v>-8323.3227206723532</v>
      </c>
      <c r="M16">
        <v>1051.0320540056773</v>
      </c>
      <c r="N16">
        <v>-8323.3227206723532</v>
      </c>
      <c r="O16" s="162">
        <v>1051.0320540056773</v>
      </c>
    </row>
    <row r="17" spans="1:15" ht="15" thickBot="1" x14ac:dyDescent="0.35">
      <c r="B17" s="167">
        <v>14</v>
      </c>
      <c r="C17" s="182">
        <f t="shared" si="1"/>
        <v>47570</v>
      </c>
      <c r="D17" s="178">
        <f>$H$16+B17*$H$17</f>
        <v>24711.182787878792</v>
      </c>
      <c r="E17" s="168">
        <f t="shared" si="2"/>
        <v>8.9252217386987631E-2</v>
      </c>
      <c r="G17" s="155" t="s">
        <v>287</v>
      </c>
      <c r="H17" s="155">
        <v>2024.8091515151521</v>
      </c>
      <c r="I17" s="155">
        <v>327.58268881801939</v>
      </c>
      <c r="J17" s="155">
        <v>6.1810627381472703</v>
      </c>
      <c r="K17" s="155">
        <v>2.648427228041182E-4</v>
      </c>
      <c r="L17" s="155">
        <v>1269.4021164794995</v>
      </c>
      <c r="M17" s="155">
        <v>2780.2161865508047</v>
      </c>
      <c r="N17" s="155">
        <v>1269.4021164794995</v>
      </c>
      <c r="O17" s="170">
        <v>2780.2161865508047</v>
      </c>
    </row>
    <row r="18" spans="1:15" ht="6" customHeight="1" x14ac:dyDescent="0.3">
      <c r="B18" s="171"/>
      <c r="C18" s="171"/>
      <c r="D18" s="171"/>
      <c r="E18" s="171"/>
      <c r="F18" s="171"/>
      <c r="G18" s="171"/>
      <c r="H18" s="171"/>
      <c r="I18" s="171"/>
      <c r="J18" s="171"/>
      <c r="K18" s="171"/>
      <c r="L18" s="171"/>
      <c r="M18" s="171"/>
      <c r="N18" s="171"/>
      <c r="O18" s="171"/>
    </row>
    <row r="19" spans="1:15" ht="13.2" customHeight="1" x14ac:dyDescent="0.3"/>
    <row r="20" spans="1:15" ht="13.2" customHeight="1" x14ac:dyDescent="0.3"/>
    <row r="21" spans="1:15" x14ac:dyDescent="0.3">
      <c r="A21" t="s">
        <v>29</v>
      </c>
      <c r="B21" s="240" t="str">
        <f>"Forecasting - "&amp;'Historical IFS Trent Ltd'!B18&amp;" ("&amp;'Raw Data Trent Ltd'!B1&amp;")."</f>
        <v>Forecasting - EBITDA  (TRENT LTD).</v>
      </c>
      <c r="C21" s="241"/>
      <c r="D21" s="241"/>
      <c r="E21" s="241"/>
      <c r="F21" s="113"/>
      <c r="G21" s="113" t="s">
        <v>291</v>
      </c>
      <c r="H21" s="113"/>
      <c r="I21" s="113"/>
      <c r="J21" s="113"/>
      <c r="K21" s="113"/>
      <c r="L21" s="113"/>
      <c r="M21" s="113"/>
      <c r="N21" s="113"/>
      <c r="O21" s="158"/>
    </row>
    <row r="22" spans="1:15" ht="15" thickBot="1" x14ac:dyDescent="0.35">
      <c r="B22" s="159" t="s">
        <v>287</v>
      </c>
      <c r="C22" s="173" t="s">
        <v>288</v>
      </c>
      <c r="D22" s="160" t="s">
        <v>30</v>
      </c>
      <c r="E22" s="172" t="s">
        <v>315</v>
      </c>
      <c r="O22" s="162"/>
    </row>
    <row r="23" spans="1:15" x14ac:dyDescent="0.3">
      <c r="B23" s="163">
        <v>1</v>
      </c>
      <c r="C23" s="181">
        <f>'Historical IFS Trent Ltd'!$C$3</f>
        <v>42825</v>
      </c>
      <c r="D23" s="186">
        <f t="array" ref="D23:D32">TRANSPOSE('Historical IFS Trent Ltd'!C18:M18)</f>
        <v>133.52999999999986</v>
      </c>
      <c r="E23" s="78"/>
      <c r="G23" s="157" t="s">
        <v>292</v>
      </c>
      <c r="H23" s="157"/>
      <c r="O23" s="162"/>
    </row>
    <row r="24" spans="1:15" x14ac:dyDescent="0.3">
      <c r="B24" s="163">
        <v>2</v>
      </c>
      <c r="C24" s="181">
        <f>C23+365</f>
        <v>43190</v>
      </c>
      <c r="D24" s="186">
        <v>208.50000000000011</v>
      </c>
      <c r="E24" s="166">
        <f t="shared" ref="E24:E32" si="3">D24/D23-1</f>
        <v>0.56144686587283998</v>
      </c>
      <c r="G24" t="s">
        <v>293</v>
      </c>
      <c r="H24">
        <v>0.88698639567720017</v>
      </c>
      <c r="O24" s="162"/>
    </row>
    <row r="25" spans="1:15" x14ac:dyDescent="0.3">
      <c r="B25" s="163">
        <v>3</v>
      </c>
      <c r="C25" s="181">
        <f t="shared" ref="C25:C36" si="4">C24+365</f>
        <v>43555</v>
      </c>
      <c r="D25" s="186">
        <v>240.63999999999987</v>
      </c>
      <c r="E25" s="166">
        <f t="shared" si="3"/>
        <v>0.15414868105515467</v>
      </c>
      <c r="G25" t="s">
        <v>294</v>
      </c>
      <c r="H25">
        <v>0.78674486611643069</v>
      </c>
      <c r="O25" s="162"/>
    </row>
    <row r="26" spans="1:15" x14ac:dyDescent="0.3">
      <c r="B26" s="163">
        <v>4</v>
      </c>
      <c r="C26" s="181">
        <f t="shared" si="4"/>
        <v>43920</v>
      </c>
      <c r="D26" s="186">
        <v>528.96999999999969</v>
      </c>
      <c r="E26" s="166">
        <f t="shared" si="3"/>
        <v>1.1981798537234041</v>
      </c>
      <c r="G26" t="s">
        <v>295</v>
      </c>
      <c r="H26">
        <v>0.76008797438098452</v>
      </c>
      <c r="O26" s="162"/>
    </row>
    <row r="27" spans="1:15" x14ac:dyDescent="0.3">
      <c r="B27" s="163">
        <v>5</v>
      </c>
      <c r="C27" s="181">
        <f t="shared" si="4"/>
        <v>44285</v>
      </c>
      <c r="D27" s="186">
        <v>113.86999999999966</v>
      </c>
      <c r="E27" s="166">
        <f t="shared" si="3"/>
        <v>-0.78473259353082458</v>
      </c>
      <c r="G27" t="s">
        <v>296</v>
      </c>
      <c r="H27">
        <v>618.36212845293846</v>
      </c>
      <c r="O27" s="162"/>
    </row>
    <row r="28" spans="1:15" ht="15" thickBot="1" x14ac:dyDescent="0.35">
      <c r="B28" s="163">
        <v>6</v>
      </c>
      <c r="C28" s="181">
        <f t="shared" si="4"/>
        <v>44650</v>
      </c>
      <c r="D28" s="186">
        <v>594.72000000000071</v>
      </c>
      <c r="E28" s="166">
        <f t="shared" si="3"/>
        <v>4.222797927461162</v>
      </c>
      <c r="G28" s="155" t="s">
        <v>297</v>
      </c>
      <c r="H28" s="155">
        <v>10</v>
      </c>
      <c r="O28" s="162"/>
    </row>
    <row r="29" spans="1:15" ht="15" thickBot="1" x14ac:dyDescent="0.35">
      <c r="B29" s="163">
        <v>7</v>
      </c>
      <c r="C29" s="181">
        <f t="shared" si="4"/>
        <v>45015</v>
      </c>
      <c r="D29" s="186">
        <v>1114.1500000000015</v>
      </c>
      <c r="E29" s="166">
        <f t="shared" si="3"/>
        <v>0.87340260963142335</v>
      </c>
      <c r="G29" t="s">
        <v>298</v>
      </c>
      <c r="O29" s="162"/>
    </row>
    <row r="30" spans="1:15" x14ac:dyDescent="0.3">
      <c r="B30" s="163">
        <v>8</v>
      </c>
      <c r="C30" s="181">
        <f t="shared" si="4"/>
        <v>45380</v>
      </c>
      <c r="D30" s="186">
        <v>1970.6899999999996</v>
      </c>
      <c r="E30" s="166">
        <f t="shared" si="3"/>
        <v>0.76878337746263692</v>
      </c>
      <c r="G30" s="156"/>
      <c r="H30" s="156" t="s">
        <v>299</v>
      </c>
      <c r="I30" s="156" t="s">
        <v>300</v>
      </c>
      <c r="J30" s="156" t="s">
        <v>301</v>
      </c>
      <c r="K30" s="156" t="s">
        <v>302</v>
      </c>
      <c r="L30" s="156" t="s">
        <v>303</v>
      </c>
      <c r="O30" s="162"/>
    </row>
    <row r="31" spans="1:15" x14ac:dyDescent="0.3">
      <c r="B31" s="163">
        <v>9</v>
      </c>
      <c r="C31" s="181">
        <f t="shared" si="4"/>
        <v>45745</v>
      </c>
      <c r="D31" s="186">
        <v>2819.9600000000005</v>
      </c>
      <c r="E31" s="166">
        <f t="shared" si="3"/>
        <v>0.43095058076105386</v>
      </c>
      <c r="G31" t="s">
        <v>304</v>
      </c>
      <c r="H31">
        <v>1</v>
      </c>
      <c r="I31">
        <v>11285223.804121215</v>
      </c>
      <c r="J31">
        <v>11285223.804121215</v>
      </c>
      <c r="K31">
        <v>29.513751037608102</v>
      </c>
      <c r="L31">
        <v>6.2137367705066102E-4</v>
      </c>
      <c r="O31" s="162"/>
    </row>
    <row r="32" spans="1:15" x14ac:dyDescent="0.3">
      <c r="B32" s="163">
        <v>10</v>
      </c>
      <c r="C32" s="181">
        <f t="shared" si="4"/>
        <v>46110</v>
      </c>
      <c r="D32" s="186">
        <v>3673.3900000000003</v>
      </c>
      <c r="E32" s="166">
        <f t="shared" si="3"/>
        <v>0.30263904452545409</v>
      </c>
      <c r="G32" t="s">
        <v>305</v>
      </c>
      <c r="H32">
        <v>8</v>
      </c>
      <c r="I32">
        <v>3058973.7752387868</v>
      </c>
      <c r="J32">
        <v>382371.72190484835</v>
      </c>
      <c r="O32" s="162"/>
    </row>
    <row r="33" spans="1:15" ht="15" thickBot="1" x14ac:dyDescent="0.35">
      <c r="B33" s="167">
        <v>11</v>
      </c>
      <c r="C33" s="182">
        <f t="shared" si="4"/>
        <v>46475</v>
      </c>
      <c r="D33" s="187">
        <f>$H$35+B33*$H$36</f>
        <v>3174.028666666668</v>
      </c>
      <c r="E33" s="168">
        <f t="shared" ref="E33:E36" si="5">D33/D32-1</f>
        <v>-0.13594018967039501</v>
      </c>
      <c r="G33" s="155" t="s">
        <v>0</v>
      </c>
      <c r="H33" s="155">
        <v>9</v>
      </c>
      <c r="I33" s="155">
        <v>14344197.579360001</v>
      </c>
      <c r="J33" s="155"/>
      <c r="K33" s="155"/>
      <c r="L33" s="155"/>
      <c r="O33" s="162"/>
    </row>
    <row r="34" spans="1:15" x14ac:dyDescent="0.3">
      <c r="B34" s="167">
        <v>12</v>
      </c>
      <c r="C34" s="182">
        <f t="shared" si="4"/>
        <v>46840</v>
      </c>
      <c r="D34" s="187">
        <f t="shared" ref="D34:D36" si="6">$H$35+B34*$H$36</f>
        <v>3543.8807878787893</v>
      </c>
      <c r="E34" s="168">
        <f t="shared" si="5"/>
        <v>0.11652450562160044</v>
      </c>
      <c r="G34" s="156"/>
      <c r="H34" s="156" t="s">
        <v>306</v>
      </c>
      <c r="I34" s="156" t="s">
        <v>296</v>
      </c>
      <c r="J34" s="156" t="s">
        <v>307</v>
      </c>
      <c r="K34" s="156" t="s">
        <v>308</v>
      </c>
      <c r="L34" s="156" t="s">
        <v>309</v>
      </c>
      <c r="M34" s="156" t="s">
        <v>310</v>
      </c>
      <c r="N34" s="156" t="s">
        <v>311</v>
      </c>
      <c r="O34" s="169" t="s">
        <v>312</v>
      </c>
    </row>
    <row r="35" spans="1:15" x14ac:dyDescent="0.3">
      <c r="B35" s="167">
        <v>13</v>
      </c>
      <c r="C35" s="182">
        <f t="shared" si="4"/>
        <v>47205</v>
      </c>
      <c r="D35" s="187">
        <f t="shared" si="6"/>
        <v>3913.7329090909107</v>
      </c>
      <c r="E35" s="168">
        <f t="shared" si="5"/>
        <v>0.10436358990323114</v>
      </c>
      <c r="G35" t="s">
        <v>313</v>
      </c>
      <c r="H35">
        <v>-894.34466666666754</v>
      </c>
      <c r="I35">
        <v>422.42175238608303</v>
      </c>
      <c r="J35">
        <v>-2.1171842160468541</v>
      </c>
      <c r="K35">
        <v>6.7118704222920003E-2</v>
      </c>
      <c r="L35">
        <v>-1868.4509744691659</v>
      </c>
      <c r="M35">
        <v>79.7616411358307</v>
      </c>
      <c r="N35">
        <v>-1868.4509744691659</v>
      </c>
      <c r="O35" s="162">
        <v>79.7616411358307</v>
      </c>
    </row>
    <row r="36" spans="1:15" ht="15" thickBot="1" x14ac:dyDescent="0.35">
      <c r="B36" s="167">
        <v>14</v>
      </c>
      <c r="C36" s="182">
        <f t="shared" si="4"/>
        <v>47570</v>
      </c>
      <c r="D36" s="187">
        <f t="shared" si="6"/>
        <v>4283.585030303032</v>
      </c>
      <c r="E36" s="168">
        <f t="shared" si="5"/>
        <v>9.450111435888231E-2</v>
      </c>
      <c r="G36" s="155" t="s">
        <v>287</v>
      </c>
      <c r="H36" s="155">
        <v>369.8521212121214</v>
      </c>
      <c r="I36" s="155">
        <v>68.079429715309743</v>
      </c>
      <c r="J36" s="155">
        <v>5.4326559837346702</v>
      </c>
      <c r="K36" s="155">
        <v>6.2137367705066037E-4</v>
      </c>
      <c r="L36" s="155">
        <v>212.86067476627568</v>
      </c>
      <c r="M36" s="155">
        <v>526.84356765796713</v>
      </c>
      <c r="N36" s="155">
        <v>212.86067476627568</v>
      </c>
      <c r="O36" s="170">
        <v>526.84356765796713</v>
      </c>
    </row>
    <row r="37" spans="1:15" ht="6" customHeight="1" x14ac:dyDescent="0.3">
      <c r="B37" s="171"/>
      <c r="C37" s="171"/>
      <c r="D37" s="171"/>
      <c r="E37" s="171"/>
      <c r="F37" s="171"/>
      <c r="G37" s="171"/>
      <c r="H37" s="171"/>
      <c r="I37" s="171"/>
      <c r="J37" s="171"/>
      <c r="K37" s="171"/>
      <c r="L37" s="171"/>
      <c r="M37" s="171"/>
      <c r="N37" s="171"/>
      <c r="O37" s="171"/>
    </row>
    <row r="38" spans="1:15" ht="12.6" customHeight="1" x14ac:dyDescent="0.3"/>
    <row r="40" spans="1:15" x14ac:dyDescent="0.3">
      <c r="A40" t="s">
        <v>29</v>
      </c>
      <c r="B40" s="240" t="str">
        <f>"Forecasting - "&amp;'Historical IFS Trent Ltd'!B38&amp;" ("&amp;'Raw Data Trent Ltd'!B1&amp;")."</f>
        <v>Forecasting - EPS  (TRENT LTD).</v>
      </c>
      <c r="C40" s="241"/>
      <c r="D40" s="241"/>
      <c r="E40" s="241"/>
      <c r="F40" s="113"/>
      <c r="G40" s="113" t="s">
        <v>291</v>
      </c>
      <c r="H40" s="113"/>
      <c r="I40" s="113"/>
      <c r="J40" s="113"/>
      <c r="K40" s="113"/>
      <c r="L40" s="113"/>
      <c r="M40" s="113"/>
      <c r="N40" s="113"/>
      <c r="O40" s="158"/>
    </row>
    <row r="41" spans="1:15" ht="15" thickBot="1" x14ac:dyDescent="0.35">
      <c r="B41" s="159" t="s">
        <v>287</v>
      </c>
      <c r="C41" s="160" t="s">
        <v>288</v>
      </c>
      <c r="D41" s="160" t="s">
        <v>314</v>
      </c>
      <c r="E41" s="160" t="s">
        <v>104</v>
      </c>
      <c r="O41" s="162"/>
    </row>
    <row r="42" spans="1:15" x14ac:dyDescent="0.3">
      <c r="B42" s="163">
        <v>1</v>
      </c>
      <c r="C42" s="181">
        <f>'Historical IFS Trent Ltd'!$C$3</f>
        <v>42825</v>
      </c>
      <c r="D42" s="186">
        <f t="array" ref="D42:D51">TRANSPOSE('Historical IFS Trent Ltd'!C38:L38)</f>
        <v>0.10953957267528916</v>
      </c>
      <c r="E42" s="78"/>
      <c r="G42" s="157" t="s">
        <v>292</v>
      </c>
      <c r="H42" s="157"/>
      <c r="O42" s="162"/>
    </row>
    <row r="43" spans="1:15" x14ac:dyDescent="0.3">
      <c r="B43" s="163">
        <v>2</v>
      </c>
      <c r="C43" s="181">
        <f>C42+365</f>
        <v>43190</v>
      </c>
      <c r="D43" s="186">
        <v>1.7926572374360554</v>
      </c>
      <c r="E43" s="166">
        <f t="shared" ref="E43:E51" si="7">D43/D42-1</f>
        <v>15.365384615385285</v>
      </c>
      <c r="G43" t="s">
        <v>293</v>
      </c>
      <c r="H43">
        <v>0.72994089515274596</v>
      </c>
      <c r="O43" s="162"/>
    </row>
    <row r="44" spans="1:15" x14ac:dyDescent="0.3">
      <c r="B44" s="163">
        <v>3</v>
      </c>
      <c r="C44" s="181">
        <f t="shared" ref="C44:C55" si="8">C43+365</f>
        <v>43555</v>
      </c>
      <c r="D44" s="186">
        <v>1.9476376767980703</v>
      </c>
      <c r="E44" s="166">
        <f t="shared" si="7"/>
        <v>8.6452912539864757E-2</v>
      </c>
      <c r="G44" t="s">
        <v>294</v>
      </c>
      <c r="H44">
        <v>0.53281371041639214</v>
      </c>
      <c r="O44" s="162"/>
    </row>
    <row r="45" spans="1:15" x14ac:dyDescent="0.3">
      <c r="B45" s="163">
        <v>4</v>
      </c>
      <c r="C45" s="181">
        <f t="shared" si="8"/>
        <v>43920</v>
      </c>
      <c r="D45" s="186">
        <v>-1.1434599156118237</v>
      </c>
      <c r="E45" s="166">
        <f t="shared" si="7"/>
        <v>-1.5871009424564426</v>
      </c>
      <c r="G45" t="s">
        <v>295</v>
      </c>
      <c r="H45">
        <v>0.47441542421844118</v>
      </c>
      <c r="O45" s="162"/>
    </row>
    <row r="46" spans="1:15" x14ac:dyDescent="0.3">
      <c r="B46" s="163">
        <v>5</v>
      </c>
      <c r="C46" s="181">
        <f t="shared" si="8"/>
        <v>44285</v>
      </c>
      <c r="D46" s="186">
        <v>-10.704078762306622</v>
      </c>
      <c r="E46" s="166">
        <f t="shared" si="7"/>
        <v>8.361131611316047</v>
      </c>
      <c r="G46" t="s">
        <v>296</v>
      </c>
      <c r="H46">
        <v>13.033031305580911</v>
      </c>
      <c r="O46" s="162"/>
    </row>
    <row r="47" spans="1:15" ht="15" thickBot="1" x14ac:dyDescent="0.35">
      <c r="B47" s="163">
        <v>6</v>
      </c>
      <c r="C47" s="181">
        <f t="shared" si="8"/>
        <v>44650</v>
      </c>
      <c r="D47" s="186">
        <v>-3.3068917018283903</v>
      </c>
      <c r="E47" s="166">
        <f t="shared" si="7"/>
        <v>-0.69106246550863493</v>
      </c>
      <c r="G47" s="155" t="s">
        <v>297</v>
      </c>
      <c r="H47" s="155">
        <v>10</v>
      </c>
      <c r="O47" s="162"/>
    </row>
    <row r="48" spans="1:15" ht="15" thickBot="1" x14ac:dyDescent="0.35">
      <c r="B48" s="163">
        <v>7</v>
      </c>
      <c r="C48" s="181">
        <f t="shared" si="8"/>
        <v>45015</v>
      </c>
      <c r="D48" s="186">
        <v>1.4917018284107284</v>
      </c>
      <c r="E48" s="166">
        <f t="shared" si="7"/>
        <v>-1.4510888057162448</v>
      </c>
      <c r="G48" t="s">
        <v>298</v>
      </c>
      <c r="O48" s="162"/>
    </row>
    <row r="49" spans="2:15" x14ac:dyDescent="0.3">
      <c r="B49" s="163">
        <v>8</v>
      </c>
      <c r="C49" s="181">
        <f t="shared" si="8"/>
        <v>45380</v>
      </c>
      <c r="D49" s="186">
        <v>13.742616033755265</v>
      </c>
      <c r="E49" s="166">
        <f t="shared" si="7"/>
        <v>8.2127097869128196</v>
      </c>
      <c r="G49" s="156"/>
      <c r="H49" s="156" t="s">
        <v>299</v>
      </c>
      <c r="I49" s="156" t="s">
        <v>300</v>
      </c>
      <c r="J49" s="156" t="s">
        <v>301</v>
      </c>
      <c r="K49" s="156" t="s">
        <v>302</v>
      </c>
      <c r="L49" s="156" t="s">
        <v>303</v>
      </c>
      <c r="O49" s="162"/>
    </row>
    <row r="50" spans="2:15" x14ac:dyDescent="0.3">
      <c r="B50" s="163">
        <v>9</v>
      </c>
      <c r="C50" s="181">
        <f t="shared" si="8"/>
        <v>45745</v>
      </c>
      <c r="D50" s="186">
        <v>34.580872011251778</v>
      </c>
      <c r="E50" s="166">
        <f t="shared" si="7"/>
        <v>1.5163238153720222</v>
      </c>
      <c r="G50" t="s">
        <v>304</v>
      </c>
      <c r="H50">
        <v>1</v>
      </c>
      <c r="I50">
        <v>1549.7661341255157</v>
      </c>
      <c r="J50">
        <v>1549.7661341255157</v>
      </c>
      <c r="K50">
        <v>9.1237901847038625</v>
      </c>
      <c r="L50">
        <v>1.654534146380043E-2</v>
      </c>
      <c r="O50" s="162"/>
    </row>
    <row r="51" spans="2:15" x14ac:dyDescent="0.3">
      <c r="B51" s="163">
        <v>10</v>
      </c>
      <c r="C51" s="181">
        <f t="shared" si="8"/>
        <v>46110</v>
      </c>
      <c r="D51" s="186">
        <v>45.81434599156119</v>
      </c>
      <c r="E51" s="166">
        <f t="shared" si="7"/>
        <v>0.32484646357831326</v>
      </c>
      <c r="G51" t="s">
        <v>305</v>
      </c>
      <c r="H51">
        <v>8</v>
      </c>
      <c r="I51">
        <v>1358.8792400980165</v>
      </c>
      <c r="J51">
        <v>169.85990501225206</v>
      </c>
      <c r="O51" s="162"/>
    </row>
    <row r="52" spans="2:15" ht="15" thickBot="1" x14ac:dyDescent="0.35">
      <c r="B52" s="167">
        <v>11</v>
      </c>
      <c r="C52" s="182">
        <f t="shared" si="8"/>
        <v>46475</v>
      </c>
      <c r="D52" s="187">
        <f>$H$54+B52*$H$55</f>
        <v>32.270438172681324</v>
      </c>
      <c r="E52" s="168">
        <f t="shared" ref="E52:E55" si="9">D52/D51-1</f>
        <v>-0.29562591205328126</v>
      </c>
      <c r="G52" s="155" t="s">
        <v>0</v>
      </c>
      <c r="H52" s="155">
        <v>9</v>
      </c>
      <c r="I52" s="155">
        <v>2908.6453742235321</v>
      </c>
      <c r="J52" s="155"/>
      <c r="K52" s="155"/>
      <c r="L52" s="155"/>
      <c r="O52" s="162"/>
    </row>
    <row r="53" spans="2:15" x14ac:dyDescent="0.3">
      <c r="B53" s="167">
        <v>12</v>
      </c>
      <c r="C53" s="182">
        <f t="shared" si="8"/>
        <v>46840</v>
      </c>
      <c r="D53" s="187">
        <f t="shared" ref="D53:D55" si="10">$H$54+B53*$H$55</f>
        <v>36.604609840948079</v>
      </c>
      <c r="E53" s="168">
        <f t="shared" si="9"/>
        <v>0.13430780347866067</v>
      </c>
      <c r="G53" s="156"/>
      <c r="H53" s="156" t="s">
        <v>306</v>
      </c>
      <c r="I53" s="156" t="s">
        <v>296</v>
      </c>
      <c r="J53" s="156" t="s">
        <v>307</v>
      </c>
      <c r="K53" s="156" t="s">
        <v>308</v>
      </c>
      <c r="L53" s="156" t="s">
        <v>309</v>
      </c>
      <c r="M53" s="156" t="s">
        <v>310</v>
      </c>
      <c r="N53" s="156" t="s">
        <v>311</v>
      </c>
      <c r="O53" s="169" t="s">
        <v>312</v>
      </c>
    </row>
    <row r="54" spans="2:15" x14ac:dyDescent="0.3">
      <c r="B54" s="167">
        <v>13</v>
      </c>
      <c r="C54" s="182">
        <f t="shared" si="8"/>
        <v>47205</v>
      </c>
      <c r="D54" s="187">
        <f t="shared" si="10"/>
        <v>40.938781509214841</v>
      </c>
      <c r="E54" s="168">
        <f t="shared" si="9"/>
        <v>0.1184050775872032</v>
      </c>
      <c r="G54" t="s">
        <v>313</v>
      </c>
      <c r="H54">
        <v>-15.405450178253012</v>
      </c>
      <c r="I54">
        <v>8.9032553412998503</v>
      </c>
      <c r="J54">
        <v>-1.7303165626162824</v>
      </c>
      <c r="K54">
        <v>0.12182331332789699</v>
      </c>
      <c r="L54">
        <v>-35.936393812069056</v>
      </c>
      <c r="M54">
        <v>5.1254934555630314</v>
      </c>
      <c r="N54">
        <v>-35.936393812069056</v>
      </c>
      <c r="O54" s="162">
        <v>5.1254934555630314</v>
      </c>
    </row>
    <row r="55" spans="2:15" ht="15" thickBot="1" x14ac:dyDescent="0.35">
      <c r="B55" s="167">
        <v>14</v>
      </c>
      <c r="C55" s="182">
        <f t="shared" si="8"/>
        <v>47570</v>
      </c>
      <c r="D55" s="187">
        <f t="shared" si="10"/>
        <v>45.272953177481597</v>
      </c>
      <c r="E55" s="168">
        <f t="shared" si="9"/>
        <v>0.10586958156757009</v>
      </c>
      <c r="G55" s="155" t="s">
        <v>287</v>
      </c>
      <c r="H55" s="155">
        <v>4.3341716682667579</v>
      </c>
      <c r="I55" s="155">
        <v>1.4348895217202089</v>
      </c>
      <c r="J55" s="155">
        <v>3.0205612367081485</v>
      </c>
      <c r="K55" s="155">
        <v>1.6545341463800465E-2</v>
      </c>
      <c r="L55" s="155">
        <v>1.0253104976188268</v>
      </c>
      <c r="M55" s="155">
        <v>7.6430328389146887</v>
      </c>
      <c r="N55" s="155">
        <v>1.0253104976188268</v>
      </c>
      <c r="O55" s="170">
        <v>7.6430328389146887</v>
      </c>
    </row>
    <row r="56" spans="2:15" ht="6" customHeight="1" x14ac:dyDescent="0.3">
      <c r="B56" s="174"/>
      <c r="C56" s="175"/>
      <c r="D56" s="176"/>
      <c r="E56" s="177"/>
      <c r="F56" s="171"/>
      <c r="G56" s="171"/>
      <c r="H56" s="171"/>
      <c r="I56" s="171"/>
      <c r="J56" s="171"/>
      <c r="K56" s="171"/>
      <c r="L56" s="171"/>
      <c r="M56" s="171"/>
      <c r="N56" s="171"/>
      <c r="O56" s="171"/>
    </row>
    <row r="57" spans="2:15" x14ac:dyDescent="0.3">
      <c r="B57" s="153"/>
      <c r="C57" s="78"/>
      <c r="D57" s="154"/>
      <c r="E57" s="1"/>
    </row>
    <row r="58" spans="2:15" x14ac:dyDescent="0.3">
      <c r="C58" s="78"/>
      <c r="D58" s="154"/>
      <c r="E58" s="1"/>
    </row>
    <row r="64" spans="2:15" x14ac:dyDescent="0.3">
      <c r="C64" s="3"/>
    </row>
    <row r="67" spans="3:3" x14ac:dyDescent="0.3">
      <c r="C67" s="3"/>
    </row>
  </sheetData>
  <mergeCells count="3">
    <mergeCell ref="B2:E2"/>
    <mergeCell ref="B21:E21"/>
    <mergeCell ref="B40:E40"/>
  </mergeCells>
  <pageMargins left="0.25" right="0.25" top="0.75" bottom="0.75" header="0.3" footer="0.3"/>
  <pageSetup scale="5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F0CC-640C-48B3-92EF-C7D69E9ADCF8}">
  <sheetPr>
    <tabColor rgb="FF4DA42E"/>
  </sheetPr>
  <dimension ref="B1:AC84"/>
  <sheetViews>
    <sheetView workbookViewId="0">
      <selection activeCell="E38" sqref="E38"/>
    </sheetView>
  </sheetViews>
  <sheetFormatPr defaultRowHeight="14.4" x14ac:dyDescent="0.3"/>
  <cols>
    <col min="2" max="2" width="25.77734375" bestFit="1" customWidth="1"/>
    <col min="17" max="17" width="25.77734375" bestFit="1" customWidth="1"/>
    <col min="18" max="29" width="7.109375" bestFit="1" customWidth="1"/>
  </cols>
  <sheetData>
    <row r="1" spans="2:29" x14ac:dyDescent="0.3">
      <c r="C1" s="15"/>
      <c r="D1" s="15"/>
      <c r="E1" s="15"/>
      <c r="F1" s="15"/>
      <c r="G1" s="15"/>
      <c r="H1" s="15"/>
      <c r="I1" s="15"/>
      <c r="J1" s="15"/>
      <c r="K1" s="15"/>
      <c r="L1" s="15"/>
      <c r="M1" s="15"/>
      <c r="N1" s="15"/>
    </row>
    <row r="2" spans="2:29" x14ac:dyDescent="0.3">
      <c r="C2" s="15">
        <v>42064</v>
      </c>
      <c r="D2" s="15">
        <v>42430</v>
      </c>
      <c r="E2" s="15">
        <v>42795</v>
      </c>
      <c r="F2" s="15">
        <v>43160</v>
      </c>
      <c r="G2" s="15">
        <v>43525</v>
      </c>
      <c r="H2" s="15">
        <v>43891</v>
      </c>
      <c r="I2" s="15">
        <v>44256</v>
      </c>
      <c r="J2" s="15">
        <v>44621</v>
      </c>
      <c r="K2" s="15">
        <v>44986</v>
      </c>
      <c r="L2" s="15">
        <v>45352</v>
      </c>
      <c r="M2" s="15">
        <v>45717</v>
      </c>
      <c r="N2" s="15">
        <v>46082</v>
      </c>
      <c r="R2" s="15"/>
      <c r="S2" s="15"/>
      <c r="T2" s="15"/>
      <c r="U2" s="15"/>
      <c r="V2" s="15"/>
      <c r="W2" s="15"/>
      <c r="X2" s="15"/>
      <c r="Y2" s="15"/>
      <c r="Z2" s="15"/>
      <c r="AA2" s="15"/>
      <c r="AB2" s="15"/>
      <c r="AC2" s="15"/>
    </row>
    <row r="3" spans="2:29" x14ac:dyDescent="0.3">
      <c r="B3" s="8" t="s">
        <v>124</v>
      </c>
      <c r="C3" s="49">
        <v>-10</v>
      </c>
      <c r="D3" s="49">
        <v>109</v>
      </c>
      <c r="E3" s="49">
        <v>102</v>
      </c>
      <c r="F3" s="49">
        <v>77</v>
      </c>
      <c r="G3" s="49">
        <v>21</v>
      </c>
      <c r="H3" s="49">
        <v>361</v>
      </c>
      <c r="I3" s="49">
        <v>285</v>
      </c>
      <c r="J3" s="49">
        <v>58</v>
      </c>
      <c r="K3" s="49">
        <v>595</v>
      </c>
      <c r="L3" s="49">
        <v>1349</v>
      </c>
      <c r="M3" s="49">
        <v>1661</v>
      </c>
      <c r="N3" s="49">
        <v>2668</v>
      </c>
      <c r="O3" s="7"/>
      <c r="R3" s="7"/>
      <c r="S3" s="7"/>
      <c r="T3" s="7"/>
      <c r="U3" s="7"/>
      <c r="V3" s="7"/>
      <c r="W3" s="7"/>
      <c r="X3" s="7"/>
      <c r="Y3" s="7"/>
      <c r="Z3" s="7"/>
      <c r="AA3" s="7"/>
      <c r="AB3" s="7"/>
      <c r="AC3" s="7"/>
    </row>
    <row r="4" spans="2:29" x14ac:dyDescent="0.3">
      <c r="B4" t="s">
        <v>5</v>
      </c>
      <c r="C4" s="7">
        <v>65</v>
      </c>
      <c r="D4" s="7">
        <v>98</v>
      </c>
      <c r="E4" s="7">
        <v>165</v>
      </c>
      <c r="F4" s="7">
        <v>191</v>
      </c>
      <c r="G4" s="7">
        <v>233</v>
      </c>
      <c r="H4" s="7">
        <v>542</v>
      </c>
      <c r="I4" s="7">
        <v>180</v>
      </c>
      <c r="J4" s="7">
        <v>569</v>
      </c>
      <c r="K4" s="7">
        <v>1079</v>
      </c>
      <c r="L4" s="7">
        <v>1919</v>
      </c>
      <c r="M4" s="7">
        <v>2723</v>
      </c>
      <c r="N4" s="7">
        <v>3618</v>
      </c>
      <c r="R4" s="7"/>
      <c r="S4" s="7"/>
      <c r="T4" s="7"/>
      <c r="U4" s="7"/>
      <c r="V4" s="7"/>
      <c r="W4" s="7"/>
      <c r="X4" s="7"/>
      <c r="Y4" s="7"/>
      <c r="Z4" s="7"/>
      <c r="AA4" s="7"/>
      <c r="AB4" s="7"/>
      <c r="AC4" s="7"/>
    </row>
    <row r="5" spans="2:29" x14ac:dyDescent="0.3">
      <c r="B5" t="s">
        <v>6</v>
      </c>
      <c r="C5">
        <v>-19</v>
      </c>
      <c r="D5" s="7">
        <v>-1</v>
      </c>
      <c r="E5" s="7">
        <v>24</v>
      </c>
      <c r="F5">
        <v>-54</v>
      </c>
      <c r="G5">
        <v>-11</v>
      </c>
      <c r="H5">
        <v>-20</v>
      </c>
      <c r="I5">
        <v>-39</v>
      </c>
      <c r="J5">
        <v>-103</v>
      </c>
      <c r="K5" s="7">
        <v>-101</v>
      </c>
      <c r="L5">
        <v>-208</v>
      </c>
      <c r="M5">
        <v>-203</v>
      </c>
      <c r="N5" s="7">
        <v>-196</v>
      </c>
      <c r="S5" s="7"/>
      <c r="T5" s="7"/>
      <c r="Z5" s="7"/>
      <c r="AC5" s="7"/>
    </row>
    <row r="6" spans="2:29" x14ac:dyDescent="0.3">
      <c r="B6" t="s">
        <v>7</v>
      </c>
      <c r="C6">
        <v>-3</v>
      </c>
      <c r="D6">
        <v>-19</v>
      </c>
      <c r="E6">
        <v>-26</v>
      </c>
      <c r="F6">
        <v>-39</v>
      </c>
      <c r="G6">
        <v>-152</v>
      </c>
      <c r="H6">
        <v>-89</v>
      </c>
      <c r="I6">
        <v>179</v>
      </c>
      <c r="J6" s="7">
        <v>-439</v>
      </c>
      <c r="K6">
        <v>-494</v>
      </c>
      <c r="L6" s="7">
        <v>-222</v>
      </c>
      <c r="M6">
        <v>-462</v>
      </c>
      <c r="N6">
        <v>-243</v>
      </c>
      <c r="Y6" s="7"/>
      <c r="AA6" s="7"/>
    </row>
    <row r="7" spans="2:29" x14ac:dyDescent="0.3">
      <c r="B7" t="s">
        <v>8</v>
      </c>
      <c r="C7">
        <v>-6</v>
      </c>
      <c r="D7">
        <v>27</v>
      </c>
      <c r="E7">
        <v>-9</v>
      </c>
      <c r="F7">
        <v>43</v>
      </c>
      <c r="G7">
        <v>49</v>
      </c>
      <c r="H7">
        <v>26</v>
      </c>
      <c r="I7">
        <v>-11</v>
      </c>
      <c r="J7">
        <v>134</v>
      </c>
      <c r="K7">
        <v>332</v>
      </c>
      <c r="L7" s="7">
        <v>178</v>
      </c>
      <c r="M7">
        <v>212</v>
      </c>
      <c r="N7">
        <v>311</v>
      </c>
      <c r="AA7" s="7"/>
    </row>
    <row r="8" spans="2:29" x14ac:dyDescent="0.3">
      <c r="B8" t="s">
        <v>116</v>
      </c>
      <c r="C8">
        <v>0</v>
      </c>
      <c r="D8">
        <v>0</v>
      </c>
      <c r="E8">
        <v>0</v>
      </c>
      <c r="F8">
        <v>0</v>
      </c>
      <c r="G8">
        <v>0</v>
      </c>
      <c r="H8">
        <v>0</v>
      </c>
      <c r="I8">
        <v>0</v>
      </c>
      <c r="J8">
        <v>0</v>
      </c>
      <c r="K8">
        <v>0</v>
      </c>
      <c r="L8">
        <v>0</v>
      </c>
      <c r="M8">
        <v>0</v>
      </c>
      <c r="N8">
        <v>-288</v>
      </c>
    </row>
    <row r="9" spans="2:29" x14ac:dyDescent="0.3">
      <c r="B9" t="s">
        <v>9</v>
      </c>
      <c r="C9">
        <v>-34</v>
      </c>
      <c r="D9">
        <v>24</v>
      </c>
      <c r="E9" s="7">
        <v>-12</v>
      </c>
      <c r="F9">
        <v>-13</v>
      </c>
      <c r="G9">
        <v>-21</v>
      </c>
      <c r="H9">
        <v>-15</v>
      </c>
      <c r="I9" s="7">
        <v>-23</v>
      </c>
      <c r="J9" s="7">
        <v>-22</v>
      </c>
      <c r="K9" s="7">
        <v>-30</v>
      </c>
      <c r="L9" s="7">
        <v>-20</v>
      </c>
      <c r="M9">
        <v>-115</v>
      </c>
      <c r="N9">
        <v>17</v>
      </c>
      <c r="T9" s="7"/>
      <c r="X9" s="7"/>
      <c r="Y9" s="7"/>
      <c r="Z9" s="7"/>
      <c r="AA9" s="7"/>
    </row>
    <row r="10" spans="2:29" x14ac:dyDescent="0.3">
      <c r="B10" t="s">
        <v>10</v>
      </c>
      <c r="C10">
        <v>-61</v>
      </c>
      <c r="D10">
        <v>31</v>
      </c>
      <c r="E10">
        <v>-24</v>
      </c>
      <c r="F10">
        <v>-64</v>
      </c>
      <c r="G10">
        <v>-135</v>
      </c>
      <c r="H10" s="7">
        <v>-97</v>
      </c>
      <c r="I10">
        <v>106</v>
      </c>
      <c r="J10" s="7">
        <v>-430</v>
      </c>
      <c r="K10" s="7">
        <v>-293</v>
      </c>
      <c r="L10" s="7">
        <v>-272</v>
      </c>
      <c r="M10" s="7">
        <v>-568</v>
      </c>
      <c r="N10">
        <v>-399</v>
      </c>
      <c r="W10" s="7"/>
      <c r="Y10" s="7"/>
      <c r="Z10" s="7"/>
      <c r="AA10" s="7"/>
      <c r="AB10" s="7"/>
    </row>
    <row r="11" spans="2:29" x14ac:dyDescent="0.3">
      <c r="B11" t="s">
        <v>11</v>
      </c>
      <c r="C11" s="7">
        <v>-13</v>
      </c>
      <c r="D11" s="7">
        <v>-20</v>
      </c>
      <c r="E11" s="7">
        <v>-38</v>
      </c>
      <c r="F11" s="7">
        <v>-50</v>
      </c>
      <c r="G11" s="7">
        <v>-77</v>
      </c>
      <c r="H11">
        <v>-83</v>
      </c>
      <c r="I11" s="7">
        <v>-1</v>
      </c>
      <c r="J11">
        <v>-82</v>
      </c>
      <c r="K11" s="7">
        <v>-191</v>
      </c>
      <c r="L11" s="7">
        <v>-299</v>
      </c>
      <c r="M11">
        <v>-494</v>
      </c>
      <c r="N11" s="7">
        <v>-551</v>
      </c>
      <c r="R11" s="7"/>
      <c r="S11" s="7"/>
      <c r="T11" s="7"/>
      <c r="U11" s="7"/>
      <c r="V11" s="7"/>
      <c r="X11" s="7"/>
      <c r="Z11" s="7"/>
      <c r="AA11" s="7"/>
      <c r="AC11" s="7"/>
    </row>
    <row r="12" spans="2:29" x14ac:dyDescent="0.3">
      <c r="B12" s="8" t="s">
        <v>125</v>
      </c>
      <c r="C12" s="8">
        <v>-306</v>
      </c>
      <c r="D12" s="49">
        <v>-98</v>
      </c>
      <c r="E12" s="49">
        <v>-44</v>
      </c>
      <c r="F12" s="49">
        <v>-4</v>
      </c>
      <c r="G12" s="49">
        <v>-37</v>
      </c>
      <c r="H12" s="49">
        <v>-809</v>
      </c>
      <c r="I12" s="49">
        <v>18</v>
      </c>
      <c r="J12" s="49">
        <v>56</v>
      </c>
      <c r="K12" s="49">
        <v>-103</v>
      </c>
      <c r="L12" s="49">
        <v>-508</v>
      </c>
      <c r="M12" s="49">
        <v>-923</v>
      </c>
      <c r="N12" s="49">
        <v>-1578</v>
      </c>
      <c r="P12" s="7"/>
      <c r="S12" s="7"/>
      <c r="T12" s="7"/>
      <c r="U12" s="7"/>
      <c r="V12" s="7"/>
      <c r="W12" s="7"/>
      <c r="X12" s="7"/>
      <c r="Y12" s="7"/>
      <c r="Z12" s="7"/>
      <c r="AA12" s="7"/>
      <c r="AB12" s="7"/>
      <c r="AC12" s="7"/>
    </row>
    <row r="13" spans="2:29" x14ac:dyDescent="0.3">
      <c r="B13" t="s">
        <v>12</v>
      </c>
      <c r="C13">
        <v>-158</v>
      </c>
      <c r="D13">
        <v>-139</v>
      </c>
      <c r="E13">
        <v>-71</v>
      </c>
      <c r="F13">
        <v>-107</v>
      </c>
      <c r="G13">
        <v>-203</v>
      </c>
      <c r="H13">
        <v>-156</v>
      </c>
      <c r="I13">
        <v>-113</v>
      </c>
      <c r="J13">
        <v>-271</v>
      </c>
      <c r="K13">
        <v>-503</v>
      </c>
      <c r="L13">
        <v>-737</v>
      </c>
      <c r="M13" s="7">
        <v>-1268</v>
      </c>
      <c r="N13" s="7">
        <v>-1763</v>
      </c>
      <c r="AB13" s="7"/>
      <c r="AC13" s="7"/>
    </row>
    <row r="14" spans="2:29" x14ac:dyDescent="0.3">
      <c r="B14" t="s">
        <v>13</v>
      </c>
      <c r="C14" s="7">
        <v>2</v>
      </c>
      <c r="D14" s="7">
        <v>8</v>
      </c>
      <c r="E14" s="7">
        <v>2</v>
      </c>
      <c r="F14" s="7">
        <v>1</v>
      </c>
      <c r="G14" s="7">
        <v>7</v>
      </c>
      <c r="H14" s="7">
        <v>42</v>
      </c>
      <c r="I14" s="7">
        <v>22</v>
      </c>
      <c r="J14" s="7">
        <v>61</v>
      </c>
      <c r="K14" s="7">
        <v>280</v>
      </c>
      <c r="L14" s="7">
        <v>343</v>
      </c>
      <c r="M14" s="7">
        <v>407</v>
      </c>
      <c r="N14" s="7">
        <v>26</v>
      </c>
      <c r="R14" s="7"/>
      <c r="S14" s="7"/>
      <c r="T14" s="7"/>
      <c r="U14" s="7"/>
      <c r="V14" s="7"/>
      <c r="W14" s="7"/>
      <c r="X14" s="7"/>
      <c r="Y14" s="7"/>
      <c r="Z14" s="7"/>
      <c r="AA14" s="7"/>
      <c r="AB14" s="7"/>
      <c r="AC14" s="7"/>
    </row>
    <row r="15" spans="2:29" x14ac:dyDescent="0.3">
      <c r="B15" t="s">
        <v>14</v>
      </c>
      <c r="C15" s="7">
        <v>-2739</v>
      </c>
      <c r="D15" s="7">
        <v>-1007</v>
      </c>
      <c r="E15" s="7">
        <v>-937</v>
      </c>
      <c r="F15" s="7">
        <v>-972</v>
      </c>
      <c r="G15" s="7">
        <v>-1285</v>
      </c>
      <c r="H15" s="7">
        <v>-2895</v>
      </c>
      <c r="I15" s="7">
        <v>-591</v>
      </c>
      <c r="J15" s="7">
        <v>-1322</v>
      </c>
      <c r="K15" s="7">
        <v>-1610</v>
      </c>
      <c r="L15" s="7">
        <v>-1938</v>
      </c>
      <c r="M15" s="7">
        <v>-3885</v>
      </c>
      <c r="N15" s="7">
        <v>-4825</v>
      </c>
      <c r="R15" s="7"/>
      <c r="S15" s="7"/>
      <c r="T15" s="7"/>
      <c r="U15" s="7"/>
      <c r="V15" s="7"/>
      <c r="W15" s="7"/>
      <c r="X15" s="7"/>
      <c r="Y15" s="7"/>
      <c r="Z15" s="7"/>
      <c r="AA15" s="7"/>
      <c r="AB15" s="7"/>
      <c r="AC15" s="7"/>
    </row>
    <row r="16" spans="2:29" x14ac:dyDescent="0.3">
      <c r="B16" t="s">
        <v>15</v>
      </c>
      <c r="C16" s="7">
        <v>2521</v>
      </c>
      <c r="D16">
        <v>989</v>
      </c>
      <c r="E16">
        <v>951</v>
      </c>
      <c r="F16" s="7">
        <v>1065</v>
      </c>
      <c r="G16" s="7">
        <v>1510</v>
      </c>
      <c r="H16" s="7">
        <v>2237</v>
      </c>
      <c r="I16">
        <v>731</v>
      </c>
      <c r="J16" s="7">
        <v>1530</v>
      </c>
      <c r="K16" s="7">
        <v>1616</v>
      </c>
      <c r="L16" s="7">
        <v>1808</v>
      </c>
      <c r="M16" s="7">
        <v>3852</v>
      </c>
      <c r="N16" s="7">
        <v>4863</v>
      </c>
      <c r="R16" s="7"/>
      <c r="U16" s="7"/>
      <c r="V16" s="7"/>
      <c r="W16" s="7"/>
      <c r="Y16" s="7"/>
      <c r="Z16" s="7"/>
      <c r="AA16" s="7"/>
      <c r="AB16" s="7"/>
      <c r="AC16" s="7"/>
    </row>
    <row r="17" spans="2:29" x14ac:dyDescent="0.3">
      <c r="B17" t="s">
        <v>16</v>
      </c>
      <c r="C17">
        <v>22</v>
      </c>
      <c r="D17">
        <v>14</v>
      </c>
      <c r="E17">
        <v>17</v>
      </c>
      <c r="F17">
        <v>16</v>
      </c>
      <c r="G17">
        <v>16</v>
      </c>
      <c r="H17">
        <v>19</v>
      </c>
      <c r="I17">
        <v>21</v>
      </c>
      <c r="J17">
        <v>15</v>
      </c>
      <c r="K17">
        <v>8</v>
      </c>
      <c r="L17">
        <v>2</v>
      </c>
      <c r="M17">
        <v>6</v>
      </c>
      <c r="N17">
        <v>17</v>
      </c>
    </row>
    <row r="18" spans="2:29" x14ac:dyDescent="0.3">
      <c r="B18" t="s">
        <v>17</v>
      </c>
      <c r="C18">
        <v>0</v>
      </c>
      <c r="D18">
        <v>35</v>
      </c>
      <c r="E18">
        <v>2</v>
      </c>
      <c r="F18">
        <v>1</v>
      </c>
      <c r="G18">
        <v>2</v>
      </c>
      <c r="H18">
        <v>15</v>
      </c>
      <c r="I18">
        <v>5</v>
      </c>
      <c r="J18">
        <v>109</v>
      </c>
      <c r="K18">
        <v>148</v>
      </c>
      <c r="L18">
        <v>75</v>
      </c>
      <c r="M18">
        <v>1</v>
      </c>
      <c r="N18">
        <v>34</v>
      </c>
    </row>
    <row r="19" spans="2:29" x14ac:dyDescent="0.3">
      <c r="B19" t="s">
        <v>168</v>
      </c>
      <c r="C19">
        <v>0</v>
      </c>
      <c r="D19">
        <v>0</v>
      </c>
      <c r="E19">
        <v>0</v>
      </c>
      <c r="F19">
        <v>0</v>
      </c>
      <c r="G19">
        <v>0</v>
      </c>
      <c r="H19">
        <v>0</v>
      </c>
      <c r="I19">
        <v>0</v>
      </c>
      <c r="J19">
        <v>0</v>
      </c>
      <c r="K19">
        <v>0</v>
      </c>
      <c r="L19">
        <v>0</v>
      </c>
      <c r="M19">
        <v>0</v>
      </c>
      <c r="N19">
        <v>-92</v>
      </c>
    </row>
    <row r="20" spans="2:29" x14ac:dyDescent="0.3">
      <c r="B20" t="s">
        <v>18</v>
      </c>
      <c r="C20">
        <v>0</v>
      </c>
      <c r="D20">
        <v>13</v>
      </c>
      <c r="E20" s="7">
        <v>0</v>
      </c>
      <c r="F20">
        <v>0</v>
      </c>
      <c r="G20">
        <v>0</v>
      </c>
      <c r="H20">
        <v>0</v>
      </c>
      <c r="I20">
        <v>0</v>
      </c>
      <c r="J20">
        <v>0</v>
      </c>
      <c r="K20">
        <v>0</v>
      </c>
      <c r="L20" s="7">
        <v>0</v>
      </c>
      <c r="M20">
        <v>0</v>
      </c>
      <c r="N20">
        <v>146</v>
      </c>
      <c r="T20" s="7"/>
      <c r="AA20" s="7"/>
    </row>
    <row r="21" spans="2:29" x14ac:dyDescent="0.3">
      <c r="B21" t="s">
        <v>19</v>
      </c>
      <c r="C21" s="7">
        <v>0</v>
      </c>
      <c r="D21">
        <v>-11</v>
      </c>
      <c r="E21" s="7">
        <v>-8</v>
      </c>
      <c r="F21" s="7">
        <v>-7</v>
      </c>
      <c r="G21" s="7">
        <v>-85</v>
      </c>
      <c r="H21" s="7">
        <v>-22</v>
      </c>
      <c r="I21">
        <v>-45</v>
      </c>
      <c r="J21">
        <v>-66</v>
      </c>
      <c r="K21">
        <v>-52</v>
      </c>
      <c r="L21">
        <v>-62</v>
      </c>
      <c r="M21">
        <v>-37</v>
      </c>
      <c r="N21">
        <v>0</v>
      </c>
      <c r="R21" s="7"/>
      <c r="T21" s="7"/>
      <c r="U21" s="7"/>
      <c r="V21" s="7"/>
      <c r="W21" s="7"/>
    </row>
    <row r="22" spans="2:29" x14ac:dyDescent="0.3">
      <c r="B22" t="s">
        <v>20</v>
      </c>
      <c r="C22">
        <v>45</v>
      </c>
      <c r="D22" s="7">
        <v>0</v>
      </c>
      <c r="E22" s="7">
        <v>0</v>
      </c>
      <c r="F22" s="7">
        <v>0</v>
      </c>
      <c r="G22" s="7">
        <v>0</v>
      </c>
      <c r="H22" s="7">
        <v>-49</v>
      </c>
      <c r="I22" s="7">
        <v>-12</v>
      </c>
      <c r="J22" s="7">
        <v>0</v>
      </c>
      <c r="K22" s="7">
        <v>10</v>
      </c>
      <c r="L22" s="7">
        <v>0</v>
      </c>
      <c r="M22" s="7">
        <v>0</v>
      </c>
      <c r="N22" s="7">
        <v>15</v>
      </c>
      <c r="S22" s="7"/>
      <c r="T22" s="7"/>
      <c r="U22" s="7"/>
      <c r="V22" s="7"/>
      <c r="W22" s="7"/>
      <c r="X22" s="7"/>
      <c r="Y22" s="7"/>
      <c r="Z22" s="7"/>
      <c r="AA22" s="7"/>
      <c r="AB22" s="7"/>
      <c r="AC22" s="7"/>
    </row>
    <row r="23" spans="2:29" x14ac:dyDescent="0.3">
      <c r="B23" s="8" t="s">
        <v>126</v>
      </c>
      <c r="C23" s="8">
        <v>310</v>
      </c>
      <c r="D23" s="8">
        <v>-13</v>
      </c>
      <c r="E23" s="8">
        <v>-51</v>
      </c>
      <c r="F23" s="8">
        <v>-74</v>
      </c>
      <c r="G23" s="8">
        <v>37</v>
      </c>
      <c r="H23" s="8">
        <v>452</v>
      </c>
      <c r="I23" s="8">
        <v>-283</v>
      </c>
      <c r="J23" s="8">
        <v>-108</v>
      </c>
      <c r="K23" s="8">
        <v>-491</v>
      </c>
      <c r="L23" s="8">
        <v>-629</v>
      </c>
      <c r="M23" s="8">
        <v>-694</v>
      </c>
      <c r="N23" s="49">
        <v>-1148</v>
      </c>
      <c r="AC23" s="7"/>
    </row>
    <row r="24" spans="2:29" x14ac:dyDescent="0.3">
      <c r="B24" t="s">
        <v>121</v>
      </c>
      <c r="C24">
        <v>0</v>
      </c>
      <c r="D24" s="7">
        <v>310</v>
      </c>
      <c r="E24">
        <v>100</v>
      </c>
      <c r="F24">
        <v>0</v>
      </c>
      <c r="G24">
        <v>0</v>
      </c>
      <c r="H24" s="7">
        <v>1032</v>
      </c>
      <c r="I24" s="7">
        <v>0</v>
      </c>
      <c r="J24" s="7">
        <v>551</v>
      </c>
      <c r="K24" s="7">
        <v>46</v>
      </c>
      <c r="L24" s="7">
        <v>36</v>
      </c>
      <c r="M24" s="7">
        <v>93</v>
      </c>
      <c r="N24" s="7">
        <v>0</v>
      </c>
      <c r="S24" s="7"/>
      <c r="W24" s="7"/>
      <c r="X24" s="7"/>
      <c r="Y24" s="7"/>
      <c r="Z24" s="7"/>
      <c r="AA24" s="7"/>
      <c r="AB24" s="7"/>
      <c r="AC24" s="7"/>
    </row>
    <row r="25" spans="2:29" x14ac:dyDescent="0.3">
      <c r="B25" t="s">
        <v>21</v>
      </c>
      <c r="C25">
        <v>0</v>
      </c>
      <c r="D25">
        <v>4</v>
      </c>
      <c r="E25">
        <v>238</v>
      </c>
      <c r="F25">
        <v>382</v>
      </c>
      <c r="G25">
        <v>392</v>
      </c>
      <c r="H25" s="7">
        <v>93</v>
      </c>
      <c r="I25" s="7">
        <v>0</v>
      </c>
      <c r="J25" s="7">
        <v>0</v>
      </c>
      <c r="K25" s="7">
        <v>173</v>
      </c>
      <c r="L25" s="7">
        <v>0</v>
      </c>
      <c r="M25" s="7">
        <v>0</v>
      </c>
      <c r="N25" s="7">
        <v>0</v>
      </c>
      <c r="W25" s="7"/>
      <c r="X25" s="7"/>
      <c r="Y25" s="7"/>
      <c r="Z25" s="7"/>
      <c r="AA25" s="7"/>
      <c r="AB25" s="7"/>
      <c r="AC25" s="7"/>
    </row>
    <row r="26" spans="2:29" x14ac:dyDescent="0.3">
      <c r="B26" t="s">
        <v>22</v>
      </c>
      <c r="C26">
        <v>-1</v>
      </c>
      <c r="D26">
        <v>0</v>
      </c>
      <c r="E26">
        <v>-48</v>
      </c>
      <c r="F26">
        <v>-282</v>
      </c>
      <c r="G26">
        <v>-286</v>
      </c>
      <c r="H26">
        <v>-186</v>
      </c>
      <c r="I26">
        <v>0</v>
      </c>
      <c r="J26">
        <v>-301</v>
      </c>
      <c r="K26">
        <v>-173</v>
      </c>
      <c r="L26">
        <v>0</v>
      </c>
      <c r="M26">
        <v>0</v>
      </c>
      <c r="N26">
        <v>0</v>
      </c>
    </row>
    <row r="27" spans="2:29" x14ac:dyDescent="0.3">
      <c r="B27" t="s">
        <v>23</v>
      </c>
      <c r="C27">
        <v>-11</v>
      </c>
      <c r="D27">
        <v>-21</v>
      </c>
      <c r="E27">
        <v>-36</v>
      </c>
      <c r="F27">
        <v>-32</v>
      </c>
      <c r="G27">
        <v>-23</v>
      </c>
      <c r="H27" s="7">
        <v>-251</v>
      </c>
      <c r="I27" s="7">
        <v>-184</v>
      </c>
      <c r="J27" s="7">
        <v>-246</v>
      </c>
      <c r="K27" s="7">
        <v>-359</v>
      </c>
      <c r="L27" s="7">
        <v>-309</v>
      </c>
      <c r="M27" s="7">
        <v>-134</v>
      </c>
      <c r="N27" s="7">
        <v>-173</v>
      </c>
      <c r="W27" s="7"/>
      <c r="X27" s="7"/>
      <c r="Y27" s="7"/>
      <c r="Z27" s="7"/>
      <c r="AA27" s="7"/>
      <c r="AB27" s="7"/>
      <c r="AC27" s="7"/>
    </row>
    <row r="28" spans="2:29" x14ac:dyDescent="0.3">
      <c r="B28" t="s">
        <v>24</v>
      </c>
      <c r="C28">
        <v>-27</v>
      </c>
      <c r="D28">
        <v>-76</v>
      </c>
      <c r="E28">
        <v>-1</v>
      </c>
      <c r="F28">
        <v>-40</v>
      </c>
      <c r="G28">
        <v>-46</v>
      </c>
      <c r="H28">
        <v>-52</v>
      </c>
      <c r="I28">
        <v>-36</v>
      </c>
      <c r="J28">
        <v>-43</v>
      </c>
      <c r="K28">
        <v>-39</v>
      </c>
      <c r="L28">
        <v>-78</v>
      </c>
      <c r="M28">
        <v>-114</v>
      </c>
      <c r="N28">
        <v>-177</v>
      </c>
    </row>
    <row r="29" spans="2:29" x14ac:dyDescent="0.3">
      <c r="B29" t="s">
        <v>25</v>
      </c>
      <c r="C29" s="7">
        <v>0</v>
      </c>
      <c r="D29" s="7">
        <v>0</v>
      </c>
      <c r="E29">
        <v>0</v>
      </c>
      <c r="F29" s="7">
        <v>0</v>
      </c>
      <c r="G29">
        <v>0</v>
      </c>
      <c r="H29" s="7">
        <v>-84</v>
      </c>
      <c r="I29">
        <v>-63</v>
      </c>
      <c r="J29">
        <v>-69</v>
      </c>
      <c r="K29">
        <v>-140</v>
      </c>
      <c r="L29">
        <v>-277</v>
      </c>
      <c r="M29">
        <v>-540</v>
      </c>
      <c r="N29" s="7">
        <v>-797</v>
      </c>
      <c r="R29" s="7"/>
      <c r="S29" s="7"/>
      <c r="U29" s="7"/>
      <c r="W29" s="7"/>
      <c r="AC29" s="7"/>
    </row>
    <row r="30" spans="2:29" x14ac:dyDescent="0.3">
      <c r="B30" t="s">
        <v>26</v>
      </c>
      <c r="C30" s="55">
        <v>349</v>
      </c>
      <c r="D30" s="55">
        <v>-230</v>
      </c>
      <c r="E30" s="55">
        <v>-303</v>
      </c>
      <c r="F30" s="55">
        <v>-102</v>
      </c>
      <c r="G30" s="55">
        <v>0</v>
      </c>
      <c r="H30" s="55">
        <v>-100</v>
      </c>
      <c r="I30" s="55">
        <v>0</v>
      </c>
      <c r="J30" s="55">
        <v>0</v>
      </c>
      <c r="K30" s="55">
        <v>0</v>
      </c>
      <c r="L30" s="55">
        <v>0</v>
      </c>
      <c r="M30" s="55">
        <v>0</v>
      </c>
      <c r="N30" s="55">
        <v>0</v>
      </c>
      <c r="R30" s="55"/>
      <c r="S30" s="55"/>
      <c r="T30" s="55"/>
      <c r="U30" s="55"/>
      <c r="V30" s="55"/>
      <c r="W30" s="55"/>
      <c r="X30" s="55"/>
      <c r="Y30" s="55"/>
      <c r="Z30" s="55"/>
      <c r="AA30" s="55"/>
      <c r="AB30" s="55"/>
      <c r="AC30" s="55"/>
    </row>
    <row r="31" spans="2:29" x14ac:dyDescent="0.3">
      <c r="B31" t="s">
        <v>27</v>
      </c>
      <c r="C31">
        <v>-6</v>
      </c>
      <c r="D31">
        <v>-2</v>
      </c>
      <c r="E31">
        <v>7</v>
      </c>
      <c r="F31">
        <v>-1</v>
      </c>
      <c r="G31">
        <v>21</v>
      </c>
      <c r="H31">
        <v>5</v>
      </c>
      <c r="I31">
        <v>20</v>
      </c>
      <c r="J31">
        <v>6</v>
      </c>
      <c r="K31">
        <v>1</v>
      </c>
      <c r="L31">
        <v>211</v>
      </c>
      <c r="M31">
        <v>44</v>
      </c>
      <c r="N31">
        <v>-58</v>
      </c>
    </row>
    <row r="32" spans="2:29" x14ac:dyDescent="0.3">
      <c r="B32" t="s">
        <v>161</v>
      </c>
      <c r="C32">
        <v>-166</v>
      </c>
      <c r="D32">
        <v>-21</v>
      </c>
      <c r="E32">
        <v>34</v>
      </c>
      <c r="F32">
        <v>-30</v>
      </c>
      <c r="G32">
        <v>-174</v>
      </c>
      <c r="H32">
        <v>247</v>
      </c>
      <c r="I32">
        <v>194</v>
      </c>
      <c r="J32">
        <v>-152</v>
      </c>
      <c r="K32">
        <v>371</v>
      </c>
      <c r="L32">
        <v>955</v>
      </c>
      <c r="M32">
        <v>799</v>
      </c>
      <c r="N32">
        <v>931</v>
      </c>
    </row>
    <row r="33" spans="2:29" x14ac:dyDescent="0.3">
      <c r="B33" t="s">
        <v>162</v>
      </c>
      <c r="C33" s="6">
        <v>0.04</v>
      </c>
      <c r="D33" s="6">
        <v>1.44</v>
      </c>
      <c r="E33" s="6">
        <v>1.05</v>
      </c>
      <c r="F33" s="6">
        <v>0.61</v>
      </c>
      <c r="G33" s="6">
        <v>0.41</v>
      </c>
      <c r="H33" s="6">
        <v>0.84</v>
      </c>
      <c r="I33" s="6">
        <v>2.5099999999999998</v>
      </c>
      <c r="J33" s="6">
        <v>0.23</v>
      </c>
      <c r="K33" s="6">
        <v>0.71</v>
      </c>
      <c r="L33" s="6">
        <v>0.84</v>
      </c>
      <c r="M33" s="6">
        <v>0.76</v>
      </c>
      <c r="N33" s="6">
        <v>0.88</v>
      </c>
      <c r="R33" s="6"/>
      <c r="S33" s="6"/>
      <c r="T33" s="6"/>
      <c r="U33" s="6"/>
      <c r="V33" s="6"/>
      <c r="W33" s="6"/>
      <c r="X33" s="6"/>
      <c r="Y33" s="6"/>
      <c r="Z33" s="6"/>
      <c r="AA33" s="6"/>
      <c r="AB33" s="6"/>
      <c r="AC33" s="6"/>
    </row>
    <row r="36" spans="2:29" x14ac:dyDescent="0.3">
      <c r="R36" s="6"/>
      <c r="S36" s="6"/>
      <c r="T36" s="6"/>
      <c r="U36" s="6"/>
      <c r="V36" s="6"/>
      <c r="W36" s="6"/>
      <c r="X36" s="6"/>
      <c r="Y36" s="6"/>
      <c r="Z36" s="6"/>
      <c r="AA36" s="6"/>
      <c r="AB36" s="6"/>
      <c r="AC36" s="6"/>
    </row>
    <row r="53" spans="3:29" x14ac:dyDescent="0.3">
      <c r="C53" s="15"/>
      <c r="D53" s="15"/>
      <c r="E53" s="15"/>
      <c r="F53" s="15"/>
      <c r="G53" s="15"/>
      <c r="H53" s="15"/>
      <c r="I53" s="15"/>
      <c r="J53" s="15"/>
      <c r="K53" s="15"/>
      <c r="L53" s="15"/>
      <c r="M53" s="15"/>
      <c r="N53" s="15"/>
      <c r="R53" s="15"/>
      <c r="S53" s="15"/>
      <c r="T53" s="15"/>
      <c r="U53" s="15"/>
      <c r="V53" s="15"/>
      <c r="W53" s="15"/>
      <c r="X53" s="15"/>
      <c r="Y53" s="15"/>
      <c r="Z53" s="15"/>
      <c r="AA53" s="15"/>
      <c r="AB53" s="15"/>
      <c r="AC53" s="15"/>
    </row>
    <row r="54" spans="3:29" x14ac:dyDescent="0.3">
      <c r="C54" s="7"/>
      <c r="D54" s="7"/>
      <c r="E54" s="7"/>
      <c r="F54" s="7"/>
      <c r="G54" s="7"/>
      <c r="H54" s="7"/>
      <c r="I54" s="7"/>
      <c r="J54" s="7"/>
      <c r="K54" s="7"/>
      <c r="L54" s="7"/>
      <c r="M54" s="7"/>
      <c r="N54" s="7"/>
      <c r="O54" s="7"/>
      <c r="R54" s="7"/>
      <c r="S54" s="7"/>
      <c r="T54" s="7"/>
      <c r="U54" s="7"/>
      <c r="V54" s="7"/>
      <c r="W54" s="7"/>
      <c r="X54" s="7"/>
      <c r="Y54" s="7"/>
      <c r="Z54" s="7"/>
      <c r="AA54" s="7"/>
      <c r="AB54" s="7"/>
      <c r="AC54" s="7"/>
    </row>
    <row r="55" spans="3:29" x14ac:dyDescent="0.3">
      <c r="C55" s="7"/>
      <c r="D55" s="7"/>
      <c r="E55" s="7"/>
      <c r="F55" s="7"/>
      <c r="G55" s="7"/>
      <c r="H55" s="7"/>
      <c r="I55" s="7"/>
      <c r="J55" s="7"/>
      <c r="K55" s="7"/>
      <c r="L55" s="7"/>
      <c r="M55" s="7"/>
      <c r="N55" s="7"/>
      <c r="R55" s="7"/>
      <c r="S55" s="7"/>
      <c r="T55" s="7"/>
      <c r="U55" s="7"/>
      <c r="V55" s="7"/>
      <c r="W55" s="7"/>
      <c r="X55" s="7"/>
      <c r="Y55" s="7"/>
      <c r="Z55" s="7"/>
      <c r="AA55" s="7"/>
      <c r="AB55" s="7"/>
      <c r="AC55" s="7"/>
    </row>
    <row r="56" spans="3:29" x14ac:dyDescent="0.3">
      <c r="D56" s="7"/>
      <c r="E56" s="7"/>
      <c r="K56" s="7"/>
      <c r="N56" s="7"/>
      <c r="S56" s="7"/>
      <c r="T56" s="7"/>
      <c r="Z56" s="7"/>
      <c r="AC56" s="7"/>
    </row>
    <row r="57" spans="3:29" x14ac:dyDescent="0.3">
      <c r="J57" s="7"/>
      <c r="L57" s="7"/>
      <c r="Y57" s="7"/>
      <c r="AA57" s="7"/>
    </row>
    <row r="58" spans="3:29" x14ac:dyDescent="0.3">
      <c r="L58" s="7"/>
      <c r="AA58" s="7"/>
    </row>
    <row r="60" spans="3:29" x14ac:dyDescent="0.3">
      <c r="E60" s="7"/>
      <c r="I60" s="7"/>
      <c r="J60" s="7"/>
      <c r="K60" s="7"/>
      <c r="L60" s="7"/>
      <c r="T60" s="7"/>
      <c r="X60" s="7"/>
      <c r="Y60" s="7"/>
      <c r="Z60" s="7"/>
      <c r="AA60" s="7"/>
    </row>
    <row r="61" spans="3:29" x14ac:dyDescent="0.3">
      <c r="H61" s="7"/>
      <c r="J61" s="7"/>
      <c r="K61" s="7"/>
      <c r="L61" s="7"/>
      <c r="M61" s="7"/>
      <c r="W61" s="7"/>
      <c r="Y61" s="7"/>
      <c r="Z61" s="7"/>
      <c r="AA61" s="7"/>
      <c r="AB61" s="7"/>
    </row>
    <row r="62" spans="3:29" x14ac:dyDescent="0.3">
      <c r="C62" s="7"/>
      <c r="D62" s="7"/>
      <c r="E62" s="7"/>
      <c r="F62" s="7"/>
      <c r="G62" s="7"/>
      <c r="I62" s="7"/>
      <c r="K62" s="7"/>
      <c r="L62" s="7"/>
      <c r="N62" s="7"/>
      <c r="R62" s="7"/>
      <c r="S62" s="7"/>
      <c r="T62" s="7"/>
      <c r="U62" s="7"/>
      <c r="V62" s="7"/>
      <c r="X62" s="7"/>
      <c r="Z62" s="7"/>
      <c r="AA62" s="7"/>
      <c r="AC62" s="7"/>
    </row>
    <row r="63" spans="3:29" x14ac:dyDescent="0.3">
      <c r="D63" s="7"/>
      <c r="E63" s="7"/>
      <c r="F63" s="7"/>
      <c r="G63" s="7"/>
      <c r="H63" s="7"/>
      <c r="I63" s="7"/>
      <c r="J63" s="7"/>
      <c r="K63" s="7"/>
      <c r="L63" s="7"/>
      <c r="M63" s="7"/>
      <c r="N63" s="7"/>
      <c r="P63" s="7"/>
      <c r="S63" s="7"/>
      <c r="T63" s="7"/>
      <c r="U63" s="7"/>
      <c r="V63" s="7"/>
      <c r="W63" s="7"/>
      <c r="X63" s="7"/>
      <c r="Y63" s="7"/>
      <c r="Z63" s="7"/>
      <c r="AA63" s="7"/>
      <c r="AB63" s="7"/>
      <c r="AC63" s="7"/>
    </row>
    <row r="64" spans="3:29" x14ac:dyDescent="0.3">
      <c r="M64" s="7"/>
      <c r="N64" s="7"/>
      <c r="AB64" s="7"/>
      <c r="AC64" s="7"/>
    </row>
    <row r="65" spans="3:29" x14ac:dyDescent="0.3">
      <c r="C65" s="7"/>
      <c r="D65" s="7"/>
      <c r="E65" s="7"/>
      <c r="F65" s="7"/>
      <c r="G65" s="7"/>
      <c r="H65" s="7"/>
      <c r="I65" s="7"/>
      <c r="J65" s="7"/>
      <c r="K65" s="7"/>
      <c r="L65" s="7"/>
      <c r="M65" s="7"/>
      <c r="N65" s="7"/>
      <c r="R65" s="7"/>
      <c r="S65" s="7"/>
      <c r="T65" s="7"/>
      <c r="U65" s="7"/>
      <c r="V65" s="7"/>
      <c r="W65" s="7"/>
      <c r="X65" s="7"/>
      <c r="Y65" s="7"/>
      <c r="Z65" s="7"/>
      <c r="AA65" s="7"/>
      <c r="AB65" s="7"/>
      <c r="AC65" s="7"/>
    </row>
    <row r="66" spans="3:29" x14ac:dyDescent="0.3">
      <c r="C66" s="7"/>
      <c r="D66" s="7"/>
      <c r="E66" s="7"/>
      <c r="F66" s="7"/>
      <c r="G66" s="7"/>
      <c r="H66" s="7"/>
      <c r="I66" s="7"/>
      <c r="J66" s="7"/>
      <c r="K66" s="7"/>
      <c r="L66" s="7"/>
      <c r="M66" s="7"/>
      <c r="N66" s="7"/>
      <c r="R66" s="7"/>
      <c r="S66" s="7"/>
      <c r="T66" s="7"/>
      <c r="U66" s="7"/>
      <c r="V66" s="7"/>
      <c r="W66" s="7"/>
      <c r="X66" s="7"/>
      <c r="Y66" s="7"/>
      <c r="Z66" s="7"/>
      <c r="AA66" s="7"/>
      <c r="AB66" s="7"/>
      <c r="AC66" s="7"/>
    </row>
    <row r="67" spans="3:29" x14ac:dyDescent="0.3">
      <c r="C67" s="7"/>
      <c r="F67" s="7"/>
      <c r="G67" s="7"/>
      <c r="H67" s="7"/>
      <c r="J67" s="7"/>
      <c r="K67" s="7"/>
      <c r="L67" s="7"/>
      <c r="M67" s="7"/>
      <c r="N67" s="7"/>
      <c r="R67" s="7"/>
      <c r="U67" s="7"/>
      <c r="V67" s="7"/>
      <c r="W67" s="7"/>
      <c r="Y67" s="7"/>
      <c r="Z67" s="7"/>
      <c r="AA67" s="7"/>
      <c r="AB67" s="7"/>
      <c r="AC67" s="7"/>
    </row>
    <row r="71" spans="3:29" x14ac:dyDescent="0.3">
      <c r="E71" s="7"/>
      <c r="L71" s="7"/>
      <c r="T71" s="7"/>
      <c r="AA71" s="7"/>
    </row>
    <row r="72" spans="3:29" x14ac:dyDescent="0.3">
      <c r="C72" s="7"/>
      <c r="E72" s="7"/>
      <c r="F72" s="7"/>
      <c r="G72" s="7"/>
      <c r="H72" s="7"/>
      <c r="R72" s="7"/>
      <c r="T72" s="7"/>
      <c r="U72" s="7"/>
      <c r="V72" s="7"/>
      <c r="W72" s="7"/>
    </row>
    <row r="73" spans="3:29" x14ac:dyDescent="0.3">
      <c r="D73" s="7"/>
      <c r="E73" s="7"/>
      <c r="F73" s="7"/>
      <c r="G73" s="7"/>
      <c r="H73" s="7"/>
      <c r="I73" s="7"/>
      <c r="J73" s="7"/>
      <c r="K73" s="7"/>
      <c r="L73" s="7"/>
      <c r="M73" s="7"/>
      <c r="N73" s="7"/>
      <c r="S73" s="7"/>
      <c r="T73" s="7"/>
      <c r="U73" s="7"/>
      <c r="V73" s="7"/>
      <c r="W73" s="7"/>
      <c r="X73" s="7"/>
      <c r="Y73" s="7"/>
      <c r="Z73" s="7"/>
      <c r="AA73" s="7"/>
      <c r="AB73" s="7"/>
      <c r="AC73" s="7"/>
    </row>
    <row r="74" spans="3:29" x14ac:dyDescent="0.3">
      <c r="N74" s="7"/>
      <c r="AC74" s="7"/>
    </row>
    <row r="75" spans="3:29" x14ac:dyDescent="0.3">
      <c r="D75" s="7"/>
      <c r="H75" s="7"/>
      <c r="I75" s="7"/>
      <c r="J75" s="7"/>
      <c r="K75" s="7"/>
      <c r="L75" s="7"/>
      <c r="M75" s="7"/>
      <c r="N75" s="7"/>
      <c r="S75" s="7"/>
      <c r="W75" s="7"/>
      <c r="X75" s="7"/>
      <c r="Y75" s="7"/>
      <c r="Z75" s="7"/>
      <c r="AA75" s="7"/>
      <c r="AB75" s="7"/>
      <c r="AC75" s="7"/>
    </row>
    <row r="76" spans="3:29" x14ac:dyDescent="0.3">
      <c r="H76" s="7"/>
      <c r="I76" s="7"/>
      <c r="J76" s="7"/>
      <c r="K76" s="7"/>
      <c r="L76" s="7"/>
      <c r="M76" s="7"/>
      <c r="N76" s="7"/>
      <c r="W76" s="7"/>
      <c r="X76" s="7"/>
      <c r="Y76" s="7"/>
      <c r="Z76" s="7"/>
      <c r="AA76" s="7"/>
      <c r="AB76" s="7"/>
      <c r="AC76" s="7"/>
    </row>
    <row r="78" spans="3:29" x14ac:dyDescent="0.3">
      <c r="H78" s="7"/>
      <c r="I78" s="7"/>
      <c r="J78" s="7"/>
      <c r="K78" s="7"/>
      <c r="L78" s="7"/>
      <c r="M78" s="7"/>
      <c r="N78" s="7"/>
      <c r="W78" s="7"/>
      <c r="X78" s="7"/>
      <c r="Y78" s="7"/>
      <c r="Z78" s="7"/>
      <c r="AA78" s="7"/>
      <c r="AB78" s="7"/>
      <c r="AC78" s="7"/>
    </row>
    <row r="80" spans="3:29" x14ac:dyDescent="0.3">
      <c r="C80" s="7"/>
      <c r="D80" s="7"/>
      <c r="F80" s="7"/>
      <c r="H80" s="7"/>
      <c r="N80" s="7"/>
      <c r="R80" s="7"/>
      <c r="S80" s="7"/>
      <c r="U80" s="7"/>
      <c r="W80" s="7"/>
      <c r="AC80" s="7"/>
    </row>
    <row r="81" spans="3:29" x14ac:dyDescent="0.3">
      <c r="C81" s="55"/>
      <c r="D81" s="55"/>
      <c r="E81" s="55"/>
      <c r="F81" s="55"/>
      <c r="G81" s="55"/>
      <c r="H81" s="55"/>
      <c r="I81" s="55"/>
      <c r="J81" s="55"/>
      <c r="K81" s="55"/>
      <c r="L81" s="55"/>
      <c r="M81" s="55"/>
      <c r="N81" s="55"/>
      <c r="R81" s="55"/>
      <c r="S81" s="55"/>
      <c r="T81" s="55"/>
      <c r="U81" s="55"/>
      <c r="V81" s="55"/>
      <c r="W81" s="55"/>
      <c r="X81" s="55"/>
      <c r="Y81" s="55"/>
      <c r="Z81" s="55"/>
      <c r="AA81" s="55"/>
      <c r="AB81" s="55"/>
      <c r="AC81" s="55"/>
    </row>
    <row r="84" spans="3:29" x14ac:dyDescent="0.3">
      <c r="C84" s="6"/>
      <c r="D84" s="6"/>
      <c r="E84" s="6"/>
      <c r="F84" s="6"/>
      <c r="G84" s="6"/>
      <c r="H84" s="6"/>
      <c r="I84" s="6"/>
      <c r="J84" s="6"/>
      <c r="K84" s="6"/>
      <c r="L84" s="6"/>
      <c r="M84" s="6"/>
      <c r="N84" s="6"/>
      <c r="R84" s="6"/>
      <c r="S84" s="6"/>
      <c r="T84" s="6"/>
      <c r="U84" s="6"/>
      <c r="V84" s="6"/>
      <c r="W84" s="6"/>
      <c r="X84" s="6"/>
      <c r="Y84" s="6"/>
      <c r="Z84" s="6"/>
      <c r="AA84" s="6"/>
      <c r="AB84" s="6"/>
      <c r="AC84"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65ACD-8468-40D1-B96C-C826CE51BC4E}">
  <sheetPr>
    <tabColor rgb="FF21873D"/>
  </sheetPr>
  <dimension ref="A1:N93"/>
  <sheetViews>
    <sheetView workbookViewId="0">
      <pane xSplit="1" ySplit="1" topLeftCell="B2" activePane="bottomRight" state="frozen"/>
      <selection activeCell="C4" sqref="C4"/>
      <selection pane="topRight" activeCell="C4" sqref="C4"/>
      <selection pane="bottomLeft" activeCell="C4" sqref="C4"/>
      <selection pane="bottomRight" activeCell="Q98" sqref="Q98"/>
    </sheetView>
  </sheetViews>
  <sheetFormatPr defaultColWidth="10.44140625" defaultRowHeight="13.2" x14ac:dyDescent="0.25"/>
  <cols>
    <col min="1" max="1" width="26.6640625" style="12" bestFit="1" customWidth="1"/>
    <col min="2" max="11" width="11.88671875" style="12" bestFit="1" customWidth="1"/>
    <col min="12" max="12" width="10.44140625" style="12"/>
    <col min="13" max="13" width="11.88671875" style="12" bestFit="1" customWidth="1"/>
    <col min="14" max="16384" width="10.44140625" style="12"/>
  </cols>
  <sheetData>
    <row r="1" spans="1:11" s="11" customFormat="1" ht="14.4" x14ac:dyDescent="0.3">
      <c r="A1" s="56" t="s">
        <v>31</v>
      </c>
      <c r="B1" s="56" t="s">
        <v>166</v>
      </c>
      <c r="C1" s="56"/>
      <c r="D1" s="56"/>
      <c r="E1" s="225" t="s">
        <v>167</v>
      </c>
      <c r="F1" s="225"/>
      <c r="G1" s="225"/>
      <c r="H1" s="225"/>
      <c r="I1" s="225"/>
      <c r="J1" s="225"/>
      <c r="K1" s="225"/>
    </row>
    <row r="2" spans="1:11" ht="14.4" x14ac:dyDescent="0.3">
      <c r="A2" s="56" t="s">
        <v>32</v>
      </c>
      <c r="B2" s="57">
        <v>2.1</v>
      </c>
      <c r="C2" s="45"/>
      <c r="D2" s="45"/>
      <c r="E2" s="226" t="s">
        <v>33</v>
      </c>
      <c r="F2" s="226"/>
      <c r="G2" s="226"/>
      <c r="H2" s="226"/>
      <c r="I2" s="226"/>
      <c r="J2" s="226"/>
      <c r="K2" s="226"/>
    </row>
    <row r="3" spans="1:11" ht="14.4" x14ac:dyDescent="0.3">
      <c r="A3" s="56" t="s">
        <v>34</v>
      </c>
      <c r="B3" s="57">
        <v>2.1</v>
      </c>
      <c r="C3" s="45"/>
      <c r="D3" s="45"/>
      <c r="E3" s="45"/>
      <c r="F3" s="45"/>
      <c r="G3" s="45"/>
      <c r="H3" s="45"/>
      <c r="I3" s="45"/>
      <c r="J3" s="45"/>
      <c r="K3" s="45"/>
    </row>
    <row r="4" spans="1:11" ht="14.4" x14ac:dyDescent="0.3">
      <c r="A4" s="56"/>
      <c r="B4" s="45"/>
      <c r="C4" s="45"/>
      <c r="D4" s="45"/>
      <c r="E4" s="45"/>
      <c r="F4" s="45"/>
      <c r="G4" s="45"/>
      <c r="H4" s="45"/>
      <c r="I4" s="45"/>
      <c r="J4" s="45"/>
      <c r="K4" s="45"/>
    </row>
    <row r="5" spans="1:11" ht="14.4" x14ac:dyDescent="0.3">
      <c r="A5" s="56" t="s">
        <v>35</v>
      </c>
      <c r="B5" s="45"/>
      <c r="C5" s="45"/>
      <c r="D5" s="45"/>
      <c r="E5" s="45"/>
      <c r="F5" s="45"/>
      <c r="G5" s="45"/>
      <c r="H5" s="45"/>
      <c r="I5" s="45"/>
      <c r="J5" s="45"/>
      <c r="K5" s="45"/>
    </row>
    <row r="6" spans="1:11" ht="14.4" x14ac:dyDescent="0.3">
      <c r="A6" s="57" t="s">
        <v>36</v>
      </c>
      <c r="B6" s="57" t="s">
        <v>167</v>
      </c>
      <c r="C6" s="45"/>
      <c r="D6" s="45"/>
      <c r="E6" s="45"/>
      <c r="F6" s="45"/>
      <c r="G6" s="45"/>
      <c r="H6" s="45"/>
      <c r="I6" s="45"/>
      <c r="J6" s="45"/>
      <c r="K6" s="45"/>
    </row>
    <row r="7" spans="1:11" ht="14.4" x14ac:dyDescent="0.3">
      <c r="A7" s="57" t="s">
        <v>37</v>
      </c>
      <c r="B7" s="45">
        <v>1</v>
      </c>
      <c r="C7" s="45"/>
      <c r="D7" s="45"/>
      <c r="E7" s="45"/>
      <c r="F7" s="45"/>
      <c r="G7" s="45"/>
      <c r="H7" s="45"/>
      <c r="I7" s="45"/>
      <c r="J7" s="45"/>
      <c r="K7" s="45"/>
    </row>
    <row r="8" spans="1:11" ht="14.4" x14ac:dyDescent="0.3">
      <c r="A8" s="57" t="s">
        <v>38</v>
      </c>
      <c r="B8" s="45">
        <v>4289.8</v>
      </c>
      <c r="C8" s="45"/>
      <c r="D8" s="45"/>
      <c r="E8" s="45"/>
      <c r="F8" s="45"/>
      <c r="G8" s="45"/>
      <c r="H8" s="45"/>
      <c r="I8" s="45"/>
      <c r="J8" s="45"/>
      <c r="K8" s="45"/>
    </row>
    <row r="9" spans="1:11" ht="14.4" x14ac:dyDescent="0.3">
      <c r="A9" s="57" t="s">
        <v>39</v>
      </c>
      <c r="B9" s="45">
        <v>152655.74</v>
      </c>
      <c r="C9" s="45"/>
      <c r="D9" s="45"/>
      <c r="E9" s="45"/>
      <c r="F9" s="45"/>
      <c r="G9" s="45"/>
      <c r="H9" s="45"/>
      <c r="I9" s="45"/>
      <c r="J9" s="45"/>
      <c r="K9" s="45"/>
    </row>
    <row r="15" spans="1:11" ht="14.4" x14ac:dyDescent="0.3">
      <c r="A15" s="56" t="s">
        <v>40</v>
      </c>
      <c r="B15" s="45"/>
      <c r="C15" s="45"/>
      <c r="D15" s="45"/>
      <c r="E15" s="45"/>
      <c r="F15" s="45"/>
      <c r="G15" s="45"/>
      <c r="H15" s="45"/>
      <c r="I15" s="45"/>
      <c r="J15" s="45"/>
      <c r="K15" s="45"/>
    </row>
    <row r="16" spans="1:11" s="13" customFormat="1" ht="14.4" x14ac:dyDescent="0.3">
      <c r="A16" s="58" t="s">
        <v>41</v>
      </c>
      <c r="B16" s="46">
        <v>42825</v>
      </c>
      <c r="C16" s="46">
        <v>43190</v>
      </c>
      <c r="D16" s="46">
        <v>43555</v>
      </c>
      <c r="E16" s="46">
        <v>43921</v>
      </c>
      <c r="F16" s="46">
        <v>44286</v>
      </c>
      <c r="G16" s="46">
        <v>44651</v>
      </c>
      <c r="H16" s="46">
        <v>45016</v>
      </c>
      <c r="I16" s="46">
        <v>45382</v>
      </c>
      <c r="J16" s="46">
        <v>45747</v>
      </c>
      <c r="K16" s="46">
        <v>46112</v>
      </c>
    </row>
    <row r="17" spans="1:11" ht="14.4" x14ac:dyDescent="0.3">
      <c r="A17" s="57" t="s">
        <v>42</v>
      </c>
      <c r="B17" s="45">
        <v>1812.44</v>
      </c>
      <c r="C17" s="45">
        <v>2157.46</v>
      </c>
      <c r="D17" s="45">
        <v>2630.24</v>
      </c>
      <c r="E17" s="45">
        <v>3485.98</v>
      </c>
      <c r="F17" s="45">
        <v>2592.96</v>
      </c>
      <c r="G17" s="45">
        <v>4498.0200000000004</v>
      </c>
      <c r="H17" s="45">
        <v>8242.02</v>
      </c>
      <c r="I17" s="45">
        <v>12375.11</v>
      </c>
      <c r="J17" s="45">
        <v>17134.61</v>
      </c>
      <c r="K17" s="45">
        <v>20074.21</v>
      </c>
    </row>
    <row r="18" spans="1:11" ht="14.4" x14ac:dyDescent="0.3">
      <c r="A18" s="57" t="s">
        <v>43</v>
      </c>
      <c r="B18" s="45">
        <v>911.22</v>
      </c>
      <c r="C18" s="45">
        <v>1070.02</v>
      </c>
      <c r="D18" s="45">
        <v>1459.67</v>
      </c>
      <c r="E18" s="45">
        <v>1951.64</v>
      </c>
      <c r="F18" s="45">
        <v>1371.64</v>
      </c>
      <c r="G18" s="45">
        <v>2920.38</v>
      </c>
      <c r="H18" s="45">
        <v>5211.05</v>
      </c>
      <c r="I18" s="45">
        <v>7123.6</v>
      </c>
      <c r="J18" s="45">
        <v>10143.39</v>
      </c>
      <c r="K18" s="45">
        <v>11496.89</v>
      </c>
    </row>
    <row r="19" spans="1:11" ht="14.4" x14ac:dyDescent="0.3">
      <c r="A19" s="57" t="s">
        <v>44</v>
      </c>
      <c r="B19" s="45">
        <v>29.86</v>
      </c>
      <c r="C19" s="45">
        <v>38.51</v>
      </c>
      <c r="D19" s="45">
        <v>148.22999999999999</v>
      </c>
      <c r="E19" s="45">
        <v>69.89</v>
      </c>
      <c r="F19" s="45">
        <v>-162.36000000000001</v>
      </c>
      <c r="G19" s="45">
        <v>438.84</v>
      </c>
      <c r="H19" s="45">
        <v>491.31</v>
      </c>
      <c r="I19" s="45">
        <v>164.71</v>
      </c>
      <c r="J19" s="45">
        <v>454.25</v>
      </c>
      <c r="K19" s="45">
        <v>232.18</v>
      </c>
    </row>
    <row r="20" spans="1:11" ht="14.4" x14ac:dyDescent="0.3">
      <c r="A20" s="57" t="s">
        <v>45</v>
      </c>
      <c r="B20" s="45">
        <v>51.28</v>
      </c>
      <c r="C20" s="45">
        <v>52.75</v>
      </c>
      <c r="D20" s="45">
        <v>59.18</v>
      </c>
      <c r="E20" s="45">
        <v>66.64</v>
      </c>
      <c r="F20" s="45">
        <v>49.41</v>
      </c>
      <c r="G20" s="45">
        <v>71.89</v>
      </c>
      <c r="H20" s="45">
        <v>144.28</v>
      </c>
      <c r="I20" s="45">
        <v>229.16</v>
      </c>
      <c r="J20" s="45">
        <v>349.87</v>
      </c>
      <c r="K20" s="57"/>
    </row>
    <row r="21" spans="1:11" ht="14.4" x14ac:dyDescent="0.3">
      <c r="A21" s="57" t="s">
        <v>46</v>
      </c>
      <c r="B21" s="45">
        <v>81.91</v>
      </c>
      <c r="C21" s="45">
        <v>90.78</v>
      </c>
      <c r="D21" s="45">
        <v>122.09</v>
      </c>
      <c r="E21" s="45">
        <v>97.51</v>
      </c>
      <c r="F21" s="45">
        <v>92</v>
      </c>
      <c r="G21" s="45">
        <v>127.14</v>
      </c>
      <c r="H21" s="45">
        <v>211.99</v>
      </c>
      <c r="I21" s="45">
        <v>264.58999999999997</v>
      </c>
      <c r="J21" s="45">
        <v>369.79</v>
      </c>
      <c r="K21" s="57"/>
    </row>
    <row r="22" spans="1:11" ht="14.4" x14ac:dyDescent="0.3">
      <c r="A22" s="57" t="s">
        <v>47</v>
      </c>
      <c r="B22" s="45">
        <v>194.72</v>
      </c>
      <c r="C22" s="45">
        <v>233.02</v>
      </c>
      <c r="D22" s="45">
        <v>288.89</v>
      </c>
      <c r="E22" s="45">
        <v>361.01</v>
      </c>
      <c r="F22" s="45">
        <v>303.39999999999998</v>
      </c>
      <c r="G22" s="45">
        <v>402.92</v>
      </c>
      <c r="H22" s="45">
        <v>659.07</v>
      </c>
      <c r="I22" s="45">
        <v>1041.74</v>
      </c>
      <c r="J22" s="45">
        <v>1315.54</v>
      </c>
      <c r="K22" s="45">
        <v>1355.49</v>
      </c>
    </row>
    <row r="23" spans="1:11" ht="14.4" x14ac:dyDescent="0.3">
      <c r="A23" s="57" t="s">
        <v>48</v>
      </c>
      <c r="B23" s="45">
        <v>407.07</v>
      </c>
      <c r="C23" s="45">
        <v>450.61</v>
      </c>
      <c r="D23" s="45">
        <v>514.41</v>
      </c>
      <c r="E23" s="45">
        <v>436.82</v>
      </c>
      <c r="F23" s="45">
        <v>364.62</v>
      </c>
      <c r="G23" s="45">
        <v>705.03</v>
      </c>
      <c r="H23" s="45">
        <v>1252.53</v>
      </c>
      <c r="I23" s="45">
        <v>1709.55</v>
      </c>
      <c r="J23" s="45">
        <v>2322.83</v>
      </c>
      <c r="K23" s="45">
        <v>1563.94</v>
      </c>
    </row>
    <row r="24" spans="1:11" ht="14.4" x14ac:dyDescent="0.3">
      <c r="A24" s="57" t="s">
        <v>49</v>
      </c>
      <c r="B24" s="45">
        <v>62.57</v>
      </c>
      <c r="C24" s="45">
        <v>90.29</v>
      </c>
      <c r="D24" s="45">
        <v>93.59</v>
      </c>
      <c r="E24" s="45">
        <v>113.28</v>
      </c>
      <c r="F24" s="45">
        <v>135.66</v>
      </c>
      <c r="G24" s="45">
        <v>114.78</v>
      </c>
      <c r="H24" s="45">
        <v>140.26</v>
      </c>
      <c r="I24" s="45">
        <v>200.49</v>
      </c>
      <c r="J24" s="45">
        <v>267.48</v>
      </c>
      <c r="K24" s="45">
        <v>2216.6799999999998</v>
      </c>
    </row>
    <row r="25" spans="1:11" ht="14.4" x14ac:dyDescent="0.3">
      <c r="A25" s="57" t="s">
        <v>50</v>
      </c>
      <c r="B25" s="45">
        <v>81.31</v>
      </c>
      <c r="C25" s="45">
        <v>27.47</v>
      </c>
      <c r="D25" s="45">
        <v>30.14</v>
      </c>
      <c r="E25" s="45">
        <v>146.63</v>
      </c>
      <c r="F25" s="45">
        <v>199.4</v>
      </c>
      <c r="G25" s="45">
        <v>152.16</v>
      </c>
      <c r="H25" s="45">
        <v>340.6</v>
      </c>
      <c r="I25" s="45">
        <v>988.91</v>
      </c>
      <c r="J25" s="45">
        <v>305.06</v>
      </c>
      <c r="K25" s="45">
        <v>92.63</v>
      </c>
    </row>
    <row r="26" spans="1:11" ht="14.4" x14ac:dyDescent="0.3">
      <c r="A26" s="57" t="s">
        <v>51</v>
      </c>
      <c r="B26" s="45">
        <v>41.29</v>
      </c>
      <c r="C26" s="45">
        <v>45.53</v>
      </c>
      <c r="D26" s="45">
        <v>51.67</v>
      </c>
      <c r="E26" s="45">
        <v>247.24</v>
      </c>
      <c r="F26" s="45">
        <v>257.3</v>
      </c>
      <c r="G26" s="45">
        <v>310.82</v>
      </c>
      <c r="H26" s="45">
        <v>493.69</v>
      </c>
      <c r="I26" s="45">
        <v>671.11</v>
      </c>
      <c r="J26" s="45">
        <v>895.18</v>
      </c>
      <c r="K26" s="45">
        <v>1361.19</v>
      </c>
    </row>
    <row r="27" spans="1:11" ht="14.4" x14ac:dyDescent="0.3">
      <c r="A27" s="57" t="s">
        <v>52</v>
      </c>
      <c r="B27" s="45">
        <v>45.55</v>
      </c>
      <c r="C27" s="45">
        <v>43.78</v>
      </c>
      <c r="D27" s="45">
        <v>50.64</v>
      </c>
      <c r="E27" s="45">
        <v>263.37</v>
      </c>
      <c r="F27" s="45">
        <v>260.79000000000002</v>
      </c>
      <c r="G27" s="45">
        <v>324.83999999999997</v>
      </c>
      <c r="H27" s="45">
        <v>408.99</v>
      </c>
      <c r="I27" s="45">
        <v>367.66</v>
      </c>
      <c r="J27" s="45">
        <v>200.1</v>
      </c>
      <c r="K27" s="45">
        <v>168.35</v>
      </c>
    </row>
    <row r="28" spans="1:11" ht="14.4" x14ac:dyDescent="0.3">
      <c r="A28" s="57" t="s">
        <v>53</v>
      </c>
      <c r="B28" s="45">
        <v>128</v>
      </c>
      <c r="C28" s="45">
        <v>146.66</v>
      </c>
      <c r="D28" s="45">
        <v>168.47</v>
      </c>
      <c r="E28" s="45">
        <v>164.99</v>
      </c>
      <c r="F28" s="45">
        <v>-204.82</v>
      </c>
      <c r="G28" s="45">
        <v>111.22</v>
      </c>
      <c r="H28" s="45">
        <v>552.07000000000005</v>
      </c>
      <c r="I28" s="45">
        <v>1920.83</v>
      </c>
      <c r="J28" s="45">
        <v>2029.74</v>
      </c>
      <c r="K28" s="45">
        <v>2236.48</v>
      </c>
    </row>
    <row r="29" spans="1:11" ht="14.4" x14ac:dyDescent="0.3">
      <c r="A29" s="57" t="s">
        <v>54</v>
      </c>
      <c r="B29" s="45">
        <v>43.05</v>
      </c>
      <c r="C29" s="45">
        <v>59.62</v>
      </c>
      <c r="D29" s="45">
        <v>73.61</v>
      </c>
      <c r="E29" s="45">
        <v>59.01</v>
      </c>
      <c r="F29" s="45">
        <v>-23.69</v>
      </c>
      <c r="G29" s="45">
        <v>76.62</v>
      </c>
      <c r="H29" s="45">
        <v>158.44</v>
      </c>
      <c r="I29" s="45">
        <v>443.37</v>
      </c>
      <c r="J29" s="45">
        <v>495.33</v>
      </c>
      <c r="K29" s="45">
        <v>515.15</v>
      </c>
    </row>
    <row r="30" spans="1:11" ht="14.4" x14ac:dyDescent="0.3">
      <c r="A30" s="57" t="s">
        <v>55</v>
      </c>
      <c r="B30" s="45">
        <v>84.86</v>
      </c>
      <c r="C30" s="45">
        <v>86.97</v>
      </c>
      <c r="D30" s="45">
        <v>96.96</v>
      </c>
      <c r="E30" s="45">
        <v>122.85</v>
      </c>
      <c r="F30" s="45">
        <v>-146.16999999999999</v>
      </c>
      <c r="G30" s="45">
        <v>105.83</v>
      </c>
      <c r="H30" s="45">
        <v>444.63</v>
      </c>
      <c r="I30" s="45">
        <v>1486.8</v>
      </c>
      <c r="J30" s="45">
        <v>1546.72</v>
      </c>
      <c r="K30" s="45">
        <v>1719.65</v>
      </c>
    </row>
    <row r="31" spans="1:11" ht="14.4" x14ac:dyDescent="0.3">
      <c r="A31" s="57" t="s">
        <v>56</v>
      </c>
      <c r="B31" s="45">
        <v>33.229999999999997</v>
      </c>
      <c r="C31" s="45">
        <v>38.21</v>
      </c>
      <c r="D31" s="45">
        <v>43.2</v>
      </c>
      <c r="E31" s="45">
        <v>35.549999999999997</v>
      </c>
      <c r="F31" s="45">
        <v>21.33</v>
      </c>
      <c r="G31" s="45">
        <v>60.44</v>
      </c>
      <c r="H31" s="45">
        <v>78.209999999999994</v>
      </c>
      <c r="I31" s="45">
        <v>113.76</v>
      </c>
      <c r="J31" s="45">
        <v>177.75</v>
      </c>
      <c r="K31" s="45">
        <v>213.3</v>
      </c>
    </row>
    <row r="32" spans="1:11" x14ac:dyDescent="0.25">
      <c r="A32" s="12" t="s">
        <v>57</v>
      </c>
      <c r="B32" s="14">
        <f>B29/B28</f>
        <v>0.33632812499999998</v>
      </c>
      <c r="C32" s="14">
        <f t="shared" ref="C32:K32" si="0">C29/C28</f>
        <v>0.40651847811264147</v>
      </c>
      <c r="D32" s="14">
        <f t="shared" si="0"/>
        <v>0.43693239152371344</v>
      </c>
      <c r="E32" s="14">
        <f t="shared" si="0"/>
        <v>0.35765803988120487</v>
      </c>
      <c r="F32" s="14">
        <f t="shared" si="0"/>
        <v>0.11566253295576605</v>
      </c>
      <c r="G32" s="14">
        <f t="shared" si="0"/>
        <v>0.68890487322424032</v>
      </c>
      <c r="H32" s="14">
        <f t="shared" si="0"/>
        <v>0.28699259151919138</v>
      </c>
      <c r="I32" s="14">
        <f t="shared" si="0"/>
        <v>0.23082209253291547</v>
      </c>
      <c r="J32" s="14">
        <f t="shared" si="0"/>
        <v>0.24403618197404592</v>
      </c>
      <c r="K32" s="14">
        <f t="shared" si="0"/>
        <v>0.23033964086421518</v>
      </c>
    </row>
    <row r="34" spans="1:11" x14ac:dyDescent="0.25">
      <c r="A34" s="12" t="s">
        <v>30</v>
      </c>
      <c r="B34" s="12">
        <f>+B30+B29+B27+B26</f>
        <v>214.74999999999997</v>
      </c>
      <c r="C34" s="12">
        <f t="shared" ref="C34:K34" si="1">+C30+C29+C27+C26</f>
        <v>235.9</v>
      </c>
      <c r="D34" s="12">
        <f t="shared" si="1"/>
        <v>272.88</v>
      </c>
      <c r="E34" s="12">
        <f t="shared" si="1"/>
        <v>692.47</v>
      </c>
      <c r="F34" s="12">
        <f t="shared" si="1"/>
        <v>348.23</v>
      </c>
      <c r="G34" s="12">
        <f t="shared" si="1"/>
        <v>818.1099999999999</v>
      </c>
      <c r="H34" s="12">
        <f t="shared" si="1"/>
        <v>1505.75</v>
      </c>
      <c r="I34" s="12">
        <f t="shared" si="1"/>
        <v>2968.94</v>
      </c>
      <c r="J34" s="12">
        <f t="shared" si="1"/>
        <v>3137.33</v>
      </c>
      <c r="K34" s="12">
        <f t="shared" si="1"/>
        <v>3764.34</v>
      </c>
    </row>
    <row r="36" spans="1:11" x14ac:dyDescent="0.25">
      <c r="B36" s="54"/>
      <c r="C36" s="54"/>
      <c r="D36" s="54"/>
      <c r="E36" s="54"/>
      <c r="F36" s="54"/>
      <c r="G36" s="54"/>
      <c r="H36" s="54"/>
      <c r="I36" s="54"/>
      <c r="J36" s="54"/>
      <c r="K36" s="54"/>
    </row>
    <row r="40" spans="1:11" ht="14.4" x14ac:dyDescent="0.3">
      <c r="A40" s="56" t="s">
        <v>58</v>
      </c>
      <c r="B40" s="45"/>
      <c r="C40" s="45"/>
      <c r="D40" s="45"/>
      <c r="E40" s="45"/>
      <c r="F40" s="45"/>
      <c r="G40" s="45"/>
      <c r="H40" s="45"/>
      <c r="I40" s="45"/>
      <c r="J40" s="45"/>
      <c r="K40" s="45"/>
    </row>
    <row r="41" spans="1:11" s="13" customFormat="1" ht="14.4" x14ac:dyDescent="0.3">
      <c r="A41" s="58" t="s">
        <v>41</v>
      </c>
      <c r="B41" s="46">
        <v>45291</v>
      </c>
      <c r="C41" s="46">
        <v>45382</v>
      </c>
      <c r="D41" s="46">
        <v>45473</v>
      </c>
      <c r="E41" s="46">
        <v>45565</v>
      </c>
      <c r="F41" s="46">
        <v>45657</v>
      </c>
      <c r="G41" s="46">
        <v>45747</v>
      </c>
      <c r="H41" s="46">
        <v>45838</v>
      </c>
      <c r="I41" s="46">
        <v>45930</v>
      </c>
      <c r="J41" s="46">
        <v>46022</v>
      </c>
      <c r="K41" s="46">
        <v>46112</v>
      </c>
    </row>
    <row r="42" spans="1:11" ht="14.4" x14ac:dyDescent="0.3">
      <c r="A42" s="57" t="s">
        <v>42</v>
      </c>
      <c r="B42" s="45">
        <v>3466.62</v>
      </c>
      <c r="C42" s="45">
        <v>3297.7</v>
      </c>
      <c r="D42" s="45">
        <v>4104.4399999999996</v>
      </c>
      <c r="E42" s="45">
        <v>4156.67</v>
      </c>
      <c r="F42" s="45">
        <v>4656.5600000000004</v>
      </c>
      <c r="G42" s="45">
        <v>4216.9399999999996</v>
      </c>
      <c r="H42" s="45">
        <v>4883.4799999999996</v>
      </c>
      <c r="I42" s="45">
        <v>4817.68</v>
      </c>
      <c r="J42" s="45">
        <v>5345.06</v>
      </c>
      <c r="K42" s="45">
        <v>5027.99</v>
      </c>
    </row>
    <row r="43" spans="1:11" ht="14.4" x14ac:dyDescent="0.3">
      <c r="A43" s="57" t="s">
        <v>59</v>
      </c>
      <c r="B43" s="45">
        <v>2838.1</v>
      </c>
      <c r="C43" s="45">
        <v>2828.06</v>
      </c>
      <c r="D43" s="45">
        <v>3491.09</v>
      </c>
      <c r="E43" s="45">
        <v>3510.95</v>
      </c>
      <c r="F43" s="45">
        <v>3809.19</v>
      </c>
      <c r="G43" s="45">
        <v>3566.03</v>
      </c>
      <c r="H43" s="45">
        <v>4035.62</v>
      </c>
      <c r="I43" s="45">
        <v>4001.7</v>
      </c>
      <c r="J43" s="45">
        <v>4263.99</v>
      </c>
      <c r="K43" s="45">
        <v>4116.6899999999996</v>
      </c>
    </row>
    <row r="44" spans="1:11" ht="14.4" x14ac:dyDescent="0.3">
      <c r="A44" s="57" t="s">
        <v>50</v>
      </c>
      <c r="B44" s="45">
        <v>110.01</v>
      </c>
      <c r="C44" s="45">
        <v>694.87</v>
      </c>
      <c r="D44" s="45">
        <v>100.91</v>
      </c>
      <c r="E44" s="45">
        <v>51.04</v>
      </c>
      <c r="F44" s="45">
        <v>79.87</v>
      </c>
      <c r="G44" s="45">
        <v>74.34</v>
      </c>
      <c r="H44" s="45">
        <v>49.8</v>
      </c>
      <c r="I44" s="45">
        <v>27.55</v>
      </c>
      <c r="J44" s="45">
        <v>4.55</v>
      </c>
      <c r="K44" s="45">
        <v>27.91</v>
      </c>
    </row>
    <row r="45" spans="1:11" ht="14.4" x14ac:dyDescent="0.3">
      <c r="A45" s="57" t="s">
        <v>51</v>
      </c>
      <c r="B45" s="45">
        <v>164.53</v>
      </c>
      <c r="C45" s="45">
        <v>212.94</v>
      </c>
      <c r="D45" s="45">
        <v>181.32</v>
      </c>
      <c r="E45" s="45">
        <v>196.95</v>
      </c>
      <c r="F45" s="45">
        <v>244.93</v>
      </c>
      <c r="G45" s="45">
        <v>271.98</v>
      </c>
      <c r="H45" s="45">
        <v>292.93</v>
      </c>
      <c r="I45" s="45">
        <v>324.93</v>
      </c>
      <c r="J45" s="45">
        <v>366.74</v>
      </c>
      <c r="K45" s="45">
        <v>376.59</v>
      </c>
    </row>
    <row r="46" spans="1:11" ht="14.4" x14ac:dyDescent="0.3">
      <c r="A46" s="57" t="s">
        <v>52</v>
      </c>
      <c r="B46" s="45">
        <v>98.81</v>
      </c>
      <c r="C46" s="45">
        <v>32.54</v>
      </c>
      <c r="D46" s="45">
        <v>31.55</v>
      </c>
      <c r="E46" s="45">
        <v>33</v>
      </c>
      <c r="F46" s="45">
        <v>36.520000000000003</v>
      </c>
      <c r="G46" s="45">
        <v>37.520000000000003</v>
      </c>
      <c r="H46" s="45">
        <v>40.04</v>
      </c>
      <c r="I46" s="45">
        <v>41.62</v>
      </c>
      <c r="J46" s="45">
        <v>42.94</v>
      </c>
      <c r="K46" s="45">
        <v>43.75</v>
      </c>
    </row>
    <row r="47" spans="1:11" ht="14.4" x14ac:dyDescent="0.3">
      <c r="A47" s="57" t="s">
        <v>53</v>
      </c>
      <c r="B47" s="45">
        <v>475.19</v>
      </c>
      <c r="C47" s="45">
        <v>919.03</v>
      </c>
      <c r="D47" s="45">
        <v>501.39</v>
      </c>
      <c r="E47" s="45">
        <v>466.81</v>
      </c>
      <c r="F47" s="45">
        <v>645.79</v>
      </c>
      <c r="G47" s="45">
        <v>415.75</v>
      </c>
      <c r="H47" s="45">
        <v>564.69000000000005</v>
      </c>
      <c r="I47" s="45">
        <v>476.98</v>
      </c>
      <c r="J47" s="45">
        <v>675.94</v>
      </c>
      <c r="K47" s="45">
        <v>518.87</v>
      </c>
    </row>
    <row r="48" spans="1:11" ht="14.4" x14ac:dyDescent="0.3">
      <c r="A48" s="57" t="s">
        <v>54</v>
      </c>
      <c r="B48" s="45">
        <v>104.55</v>
      </c>
      <c r="C48" s="45">
        <v>206.94</v>
      </c>
      <c r="D48" s="45">
        <v>110.18</v>
      </c>
      <c r="E48" s="45">
        <v>131.75</v>
      </c>
      <c r="F48" s="45">
        <v>149.25</v>
      </c>
      <c r="G48" s="45">
        <v>104.15</v>
      </c>
      <c r="H48" s="45">
        <v>139.99</v>
      </c>
      <c r="I48" s="45">
        <v>103.56</v>
      </c>
      <c r="J48" s="45">
        <v>165.83</v>
      </c>
      <c r="K48" s="45">
        <v>105.77</v>
      </c>
    </row>
    <row r="49" spans="1:11" ht="14.4" x14ac:dyDescent="0.3">
      <c r="A49" s="57" t="s">
        <v>55</v>
      </c>
      <c r="B49" s="45">
        <v>374.36</v>
      </c>
      <c r="C49" s="45">
        <v>704.23</v>
      </c>
      <c r="D49" s="45">
        <v>392.57</v>
      </c>
      <c r="E49" s="45">
        <v>338.75</v>
      </c>
      <c r="F49" s="45">
        <v>497.25</v>
      </c>
      <c r="G49" s="45">
        <v>318.14999999999998</v>
      </c>
      <c r="H49" s="45">
        <v>429.69</v>
      </c>
      <c r="I49" s="45">
        <v>376.86</v>
      </c>
      <c r="J49" s="45">
        <v>512.77</v>
      </c>
      <c r="K49" s="45">
        <v>400.33</v>
      </c>
    </row>
    <row r="50" spans="1:11" ht="14.4" x14ac:dyDescent="0.3">
      <c r="A50" s="57" t="s">
        <v>60</v>
      </c>
      <c r="B50" s="45">
        <v>628.52</v>
      </c>
      <c r="C50" s="45">
        <v>469.64</v>
      </c>
      <c r="D50" s="45">
        <v>613.35</v>
      </c>
      <c r="E50" s="45">
        <v>645.72</v>
      </c>
      <c r="F50" s="45">
        <v>847.37</v>
      </c>
      <c r="G50" s="45">
        <v>650.91</v>
      </c>
      <c r="H50" s="45">
        <v>847.86</v>
      </c>
      <c r="I50" s="45">
        <v>815.98</v>
      </c>
      <c r="J50" s="45">
        <v>1081.07</v>
      </c>
      <c r="K50" s="45">
        <v>911.3</v>
      </c>
    </row>
    <row r="51" spans="1:11" x14ac:dyDescent="0.25">
      <c r="A51" s="12" t="s">
        <v>30</v>
      </c>
      <c r="B51" s="12">
        <f>B49+B48+B46+B45</f>
        <v>742.25</v>
      </c>
      <c r="C51" s="12">
        <f t="shared" ref="C51:K51" si="2">C49+C48+C46+C45</f>
        <v>1156.6500000000001</v>
      </c>
      <c r="D51" s="12">
        <f t="shared" si="2"/>
        <v>715.61999999999989</v>
      </c>
      <c r="E51" s="12">
        <f t="shared" si="2"/>
        <v>700.45</v>
      </c>
      <c r="F51" s="12">
        <f t="shared" si="2"/>
        <v>927.95</v>
      </c>
      <c r="G51" s="12">
        <f t="shared" si="2"/>
        <v>731.8</v>
      </c>
      <c r="H51" s="12">
        <f t="shared" si="2"/>
        <v>902.65000000000009</v>
      </c>
      <c r="I51" s="12">
        <f t="shared" si="2"/>
        <v>846.97</v>
      </c>
      <c r="J51" s="12">
        <f t="shared" si="2"/>
        <v>1088.28</v>
      </c>
      <c r="K51" s="12">
        <f t="shared" si="2"/>
        <v>926.43999999999983</v>
      </c>
    </row>
    <row r="55" spans="1:11" ht="14.4" x14ac:dyDescent="0.3">
      <c r="A55" s="43" t="s">
        <v>61</v>
      </c>
      <c r="B55" s="45"/>
      <c r="C55" s="45"/>
      <c r="D55" s="45"/>
      <c r="E55" s="45"/>
      <c r="F55" s="45"/>
      <c r="G55" s="45"/>
      <c r="H55" s="45"/>
      <c r="I55" s="45"/>
      <c r="J55" s="45"/>
      <c r="K55" s="45"/>
    </row>
    <row r="56" spans="1:11" s="13" customFormat="1" ht="14.4" x14ac:dyDescent="0.3">
      <c r="A56" s="44" t="s">
        <v>41</v>
      </c>
      <c r="B56" s="46">
        <v>42460</v>
      </c>
      <c r="C56" s="46">
        <v>42825</v>
      </c>
      <c r="D56" s="46">
        <v>43190</v>
      </c>
      <c r="E56" s="46">
        <v>43555</v>
      </c>
      <c r="F56" s="46">
        <v>43921</v>
      </c>
      <c r="G56" s="46">
        <v>44286</v>
      </c>
      <c r="H56" s="46">
        <v>44651</v>
      </c>
      <c r="I56" s="46">
        <v>45016</v>
      </c>
      <c r="J56" s="46">
        <v>45382</v>
      </c>
      <c r="K56" s="46">
        <v>45747</v>
      </c>
    </row>
    <row r="57" spans="1:11" ht="14.4" x14ac:dyDescent="0.3">
      <c r="A57" s="57" t="s">
        <v>62</v>
      </c>
      <c r="B57" s="45">
        <v>33.229999999999997</v>
      </c>
      <c r="C57" s="45">
        <v>33.229999999999997</v>
      </c>
      <c r="D57" s="45">
        <v>33.229999999999997</v>
      </c>
      <c r="E57" s="45">
        <v>35.549999999999997</v>
      </c>
      <c r="F57" s="45">
        <v>35.549999999999997</v>
      </c>
      <c r="G57" s="45">
        <v>35.549999999999997</v>
      </c>
      <c r="H57" s="45">
        <v>35.549999999999997</v>
      </c>
      <c r="I57" s="45">
        <v>35.549999999999997</v>
      </c>
      <c r="J57" s="45">
        <v>35.549999999999997</v>
      </c>
      <c r="K57" s="45">
        <v>35.549999999999997</v>
      </c>
    </row>
    <row r="58" spans="1:11" ht="14.4" x14ac:dyDescent="0.3">
      <c r="A58" s="57" t="s">
        <v>2</v>
      </c>
      <c r="B58" s="45">
        <v>1514.46</v>
      </c>
      <c r="C58" s="45">
        <v>1562.14</v>
      </c>
      <c r="D58" s="45">
        <v>1613.28</v>
      </c>
      <c r="E58" s="45">
        <v>2352.2199999999998</v>
      </c>
      <c r="F58" s="45">
        <v>2277.48</v>
      </c>
      <c r="G58" s="45">
        <v>2328.4499999999998</v>
      </c>
      <c r="H58" s="45">
        <v>2559.94</v>
      </c>
      <c r="I58" s="45">
        <v>4032.19</v>
      </c>
      <c r="J58" s="45">
        <v>5426.19</v>
      </c>
      <c r="K58" s="45">
        <v>6949.13</v>
      </c>
    </row>
    <row r="59" spans="1:11" ht="14.4" x14ac:dyDescent="0.3">
      <c r="A59" s="57" t="s">
        <v>63</v>
      </c>
      <c r="B59" s="45">
        <v>391.74</v>
      </c>
      <c r="C59" s="45">
        <v>391.43</v>
      </c>
      <c r="D59" s="45">
        <v>494.14</v>
      </c>
      <c r="E59" s="45">
        <v>299.74</v>
      </c>
      <c r="F59" s="45">
        <v>2963.63</v>
      </c>
      <c r="G59" s="45">
        <v>4725.3599999999997</v>
      </c>
      <c r="H59" s="45">
        <v>4464.1400000000003</v>
      </c>
      <c r="I59" s="45">
        <v>1752.99</v>
      </c>
      <c r="J59" s="45">
        <v>2237.19</v>
      </c>
      <c r="K59" s="45">
        <v>2561.25</v>
      </c>
    </row>
    <row r="60" spans="1:11" ht="14.4" x14ac:dyDescent="0.3">
      <c r="A60" s="57" t="s">
        <v>64</v>
      </c>
      <c r="B60" s="45">
        <v>282.82</v>
      </c>
      <c r="C60" s="45">
        <v>349.06</v>
      </c>
      <c r="D60" s="45">
        <v>418.11</v>
      </c>
      <c r="E60" s="45">
        <v>2819.17</v>
      </c>
      <c r="F60" s="45">
        <v>447.07</v>
      </c>
      <c r="G60" s="45">
        <v>636.66</v>
      </c>
      <c r="H60" s="45">
        <v>1021.9</v>
      </c>
      <c r="I60" s="45">
        <v>1341.02</v>
      </c>
      <c r="J60" s="45">
        <v>1720.71</v>
      </c>
      <c r="K60" s="45">
        <v>2182.65</v>
      </c>
    </row>
    <row r="61" spans="1:11" s="11" customFormat="1" ht="14.4" x14ac:dyDescent="0.3">
      <c r="A61" s="56" t="s">
        <v>0</v>
      </c>
      <c r="B61" s="45">
        <v>2222.25</v>
      </c>
      <c r="C61" s="45">
        <v>2335.86</v>
      </c>
      <c r="D61" s="45">
        <v>2558.7600000000002</v>
      </c>
      <c r="E61" s="45">
        <v>5506.68</v>
      </c>
      <c r="F61" s="45">
        <v>5723.73</v>
      </c>
      <c r="G61" s="45">
        <v>7726.02</v>
      </c>
      <c r="H61" s="45">
        <v>8081.53</v>
      </c>
      <c r="I61" s="45">
        <v>7161.75</v>
      </c>
      <c r="J61" s="45">
        <v>9419.64</v>
      </c>
      <c r="K61" s="45">
        <v>11728.58</v>
      </c>
    </row>
    <row r="62" spans="1:11" ht="14.4" x14ac:dyDescent="0.3">
      <c r="A62" s="57" t="s">
        <v>3</v>
      </c>
      <c r="B62" s="45">
        <v>548.71</v>
      </c>
      <c r="C62" s="45">
        <v>612.53</v>
      </c>
      <c r="D62" s="45">
        <v>662.18</v>
      </c>
      <c r="E62" s="45">
        <v>2738.43</v>
      </c>
      <c r="F62" s="45">
        <v>3053.82</v>
      </c>
      <c r="G62" s="45">
        <v>4686.71</v>
      </c>
      <c r="H62" s="45">
        <v>4526.95</v>
      </c>
      <c r="I62" s="45">
        <v>2449.92</v>
      </c>
      <c r="J62" s="45">
        <v>3895.13</v>
      </c>
      <c r="K62" s="45">
        <v>5518.74</v>
      </c>
    </row>
    <row r="63" spans="1:11" ht="14.4" x14ac:dyDescent="0.3">
      <c r="A63" s="57" t="s">
        <v>65</v>
      </c>
      <c r="B63" s="45">
        <v>5.48</v>
      </c>
      <c r="C63" s="45">
        <v>9.59</v>
      </c>
      <c r="D63" s="45">
        <v>87.18</v>
      </c>
      <c r="E63" s="45">
        <v>23.32</v>
      </c>
      <c r="F63" s="45">
        <v>107.98</v>
      </c>
      <c r="G63" s="45">
        <v>104.72</v>
      </c>
      <c r="H63" s="45">
        <v>101.72</v>
      </c>
      <c r="I63" s="45">
        <v>223.78</v>
      </c>
      <c r="J63" s="45">
        <v>179.5</v>
      </c>
      <c r="K63" s="45">
        <v>253.99</v>
      </c>
    </row>
    <row r="64" spans="1:11" ht="14.4" x14ac:dyDescent="0.3">
      <c r="A64" s="57" t="s">
        <v>4</v>
      </c>
      <c r="B64" s="45">
        <v>1079.96</v>
      </c>
      <c r="C64" s="45">
        <v>1022.88</v>
      </c>
      <c r="D64" s="45">
        <v>882.83</v>
      </c>
      <c r="E64" s="45">
        <v>1514.78</v>
      </c>
      <c r="F64" s="45">
        <v>1487.29</v>
      </c>
      <c r="G64" s="45">
        <v>1283.72</v>
      </c>
      <c r="H64" s="45">
        <v>1109.8699999999999</v>
      </c>
      <c r="I64" s="45">
        <v>1416.03</v>
      </c>
      <c r="J64" s="45">
        <v>1480.25</v>
      </c>
      <c r="K64" s="45">
        <v>1384.91</v>
      </c>
    </row>
    <row r="65" spans="1:14" ht="14.4" x14ac:dyDescent="0.3">
      <c r="A65" s="57" t="s">
        <v>66</v>
      </c>
      <c r="B65" s="45">
        <v>588.1</v>
      </c>
      <c r="C65" s="45">
        <v>690.86</v>
      </c>
      <c r="D65" s="45">
        <v>926.57</v>
      </c>
      <c r="E65" s="45">
        <v>1230.1500000000001</v>
      </c>
      <c r="F65" s="45">
        <v>1074.6400000000001</v>
      </c>
      <c r="G65" s="45">
        <v>1650.87</v>
      </c>
      <c r="H65" s="45">
        <v>2342.9899999999998</v>
      </c>
      <c r="I65" s="45">
        <v>3072.02</v>
      </c>
      <c r="J65" s="45">
        <v>3864.76</v>
      </c>
      <c r="K65" s="45">
        <v>4570.9399999999996</v>
      </c>
    </row>
    <row r="66" spans="1:14" s="11" customFormat="1" ht="14.4" x14ac:dyDescent="0.3">
      <c r="A66" s="56" t="s">
        <v>0</v>
      </c>
      <c r="B66" s="45">
        <v>2222.25</v>
      </c>
      <c r="C66" s="45">
        <v>2335.86</v>
      </c>
      <c r="D66" s="45">
        <v>2558.7600000000002</v>
      </c>
      <c r="E66" s="45">
        <v>5506.68</v>
      </c>
      <c r="F66" s="45">
        <v>5723.73</v>
      </c>
      <c r="G66" s="45">
        <v>7726.02</v>
      </c>
      <c r="H66" s="45">
        <v>8081.53</v>
      </c>
      <c r="I66" s="45">
        <v>7161.75</v>
      </c>
      <c r="J66" s="45">
        <v>9419.64</v>
      </c>
      <c r="K66" s="45">
        <v>11728.58</v>
      </c>
      <c r="N66" s="12"/>
    </row>
    <row r="67" spans="1:14" ht="14.4" x14ac:dyDescent="0.3">
      <c r="A67" s="57" t="s">
        <v>6</v>
      </c>
      <c r="B67" s="45">
        <v>5.92</v>
      </c>
      <c r="C67" s="45">
        <v>15.1</v>
      </c>
      <c r="D67" s="45">
        <v>16.54</v>
      </c>
      <c r="E67" s="45">
        <v>17.12</v>
      </c>
      <c r="F67" s="45">
        <v>20.77</v>
      </c>
      <c r="G67" s="45">
        <v>18.260000000000002</v>
      </c>
      <c r="H67" s="45">
        <v>34.39</v>
      </c>
      <c r="I67" s="45">
        <v>81.739999999999995</v>
      </c>
      <c r="J67" s="45">
        <v>62.95</v>
      </c>
      <c r="K67" s="45">
        <v>51.14</v>
      </c>
    </row>
    <row r="68" spans="1:14" ht="14.4" x14ac:dyDescent="0.3">
      <c r="A68" s="57" t="s">
        <v>7</v>
      </c>
      <c r="B68" s="45">
        <v>305.36</v>
      </c>
      <c r="C68" s="45">
        <v>344.77</v>
      </c>
      <c r="D68" s="45">
        <v>497.01</v>
      </c>
      <c r="E68" s="45">
        <v>607.80999999999995</v>
      </c>
      <c r="F68" s="45">
        <v>428.39</v>
      </c>
      <c r="G68" s="45">
        <v>867.78</v>
      </c>
      <c r="H68" s="45">
        <v>1361.16</v>
      </c>
      <c r="I68" s="45">
        <v>1582.73</v>
      </c>
      <c r="J68" s="45">
        <v>2045.05</v>
      </c>
      <c r="K68" s="45">
        <v>2289.0100000000002</v>
      </c>
    </row>
    <row r="69" spans="1:14" ht="14.4" x14ac:dyDescent="0.3">
      <c r="A69" s="57" t="s">
        <v>67</v>
      </c>
      <c r="B69" s="45">
        <v>34.28</v>
      </c>
      <c r="C69" s="45">
        <v>32.81</v>
      </c>
      <c r="D69" s="45">
        <v>54.23</v>
      </c>
      <c r="E69" s="45">
        <v>61.41</v>
      </c>
      <c r="F69" s="45">
        <v>81.47</v>
      </c>
      <c r="G69" s="45">
        <v>85.97</v>
      </c>
      <c r="H69" s="45">
        <v>86.3</v>
      </c>
      <c r="I69" s="45">
        <v>297.56</v>
      </c>
      <c r="J69" s="45">
        <v>339.84</v>
      </c>
      <c r="K69" s="45">
        <v>283</v>
      </c>
    </row>
    <row r="70" spans="1:14" ht="14.4" x14ac:dyDescent="0.3">
      <c r="A70" s="57" t="s">
        <v>68</v>
      </c>
      <c r="B70" s="45">
        <v>332316730</v>
      </c>
      <c r="C70" s="45">
        <v>332316730</v>
      </c>
      <c r="D70" s="45">
        <v>332316730</v>
      </c>
      <c r="E70" s="45">
        <v>355487461</v>
      </c>
      <c r="F70" s="45">
        <v>355487461</v>
      </c>
      <c r="G70" s="45">
        <v>355487461</v>
      </c>
      <c r="H70" s="45">
        <v>355487461</v>
      </c>
      <c r="I70" s="45">
        <v>355487461</v>
      </c>
      <c r="J70" s="45">
        <v>355487461</v>
      </c>
      <c r="K70" s="45"/>
    </row>
    <row r="71" spans="1:14" ht="14.4" x14ac:dyDescent="0.3">
      <c r="A71" s="57" t="s">
        <v>69</v>
      </c>
      <c r="B71" s="45"/>
      <c r="C71" s="45"/>
      <c r="D71" s="45"/>
      <c r="E71" s="45"/>
      <c r="F71" s="45"/>
      <c r="G71" s="45"/>
      <c r="H71" s="45"/>
      <c r="I71" s="45"/>
      <c r="J71" s="45"/>
      <c r="K71" s="45"/>
    </row>
    <row r="72" spans="1:14" ht="14.4" x14ac:dyDescent="0.3">
      <c r="A72" s="57" t="s">
        <v>70</v>
      </c>
      <c r="B72" s="45">
        <v>1</v>
      </c>
      <c r="C72" s="45">
        <v>1</v>
      </c>
      <c r="D72" s="45">
        <v>1</v>
      </c>
      <c r="E72" s="45">
        <v>1</v>
      </c>
      <c r="F72" s="45">
        <v>1</v>
      </c>
      <c r="G72" s="45">
        <v>1</v>
      </c>
      <c r="H72" s="45">
        <v>1</v>
      </c>
      <c r="I72" s="45">
        <v>1</v>
      </c>
      <c r="J72" s="45">
        <v>1</v>
      </c>
      <c r="K72" s="45">
        <v>1</v>
      </c>
    </row>
    <row r="73" spans="1:14" x14ac:dyDescent="0.25">
      <c r="H73" s="12">
        <f>H62-G62+H45</f>
        <v>133.16999999999979</v>
      </c>
      <c r="I73" s="12">
        <f t="shared" ref="I73:K73" si="3">I62-H62+I45</f>
        <v>-1752.0999999999997</v>
      </c>
      <c r="J73" s="12">
        <f t="shared" si="3"/>
        <v>1811.95</v>
      </c>
      <c r="K73" s="12">
        <f t="shared" si="3"/>
        <v>2000.1999999999996</v>
      </c>
    </row>
    <row r="75" spans="1:14" x14ac:dyDescent="0.25">
      <c r="A75" s="12" t="s">
        <v>159</v>
      </c>
      <c r="B75" s="12">
        <f>B65-SUM(B67:B69)</f>
        <v>242.53999999999996</v>
      </c>
      <c r="C75" s="12">
        <f t="shared" ref="C75:K75" si="4">C65-SUM(C67:C69)</f>
        <v>298.18</v>
      </c>
      <c r="D75" s="12">
        <f t="shared" si="4"/>
        <v>358.79000000000008</v>
      </c>
      <c r="E75" s="12">
        <f t="shared" si="4"/>
        <v>543.81000000000017</v>
      </c>
      <c r="F75" s="12">
        <f t="shared" si="4"/>
        <v>544.0100000000001</v>
      </c>
      <c r="G75" s="12">
        <f t="shared" si="4"/>
        <v>678.8599999999999</v>
      </c>
      <c r="H75" s="12">
        <f t="shared" si="4"/>
        <v>861.13999999999965</v>
      </c>
      <c r="I75" s="12">
        <f t="shared" si="4"/>
        <v>1109.99</v>
      </c>
      <c r="J75" s="12">
        <f t="shared" si="4"/>
        <v>1416.92</v>
      </c>
      <c r="K75" s="12">
        <f t="shared" si="4"/>
        <v>1947.7899999999995</v>
      </c>
    </row>
    <row r="77" spans="1:14" x14ac:dyDescent="0.25">
      <c r="A77" s="11" t="s">
        <v>71</v>
      </c>
      <c r="B77" s="12">
        <f>B61</f>
        <v>2222.25</v>
      </c>
      <c r="C77" s="12">
        <f t="shared" ref="C77:K77" si="5">C61</f>
        <v>2335.86</v>
      </c>
      <c r="D77" s="12">
        <f t="shared" si="5"/>
        <v>2558.7600000000002</v>
      </c>
      <c r="E77" s="12">
        <f t="shared" si="5"/>
        <v>5506.68</v>
      </c>
      <c r="F77" s="12">
        <f t="shared" si="5"/>
        <v>5723.73</v>
      </c>
      <c r="G77" s="12">
        <f t="shared" si="5"/>
        <v>7726.02</v>
      </c>
      <c r="H77" s="12">
        <f t="shared" si="5"/>
        <v>8081.53</v>
      </c>
      <c r="I77" s="12">
        <f t="shared" si="5"/>
        <v>7161.75</v>
      </c>
      <c r="J77" s="12">
        <f t="shared" si="5"/>
        <v>9419.64</v>
      </c>
      <c r="K77" s="12">
        <f t="shared" si="5"/>
        <v>11728.58</v>
      </c>
    </row>
    <row r="80" spans="1:14" ht="14.4" x14ac:dyDescent="0.3">
      <c r="A80" s="56" t="s">
        <v>72</v>
      </c>
      <c r="B80" s="45"/>
      <c r="C80" s="45"/>
      <c r="D80" s="45"/>
      <c r="E80" s="45"/>
      <c r="F80" s="45"/>
      <c r="G80" s="45"/>
      <c r="H80" s="45"/>
      <c r="I80" s="45"/>
      <c r="J80" s="45"/>
      <c r="K80" s="45"/>
    </row>
    <row r="81" spans="1:12" s="13" customFormat="1" ht="14.4" x14ac:dyDescent="0.3">
      <c r="A81" s="58" t="s">
        <v>41</v>
      </c>
      <c r="B81" s="46">
        <v>42825</v>
      </c>
      <c r="C81" s="46">
        <v>43190</v>
      </c>
      <c r="D81" s="46">
        <v>43555</v>
      </c>
      <c r="E81" s="46">
        <v>43921</v>
      </c>
      <c r="F81" s="46">
        <v>44286</v>
      </c>
      <c r="G81" s="46">
        <v>44651</v>
      </c>
      <c r="H81" s="46">
        <v>45016</v>
      </c>
      <c r="I81" s="46">
        <v>45382</v>
      </c>
      <c r="J81" s="46">
        <v>45747</v>
      </c>
      <c r="K81" s="46">
        <v>46112</v>
      </c>
      <c r="L81" s="42"/>
    </row>
    <row r="82" spans="1:12" s="11" customFormat="1" ht="14.4" x14ac:dyDescent="0.3">
      <c r="A82" s="57" t="s">
        <v>73</v>
      </c>
      <c r="B82" s="45">
        <v>102.44</v>
      </c>
      <c r="C82" s="45">
        <v>76.86</v>
      </c>
      <c r="D82" s="45">
        <v>20.98</v>
      </c>
      <c r="E82" s="45">
        <v>361.16</v>
      </c>
      <c r="F82" s="45">
        <v>285.02999999999997</v>
      </c>
      <c r="G82" s="45">
        <v>58.08</v>
      </c>
      <c r="H82" s="45">
        <v>594.88</v>
      </c>
      <c r="I82" s="45">
        <v>1348.98</v>
      </c>
      <c r="J82" s="45">
        <v>1660.9</v>
      </c>
      <c r="K82" s="45">
        <v>2667.62</v>
      </c>
    </row>
    <row r="83" spans="1:12" ht="14.4" x14ac:dyDescent="0.3">
      <c r="A83" s="57" t="s">
        <v>74</v>
      </c>
      <c r="B83" s="45">
        <v>-43.7</v>
      </c>
      <c r="C83" s="45">
        <v>-4.0199999999999996</v>
      </c>
      <c r="D83" s="45">
        <v>-37.03</v>
      </c>
      <c r="E83" s="45">
        <v>-808.56</v>
      </c>
      <c r="F83" s="45">
        <v>17.71</v>
      </c>
      <c r="G83" s="45">
        <v>56.03</v>
      </c>
      <c r="H83" s="45">
        <v>-102.63</v>
      </c>
      <c r="I83" s="45">
        <v>-508.21</v>
      </c>
      <c r="J83" s="45">
        <v>-923.31</v>
      </c>
      <c r="K83" s="45">
        <v>-1578.36</v>
      </c>
    </row>
    <row r="84" spans="1:12" ht="14.4" x14ac:dyDescent="0.3">
      <c r="A84" s="57" t="s">
        <v>75</v>
      </c>
      <c r="B84" s="45">
        <v>-51.36</v>
      </c>
      <c r="C84" s="45">
        <v>-74.31</v>
      </c>
      <c r="D84" s="45">
        <v>37.47</v>
      </c>
      <c r="E84" s="45">
        <v>451.94</v>
      </c>
      <c r="F84" s="45">
        <v>-283.11</v>
      </c>
      <c r="G84" s="45">
        <v>-107.98</v>
      </c>
      <c r="H84" s="45">
        <v>-491.41</v>
      </c>
      <c r="I84" s="45">
        <v>-629.45000000000005</v>
      </c>
      <c r="J84" s="45">
        <v>-693.67</v>
      </c>
      <c r="K84" s="45">
        <v>-1147.6099999999999</v>
      </c>
    </row>
    <row r="85" spans="1:12" s="11" customFormat="1" ht="14.4" x14ac:dyDescent="0.3">
      <c r="A85" s="57" t="s">
        <v>27</v>
      </c>
      <c r="B85" s="45">
        <v>7.38</v>
      </c>
      <c r="C85" s="45">
        <v>-1.47</v>
      </c>
      <c r="D85" s="45">
        <v>21.42</v>
      </c>
      <c r="E85" s="45">
        <v>4.54</v>
      </c>
      <c r="F85" s="45">
        <v>19.63</v>
      </c>
      <c r="G85" s="45">
        <v>6.13</v>
      </c>
      <c r="H85" s="45">
        <v>0.84</v>
      </c>
      <c r="I85" s="45">
        <v>211.32</v>
      </c>
      <c r="J85" s="45">
        <v>43.92</v>
      </c>
      <c r="K85" s="45">
        <v>-58.35</v>
      </c>
    </row>
    <row r="86" spans="1:12" ht="14.4" x14ac:dyDescent="0.3">
      <c r="A86" s="57"/>
      <c r="B86" s="45"/>
      <c r="C86" s="45"/>
      <c r="D86" s="45"/>
      <c r="E86" s="45"/>
      <c r="F86" s="45"/>
      <c r="G86" s="45"/>
      <c r="H86" s="45"/>
      <c r="I86" s="45"/>
      <c r="J86" s="45"/>
      <c r="K86" s="45"/>
    </row>
    <row r="87" spans="1:12" ht="14.4" x14ac:dyDescent="0.3">
      <c r="A87" s="57"/>
      <c r="B87" s="45"/>
      <c r="C87" s="45"/>
      <c r="D87" s="45"/>
      <c r="E87" s="45"/>
      <c r="F87" s="45"/>
      <c r="G87" s="45"/>
      <c r="H87" s="45"/>
      <c r="I87" s="45"/>
      <c r="J87" s="45"/>
      <c r="K87" s="45"/>
    </row>
    <row r="88" spans="1:12" ht="14.4" x14ac:dyDescent="0.3">
      <c r="A88" s="57"/>
      <c r="B88" s="45"/>
      <c r="C88" s="45"/>
      <c r="D88" s="45"/>
      <c r="E88" s="45"/>
      <c r="F88" s="45"/>
      <c r="G88" s="45"/>
      <c r="H88" s="45"/>
      <c r="I88" s="45"/>
      <c r="J88" s="45"/>
      <c r="K88" s="45"/>
    </row>
    <row r="89" spans="1:12" ht="14.4" x14ac:dyDescent="0.3">
      <c r="A89" s="57"/>
      <c r="B89" s="45"/>
      <c r="C89" s="45"/>
      <c r="D89" s="45"/>
      <c r="E89" s="45"/>
      <c r="F89" s="45"/>
      <c r="G89" s="45"/>
      <c r="H89" s="45"/>
      <c r="I89" s="45"/>
      <c r="J89" s="45"/>
      <c r="K89" s="45"/>
    </row>
    <row r="90" spans="1:12" s="11" customFormat="1" ht="14.4" x14ac:dyDescent="0.3">
      <c r="A90" s="56" t="s">
        <v>76</v>
      </c>
      <c r="B90" s="45">
        <v>266.7</v>
      </c>
      <c r="C90" s="45">
        <v>345.05</v>
      </c>
      <c r="D90" s="45">
        <v>361.9</v>
      </c>
      <c r="E90" s="45">
        <v>484.35</v>
      </c>
      <c r="F90" s="45">
        <v>751.05</v>
      </c>
      <c r="G90" s="45">
        <v>1275.5</v>
      </c>
      <c r="H90" s="45">
        <v>1374.95</v>
      </c>
      <c r="I90" s="45">
        <v>3948</v>
      </c>
      <c r="J90" s="45">
        <v>5325.15</v>
      </c>
      <c r="K90" s="45">
        <v>3295.8</v>
      </c>
    </row>
    <row r="92" spans="1:12" s="11" customFormat="1" ht="14.4" x14ac:dyDescent="0.3">
      <c r="A92" s="56" t="s">
        <v>77</v>
      </c>
      <c r="B92" s="56"/>
      <c r="C92" s="56"/>
      <c r="D92" s="56"/>
      <c r="E92" s="56"/>
      <c r="F92" s="56"/>
      <c r="G92" s="56"/>
      <c r="H92" s="56"/>
      <c r="I92" s="56"/>
      <c r="J92" s="56"/>
      <c r="K92" s="56"/>
    </row>
    <row r="93" spans="1:12" ht="14.4" x14ac:dyDescent="0.3">
      <c r="A93" s="57" t="s">
        <v>78</v>
      </c>
      <c r="B93" s="57">
        <v>33.229999999999997</v>
      </c>
      <c r="C93" s="57">
        <v>33.229999999999997</v>
      </c>
      <c r="D93" s="57">
        <v>33.229999999999997</v>
      </c>
      <c r="E93" s="57">
        <v>35.549999999999997</v>
      </c>
      <c r="F93" s="57">
        <v>35.549999999999997</v>
      </c>
      <c r="G93" s="57">
        <v>35.549999999999997</v>
      </c>
      <c r="H93" s="57">
        <v>35.549999999999997</v>
      </c>
      <c r="I93" s="57">
        <v>35.549999999999997</v>
      </c>
      <c r="J93" s="57">
        <v>35.549999999999997</v>
      </c>
      <c r="K93" s="57">
        <v>35.549999999999997</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Historical IFS Trent Ltd</vt:lpstr>
      <vt:lpstr>CommonSize Statement Trent Ltd </vt:lpstr>
      <vt:lpstr>Ratio Analysis Trent Ltd</vt:lpstr>
      <vt:lpstr>Dupont Analysis</vt:lpstr>
      <vt:lpstr>VAR Trent Ltd</vt:lpstr>
      <vt:lpstr>WACC Calculation Trent Ltd  </vt:lpstr>
      <vt:lpstr>DCF Trent Ltd</vt:lpstr>
      <vt:lpstr>Forecasting Trent Ltd</vt:lpstr>
      <vt:lpstr>Raw Data CF Trent Ltd</vt:lpstr>
      <vt:lpstr>Raw Data Trent Ltd</vt:lpstr>
      <vt:lpstr>'Forecasting Trent Ltd'!Print_Area</vt:lpstr>
      <vt:lpstr>'Raw Data Trent Ltd'!UPDATE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 TOSAWAR</dc:creator>
  <cp:lastModifiedBy>ANSHU TOSAWAR</cp:lastModifiedBy>
  <cp:lastPrinted>2026-05-19T09:40:28Z</cp:lastPrinted>
  <dcterms:created xsi:type="dcterms:W3CDTF">2026-04-09T08:51:53Z</dcterms:created>
  <dcterms:modified xsi:type="dcterms:W3CDTF">2026-05-20T07:30:38Z</dcterms:modified>
</cp:coreProperties>
</file>