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drawings/drawing2.xml" ContentType="application/vnd.openxmlformats-officedocument.drawing+xml"/>
  <Override PartName="/xl/charts/chartEx1.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defaultThemeVersion="202300"/>
  <mc:AlternateContent xmlns:mc="http://schemas.openxmlformats.org/markup-compatibility/2006">
    <mc:Choice Requires="x15">
      <x15ac:absPath xmlns:x15ac="http://schemas.microsoft.com/office/spreadsheetml/2010/11/ac" url="https://d.docs.live.net/2ad2d8d6231cb0a9/OFFICE/EXCEL FILES/"/>
    </mc:Choice>
  </mc:AlternateContent>
  <xr:revisionPtr revIDLastSave="436" documentId="8_{E8456A6B-D113-472F-936A-3333AA78C870}" xr6:coauthVersionLast="47" xr6:coauthVersionMax="47" xr10:uidLastSave="{08A927A7-5F30-46F2-BA24-76F80A0409A7}"/>
  <bookViews>
    <workbookView xWindow="-108" yWindow="-108" windowWidth="30936" windowHeight="16776" tabRatio="824" xr2:uid="{81F84FE7-9655-4683-B537-AFA475D67F0A}"/>
  </bookViews>
  <sheets>
    <sheet name="Historical IFS Asian Paints" sheetId="23" r:id="rId1"/>
    <sheet name="CommonSize Statement AsianPaint" sheetId="22" r:id="rId2"/>
    <sheet name="Ratio Analysis Asian Paints" sheetId="25" r:id="rId3"/>
    <sheet name="Dupont Analysis" sheetId="27" r:id="rId4"/>
    <sheet name="VAR Asian Paints" sheetId="28" r:id="rId5"/>
    <sheet name="WACC Calculation Asian Paints" sheetId="29" r:id="rId6"/>
    <sheet name="DCF Asian Paints" sheetId="30" r:id="rId7"/>
    <sheet name="Forecasting Asian Paints" sheetId="31" r:id="rId8"/>
    <sheet name="Raw Data Asian Paints" sheetId="21" r:id="rId9"/>
    <sheet name="Raw Sheet CF Asian Paints" sheetId="24" r:id="rId10"/>
  </sheets>
  <externalReferences>
    <externalReference r:id="rId11"/>
    <externalReference r:id="rId12"/>
  </externalReferences>
  <definedNames>
    <definedName name="_xlnm._FilterDatabase" localSheetId="4" hidden="1">'VAR Asian Paints'!$B$2:$E$2</definedName>
    <definedName name="_xlchart.v1.0" hidden="1">'VAR Asian Paints'!$H$3:$H$2120</definedName>
    <definedName name="_xleta.SHEET" hidden="1" xlm="1">#NAME?</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"04/29/2023 08:53:12"</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_xlnm.Print_Area" localSheetId="7">'Forecasting Asian Paints'!$A$1:$O$56</definedName>
    <definedName name="UPDATE" localSheetId="8">'Raw Data Asian Paints'!$E$1</definedName>
    <definedName name="UPDAT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 i="30" l="1"/>
  <c r="M2" i="30"/>
  <c r="L2" i="30"/>
  <c r="H2" i="30"/>
  <c r="D55" i="31"/>
  <c r="E55" i="31" s="1"/>
  <c r="D54" i="31"/>
  <c r="E54" i="31" s="1"/>
  <c r="D53" i="31"/>
  <c r="D52" i="31"/>
  <c r="D36" i="31"/>
  <c r="E36" i="31" s="1"/>
  <c r="D35" i="31"/>
  <c r="D34" i="31"/>
  <c r="D33" i="31"/>
  <c r="D42" i="31" a="1"/>
  <c r="D43" i="31" s="1"/>
  <c r="D23" i="31" a="1"/>
  <c r="D24" i="31" s="1"/>
  <c r="B40" i="31"/>
  <c r="B21" i="31"/>
  <c r="D17" i="31"/>
  <c r="E17" i="31" s="1"/>
  <c r="D16" i="31"/>
  <c r="E16" i="31" s="1"/>
  <c r="D15" i="31"/>
  <c r="D14" i="31"/>
  <c r="D4" i="31" a="1"/>
  <c r="D4" i="31" s="1"/>
  <c r="C42" i="31"/>
  <c r="C43" i="31" s="1"/>
  <c r="C44" i="31" s="1"/>
  <c r="C45" i="31" s="1"/>
  <c r="C46" i="31" s="1"/>
  <c r="C47" i="31" s="1"/>
  <c r="C48" i="31" s="1"/>
  <c r="C49" i="31" s="1"/>
  <c r="C50" i="31" s="1"/>
  <c r="C51" i="31" s="1"/>
  <c r="C52" i="31" s="1"/>
  <c r="C53" i="31" s="1"/>
  <c r="C54" i="31" s="1"/>
  <c r="C55" i="31" s="1"/>
  <c r="C23" i="31"/>
  <c r="C24" i="31" s="1"/>
  <c r="C25" i="31" s="1"/>
  <c r="C26" i="31" s="1"/>
  <c r="C27" i="31" s="1"/>
  <c r="C28" i="31" s="1"/>
  <c r="C29" i="31" s="1"/>
  <c r="C30" i="31" s="1"/>
  <c r="C31" i="31" s="1"/>
  <c r="C32" i="31" s="1"/>
  <c r="C33" i="31" s="1"/>
  <c r="C34" i="31" s="1"/>
  <c r="C35" i="31" s="1"/>
  <c r="C36" i="31" s="1"/>
  <c r="C4" i="31"/>
  <c r="C5" i="31" s="1"/>
  <c r="C6" i="31" s="1"/>
  <c r="C7" i="31" s="1"/>
  <c r="C8" i="31" s="1"/>
  <c r="C9" i="31" s="1"/>
  <c r="C10" i="31" s="1"/>
  <c r="C11" i="31" s="1"/>
  <c r="C12" i="31" s="1"/>
  <c r="C13" i="31" s="1"/>
  <c r="C14" i="31" s="1"/>
  <c r="C15" i="31" s="1"/>
  <c r="C16" i="31" s="1"/>
  <c r="C17" i="31" s="1"/>
  <c r="B2" i="31"/>
  <c r="J2" i="28"/>
  <c r="B2" i="27"/>
  <c r="E34" i="31" l="1"/>
  <c r="D47" i="31"/>
  <c r="E47" i="31" s="1"/>
  <c r="D50" i="31"/>
  <c r="D42" i="31"/>
  <c r="D49" i="31"/>
  <c r="D48" i="31"/>
  <c r="E49" i="31" s="1"/>
  <c r="D46" i="31"/>
  <c r="D45" i="31"/>
  <c r="D44" i="31"/>
  <c r="E45" i="31" s="1"/>
  <c r="D51" i="31"/>
  <c r="D31" i="31"/>
  <c r="E31" i="31" s="1"/>
  <c r="D23" i="31"/>
  <c r="E24" i="31" s="1"/>
  <c r="D30" i="31"/>
  <c r="D27" i="31"/>
  <c r="D26" i="31"/>
  <c r="D25" i="31"/>
  <c r="E25" i="31" s="1"/>
  <c r="D29" i="31"/>
  <c r="E30" i="31" s="1"/>
  <c r="D28" i="31"/>
  <c r="D32" i="31"/>
  <c r="E33" i="31" s="1"/>
  <c r="E15" i="31"/>
  <c r="D11" i="31"/>
  <c r="D10" i="31"/>
  <c r="D9" i="31"/>
  <c r="E9" i="31" s="1"/>
  <c r="D8" i="31"/>
  <c r="D7" i="31"/>
  <c r="E7" i="31" s="1"/>
  <c r="D6" i="31"/>
  <c r="E6" i="31" s="1"/>
  <c r="D13" i="31"/>
  <c r="E13" i="31" s="1"/>
  <c r="D5" i="31"/>
  <c r="D12" i="31"/>
  <c r="E11" i="31"/>
  <c r="E53" i="31"/>
  <c r="E35" i="31"/>
  <c r="D194" i="28"/>
  <c r="D55" i="28"/>
  <c r="D1990" i="28"/>
  <c r="D496" i="28"/>
  <c r="D343" i="28"/>
  <c r="D115" i="28"/>
  <c r="D104" i="28"/>
  <c r="D1920" i="28"/>
  <c r="D87" i="28"/>
  <c r="D1900" i="28"/>
  <c r="D1630" i="28"/>
  <c r="D1641" i="28"/>
  <c r="D1283" i="28"/>
  <c r="D1658" i="28"/>
  <c r="D1365" i="28"/>
  <c r="D1418" i="28"/>
  <c r="D83" i="28"/>
  <c r="D183" i="28"/>
  <c r="D417" i="28"/>
  <c r="D359" i="28"/>
  <c r="D14" i="28"/>
  <c r="D1400" i="28"/>
  <c r="D86" i="28"/>
  <c r="D1685" i="28"/>
  <c r="D8" i="28"/>
  <c r="D997" i="28"/>
  <c r="D880" i="28"/>
  <c r="D2026" i="28"/>
  <c r="D98" i="28"/>
  <c r="D2020" i="28"/>
  <c r="D1700" i="28"/>
  <c r="D41" i="28"/>
  <c r="D121" i="28"/>
  <c r="D2019" i="28"/>
  <c r="D1252" i="28"/>
  <c r="D1957" i="28"/>
  <c r="D714" i="28"/>
  <c r="D153" i="28"/>
  <c r="D1194" i="28"/>
  <c r="D1703" i="28"/>
  <c r="D1945" i="28"/>
  <c r="D1543" i="28"/>
  <c r="D18" i="28"/>
  <c r="D2059" i="28"/>
  <c r="D1168" i="28"/>
  <c r="D259" i="28"/>
  <c r="D2014" i="28"/>
  <c r="D2037" i="28"/>
  <c r="D1737" i="28"/>
  <c r="D1436" i="28"/>
  <c r="D1334" i="28"/>
  <c r="D1271" i="28"/>
  <c r="D401" i="28"/>
  <c r="D1192" i="28"/>
  <c r="D1708" i="28"/>
  <c r="D885" i="28"/>
  <c r="D125" i="28"/>
  <c r="D1241" i="28"/>
  <c r="D1363" i="28"/>
  <c r="D939" i="28"/>
  <c r="D1463" i="28"/>
  <c r="D1319" i="28"/>
  <c r="D1188" i="28"/>
  <c r="D1513" i="28"/>
  <c r="D1417" i="28"/>
  <c r="D1591" i="28"/>
  <c r="D77" i="28"/>
  <c r="D753" i="28"/>
  <c r="D1840" i="28"/>
  <c r="D1922" i="28"/>
  <c r="D1891" i="28"/>
  <c r="D2067" i="28"/>
  <c r="D2057" i="28"/>
  <c r="D222" i="28"/>
  <c r="D339" i="28"/>
  <c r="D1853" i="28"/>
  <c r="D1969" i="28"/>
  <c r="D1807" i="28"/>
  <c r="D1984" i="28"/>
  <c r="D1925" i="28"/>
  <c r="D250" i="28"/>
  <c r="D321" i="28"/>
  <c r="D290" i="28"/>
  <c r="D1883" i="28"/>
  <c r="D1129" i="28"/>
  <c r="D334" i="28"/>
  <c r="D509" i="28"/>
  <c r="D697" i="28"/>
  <c r="D1382" i="28"/>
  <c r="D812" i="28"/>
  <c r="D1015" i="28"/>
  <c r="D1197" i="28"/>
  <c r="D1820" i="28"/>
  <c r="D1016" i="28"/>
  <c r="D1094" i="28"/>
  <c r="D630" i="28"/>
  <c r="D748" i="28"/>
  <c r="D1474" i="28"/>
  <c r="D1154" i="28"/>
  <c r="D744" i="28"/>
  <c r="D826" i="28"/>
  <c r="D1500" i="28"/>
  <c r="D1652" i="28"/>
  <c r="D1878" i="28"/>
  <c r="D2047" i="28"/>
  <c r="D1393" i="28"/>
  <c r="D1144" i="28"/>
  <c r="D840" i="28"/>
  <c r="D252" i="28"/>
  <c r="D192" i="28"/>
  <c r="D1217" i="28"/>
  <c r="D1583" i="28"/>
  <c r="D636" i="28"/>
  <c r="D1379" i="28"/>
  <c r="D858" i="28"/>
  <c r="D929" i="28"/>
  <c r="D1195" i="28"/>
  <c r="D1621" i="28"/>
  <c r="D733" i="28"/>
  <c r="D1437" i="28"/>
  <c r="D600" i="28"/>
  <c r="D599" i="28"/>
  <c r="D12" i="28"/>
  <c r="D27" i="28"/>
  <c r="D767" i="28"/>
  <c r="D231" i="28"/>
  <c r="D898" i="28"/>
  <c r="D17" i="28"/>
  <c r="D1228" i="28"/>
  <c r="D1439" i="28"/>
  <c r="D1314" i="28"/>
  <c r="D1248" i="28"/>
  <c r="D464" i="28"/>
  <c r="D1219" i="28"/>
  <c r="D523" i="28"/>
  <c r="D1735" i="28"/>
  <c r="D490" i="28"/>
  <c r="D1576" i="28"/>
  <c r="D218" i="28"/>
  <c r="D20" i="28"/>
  <c r="D159" i="28"/>
  <c r="D392" i="28"/>
  <c r="D1672" i="28"/>
  <c r="D931" i="28"/>
  <c r="D580" i="28"/>
  <c r="D1470" i="28"/>
  <c r="D1519" i="28"/>
  <c r="D665" i="28"/>
  <c r="D1173" i="28"/>
  <c r="D727" i="28"/>
  <c r="D1763" i="28"/>
  <c r="D503" i="28"/>
  <c r="D1727" i="28"/>
  <c r="D2001" i="28"/>
  <c r="D1856" i="28"/>
  <c r="D978" i="28"/>
  <c r="D1841" i="28"/>
  <c r="D1089" i="28"/>
  <c r="D1038" i="28"/>
  <c r="D1108" i="28"/>
  <c r="D1181" i="28"/>
  <c r="D1793" i="28"/>
  <c r="D1825" i="28"/>
  <c r="D926" i="28"/>
  <c r="D845" i="28"/>
  <c r="D1026" i="28"/>
  <c r="D1627" i="28"/>
  <c r="D1734" i="28"/>
  <c r="D605" i="28"/>
  <c r="D461" i="28"/>
  <c r="D1235" i="28"/>
  <c r="D930" i="28"/>
  <c r="D233" i="28"/>
  <c r="D624" i="28"/>
  <c r="D1049" i="28"/>
  <c r="D1185" i="28"/>
  <c r="D1876" i="28"/>
  <c r="D1830" i="28"/>
  <c r="D1184" i="28"/>
  <c r="D1269" i="28"/>
  <c r="D687" i="28"/>
  <c r="D114" i="28"/>
  <c r="D253" i="28"/>
  <c r="D1250" i="28"/>
  <c r="D746" i="28"/>
  <c r="D1432" i="28"/>
  <c r="D1031" i="28"/>
  <c r="D582" i="28"/>
  <c r="D205" i="28"/>
  <c r="D1579" i="28"/>
  <c r="D314" i="28"/>
  <c r="D284" i="28"/>
  <c r="D1375" i="28"/>
  <c r="D237" i="28"/>
  <c r="D294" i="28"/>
  <c r="D915" i="28"/>
  <c r="D1714" i="28"/>
  <c r="D1329" i="28"/>
  <c r="D1156" i="28"/>
  <c r="D1492" i="28"/>
  <c r="D1218" i="28"/>
  <c r="D1554" i="28"/>
  <c r="D836" i="28"/>
  <c r="D1207" i="28"/>
  <c r="D1636" i="28"/>
  <c r="D1928" i="28"/>
  <c r="D1601" i="28"/>
  <c r="D1871" i="28"/>
  <c r="D100" i="28"/>
  <c r="D488" i="28"/>
  <c r="D575" i="28"/>
  <c r="D1586" i="28"/>
  <c r="D54" i="28"/>
  <c r="D968" i="28"/>
  <c r="D319" i="28"/>
  <c r="D311" i="28"/>
  <c r="D201" i="28"/>
  <c r="D1030" i="28"/>
  <c r="D1230" i="28"/>
  <c r="D324" i="28"/>
  <c r="D1506" i="28"/>
  <c r="D1011" i="28"/>
  <c r="D912" i="28"/>
  <c r="D545" i="28"/>
  <c r="D346" i="28"/>
  <c r="D190" i="28"/>
  <c r="D1958" i="28"/>
  <c r="D459" i="28"/>
  <c r="D1438" i="28"/>
  <c r="D1649" i="28"/>
  <c r="D1070" i="28"/>
  <c r="D1113" i="28"/>
  <c r="D1215" i="28"/>
  <c r="D1588" i="28"/>
  <c r="D1014" i="28"/>
  <c r="D1546" i="28"/>
  <c r="D1638" i="28"/>
  <c r="D1650" i="28"/>
  <c r="D1386" i="28"/>
  <c r="D891" i="28"/>
  <c r="D785" i="28"/>
  <c r="D554" i="28"/>
  <c r="D1282" i="28"/>
  <c r="D1589" i="28"/>
  <c r="D1874" i="28"/>
  <c r="D507" i="28"/>
  <c r="D225" i="28"/>
  <c r="D959" i="28"/>
  <c r="D1929" i="28"/>
  <c r="D1494" i="28"/>
  <c r="D60" i="28"/>
  <c r="D1875" i="28"/>
  <c r="D1950" i="28"/>
  <c r="D2009" i="28"/>
  <c r="D1802" i="28"/>
  <c r="D328" i="28"/>
  <c r="D1395" i="28"/>
  <c r="D1747" i="28"/>
  <c r="D384" i="28"/>
  <c r="D1338" i="28"/>
  <c r="D1695" i="28"/>
  <c r="D426" i="28"/>
  <c r="D769" i="28"/>
  <c r="D1732" i="28"/>
  <c r="D1007" i="28"/>
  <c r="D529" i="28"/>
  <c r="D264" i="28"/>
  <c r="D1351" i="28"/>
  <c r="D956" i="28"/>
  <c r="D423" i="28"/>
  <c r="D10" i="28"/>
  <c r="D2024" i="28"/>
  <c r="D690" i="28"/>
  <c r="D659" i="28"/>
  <c r="D1744" i="28"/>
  <c r="D1414" i="28"/>
  <c r="D370" i="28"/>
  <c r="D1149" i="28"/>
  <c r="D1204" i="28"/>
  <c r="D732" i="28"/>
  <c r="D450" i="28"/>
  <c r="D786" i="28"/>
  <c r="D730" i="28"/>
  <c r="D407" i="28"/>
  <c r="D147" i="28"/>
  <c r="D1738" i="28"/>
  <c r="D1861" i="28"/>
  <c r="D1178" i="28"/>
  <c r="D1180" i="28"/>
  <c r="D576" i="28"/>
  <c r="D195" i="28"/>
  <c r="D25" i="28"/>
  <c r="D650" i="28"/>
  <c r="D1678" i="28"/>
  <c r="D1888" i="28"/>
  <c r="D1686" i="28"/>
  <c r="D1769" i="28"/>
  <c r="D1493" i="28"/>
  <c r="D1116" i="28"/>
  <c r="D815" i="28"/>
  <c r="D873" i="28"/>
  <c r="D988" i="28"/>
  <c r="D1327" i="28"/>
  <c r="D524" i="28"/>
  <c r="D1342" i="28"/>
  <c r="D478" i="28"/>
  <c r="D1935" i="28"/>
  <c r="D1451" i="28"/>
  <c r="D871" i="28"/>
  <c r="D1674" i="28"/>
  <c r="D617" i="28"/>
  <c r="D2048" i="28"/>
  <c r="D453" i="28"/>
  <c r="D1577" i="28"/>
  <c r="D46" i="28"/>
  <c r="D219" i="28"/>
  <c r="D800" i="28"/>
  <c r="D1709" i="28"/>
  <c r="D1446" i="28"/>
  <c r="D1526" i="28"/>
  <c r="D1020" i="28"/>
  <c r="D521" i="28"/>
  <c r="D1812" i="28"/>
  <c r="D534" i="28"/>
  <c r="D278" i="28"/>
  <c r="D506" i="28"/>
  <c r="D1515" i="28"/>
  <c r="D1777" i="28"/>
  <c r="D1486" i="28"/>
  <c r="D2017" i="28"/>
  <c r="D1354" i="28"/>
  <c r="D184" i="28"/>
  <c r="D678" i="28"/>
  <c r="D1226" i="28"/>
  <c r="D1916" i="28"/>
  <c r="D585" i="28"/>
  <c r="D468" i="28"/>
  <c r="D533" i="28"/>
  <c r="D813" i="28"/>
  <c r="D1000" i="28"/>
  <c r="D962" i="28"/>
  <c r="D1531" i="28"/>
  <c r="D1021" i="28"/>
  <c r="D1489" i="28"/>
  <c r="D1019" i="28"/>
  <c r="D2021" i="28"/>
  <c r="D1624" i="28"/>
  <c r="D1800" i="28"/>
  <c r="D470" i="28"/>
  <c r="D1535" i="28"/>
  <c r="D1461" i="28"/>
  <c r="D573" i="28"/>
  <c r="D1611" i="28"/>
  <c r="D1872" i="28"/>
  <c r="D1010" i="28"/>
  <c r="D1662" i="28"/>
  <c r="D1448" i="28"/>
  <c r="D922" i="28"/>
  <c r="D1058" i="28"/>
  <c r="D1265" i="28"/>
  <c r="D1620" i="28"/>
  <c r="D724" i="28"/>
  <c r="D792" i="28"/>
  <c r="D474" i="28"/>
  <c r="D654" i="28"/>
  <c r="D1944" i="28"/>
  <c r="D1299" i="28"/>
  <c r="D708" i="28"/>
  <c r="D772" i="28"/>
  <c r="D1788" i="28"/>
  <c r="D2073" i="28"/>
  <c r="D1992" i="28"/>
  <c r="D1563" i="28"/>
  <c r="D1377" i="28"/>
  <c r="D1723" i="28"/>
  <c r="D1651" i="28"/>
  <c r="D1320" i="28"/>
  <c r="D1696" i="28"/>
  <c r="D1068" i="28"/>
  <c r="D1268" i="28"/>
  <c r="D857" i="28"/>
  <c r="D903" i="28"/>
  <c r="D1612" i="28"/>
  <c r="D1694" i="28"/>
  <c r="D1126" i="28"/>
  <c r="D976" i="28"/>
  <c r="D1806" i="28"/>
  <c r="D1623" i="28"/>
  <c r="D750" i="28"/>
  <c r="D305" i="28"/>
  <c r="D1286" i="28"/>
  <c r="D1631" i="28"/>
  <c r="D1834" i="28"/>
  <c r="D299" i="28"/>
  <c r="D975" i="28"/>
  <c r="D1811" i="28"/>
  <c r="D1998" i="28"/>
  <c r="D2054" i="28"/>
  <c r="D1852" i="28"/>
  <c r="D525" i="28"/>
  <c r="D182" i="28"/>
  <c r="D472" i="28"/>
  <c r="D1817" i="28"/>
  <c r="D1691" i="28"/>
  <c r="D995" i="28"/>
  <c r="D1117" i="28"/>
  <c r="D865" i="28"/>
  <c r="D1792" i="28"/>
  <c r="D1778" i="28"/>
  <c r="D661" i="28"/>
  <c r="D1549" i="28"/>
  <c r="D655" i="28"/>
  <c r="D143" i="28"/>
  <c r="D973" i="28"/>
  <c r="D420" i="28"/>
  <c r="D620" i="28"/>
  <c r="D372" i="28"/>
  <c r="D251" i="28"/>
  <c r="D1097" i="28"/>
  <c r="D516" i="28"/>
  <c r="D567" i="28"/>
  <c r="D1614" i="28"/>
  <c r="D1773" i="28"/>
  <c r="D643" i="28"/>
  <c r="D1405" i="28"/>
  <c r="D1172" i="28"/>
  <c r="D172" i="28"/>
  <c r="D330" i="28"/>
  <c r="D409" i="28"/>
  <c r="D326" i="28"/>
  <c r="D702" i="28"/>
  <c r="D1597" i="28"/>
  <c r="D1258" i="28"/>
  <c r="D325" i="28"/>
  <c r="D1746" i="28"/>
  <c r="D1917" i="28"/>
  <c r="D1575" i="28"/>
  <c r="D806" i="28"/>
  <c r="D945" i="28"/>
  <c r="D1106" i="28"/>
  <c r="D223" i="28"/>
  <c r="D160" i="28"/>
  <c r="D152" i="28"/>
  <c r="D595" i="28"/>
  <c r="D287" i="28"/>
  <c r="D1316" i="28"/>
  <c r="D1330" i="28"/>
  <c r="D1726" i="28"/>
  <c r="D1170" i="28"/>
  <c r="D156" i="28"/>
  <c r="D2027" i="28"/>
  <c r="D731" i="28"/>
  <c r="D1897" i="28"/>
  <c r="D811" i="28"/>
  <c r="D174" i="28"/>
  <c r="D137" i="28"/>
  <c r="D1368" i="28"/>
  <c r="D1498" i="28"/>
  <c r="D1477" i="28"/>
  <c r="D715" i="28"/>
  <c r="D855" i="28"/>
  <c r="D788" i="28"/>
  <c r="D629" i="28"/>
  <c r="D486" i="28"/>
  <c r="D658" i="28"/>
  <c r="D1505" i="28"/>
  <c r="D1331" i="28"/>
  <c r="D1548" i="28"/>
  <c r="D935" i="28"/>
  <c r="D1153" i="28"/>
  <c r="D1465" i="28"/>
  <c r="D1115" i="28"/>
  <c r="D1043" i="28"/>
  <c r="D451" i="28"/>
  <c r="D1485" i="28"/>
  <c r="D1680" i="28"/>
  <c r="D608" i="28"/>
  <c r="D1237" i="28"/>
  <c r="D1645" i="28"/>
  <c r="D15" i="28"/>
  <c r="D2004" i="28"/>
  <c r="D471" i="28"/>
  <c r="D1389" i="28"/>
  <c r="D1285" i="28"/>
  <c r="D833" i="28"/>
  <c r="D646" i="28"/>
  <c r="D1372" i="28"/>
  <c r="D1344" i="28"/>
  <c r="D313" i="28"/>
  <c r="D335" i="28"/>
  <c r="D680" i="28"/>
  <c r="D867" i="28"/>
  <c r="D1073" i="28"/>
  <c r="D1736" i="28"/>
  <c r="D1673" i="28"/>
  <c r="D228" i="28"/>
  <c r="D28" i="28"/>
  <c r="D1946" i="28"/>
  <c r="D2042" i="28"/>
  <c r="D2016" i="28"/>
  <c r="D1052" i="28"/>
  <c r="D1527" i="28"/>
  <c r="D515" i="28"/>
  <c r="D161" i="28"/>
  <c r="D411" i="28"/>
  <c r="D1103" i="28"/>
  <c r="D859" i="28"/>
  <c r="D1622" i="28"/>
  <c r="D780" i="28"/>
  <c r="D349" i="28"/>
  <c r="D263" i="28"/>
  <c r="D1826" i="28"/>
  <c r="D1102" i="28"/>
  <c r="D1132" i="28"/>
  <c r="D1827" i="28"/>
  <c r="D1317" i="28"/>
  <c r="D1131" i="28"/>
  <c r="D1345" i="28"/>
  <c r="D1398" i="28"/>
  <c r="D907" i="28"/>
  <c r="D331" i="28"/>
  <c r="D1313" i="28"/>
  <c r="D954" i="28"/>
  <c r="D433" i="28"/>
  <c r="D700" i="28"/>
  <c r="D994" i="28"/>
  <c r="D1201" i="28"/>
  <c r="D920" i="28"/>
  <c r="D842" i="28"/>
  <c r="D1169" i="28"/>
  <c r="D1604" i="28"/>
  <c r="D1786" i="28"/>
  <c r="D971" i="28"/>
  <c r="D851" i="28"/>
  <c r="D1608" i="28"/>
  <c r="D875" i="28"/>
  <c r="D648" i="28"/>
  <c r="D138" i="28"/>
  <c r="D1378" i="28"/>
  <c r="D1671" i="28"/>
  <c r="D1203" i="28"/>
  <c r="D565" i="28"/>
  <c r="D477" i="28"/>
  <c r="D1478" i="28"/>
  <c r="D1842" i="28"/>
  <c r="D1740" i="28"/>
  <c r="D2050" i="28"/>
  <c r="D928" i="28"/>
  <c r="D1666" i="28"/>
  <c r="D797" i="28"/>
  <c r="D1281" i="28"/>
  <c r="D1425" i="28"/>
  <c r="D531" i="28"/>
  <c r="D271" i="28"/>
  <c r="D1211" i="28"/>
  <c r="D532" i="28"/>
  <c r="D887" i="28"/>
  <c r="D1664" i="28"/>
  <c r="D1312" i="28"/>
  <c r="D193" i="28"/>
  <c r="D1419" i="28"/>
  <c r="D1202" i="28"/>
  <c r="D1162" i="28"/>
  <c r="D1412" i="28"/>
  <c r="D1525" i="28"/>
  <c r="D704" i="28"/>
  <c r="D1444" i="28"/>
  <c r="D1813" i="28"/>
  <c r="D1923" i="28"/>
  <c r="D2043" i="28"/>
  <c r="D1431" i="28"/>
  <c r="D542" i="28"/>
  <c r="D2041" i="28"/>
  <c r="D1884" i="28"/>
  <c r="D517" i="28"/>
  <c r="D999" i="28"/>
  <c r="D1539" i="28"/>
  <c r="D729" i="28"/>
  <c r="D1362" i="28"/>
  <c r="D1873" i="28"/>
  <c r="D1667" i="28"/>
  <c r="D1482" i="28"/>
  <c r="D1059" i="28"/>
  <c r="D843" i="28"/>
  <c r="D1661" i="28"/>
  <c r="D1143" i="28"/>
  <c r="D924" i="28"/>
  <c r="D738" i="28"/>
  <c r="D760" i="28"/>
  <c r="D203" i="28"/>
  <c r="D540" i="28"/>
  <c r="D1616" i="28"/>
  <c r="D1214" i="28"/>
  <c r="D805" i="28"/>
  <c r="D400" i="28"/>
  <c r="D234" i="28"/>
  <c r="D683" i="28"/>
  <c r="D1324" i="28"/>
  <c r="D626" i="28"/>
  <c r="D1755" i="28"/>
  <c r="D1610" i="28"/>
  <c r="D771" i="28"/>
  <c r="D217" i="28"/>
  <c r="D442" i="28"/>
  <c r="D581" i="28"/>
  <c r="D345" i="28"/>
  <c r="D1633" i="28"/>
  <c r="D892" i="28"/>
  <c r="D527" i="28"/>
  <c r="D1497" i="28"/>
  <c r="D974" i="28"/>
  <c r="D1147" i="28"/>
  <c r="D1310" i="28"/>
  <c r="D1779" i="28"/>
  <c r="D91" i="28"/>
  <c r="D563" i="28"/>
  <c r="D633" i="28"/>
  <c r="D1402" i="28"/>
  <c r="D361" i="28"/>
  <c r="D1729" i="28"/>
  <c r="D566" i="28"/>
  <c r="D154" i="28"/>
  <c r="D768" i="28"/>
  <c r="D181" i="28"/>
  <c r="D681" i="28"/>
  <c r="D1595" i="28"/>
  <c r="D1570" i="28"/>
  <c r="D485" i="28"/>
  <c r="D737" i="28"/>
  <c r="D1890" i="28"/>
  <c r="D2029" i="28"/>
  <c r="D1240" i="28"/>
  <c r="D1164" i="28"/>
  <c r="D1174" i="28"/>
  <c r="D1287" i="28"/>
  <c r="D1352" i="28"/>
  <c r="D1022" i="28"/>
  <c r="D1814" i="28"/>
  <c r="D1524" i="28"/>
  <c r="D1055" i="28"/>
  <c r="D668" i="28"/>
  <c r="D964" i="28"/>
  <c r="D1953" i="28"/>
  <c r="D1065" i="28"/>
  <c r="D371" i="28"/>
  <c r="D1625" i="28"/>
  <c r="D403" i="28"/>
  <c r="D1962" i="28"/>
  <c r="D1991" i="28"/>
  <c r="D1122" i="28"/>
  <c r="D1307" i="28"/>
  <c r="D187" i="28"/>
  <c r="D395" i="28"/>
  <c r="D854" i="28"/>
  <c r="D1039" i="28"/>
  <c r="D1134" i="28"/>
  <c r="D1877" i="28"/>
  <c r="D990" i="28"/>
  <c r="D1232" i="28"/>
  <c r="D901" i="28"/>
  <c r="D943" i="28"/>
  <c r="D588" i="28"/>
  <c r="D701" i="28"/>
  <c r="D1573" i="28"/>
  <c r="D1239" i="28"/>
  <c r="D1057" i="28"/>
  <c r="D1542" i="28"/>
  <c r="D1675" i="28"/>
  <c r="D647" i="28"/>
  <c r="D583" i="28"/>
  <c r="D803" i="28"/>
  <c r="D296" i="28"/>
  <c r="D560" i="28"/>
  <c r="D1179" i="28"/>
  <c r="D692" i="28"/>
  <c r="D1083" i="28"/>
  <c r="D1590" i="28"/>
  <c r="D1071" i="28"/>
  <c r="D778" i="28"/>
  <c r="D1757" i="28"/>
  <c r="D1970" i="28"/>
  <c r="D1931" i="28"/>
  <c r="D1434" i="28"/>
  <c r="D759" i="28"/>
  <c r="D1410" i="28"/>
  <c r="D1095" i="28"/>
  <c r="D1125" i="28"/>
  <c r="D1296" i="28"/>
  <c r="D949" i="28"/>
  <c r="D1626" i="28"/>
  <c r="D1092" i="28"/>
  <c r="D1229" i="28"/>
  <c r="D1954" i="28"/>
  <c r="D2006" i="28"/>
  <c r="D808" i="28"/>
  <c r="D940" i="28"/>
  <c r="D894" i="28"/>
  <c r="D684" i="28"/>
  <c r="D312" i="28"/>
  <c r="D363" i="28"/>
  <c r="D899" i="28"/>
  <c r="D685" i="28"/>
  <c r="D698" i="28"/>
  <c r="D307" i="28"/>
  <c r="D1828" i="28"/>
  <c r="D1360" i="28"/>
  <c r="D642" i="28"/>
  <c r="D802" i="28"/>
  <c r="D1061" i="28"/>
  <c r="D1789" i="28"/>
  <c r="D155" i="28"/>
  <c r="D425" i="28"/>
  <c r="D693" i="28"/>
  <c r="D716" i="28"/>
  <c r="D1224" i="28"/>
  <c r="D1724" i="28"/>
  <c r="D728" i="28"/>
  <c r="D1567" i="28"/>
  <c r="D607" i="28"/>
  <c r="D691" i="28"/>
  <c r="D657" i="28"/>
  <c r="D381" i="28"/>
  <c r="D119" i="28"/>
  <c r="D1663" i="28"/>
  <c r="D1447" i="28"/>
  <c r="D1028" i="28"/>
  <c r="D1054" i="28"/>
  <c r="D1087" i="28"/>
  <c r="D1472" i="28"/>
  <c r="D937" i="28"/>
  <c r="D176" i="28"/>
  <c r="D315" i="28"/>
  <c r="D944" i="28"/>
  <c r="D789" i="28"/>
  <c r="D645" i="28"/>
  <c r="D1266" i="28"/>
  <c r="D852" i="28"/>
  <c r="D387" i="28"/>
  <c r="D1592" i="28"/>
  <c r="D1335" i="28"/>
  <c r="D1138" i="28"/>
  <c r="D1751" i="28"/>
  <c r="D1085" i="28"/>
  <c r="D777" i="28"/>
  <c r="D276" i="28"/>
  <c r="D133" i="28"/>
  <c r="D1200" i="28"/>
  <c r="D415" i="28"/>
  <c r="D446" i="28"/>
  <c r="D323" i="28"/>
  <c r="D476" i="28"/>
  <c r="D632" i="28"/>
  <c r="D369" i="28"/>
  <c r="D1647" i="28"/>
  <c r="D958" i="28"/>
  <c r="D559" i="28"/>
  <c r="D872" i="28"/>
  <c r="D869" i="28"/>
  <c r="D285" i="28"/>
  <c r="D936" i="28"/>
  <c r="D1534" i="28"/>
  <c r="D568" i="28"/>
  <c r="D382" i="28"/>
  <c r="D546" i="28"/>
  <c r="D832" i="28"/>
  <c r="D1407" i="28"/>
  <c r="D1657" i="28"/>
  <c r="D456" i="28"/>
  <c r="D254" i="28"/>
  <c r="D1514" i="28"/>
  <c r="D1421" i="28"/>
  <c r="D1430" i="28"/>
  <c r="D1488" i="28"/>
  <c r="D821" i="28"/>
  <c r="D1104" i="28"/>
  <c r="D1854" i="28"/>
  <c r="D1713" i="28"/>
  <c r="D1388" i="28"/>
  <c r="D1499" i="28"/>
  <c r="D447" i="28"/>
  <c r="D151" i="28"/>
  <c r="D124" i="28"/>
  <c r="D1941" i="28"/>
  <c r="D1464" i="28"/>
  <c r="D1750" i="28"/>
  <c r="D916" i="28"/>
  <c r="D1294" i="28"/>
  <c r="D432" i="28"/>
  <c r="D1041" i="28"/>
  <c r="D1208" i="28"/>
  <c r="D129" i="28"/>
  <c r="D199" i="28"/>
  <c r="D918" i="28"/>
  <c r="D1528" i="28"/>
  <c r="D1913" i="28"/>
  <c r="D1684" i="28"/>
  <c r="D1337" i="28"/>
  <c r="D616" i="28"/>
  <c r="D982" i="28"/>
  <c r="D261" i="28"/>
  <c r="D1306" i="28"/>
  <c r="D1584" i="28"/>
  <c r="D1272" i="28"/>
  <c r="D558" i="28"/>
  <c r="D365" i="28"/>
  <c r="D1002" i="28"/>
  <c r="D528" i="28"/>
  <c r="D798" i="28"/>
  <c r="D653" i="28"/>
  <c r="D1677" i="28"/>
  <c r="D1278" i="28"/>
  <c r="D696" i="28"/>
  <c r="D895" i="28"/>
  <c r="D1993" i="28"/>
  <c r="D1521" i="28"/>
  <c r="D494" i="28"/>
  <c r="D1772" i="28"/>
  <c r="D2049" i="28"/>
  <c r="D1818" i="28"/>
  <c r="D625" i="28"/>
  <c r="D660" i="28"/>
  <c r="D675" i="28"/>
  <c r="D1571" i="28"/>
  <c r="D1824" i="28"/>
  <c r="D1415" i="28"/>
  <c r="D1473" i="28"/>
  <c r="D1171" i="28"/>
  <c r="D1782" i="28"/>
  <c r="D1199" i="28"/>
  <c r="D1487" i="28"/>
  <c r="D1358" i="28"/>
  <c r="D1893" i="28"/>
  <c r="D1261" i="28"/>
  <c r="D1443" i="28"/>
  <c r="D377" i="28"/>
  <c r="D243" i="28"/>
  <c r="D1339" i="28"/>
  <c r="D1182" i="28"/>
  <c r="D1445" i="28"/>
  <c r="D428" i="28"/>
  <c r="D1341" i="28"/>
  <c r="D1537" i="28"/>
  <c r="D1955" i="28"/>
  <c r="D1569" i="28"/>
  <c r="D1176" i="28"/>
  <c r="D1582" i="28"/>
  <c r="D1808" i="28"/>
  <c r="D1024" i="28"/>
  <c r="D671" i="28"/>
  <c r="D128" i="28"/>
  <c r="D925" i="28"/>
  <c r="D1397" i="28"/>
  <c r="D1632" i="28"/>
  <c r="D764" i="28"/>
  <c r="D614" i="28"/>
  <c r="D572" i="28"/>
  <c r="D394" i="28"/>
  <c r="D1279" i="28"/>
  <c r="D985" i="28"/>
  <c r="D919" i="28"/>
  <c r="D897" i="28"/>
  <c r="D1005" i="28"/>
  <c r="D908" i="28"/>
  <c r="D923" i="28"/>
  <c r="D991" i="28"/>
  <c r="D850" i="28"/>
  <c r="D1403" i="28"/>
  <c r="D735" i="28"/>
  <c r="D1947" i="28"/>
  <c r="D1783" i="28"/>
  <c r="D1259" i="28"/>
  <c r="D429" i="28"/>
  <c r="D1409" i="28"/>
  <c r="D992" i="28"/>
  <c r="D166" i="28"/>
  <c r="D378" i="28"/>
  <c r="D1594" i="28"/>
  <c r="D1715" i="28"/>
  <c r="D1722" i="28"/>
  <c r="D606" i="28"/>
  <c r="D1937" i="28"/>
  <c r="D1899" i="28"/>
  <c r="D1302" i="28"/>
  <c r="D317" i="28"/>
  <c r="D1518" i="28"/>
  <c r="D1373" i="28"/>
  <c r="D1879" i="28"/>
  <c r="D1848" i="28"/>
  <c r="D327" i="28"/>
  <c r="D1843" i="28"/>
  <c r="D1422" i="28"/>
  <c r="D1100" i="28"/>
  <c r="D578" i="28"/>
  <c r="D1681" i="28"/>
  <c r="D2055" i="28"/>
  <c r="D1721" i="28"/>
  <c r="D374" i="28"/>
  <c r="D173" i="28"/>
  <c r="D1056" i="28"/>
  <c r="D402" i="28"/>
  <c r="D1263" i="28"/>
  <c r="D740" i="28"/>
  <c r="D65" i="28"/>
  <c r="D2002" i="28"/>
  <c r="D1951" i="28"/>
  <c r="D864" i="28"/>
  <c r="D1562" i="28"/>
  <c r="D1107" i="28"/>
  <c r="D1517" i="28"/>
  <c r="D1025" i="28"/>
  <c r="D255" i="28"/>
  <c r="D1046" i="28"/>
  <c r="D1480" i="28"/>
  <c r="D1665" i="28"/>
  <c r="D134" i="28"/>
  <c r="D530" i="28"/>
  <c r="D80" i="28"/>
  <c r="D1909" i="28"/>
  <c r="D1731" i="28"/>
  <c r="D373" i="28"/>
  <c r="D1236" i="28"/>
  <c r="D1952" i="28"/>
  <c r="D2023" i="28"/>
  <c r="D1634" i="28"/>
  <c r="D993" i="28"/>
  <c r="D288" i="28"/>
  <c r="D92" i="28"/>
  <c r="D1598" i="28"/>
  <c r="D819" i="28"/>
  <c r="D1730" i="28"/>
  <c r="D1399" i="28"/>
  <c r="D483" i="28"/>
  <c r="D383" i="28"/>
  <c r="D258" i="28"/>
  <c r="D430" i="28"/>
  <c r="D601" i="28"/>
  <c r="D66" i="28"/>
  <c r="D57" i="28"/>
  <c r="D241" i="28"/>
  <c r="D641" i="28"/>
  <c r="D710" i="28"/>
  <c r="D286" i="28"/>
  <c r="D796" i="28"/>
  <c r="D526" i="28"/>
  <c r="D1234" i="28"/>
  <c r="D209" i="28"/>
  <c r="D389" i="28"/>
  <c r="D1420" i="28"/>
  <c r="D207" i="28"/>
  <c r="D856" i="28"/>
  <c r="D340" i="28"/>
  <c r="D1858" i="28"/>
  <c r="D79" i="28"/>
  <c r="D136" i="28"/>
  <c r="D652" i="28"/>
  <c r="D229" i="28"/>
  <c r="D357" i="28"/>
  <c r="D942" i="28"/>
  <c r="D1938" i="28"/>
  <c r="D1971" i="28"/>
  <c r="D208" i="28"/>
  <c r="D281" i="28"/>
  <c r="D105" i="28"/>
  <c r="D1288" i="28"/>
  <c r="D157" i="28"/>
  <c r="D460" i="28"/>
  <c r="D2034" i="28"/>
  <c r="D376" i="28"/>
  <c r="D332" i="28"/>
  <c r="D1862" i="28"/>
  <c r="D1801" i="28"/>
  <c r="D360" i="28"/>
  <c r="D2022" i="28"/>
  <c r="D1770" i="28"/>
  <c r="D2018" i="28"/>
  <c r="D1932" i="28"/>
  <c r="D966" i="28"/>
  <c r="D1141" i="28"/>
  <c r="D220" i="28"/>
  <c r="D1242" i="28"/>
  <c r="D438" i="28"/>
  <c r="D267" i="28"/>
  <c r="D2066" i="28"/>
  <c r="D2070" i="28"/>
  <c r="D1749" i="28"/>
  <c r="D111" i="28"/>
  <c r="D107" i="28"/>
  <c r="D1849" i="28"/>
  <c r="D75" i="28"/>
  <c r="D1787" i="28"/>
  <c r="D1823" i="28"/>
  <c r="D238" i="28"/>
  <c r="D1348" i="28"/>
  <c r="D1864" i="28"/>
  <c r="D62" i="28"/>
  <c r="D1585" i="28"/>
  <c r="D1999" i="28"/>
  <c r="D1829" i="28"/>
  <c r="D1867" i="28"/>
  <c r="D1988" i="28"/>
  <c r="D408" i="28"/>
  <c r="D44" i="28"/>
  <c r="D1128" i="28"/>
  <c r="D1029" i="28"/>
  <c r="D1509" i="28"/>
  <c r="D745" i="28"/>
  <c r="D33" i="28"/>
  <c r="D561" i="28"/>
  <c r="D1578" i="28"/>
  <c r="D1977" i="28"/>
  <c r="D1869" i="28"/>
  <c r="D1894" i="28"/>
  <c r="D1062" i="28"/>
  <c r="D886" i="28"/>
  <c r="D292" i="28"/>
  <c r="D564" i="28"/>
  <c r="D1067" i="28"/>
  <c r="D719" i="28"/>
  <c r="D917" i="28"/>
  <c r="D519" i="28"/>
  <c r="D480" i="28"/>
  <c r="D505" i="28"/>
  <c r="D1091" i="28"/>
  <c r="D341" i="28"/>
  <c r="D1908" i="28"/>
  <c r="D497" i="28"/>
  <c r="D1961" i="28"/>
  <c r="D1889" i="28"/>
  <c r="D47" i="28"/>
  <c r="D368" i="28"/>
  <c r="D132" i="28"/>
  <c r="D318" i="28"/>
  <c r="D1967" i="28"/>
  <c r="D5" i="28"/>
  <c r="D29" i="28"/>
  <c r="D440" i="28"/>
  <c r="D2058" i="28"/>
  <c r="D2071" i="28"/>
  <c r="D2045" i="28"/>
  <c r="D1933" i="28"/>
  <c r="D1298" i="28"/>
  <c r="D1364" i="28"/>
  <c r="D2063" i="28"/>
  <c r="D63" i="28"/>
  <c r="D1982" i="28"/>
  <c r="D1291" i="28"/>
  <c r="D1406" i="28"/>
  <c r="D790" i="28"/>
  <c r="D165" i="28"/>
  <c r="D177" i="28"/>
  <c r="D1948" i="28"/>
  <c r="D1220" i="28"/>
  <c r="D1687" i="28"/>
  <c r="D226" i="28"/>
  <c r="D1127" i="28"/>
  <c r="D1423" i="28"/>
  <c r="D1160" i="28"/>
  <c r="D1124" i="28"/>
  <c r="D262" i="28"/>
  <c r="D773" i="28"/>
  <c r="D436" i="28"/>
  <c r="D413" i="28"/>
  <c r="D511" i="28"/>
  <c r="D2060" i="28"/>
  <c r="D2012" i="28"/>
  <c r="D1300" i="28"/>
  <c r="D1618" i="28"/>
  <c r="D1927" i="28"/>
  <c r="D751" i="28"/>
  <c r="D1833" i="28"/>
  <c r="D2039" i="28"/>
  <c r="D1892" i="28"/>
  <c r="D481" i="28"/>
  <c r="D1648" i="28"/>
  <c r="D644" i="28"/>
  <c r="D270" i="28"/>
  <c r="D1101" i="28"/>
  <c r="D196" i="28"/>
  <c r="D421" i="28"/>
  <c r="D465" i="28"/>
  <c r="D766" i="28"/>
  <c r="D984" i="28"/>
  <c r="D274" i="28"/>
  <c r="D97" i="28"/>
  <c r="D1615" i="28"/>
  <c r="D1040" i="28"/>
  <c r="D688" i="28"/>
  <c r="D1183" i="28"/>
  <c r="D283" i="28"/>
  <c r="D1739" i="28"/>
  <c r="D1791" i="28"/>
  <c r="D905" i="28"/>
  <c r="D755" i="28"/>
  <c r="D1679" i="28"/>
  <c r="D90" i="28"/>
  <c r="D52" i="28"/>
  <c r="D85" i="28"/>
  <c r="D333" i="28"/>
  <c r="D1710" i="28"/>
  <c r="D2007" i="28"/>
  <c r="D1656" i="28"/>
  <c r="D794" i="28"/>
  <c r="D847" i="28"/>
  <c r="D452" i="28"/>
  <c r="D1175" i="28"/>
  <c r="D1404" i="28"/>
  <c r="D1795" i="28"/>
  <c r="D1905" i="28"/>
  <c r="D1728" i="28"/>
  <c r="D504" i="28"/>
  <c r="D354" i="28"/>
  <c r="D301" i="28"/>
  <c r="D783" i="28"/>
  <c r="D163" i="28"/>
  <c r="D522" i="28"/>
  <c r="D1711" i="28"/>
  <c r="D1699" i="28"/>
  <c r="D1090" i="28"/>
  <c r="D1706" i="28"/>
  <c r="D434" i="28"/>
  <c r="D418" i="28"/>
  <c r="D1251" i="28"/>
  <c r="D1006" i="28"/>
  <c r="D848" i="28"/>
  <c r="D623" i="28"/>
  <c r="D13" i="28"/>
  <c r="D113" i="28"/>
  <c r="D1966" i="28"/>
  <c r="D2053" i="28"/>
  <c r="D2061" i="28"/>
  <c r="D1857" i="28"/>
  <c r="D1771" i="28"/>
  <c r="D1979" i="28"/>
  <c r="D1167" i="28"/>
  <c r="D651" i="28"/>
  <c r="D1376" i="28"/>
  <c r="D513" i="28"/>
  <c r="D467" i="28"/>
  <c r="D444" i="28"/>
  <c r="D717" i="28"/>
  <c r="D553" i="28"/>
  <c r="D1249" i="28"/>
  <c r="D1997" i="28"/>
  <c r="D1972" i="28"/>
  <c r="D1835" i="28"/>
  <c r="D1907" i="28"/>
  <c r="D437" i="28"/>
  <c r="D69" i="28"/>
  <c r="D639" i="28"/>
  <c r="D941" i="28"/>
  <c r="D762" i="28"/>
  <c r="D1839" i="28"/>
  <c r="D1512" i="28"/>
  <c r="D1347" i="28"/>
  <c r="D1244" i="28"/>
  <c r="D594" i="28"/>
  <c r="D602" i="28"/>
  <c r="D1017" i="28"/>
  <c r="D1688" i="28"/>
  <c r="D397" i="28"/>
  <c r="D809" i="28"/>
  <c r="D541" i="28"/>
  <c r="D621" i="28"/>
  <c r="D19" i="28"/>
  <c r="D76" i="28"/>
  <c r="D245" i="28"/>
  <c r="D1475" i="28"/>
  <c r="D705" i="28"/>
  <c r="D1599" i="28"/>
  <c r="D1870" i="28"/>
  <c r="D221" i="28"/>
  <c r="D239" i="28"/>
  <c r="D765" i="28"/>
  <c r="D289" i="28"/>
  <c r="D1462" i="28"/>
  <c r="D649" i="28"/>
  <c r="D1221" i="28"/>
  <c r="D1260" i="28"/>
  <c r="D1311" i="28"/>
  <c r="D739" i="28"/>
  <c r="D1720" i="28"/>
  <c r="D1607" i="28"/>
  <c r="D1004" i="28"/>
  <c r="D126" i="28"/>
  <c r="D1246" i="28"/>
  <c r="D1798" i="28"/>
  <c r="D913" i="28"/>
  <c r="D1868" i="28"/>
  <c r="D1774" i="28"/>
  <c r="D1523" i="28"/>
  <c r="D1613" i="28"/>
  <c r="D186" i="28"/>
  <c r="D31" i="28"/>
  <c r="D1158" i="28"/>
  <c r="D1225" i="28"/>
  <c r="D1206" i="28"/>
  <c r="D1257" i="28"/>
  <c r="D1411" i="28"/>
  <c r="D1233" i="28"/>
  <c r="D1467" i="28"/>
  <c r="D1105" i="28"/>
  <c r="D435" i="28"/>
  <c r="D1468" i="28"/>
  <c r="D834" i="28"/>
  <c r="D900" i="28"/>
  <c r="D972" i="28"/>
  <c r="D829" i="28"/>
  <c r="D1295" i="28"/>
  <c r="D1356" i="28"/>
  <c r="D911" i="28"/>
  <c r="D934" i="28"/>
  <c r="D1855" i="28"/>
  <c r="D1111" i="28"/>
  <c r="D1001" i="28"/>
  <c r="D825" i="28"/>
  <c r="D725" i="28"/>
  <c r="D597" i="28"/>
  <c r="D96" i="28"/>
  <c r="D1367" i="28"/>
  <c r="D663" i="28"/>
  <c r="D1133" i="28"/>
  <c r="D631" i="28"/>
  <c r="D987" i="28"/>
  <c r="D1692" i="28"/>
  <c r="D443" i="28"/>
  <c r="D604" i="28"/>
  <c r="D1886" i="28"/>
  <c r="D1427" i="28"/>
  <c r="D656" i="28"/>
  <c r="D694" i="28"/>
  <c r="D961" i="28"/>
  <c r="D116" i="28"/>
  <c r="D185" i="28"/>
  <c r="D967" i="28"/>
  <c r="D713" i="28"/>
  <c r="D1394" i="28"/>
  <c r="D902" i="28"/>
  <c r="D336" i="28"/>
  <c r="D73" i="28"/>
  <c r="D6" i="28"/>
  <c r="D537" i="28"/>
  <c r="D1707" i="28"/>
  <c r="D1075" i="28"/>
  <c r="D743" i="28"/>
  <c r="D1754" i="28"/>
  <c r="D1449" i="28"/>
  <c r="D148" i="28"/>
  <c r="D1496" i="28"/>
  <c r="D1912" i="28"/>
  <c r="D820" i="28"/>
  <c r="D175" i="28"/>
  <c r="D951" i="28"/>
  <c r="D454" i="28"/>
  <c r="D823" i="28"/>
  <c r="D1949" i="28"/>
  <c r="D1919" i="28"/>
  <c r="D1784" i="28"/>
  <c r="D51" i="28"/>
  <c r="D1797" i="28"/>
  <c r="D682" i="28"/>
  <c r="D1978" i="28"/>
  <c r="D1369" i="28"/>
  <c r="D799" i="28"/>
  <c r="D53" i="28"/>
  <c r="D167" i="28"/>
  <c r="D1760" i="28"/>
  <c r="D1325" i="28"/>
  <c r="D950" i="28"/>
  <c r="D21" i="28"/>
  <c r="D268" i="28"/>
  <c r="D1357" i="28"/>
  <c r="D391" i="28"/>
  <c r="D1013" i="28"/>
  <c r="D482" i="28"/>
  <c r="D1880" i="28"/>
  <c r="D1262" i="28"/>
  <c r="D816" i="28"/>
  <c r="D144" i="28"/>
  <c r="D1975" i="28"/>
  <c r="D1074" i="28"/>
  <c r="D726" i="28"/>
  <c r="D240" i="28"/>
  <c r="D1502" i="28"/>
  <c r="D807" i="28"/>
  <c r="D1216" i="28"/>
  <c r="D556" i="28"/>
  <c r="D117" i="28"/>
  <c r="D351" i="28"/>
  <c r="D1995" i="28"/>
  <c r="D1593" i="28"/>
  <c r="D445" i="28"/>
  <c r="D2003" i="28"/>
  <c r="D1683" i="28"/>
  <c r="D1135" i="28"/>
  <c r="D498" i="28"/>
  <c r="D1819" i="28"/>
  <c r="D1859" i="28"/>
  <c r="D1392" i="28"/>
  <c r="D1716" i="28"/>
  <c r="D1003" i="28"/>
  <c r="D206" i="28"/>
  <c r="D39" i="28"/>
  <c r="D863" i="28"/>
  <c r="D1816" i="28"/>
  <c r="D1963" i="28"/>
  <c r="D1114" i="28"/>
  <c r="D101" i="28"/>
  <c r="D1643" i="28"/>
  <c r="D610" i="28"/>
  <c r="D1985" i="28"/>
  <c r="D2056" i="28"/>
  <c r="D2062" i="28"/>
  <c r="D2036" i="28"/>
  <c r="D45" i="28"/>
  <c r="D168" i="28"/>
  <c r="D146" i="28"/>
  <c r="D1832" i="28"/>
  <c r="D2025" i="28"/>
  <c r="D1756" i="28"/>
  <c r="D1996" i="28"/>
  <c r="D2005" i="28"/>
  <c r="D366" i="28"/>
  <c r="D711" i="28"/>
  <c r="D933" i="28"/>
  <c r="D306" i="28"/>
  <c r="D1066" i="28"/>
  <c r="D1159" i="28"/>
  <c r="D479" i="28"/>
  <c r="D248" i="28"/>
  <c r="D538" i="28"/>
  <c r="D280" i="28"/>
  <c r="D431" i="28"/>
  <c r="D818" i="28"/>
  <c r="D49" i="28"/>
  <c r="D1529" i="28"/>
  <c r="D1850" i="28"/>
  <c r="D388" i="28"/>
  <c r="D548" i="28"/>
  <c r="D158" i="28"/>
  <c r="D1568" i="28"/>
  <c r="D462" i="28"/>
  <c r="D1387" i="28"/>
  <c r="D210" i="28"/>
  <c r="D247" i="28"/>
  <c r="D1130" i="28"/>
  <c r="D110" i="28"/>
  <c r="D150" i="28"/>
  <c r="D16" i="28"/>
  <c r="D140" i="28"/>
  <c r="D169" i="28"/>
  <c r="D61" i="28"/>
  <c r="D1885" i="28"/>
  <c r="D1882" i="28"/>
  <c r="D109" i="28"/>
  <c r="D1326" i="28"/>
  <c r="D1098" i="28"/>
  <c r="D1491" i="28"/>
  <c r="D1545" i="28"/>
  <c r="D544" i="28"/>
  <c r="D1165" i="28"/>
  <c r="D801" i="28"/>
  <c r="D1349" i="28"/>
  <c r="D1762" i="28"/>
  <c r="D1639" i="28"/>
  <c r="D861" i="28"/>
  <c r="D689" i="28"/>
  <c r="D249" i="28"/>
  <c r="D555" i="28"/>
  <c r="D1803" i="28"/>
  <c r="D1758" i="28"/>
  <c r="D386" i="28"/>
  <c r="D615" i="28"/>
  <c r="D142" i="28"/>
  <c r="D71" i="28"/>
  <c r="D1702" i="28"/>
  <c r="D510" i="28"/>
  <c r="D1605" i="28"/>
  <c r="D589" i="28"/>
  <c r="D198" i="28"/>
  <c r="D1245" i="28"/>
  <c r="D1761" i="28"/>
  <c r="D303" i="28"/>
  <c r="D1564" i="28"/>
  <c r="D396" i="28"/>
  <c r="D1550" i="28"/>
  <c r="D1536" i="28"/>
  <c r="D1297" i="28"/>
  <c r="D300" i="28"/>
  <c r="D89" i="28"/>
  <c r="D837" i="28"/>
  <c r="D108" i="28"/>
  <c r="D706" i="28"/>
  <c r="D227" i="28"/>
  <c r="D571" i="28"/>
  <c r="D884" i="28"/>
  <c r="D1936" i="28"/>
  <c r="D1152" i="28"/>
  <c r="D2011" i="28"/>
  <c r="D1733" i="28"/>
  <c r="D793" i="28"/>
  <c r="D612" i="28"/>
  <c r="D1701" i="28"/>
  <c r="D1080" i="28"/>
  <c r="D1642" i="28"/>
  <c r="D380" i="28"/>
  <c r="D72" i="28"/>
  <c r="D1112" i="28"/>
  <c r="D1036" i="28"/>
  <c r="D948" i="28"/>
  <c r="D841" i="28"/>
  <c r="D870" i="28"/>
  <c r="D550" i="28"/>
  <c r="D489" i="28"/>
  <c r="D1994" i="28"/>
  <c r="D1596" i="28"/>
  <c r="D782" i="28"/>
  <c r="D1380" i="28"/>
  <c r="D329" i="28"/>
  <c r="D95" i="28"/>
  <c r="D35" i="28"/>
  <c r="D1743" i="28"/>
  <c r="D171" i="28"/>
  <c r="D120" i="28"/>
  <c r="D662" i="28"/>
  <c r="D586" i="28"/>
  <c r="D539" i="28"/>
  <c r="D1780" i="28"/>
  <c r="D709" i="28"/>
  <c r="D162" i="28"/>
  <c r="D106" i="28"/>
  <c r="D664" i="28"/>
  <c r="D827" i="28"/>
  <c r="D822" i="28"/>
  <c r="D1866" i="28"/>
  <c r="D1587" i="28"/>
  <c r="D1161" i="28"/>
  <c r="D1717" i="28"/>
  <c r="D344" i="28"/>
  <c r="D50" i="28"/>
  <c r="D1471" i="28"/>
  <c r="D1082" i="28"/>
  <c r="D1965" i="28"/>
  <c r="D774" i="28"/>
  <c r="D257" i="28"/>
  <c r="D58" i="28"/>
  <c r="D1752" i="28"/>
  <c r="D1574" i="28"/>
  <c r="D1718" i="28"/>
  <c r="D495" i="28"/>
  <c r="D1254" i="28"/>
  <c r="D1644" i="28"/>
  <c r="D1370" i="28"/>
  <c r="D197" i="28"/>
  <c r="D1213" i="28"/>
  <c r="D246" i="28"/>
  <c r="D1384" i="28"/>
  <c r="D1552" i="28"/>
  <c r="D670" i="28"/>
  <c r="D1042" i="28"/>
  <c r="D1881" i="28"/>
  <c r="D1981" i="28"/>
  <c r="D11" i="28"/>
  <c r="D393" i="28"/>
  <c r="D78" i="28"/>
  <c r="D551" i="28"/>
  <c r="D1391" i="28"/>
  <c r="D1766" i="28"/>
  <c r="D1190" i="28"/>
  <c r="D385" i="28"/>
  <c r="D1742" i="28"/>
  <c r="D1896" i="28"/>
  <c r="D1669" i="28"/>
  <c r="D337" i="28"/>
  <c r="D721" i="28"/>
  <c r="D1983" i="28"/>
  <c r="D2044" i="28"/>
  <c r="D352" i="28"/>
  <c r="D618" i="28"/>
  <c r="D131" i="28"/>
  <c r="D135" i="28"/>
  <c r="D291" i="28"/>
  <c r="D1851" i="28"/>
  <c r="D42" i="28"/>
  <c r="D37" i="28"/>
  <c r="D67" i="28"/>
  <c r="D910" i="28"/>
  <c r="D1973" i="28"/>
  <c r="D1401" i="28"/>
  <c r="D1191" i="28"/>
  <c r="D1821" i="28"/>
  <c r="D127" i="28"/>
  <c r="D2046" i="28"/>
  <c r="D1940" i="28"/>
  <c r="D356" i="28"/>
  <c r="D1837" i="28"/>
  <c r="D1943" i="28"/>
  <c r="D2064" i="28"/>
  <c r="D2051" i="28"/>
  <c r="D1964" i="28"/>
  <c r="D1968" i="28"/>
  <c r="D1238" i="28"/>
  <c r="D619" i="28"/>
  <c r="D862" i="28"/>
  <c r="D32" i="28"/>
  <c r="D82" i="28"/>
  <c r="D1290" i="28"/>
  <c r="D1844" i="28"/>
  <c r="D93" i="28"/>
  <c r="D686" i="28"/>
  <c r="D26" i="28"/>
  <c r="D888" i="28"/>
  <c r="D835" i="28"/>
  <c r="D23" i="28"/>
  <c r="D272" i="28"/>
  <c r="D2052" i="28"/>
  <c r="D1918" i="28"/>
  <c r="D24" i="28"/>
  <c r="D1796" i="28"/>
  <c r="D1270" i="28"/>
  <c r="D7" i="28"/>
  <c r="D1072" i="28"/>
  <c r="D2038" i="28"/>
  <c r="D2069" i="28"/>
  <c r="D3" i="28"/>
  <c r="D2072" i="28"/>
  <c r="D2010" i="28"/>
  <c r="D1196" i="28"/>
  <c r="D1934" i="28"/>
  <c r="D2065" i="28"/>
  <c r="D1959" i="28"/>
  <c r="D1231" i="28"/>
  <c r="D304" i="28"/>
  <c r="D1361" i="28"/>
  <c r="D112" i="28"/>
  <c r="D94" i="28"/>
  <c r="D1522" i="28"/>
  <c r="D1456" i="28"/>
  <c r="D1748" i="28"/>
  <c r="D1123" i="28"/>
  <c r="D1048" i="28"/>
  <c r="D1145" i="28"/>
  <c r="D1904" i="28"/>
  <c r="D1450" i="28"/>
  <c r="D1012" i="28"/>
  <c r="D1530" i="28"/>
  <c r="D1189" i="28"/>
  <c r="D1078" i="28"/>
  <c r="D1560" i="28"/>
  <c r="D518" i="28"/>
  <c r="D189" i="28"/>
  <c r="D1416" i="28"/>
  <c r="D1077" i="28"/>
  <c r="D1617" i="28"/>
  <c r="D989" i="28"/>
  <c r="D34" i="28"/>
  <c r="D103" i="28"/>
  <c r="D1846" i="28"/>
  <c r="D677" i="28"/>
  <c r="D868" i="28"/>
  <c r="D674" i="28"/>
  <c r="D1469" i="28"/>
  <c r="D960" i="28"/>
  <c r="D404" i="28"/>
  <c r="D1781" i="28"/>
  <c r="D1865" i="28"/>
  <c r="D1921" i="28"/>
  <c r="D322" i="28"/>
  <c r="D1538" i="28"/>
  <c r="D613" i="28"/>
  <c r="D491" i="28"/>
  <c r="D557" i="28"/>
  <c r="D275" i="28"/>
  <c r="D308" i="28"/>
  <c r="D74" i="28"/>
  <c r="D1520" i="28"/>
  <c r="D627" i="28"/>
  <c r="D2030" i="28"/>
  <c r="D1911" i="28"/>
  <c r="D1121" i="28"/>
  <c r="D1079" i="28"/>
  <c r="D1668" i="28"/>
  <c r="D1267" i="28"/>
  <c r="D876" i="28"/>
  <c r="D1253" i="28"/>
  <c r="D552" i="28"/>
  <c r="D1146" i="28"/>
  <c r="D622" i="28"/>
  <c r="D122" i="28"/>
  <c r="D367" i="28"/>
  <c r="D1096" i="28"/>
  <c r="D1350" i="28"/>
  <c r="D824" i="28"/>
  <c r="D492" i="28"/>
  <c r="D757" i="28"/>
  <c r="D1137" i="28"/>
  <c r="D1426" i="28"/>
  <c r="D722" i="28"/>
  <c r="D1060" i="28"/>
  <c r="D1693" i="28"/>
  <c r="D379" i="28"/>
  <c r="D273" i="28"/>
  <c r="D1698" i="28"/>
  <c r="D1222" i="28"/>
  <c r="D634" i="28"/>
  <c r="D406" i="28"/>
  <c r="D1212" i="28"/>
  <c r="D1924" i="28"/>
  <c r="D1476" i="28"/>
  <c r="D1118" i="28"/>
  <c r="D1719" i="28"/>
  <c r="D1794" i="28"/>
  <c r="D1600" i="28"/>
  <c r="D574" i="28"/>
  <c r="D1458" i="28"/>
  <c r="D1902" i="28"/>
  <c r="D1309" i="28"/>
  <c r="D422" i="28"/>
  <c r="D466" i="28"/>
  <c r="D890" i="28"/>
  <c r="D1609" i="28"/>
  <c r="D1898" i="28"/>
  <c r="D986" i="28"/>
  <c r="D320" i="28"/>
  <c r="D1142" i="28"/>
  <c r="D1032" i="28"/>
  <c r="D266" i="28"/>
  <c r="D1359" i="28"/>
  <c r="D1759" i="28"/>
  <c r="D1303" i="28"/>
  <c r="D355" i="28"/>
  <c r="D1034" i="28"/>
  <c r="D1863" i="28"/>
  <c r="D475" i="28"/>
  <c r="D536" i="28"/>
  <c r="D707" i="28"/>
  <c r="D260" i="28"/>
  <c r="D282" i="28"/>
  <c r="D1460" i="28"/>
  <c r="D1533" i="28"/>
  <c r="D1915" i="28"/>
  <c r="D232" i="28"/>
  <c r="D1277" i="28"/>
  <c r="D1396" i="28"/>
  <c r="D635" i="28"/>
  <c r="D1810" i="28"/>
  <c r="D364" i="28"/>
  <c r="D4" i="28"/>
  <c r="D9" i="28"/>
  <c r="D754" i="28"/>
  <c r="D338" i="28"/>
  <c r="D348" i="28"/>
  <c r="D1942" i="28"/>
  <c r="D1660" i="28"/>
  <c r="D1086" i="28"/>
  <c r="D279" i="28"/>
  <c r="D814" i="28"/>
  <c r="D1119" i="28"/>
  <c r="D1914" i="28"/>
  <c r="D2000" i="28"/>
  <c r="D1764" i="28"/>
  <c r="D879" i="28"/>
  <c r="D787" i="28"/>
  <c r="D970" i="28"/>
  <c r="D676" i="28"/>
  <c r="D293" i="28"/>
  <c r="D1572" i="28"/>
  <c r="D1390" i="28"/>
  <c r="D1276" i="28"/>
  <c r="D1292" i="28"/>
  <c r="D412" i="28"/>
  <c r="D350" i="28"/>
  <c r="D1768" i="28"/>
  <c r="D598" i="28"/>
  <c r="D362" i="28"/>
  <c r="D1481" i="28"/>
  <c r="D358" i="28"/>
  <c r="D543" i="28"/>
  <c r="D611" i="28"/>
  <c r="D399" i="28"/>
  <c r="D955" i="28"/>
  <c r="D1308" i="28"/>
  <c r="D1441" i="28"/>
  <c r="D414" i="28"/>
  <c r="D139" i="28"/>
  <c r="D68" i="28"/>
  <c r="D200" i="28"/>
  <c r="D56" i="28"/>
  <c r="D953" i="28"/>
  <c r="D1289" i="28"/>
  <c r="D1280" i="28"/>
  <c r="D88" i="28"/>
  <c r="D914" i="28"/>
  <c r="D535" i="28"/>
  <c r="D145" i="28"/>
  <c r="D1205" i="28"/>
  <c r="D591" i="28"/>
  <c r="D1986" i="28"/>
  <c r="D1822" i="28"/>
  <c r="D877" i="28"/>
  <c r="D1166" i="28"/>
  <c r="D520" i="28"/>
  <c r="D1697" i="28"/>
  <c r="D977" i="28"/>
  <c r="D1243" i="28"/>
  <c r="D906" i="28"/>
  <c r="D1381" i="28"/>
  <c r="D1815" i="28"/>
  <c r="D1084" i="28"/>
  <c r="D1045" i="28"/>
  <c r="D1155" i="28"/>
  <c r="D1556" i="28"/>
  <c r="D1847" i="28"/>
  <c r="D1566" i="28"/>
  <c r="D1555" i="28"/>
  <c r="D1069" i="28"/>
  <c r="D579" i="28"/>
  <c r="D1532" i="28"/>
  <c r="D883" i="28"/>
  <c r="D1804" i="28"/>
  <c r="D666" i="28"/>
  <c r="D1635" i="28"/>
  <c r="D40" i="28"/>
  <c r="D84" i="28"/>
  <c r="D310" i="28"/>
  <c r="D1831" i="28"/>
  <c r="D1209" i="28"/>
  <c r="D1659" i="28"/>
  <c r="D347" i="28"/>
  <c r="D427" i="28"/>
  <c r="D1484" i="28"/>
  <c r="D458" i="28"/>
  <c r="D38" i="28"/>
  <c r="D473" i="28"/>
  <c r="D1637" i="28"/>
  <c r="D1255" i="28"/>
  <c r="D1809" i="28"/>
  <c r="D947" i="28"/>
  <c r="D2035" i="28"/>
  <c r="D1544" i="28"/>
  <c r="D1926" i="28"/>
  <c r="D1976" i="28"/>
  <c r="D1767" i="28"/>
  <c r="D1452" i="28"/>
  <c r="D1741" i="28"/>
  <c r="D269" i="28"/>
  <c r="D1151" i="28"/>
  <c r="D882" i="28"/>
  <c r="D810" i="28"/>
  <c r="D1435" i="28"/>
  <c r="D1903" i="28"/>
  <c r="D297" i="28"/>
  <c r="D424" i="28"/>
  <c r="D874" i="28"/>
  <c r="D353" i="28"/>
  <c r="D1504" i="28"/>
  <c r="D1980" i="28"/>
  <c r="D2040" i="28"/>
  <c r="D1682" i="28"/>
  <c r="D1109" i="28"/>
  <c r="D952" i="28"/>
  <c r="D679" i="28"/>
  <c r="D699" i="28"/>
  <c r="D1063" i="28"/>
  <c r="D776" i="28"/>
  <c r="D514" i="28"/>
  <c r="D889" i="28"/>
  <c r="D448" i="28"/>
  <c r="D1223" i="28"/>
  <c r="D590" i="28"/>
  <c r="D672" i="28"/>
  <c r="D1008" i="28"/>
  <c r="D758" i="28"/>
  <c r="D569" i="28"/>
  <c r="D781" i="28"/>
  <c r="D1332" i="28"/>
  <c r="D99" i="28"/>
  <c r="D298" i="28"/>
  <c r="D1653" i="28"/>
  <c r="D1050" i="28"/>
  <c r="D965" i="28"/>
  <c r="D1433" i="28"/>
  <c r="D1346" i="28"/>
  <c r="D1318" i="28"/>
  <c r="D224" i="28"/>
  <c r="D1383" i="28"/>
  <c r="D938" i="28"/>
  <c r="D1247" i="28"/>
  <c r="D469" i="28"/>
  <c r="D896" i="28"/>
  <c r="D502" i="28"/>
  <c r="D1775" i="28"/>
  <c r="D1895" i="28"/>
  <c r="D1960" i="28"/>
  <c r="D1603" i="28"/>
  <c r="D878" i="28"/>
  <c r="D1860" i="28"/>
  <c r="D1293" i="28"/>
  <c r="D946" i="28"/>
  <c r="D577" i="28"/>
  <c r="D487" i="28"/>
  <c r="D830" i="28"/>
  <c r="D70" i="28"/>
  <c r="D593" i="28"/>
  <c r="D628" i="28"/>
  <c r="D638" i="28"/>
  <c r="D1315" i="28"/>
  <c r="D1901" i="28"/>
  <c r="D1323" i="28"/>
  <c r="D736" i="28"/>
  <c r="D1408" i="28"/>
  <c r="D316" i="28"/>
  <c r="D932" i="28"/>
  <c r="D1559" i="28"/>
  <c r="D1140" i="28"/>
  <c r="D893" i="28"/>
  <c r="D1148" i="28"/>
  <c r="D791" i="28"/>
  <c r="D1640" i="28"/>
  <c r="D998" i="28"/>
  <c r="D547" i="28"/>
  <c r="D909" i="28"/>
  <c r="D763" i="28"/>
  <c r="D463" i="28"/>
  <c r="D779" i="28"/>
  <c r="D1264" i="28"/>
  <c r="D983" i="28"/>
  <c r="D996" i="28"/>
  <c r="D592" i="28"/>
  <c r="D1557" i="28"/>
  <c r="D2031" i="28"/>
  <c r="D1198" i="28"/>
  <c r="D180" i="28"/>
  <c r="D30" i="28"/>
  <c r="D669" i="28"/>
  <c r="D963" i="28"/>
  <c r="D723" i="28"/>
  <c r="D770" i="28"/>
  <c r="D81" i="28"/>
  <c r="D499" i="28"/>
  <c r="D1987" i="28"/>
  <c r="D747" i="28"/>
  <c r="D1989" i="28"/>
  <c r="D1483" i="28"/>
  <c r="D1428" i="28"/>
  <c r="D1340" i="28"/>
  <c r="D549" i="28"/>
  <c r="D718" i="28"/>
  <c r="D1051" i="28"/>
  <c r="D1304" i="28"/>
  <c r="D178" i="28"/>
  <c r="D1547" i="28"/>
  <c r="D500" i="28"/>
  <c r="D1047" i="28"/>
  <c r="D1301" i="28"/>
  <c r="D1139" i="28"/>
  <c r="D927" i="28"/>
  <c r="D64" i="28"/>
  <c r="D1561" i="28"/>
  <c r="D410" i="28"/>
  <c r="D48" i="28"/>
  <c r="D980" i="28"/>
  <c r="D1177" i="28"/>
  <c r="D1906" i="28"/>
  <c r="D43" i="28"/>
  <c r="D164" i="28"/>
  <c r="D212" i="28"/>
  <c r="D1581" i="28"/>
  <c r="D277" i="28"/>
  <c r="D1501" i="28"/>
  <c r="D211" i="28"/>
  <c r="D141" i="28"/>
  <c r="D2068" i="28"/>
  <c r="D2033" i="28"/>
  <c r="D1805" i="28"/>
  <c r="D1027" i="28"/>
  <c r="D215" i="28"/>
  <c r="D1110" i="28"/>
  <c r="D22" i="28"/>
  <c r="D1374" i="28"/>
  <c r="D1753" i="28"/>
  <c r="D1321" i="28"/>
  <c r="D405" i="28"/>
  <c r="D1676" i="28"/>
  <c r="D2013" i="28"/>
  <c r="D2008" i="28"/>
  <c r="D1704" i="28"/>
  <c r="D752" i="28"/>
  <c r="D673" i="28"/>
  <c r="D603" i="28"/>
  <c r="D1385" i="28"/>
  <c r="D235" i="28"/>
  <c r="D2028" i="28"/>
  <c r="D1371" i="28"/>
  <c r="D1507" i="28"/>
  <c r="D1136" i="28"/>
  <c r="D118" i="28"/>
  <c r="D1551" i="28"/>
  <c r="D1035" i="28"/>
  <c r="D1838" i="28"/>
  <c r="D1275" i="28"/>
  <c r="D860" i="28"/>
  <c r="D1836" i="28"/>
  <c r="D2032" i="28"/>
  <c r="D1440" i="28"/>
  <c r="D1510" i="28"/>
  <c r="D1799" i="28"/>
  <c r="D1495" i="28"/>
  <c r="D596" i="28"/>
  <c r="D881" i="28"/>
  <c r="D1256" i="28"/>
  <c r="D1565" i="28"/>
  <c r="D1273" i="28"/>
  <c r="D295" i="28"/>
  <c r="D1120" i="28"/>
  <c r="D1366" i="28"/>
  <c r="D1343" i="28"/>
  <c r="D1765" i="28"/>
  <c r="D1044" i="28"/>
  <c r="D1511" i="28"/>
  <c r="D398" i="28"/>
  <c r="D508" i="28"/>
  <c r="D1540" i="28"/>
  <c r="D1689" i="28"/>
  <c r="D1785" i="28"/>
  <c r="D866" i="28"/>
  <c r="D979" i="28"/>
  <c r="D1088" i="28"/>
  <c r="D1099" i="28"/>
  <c r="D1776" i="28"/>
  <c r="D795" i="28"/>
  <c r="D230" i="28"/>
  <c r="D59" i="28"/>
  <c r="D1508" i="28"/>
  <c r="D439" i="28"/>
  <c r="D204" i="28"/>
  <c r="D1328" i="28"/>
  <c r="D695" i="28"/>
  <c r="D844" i="28"/>
  <c r="D1541" i="28"/>
  <c r="D742" i="28"/>
  <c r="D242" i="28"/>
  <c r="D130" i="28"/>
  <c r="D244" i="28"/>
  <c r="D390" i="28"/>
  <c r="D1479" i="28"/>
  <c r="D213" i="28"/>
  <c r="D236" i="28"/>
  <c r="D1076" i="28"/>
  <c r="D1725" i="28"/>
  <c r="D609" i="28"/>
  <c r="D712" i="28"/>
  <c r="D838" i="28"/>
  <c r="D1429" i="28"/>
  <c r="D1336" i="28"/>
  <c r="D1580" i="28"/>
  <c r="D1305" i="28"/>
  <c r="D904" i="28"/>
  <c r="D1227" i="28"/>
  <c r="D1516" i="28"/>
  <c r="D853" i="28"/>
  <c r="D1193" i="28"/>
  <c r="D749" i="28"/>
  <c r="D849" i="28"/>
  <c r="D214" i="28"/>
  <c r="D1974" i="28"/>
  <c r="D1037" i="28"/>
  <c r="D1887" i="28"/>
  <c r="D1018" i="28"/>
  <c r="D637" i="28"/>
  <c r="D1845" i="28"/>
  <c r="D1210" i="28"/>
  <c r="D265" i="28"/>
  <c r="D416" i="28"/>
  <c r="D957" i="28"/>
  <c r="D1606" i="28"/>
  <c r="D1712" i="28"/>
  <c r="D1033" i="28"/>
  <c r="D1790" i="28"/>
  <c r="D1053" i="28"/>
  <c r="D493" i="28"/>
  <c r="D202" i="28"/>
  <c r="D102" i="28"/>
  <c r="D36" i="28"/>
  <c r="D501" i="28"/>
  <c r="D1150" i="28"/>
  <c r="D309" i="28"/>
  <c r="D720" i="28"/>
  <c r="D1939" i="28"/>
  <c r="D981" i="28"/>
  <c r="D170" i="28"/>
  <c r="D342" i="28"/>
  <c r="D179" i="28"/>
  <c r="D1023" i="28"/>
  <c r="D1655" i="28"/>
  <c r="D512" i="28"/>
  <c r="D484" i="28"/>
  <c r="D1956" i="28"/>
  <c r="D1187" i="28"/>
  <c r="D1186" i="28"/>
  <c r="D640" i="28"/>
  <c r="D775" i="28"/>
  <c r="D457" i="28"/>
  <c r="D570" i="28"/>
  <c r="D1690" i="28"/>
  <c r="D761" i="28"/>
  <c r="D375" i="28"/>
  <c r="D1284" i="28"/>
  <c r="D703" i="28"/>
  <c r="D1466" i="28"/>
  <c r="D256" i="28"/>
  <c r="D449" i="28"/>
  <c r="D1353" i="28"/>
  <c r="D188" i="28"/>
  <c r="D828" i="28"/>
  <c r="D969" i="28"/>
  <c r="D1274" i="28"/>
  <c r="D831" i="28"/>
  <c r="D1503" i="28"/>
  <c r="D2015" i="28"/>
  <c r="D1619" i="28"/>
  <c r="D441" i="28"/>
  <c r="D817" i="28"/>
  <c r="D584" i="28"/>
  <c r="D1413" i="28"/>
  <c r="D302" i="28"/>
  <c r="D216" i="28"/>
  <c r="D1322" i="28"/>
  <c r="D1157" i="28"/>
  <c r="D1629" i="28"/>
  <c r="D756" i="28"/>
  <c r="D667" i="28"/>
  <c r="D846" i="28"/>
  <c r="D1424" i="28"/>
  <c r="D1459" i="28"/>
  <c r="D1705" i="28"/>
  <c r="D1093" i="28"/>
  <c r="D1355" i="28"/>
  <c r="D1670" i="28"/>
  <c r="D587" i="28"/>
  <c r="D1333" i="28"/>
  <c r="D1558" i="28"/>
  <c r="D123" i="28"/>
  <c r="D1009" i="28"/>
  <c r="D741" i="28"/>
  <c r="D562" i="28"/>
  <c r="D1930" i="28"/>
  <c r="D1628" i="28"/>
  <c r="D1442" i="28"/>
  <c r="D455" i="28"/>
  <c r="D1457" i="28"/>
  <c r="D1910" i="28"/>
  <c r="D839" i="28"/>
  <c r="D1454" i="28"/>
  <c r="D1602" i="28"/>
  <c r="D1745" i="28"/>
  <c r="D1553" i="28"/>
  <c r="D1455" i="28"/>
  <c r="D734" i="28"/>
  <c r="D1490" i="28"/>
  <c r="D1163" i="28"/>
  <c r="D419" i="28"/>
  <c r="D784" i="28"/>
  <c r="D1081" i="28"/>
  <c r="D1453" i="28"/>
  <c r="D804" i="28"/>
  <c r="D921" i="28"/>
  <c r="D191" i="28"/>
  <c r="D149" i="28"/>
  <c r="D1064" i="28"/>
  <c r="D1654" i="28"/>
  <c r="D1646" i="28"/>
  <c r="E29" i="31" l="1"/>
  <c r="E26" i="31"/>
  <c r="E43" i="31"/>
  <c r="E46" i="31"/>
  <c r="E14" i="31"/>
  <c r="E8" i="31"/>
  <c r="E5" i="31"/>
  <c r="E44" i="31"/>
  <c r="E32" i="31"/>
  <c r="E50" i="31"/>
  <c r="E51" i="31"/>
  <c r="E28" i="31"/>
  <c r="E10" i="31"/>
  <c r="E12" i="31"/>
  <c r="E52" i="31"/>
  <c r="E27" i="31"/>
  <c r="E48" i="31"/>
  <c r="N23" i="28"/>
  <c r="L14" i="28"/>
  <c r="L13" i="28"/>
  <c r="L12" i="28"/>
  <c r="L11" i="28"/>
  <c r="N7" i="28"/>
  <c r="N6" i="28"/>
  <c r="N5" i="28"/>
  <c r="N4" i="28"/>
  <c r="D13" i="30"/>
  <c r="H31" i="30" l="1"/>
  <c r="J18" i="29"/>
  <c r="G18" i="29"/>
  <c r="E23" i="29" s="1"/>
  <c r="E24" i="29" s="1"/>
  <c r="J37" i="29" s="1"/>
  <c r="G17" i="29"/>
  <c r="J17" i="29"/>
  <c r="K16" i="29"/>
  <c r="H16" i="29"/>
  <c r="I16" i="29"/>
  <c r="H15" i="29"/>
  <c r="K15" i="29" s="1"/>
  <c r="I15" i="29"/>
  <c r="H20" i="30"/>
  <c r="I9" i="30"/>
  <c r="J9" i="30" s="1"/>
  <c r="K9" i="30" s="1"/>
  <c r="L9" i="30" s="1"/>
  <c r="I7" i="30"/>
  <c r="J7" i="30" s="1"/>
  <c r="K7" i="30" s="1"/>
  <c r="L7" i="30" s="1"/>
  <c r="K5" i="30"/>
  <c r="L5" i="30" s="1"/>
  <c r="M5" i="30" s="1"/>
  <c r="J5" i="30"/>
  <c r="I5" i="30"/>
  <c r="I2" i="30"/>
  <c r="J2" i="30" s="1"/>
  <c r="K2" i="30" s="1"/>
  <c r="K23" i="29"/>
  <c r="I14" i="29"/>
  <c r="I13" i="29"/>
  <c r="I12" i="29"/>
  <c r="H12" i="29"/>
  <c r="K12" i="29" s="1"/>
  <c r="I11" i="29"/>
  <c r="C31" i="29"/>
  <c r="I10" i="29"/>
  <c r="J77" i="27"/>
  <c r="D77" i="27"/>
  <c r="K74" i="27"/>
  <c r="K77" i="27" s="1"/>
  <c r="J74" i="27"/>
  <c r="I74" i="27"/>
  <c r="I77" i="27" s="1"/>
  <c r="H74" i="27"/>
  <c r="H77" i="27" s="1"/>
  <c r="G74" i="27"/>
  <c r="G77" i="27" s="1"/>
  <c r="F74" i="27"/>
  <c r="F77" i="27" s="1"/>
  <c r="F99" i="27" s="1"/>
  <c r="E74" i="27"/>
  <c r="E77" i="27" s="1"/>
  <c r="D74" i="27"/>
  <c r="C74" i="27"/>
  <c r="C96" i="27" s="1"/>
  <c r="K68" i="27"/>
  <c r="J68" i="27"/>
  <c r="I68" i="27"/>
  <c r="H68" i="27"/>
  <c r="G68" i="27"/>
  <c r="G82" i="27" s="1"/>
  <c r="F68" i="27"/>
  <c r="F82" i="27" s="1"/>
  <c r="E68" i="27"/>
  <c r="E82" i="27" s="1"/>
  <c r="D68" i="27"/>
  <c r="D82" i="27" s="1"/>
  <c r="K67" i="27"/>
  <c r="K73" i="27" s="1"/>
  <c r="J67" i="27"/>
  <c r="J73" i="27" s="1"/>
  <c r="J89" i="27" s="1"/>
  <c r="I67" i="27"/>
  <c r="I73" i="27" s="1"/>
  <c r="I95" i="27" s="1"/>
  <c r="H67" i="27"/>
  <c r="H73" i="27" s="1"/>
  <c r="H75" i="27" s="1"/>
  <c r="G67" i="27"/>
  <c r="G73" i="27" s="1"/>
  <c r="F67" i="27"/>
  <c r="F73" i="27" s="1"/>
  <c r="E67" i="27"/>
  <c r="E73" i="27" s="1"/>
  <c r="D67" i="27"/>
  <c r="D73" i="27" s="1"/>
  <c r="C67" i="27"/>
  <c r="K66" i="27"/>
  <c r="K72" i="27" s="1"/>
  <c r="J66" i="27"/>
  <c r="I66" i="27"/>
  <c r="H66" i="27"/>
  <c r="H72" i="27" s="1"/>
  <c r="G66" i="27"/>
  <c r="F66" i="27"/>
  <c r="E66" i="27"/>
  <c r="E88" i="27" s="1"/>
  <c r="E94" i="27" s="1"/>
  <c r="D66" i="27"/>
  <c r="D88" i="27" s="1"/>
  <c r="D94" i="27" s="1"/>
  <c r="C66" i="27"/>
  <c r="C68" i="27"/>
  <c r="K29" i="28"/>
  <c r="K28" i="28"/>
  <c r="K27" i="28"/>
  <c r="K26" i="28"/>
  <c r="J17" i="28"/>
  <c r="M14" i="28"/>
  <c r="N14" i="28" s="1"/>
  <c r="K14" i="28"/>
  <c r="M13" i="28"/>
  <c r="N13" i="28" s="1"/>
  <c r="K13" i="28"/>
  <c r="M12" i="28"/>
  <c r="N12" i="28" s="1"/>
  <c r="K12" i="28"/>
  <c r="M11" i="28"/>
  <c r="N11" i="28" s="1"/>
  <c r="K11" i="28"/>
  <c r="B95" i="27"/>
  <c r="I82" i="27"/>
  <c r="H82" i="27"/>
  <c r="D99" i="27"/>
  <c r="H96" i="27"/>
  <c r="D96" i="27"/>
  <c r="B73" i="27"/>
  <c r="J72" i="27"/>
  <c r="I72" i="27"/>
  <c r="C72" i="27"/>
  <c r="I69" i="27"/>
  <c r="K82" i="27"/>
  <c r="J69" i="27"/>
  <c r="C82" i="27"/>
  <c r="C69" i="27"/>
  <c r="J88" i="27"/>
  <c r="J94" i="27" s="1"/>
  <c r="I88" i="27"/>
  <c r="I94" i="27" s="1"/>
  <c r="H88" i="27"/>
  <c r="H94" i="27" s="1"/>
  <c r="G72" i="27"/>
  <c r="F72" i="27"/>
  <c r="C88" i="27"/>
  <c r="C94" i="27" s="1"/>
  <c r="C3" i="25"/>
  <c r="D3" i="25" s="1"/>
  <c r="E3" i="25" s="1"/>
  <c r="F3" i="25" s="1"/>
  <c r="G3" i="25" s="1"/>
  <c r="H3" i="25" s="1"/>
  <c r="I3" i="25" s="1"/>
  <c r="J3" i="25" s="1"/>
  <c r="K3" i="25" s="1"/>
  <c r="L3" i="25" s="1"/>
  <c r="B36" i="22"/>
  <c r="B35" i="22"/>
  <c r="B34" i="22"/>
  <c r="B33" i="22"/>
  <c r="B32" i="22"/>
  <c r="B31" i="22"/>
  <c r="B30" i="22"/>
  <c r="B27" i="22"/>
  <c r="B26" i="22"/>
  <c r="B25" i="22"/>
  <c r="B24" i="22"/>
  <c r="C22" i="22"/>
  <c r="D22" i="22" s="1"/>
  <c r="E22" i="22" s="1"/>
  <c r="F22" i="22" s="1"/>
  <c r="G22" i="22" s="1"/>
  <c r="H22" i="22" s="1"/>
  <c r="I22" i="22" s="1"/>
  <c r="J22" i="22" s="1"/>
  <c r="K22" i="22" s="1"/>
  <c r="L22" i="22" s="1"/>
  <c r="C3" i="22"/>
  <c r="D3" i="22" s="1"/>
  <c r="E3" i="22" s="1"/>
  <c r="F3" i="22" s="1"/>
  <c r="G3" i="22" s="1"/>
  <c r="H3" i="22" s="1"/>
  <c r="I3" i="22" s="1"/>
  <c r="J3" i="22" s="1"/>
  <c r="K3" i="22" s="1"/>
  <c r="L3" i="22" s="1"/>
  <c r="B21" i="22"/>
  <c r="B19" i="22"/>
  <c r="B18" i="22"/>
  <c r="B17" i="22"/>
  <c r="B16" i="22"/>
  <c r="B15" i="22"/>
  <c r="B14" i="22"/>
  <c r="B13" i="22"/>
  <c r="B12" i="22"/>
  <c r="B11" i="22"/>
  <c r="B10" i="22"/>
  <c r="B9" i="22"/>
  <c r="B8" i="22"/>
  <c r="B7" i="22"/>
  <c r="B6" i="22"/>
  <c r="B5" i="22"/>
  <c r="B4" i="22"/>
  <c r="B2" i="25"/>
  <c r="B2" i="22"/>
  <c r="B106" i="23"/>
  <c r="I17" i="29" l="1"/>
  <c r="I18" i="29"/>
  <c r="H69" i="27"/>
  <c r="K99" i="27"/>
  <c r="F96" i="27"/>
  <c r="K96" i="27"/>
  <c r="C77" i="27"/>
  <c r="H11" i="29"/>
  <c r="K11" i="29" s="1"/>
  <c r="M9" i="30"/>
  <c r="H14" i="29"/>
  <c r="K14" i="29" s="1"/>
  <c r="K31" i="29"/>
  <c r="H10" i="29"/>
  <c r="H13" i="29"/>
  <c r="K13" i="29" s="1"/>
  <c r="C30" i="29"/>
  <c r="D32" i="29" s="1"/>
  <c r="H369" i="28"/>
  <c r="H262" i="28"/>
  <c r="H20" i="28"/>
  <c r="H26" i="28"/>
  <c r="H42" i="28"/>
  <c r="H82" i="28"/>
  <c r="H102" i="28"/>
  <c r="H122" i="28"/>
  <c r="H154" i="28"/>
  <c r="H174" i="28"/>
  <c r="H194" i="28"/>
  <c r="H234" i="28"/>
  <c r="H242" i="28"/>
  <c r="H6224" i="28"/>
  <c r="H30" i="28"/>
  <c r="H70" i="28"/>
  <c r="H90" i="28"/>
  <c r="H142" i="28"/>
  <c r="H182" i="28"/>
  <c r="H222" i="28"/>
  <c r="H250" i="28"/>
  <c r="H270" i="28"/>
  <c r="H9" i="28"/>
  <c r="H13" i="28"/>
  <c r="H50" i="28"/>
  <c r="H58" i="28"/>
  <c r="H110" i="28"/>
  <c r="H130" i="28"/>
  <c r="H162" i="28"/>
  <c r="H202" i="28"/>
  <c r="H210" i="28"/>
  <c r="H6" i="28"/>
  <c r="H17" i="28"/>
  <c r="H38" i="28"/>
  <c r="H78" i="28"/>
  <c r="H98" i="28"/>
  <c r="H118" i="28"/>
  <c r="H150" i="28"/>
  <c r="H190" i="28"/>
  <c r="H230" i="28"/>
  <c r="H258" i="28"/>
  <c r="H66" i="28"/>
  <c r="H86" i="28"/>
  <c r="H138" i="28"/>
  <c r="H170" i="28"/>
  <c r="H218" i="28"/>
  <c r="H238" i="28"/>
  <c r="H46" i="28"/>
  <c r="H106" i="28"/>
  <c r="H126" i="28"/>
  <c r="H158" i="28"/>
  <c r="H178" i="28"/>
  <c r="H198" i="28"/>
  <c r="H246" i="28"/>
  <c r="H266" i="28"/>
  <c r="H3" i="28"/>
  <c r="H34" i="28"/>
  <c r="H54" i="28"/>
  <c r="H74" i="28"/>
  <c r="H94" i="28"/>
  <c r="H146" i="28"/>
  <c r="H186" i="28"/>
  <c r="H206" i="28"/>
  <c r="H226" i="28"/>
  <c r="H254" i="28"/>
  <c r="H62" i="28"/>
  <c r="H114" i="28"/>
  <c r="H134" i="28"/>
  <c r="H166" i="28"/>
  <c r="H214" i="28"/>
  <c r="E96" i="27"/>
  <c r="F95" i="27"/>
  <c r="F97" i="27" s="1"/>
  <c r="F75" i="27"/>
  <c r="F69" i="27"/>
  <c r="K88" i="27"/>
  <c r="K94" i="27" s="1"/>
  <c r="H14" i="28"/>
  <c r="H16" i="28"/>
  <c r="H22" i="28"/>
  <c r="H25" i="28"/>
  <c r="H27" i="28"/>
  <c r="H33" i="28"/>
  <c r="H37" i="28"/>
  <c r="H41" i="28"/>
  <c r="H45" i="28"/>
  <c r="H49" i="28"/>
  <c r="H53" i="28"/>
  <c r="H57" i="28"/>
  <c r="H61" i="28"/>
  <c r="H65" i="28"/>
  <c r="H69" i="28"/>
  <c r="H73" i="28"/>
  <c r="H77" i="28"/>
  <c r="H81" i="28"/>
  <c r="H85" i="28"/>
  <c r="H89" i="28"/>
  <c r="H93" i="28"/>
  <c r="H97" i="28"/>
  <c r="H101" i="28"/>
  <c r="H105" i="28"/>
  <c r="H109" i="28"/>
  <c r="H113" i="28"/>
  <c r="H117" i="28"/>
  <c r="H121" i="28"/>
  <c r="H125" i="28"/>
  <c r="H129" i="28"/>
  <c r="H133" i="28"/>
  <c r="H137" i="28"/>
  <c r="H141" i="28"/>
  <c r="H145" i="28"/>
  <c r="H149" i="28"/>
  <c r="H153" i="28"/>
  <c r="H157" i="28"/>
  <c r="H161" i="28"/>
  <c r="H165" i="28"/>
  <c r="H169" i="28"/>
  <c r="H173" i="28"/>
  <c r="H177" i="28"/>
  <c r="H181" i="28"/>
  <c r="H185" i="28"/>
  <c r="H189" i="28"/>
  <c r="H193" i="28"/>
  <c r="H197" i="28"/>
  <c r="H201" i="28"/>
  <c r="H205" i="28"/>
  <c r="H209" i="28"/>
  <c r="H213" i="28"/>
  <c r="H217" i="28"/>
  <c r="H221" i="28"/>
  <c r="H225" i="28"/>
  <c r="H229" i="28"/>
  <c r="H233" i="28"/>
  <c r="H237" i="28"/>
  <c r="H241" i="28"/>
  <c r="H245" i="28"/>
  <c r="H249" i="28"/>
  <c r="H253" i="28"/>
  <c r="H257" i="28"/>
  <c r="H261" i="28"/>
  <c r="H265" i="28"/>
  <c r="H269" i="28"/>
  <c r="H273" i="28"/>
  <c r="H277" i="28"/>
  <c r="H281" i="28"/>
  <c r="H285" i="28"/>
  <c r="H289" i="28"/>
  <c r="H293" i="28"/>
  <c r="H297" i="28"/>
  <c r="H301" i="28"/>
  <c r="H305" i="28"/>
  <c r="H309" i="28"/>
  <c r="H313" i="28"/>
  <c r="H317" i="28"/>
  <c r="H321" i="28"/>
  <c r="H325" i="28"/>
  <c r="H329" i="28"/>
  <c r="H333" i="28"/>
  <c r="H337" i="28"/>
  <c r="H341" i="28"/>
  <c r="H345" i="28"/>
  <c r="H349" i="28"/>
  <c r="H353" i="28"/>
  <c r="H357" i="28"/>
  <c r="H361" i="28"/>
  <c r="H365" i="28"/>
  <c r="H458" i="28"/>
  <c r="H472" i="28"/>
  <c r="H481" i="28"/>
  <c r="H490" i="28"/>
  <c r="H504" i="28"/>
  <c r="H513" i="28"/>
  <c r="H522" i="28"/>
  <c r="H536" i="28"/>
  <c r="H545" i="28"/>
  <c r="H554" i="28"/>
  <c r="H584" i="28"/>
  <c r="H616" i="28"/>
  <c r="H648" i="28"/>
  <c r="H680" i="28"/>
  <c r="H712" i="28"/>
  <c r="H744" i="28"/>
  <c r="H776" i="28"/>
  <c r="H808" i="28"/>
  <c r="H840" i="28"/>
  <c r="H872" i="28"/>
  <c r="H904" i="28"/>
  <c r="H936" i="28"/>
  <c r="H968" i="28"/>
  <c r="H1000" i="28"/>
  <c r="H1032" i="28"/>
  <c r="H1064" i="28"/>
  <c r="H1096" i="28"/>
  <c r="H1128" i="28"/>
  <c r="H1160" i="28"/>
  <c r="H1192" i="28"/>
  <c r="H1224" i="28"/>
  <c r="H1256" i="28"/>
  <c r="H1288" i="28"/>
  <c r="H1320" i="28"/>
  <c r="H1352" i="28"/>
  <c r="H1384" i="28"/>
  <c r="H1416" i="28"/>
  <c r="H1448" i="28"/>
  <c r="H1480" i="28"/>
  <c r="H1512" i="28"/>
  <c r="H1544" i="28"/>
  <c r="H1576" i="28"/>
  <c r="H1656" i="28"/>
  <c r="H1669" i="28"/>
  <c r="H1683" i="28"/>
  <c r="H1784" i="28"/>
  <c r="H1797" i="28"/>
  <c r="H1811" i="28"/>
  <c r="H1912" i="28"/>
  <c r="H1956" i="28"/>
  <c r="H2015" i="28"/>
  <c r="H2043" i="28"/>
  <c r="H5230" i="28"/>
  <c r="H5481" i="28"/>
  <c r="H5984" i="28"/>
  <c r="H23" i="28"/>
  <c r="H464" i="28"/>
  <c r="H473" i="28"/>
  <c r="H482" i="28"/>
  <c r="H496" i="28"/>
  <c r="H505" i="28"/>
  <c r="H514" i="28"/>
  <c r="H528" i="28"/>
  <c r="H537" i="28"/>
  <c r="H546" i="28"/>
  <c r="H560" i="28"/>
  <c r="H592" i="28"/>
  <c r="H624" i="28"/>
  <c r="H656" i="28"/>
  <c r="H688" i="28"/>
  <c r="H720" i="28"/>
  <c r="H752" i="28"/>
  <c r="H784" i="28"/>
  <c r="H816" i="28"/>
  <c r="H848" i="28"/>
  <c r="H880" i="28"/>
  <c r="H912" i="28"/>
  <c r="H944" i="28"/>
  <c r="H976" i="28"/>
  <c r="H1008" i="28"/>
  <c r="H1040" i="28"/>
  <c r="H1072" i="28"/>
  <c r="H1104" i="28"/>
  <c r="H1136" i="28"/>
  <c r="H1168" i="28"/>
  <c r="H1200" i="28"/>
  <c r="H1232" i="28"/>
  <c r="H1264" i="28"/>
  <c r="H1296" i="28"/>
  <c r="H1328" i="28"/>
  <c r="H1360" i="28"/>
  <c r="H1392" i="28"/>
  <c r="H1424" i="28"/>
  <c r="H1456" i="28"/>
  <c r="H1488" i="28"/>
  <c r="H1520" i="28"/>
  <c r="H1552" i="28"/>
  <c r="H1584" i="28"/>
  <c r="H1624" i="28"/>
  <c r="H1637" i="28"/>
  <c r="H1651" i="28"/>
  <c r="H1752" i="28"/>
  <c r="H1765" i="28"/>
  <c r="H1779" i="28"/>
  <c r="H1880" i="28"/>
  <c r="H1893" i="28"/>
  <c r="H1907" i="28"/>
  <c r="H1951" i="28"/>
  <c r="H1979" i="28"/>
  <c r="H2060" i="28"/>
  <c r="H5289" i="28"/>
  <c r="H5546" i="28"/>
  <c r="H6189" i="28"/>
  <c r="H29" i="28"/>
  <c r="H31" i="28"/>
  <c r="H35" i="28"/>
  <c r="H39" i="28"/>
  <c r="H43" i="28"/>
  <c r="H47" i="28"/>
  <c r="H51" i="28"/>
  <c r="H55" i="28"/>
  <c r="H59" i="28"/>
  <c r="H63" i="28"/>
  <c r="H67" i="28"/>
  <c r="H71" i="28"/>
  <c r="H75" i="28"/>
  <c r="H79" i="28"/>
  <c r="H83" i="28"/>
  <c r="H87" i="28"/>
  <c r="H91" i="28"/>
  <c r="H95" i="28"/>
  <c r="H99" i="28"/>
  <c r="H103" i="28"/>
  <c r="H107" i="28"/>
  <c r="H111" i="28"/>
  <c r="H115" i="28"/>
  <c r="H119" i="28"/>
  <c r="H123" i="28"/>
  <c r="H127" i="28"/>
  <c r="H131" i="28"/>
  <c r="H135" i="28"/>
  <c r="H139" i="28"/>
  <c r="H143" i="28"/>
  <c r="H147" i="28"/>
  <c r="H151" i="28"/>
  <c r="H155" i="28"/>
  <c r="H159" i="28"/>
  <c r="H163" i="28"/>
  <c r="H167" i="28"/>
  <c r="H171" i="28"/>
  <c r="H175" i="28"/>
  <c r="H179" i="28"/>
  <c r="H183" i="28"/>
  <c r="H187" i="28"/>
  <c r="H191" i="28"/>
  <c r="H195" i="28"/>
  <c r="H199" i="28"/>
  <c r="H203" i="28"/>
  <c r="H207" i="28"/>
  <c r="H211" i="28"/>
  <c r="H215" i="28"/>
  <c r="H219" i="28"/>
  <c r="H223" i="28"/>
  <c r="H227" i="28"/>
  <c r="H231" i="28"/>
  <c r="H235" i="28"/>
  <c r="H239" i="28"/>
  <c r="H243" i="28"/>
  <c r="H247" i="28"/>
  <c r="H251" i="28"/>
  <c r="H255" i="28"/>
  <c r="H259" i="28"/>
  <c r="H263" i="28"/>
  <c r="H267" i="28"/>
  <c r="H271" i="28"/>
  <c r="H275" i="28"/>
  <c r="H279" i="28"/>
  <c r="H283" i="28"/>
  <c r="H287" i="28"/>
  <c r="H291" i="28"/>
  <c r="H295" i="28"/>
  <c r="H299" i="28"/>
  <c r="H303" i="28"/>
  <c r="H307" i="28"/>
  <c r="H311" i="28"/>
  <c r="H315" i="28"/>
  <c r="H319" i="28"/>
  <c r="H323" i="28"/>
  <c r="H327" i="28"/>
  <c r="H331" i="28"/>
  <c r="H335" i="28"/>
  <c r="H339" i="28"/>
  <c r="H343" i="28"/>
  <c r="H347" i="28"/>
  <c r="H351" i="28"/>
  <c r="H355" i="28"/>
  <c r="H359" i="28"/>
  <c r="H363" i="28"/>
  <c r="H367" i="28"/>
  <c r="H371" i="28"/>
  <c r="H375" i="28"/>
  <c r="H379" i="28"/>
  <c r="H383" i="28"/>
  <c r="H387" i="28"/>
  <c r="H391" i="28"/>
  <c r="H395" i="28"/>
  <c r="H399" i="28"/>
  <c r="H403" i="28"/>
  <c r="H407" i="28"/>
  <c r="H411" i="28"/>
  <c r="H415" i="28"/>
  <c r="H419" i="28"/>
  <c r="H423" i="28"/>
  <c r="H427" i="28"/>
  <c r="H431" i="28"/>
  <c r="H435" i="28"/>
  <c r="H439" i="28"/>
  <c r="H443" i="28"/>
  <c r="H447" i="28"/>
  <c r="H451" i="28"/>
  <c r="H460" i="28"/>
  <c r="H469" i="28"/>
  <c r="H478" i="28"/>
  <c r="H492" i="28"/>
  <c r="H501" i="28"/>
  <c r="H510" i="28"/>
  <c r="H524" i="28"/>
  <c r="H533" i="28"/>
  <c r="H542" i="28"/>
  <c r="H556" i="28"/>
  <c r="H580" i="28"/>
  <c r="H612" i="28"/>
  <c r="H644" i="28"/>
  <c r="H676" i="28"/>
  <c r="H708" i="28"/>
  <c r="H740" i="28"/>
  <c r="H772" i="28"/>
  <c r="H804" i="28"/>
  <c r="H836" i="28"/>
  <c r="H868" i="28"/>
  <c r="H900" i="28"/>
  <c r="H932" i="28"/>
  <c r="H964" i="28"/>
  <c r="H996" i="28"/>
  <c r="H1028" i="28"/>
  <c r="H1060" i="28"/>
  <c r="H1092" i="28"/>
  <c r="H1124" i="28"/>
  <c r="H1156" i="28"/>
  <c r="H1188" i="28"/>
  <c r="H1220" i="28"/>
  <c r="H1252" i="28"/>
  <c r="H1284" i="28"/>
  <c r="H1316" i="28"/>
  <c r="H1348" i="28"/>
  <c r="H1380" i="28"/>
  <c r="H1412" i="28"/>
  <c r="H1444" i="28"/>
  <c r="H1476" i="28"/>
  <c r="H1508" i="28"/>
  <c r="H1540" i="28"/>
  <c r="H1572" i="28"/>
  <c r="H1665" i="28"/>
  <c r="H1679" i="28"/>
  <c r="H1692" i="28"/>
  <c r="H1793" i="28"/>
  <c r="H1807" i="28"/>
  <c r="H1820" i="28"/>
  <c r="H1973" i="28"/>
  <c r="H5299" i="28"/>
  <c r="H5559" i="28"/>
  <c r="H278" i="28"/>
  <c r="H286" i="28"/>
  <c r="H294" i="28"/>
  <c r="H306" i="28"/>
  <c r="H314" i="28"/>
  <c r="H322" i="28"/>
  <c r="H330" i="28"/>
  <c r="H338" i="28"/>
  <c r="H346" i="28"/>
  <c r="H350" i="28"/>
  <c r="H358" i="28"/>
  <c r="H366" i="28"/>
  <c r="H374" i="28"/>
  <c r="H378" i="28"/>
  <c r="H386" i="28"/>
  <c r="H394" i="28"/>
  <c r="H402" i="28"/>
  <c r="H410" i="28"/>
  <c r="H418" i="28"/>
  <c r="H422" i="28"/>
  <c r="H430" i="28"/>
  <c r="H438" i="28"/>
  <c r="H446" i="28"/>
  <c r="H454" i="28"/>
  <c r="H468" i="28"/>
  <c r="H477" i="28"/>
  <c r="H486" i="28"/>
  <c r="H550" i="28"/>
  <c r="H572" i="28"/>
  <c r="H668" i="28"/>
  <c r="H732" i="28"/>
  <c r="H764" i="28"/>
  <c r="H796" i="28"/>
  <c r="H860" i="28"/>
  <c r="H988" i="28"/>
  <c r="H1020" i="28"/>
  <c r="H1052" i="28"/>
  <c r="H1148" i="28"/>
  <c r="H1180" i="28"/>
  <c r="H1212" i="28"/>
  <c r="H1308" i="28"/>
  <c r="H1372" i="28"/>
  <c r="H1436" i="28"/>
  <c r="H1468" i="28"/>
  <c r="H1500" i="28"/>
  <c r="H1697" i="28"/>
  <c r="H5491" i="28"/>
  <c r="H10003" i="28"/>
  <c r="H9995" i="28"/>
  <c r="H9987" i="28"/>
  <c r="H9979" i="28"/>
  <c r="H9971" i="28"/>
  <c r="H9963" i="28"/>
  <c r="H9955" i="28"/>
  <c r="H9947" i="28"/>
  <c r="H9939" i="28"/>
  <c r="H9931" i="28"/>
  <c r="H9923" i="28"/>
  <c r="H10001" i="28"/>
  <c r="H9993" i="28"/>
  <c r="H9985" i="28"/>
  <c r="H9977" i="28"/>
  <c r="H9969" i="28"/>
  <c r="H9961" i="28"/>
  <c r="H9953" i="28"/>
  <c r="H9945" i="28"/>
  <c r="H9937" i="28"/>
  <c r="H9929" i="28"/>
  <c r="H9921" i="28"/>
  <c r="H9913" i="28"/>
  <c r="H9905" i="28"/>
  <c r="H9897" i="28"/>
  <c r="H9889" i="28"/>
  <c r="H9881" i="28"/>
  <c r="H9873" i="28"/>
  <c r="H9865" i="28"/>
  <c r="H9857" i="28"/>
  <c r="H9849" i="28"/>
  <c r="H9841" i="28"/>
  <c r="H9833" i="28"/>
  <c r="H9825" i="28"/>
  <c r="H9817" i="28"/>
  <c r="H9809" i="28"/>
  <c r="H9801" i="28"/>
  <c r="H9793" i="28"/>
  <c r="H9785" i="28"/>
  <c r="H9777" i="28"/>
  <c r="H9769" i="28"/>
  <c r="H9761" i="28"/>
  <c r="H9753" i="28"/>
  <c r="H9745" i="28"/>
  <c r="H9737" i="28"/>
  <c r="H9729" i="28"/>
  <c r="H9721" i="28"/>
  <c r="H9713" i="28"/>
  <c r="H9705" i="28"/>
  <c r="H9697" i="28"/>
  <c r="H9689" i="28"/>
  <c r="H9681" i="28"/>
  <c r="H9673" i="28"/>
  <c r="H9665" i="28"/>
  <c r="H9657" i="28"/>
  <c r="H9649" i="28"/>
  <c r="H9641" i="28"/>
  <c r="H9633" i="28"/>
  <c r="H9625" i="28"/>
  <c r="H9617" i="28"/>
  <c r="H9609" i="28"/>
  <c r="H9601" i="28"/>
  <c r="H9593" i="28"/>
  <c r="H9585" i="28"/>
  <c r="H9577" i="28"/>
  <c r="H9569" i="28"/>
  <c r="H9561" i="28"/>
  <c r="H9553" i="28"/>
  <c r="H9545" i="28"/>
  <c r="H9537" i="28"/>
  <c r="H9529" i="28"/>
  <c r="H9521" i="28"/>
  <c r="H9513" i="28"/>
  <c r="H9505" i="28"/>
  <c r="H9497" i="28"/>
  <c r="H9489" i="28"/>
  <c r="H9481" i="28"/>
  <c r="H9473" i="28"/>
  <c r="H9465" i="28"/>
  <c r="H9457" i="28"/>
  <c r="H9449" i="28"/>
  <c r="H9441" i="28"/>
  <c r="H9433" i="28"/>
  <c r="H9425" i="28"/>
  <c r="H9417" i="28"/>
  <c r="H9409" i="28"/>
  <c r="H9401" i="28"/>
  <c r="H9393" i="28"/>
  <c r="H9385" i="28"/>
  <c r="H9377" i="28"/>
  <c r="H9369" i="28"/>
  <c r="H9361" i="28"/>
  <c r="H9999" i="28"/>
  <c r="H9991" i="28"/>
  <c r="H9983" i="28"/>
  <c r="H9975" i="28"/>
  <c r="H9967" i="28"/>
  <c r="H9959" i="28"/>
  <c r="H9951" i="28"/>
  <c r="H9943" i="28"/>
  <c r="H9935" i="28"/>
  <c r="H9927" i="28"/>
  <c r="H9919" i="28"/>
  <c r="H9998" i="28"/>
  <c r="H9990" i="28"/>
  <c r="H9982" i="28"/>
  <c r="H9974" i="28"/>
  <c r="H9966" i="28"/>
  <c r="H9958" i="28"/>
  <c r="H9950" i="28"/>
  <c r="H9942" i="28"/>
  <c r="H9934" i="28"/>
  <c r="H9926" i="28"/>
  <c r="H9918" i="28"/>
  <c r="H9910" i="28"/>
  <c r="H9902" i="28"/>
  <c r="H9894" i="28"/>
  <c r="H9886" i="28"/>
  <c r="H9878" i="28"/>
  <c r="H9870" i="28"/>
  <c r="H9862" i="28"/>
  <c r="H9854" i="28"/>
  <c r="H9846" i="28"/>
  <c r="H9838" i="28"/>
  <c r="H9830" i="28"/>
  <c r="H9822" i="28"/>
  <c r="H9814" i="28"/>
  <c r="H9806" i="28"/>
  <c r="H9798" i="28"/>
  <c r="H9790" i="28"/>
  <c r="H9782" i="28"/>
  <c r="H9774" i="28"/>
  <c r="H9766" i="28"/>
  <c r="H9758" i="28"/>
  <c r="H9750" i="28"/>
  <c r="H9742" i="28"/>
  <c r="H9734" i="28"/>
  <c r="H9726" i="28"/>
  <c r="H9718" i="28"/>
  <c r="H9710" i="28"/>
  <c r="H9702" i="28"/>
  <c r="H9694" i="28"/>
  <c r="H9686" i="28"/>
  <c r="H9678" i="28"/>
  <c r="H9670" i="28"/>
  <c r="H9662" i="28"/>
  <c r="H9654" i="28"/>
  <c r="H9646" i="28"/>
  <c r="H9638" i="28"/>
  <c r="H9630" i="28"/>
  <c r="H9622" i="28"/>
  <c r="H9614" i="28"/>
  <c r="H9606" i="28"/>
  <c r="H9598" i="28"/>
  <c r="H9590" i="28"/>
  <c r="H9582" i="28"/>
  <c r="H9574" i="28"/>
  <c r="H9566" i="28"/>
  <c r="H9558" i="28"/>
  <c r="H9550" i="28"/>
  <c r="H9542" i="28"/>
  <c r="H9534" i="28"/>
  <c r="H9526" i="28"/>
  <c r="H9518" i="28"/>
  <c r="H9510" i="28"/>
  <c r="H9502" i="28"/>
  <c r="H9494" i="28"/>
  <c r="H9486" i="28"/>
  <c r="H9478" i="28"/>
  <c r="H9470" i="28"/>
  <c r="H9462" i="28"/>
  <c r="H9454" i="28"/>
  <c r="H9446" i="28"/>
  <c r="H9438" i="28"/>
  <c r="H9430" i="28"/>
  <c r="H9422" i="28"/>
  <c r="H9414" i="28"/>
  <c r="H9406" i="28"/>
  <c r="H9398" i="28"/>
  <c r="H9390" i="28"/>
  <c r="H9382" i="28"/>
  <c r="H9374" i="28"/>
  <c r="H9366" i="28"/>
  <c r="H9358" i="28"/>
  <c r="H9350" i="28"/>
  <c r="H9342" i="28"/>
  <c r="H9334" i="28"/>
  <c r="H9326" i="28"/>
  <c r="H9997" i="28"/>
  <c r="H9989" i="28"/>
  <c r="H9981" i="28"/>
  <c r="H9973" i="28"/>
  <c r="H9965" i="28"/>
  <c r="H9957" i="28"/>
  <c r="H9949" i="28"/>
  <c r="H9941" i="28"/>
  <c r="H9933" i="28"/>
  <c r="H9925" i="28"/>
  <c r="H9917" i="28"/>
  <c r="H9909" i="28"/>
  <c r="H9901" i="28"/>
  <c r="H9893" i="28"/>
  <c r="H9885" i="28"/>
  <c r="H9877" i="28"/>
  <c r="H9869" i="28"/>
  <c r="H9861" i="28"/>
  <c r="H9853" i="28"/>
  <c r="H9845" i="28"/>
  <c r="H9837" i="28"/>
  <c r="H9829" i="28"/>
  <c r="H9821" i="28"/>
  <c r="H9813" i="28"/>
  <c r="H9805" i="28"/>
  <c r="H9797" i="28"/>
  <c r="H9789" i="28"/>
  <c r="H9781" i="28"/>
  <c r="H9773" i="28"/>
  <c r="H9765" i="28"/>
  <c r="H9757" i="28"/>
  <c r="H9749" i="28"/>
  <c r="H9741" i="28"/>
  <c r="H9733" i="28"/>
  <c r="H9725" i="28"/>
  <c r="H9717" i="28"/>
  <c r="H9709" i="28"/>
  <c r="H9701" i="28"/>
  <c r="H9693" i="28"/>
  <c r="H9685" i="28"/>
  <c r="H9677" i="28"/>
  <c r="H9669" i="28"/>
  <c r="H9661" i="28"/>
  <c r="H9653" i="28"/>
  <c r="H9645" i="28"/>
  <c r="H9637" i="28"/>
  <c r="H9629" i="28"/>
  <c r="H9621" i="28"/>
  <c r="H9613" i="28"/>
  <c r="H9605" i="28"/>
  <c r="H9597" i="28"/>
  <c r="H9589" i="28"/>
  <c r="H9581" i="28"/>
  <c r="H9573" i="28"/>
  <c r="H9565" i="28"/>
  <c r="H9557" i="28"/>
  <c r="H9549" i="28"/>
  <c r="H9541" i="28"/>
  <c r="H9533" i="28"/>
  <c r="H9525" i="28"/>
  <c r="H9517" i="28"/>
  <c r="H9509" i="28"/>
  <c r="H9501" i="28"/>
  <c r="H9493" i="28"/>
  <c r="H9485" i="28"/>
  <c r="H9477" i="28"/>
  <c r="H9469" i="28"/>
  <c r="H9461" i="28"/>
  <c r="H9453" i="28"/>
  <c r="H9445" i="28"/>
  <c r="H9437" i="28"/>
  <c r="H9429" i="28"/>
  <c r="H9421" i="28"/>
  <c r="H9413" i="28"/>
  <c r="H9405" i="28"/>
  <c r="H9397" i="28"/>
  <c r="H9389" i="28"/>
  <c r="H9381" i="28"/>
  <c r="H9373" i="28"/>
  <c r="H9365" i="28"/>
  <c r="H9357" i="28"/>
  <c r="H9349" i="28"/>
  <c r="H9341" i="28"/>
  <c r="H9333" i="28"/>
  <c r="H9325" i="28"/>
  <c r="H9996" i="28"/>
  <c r="H9976" i="28"/>
  <c r="H9954" i="28"/>
  <c r="H9932" i="28"/>
  <c r="H9914" i="28"/>
  <c r="H9900" i="28"/>
  <c r="H9888" i="28"/>
  <c r="H9875" i="28"/>
  <c r="H9863" i="28"/>
  <c r="H9850" i="28"/>
  <c r="H9836" i="28"/>
  <c r="H9824" i="28"/>
  <c r="H9811" i="28"/>
  <c r="H9799" i="28"/>
  <c r="H9786" i="28"/>
  <c r="H9772" i="28"/>
  <c r="H9760" i="28"/>
  <c r="H9747" i="28"/>
  <c r="H9735" i="28"/>
  <c r="H9722" i="28"/>
  <c r="H9708" i="28"/>
  <c r="H9696" i="28"/>
  <c r="H9683" i="28"/>
  <c r="H9671" i="28"/>
  <c r="H9658" i="28"/>
  <c r="H9644" i="28"/>
  <c r="H9632" i="28"/>
  <c r="H9619" i="28"/>
  <c r="H9607" i="28"/>
  <c r="H9594" i="28"/>
  <c r="H9580" i="28"/>
  <c r="H9568" i="28"/>
  <c r="H9555" i="28"/>
  <c r="H9543" i="28"/>
  <c r="H9530" i="28"/>
  <c r="H9516" i="28"/>
  <c r="H9504" i="28"/>
  <c r="H9491" i="28"/>
  <c r="H9479" i="28"/>
  <c r="H9466" i="28"/>
  <c r="H9452" i="28"/>
  <c r="H9440" i="28"/>
  <c r="H9427" i="28"/>
  <c r="H9415" i="28"/>
  <c r="H9402" i="28"/>
  <c r="H9388" i="28"/>
  <c r="H9376" i="28"/>
  <c r="H9363" i="28"/>
  <c r="H9352" i="28"/>
  <c r="H9340" i="28"/>
  <c r="H9330" i="28"/>
  <c r="H9320" i="28"/>
  <c r="H9312" i="28"/>
  <c r="H9304" i="28"/>
  <c r="H9296" i="28"/>
  <c r="H9288" i="28"/>
  <c r="H9280" i="28"/>
  <c r="H9272" i="28"/>
  <c r="H9264" i="28"/>
  <c r="H9256" i="28"/>
  <c r="H9248" i="28"/>
  <c r="H9240" i="28"/>
  <c r="H9232" i="28"/>
  <c r="H9224" i="28"/>
  <c r="H9216" i="28"/>
  <c r="H9208" i="28"/>
  <c r="H9200" i="28"/>
  <c r="H9192" i="28"/>
  <c r="H9184" i="28"/>
  <c r="H9176" i="28"/>
  <c r="H9168" i="28"/>
  <c r="H9160" i="28"/>
  <c r="H9152" i="28"/>
  <c r="H9144" i="28"/>
  <c r="H9136" i="28"/>
  <c r="H9128" i="28"/>
  <c r="H9120" i="28"/>
  <c r="H9112" i="28"/>
  <c r="H9104" i="28"/>
  <c r="H9096" i="28"/>
  <c r="H9088" i="28"/>
  <c r="H9080" i="28"/>
  <c r="H9072" i="28"/>
  <c r="H9064" i="28"/>
  <c r="H9056" i="28"/>
  <c r="H9992" i="28"/>
  <c r="H9970" i="28"/>
  <c r="H9948" i="28"/>
  <c r="H9928" i="28"/>
  <c r="H9911" i="28"/>
  <c r="H9898" i="28"/>
  <c r="H9884" i="28"/>
  <c r="H9872" i="28"/>
  <c r="H9859" i="28"/>
  <c r="H9847" i="28"/>
  <c r="H9834" i="28"/>
  <c r="H9820" i="28"/>
  <c r="H9808" i="28"/>
  <c r="H9795" i="28"/>
  <c r="H9783" i="28"/>
  <c r="H9770" i="28"/>
  <c r="H9756" i="28"/>
  <c r="H9744" i="28"/>
  <c r="H9731" i="28"/>
  <c r="H9719" i="28"/>
  <c r="H9706" i="28"/>
  <c r="H9692" i="28"/>
  <c r="H9680" i="28"/>
  <c r="H9667" i="28"/>
  <c r="H9655" i="28"/>
  <c r="H9642" i="28"/>
  <c r="H9628" i="28"/>
  <c r="H9616" i="28"/>
  <c r="H9603" i="28"/>
  <c r="H9591" i="28"/>
  <c r="H9578" i="28"/>
  <c r="H9564" i="28"/>
  <c r="H9552" i="28"/>
  <c r="H9539" i="28"/>
  <c r="H9527" i="28"/>
  <c r="H9514" i="28"/>
  <c r="H9500" i="28"/>
  <c r="H9488" i="28"/>
  <c r="H9475" i="28"/>
  <c r="H9463" i="28"/>
  <c r="H9450" i="28"/>
  <c r="H9436" i="28"/>
  <c r="H9424" i="28"/>
  <c r="H9411" i="28"/>
  <c r="H9399" i="28"/>
  <c r="H9386" i="28"/>
  <c r="H9372" i="28"/>
  <c r="H9360" i="28"/>
  <c r="H9348" i="28"/>
  <c r="H9338" i="28"/>
  <c r="H9328" i="28"/>
  <c r="H9318" i="28"/>
  <c r="H9310" i="28"/>
  <c r="H9302" i="28"/>
  <c r="H9294" i="28"/>
  <c r="H9286" i="28"/>
  <c r="H9278" i="28"/>
  <c r="H9270" i="28"/>
  <c r="H9262" i="28"/>
  <c r="H9254" i="28"/>
  <c r="H9246" i="28"/>
  <c r="H9238" i="28"/>
  <c r="H9230" i="28"/>
  <c r="H9222" i="28"/>
  <c r="H9214" i="28"/>
  <c r="H9206" i="28"/>
  <c r="H9198" i="28"/>
  <c r="H9190" i="28"/>
  <c r="H9182" i="28"/>
  <c r="H9984" i="28"/>
  <c r="H9962" i="28"/>
  <c r="H9940" i="28"/>
  <c r="H9920" i="28"/>
  <c r="H9906" i="28"/>
  <c r="H9892" i="28"/>
  <c r="H9880" i="28"/>
  <c r="H9867" i="28"/>
  <c r="H9855" i="28"/>
  <c r="H9842" i="28"/>
  <c r="H9828" i="28"/>
  <c r="H9816" i="28"/>
  <c r="H9803" i="28"/>
  <c r="H9791" i="28"/>
  <c r="H9778" i="28"/>
  <c r="H9764" i="28"/>
  <c r="H9752" i="28"/>
  <c r="H9739" i="28"/>
  <c r="H9727" i="28"/>
  <c r="H9714" i="28"/>
  <c r="H9700" i="28"/>
  <c r="H9688" i="28"/>
  <c r="H9675" i="28"/>
  <c r="H9663" i="28"/>
  <c r="H9650" i="28"/>
  <c r="H9636" i="28"/>
  <c r="H9624" i="28"/>
  <c r="H9611" i="28"/>
  <c r="H9599" i="28"/>
  <c r="H9586" i="28"/>
  <c r="H9572" i="28"/>
  <c r="H9560" i="28"/>
  <c r="H9547" i="28"/>
  <c r="H9535" i="28"/>
  <c r="H9522" i="28"/>
  <c r="H9508" i="28"/>
  <c r="H9496" i="28"/>
  <c r="H9483" i="28"/>
  <c r="H9471" i="28"/>
  <c r="H9458" i="28"/>
  <c r="H9444" i="28"/>
  <c r="H9432" i="28"/>
  <c r="H9419" i="28"/>
  <c r="H9407" i="28"/>
  <c r="H9394" i="28"/>
  <c r="H9380" i="28"/>
  <c r="H9368" i="28"/>
  <c r="H9355" i="28"/>
  <c r="H9345" i="28"/>
  <c r="H9335" i="28"/>
  <c r="H9323" i="28"/>
  <c r="H9315" i="28"/>
  <c r="H9307" i="28"/>
  <c r="H9299" i="28"/>
  <c r="H9291" i="28"/>
  <c r="H9283" i="28"/>
  <c r="H9275" i="28"/>
  <c r="H9267" i="28"/>
  <c r="H9259" i="28"/>
  <c r="H9251" i="28"/>
  <c r="H9243" i="28"/>
  <c r="H9235" i="28"/>
  <c r="H9227" i="28"/>
  <c r="H9219" i="28"/>
  <c r="H9211" i="28"/>
  <c r="H9203" i="28"/>
  <c r="H9195" i="28"/>
  <c r="H9187" i="28"/>
  <c r="H9179" i="28"/>
  <c r="H9994" i="28"/>
  <c r="H9960" i="28"/>
  <c r="H9924" i="28"/>
  <c r="H9903" i="28"/>
  <c r="H9882" i="28"/>
  <c r="H9860" i="28"/>
  <c r="H9840" i="28"/>
  <c r="H9819" i="28"/>
  <c r="H9800" i="28"/>
  <c r="H9779" i="28"/>
  <c r="H9759" i="28"/>
  <c r="H9738" i="28"/>
  <c r="H9716" i="28"/>
  <c r="H9698" i="28"/>
  <c r="H9676" i="28"/>
  <c r="H9656" i="28"/>
  <c r="H9635" i="28"/>
  <c r="H9615" i="28"/>
  <c r="H9595" i="28"/>
  <c r="H9575" i="28"/>
  <c r="H9554" i="28"/>
  <c r="H9532" i="28"/>
  <c r="H9512" i="28"/>
  <c r="H9492" i="28"/>
  <c r="H9472" i="28"/>
  <c r="H9451" i="28"/>
  <c r="H9431" i="28"/>
  <c r="H9410" i="28"/>
  <c r="H9391" i="28"/>
  <c r="H9370" i="28"/>
  <c r="H9351" i="28"/>
  <c r="H9332" i="28"/>
  <c r="H9317" i="28"/>
  <c r="H9305" i="28"/>
  <c r="H9292" i="28"/>
  <c r="H9279" i="28"/>
  <c r="H9266" i="28"/>
  <c r="H9253" i="28"/>
  <c r="H9241" i="28"/>
  <c r="H9228" i="28"/>
  <c r="H9215" i="28"/>
  <c r="H9202" i="28"/>
  <c r="H9189" i="28"/>
  <c r="H9177" i="28"/>
  <c r="H9167" i="28"/>
  <c r="H9158" i="28"/>
  <c r="H9149" i="28"/>
  <c r="H9140" i="28"/>
  <c r="H9131" i="28"/>
  <c r="H9122" i="28"/>
  <c r="H9113" i="28"/>
  <c r="H9103" i="28"/>
  <c r="H9094" i="28"/>
  <c r="H9085" i="28"/>
  <c r="H9076" i="28"/>
  <c r="H9067" i="28"/>
  <c r="H9058" i="28"/>
  <c r="H9049" i="28"/>
  <c r="H9041" i="28"/>
  <c r="H9033" i="28"/>
  <c r="H9025" i="28"/>
  <c r="H9017" i="28"/>
  <c r="H9009" i="28"/>
  <c r="H9001" i="28"/>
  <c r="H8993" i="28"/>
  <c r="H8985" i="28"/>
  <c r="H8977" i="28"/>
  <c r="H8969" i="28"/>
  <c r="H8961" i="28"/>
  <c r="H8953" i="28"/>
  <c r="H8945" i="28"/>
  <c r="H8937" i="28"/>
  <c r="H8929" i="28"/>
  <c r="H8921" i="28"/>
  <c r="H8913" i="28"/>
  <c r="H8905" i="28"/>
  <c r="H8897" i="28"/>
  <c r="H8889" i="28"/>
  <c r="H8881" i="28"/>
  <c r="H8873" i="28"/>
  <c r="H8865" i="28"/>
  <c r="H8857" i="28"/>
  <c r="H8849" i="28"/>
  <c r="H8841" i="28"/>
  <c r="H8833" i="28"/>
  <c r="H8825" i="28"/>
  <c r="H8817" i="28"/>
  <c r="H8809" i="28"/>
  <c r="H8801" i="28"/>
  <c r="H8793" i="28"/>
  <c r="H8785" i="28"/>
  <c r="H8777" i="28"/>
  <c r="H8769" i="28"/>
  <c r="H8761" i="28"/>
  <c r="H8753" i="28"/>
  <c r="H8745" i="28"/>
  <c r="H8737" i="28"/>
  <c r="H8729" i="28"/>
  <c r="H8721" i="28"/>
  <c r="H8713" i="28"/>
  <c r="H8705" i="28"/>
  <c r="H8697" i="28"/>
  <c r="H9988" i="28"/>
  <c r="H9956" i="28"/>
  <c r="H9922" i="28"/>
  <c r="H9899" i="28"/>
  <c r="H9879" i="28"/>
  <c r="H9858" i="28"/>
  <c r="H9839" i="28"/>
  <c r="H9818" i="28"/>
  <c r="H9796" i="28"/>
  <c r="H9776" i="28"/>
  <c r="H9755" i="28"/>
  <c r="H9736" i="28"/>
  <c r="H9715" i="28"/>
  <c r="H9695" i="28"/>
  <c r="H9674" i="28"/>
  <c r="H9652" i="28"/>
  <c r="H9634" i="28"/>
  <c r="H9612" i="28"/>
  <c r="H9592" i="28"/>
  <c r="H9571" i="28"/>
  <c r="H9551" i="28"/>
  <c r="H9531" i="28"/>
  <c r="H9511" i="28"/>
  <c r="H9490" i="28"/>
  <c r="H9468" i="28"/>
  <c r="H9448" i="28"/>
  <c r="H9428" i="28"/>
  <c r="H9408" i="28"/>
  <c r="H9387" i="28"/>
  <c r="H9367" i="28"/>
  <c r="H9347" i="28"/>
  <c r="H9331" i="28"/>
  <c r="H9316" i="28"/>
  <c r="H9303" i="28"/>
  <c r="H9290" i="28"/>
  <c r="H9277" i="28"/>
  <c r="H9265" i="28"/>
  <c r="H9252" i="28"/>
  <c r="H9239" i="28"/>
  <c r="H9226" i="28"/>
  <c r="H9213" i="28"/>
  <c r="H9201" i="28"/>
  <c r="H9188" i="28"/>
  <c r="H9175" i="28"/>
  <c r="H9166" i="28"/>
  <c r="H9157" i="28"/>
  <c r="H9148" i="28"/>
  <c r="H9139" i="28"/>
  <c r="H9130" i="28"/>
  <c r="H9121" i="28"/>
  <c r="H9111" i="28"/>
  <c r="H9102" i="28"/>
  <c r="H9093" i="28"/>
  <c r="H9084" i="28"/>
  <c r="H9075" i="28"/>
  <c r="H9066" i="28"/>
  <c r="H9057" i="28"/>
  <c r="H9048" i="28"/>
  <c r="H9040" i="28"/>
  <c r="H9032" i="28"/>
  <c r="H9024" i="28"/>
  <c r="H9016" i="28"/>
  <c r="H9008" i="28"/>
  <c r="H9000" i="28"/>
  <c r="H8992" i="28"/>
  <c r="H8984" i="28"/>
  <c r="H8976" i="28"/>
  <c r="H8968" i="28"/>
  <c r="H8960" i="28"/>
  <c r="H8952" i="28"/>
  <c r="H8944" i="28"/>
  <c r="H8936" i="28"/>
  <c r="H8928" i="28"/>
  <c r="H8920" i="28"/>
  <c r="H8912" i="28"/>
  <c r="H8904" i="28"/>
  <c r="H8896" i="28"/>
  <c r="H8888" i="28"/>
  <c r="H8880" i="28"/>
  <c r="H8872" i="28"/>
  <c r="H8864" i="28"/>
  <c r="H8856" i="28"/>
  <c r="H8848" i="28"/>
  <c r="H8840" i="28"/>
  <c r="H8832" i="28"/>
  <c r="H9972" i="28"/>
  <c r="H9938" i="28"/>
  <c r="H9908" i="28"/>
  <c r="H9890" i="28"/>
  <c r="H9868" i="28"/>
  <c r="H9848" i="28"/>
  <c r="H9827" i="28"/>
  <c r="H9807" i="28"/>
  <c r="H9787" i="28"/>
  <c r="H9767" i="28"/>
  <c r="H9746" i="28"/>
  <c r="H9724" i="28"/>
  <c r="H9704" i="28"/>
  <c r="H9684" i="28"/>
  <c r="H9664" i="28"/>
  <c r="H9643" i="28"/>
  <c r="H9623" i="28"/>
  <c r="H9602" i="28"/>
  <c r="H9583" i="28"/>
  <c r="H9562" i="28"/>
  <c r="H9540" i="28"/>
  <c r="H9520" i="28"/>
  <c r="H9499" i="28"/>
  <c r="H9480" i="28"/>
  <c r="H9459" i="28"/>
  <c r="H9439" i="28"/>
  <c r="H9418" i="28"/>
  <c r="H9396" i="28"/>
  <c r="H9378" i="28"/>
  <c r="H9356" i="28"/>
  <c r="H9339" i="28"/>
  <c r="H9322" i="28"/>
  <c r="H9309" i="28"/>
  <c r="H9297" i="28"/>
  <c r="H9284" i="28"/>
  <c r="H9271" i="28"/>
  <c r="H9258" i="28"/>
  <c r="H9245" i="28"/>
  <c r="H9233" i="28"/>
  <c r="H9220" i="28"/>
  <c r="H9207" i="28"/>
  <c r="H9194" i="28"/>
  <c r="H9181" i="28"/>
  <c r="H9171" i="28"/>
  <c r="H9162" i="28"/>
  <c r="H9153" i="28"/>
  <c r="H9143" i="28"/>
  <c r="H9134" i="28"/>
  <c r="H9125" i="28"/>
  <c r="H9116" i="28"/>
  <c r="H9107" i="28"/>
  <c r="H9098" i="28"/>
  <c r="H9089" i="28"/>
  <c r="H9079" i="28"/>
  <c r="H9070" i="28"/>
  <c r="H9061" i="28"/>
  <c r="H9052" i="28"/>
  <c r="H9044" i="28"/>
  <c r="H9036" i="28"/>
  <c r="H9028" i="28"/>
  <c r="H9020" i="28"/>
  <c r="H9012" i="28"/>
  <c r="H9004" i="28"/>
  <c r="H8996" i="28"/>
  <c r="H8988" i="28"/>
  <c r="H8980" i="28"/>
  <c r="H8972" i="28"/>
  <c r="H8964" i="28"/>
  <c r="H8956" i="28"/>
  <c r="H8948" i="28"/>
  <c r="H8940" i="28"/>
  <c r="H8932" i="28"/>
  <c r="H8924" i="28"/>
  <c r="H8916" i="28"/>
  <c r="H8908" i="28"/>
  <c r="H8900" i="28"/>
  <c r="H8892" i="28"/>
  <c r="H8884" i="28"/>
  <c r="H8876" i="28"/>
  <c r="H8868" i="28"/>
  <c r="H8860" i="28"/>
  <c r="H8852" i="28"/>
  <c r="H8844" i="28"/>
  <c r="H8836" i="28"/>
  <c r="H8828" i="28"/>
  <c r="H10002" i="28"/>
  <c r="H9946" i="28"/>
  <c r="H9904" i="28"/>
  <c r="H9871" i="28"/>
  <c r="H9835" i="28"/>
  <c r="H9804" i="28"/>
  <c r="H9771" i="28"/>
  <c r="H9740" i="28"/>
  <c r="H9707" i="28"/>
  <c r="H9672" i="28"/>
  <c r="H9640" i="28"/>
  <c r="H9608" i="28"/>
  <c r="H9576" i="28"/>
  <c r="H9544" i="28"/>
  <c r="H9507" i="28"/>
  <c r="H9476" i="28"/>
  <c r="H9443" i="28"/>
  <c r="H9412" i="28"/>
  <c r="H9379" i="28"/>
  <c r="H9346" i="28"/>
  <c r="H9321" i="28"/>
  <c r="H9300" i="28"/>
  <c r="H9281" i="28"/>
  <c r="H9260" i="28"/>
  <c r="H9237" i="28"/>
  <c r="H9218" i="28"/>
  <c r="H9197" i="28"/>
  <c r="H9178" i="28"/>
  <c r="H9163" i="28"/>
  <c r="H9147" i="28"/>
  <c r="H9133" i="28"/>
  <c r="H9118" i="28"/>
  <c r="H9105" i="28"/>
  <c r="H9090" i="28"/>
  <c r="H9074" i="28"/>
  <c r="H9060" i="28"/>
  <c r="H9046" i="28"/>
  <c r="H9034" i="28"/>
  <c r="H9021" i="28"/>
  <c r="H9986" i="28"/>
  <c r="H9936" i="28"/>
  <c r="H9895" i="28"/>
  <c r="H9864" i="28"/>
  <c r="H9831" i="28"/>
  <c r="H9794" i="28"/>
  <c r="H9763" i="28"/>
  <c r="H9730" i="28"/>
  <c r="H9699" i="28"/>
  <c r="H9666" i="28"/>
  <c r="H9631" i="28"/>
  <c r="H9600" i="28"/>
  <c r="H9567" i="28"/>
  <c r="H9536" i="28"/>
  <c r="H9503" i="28"/>
  <c r="H9467" i="28"/>
  <c r="H9435" i="28"/>
  <c r="H9403" i="28"/>
  <c r="H9371" i="28"/>
  <c r="H9343" i="28"/>
  <c r="H9314" i="28"/>
  <c r="H9295" i="28"/>
  <c r="H9274" i="28"/>
  <c r="H9255" i="28"/>
  <c r="H9234" i="28"/>
  <c r="H9212" i="28"/>
  <c r="H9193" i="28"/>
  <c r="H9173" i="28"/>
  <c r="H9159" i="28"/>
  <c r="H9145" i="28"/>
  <c r="H9129" i="28"/>
  <c r="H9115" i="28"/>
  <c r="H9100" i="28"/>
  <c r="H9086" i="28"/>
  <c r="H9071" i="28"/>
  <c r="H9055" i="28"/>
  <c r="H9043" i="28"/>
  <c r="H9030" i="28"/>
  <c r="H9018" i="28"/>
  <c r="H9005" i="28"/>
  <c r="H8991" i="28"/>
  <c r="H8979" i="28"/>
  <c r="H8966" i="28"/>
  <c r="H8954" i="28"/>
  <c r="H8941" i="28"/>
  <c r="H8927" i="28"/>
  <c r="H8915" i="28"/>
  <c r="H8902" i="28"/>
  <c r="H8890" i="28"/>
  <c r="H8877" i="28"/>
  <c r="H8863" i="28"/>
  <c r="H8851" i="28"/>
  <c r="H8838" i="28"/>
  <c r="H8826" i="28"/>
  <c r="H8816" i="28"/>
  <c r="H8807" i="28"/>
  <c r="H8798" i="28"/>
  <c r="H8789" i="28"/>
  <c r="H8780" i="28"/>
  <c r="H8771" i="28"/>
  <c r="H8762" i="28"/>
  <c r="H8752" i="28"/>
  <c r="H8743" i="28"/>
  <c r="H8734" i="28"/>
  <c r="H8725" i="28"/>
  <c r="H8716" i="28"/>
  <c r="H8707" i="28"/>
  <c r="H8698" i="28"/>
  <c r="H8689" i="28"/>
  <c r="H8681" i="28"/>
  <c r="H8673" i="28"/>
  <c r="H8665" i="28"/>
  <c r="H8657" i="28"/>
  <c r="H8649" i="28"/>
  <c r="H8641" i="28"/>
  <c r="H8633" i="28"/>
  <c r="H8625" i="28"/>
  <c r="H8617" i="28"/>
  <c r="H8609" i="28"/>
  <c r="H8601" i="28"/>
  <c r="H8593" i="28"/>
  <c r="H8585" i="28"/>
  <c r="H8577" i="28"/>
  <c r="H8569" i="28"/>
  <c r="H8561" i="28"/>
  <c r="H8553" i="28"/>
  <c r="H8545" i="28"/>
  <c r="H8537" i="28"/>
  <c r="H8529" i="28"/>
  <c r="H8521" i="28"/>
  <c r="H8513" i="28"/>
  <c r="H8505" i="28"/>
  <c r="H8497" i="28"/>
  <c r="H8489" i="28"/>
  <c r="H8481" i="28"/>
  <c r="H8473" i="28"/>
  <c r="H8465" i="28"/>
  <c r="H8457" i="28"/>
  <c r="H8449" i="28"/>
  <c r="H8441" i="28"/>
  <c r="H8433" i="28"/>
  <c r="H8425" i="28"/>
  <c r="H8417" i="28"/>
  <c r="H8409" i="28"/>
  <c r="H8401" i="28"/>
  <c r="H8393" i="28"/>
  <c r="H8385" i="28"/>
  <c r="H8377" i="28"/>
  <c r="H8369" i="28"/>
  <c r="H8361" i="28"/>
  <c r="H8353" i="28"/>
  <c r="H8345" i="28"/>
  <c r="H8337" i="28"/>
  <c r="H8329" i="28"/>
  <c r="H8321" i="28"/>
  <c r="H8313" i="28"/>
  <c r="H8305" i="28"/>
  <c r="H8297" i="28"/>
  <c r="H8289" i="28"/>
  <c r="H8281" i="28"/>
  <c r="H8273" i="28"/>
  <c r="H8265" i="28"/>
  <c r="H8257" i="28"/>
  <c r="H8249" i="28"/>
  <c r="H8241" i="28"/>
  <c r="H8233" i="28"/>
  <c r="H8225" i="28"/>
  <c r="H8217" i="28"/>
  <c r="H8209" i="28"/>
  <c r="H8201" i="28"/>
  <c r="H8193" i="28"/>
  <c r="H8185" i="28"/>
  <c r="H8177" i="28"/>
  <c r="H8169" i="28"/>
  <c r="H8161" i="28"/>
  <c r="H8153" i="28"/>
  <c r="H8145" i="28"/>
  <c r="H8137" i="28"/>
  <c r="H8129" i="28"/>
  <c r="H8121" i="28"/>
  <c r="H8113" i="28"/>
  <c r="H8105" i="28"/>
  <c r="H8097" i="28"/>
  <c r="H8089" i="28"/>
  <c r="H8081" i="28"/>
  <c r="H8073" i="28"/>
  <c r="H8065" i="28"/>
  <c r="H8057" i="28"/>
  <c r="H8049" i="28"/>
  <c r="H8041" i="28"/>
  <c r="H8033" i="28"/>
  <c r="H8025" i="28"/>
  <c r="H8017" i="28"/>
  <c r="H8009" i="28"/>
  <c r="H8001" i="28"/>
  <c r="H7993" i="28"/>
  <c r="H7985" i="28"/>
  <c r="H7977" i="28"/>
  <c r="H7969" i="28"/>
  <c r="H7961" i="28"/>
  <c r="H7953" i="28"/>
  <c r="H7945" i="28"/>
  <c r="H7937" i="28"/>
  <c r="H7929" i="28"/>
  <c r="H7921" i="28"/>
  <c r="H7913" i="28"/>
  <c r="H7905" i="28"/>
  <c r="H9980" i="28"/>
  <c r="H9930" i="28"/>
  <c r="H9891" i="28"/>
  <c r="H9856" i="28"/>
  <c r="H9826" i="28"/>
  <c r="H9792" i="28"/>
  <c r="H9762" i="28"/>
  <c r="H9728" i="28"/>
  <c r="H9691" i="28"/>
  <c r="H9660" i="28"/>
  <c r="H9627" i="28"/>
  <c r="H9596" i="28"/>
  <c r="H9563" i="28"/>
  <c r="H9528" i="28"/>
  <c r="H9498" i="28"/>
  <c r="H9464" i="28"/>
  <c r="H9434" i="28"/>
  <c r="H9400" i="28"/>
  <c r="H9364" i="28"/>
  <c r="H9337" i="28"/>
  <c r="H9313" i="28"/>
  <c r="H9293" i="28"/>
  <c r="H9273" i="28"/>
  <c r="H9250" i="28"/>
  <c r="H9231" i="28"/>
  <c r="H9210" i="28"/>
  <c r="H9191" i="28"/>
  <c r="H9172" i="28"/>
  <c r="H9156" i="28"/>
  <c r="H9142" i="28"/>
  <c r="H9127" i="28"/>
  <c r="H9114" i="28"/>
  <c r="H9099" i="28"/>
  <c r="H9083" i="28"/>
  <c r="H9069" i="28"/>
  <c r="H9054" i="28"/>
  <c r="H9042" i="28"/>
  <c r="H9029" i="28"/>
  <c r="H9015" i="28"/>
  <c r="H9003" i="28"/>
  <c r="H8990" i="28"/>
  <c r="H8978" i="28"/>
  <c r="H8965" i="28"/>
  <c r="H8951" i="28"/>
  <c r="H8939" i="28"/>
  <c r="H8926" i="28"/>
  <c r="H8914" i="28"/>
  <c r="H8901" i="28"/>
  <c r="H8887" i="28"/>
  <c r="H8875" i="28"/>
  <c r="H8862" i="28"/>
  <c r="H8850" i="28"/>
  <c r="H8837" i="28"/>
  <c r="H8824" i="28"/>
  <c r="H8815" i="28"/>
  <c r="H8806" i="28"/>
  <c r="H8797" i="28"/>
  <c r="H8788" i="28"/>
  <c r="H8779" i="28"/>
  <c r="H8770" i="28"/>
  <c r="H8760" i="28"/>
  <c r="H8751" i="28"/>
  <c r="H8742" i="28"/>
  <c r="H8733" i="28"/>
  <c r="H8724" i="28"/>
  <c r="H8715" i="28"/>
  <c r="H8706" i="28"/>
  <c r="H8696" i="28"/>
  <c r="H8688" i="28"/>
  <c r="H8680" i="28"/>
  <c r="H8672" i="28"/>
  <c r="H8664" i="28"/>
  <c r="H8656" i="28"/>
  <c r="H8648" i="28"/>
  <c r="H8640" i="28"/>
  <c r="H8632" i="28"/>
  <c r="H8624" i="28"/>
  <c r="H8616" i="28"/>
  <c r="H8608" i="28"/>
  <c r="H8600" i="28"/>
  <c r="H8592" i="28"/>
  <c r="H8584" i="28"/>
  <c r="H8576" i="28"/>
  <c r="H8568" i="28"/>
  <c r="H8560" i="28"/>
  <c r="H8552" i="28"/>
  <c r="H8544" i="28"/>
  <c r="H8536" i="28"/>
  <c r="H8528" i="28"/>
  <c r="H8520" i="28"/>
  <c r="H8512" i="28"/>
  <c r="H8504" i="28"/>
  <c r="H8496" i="28"/>
  <c r="H8488" i="28"/>
  <c r="H8480" i="28"/>
  <c r="H8472" i="28"/>
  <c r="H8464" i="28"/>
  <c r="H8456" i="28"/>
  <c r="H8448" i="28"/>
  <c r="H8440" i="28"/>
  <c r="H8432" i="28"/>
  <c r="H8424" i="28"/>
  <c r="H8416" i="28"/>
  <c r="H8408" i="28"/>
  <c r="H8400" i="28"/>
  <c r="H8392" i="28"/>
  <c r="H8384" i="28"/>
  <c r="H8376" i="28"/>
  <c r="H8368" i="28"/>
  <c r="H8360" i="28"/>
  <c r="H8352" i="28"/>
  <c r="H8344" i="28"/>
  <c r="H8336" i="28"/>
  <c r="H8328" i="28"/>
  <c r="H8320" i="28"/>
  <c r="H8312" i="28"/>
  <c r="H8304" i="28"/>
  <c r="H8296" i="28"/>
  <c r="H8288" i="28"/>
  <c r="H8280" i="28"/>
  <c r="H8272" i="28"/>
  <c r="H8264" i="28"/>
  <c r="H8256" i="28"/>
  <c r="H8248" i="28"/>
  <c r="H8240" i="28"/>
  <c r="H8232" i="28"/>
  <c r="H8224" i="28"/>
  <c r="H8216" i="28"/>
  <c r="H8208" i="28"/>
  <c r="H8200" i="28"/>
  <c r="H8192" i="28"/>
  <c r="H8184" i="28"/>
  <c r="H8176" i="28"/>
  <c r="H8168" i="28"/>
  <c r="H8160" i="28"/>
  <c r="H8152" i="28"/>
  <c r="H8144" i="28"/>
  <c r="H8136" i="28"/>
  <c r="H8128" i="28"/>
  <c r="H8120" i="28"/>
  <c r="H8112" i="28"/>
  <c r="H8104" i="28"/>
  <c r="H8096" i="28"/>
  <c r="H8088" i="28"/>
  <c r="H8080" i="28"/>
  <c r="H8072" i="28"/>
  <c r="H8064" i="28"/>
  <c r="H8056" i="28"/>
  <c r="H8048" i="28"/>
  <c r="H8040" i="28"/>
  <c r="H8032" i="28"/>
  <c r="H8024" i="28"/>
  <c r="H8016" i="28"/>
  <c r="H8008" i="28"/>
  <c r="H8000" i="28"/>
  <c r="H7992" i="28"/>
  <c r="H7984" i="28"/>
  <c r="H7976" i="28"/>
  <c r="H7968" i="28"/>
  <c r="H7960" i="28"/>
  <c r="H7952" i="28"/>
  <c r="H7944" i="28"/>
  <c r="H7936" i="28"/>
  <c r="H7928" i="28"/>
  <c r="H7920" i="28"/>
  <c r="H7912" i="28"/>
  <c r="H7904" i="28"/>
  <c r="H7896" i="28"/>
  <c r="H7888" i="28"/>
  <c r="H7880" i="28"/>
  <c r="H9978" i="28"/>
  <c r="H9916" i="28"/>
  <c r="H9887" i="28"/>
  <c r="H9852" i="28"/>
  <c r="H9823" i="28"/>
  <c r="H9788" i="28"/>
  <c r="H9754" i="28"/>
  <c r="H9723" i="28"/>
  <c r="H9690" i="28"/>
  <c r="H9659" i="28"/>
  <c r="H9626" i="28"/>
  <c r="H9588" i="28"/>
  <c r="H9559" i="28"/>
  <c r="H9524" i="28"/>
  <c r="H9495" i="28"/>
  <c r="H9460" i="28"/>
  <c r="H9426" i="28"/>
  <c r="H9395" i="28"/>
  <c r="H9362" i="28"/>
  <c r="H9336" i="28"/>
  <c r="H9311" i="28"/>
  <c r="H9289" i="28"/>
  <c r="H9269" i="28"/>
  <c r="H9249" i="28"/>
  <c r="H9229" i="28"/>
  <c r="H9209" i="28"/>
  <c r="H9186" i="28"/>
  <c r="H9170" i="28"/>
  <c r="H9155" i="28"/>
  <c r="H9141" i="28"/>
  <c r="H9126" i="28"/>
  <c r="H9110" i="28"/>
  <c r="H9097" i="28"/>
  <c r="H9082" i="28"/>
  <c r="H9068" i="28"/>
  <c r="H9053" i="28"/>
  <c r="H9039" i="28"/>
  <c r="H9027" i="28"/>
  <c r="H9952" i="28"/>
  <c r="H9907" i="28"/>
  <c r="H9874" i="28"/>
  <c r="H9843" i="28"/>
  <c r="H9810" i="28"/>
  <c r="H9775" i="28"/>
  <c r="H9743" i="28"/>
  <c r="H9711" i="28"/>
  <c r="H9679" i="28"/>
  <c r="H9647" i="28"/>
  <c r="H9610" i="28"/>
  <c r="H9579" i="28"/>
  <c r="H9546" i="28"/>
  <c r="H9515" i="28"/>
  <c r="H9482" i="28"/>
  <c r="H9447" i="28"/>
  <c r="H9416" i="28"/>
  <c r="H9383" i="28"/>
  <c r="H9353" i="28"/>
  <c r="H9324" i="28"/>
  <c r="H9301" i="28"/>
  <c r="H9282" i="28"/>
  <c r="H9261" i="28"/>
  <c r="H9242" i="28"/>
  <c r="H9221" i="28"/>
  <c r="H9199" i="28"/>
  <c r="H9180" i="28"/>
  <c r="H9164" i="28"/>
  <c r="H9150" i="28"/>
  <c r="H9135" i="28"/>
  <c r="H9119" i="28"/>
  <c r="H9106" i="28"/>
  <c r="H9091" i="28"/>
  <c r="H9077" i="28"/>
  <c r="H9062" i="28"/>
  <c r="H9047" i="28"/>
  <c r="H9035" i="28"/>
  <c r="H9022" i="28"/>
  <c r="H9010" i="28"/>
  <c r="H8997" i="28"/>
  <c r="H8983" i="28"/>
  <c r="H8971" i="28"/>
  <c r="H8958" i="28"/>
  <c r="H8946" i="28"/>
  <c r="H8933" i="28"/>
  <c r="H8919" i="28"/>
  <c r="H8907" i="28"/>
  <c r="H8894" i="28"/>
  <c r="H8882" i="28"/>
  <c r="H8869" i="28"/>
  <c r="H8855" i="28"/>
  <c r="H8843" i="28"/>
  <c r="H8830" i="28"/>
  <c r="H8820" i="28"/>
  <c r="H8811" i="28"/>
  <c r="H8802" i="28"/>
  <c r="H8792" i="28"/>
  <c r="H8783" i="28"/>
  <c r="H8774" i="28"/>
  <c r="H8765" i="28"/>
  <c r="H8756" i="28"/>
  <c r="H8747" i="28"/>
  <c r="H8738" i="28"/>
  <c r="H8728" i="28"/>
  <c r="H8719" i="28"/>
  <c r="H8710" i="28"/>
  <c r="H8701" i="28"/>
  <c r="H8692" i="28"/>
  <c r="H8684" i="28"/>
  <c r="H8676" i="28"/>
  <c r="H8668" i="28"/>
  <c r="H8660" i="28"/>
  <c r="H8652" i="28"/>
  <c r="H8644" i="28"/>
  <c r="H8636" i="28"/>
  <c r="H8628" i="28"/>
  <c r="H8620" i="28"/>
  <c r="H8612" i="28"/>
  <c r="H8604" i="28"/>
  <c r="H8596" i="28"/>
  <c r="H8588" i="28"/>
  <c r="H8580" i="28"/>
  <c r="H8572" i="28"/>
  <c r="H8564" i="28"/>
  <c r="H8556" i="28"/>
  <c r="H8548" i="28"/>
  <c r="H8540" i="28"/>
  <c r="H8532" i="28"/>
  <c r="H8524" i="28"/>
  <c r="H8516" i="28"/>
  <c r="H8508" i="28"/>
  <c r="H8500" i="28"/>
  <c r="H8492" i="28"/>
  <c r="H8484" i="28"/>
  <c r="H8476" i="28"/>
  <c r="H8468" i="28"/>
  <c r="H8460" i="28"/>
  <c r="H8452" i="28"/>
  <c r="H8444" i="28"/>
  <c r="H8436" i="28"/>
  <c r="H8428" i="28"/>
  <c r="H8420" i="28"/>
  <c r="H8412" i="28"/>
  <c r="H8404" i="28"/>
  <c r="H8396" i="28"/>
  <c r="H8388" i="28"/>
  <c r="H8380" i="28"/>
  <c r="H8372" i="28"/>
  <c r="H8364" i="28"/>
  <c r="H8356" i="28"/>
  <c r="H8348" i="28"/>
  <c r="H8340" i="28"/>
  <c r="H8332" i="28"/>
  <c r="H8324" i="28"/>
  <c r="H8316" i="28"/>
  <c r="H8308" i="28"/>
  <c r="H8300" i="28"/>
  <c r="H8292" i="28"/>
  <c r="H8284" i="28"/>
  <c r="H8276" i="28"/>
  <c r="H8268" i="28"/>
  <c r="H8260" i="28"/>
  <c r="H8252" i="28"/>
  <c r="H8244" i="28"/>
  <c r="H8236" i="28"/>
  <c r="H8228" i="28"/>
  <c r="H8220" i="28"/>
  <c r="H8212" i="28"/>
  <c r="H8204" i="28"/>
  <c r="H8196" i="28"/>
  <c r="H8188" i="28"/>
  <c r="H8180" i="28"/>
  <c r="H8172" i="28"/>
  <c r="H8164" i="28"/>
  <c r="H8156" i="28"/>
  <c r="H8148" i="28"/>
  <c r="H8140" i="28"/>
  <c r="H8132" i="28"/>
  <c r="H8124" i="28"/>
  <c r="H8116" i="28"/>
  <c r="H8108" i="28"/>
  <c r="H8100" i="28"/>
  <c r="H8092" i="28"/>
  <c r="H8084" i="28"/>
  <c r="H8076" i="28"/>
  <c r="H8068" i="28"/>
  <c r="H8060" i="28"/>
  <c r="H8052" i="28"/>
  <c r="H8044" i="28"/>
  <c r="H8036" i="28"/>
  <c r="H8028" i="28"/>
  <c r="H8020" i="28"/>
  <c r="H8012" i="28"/>
  <c r="H8004" i="28"/>
  <c r="H7996" i="28"/>
  <c r="H7988" i="28"/>
  <c r="H7980" i="28"/>
  <c r="H7972" i="28"/>
  <c r="H7964" i="28"/>
  <c r="H7956" i="28"/>
  <c r="H7948" i="28"/>
  <c r="H7940" i="28"/>
  <c r="H7932" i="28"/>
  <c r="H7924" i="28"/>
  <c r="H7916" i="28"/>
  <c r="H7908" i="28"/>
  <c r="H7900" i="28"/>
  <c r="H7892" i="28"/>
  <c r="H7884" i="28"/>
  <c r="H7876" i="28"/>
  <c r="H10000" i="28"/>
  <c r="H9968" i="28"/>
  <c r="H9866" i="28"/>
  <c r="H9780" i="28"/>
  <c r="H9687" i="28"/>
  <c r="H9604" i="28"/>
  <c r="H9519" i="28"/>
  <c r="H9423" i="28"/>
  <c r="H9344" i="28"/>
  <c r="H9285" i="28"/>
  <c r="H9225" i="28"/>
  <c r="H9174" i="28"/>
  <c r="H9137" i="28"/>
  <c r="H9095" i="28"/>
  <c r="H9059" i="28"/>
  <c r="H9023" i="28"/>
  <c r="H8999" i="28"/>
  <c r="H8981" i="28"/>
  <c r="H8959" i="28"/>
  <c r="H8938" i="28"/>
  <c r="H8918" i="28"/>
  <c r="H8898" i="28"/>
  <c r="H8878" i="28"/>
  <c r="H8858" i="28"/>
  <c r="H8835" i="28"/>
  <c r="H8819" i="28"/>
  <c r="H8804" i="28"/>
  <c r="H8790" i="28"/>
  <c r="H8775" i="28"/>
  <c r="H8759" i="28"/>
  <c r="H8746" i="28"/>
  <c r="H8731" i="28"/>
  <c r="H8717" i="28"/>
  <c r="H8702" i="28"/>
  <c r="H8687" i="28"/>
  <c r="H8675" i="28"/>
  <c r="H8662" i="28"/>
  <c r="H8650" i="28"/>
  <c r="H8637" i="28"/>
  <c r="H8623" i="28"/>
  <c r="H8611" i="28"/>
  <c r="H8598" i="28"/>
  <c r="H8586" i="28"/>
  <c r="H8573" i="28"/>
  <c r="H8559" i="28"/>
  <c r="H8547" i="28"/>
  <c r="H8534" i="28"/>
  <c r="H8522" i="28"/>
  <c r="H8509" i="28"/>
  <c r="H8495" i="28"/>
  <c r="H8483" i="28"/>
  <c r="H8470" i="28"/>
  <c r="H8458" i="28"/>
  <c r="H8445" i="28"/>
  <c r="H8431" i="28"/>
  <c r="H8419" i="28"/>
  <c r="H8406" i="28"/>
  <c r="H8394" i="28"/>
  <c r="H8381" i="28"/>
  <c r="H8367" i="28"/>
  <c r="H8355" i="28"/>
  <c r="H8342" i="28"/>
  <c r="H8330" i="28"/>
  <c r="H8317" i="28"/>
  <c r="H8303" i="28"/>
  <c r="H9964" i="28"/>
  <c r="H9851" i="28"/>
  <c r="H9768" i="28"/>
  <c r="H9682" i="28"/>
  <c r="H9587" i="28"/>
  <c r="H9506" i="28"/>
  <c r="H9420" i="28"/>
  <c r="H9329" i="28"/>
  <c r="H9276" i="28"/>
  <c r="H9223" i="28"/>
  <c r="H9169" i="28"/>
  <c r="H9132" i="28"/>
  <c r="H9092" i="28"/>
  <c r="H9051" i="28"/>
  <c r="H9019" i="28"/>
  <c r="H8998" i="28"/>
  <c r="H8975" i="28"/>
  <c r="H8957" i="28"/>
  <c r="H8935" i="28"/>
  <c r="H8917" i="28"/>
  <c r="H8895" i="28"/>
  <c r="H8874" i="28"/>
  <c r="H8854" i="28"/>
  <c r="H8834" i="28"/>
  <c r="H8818" i="28"/>
  <c r="H8803" i="28"/>
  <c r="H8787" i="28"/>
  <c r="H8773" i="28"/>
  <c r="H8758" i="28"/>
  <c r="H8744" i="28"/>
  <c r="H8730" i="28"/>
  <c r="H8714" i="28"/>
  <c r="H8700" i="28"/>
  <c r="H8686" i="28"/>
  <c r="H8674" i="28"/>
  <c r="H8661" i="28"/>
  <c r="H8647" i="28"/>
  <c r="H8635" i="28"/>
  <c r="H8622" i="28"/>
  <c r="H8610" i="28"/>
  <c r="H8597" i="28"/>
  <c r="H8583" i="28"/>
  <c r="H8571" i="28"/>
  <c r="H8558" i="28"/>
  <c r="H8546" i="28"/>
  <c r="H8533" i="28"/>
  <c r="H8519" i="28"/>
  <c r="H8507" i="28"/>
  <c r="H8494" i="28"/>
  <c r="H8482" i="28"/>
  <c r="H8469" i="28"/>
  <c r="H8455" i="28"/>
  <c r="H8443" i="28"/>
  <c r="H8430" i="28"/>
  <c r="H8418" i="28"/>
  <c r="H8405" i="28"/>
  <c r="H8391" i="28"/>
  <c r="H8379" i="28"/>
  <c r="H8366" i="28"/>
  <c r="H8354" i="28"/>
  <c r="H8341" i="28"/>
  <c r="H8327" i="28"/>
  <c r="H8315" i="28"/>
  <c r="H8302" i="28"/>
  <c r="H8290" i="28"/>
  <c r="H8277" i="28"/>
  <c r="H8263" i="28"/>
  <c r="H8251" i="28"/>
  <c r="H8238" i="28"/>
  <c r="H8226" i="28"/>
  <c r="H8213" i="28"/>
  <c r="H8199" i="28"/>
  <c r="H8187" i="28"/>
  <c r="H8174" i="28"/>
  <c r="H8162" i="28"/>
  <c r="H8149" i="28"/>
  <c r="H8135" i="28"/>
  <c r="H8123" i="28"/>
  <c r="H8110" i="28"/>
  <c r="H8098" i="28"/>
  <c r="H8085" i="28"/>
  <c r="H8071" i="28"/>
  <c r="H8059" i="28"/>
  <c r="H8046" i="28"/>
  <c r="H8034" i="28"/>
  <c r="H8021" i="28"/>
  <c r="H8007" i="28"/>
  <c r="H7995" i="28"/>
  <c r="H7982" i="28"/>
  <c r="H7970" i="28"/>
  <c r="H7957" i="28"/>
  <c r="H7943" i="28"/>
  <c r="H7931" i="28"/>
  <c r="H7918" i="28"/>
  <c r="H7906" i="28"/>
  <c r="H7894" i="28"/>
  <c r="H7883" i="28"/>
  <c r="H7873" i="28"/>
  <c r="H7865" i="28"/>
  <c r="H7857" i="28"/>
  <c r="H7849" i="28"/>
  <c r="H7841" i="28"/>
  <c r="H7833" i="28"/>
  <c r="H7825" i="28"/>
  <c r="H7817" i="28"/>
  <c r="H7809" i="28"/>
  <c r="H7801" i="28"/>
  <c r="H7793" i="28"/>
  <c r="H7785" i="28"/>
  <c r="H7777" i="28"/>
  <c r="H7769" i="28"/>
  <c r="H7761" i="28"/>
  <c r="H7753" i="28"/>
  <c r="H7745" i="28"/>
  <c r="H7737" i="28"/>
  <c r="H7729" i="28"/>
  <c r="H7721" i="28"/>
  <c r="H7713" i="28"/>
  <c r="H7705" i="28"/>
  <c r="H7697" i="28"/>
  <c r="H7689" i="28"/>
  <c r="H7681" i="28"/>
  <c r="H7673" i="28"/>
  <c r="H7665" i="28"/>
  <c r="H7657" i="28"/>
  <c r="H7649" i="28"/>
  <c r="H7641" i="28"/>
  <c r="H7633" i="28"/>
  <c r="H7625" i="28"/>
  <c r="H7617" i="28"/>
  <c r="H7609" i="28"/>
  <c r="H7601" i="28"/>
  <c r="H7593" i="28"/>
  <c r="H7585" i="28"/>
  <c r="H7577" i="28"/>
  <c r="H7569" i="28"/>
  <c r="H7561" i="28"/>
  <c r="H7553" i="28"/>
  <c r="H7545" i="28"/>
  <c r="H7537" i="28"/>
  <c r="H7529" i="28"/>
  <c r="H7521" i="28"/>
  <c r="H7513" i="28"/>
  <c r="H7505" i="28"/>
  <c r="H7497" i="28"/>
  <c r="H7489" i="28"/>
  <c r="H7481" i="28"/>
  <c r="H7473" i="28"/>
  <c r="H7465" i="28"/>
  <c r="H7457" i="28"/>
  <c r="H7449" i="28"/>
  <c r="H7441" i="28"/>
  <c r="H7433" i="28"/>
  <c r="H7425" i="28"/>
  <c r="H7417" i="28"/>
  <c r="H7409" i="28"/>
  <c r="H7401" i="28"/>
  <c r="H7393" i="28"/>
  <c r="H7385" i="28"/>
  <c r="H7377" i="28"/>
  <c r="H7369" i="28"/>
  <c r="H7361" i="28"/>
  <c r="H7353" i="28"/>
  <c r="H7345" i="28"/>
  <c r="H7337" i="28"/>
  <c r="H7329" i="28"/>
  <c r="H7321" i="28"/>
  <c r="H7313" i="28"/>
  <c r="H7305" i="28"/>
  <c r="H7297" i="28"/>
  <c r="H9944" i="28"/>
  <c r="H9844" i="28"/>
  <c r="H9751" i="28"/>
  <c r="H9668" i="28"/>
  <c r="H9584" i="28"/>
  <c r="H9487" i="28"/>
  <c r="H9404" i="28"/>
  <c r="H9327" i="28"/>
  <c r="H9268" i="28"/>
  <c r="H9217" i="28"/>
  <c r="H9165" i="28"/>
  <c r="H9124" i="28"/>
  <c r="H9087" i="28"/>
  <c r="H9050" i="28"/>
  <c r="H9014" i="28"/>
  <c r="H8995" i="28"/>
  <c r="H8974" i="28"/>
  <c r="H8955" i="28"/>
  <c r="H8934" i="28"/>
  <c r="H8911" i="28"/>
  <c r="H8893" i="28"/>
  <c r="H8871" i="28"/>
  <c r="H8853" i="28"/>
  <c r="H8831" i="28"/>
  <c r="H8814" i="28"/>
  <c r="H8800" i="28"/>
  <c r="H8786" i="28"/>
  <c r="H8772" i="28"/>
  <c r="H8757" i="28"/>
  <c r="H8741" i="28"/>
  <c r="H8727" i="28"/>
  <c r="H8712" i="28"/>
  <c r="H8699" i="28"/>
  <c r="H8685" i="28"/>
  <c r="H8671" i="28"/>
  <c r="H8659" i="28"/>
  <c r="H8646" i="28"/>
  <c r="H8634" i="28"/>
  <c r="H8621" i="28"/>
  <c r="H8607" i="28"/>
  <c r="H8595" i="28"/>
  <c r="H8582" i="28"/>
  <c r="H8570" i="28"/>
  <c r="H8557" i="28"/>
  <c r="H8543" i="28"/>
  <c r="H8531" i="28"/>
  <c r="H8518" i="28"/>
  <c r="H8506" i="28"/>
  <c r="H8493" i="28"/>
  <c r="H8479" i="28"/>
  <c r="H8467" i="28"/>
  <c r="H8454" i="28"/>
  <c r="H8442" i="28"/>
  <c r="H8429" i="28"/>
  <c r="H8415" i="28"/>
  <c r="H8403" i="28"/>
  <c r="H8390" i="28"/>
  <c r="H8378" i="28"/>
  <c r="H8365" i="28"/>
  <c r="H8351" i="28"/>
  <c r="H8339" i="28"/>
  <c r="H8326" i="28"/>
  <c r="H8314" i="28"/>
  <c r="H8301" i="28"/>
  <c r="H8287" i="28"/>
  <c r="H8275" i="28"/>
  <c r="H8262" i="28"/>
  <c r="H8250" i="28"/>
  <c r="H8237" i="28"/>
  <c r="H8223" i="28"/>
  <c r="H8211" i="28"/>
  <c r="H8198" i="28"/>
  <c r="H8186" i="28"/>
  <c r="H8173" i="28"/>
  <c r="H8159" i="28"/>
  <c r="H8147" i="28"/>
  <c r="H8134" i="28"/>
  <c r="H8122" i="28"/>
  <c r="H8109" i="28"/>
  <c r="H8095" i="28"/>
  <c r="H8083" i="28"/>
  <c r="H8070" i="28"/>
  <c r="H8058" i="28"/>
  <c r="H8045" i="28"/>
  <c r="H8031" i="28"/>
  <c r="H8019" i="28"/>
  <c r="H8006" i="28"/>
  <c r="H7994" i="28"/>
  <c r="H7981" i="28"/>
  <c r="H7967" i="28"/>
  <c r="H7955" i="28"/>
  <c r="H7942" i="28"/>
  <c r="H7930" i="28"/>
  <c r="H7917" i="28"/>
  <c r="H7903" i="28"/>
  <c r="H7893" i="28"/>
  <c r="H7882" i="28"/>
  <c r="H7872" i="28"/>
  <c r="H7864" i="28"/>
  <c r="H7856" i="28"/>
  <c r="H7848" i="28"/>
  <c r="H7840" i="28"/>
  <c r="H7832" i="28"/>
  <c r="H7824" i="28"/>
  <c r="H7816" i="28"/>
  <c r="H7808" i="28"/>
  <c r="H7800" i="28"/>
  <c r="H7792" i="28"/>
  <c r="H7784" i="28"/>
  <c r="H7776" i="28"/>
  <c r="H7768" i="28"/>
  <c r="H7760" i="28"/>
  <c r="H7752" i="28"/>
  <c r="H7744" i="28"/>
  <c r="H7736" i="28"/>
  <c r="H7728" i="28"/>
  <c r="H7720" i="28"/>
  <c r="H7712" i="28"/>
  <c r="H7704" i="28"/>
  <c r="H7696" i="28"/>
  <c r="H7688" i="28"/>
  <c r="H7680" i="28"/>
  <c r="H7672" i="28"/>
  <c r="H7664" i="28"/>
  <c r="H7656" i="28"/>
  <c r="H7648" i="28"/>
  <c r="H7640" i="28"/>
  <c r="H7632" i="28"/>
  <c r="H7624" i="28"/>
  <c r="H7616" i="28"/>
  <c r="H7608" i="28"/>
  <c r="H7600" i="28"/>
  <c r="H7592" i="28"/>
  <c r="H7584" i="28"/>
  <c r="H7576" i="28"/>
  <c r="H7568" i="28"/>
  <c r="H7560" i="28"/>
  <c r="H7552" i="28"/>
  <c r="H7544" i="28"/>
  <c r="H7536" i="28"/>
  <c r="H7528" i="28"/>
  <c r="H7520" i="28"/>
  <c r="H7512" i="28"/>
  <c r="H7504" i="28"/>
  <c r="H7496" i="28"/>
  <c r="H7488" i="28"/>
  <c r="H7480" i="28"/>
  <c r="H7472" i="28"/>
  <c r="H7464" i="28"/>
  <c r="H7456" i="28"/>
  <c r="H7448" i="28"/>
  <c r="H7440" i="28"/>
  <c r="H7432" i="28"/>
  <c r="H7424" i="28"/>
  <c r="H7416" i="28"/>
  <c r="H7408" i="28"/>
  <c r="H7400" i="28"/>
  <c r="H7392" i="28"/>
  <c r="H7384" i="28"/>
  <c r="H7376" i="28"/>
  <c r="H7368" i="28"/>
  <c r="H7360" i="28"/>
  <c r="H7352" i="28"/>
  <c r="H7344" i="28"/>
  <c r="H7336" i="28"/>
  <c r="H7328" i="28"/>
  <c r="H7320" i="28"/>
  <c r="H7312" i="28"/>
  <c r="H7304" i="28"/>
  <c r="H7296" i="28"/>
  <c r="H7288" i="28"/>
  <c r="H7280" i="28"/>
  <c r="H7272" i="28"/>
  <c r="H7264" i="28"/>
  <c r="H7256" i="28"/>
  <c r="H7248" i="28"/>
  <c r="H7240" i="28"/>
  <c r="H7232" i="28"/>
  <c r="H7224" i="28"/>
  <c r="H7216" i="28"/>
  <c r="H7208" i="28"/>
  <c r="H7200" i="28"/>
  <c r="H7192" i="28"/>
  <c r="H7184" i="28"/>
  <c r="H7176" i="28"/>
  <c r="H7168" i="28"/>
  <c r="H7160" i="28"/>
  <c r="H7152" i="28"/>
  <c r="H7144" i="28"/>
  <c r="H9915" i="28"/>
  <c r="H9912" i="28"/>
  <c r="H9815" i="28"/>
  <c r="H9732" i="28"/>
  <c r="H9648" i="28"/>
  <c r="H9556" i="28"/>
  <c r="H9474" i="28"/>
  <c r="H9384" i="28"/>
  <c r="H9308" i="28"/>
  <c r="H9257" i="28"/>
  <c r="H9204" i="28"/>
  <c r="H9154" i="28"/>
  <c r="H9117" i="28"/>
  <c r="H9078" i="28"/>
  <c r="H9038" i="28"/>
  <c r="H9011" i="28"/>
  <c r="H8989" i="28"/>
  <c r="H8970" i="28"/>
  <c r="H8949" i="28"/>
  <c r="H8930" i="28"/>
  <c r="H8909" i="28"/>
  <c r="H8886" i="28"/>
  <c r="H8867" i="28"/>
  <c r="H8846" i="28"/>
  <c r="H8827" i="28"/>
  <c r="H8812" i="28"/>
  <c r="H8796" i="28"/>
  <c r="H8782" i="28"/>
  <c r="H8767" i="28"/>
  <c r="H8754" i="28"/>
  <c r="H8739" i="28"/>
  <c r="H8723" i="28"/>
  <c r="H8709" i="28"/>
  <c r="H8694" i="28"/>
  <c r="H8682" i="28"/>
  <c r="H8669" i="28"/>
  <c r="H8655" i="28"/>
  <c r="H8643" i="28"/>
  <c r="H8630" i="28"/>
  <c r="H8618" i="28"/>
  <c r="H8605" i="28"/>
  <c r="H8591" i="28"/>
  <c r="H8579" i="28"/>
  <c r="H8566" i="28"/>
  <c r="H8554" i="28"/>
  <c r="H8541" i="28"/>
  <c r="H8527" i="28"/>
  <c r="H8515" i="28"/>
  <c r="H8502" i="28"/>
  <c r="H8490" i="28"/>
  <c r="H8477" i="28"/>
  <c r="H8463" i="28"/>
  <c r="H8451" i="28"/>
  <c r="H8438" i="28"/>
  <c r="H8426" i="28"/>
  <c r="H8413" i="28"/>
  <c r="H8399" i="28"/>
  <c r="H8387" i="28"/>
  <c r="H8374" i="28"/>
  <c r="H8362" i="28"/>
  <c r="H8349" i="28"/>
  <c r="H8335" i="28"/>
  <c r="H8323" i="28"/>
  <c r="H8310" i="28"/>
  <c r="H8298" i="28"/>
  <c r="H9883" i="28"/>
  <c r="H9802" i="28"/>
  <c r="H9712" i="28"/>
  <c r="H9620" i="28"/>
  <c r="H9538" i="28"/>
  <c r="H9455" i="28"/>
  <c r="H9359" i="28"/>
  <c r="H9298" i="28"/>
  <c r="H9244" i="28"/>
  <c r="H9185" i="28"/>
  <c r="H9146" i="28"/>
  <c r="H9108" i="28"/>
  <c r="H9065" i="28"/>
  <c r="H9031" i="28"/>
  <c r="H9006" i="28"/>
  <c r="H8986" i="28"/>
  <c r="H8963" i="28"/>
  <c r="H8943" i="28"/>
  <c r="H8923" i="28"/>
  <c r="H8903" i="28"/>
  <c r="H8883" i="28"/>
  <c r="H8861" i="28"/>
  <c r="H8842" i="28"/>
  <c r="H8822" i="28"/>
  <c r="H8808" i="28"/>
  <c r="H8794" i="28"/>
  <c r="H8778" i="28"/>
  <c r="H8764" i="28"/>
  <c r="H8749" i="28"/>
  <c r="H8735" i="28"/>
  <c r="H8720" i="28"/>
  <c r="H8704" i="28"/>
  <c r="H8691" i="28"/>
  <c r="H8678" i="28"/>
  <c r="H8666" i="28"/>
  <c r="H8653" i="28"/>
  <c r="H8639" i="28"/>
  <c r="H8627" i="28"/>
  <c r="H8614" i="28"/>
  <c r="H8602" i="28"/>
  <c r="H8589" i="28"/>
  <c r="H8575" i="28"/>
  <c r="H8563" i="28"/>
  <c r="H8550" i="28"/>
  <c r="H8538" i="28"/>
  <c r="H8525" i="28"/>
  <c r="H8511" i="28"/>
  <c r="H8499" i="28"/>
  <c r="H8486" i="28"/>
  <c r="H8474" i="28"/>
  <c r="H8461" i="28"/>
  <c r="H8447" i="28"/>
  <c r="H8435" i="28"/>
  <c r="H8422" i="28"/>
  <c r="H8410" i="28"/>
  <c r="H8397" i="28"/>
  <c r="H8383" i="28"/>
  <c r="H8371" i="28"/>
  <c r="H8358" i="28"/>
  <c r="H8346" i="28"/>
  <c r="H8333" i="28"/>
  <c r="H8319" i="28"/>
  <c r="H8307" i="28"/>
  <c r="H8294" i="28"/>
  <c r="H8282" i="28"/>
  <c r="H8269" i="28"/>
  <c r="H8255" i="28"/>
  <c r="H8243" i="28"/>
  <c r="H8230" i="28"/>
  <c r="H8218" i="28"/>
  <c r="H8205" i="28"/>
  <c r="H8191" i="28"/>
  <c r="H8179" i="28"/>
  <c r="H8166" i="28"/>
  <c r="H8154" i="28"/>
  <c r="H8141" i="28"/>
  <c r="H8127" i="28"/>
  <c r="H8115" i="28"/>
  <c r="H8102" i="28"/>
  <c r="H8090" i="28"/>
  <c r="H8077" i="28"/>
  <c r="H8063" i="28"/>
  <c r="H8051" i="28"/>
  <c r="H8038" i="28"/>
  <c r="H8026" i="28"/>
  <c r="H8013" i="28"/>
  <c r="H7999" i="28"/>
  <c r="H7987" i="28"/>
  <c r="H7974" i="28"/>
  <c r="H7962" i="28"/>
  <c r="H7949" i="28"/>
  <c r="H7935" i="28"/>
  <c r="H7923" i="28"/>
  <c r="H7910" i="28"/>
  <c r="H7898" i="28"/>
  <c r="H7887" i="28"/>
  <c r="H7877" i="28"/>
  <c r="H7868" i="28"/>
  <c r="H7860" i="28"/>
  <c r="H7852" i="28"/>
  <c r="H7844" i="28"/>
  <c r="H7836" i="28"/>
  <c r="H7828" i="28"/>
  <c r="H7820" i="28"/>
  <c r="H7812" i="28"/>
  <c r="H7804" i="28"/>
  <c r="H7796" i="28"/>
  <c r="H7788" i="28"/>
  <c r="H7780" i="28"/>
  <c r="H7772" i="28"/>
  <c r="H7764" i="28"/>
  <c r="H7756" i="28"/>
  <c r="H7748" i="28"/>
  <c r="H7740" i="28"/>
  <c r="H7732" i="28"/>
  <c r="H7724" i="28"/>
  <c r="H7716" i="28"/>
  <c r="H7708" i="28"/>
  <c r="H7700" i="28"/>
  <c r="H7692" i="28"/>
  <c r="H7684" i="28"/>
  <c r="H7676" i="28"/>
  <c r="H7668" i="28"/>
  <c r="H7660" i="28"/>
  <c r="H7652" i="28"/>
  <c r="H7644" i="28"/>
  <c r="H7636" i="28"/>
  <c r="H7628" i="28"/>
  <c r="H7620" i="28"/>
  <c r="H7612" i="28"/>
  <c r="H7604" i="28"/>
  <c r="H7596" i="28"/>
  <c r="H7588" i="28"/>
  <c r="H7580" i="28"/>
  <c r="H7572" i="28"/>
  <c r="H7564" i="28"/>
  <c r="H7556" i="28"/>
  <c r="H7548" i="28"/>
  <c r="H7540" i="28"/>
  <c r="H7532" i="28"/>
  <c r="H7524" i="28"/>
  <c r="H7516" i="28"/>
  <c r="H7508" i="28"/>
  <c r="H7500" i="28"/>
  <c r="H7492" i="28"/>
  <c r="H7484" i="28"/>
  <c r="H7476" i="28"/>
  <c r="H7468" i="28"/>
  <c r="H7460" i="28"/>
  <c r="H7452" i="28"/>
  <c r="H7444" i="28"/>
  <c r="H7436" i="28"/>
  <c r="H7428" i="28"/>
  <c r="H7420" i="28"/>
  <c r="H7412" i="28"/>
  <c r="H7404" i="28"/>
  <c r="H7396" i="28"/>
  <c r="H7388" i="28"/>
  <c r="H7380" i="28"/>
  <c r="H7372" i="28"/>
  <c r="H7364" i="28"/>
  <c r="H7356" i="28"/>
  <c r="H7348" i="28"/>
  <c r="H7340" i="28"/>
  <c r="H7332" i="28"/>
  <c r="H7324" i="28"/>
  <c r="H7316" i="28"/>
  <c r="H7308" i="28"/>
  <c r="H7300" i="28"/>
  <c r="H7292" i="28"/>
  <c r="H7284" i="28"/>
  <c r="H7276" i="28"/>
  <c r="H7268" i="28"/>
  <c r="H7260" i="28"/>
  <c r="H7252" i="28"/>
  <c r="H7244" i="28"/>
  <c r="H7236" i="28"/>
  <c r="H7228" i="28"/>
  <c r="H7220" i="28"/>
  <c r="H7212" i="28"/>
  <c r="H7204" i="28"/>
  <c r="H7196" i="28"/>
  <c r="H7188" i="28"/>
  <c r="H7180" i="28"/>
  <c r="H7172" i="28"/>
  <c r="H7164" i="28"/>
  <c r="H7156" i="28"/>
  <c r="H7148" i="28"/>
  <c r="H7140" i="28"/>
  <c r="H9832" i="28"/>
  <c r="H9618" i="28"/>
  <c r="H9375" i="28"/>
  <c r="H9205" i="28"/>
  <c r="H9101" i="28"/>
  <c r="H9007" i="28"/>
  <c r="H8950" i="28"/>
  <c r="H8899" i="28"/>
  <c r="H8845" i="28"/>
  <c r="H8799" i="28"/>
  <c r="H8763" i="28"/>
  <c r="H8722" i="28"/>
  <c r="H8683" i="28"/>
  <c r="H8651" i="28"/>
  <c r="H8615" i="28"/>
  <c r="H8581" i="28"/>
  <c r="H8549" i="28"/>
  <c r="H8514" i="28"/>
  <c r="H8478" i="28"/>
  <c r="H8446" i="28"/>
  <c r="H8411" i="28"/>
  <c r="H8375" i="28"/>
  <c r="H8343" i="28"/>
  <c r="H8309" i="28"/>
  <c r="H8283" i="28"/>
  <c r="H8261" i="28"/>
  <c r="H8242" i="28"/>
  <c r="H8221" i="28"/>
  <c r="H8202" i="28"/>
  <c r="H8181" i="28"/>
  <c r="H8158" i="28"/>
  <c r="H8139" i="28"/>
  <c r="H8118" i="28"/>
  <c r="H8099" i="28"/>
  <c r="H8078" i="28"/>
  <c r="H8055" i="28"/>
  <c r="H8037" i="28"/>
  <c r="H8015" i="28"/>
  <c r="H7997" i="28"/>
  <c r="H7975" i="28"/>
  <c r="H7954" i="28"/>
  <c r="H7934" i="28"/>
  <c r="H7914" i="28"/>
  <c r="H7895" i="28"/>
  <c r="H7878" i="28"/>
  <c r="H7863" i="28"/>
  <c r="H7851" i="28"/>
  <c r="H7838" i="28"/>
  <c r="H7826" i="28"/>
  <c r="H7813" i="28"/>
  <c r="H7799" i="28"/>
  <c r="H7787" i="28"/>
  <c r="H7774" i="28"/>
  <c r="H7762" i="28"/>
  <c r="H7749" i="28"/>
  <c r="H7735" i="28"/>
  <c r="H7723" i="28"/>
  <c r="H7710" i="28"/>
  <c r="H7698" i="28"/>
  <c r="H7685" i="28"/>
  <c r="H7671" i="28"/>
  <c r="H7659" i="28"/>
  <c r="H7646" i="28"/>
  <c r="H7634" i="28"/>
  <c r="H7621" i="28"/>
  <c r="H7607" i="28"/>
  <c r="H7595" i="28"/>
  <c r="H7582" i="28"/>
  <c r="H7570" i="28"/>
  <c r="H7557" i="28"/>
  <c r="H7543" i="28"/>
  <c r="H7531" i="28"/>
  <c r="H7518" i="28"/>
  <c r="H7506" i="28"/>
  <c r="H7493" i="28"/>
  <c r="H7479" i="28"/>
  <c r="H7467" i="28"/>
  <c r="H7454" i="28"/>
  <c r="H7442" i="28"/>
  <c r="H7429" i="28"/>
  <c r="H7415" i="28"/>
  <c r="H7403" i="28"/>
  <c r="H7390" i="28"/>
  <c r="H7378" i="28"/>
  <c r="H7365" i="28"/>
  <c r="H7351" i="28"/>
  <c r="H7339" i="28"/>
  <c r="H7326" i="28"/>
  <c r="H7314" i="28"/>
  <c r="H7301" i="28"/>
  <c r="H7289" i="28"/>
  <c r="H7278" i="28"/>
  <c r="H7267" i="28"/>
  <c r="H7257" i="28"/>
  <c r="H7246" i="28"/>
  <c r="H7235" i="28"/>
  <c r="H7225" i="28"/>
  <c r="H7214" i="28"/>
  <c r="H7203" i="28"/>
  <c r="H7193" i="28"/>
  <c r="H7182" i="28"/>
  <c r="H7171" i="28"/>
  <c r="H7161" i="28"/>
  <c r="H7150" i="28"/>
  <c r="H7139" i="28"/>
  <c r="H7131" i="28"/>
  <c r="H9784" i="28"/>
  <c r="H9548" i="28"/>
  <c r="H9319" i="28"/>
  <c r="H9183" i="28"/>
  <c r="H9073" i="28"/>
  <c r="H8994" i="28"/>
  <c r="H8942" i="28"/>
  <c r="H8885" i="28"/>
  <c r="H8829" i="28"/>
  <c r="H8791" i="28"/>
  <c r="H8750" i="28"/>
  <c r="H8711" i="28"/>
  <c r="H8677" i="28"/>
  <c r="H8642" i="28"/>
  <c r="H8606" i="28"/>
  <c r="H8574" i="28"/>
  <c r="H8539" i="28"/>
  <c r="H8503" i="28"/>
  <c r="H8471" i="28"/>
  <c r="H8437" i="28"/>
  <c r="H8402" i="28"/>
  <c r="H8370" i="28"/>
  <c r="H8334" i="28"/>
  <c r="H8299" i="28"/>
  <c r="H8278" i="28"/>
  <c r="H8258" i="28"/>
  <c r="H8235" i="28"/>
  <c r="H8215" i="28"/>
  <c r="H8195" i="28"/>
  <c r="H8175" i="28"/>
  <c r="H8155" i="28"/>
  <c r="H8133" i="28"/>
  <c r="H8114" i="28"/>
  <c r="H8093" i="28"/>
  <c r="H8074" i="28"/>
  <c r="H8053" i="28"/>
  <c r="H8030" i="28"/>
  <c r="H8011" i="28"/>
  <c r="H7990" i="28"/>
  <c r="H7971" i="28"/>
  <c r="H7950" i="28"/>
  <c r="H7927" i="28"/>
  <c r="H7909" i="28"/>
  <c r="H7890" i="28"/>
  <c r="H7874" i="28"/>
  <c r="H7861" i="28"/>
  <c r="H7847" i="28"/>
  <c r="H7835" i="28"/>
  <c r="H7822" i="28"/>
  <c r="H7810" i="28"/>
  <c r="H7797" i="28"/>
  <c r="H7783" i="28"/>
  <c r="H7771" i="28"/>
  <c r="H7758" i="28"/>
  <c r="H7746" i="28"/>
  <c r="H7733" i="28"/>
  <c r="H7719" i="28"/>
  <c r="H7707" i="28"/>
  <c r="H7694" i="28"/>
  <c r="H7682" i="28"/>
  <c r="H7669" i="28"/>
  <c r="H7655" i="28"/>
  <c r="H7643" i="28"/>
  <c r="H7630" i="28"/>
  <c r="H7618" i="28"/>
  <c r="H7605" i="28"/>
  <c r="H7591" i="28"/>
  <c r="H7579" i="28"/>
  <c r="H7566" i="28"/>
  <c r="H7554" i="28"/>
  <c r="H7541" i="28"/>
  <c r="H7527" i="28"/>
  <c r="H7515" i="28"/>
  <c r="H7502" i="28"/>
  <c r="H7490" i="28"/>
  <c r="H7477" i="28"/>
  <c r="H7463" i="28"/>
  <c r="H7451" i="28"/>
  <c r="H7438" i="28"/>
  <c r="H7426" i="28"/>
  <c r="H7413" i="28"/>
  <c r="H7399" i="28"/>
  <c r="H7387" i="28"/>
  <c r="H7374" i="28"/>
  <c r="H7362" i="28"/>
  <c r="H9703" i="28"/>
  <c r="H9456" i="28"/>
  <c r="H9263" i="28"/>
  <c r="H9138" i="28"/>
  <c r="H9037" i="28"/>
  <c r="H8973" i="28"/>
  <c r="H8922" i="28"/>
  <c r="H8866" i="28"/>
  <c r="H8813" i="28"/>
  <c r="H8776" i="28"/>
  <c r="H8736" i="28"/>
  <c r="H8695" i="28"/>
  <c r="H8663" i="28"/>
  <c r="H8629" i="28"/>
  <c r="H8594" i="28"/>
  <c r="H8562" i="28"/>
  <c r="H8526" i="28"/>
  <c r="H8491" i="28"/>
  <c r="H8459" i="28"/>
  <c r="H8423" i="28"/>
  <c r="H8389" i="28"/>
  <c r="H8357" i="28"/>
  <c r="H8322" i="28"/>
  <c r="H8291" i="28"/>
  <c r="H8270" i="28"/>
  <c r="H8247" i="28"/>
  <c r="H8229" i="28"/>
  <c r="H8207" i="28"/>
  <c r="H8189" i="28"/>
  <c r="H8167" i="28"/>
  <c r="H8146" i="28"/>
  <c r="H8126" i="28"/>
  <c r="H8106" i="28"/>
  <c r="H8086" i="28"/>
  <c r="H8066" i="28"/>
  <c r="H8043" i="28"/>
  <c r="H8023" i="28"/>
  <c r="H8003" i="28"/>
  <c r="H7983" i="28"/>
  <c r="H7963" i="28"/>
  <c r="H7941" i="28"/>
  <c r="H7922" i="28"/>
  <c r="H7901" i="28"/>
  <c r="H7885" i="28"/>
  <c r="H7869" i="28"/>
  <c r="H7855" i="28"/>
  <c r="H7843" i="28"/>
  <c r="H7830" i="28"/>
  <c r="H7818" i="28"/>
  <c r="H7805" i="28"/>
  <c r="H7791" i="28"/>
  <c r="H7779" i="28"/>
  <c r="H7766" i="28"/>
  <c r="H7754" i="28"/>
  <c r="H7741" i="28"/>
  <c r="H7727" i="28"/>
  <c r="H7715" i="28"/>
  <c r="H7702" i="28"/>
  <c r="H7690" i="28"/>
  <c r="H7677" i="28"/>
  <c r="H7663" i="28"/>
  <c r="H7651" i="28"/>
  <c r="H7638" i="28"/>
  <c r="H7626" i="28"/>
  <c r="H7613" i="28"/>
  <c r="H7599" i="28"/>
  <c r="H7587" i="28"/>
  <c r="H7574" i="28"/>
  <c r="H7562" i="28"/>
  <c r="H7549" i="28"/>
  <c r="H7535" i="28"/>
  <c r="H7523" i="28"/>
  <c r="H7510" i="28"/>
  <c r="H7498" i="28"/>
  <c r="H7485" i="28"/>
  <c r="H7471" i="28"/>
  <c r="H7459" i="28"/>
  <c r="H7446" i="28"/>
  <c r="H7434" i="28"/>
  <c r="H7421" i="28"/>
  <c r="H7407" i="28"/>
  <c r="H7395" i="28"/>
  <c r="H7382" i="28"/>
  <c r="H7370" i="28"/>
  <c r="H7357" i="28"/>
  <c r="H7343" i="28"/>
  <c r="H9896" i="28"/>
  <c r="H9523" i="28"/>
  <c r="H9236" i="28"/>
  <c r="H9045" i="28"/>
  <c r="H8947" i="28"/>
  <c r="H8859" i="28"/>
  <c r="H8784" i="28"/>
  <c r="H8726" i="28"/>
  <c r="H8667" i="28"/>
  <c r="H8613" i="28"/>
  <c r="H8555" i="28"/>
  <c r="H8501" i="28"/>
  <c r="H8450" i="28"/>
  <c r="H8395" i="28"/>
  <c r="H8338" i="28"/>
  <c r="H8286" i="28"/>
  <c r="H8254" i="28"/>
  <c r="H8222" i="28"/>
  <c r="H8190" i="28"/>
  <c r="H8157" i="28"/>
  <c r="H8125" i="28"/>
  <c r="H8091" i="28"/>
  <c r="H8061" i="28"/>
  <c r="H8027" i="28"/>
  <c r="H7991" i="28"/>
  <c r="H7959" i="28"/>
  <c r="H7926" i="28"/>
  <c r="H7897" i="28"/>
  <c r="H7870" i="28"/>
  <c r="H7850" i="28"/>
  <c r="H7829" i="28"/>
  <c r="H7807" i="28"/>
  <c r="H7789" i="28"/>
  <c r="H7767" i="28"/>
  <c r="H7747" i="28"/>
  <c r="H7726" i="28"/>
  <c r="H7706" i="28"/>
  <c r="H7686" i="28"/>
  <c r="H7666" i="28"/>
  <c r="H7645" i="28"/>
  <c r="H7623" i="28"/>
  <c r="H7603" i="28"/>
  <c r="H7583" i="28"/>
  <c r="H7563" i="28"/>
  <c r="H7542" i="28"/>
  <c r="H7522" i="28"/>
  <c r="H7501" i="28"/>
  <c r="H7482" i="28"/>
  <c r="H7461" i="28"/>
  <c r="H7439" i="28"/>
  <c r="H7419" i="28"/>
  <c r="H7398" i="28"/>
  <c r="H7379" i="28"/>
  <c r="H7358" i="28"/>
  <c r="H7341" i="28"/>
  <c r="H7325" i="28"/>
  <c r="H7310" i="28"/>
  <c r="H7295" i="28"/>
  <c r="H7283" i="28"/>
  <c r="H7271" i="28"/>
  <c r="H7259" i="28"/>
  <c r="H7247" i="28"/>
  <c r="H7234" i="28"/>
  <c r="H7222" i="28"/>
  <c r="H7210" i="28"/>
  <c r="H7198" i="28"/>
  <c r="H7186" i="28"/>
  <c r="H7174" i="28"/>
  <c r="H7162" i="28"/>
  <c r="H7149" i="28"/>
  <c r="H7137" i="28"/>
  <c r="H7128" i="28"/>
  <c r="H7120" i="28"/>
  <c r="H7112" i="28"/>
  <c r="H7104" i="28"/>
  <c r="H7096" i="28"/>
  <c r="H7088" i="28"/>
  <c r="H7080" i="28"/>
  <c r="H7072" i="28"/>
  <c r="H7064" i="28"/>
  <c r="H7056" i="28"/>
  <c r="H7048" i="28"/>
  <c r="H7040" i="28"/>
  <c r="H7032" i="28"/>
  <c r="H7024" i="28"/>
  <c r="H9876" i="28"/>
  <c r="H9484" i="28"/>
  <c r="H9196" i="28"/>
  <c r="H9812" i="28"/>
  <c r="H9442" i="28"/>
  <c r="H9161" i="28"/>
  <c r="H9013" i="28"/>
  <c r="H8925" i="28"/>
  <c r="H8839" i="28"/>
  <c r="H8768" i="28"/>
  <c r="H8708" i="28"/>
  <c r="H8654" i="28"/>
  <c r="H8599" i="28"/>
  <c r="H8542" i="28"/>
  <c r="H8487" i="28"/>
  <c r="H8434" i="28"/>
  <c r="H8382" i="28"/>
  <c r="H8325" i="28"/>
  <c r="H8279" i="28"/>
  <c r="H8246" i="28"/>
  <c r="H8214" i="28"/>
  <c r="H8182" i="28"/>
  <c r="H8150" i="28"/>
  <c r="H8117" i="28"/>
  <c r="H8082" i="28"/>
  <c r="H8050" i="28"/>
  <c r="H8018" i="28"/>
  <c r="H7986" i="28"/>
  <c r="H7951" i="28"/>
  <c r="H7919" i="28"/>
  <c r="H7889" i="28"/>
  <c r="H7866" i="28"/>
  <c r="H7845" i="28"/>
  <c r="H7823" i="28"/>
  <c r="H7803" i="28"/>
  <c r="H7782" i="28"/>
  <c r="H7763" i="28"/>
  <c r="H7742" i="28"/>
  <c r="H7722" i="28"/>
  <c r="H7701" i="28"/>
  <c r="H7679" i="28"/>
  <c r="H7661" i="28"/>
  <c r="H7639" i="28"/>
  <c r="H7619" i="28"/>
  <c r="H7598" i="28"/>
  <c r="H7578" i="28"/>
  <c r="H7558" i="28"/>
  <c r="H7538" i="28"/>
  <c r="H7517" i="28"/>
  <c r="H7495" i="28"/>
  <c r="H7475" i="28"/>
  <c r="H7455" i="28"/>
  <c r="H7435" i="28"/>
  <c r="H7414" i="28"/>
  <c r="H7394" i="28"/>
  <c r="H7373" i="28"/>
  <c r="H7354" i="28"/>
  <c r="H7335" i="28"/>
  <c r="H7322" i="28"/>
  <c r="H7307" i="28"/>
  <c r="H7293" i="28"/>
  <c r="H7281" i="28"/>
  <c r="H7269" i="28"/>
  <c r="H7255" i="28"/>
  <c r="H7243" i="28"/>
  <c r="H7231" i="28"/>
  <c r="H7219" i="28"/>
  <c r="H7207" i="28"/>
  <c r="H7195" i="28"/>
  <c r="H7183" i="28"/>
  <c r="H7170" i="28"/>
  <c r="H7158" i="28"/>
  <c r="H7146" i="28"/>
  <c r="H7135" i="28"/>
  <c r="H7126" i="28"/>
  <c r="H7118" i="28"/>
  <c r="H7110" i="28"/>
  <c r="H7102" i="28"/>
  <c r="H7094" i="28"/>
  <c r="H7086" i="28"/>
  <c r="H7078" i="28"/>
  <c r="H7070" i="28"/>
  <c r="H7062" i="28"/>
  <c r="H7054" i="28"/>
  <c r="H7046" i="28"/>
  <c r="H7038" i="28"/>
  <c r="H7030" i="28"/>
  <c r="H7022" i="28"/>
  <c r="H7014" i="28"/>
  <c r="H7006" i="28"/>
  <c r="H6998" i="28"/>
  <c r="H6990" i="28"/>
  <c r="H6982" i="28"/>
  <c r="H6974" i="28"/>
  <c r="H6966" i="28"/>
  <c r="H6958" i="28"/>
  <c r="H6950" i="28"/>
  <c r="H6942" i="28"/>
  <c r="H6934" i="28"/>
  <c r="H6926" i="28"/>
  <c r="H6918" i="28"/>
  <c r="H6910" i="28"/>
  <c r="H6902" i="28"/>
  <c r="H6894" i="28"/>
  <c r="H6886" i="28"/>
  <c r="H6878" i="28"/>
  <c r="H6870" i="28"/>
  <c r="H6862" i="28"/>
  <c r="H6854" i="28"/>
  <c r="H6846" i="28"/>
  <c r="H6838" i="28"/>
  <c r="H6830" i="28"/>
  <c r="H6822" i="28"/>
  <c r="H6814" i="28"/>
  <c r="H6806" i="28"/>
  <c r="H6798" i="28"/>
  <c r="H6790" i="28"/>
  <c r="H6782" i="28"/>
  <c r="H6774" i="28"/>
  <c r="H6766" i="28"/>
  <c r="H6758" i="28"/>
  <c r="H6750" i="28"/>
  <c r="H6742" i="28"/>
  <c r="H6734" i="28"/>
  <c r="H6726" i="28"/>
  <c r="H6718" i="28"/>
  <c r="H6710" i="28"/>
  <c r="H6702" i="28"/>
  <c r="H6694" i="28"/>
  <c r="H6686" i="28"/>
  <c r="H6678" i="28"/>
  <c r="H6670" i="28"/>
  <c r="H6662" i="28"/>
  <c r="H6654" i="28"/>
  <c r="H6646" i="28"/>
  <c r="H6638" i="28"/>
  <c r="H6630" i="28"/>
  <c r="H6622" i="28"/>
  <c r="H6614" i="28"/>
  <c r="H6606" i="28"/>
  <c r="H6598" i="28"/>
  <c r="H6590" i="28"/>
  <c r="H6582" i="28"/>
  <c r="H6574" i="28"/>
  <c r="H6566" i="28"/>
  <c r="H6558" i="28"/>
  <c r="H6550" i="28"/>
  <c r="H6542" i="28"/>
  <c r="H6534" i="28"/>
  <c r="H6526" i="28"/>
  <c r="H6518" i="28"/>
  <c r="H6510" i="28"/>
  <c r="H6502" i="28"/>
  <c r="H6494" i="28"/>
  <c r="H6486" i="28"/>
  <c r="H6478" i="28"/>
  <c r="H6470" i="28"/>
  <c r="H6462" i="28"/>
  <c r="H6454" i="28"/>
  <c r="H6446" i="28"/>
  <c r="H6438" i="28"/>
  <c r="H6430" i="28"/>
  <c r="H6422" i="28"/>
  <c r="H6414" i="28"/>
  <c r="H6406" i="28"/>
  <c r="H6398" i="28"/>
  <c r="H6390" i="28"/>
  <c r="H6382" i="28"/>
  <c r="H6374" i="28"/>
  <c r="H6366" i="28"/>
  <c r="H6358" i="28"/>
  <c r="H9748" i="28"/>
  <c r="H9392" i="28"/>
  <c r="H9151" i="28"/>
  <c r="H9002" i="28"/>
  <c r="H8910" i="28"/>
  <c r="H8823" i="28"/>
  <c r="H8766" i="28"/>
  <c r="H8703" i="28"/>
  <c r="H8645" i="28"/>
  <c r="H8590" i="28"/>
  <c r="H8535" i="28"/>
  <c r="H8485" i="28"/>
  <c r="H8427" i="28"/>
  <c r="H8373" i="28"/>
  <c r="H8318" i="28"/>
  <c r="H8274" i="28"/>
  <c r="H8245" i="28"/>
  <c r="H8210" i="28"/>
  <c r="H8178" i="28"/>
  <c r="H8143" i="28"/>
  <c r="H8111" i="28"/>
  <c r="H8079" i="28"/>
  <c r="H8047" i="28"/>
  <c r="H8014" i="28"/>
  <c r="H7979" i="28"/>
  <c r="H7947" i="28"/>
  <c r="H7915" i="28"/>
  <c r="H7886" i="28"/>
  <c r="H7862" i="28"/>
  <c r="H7842" i="28"/>
  <c r="H7821" i="28"/>
  <c r="H7802" i="28"/>
  <c r="H7781" i="28"/>
  <c r="H7759" i="28"/>
  <c r="H7739" i="28"/>
  <c r="H7718" i="28"/>
  <c r="H7699" i="28"/>
  <c r="H7678" i="28"/>
  <c r="H7658" i="28"/>
  <c r="H7637" i="28"/>
  <c r="H7615" i="28"/>
  <c r="H7597" i="28"/>
  <c r="H7575" i="28"/>
  <c r="H7555" i="28"/>
  <c r="H7534" i="28"/>
  <c r="H7514" i="28"/>
  <c r="H7494" i="28"/>
  <c r="H7474" i="28"/>
  <c r="H7453" i="28"/>
  <c r="H7431" i="28"/>
  <c r="H7411" i="28"/>
  <c r="H7391" i="28"/>
  <c r="H7371" i="28"/>
  <c r="H7350" i="28"/>
  <c r="H7334" i="28"/>
  <c r="H7319" i="28"/>
  <c r="H7306" i="28"/>
  <c r="H7291" i="28"/>
  <c r="H7279" i="28"/>
  <c r="H7266" i="28"/>
  <c r="H7254" i="28"/>
  <c r="H7242" i="28"/>
  <c r="H7230" i="28"/>
  <c r="H7218" i="28"/>
  <c r="H7206" i="28"/>
  <c r="H7194" i="28"/>
  <c r="H7181" i="28"/>
  <c r="H7169" i="28"/>
  <c r="H7157" i="28"/>
  <c r="H7145" i="28"/>
  <c r="H7134" i="28"/>
  <c r="H7125" i="28"/>
  <c r="H7117" i="28"/>
  <c r="H7109" i="28"/>
  <c r="H7101" i="28"/>
  <c r="H7093" i="28"/>
  <c r="H7085" i="28"/>
  <c r="H7077" i="28"/>
  <c r="H7069" i="28"/>
  <c r="H7061" i="28"/>
  <c r="H7053" i="28"/>
  <c r="H7045" i="28"/>
  <c r="H7037" i="28"/>
  <c r="H7029" i="28"/>
  <c r="H7021" i="28"/>
  <c r="H7013" i="28"/>
  <c r="H7005" i="28"/>
  <c r="H6997" i="28"/>
  <c r="H6989" i="28"/>
  <c r="H6981" i="28"/>
  <c r="H6973" i="28"/>
  <c r="H6965" i="28"/>
  <c r="H6957" i="28"/>
  <c r="H6949" i="28"/>
  <c r="H6941" i="28"/>
  <c r="H6933" i="28"/>
  <c r="H6925" i="28"/>
  <c r="H6917" i="28"/>
  <c r="H6909" i="28"/>
  <c r="H6901" i="28"/>
  <c r="H6893" i="28"/>
  <c r="H6885" i="28"/>
  <c r="H6877" i="28"/>
  <c r="H6869" i="28"/>
  <c r="H6861" i="28"/>
  <c r="H6853" i="28"/>
  <c r="H6845" i="28"/>
  <c r="H6837" i="28"/>
  <c r="H6829" i="28"/>
  <c r="H6821" i="28"/>
  <c r="H6813" i="28"/>
  <c r="H6805" i="28"/>
  <c r="H6797" i="28"/>
  <c r="H6789" i="28"/>
  <c r="H6781" i="28"/>
  <c r="H6773" i="28"/>
  <c r="H6765" i="28"/>
  <c r="H6757" i="28"/>
  <c r="H6749" i="28"/>
  <c r="H6741" i="28"/>
  <c r="H6733" i="28"/>
  <c r="H6725" i="28"/>
  <c r="H6717" i="28"/>
  <c r="H6709" i="28"/>
  <c r="H6701" i="28"/>
  <c r="H6693" i="28"/>
  <c r="H6685" i="28"/>
  <c r="H6677" i="28"/>
  <c r="H6669" i="28"/>
  <c r="H6661" i="28"/>
  <c r="H6653" i="28"/>
  <c r="H6645" i="28"/>
  <c r="H6637" i="28"/>
  <c r="H6629" i="28"/>
  <c r="H6621" i="28"/>
  <c r="H6613" i="28"/>
  <c r="H6605" i="28"/>
  <c r="H6597" i="28"/>
  <c r="H6589" i="28"/>
  <c r="H6581" i="28"/>
  <c r="H6573" i="28"/>
  <c r="H6565" i="28"/>
  <c r="H6557" i="28"/>
  <c r="H6549" i="28"/>
  <c r="H6541" i="28"/>
  <c r="H6533" i="28"/>
  <c r="H6525" i="28"/>
  <c r="H6517" i="28"/>
  <c r="H6509" i="28"/>
  <c r="H6501" i="28"/>
  <c r="H6493" i="28"/>
  <c r="H6485" i="28"/>
  <c r="H6477" i="28"/>
  <c r="H6469" i="28"/>
  <c r="H6461" i="28"/>
  <c r="H6453" i="28"/>
  <c r="H6445" i="28"/>
  <c r="H6437" i="28"/>
  <c r="H6429" i="28"/>
  <c r="H6421" i="28"/>
  <c r="H6413" i="28"/>
  <c r="H6405" i="28"/>
  <c r="H6397" i="28"/>
  <c r="H6389" i="28"/>
  <c r="H6381" i="28"/>
  <c r="H6373" i="28"/>
  <c r="H6365" i="28"/>
  <c r="H6357" i="28"/>
  <c r="H6349" i="28"/>
  <c r="H6341" i="28"/>
  <c r="H6333" i="28"/>
  <c r="H9720" i="28"/>
  <c r="H9354" i="28"/>
  <c r="H9123" i="28"/>
  <c r="H8987" i="28"/>
  <c r="H8906" i="28"/>
  <c r="H8821" i="28"/>
  <c r="H8755" i="28"/>
  <c r="H8693" i="28"/>
  <c r="H8638" i="28"/>
  <c r="H8587" i="28"/>
  <c r="H8530" i="28"/>
  <c r="H8475" i="28"/>
  <c r="H8421" i="28"/>
  <c r="H8363" i="28"/>
  <c r="H8311" i="28"/>
  <c r="H8271" i="28"/>
  <c r="H8239" i="28"/>
  <c r="H8206" i="28"/>
  <c r="H8171" i="28"/>
  <c r="H8142" i="28"/>
  <c r="H8107" i="28"/>
  <c r="H8075" i="28"/>
  <c r="H8042" i="28"/>
  <c r="H8010" i="28"/>
  <c r="H7978" i="28"/>
  <c r="H7946" i="28"/>
  <c r="H7911" i="28"/>
  <c r="H7881" i="28"/>
  <c r="H7859" i="28"/>
  <c r="H7839" i="28"/>
  <c r="H7819" i="28"/>
  <c r="H7798" i="28"/>
  <c r="H7778" i="28"/>
  <c r="H7757" i="28"/>
  <c r="H7738" i="28"/>
  <c r="H7717" i="28"/>
  <c r="H7695" i="28"/>
  <c r="H7675" i="28"/>
  <c r="H7654" i="28"/>
  <c r="H7635" i="28"/>
  <c r="H7614" i="28"/>
  <c r="H7594" i="28"/>
  <c r="H7573" i="28"/>
  <c r="H7551" i="28"/>
  <c r="H7533" i="28"/>
  <c r="H7511" i="28"/>
  <c r="H7491" i="28"/>
  <c r="H7470" i="28"/>
  <c r="H7450" i="28"/>
  <c r="H7430" i="28"/>
  <c r="H7410" i="28"/>
  <c r="H7389" i="28"/>
  <c r="H7367" i="28"/>
  <c r="H7349" i="28"/>
  <c r="H7333" i="28"/>
  <c r="H7318" i="28"/>
  <c r="H7303" i="28"/>
  <c r="H7290" i="28"/>
  <c r="H7277" i="28"/>
  <c r="H7265" i="28"/>
  <c r="H7253" i="28"/>
  <c r="H7241" i="28"/>
  <c r="H7229" i="28"/>
  <c r="H7217" i="28"/>
  <c r="H7205" i="28"/>
  <c r="H7191" i="28"/>
  <c r="H7179" i="28"/>
  <c r="H7167" i="28"/>
  <c r="H7155" i="28"/>
  <c r="H7143" i="28"/>
  <c r="H7133" i="28"/>
  <c r="H7124" i="28"/>
  <c r="H7116" i="28"/>
  <c r="H7108" i="28"/>
  <c r="H7100" i="28"/>
  <c r="H7092" i="28"/>
  <c r="H7084" i="28"/>
  <c r="H7076" i="28"/>
  <c r="H7068" i="28"/>
  <c r="H7060" i="28"/>
  <c r="H7052" i="28"/>
  <c r="H7044" i="28"/>
  <c r="H7036" i="28"/>
  <c r="H7028" i="28"/>
  <c r="H7020" i="28"/>
  <c r="H7012" i="28"/>
  <c r="H9651" i="28"/>
  <c r="H9306" i="28"/>
  <c r="H9109" i="28"/>
  <c r="H9570" i="28"/>
  <c r="H9247" i="28"/>
  <c r="H9063" i="28"/>
  <c r="H8962" i="28"/>
  <c r="H8870" i="28"/>
  <c r="H8795" i="28"/>
  <c r="H8732" i="28"/>
  <c r="H8670" i="28"/>
  <c r="H8619" i="28"/>
  <c r="H8565" i="28"/>
  <c r="H8510" i="28"/>
  <c r="H8453" i="28"/>
  <c r="H8398" i="28"/>
  <c r="H8347" i="28"/>
  <c r="H8293" i="28"/>
  <c r="H8259" i="28"/>
  <c r="H8227" i="28"/>
  <c r="H8194" i="28"/>
  <c r="H8163" i="28"/>
  <c r="H8130" i="28"/>
  <c r="H8094" i="28"/>
  <c r="H8062" i="28"/>
  <c r="H8029" i="28"/>
  <c r="H7998" i="28"/>
  <c r="H7965" i="28"/>
  <c r="H7933" i="28"/>
  <c r="H7899" i="28"/>
  <c r="H7871" i="28"/>
  <c r="H7853" i="28"/>
  <c r="H7831" i="28"/>
  <c r="H7811" i="28"/>
  <c r="H7790" i="28"/>
  <c r="H7770" i="28"/>
  <c r="H7750" i="28"/>
  <c r="H7730" i="28"/>
  <c r="H7709" i="28"/>
  <c r="H7687" i="28"/>
  <c r="H7667" i="28"/>
  <c r="H7647" i="28"/>
  <c r="H7627" i="28"/>
  <c r="H7606" i="28"/>
  <c r="H7586" i="28"/>
  <c r="H7565" i="28"/>
  <c r="H7546" i="28"/>
  <c r="H7525" i="28"/>
  <c r="H7503" i="28"/>
  <c r="H7483" i="28"/>
  <c r="H7462" i="28"/>
  <c r="H7443" i="28"/>
  <c r="H7422" i="28"/>
  <c r="H7402" i="28"/>
  <c r="H7381" i="28"/>
  <c r="H7359" i="28"/>
  <c r="H7342" i="28"/>
  <c r="H7327" i="28"/>
  <c r="H7311" i="28"/>
  <c r="H7298" i="28"/>
  <c r="H7285" i="28"/>
  <c r="H7273" i="28"/>
  <c r="H7261" i="28"/>
  <c r="H7249" i="28"/>
  <c r="H7237" i="28"/>
  <c r="H7223" i="28"/>
  <c r="H7211" i="28"/>
  <c r="H7199" i="28"/>
  <c r="H7187" i="28"/>
  <c r="H7175" i="28"/>
  <c r="H7163" i="28"/>
  <c r="H7151" i="28"/>
  <c r="H7138" i="28"/>
  <c r="H7129" i="28"/>
  <c r="H7121" i="28"/>
  <c r="H7113" i="28"/>
  <c r="H7105" i="28"/>
  <c r="H7097" i="28"/>
  <c r="H7089" i="28"/>
  <c r="H7081" i="28"/>
  <c r="H7073" i="28"/>
  <c r="H7065" i="28"/>
  <c r="H7057" i="28"/>
  <c r="H7049" i="28"/>
  <c r="H7041" i="28"/>
  <c r="H7033" i="28"/>
  <c r="H7025" i="28"/>
  <c r="H7017" i="28"/>
  <c r="H7009" i="28"/>
  <c r="H7001" i="28"/>
  <c r="H6993" i="28"/>
  <c r="H6985" i="28"/>
  <c r="H6977" i="28"/>
  <c r="H6969" i="28"/>
  <c r="H6961" i="28"/>
  <c r="H6953" i="28"/>
  <c r="H6945" i="28"/>
  <c r="H6937" i="28"/>
  <c r="H6929" i="28"/>
  <c r="H6921" i="28"/>
  <c r="H6913" i="28"/>
  <c r="H6905" i="28"/>
  <c r="H6897" i="28"/>
  <c r="H6889" i="28"/>
  <c r="H6881" i="28"/>
  <c r="H6873" i="28"/>
  <c r="H6865" i="28"/>
  <c r="H6857" i="28"/>
  <c r="H6849" i="28"/>
  <c r="H6841" i="28"/>
  <c r="H6833" i="28"/>
  <c r="H6825" i="28"/>
  <c r="H6817" i="28"/>
  <c r="H6809" i="28"/>
  <c r="H6801" i="28"/>
  <c r="H6793" i="28"/>
  <c r="H6785" i="28"/>
  <c r="H6777" i="28"/>
  <c r="H6769" i="28"/>
  <c r="H6761" i="28"/>
  <c r="H6753" i="28"/>
  <c r="H6745" i="28"/>
  <c r="H6737" i="28"/>
  <c r="H6729" i="28"/>
  <c r="H6721" i="28"/>
  <c r="H6713" i="28"/>
  <c r="H6705" i="28"/>
  <c r="H6697" i="28"/>
  <c r="H6689" i="28"/>
  <c r="H6681" i="28"/>
  <c r="H6673" i="28"/>
  <c r="H6665" i="28"/>
  <c r="H6657" i="28"/>
  <c r="H6649" i="28"/>
  <c r="H6641" i="28"/>
  <c r="H6633" i="28"/>
  <c r="H6625" i="28"/>
  <c r="H6617" i="28"/>
  <c r="H6609" i="28"/>
  <c r="H6601" i="28"/>
  <c r="H6593" i="28"/>
  <c r="H6585" i="28"/>
  <c r="H6577" i="28"/>
  <c r="H6569" i="28"/>
  <c r="H6561" i="28"/>
  <c r="H6553" i="28"/>
  <c r="H6545" i="28"/>
  <c r="H6537" i="28"/>
  <c r="H6529" i="28"/>
  <c r="H6521" i="28"/>
  <c r="H6513" i="28"/>
  <c r="H6505" i="28"/>
  <c r="H6497" i="28"/>
  <c r="H6489" i="28"/>
  <c r="H6481" i="28"/>
  <c r="H6473" i="28"/>
  <c r="H6465" i="28"/>
  <c r="H6457" i="28"/>
  <c r="H6449" i="28"/>
  <c r="H6441" i="28"/>
  <c r="H6433" i="28"/>
  <c r="H6425" i="28"/>
  <c r="H6417" i="28"/>
  <c r="H6409" i="28"/>
  <c r="H6401" i="28"/>
  <c r="H6393" i="28"/>
  <c r="H6385" i="28"/>
  <c r="H6377" i="28"/>
  <c r="H6369" i="28"/>
  <c r="H6361" i="28"/>
  <c r="H6353" i="28"/>
  <c r="H6345" i="28"/>
  <c r="H6337" i="28"/>
  <c r="H8931" i="28"/>
  <c r="H8740" i="28"/>
  <c r="H8578" i="28"/>
  <c r="H8439" i="28"/>
  <c r="H8295" i="28"/>
  <c r="H8203" i="28"/>
  <c r="H8119" i="28"/>
  <c r="H8035" i="28"/>
  <c r="H7939" i="28"/>
  <c r="H7867" i="28"/>
  <c r="H7814" i="28"/>
  <c r="H7755" i="28"/>
  <c r="H7703" i="28"/>
  <c r="H7650" i="28"/>
  <c r="H7590" i="28"/>
  <c r="H7539" i="28"/>
  <c r="H7486" i="28"/>
  <c r="H7427" i="28"/>
  <c r="H7375" i="28"/>
  <c r="H7330" i="28"/>
  <c r="H7287" i="28"/>
  <c r="H7258" i="28"/>
  <c r="H7226" i="28"/>
  <c r="H7190" i="28"/>
  <c r="H7159" i="28"/>
  <c r="H7130" i="28"/>
  <c r="H7107" i="28"/>
  <c r="H7087" i="28"/>
  <c r="H7066" i="28"/>
  <c r="H7043" i="28"/>
  <c r="H7023" i="28"/>
  <c r="H7007" i="28"/>
  <c r="H6994" i="28"/>
  <c r="H6980" i="28"/>
  <c r="H6968" i="28"/>
  <c r="H6955" i="28"/>
  <c r="H6943" i="28"/>
  <c r="H6930" i="28"/>
  <c r="H6916" i="28"/>
  <c r="H6904" i="28"/>
  <c r="H6891" i="28"/>
  <c r="H6879" i="28"/>
  <c r="H6866" i="28"/>
  <c r="H6852" i="28"/>
  <c r="H6840" i="28"/>
  <c r="H6827" i="28"/>
  <c r="H6815" i="28"/>
  <c r="H6802" i="28"/>
  <c r="H6788" i="28"/>
  <c r="H6776" i="28"/>
  <c r="H6763" i="28"/>
  <c r="H6751" i="28"/>
  <c r="H6738" i="28"/>
  <c r="H6724" i="28"/>
  <c r="H6712" i="28"/>
  <c r="H6699" i="28"/>
  <c r="H6687" i="28"/>
  <c r="H6674" i="28"/>
  <c r="H6660" i="28"/>
  <c r="H6648" i="28"/>
  <c r="H6635" i="28"/>
  <c r="H6623" i="28"/>
  <c r="H6610" i="28"/>
  <c r="H6596" i="28"/>
  <c r="H6584" i="28"/>
  <c r="H6571" i="28"/>
  <c r="H6559" i="28"/>
  <c r="H6546" i="28"/>
  <c r="H6532" i="28"/>
  <c r="H6520" i="28"/>
  <c r="H6507" i="28"/>
  <c r="H6495" i="28"/>
  <c r="H6482" i="28"/>
  <c r="H6468" i="28"/>
  <c r="H6456" i="28"/>
  <c r="H6443" i="28"/>
  <c r="H6431" i="28"/>
  <c r="H6418" i="28"/>
  <c r="H6404" i="28"/>
  <c r="H6392" i="28"/>
  <c r="H6379" i="28"/>
  <c r="H6367" i="28"/>
  <c r="H6354" i="28"/>
  <c r="H6343" i="28"/>
  <c r="H6332" i="28"/>
  <c r="H9639" i="28"/>
  <c r="H8847" i="28"/>
  <c r="H8658" i="28"/>
  <c r="H8498" i="28"/>
  <c r="H8331" i="28"/>
  <c r="H8219" i="28"/>
  <c r="H8103" i="28"/>
  <c r="H8005" i="28"/>
  <c r="H7907" i="28"/>
  <c r="H7837" i="28"/>
  <c r="H7775" i="28"/>
  <c r="H7714" i="28"/>
  <c r="H7653" i="28"/>
  <c r="H7589" i="28"/>
  <c r="H7526" i="28"/>
  <c r="H7466" i="28"/>
  <c r="H7405" i="28"/>
  <c r="H7346" i="28"/>
  <c r="H7299" i="28"/>
  <c r="H7262" i="28"/>
  <c r="H9287" i="28"/>
  <c r="H8810" i="28"/>
  <c r="H8631" i="28"/>
  <c r="H8466" i="28"/>
  <c r="H8306" i="28"/>
  <c r="H8197" i="28"/>
  <c r="H8101" i="28"/>
  <c r="H8002" i="28"/>
  <c r="H7902" i="28"/>
  <c r="H7834" i="28"/>
  <c r="H7773" i="28"/>
  <c r="H7711" i="28"/>
  <c r="H7642" i="28"/>
  <c r="H7581" i="28"/>
  <c r="H7519" i="28"/>
  <c r="H7458" i="28"/>
  <c r="H7397" i="28"/>
  <c r="H7338" i="28"/>
  <c r="H7294" i="28"/>
  <c r="H9081" i="28"/>
  <c r="H8805" i="28"/>
  <c r="H8626" i="28"/>
  <c r="H8462" i="28"/>
  <c r="H8285" i="28"/>
  <c r="H8183" i="28"/>
  <c r="H8087" i="28"/>
  <c r="H7989" i="28"/>
  <c r="H7891" i="28"/>
  <c r="H7827" i="28"/>
  <c r="H7765" i="28"/>
  <c r="H7693" i="28"/>
  <c r="H7631" i="28"/>
  <c r="H7571" i="28"/>
  <c r="H7509" i="28"/>
  <c r="H7447" i="28"/>
  <c r="H7386" i="28"/>
  <c r="H7331" i="28"/>
  <c r="H7286" i="28"/>
  <c r="H7250" i="28"/>
  <c r="H7213" i="28"/>
  <c r="H7177" i="28"/>
  <c r="H7141" i="28"/>
  <c r="H7114" i="28"/>
  <c r="H7090" i="28"/>
  <c r="H7063" i="28"/>
  <c r="H7039" i="28"/>
  <c r="H7016" i="28"/>
  <c r="H7000" i="28"/>
  <c r="H6986" i="28"/>
  <c r="H6971" i="28"/>
  <c r="H6956" i="28"/>
  <c r="H6940" i="28"/>
  <c r="H6927" i="28"/>
  <c r="H6912" i="28"/>
  <c r="H6898" i="28"/>
  <c r="H6883" i="28"/>
  <c r="H6868" i="28"/>
  <c r="H6855" i="28"/>
  <c r="H6839" i="28"/>
  <c r="H6824" i="28"/>
  <c r="H6810" i="28"/>
  <c r="H6795" i="28"/>
  <c r="H6780" i="28"/>
  <c r="H6767" i="28"/>
  <c r="H6752" i="28"/>
  <c r="H6736" i="28"/>
  <c r="H6722" i="28"/>
  <c r="H6707" i="28"/>
  <c r="H6692" i="28"/>
  <c r="H6679" i="28"/>
  <c r="H6664" i="28"/>
  <c r="H6650" i="28"/>
  <c r="H6634" i="28"/>
  <c r="H6619" i="28"/>
  <c r="H6604" i="28"/>
  <c r="H6591" i="28"/>
  <c r="H6576" i="28"/>
  <c r="H6562" i="28"/>
  <c r="H6547" i="28"/>
  <c r="H6531" i="28"/>
  <c r="H6516" i="28"/>
  <c r="H6503" i="28"/>
  <c r="H6488" i="28"/>
  <c r="H6474" i="28"/>
  <c r="H6459" i="28"/>
  <c r="H6444" i="28"/>
  <c r="H6428" i="28"/>
  <c r="H6415" i="28"/>
  <c r="H6400" i="28"/>
  <c r="H6386" i="28"/>
  <c r="H6371" i="28"/>
  <c r="H6356" i="28"/>
  <c r="H6344" i="28"/>
  <c r="H6331" i="28"/>
  <c r="H6323" i="28"/>
  <c r="H6315" i="28"/>
  <c r="H6307" i="28"/>
  <c r="H6299" i="28"/>
  <c r="H6291" i="28"/>
  <c r="H6283" i="28"/>
  <c r="H6275" i="28"/>
  <c r="H6267" i="28"/>
  <c r="H6259" i="28"/>
  <c r="H6251" i="28"/>
  <c r="H6243" i="28"/>
  <c r="H6235" i="28"/>
  <c r="H6227" i="28"/>
  <c r="H6219" i="28"/>
  <c r="H6211" i="28"/>
  <c r="H6203" i="28"/>
  <c r="H6195" i="28"/>
  <c r="H6187" i="28"/>
  <c r="H6179" i="28"/>
  <c r="H6171" i="28"/>
  <c r="H6163" i="28"/>
  <c r="H6155" i="28"/>
  <c r="H6147" i="28"/>
  <c r="H6139" i="28"/>
  <c r="H6131" i="28"/>
  <c r="H6123" i="28"/>
  <c r="H6115" i="28"/>
  <c r="H6107" i="28"/>
  <c r="H6099" i="28"/>
  <c r="H6091" i="28"/>
  <c r="H6083" i="28"/>
  <c r="H6075" i="28"/>
  <c r="H6067" i="28"/>
  <c r="H6059" i="28"/>
  <c r="H6051" i="28"/>
  <c r="H6043" i="28"/>
  <c r="H6035" i="28"/>
  <c r="H6027" i="28"/>
  <c r="H6019" i="28"/>
  <c r="H6011" i="28"/>
  <c r="H6003" i="28"/>
  <c r="H5995" i="28"/>
  <c r="H5987" i="28"/>
  <c r="H5979" i="28"/>
  <c r="H5971" i="28"/>
  <c r="H5963" i="28"/>
  <c r="H5955" i="28"/>
  <c r="H5947" i="28"/>
  <c r="H5939" i="28"/>
  <c r="H5931" i="28"/>
  <c r="H5923" i="28"/>
  <c r="H5915" i="28"/>
  <c r="H5907" i="28"/>
  <c r="H5899" i="28"/>
  <c r="H5891" i="28"/>
  <c r="H5883" i="28"/>
  <c r="H5875" i="28"/>
  <c r="H5867" i="28"/>
  <c r="H5859" i="28"/>
  <c r="H5851" i="28"/>
  <c r="H5843" i="28"/>
  <c r="H5835" i="28"/>
  <c r="H5827" i="28"/>
  <c r="H5819" i="28"/>
  <c r="H5811" i="28"/>
  <c r="H5803" i="28"/>
  <c r="H5795" i="28"/>
  <c r="H5787" i="28"/>
  <c r="H5779" i="28"/>
  <c r="H5771" i="28"/>
  <c r="H5763" i="28"/>
  <c r="H5755" i="28"/>
  <c r="H5747" i="28"/>
  <c r="H5739" i="28"/>
  <c r="H5731" i="28"/>
  <c r="H5723" i="28"/>
  <c r="H5715" i="28"/>
  <c r="H5707" i="28"/>
  <c r="H5699" i="28"/>
  <c r="H5691" i="28"/>
  <c r="H5683" i="28"/>
  <c r="H5675" i="28"/>
  <c r="H5667" i="28"/>
  <c r="H5659" i="28"/>
  <c r="H5651" i="28"/>
  <c r="H5643" i="28"/>
  <c r="H5635" i="28"/>
  <c r="H5627" i="28"/>
  <c r="H5619" i="28"/>
  <c r="H5611" i="28"/>
  <c r="H5603" i="28"/>
  <c r="H5595" i="28"/>
  <c r="H5587" i="28"/>
  <c r="H5579" i="28"/>
  <c r="H5571" i="28"/>
  <c r="H5563" i="28"/>
  <c r="H5555" i="28"/>
  <c r="H5547" i="28"/>
  <c r="H5539" i="28"/>
  <c r="H9026" i="28"/>
  <c r="H8781" i="28"/>
  <c r="H8603" i="28"/>
  <c r="H8414" i="28"/>
  <c r="H8267" i="28"/>
  <c r="H8170" i="28"/>
  <c r="H8069" i="28"/>
  <c r="H7973" i="28"/>
  <c r="H7879" i="28"/>
  <c r="H7815" i="28"/>
  <c r="H7751" i="28"/>
  <c r="H7691" i="28"/>
  <c r="H7629" i="28"/>
  <c r="H7567" i="28"/>
  <c r="H7507" i="28"/>
  <c r="H7445" i="28"/>
  <c r="H7383" i="28"/>
  <c r="H7323" i="28"/>
  <c r="H7282" i="28"/>
  <c r="H8982" i="28"/>
  <c r="H8748" i="28"/>
  <c r="H8567" i="28"/>
  <c r="H8407" i="28"/>
  <c r="H8266" i="28"/>
  <c r="H8165" i="28"/>
  <c r="H8067" i="28"/>
  <c r="H7966" i="28"/>
  <c r="H7875" i="28"/>
  <c r="H7806" i="28"/>
  <c r="H7743" i="28"/>
  <c r="H7683" i="28"/>
  <c r="H7622" i="28"/>
  <c r="H7559" i="28"/>
  <c r="H7499" i="28"/>
  <c r="H7437" i="28"/>
  <c r="H7366" i="28"/>
  <c r="H7317" i="28"/>
  <c r="H7275" i="28"/>
  <c r="H7239" i="28"/>
  <c r="H7202" i="28"/>
  <c r="H7166" i="28"/>
  <c r="H7132" i="28"/>
  <c r="H7106" i="28"/>
  <c r="H7082" i="28"/>
  <c r="H7058" i="28"/>
  <c r="H7034" i="28"/>
  <c r="H7011" i="28"/>
  <c r="H6996" i="28"/>
  <c r="H6983" i="28"/>
  <c r="H6967" i="28"/>
  <c r="H6952" i="28"/>
  <c r="H6938" i="28"/>
  <c r="H6923" i="28"/>
  <c r="H6908" i="28"/>
  <c r="H6895" i="28"/>
  <c r="H6880" i="28"/>
  <c r="H6864" i="28"/>
  <c r="H6850" i="28"/>
  <c r="H6835" i="28"/>
  <c r="H6820" i="28"/>
  <c r="H6807" i="28"/>
  <c r="H6792" i="28"/>
  <c r="H6778" i="28"/>
  <c r="H6762" i="28"/>
  <c r="H6747" i="28"/>
  <c r="H6732" i="28"/>
  <c r="H6719" i="28"/>
  <c r="H6704" i="28"/>
  <c r="H6690" i="28"/>
  <c r="H6675" i="28"/>
  <c r="H6659" i="28"/>
  <c r="H6644" i="28"/>
  <c r="H6631" i="28"/>
  <c r="H6616" i="28"/>
  <c r="H6602" i="28"/>
  <c r="H6587" i="28"/>
  <c r="H6572" i="28"/>
  <c r="H6556" i="28"/>
  <c r="H6543" i="28"/>
  <c r="H6528" i="28"/>
  <c r="H6514" i="28"/>
  <c r="H6499" i="28"/>
  <c r="H6484" i="28"/>
  <c r="H6471" i="28"/>
  <c r="H6455" i="28"/>
  <c r="H6440" i="28"/>
  <c r="H6426" i="28"/>
  <c r="H6411" i="28"/>
  <c r="H6396" i="28"/>
  <c r="H6383" i="28"/>
  <c r="H6368" i="28"/>
  <c r="H6352" i="28"/>
  <c r="H6340" i="28"/>
  <c r="H6329" i="28"/>
  <c r="H6321" i="28"/>
  <c r="H6313" i="28"/>
  <c r="H6305" i="28"/>
  <c r="H6297" i="28"/>
  <c r="H6289" i="28"/>
  <c r="H6281" i="28"/>
  <c r="H6273" i="28"/>
  <c r="H6265" i="28"/>
  <c r="H6257" i="28"/>
  <c r="H6249" i="28"/>
  <c r="H6241" i="28"/>
  <c r="H6233" i="28"/>
  <c r="H6225" i="28"/>
  <c r="H6217" i="28"/>
  <c r="H6209" i="28"/>
  <c r="H6201" i="28"/>
  <c r="H6193" i="28"/>
  <c r="H6185" i="28"/>
  <c r="H6177" i="28"/>
  <c r="H6169" i="28"/>
  <c r="H6161" i="28"/>
  <c r="H6153" i="28"/>
  <c r="H6145" i="28"/>
  <c r="H6137" i="28"/>
  <c r="H6129" i="28"/>
  <c r="H6121" i="28"/>
  <c r="H6113" i="28"/>
  <c r="H6105" i="28"/>
  <c r="H6097" i="28"/>
  <c r="H6089" i="28"/>
  <c r="H6081" i="28"/>
  <c r="H6073" i="28"/>
  <c r="H6065" i="28"/>
  <c r="H6057" i="28"/>
  <c r="H6049" i="28"/>
  <c r="H6041" i="28"/>
  <c r="H6033" i="28"/>
  <c r="H6025" i="28"/>
  <c r="H6017" i="28"/>
  <c r="H6009" i="28"/>
  <c r="H6001" i="28"/>
  <c r="H5993" i="28"/>
  <c r="H5985" i="28"/>
  <c r="H5977" i="28"/>
  <c r="H5969" i="28"/>
  <c r="H5961" i="28"/>
  <c r="H5953" i="28"/>
  <c r="H5945" i="28"/>
  <c r="H5937" i="28"/>
  <c r="H5929" i="28"/>
  <c r="H5921" i="28"/>
  <c r="H5913" i="28"/>
  <c r="H5905" i="28"/>
  <c r="H5897" i="28"/>
  <c r="H5889" i="28"/>
  <c r="H5881" i="28"/>
  <c r="H5873" i="28"/>
  <c r="H5865" i="28"/>
  <c r="H5857" i="28"/>
  <c r="H5849" i="28"/>
  <c r="H5841" i="28"/>
  <c r="H5833" i="28"/>
  <c r="H5825" i="28"/>
  <c r="H5817" i="28"/>
  <c r="H5809" i="28"/>
  <c r="H5801" i="28"/>
  <c r="H5793" i="28"/>
  <c r="H5785" i="28"/>
  <c r="H5777" i="28"/>
  <c r="H5769" i="28"/>
  <c r="H5761" i="28"/>
  <c r="H5753" i="28"/>
  <c r="H5745" i="28"/>
  <c r="H5737" i="28"/>
  <c r="H5729" i="28"/>
  <c r="H5721" i="28"/>
  <c r="H5713" i="28"/>
  <c r="H5705" i="28"/>
  <c r="H5697" i="28"/>
  <c r="H5689" i="28"/>
  <c r="H5681" i="28"/>
  <c r="H5673" i="28"/>
  <c r="H5665" i="28"/>
  <c r="H5657" i="28"/>
  <c r="H5649" i="28"/>
  <c r="H5641" i="28"/>
  <c r="H5633" i="28"/>
  <c r="H5625" i="28"/>
  <c r="H5617" i="28"/>
  <c r="H5609" i="28"/>
  <c r="H5601" i="28"/>
  <c r="H5593" i="28"/>
  <c r="H5585" i="28"/>
  <c r="H5577" i="28"/>
  <c r="H5569" i="28"/>
  <c r="H8967" i="28"/>
  <c r="H8718" i="28"/>
  <c r="H8551" i="28"/>
  <c r="H8386" i="28"/>
  <c r="H8253" i="28"/>
  <c r="H8151" i="28"/>
  <c r="H8054" i="28"/>
  <c r="H7958" i="28"/>
  <c r="H7858" i="28"/>
  <c r="H7795" i="28"/>
  <c r="H7734" i="28"/>
  <c r="H7674" i="28"/>
  <c r="H7611" i="28"/>
  <c r="H7550" i="28"/>
  <c r="H7487" i="28"/>
  <c r="H7423" i="28"/>
  <c r="H7363" i="28"/>
  <c r="H7315" i="28"/>
  <c r="H7274" i="28"/>
  <c r="H7238" i="28"/>
  <c r="H8879" i="28"/>
  <c r="H8679" i="28"/>
  <c r="H8517" i="28"/>
  <c r="H8350" i="28"/>
  <c r="H8231" i="28"/>
  <c r="H8131" i="28"/>
  <c r="H8022" i="28"/>
  <c r="H7925" i="28"/>
  <c r="H7846" i="28"/>
  <c r="H7786" i="28"/>
  <c r="H7725" i="28"/>
  <c r="H7662" i="28"/>
  <c r="H7602" i="28"/>
  <c r="H7530" i="28"/>
  <c r="H7469" i="28"/>
  <c r="H7406" i="28"/>
  <c r="H7347" i="28"/>
  <c r="H7302" i="28"/>
  <c r="H7263" i="28"/>
  <c r="H7227" i="28"/>
  <c r="H7189" i="28"/>
  <c r="H7153" i="28"/>
  <c r="H7122" i="28"/>
  <c r="H7098" i="28"/>
  <c r="H7074" i="28"/>
  <c r="H7050" i="28"/>
  <c r="H7026" i="28"/>
  <c r="H7004" i="28"/>
  <c r="H6991" i="28"/>
  <c r="H6976" i="28"/>
  <c r="H6962" i="28"/>
  <c r="H6947" i="28"/>
  <c r="H6932" i="28"/>
  <c r="H6919" i="28"/>
  <c r="H6903" i="28"/>
  <c r="H6888" i="28"/>
  <c r="H6874" i="28"/>
  <c r="H6859" i="28"/>
  <c r="H6844" i="28"/>
  <c r="H6831" i="28"/>
  <c r="H6816" i="28"/>
  <c r="H6800" i="28"/>
  <c r="H6786" i="28"/>
  <c r="H6771" i="28"/>
  <c r="H6756" i="28"/>
  <c r="H6743" i="28"/>
  <c r="H6728" i="28"/>
  <c r="H6714" i="28"/>
  <c r="H6698" i="28"/>
  <c r="H6683" i="28"/>
  <c r="H6668" i="28"/>
  <c r="H6655" i="28"/>
  <c r="H6640" i="28"/>
  <c r="H6626" i="28"/>
  <c r="H6611" i="28"/>
  <c r="H6595" i="28"/>
  <c r="H6580" i="28"/>
  <c r="H6567" i="28"/>
  <c r="H6552" i="28"/>
  <c r="H6538" i="28"/>
  <c r="H6523" i="28"/>
  <c r="H6508" i="28"/>
  <c r="H6492" i="28"/>
  <c r="H6479" i="28"/>
  <c r="H6464" i="28"/>
  <c r="H6450" i="28"/>
  <c r="H6435" i="28"/>
  <c r="H6420" i="28"/>
  <c r="H6407" i="28"/>
  <c r="H6391" i="28"/>
  <c r="H6376" i="28"/>
  <c r="H6362" i="28"/>
  <c r="H6348" i="28"/>
  <c r="H6336" i="28"/>
  <c r="H6326" i="28"/>
  <c r="H6318" i="28"/>
  <c r="H6310" i="28"/>
  <c r="H6302" i="28"/>
  <c r="H6294" i="28"/>
  <c r="H6286" i="28"/>
  <c r="H6278" i="28"/>
  <c r="H6270" i="28"/>
  <c r="H6262" i="28"/>
  <c r="H6254" i="28"/>
  <c r="H6246" i="28"/>
  <c r="H6238" i="28"/>
  <c r="H6230" i="28"/>
  <c r="H6222" i="28"/>
  <c r="H6214" i="28"/>
  <c r="H6206" i="28"/>
  <c r="H6198" i="28"/>
  <c r="H6190" i="28"/>
  <c r="H6182" i="28"/>
  <c r="H6174" i="28"/>
  <c r="H6166" i="28"/>
  <c r="H6158" i="28"/>
  <c r="H6150" i="28"/>
  <c r="H6142" i="28"/>
  <c r="H6134" i="28"/>
  <c r="H6126" i="28"/>
  <c r="H6118" i="28"/>
  <c r="H6110" i="28"/>
  <c r="H6102" i="28"/>
  <c r="H6094" i="28"/>
  <c r="H6086" i="28"/>
  <c r="H6078" i="28"/>
  <c r="H6070" i="28"/>
  <c r="H6062" i="28"/>
  <c r="H6054" i="28"/>
  <c r="H6046" i="28"/>
  <c r="H6038" i="28"/>
  <c r="H6030" i="28"/>
  <c r="H6022" i="28"/>
  <c r="H6014" i="28"/>
  <c r="H6006" i="28"/>
  <c r="H5998" i="28"/>
  <c r="H5990" i="28"/>
  <c r="H5982" i="28"/>
  <c r="H5974" i="28"/>
  <c r="H5966" i="28"/>
  <c r="H5958" i="28"/>
  <c r="H5950" i="28"/>
  <c r="H5942" i="28"/>
  <c r="H5934" i="28"/>
  <c r="H5926" i="28"/>
  <c r="H5918" i="28"/>
  <c r="H5910" i="28"/>
  <c r="H5902" i="28"/>
  <c r="H5894" i="28"/>
  <c r="H5886" i="28"/>
  <c r="H5878" i="28"/>
  <c r="H5870" i="28"/>
  <c r="H5862" i="28"/>
  <c r="H5854" i="28"/>
  <c r="H5846" i="28"/>
  <c r="H5838" i="28"/>
  <c r="H5830" i="28"/>
  <c r="H5822" i="28"/>
  <c r="H5814" i="28"/>
  <c r="H5806" i="28"/>
  <c r="H5798" i="28"/>
  <c r="H5790" i="28"/>
  <c r="H5782" i="28"/>
  <c r="H5774" i="28"/>
  <c r="H5766" i="28"/>
  <c r="H5758" i="28"/>
  <c r="H5750" i="28"/>
  <c r="H5742" i="28"/>
  <c r="H5734" i="28"/>
  <c r="H5726" i="28"/>
  <c r="H5718" i="28"/>
  <c r="H5710" i="28"/>
  <c r="H5702" i="28"/>
  <c r="H5694" i="28"/>
  <c r="H5686" i="28"/>
  <c r="H5678" i="28"/>
  <c r="H5670" i="28"/>
  <c r="H5662" i="28"/>
  <c r="H5654" i="28"/>
  <c r="H5646" i="28"/>
  <c r="H5638" i="28"/>
  <c r="H5630" i="28"/>
  <c r="H5622" i="28"/>
  <c r="H5614" i="28"/>
  <c r="H5606" i="28"/>
  <c r="H5598" i="28"/>
  <c r="H5590" i="28"/>
  <c r="H5582" i="28"/>
  <c r="H5574" i="28"/>
  <c r="H5566" i="28"/>
  <c r="H5558" i="28"/>
  <c r="H8891" i="28"/>
  <c r="H7854" i="28"/>
  <c r="H7355" i="28"/>
  <c r="H8690" i="28"/>
  <c r="H7794" i="28"/>
  <c r="H7309" i="28"/>
  <c r="H7201" i="28"/>
  <c r="H7142" i="28"/>
  <c r="H7099" i="28"/>
  <c r="H7059" i="28"/>
  <c r="H7019" i="28"/>
  <c r="H6995" i="28"/>
  <c r="H6972" i="28"/>
  <c r="H6948" i="28"/>
  <c r="H6924" i="28"/>
  <c r="H6900" i="28"/>
  <c r="H6876" i="28"/>
  <c r="H6856" i="28"/>
  <c r="H6832" i="28"/>
  <c r="H6808" i="28"/>
  <c r="H6784" i="28"/>
  <c r="H6760" i="28"/>
  <c r="H6739" i="28"/>
  <c r="H6715" i="28"/>
  <c r="H6691" i="28"/>
  <c r="H6667" i="28"/>
  <c r="H6643" i="28"/>
  <c r="H6620" i="28"/>
  <c r="H6599" i="28"/>
  <c r="H6575" i="28"/>
  <c r="H6551" i="28"/>
  <c r="H6527" i="28"/>
  <c r="H6504" i="28"/>
  <c r="H6480" i="28"/>
  <c r="H6458" i="28"/>
  <c r="H6434" i="28"/>
  <c r="H6410" i="28"/>
  <c r="H6387" i="28"/>
  <c r="H6363" i="28"/>
  <c r="H6342" i="28"/>
  <c r="H6325" i="28"/>
  <c r="H6312" i="28"/>
  <c r="H6300" i="28"/>
  <c r="H6287" i="28"/>
  <c r="H6274" i="28"/>
  <c r="H6261" i="28"/>
  <c r="H6248" i="28"/>
  <c r="H6236" i="28"/>
  <c r="H6223" i="28"/>
  <c r="H6210" i="28"/>
  <c r="H6197" i="28"/>
  <c r="H6184" i="28"/>
  <c r="H6172" i="28"/>
  <c r="H6159" i="28"/>
  <c r="H6146" i="28"/>
  <c r="H6133" i="28"/>
  <c r="H6120" i="28"/>
  <c r="H6108" i="28"/>
  <c r="H6095" i="28"/>
  <c r="H6082" i="28"/>
  <c r="H6069" i="28"/>
  <c r="H6056" i="28"/>
  <c r="H6044" i="28"/>
  <c r="H6031" i="28"/>
  <c r="H6018" i="28"/>
  <c r="H6005" i="28"/>
  <c r="H5992" i="28"/>
  <c r="H5980" i="28"/>
  <c r="H5967" i="28"/>
  <c r="H5954" i="28"/>
  <c r="H5941" i="28"/>
  <c r="H5928" i="28"/>
  <c r="H5916" i="28"/>
  <c r="H5903" i="28"/>
  <c r="H5890" i="28"/>
  <c r="H5877" i="28"/>
  <c r="H5864" i="28"/>
  <c r="H5852" i="28"/>
  <c r="H5839" i="28"/>
  <c r="H5826" i="28"/>
  <c r="H5813" i="28"/>
  <c r="H5800" i="28"/>
  <c r="H5788" i="28"/>
  <c r="H5775" i="28"/>
  <c r="H5762" i="28"/>
  <c r="H5749" i="28"/>
  <c r="H5736" i="28"/>
  <c r="H5724" i="28"/>
  <c r="H8523" i="28"/>
  <c r="H7731" i="28"/>
  <c r="H7270" i="28"/>
  <c r="H7197" i="28"/>
  <c r="H7136" i="28"/>
  <c r="H7095" i="28"/>
  <c r="H7055" i="28"/>
  <c r="H7018" i="28"/>
  <c r="H6992" i="28"/>
  <c r="H6970" i="28"/>
  <c r="H6946" i="28"/>
  <c r="H6922" i="28"/>
  <c r="H6899" i="28"/>
  <c r="H6875" i="28"/>
  <c r="H6851" i="28"/>
  <c r="H6828" i="28"/>
  <c r="H6804" i="28"/>
  <c r="H6783" i="28"/>
  <c r="H6759" i="28"/>
  <c r="H6735" i="28"/>
  <c r="H6711" i="28"/>
  <c r="H6688" i="28"/>
  <c r="H6666" i="28"/>
  <c r="H6642" i="28"/>
  <c r="H6618" i="28"/>
  <c r="H6594" i="28"/>
  <c r="H6570" i="28"/>
  <c r="H6548" i="28"/>
  <c r="H6524" i="28"/>
  <c r="H6500" i="28"/>
  <c r="H6476" i="28"/>
  <c r="H6452" i="28"/>
  <c r="H6432" i="28"/>
  <c r="H6408" i="28"/>
  <c r="H6384" i="28"/>
  <c r="H6360" i="28"/>
  <c r="H6339" i="28"/>
  <c r="H6324" i="28"/>
  <c r="H6311" i="28"/>
  <c r="H6298" i="28"/>
  <c r="H6285" i="28"/>
  <c r="H6272" i="28"/>
  <c r="H6260" i="28"/>
  <c r="H6247" i="28"/>
  <c r="H6234" i="28"/>
  <c r="H6221" i="28"/>
  <c r="H6208" i="28"/>
  <c r="H6196" i="28"/>
  <c r="H6183" i="28"/>
  <c r="H6170" i="28"/>
  <c r="H6157" i="28"/>
  <c r="H6144" i="28"/>
  <c r="H6132" i="28"/>
  <c r="H6119" i="28"/>
  <c r="H6106" i="28"/>
  <c r="H6093" i="28"/>
  <c r="H6080" i="28"/>
  <c r="H6068" i="28"/>
  <c r="H6055" i="28"/>
  <c r="H6042" i="28"/>
  <c r="H6029" i="28"/>
  <c r="H6016" i="28"/>
  <c r="H6004" i="28"/>
  <c r="H5991" i="28"/>
  <c r="H5978" i="28"/>
  <c r="H5965" i="28"/>
  <c r="H5952" i="28"/>
  <c r="H5940" i="28"/>
  <c r="H5927" i="28"/>
  <c r="H5914" i="28"/>
  <c r="H5901" i="28"/>
  <c r="H5888" i="28"/>
  <c r="H5876" i="28"/>
  <c r="H5863" i="28"/>
  <c r="H5850" i="28"/>
  <c r="H5837" i="28"/>
  <c r="H5824" i="28"/>
  <c r="H5812" i="28"/>
  <c r="H5799" i="28"/>
  <c r="H5786" i="28"/>
  <c r="H5773" i="28"/>
  <c r="H5760" i="28"/>
  <c r="H5748" i="28"/>
  <c r="H5735" i="28"/>
  <c r="H5722" i="28"/>
  <c r="H5709" i="28"/>
  <c r="H5696" i="28"/>
  <c r="H5684" i="28"/>
  <c r="H5671" i="28"/>
  <c r="H5658" i="28"/>
  <c r="H5645" i="28"/>
  <c r="H5632" i="28"/>
  <c r="H5620" i="28"/>
  <c r="H5607" i="28"/>
  <c r="H5594" i="28"/>
  <c r="H5581" i="28"/>
  <c r="H5568" i="28"/>
  <c r="H5557" i="28"/>
  <c r="H5548" i="28"/>
  <c r="H5538" i="28"/>
  <c r="H5530" i="28"/>
  <c r="H5522" i="28"/>
  <c r="H5514" i="28"/>
  <c r="H5506" i="28"/>
  <c r="H5498" i="28"/>
  <c r="H5490" i="28"/>
  <c r="H5482" i="28"/>
  <c r="H5474" i="28"/>
  <c r="H5466" i="28"/>
  <c r="H5458" i="28"/>
  <c r="H5450" i="28"/>
  <c r="H5442" i="28"/>
  <c r="H5434" i="28"/>
  <c r="H5426" i="28"/>
  <c r="H5418" i="28"/>
  <c r="H5410" i="28"/>
  <c r="H5402" i="28"/>
  <c r="H5394" i="28"/>
  <c r="H5386" i="28"/>
  <c r="H5378" i="28"/>
  <c r="H5370" i="28"/>
  <c r="H5362" i="28"/>
  <c r="H5354" i="28"/>
  <c r="H5346" i="28"/>
  <c r="H5338" i="28"/>
  <c r="H5330" i="28"/>
  <c r="H5322" i="28"/>
  <c r="H5314" i="28"/>
  <c r="H5306" i="28"/>
  <c r="H5298" i="28"/>
  <c r="H5290" i="28"/>
  <c r="H5282" i="28"/>
  <c r="H5274" i="28"/>
  <c r="H5266" i="28"/>
  <c r="H5258" i="28"/>
  <c r="H5250" i="28"/>
  <c r="H5242" i="28"/>
  <c r="H5234" i="28"/>
  <c r="H5226" i="28"/>
  <c r="H5218" i="28"/>
  <c r="H5210" i="28"/>
  <c r="H5202" i="28"/>
  <c r="H5194" i="28"/>
  <c r="H5186" i="28"/>
  <c r="H8359" i="28"/>
  <c r="H7670" i="28"/>
  <c r="H7251" i="28"/>
  <c r="H7185" i="28"/>
  <c r="H7127" i="28"/>
  <c r="H7091" i="28"/>
  <c r="H7051" i="28"/>
  <c r="H7015" i="28"/>
  <c r="H6988" i="28"/>
  <c r="H6964" i="28"/>
  <c r="H6944" i="28"/>
  <c r="H6920" i="28"/>
  <c r="H6896" i="28"/>
  <c r="H6872" i="28"/>
  <c r="H6848" i="28"/>
  <c r="H6826" i="28"/>
  <c r="H6803" i="28"/>
  <c r="H6779" i="28"/>
  <c r="H6755" i="28"/>
  <c r="H6731" i="28"/>
  <c r="H6708" i="28"/>
  <c r="H6684" i="28"/>
  <c r="H6663" i="28"/>
  <c r="H6639" i="28"/>
  <c r="H6615" i="28"/>
  <c r="H6592" i="28"/>
  <c r="H6568" i="28"/>
  <c r="H6544" i="28"/>
  <c r="H6522" i="28"/>
  <c r="H6498" i="28"/>
  <c r="H6475" i="28"/>
  <c r="H6451" i="28"/>
  <c r="H6427" i="28"/>
  <c r="H6403" i="28"/>
  <c r="H6380" i="28"/>
  <c r="H6359" i="28"/>
  <c r="H6338" i="28"/>
  <c r="H6322" i="28"/>
  <c r="H6309" i="28"/>
  <c r="H6296" i="28"/>
  <c r="H6284" i="28"/>
  <c r="H6271" i="28"/>
  <c r="H6258" i="28"/>
  <c r="H6245" i="28"/>
  <c r="H6232" i="28"/>
  <c r="H6220" i="28"/>
  <c r="H6207" i="28"/>
  <c r="H6194" i="28"/>
  <c r="H6181" i="28"/>
  <c r="H6168" i="28"/>
  <c r="H6156" i="28"/>
  <c r="H6143" i="28"/>
  <c r="H6130" i="28"/>
  <c r="H6117" i="28"/>
  <c r="H6104" i="28"/>
  <c r="H6092" i="28"/>
  <c r="H6079" i="28"/>
  <c r="H6066" i="28"/>
  <c r="H6053" i="28"/>
  <c r="H6040" i="28"/>
  <c r="H6028" i="28"/>
  <c r="H6015" i="28"/>
  <c r="H6002" i="28"/>
  <c r="H5989" i="28"/>
  <c r="H5976" i="28"/>
  <c r="H5964" i="28"/>
  <c r="H5951" i="28"/>
  <c r="H5938" i="28"/>
  <c r="H5925" i="28"/>
  <c r="H5912" i="28"/>
  <c r="H5900" i="28"/>
  <c r="H5887" i="28"/>
  <c r="H5874" i="28"/>
  <c r="H5861" i="28"/>
  <c r="H5848" i="28"/>
  <c r="H5836" i="28"/>
  <c r="H5823" i="28"/>
  <c r="H5810" i="28"/>
  <c r="H5797" i="28"/>
  <c r="H5784" i="28"/>
  <c r="H5772" i="28"/>
  <c r="H5759" i="28"/>
  <c r="H5746" i="28"/>
  <c r="H5733" i="28"/>
  <c r="H5720" i="28"/>
  <c r="H5708" i="28"/>
  <c r="H8234" i="28"/>
  <c r="H7610" i="28"/>
  <c r="H7245" i="28"/>
  <c r="H7178" i="28"/>
  <c r="H7123" i="28"/>
  <c r="H7083" i="28"/>
  <c r="H7047" i="28"/>
  <c r="H7010" i="28"/>
  <c r="H6987" i="28"/>
  <c r="H6963" i="28"/>
  <c r="H6939" i="28"/>
  <c r="H6915" i="28"/>
  <c r="H6892" i="28"/>
  <c r="H6871" i="28"/>
  <c r="H6847" i="28"/>
  <c r="H6823" i="28"/>
  <c r="H6799" i="28"/>
  <c r="H6775" i="28"/>
  <c r="H6754" i="28"/>
  <c r="H6730" i="28"/>
  <c r="H6706" i="28"/>
  <c r="H6682" i="28"/>
  <c r="H6658" i="28"/>
  <c r="H6636" i="28"/>
  <c r="H6612" i="28"/>
  <c r="H6588" i="28"/>
  <c r="H6564" i="28"/>
  <c r="H6540" i="28"/>
  <c r="H6519" i="28"/>
  <c r="H6496" i="28"/>
  <c r="H6472" i="28"/>
  <c r="H6448" i="28"/>
  <c r="H6424" i="28"/>
  <c r="H6402" i="28"/>
  <c r="H6378" i="28"/>
  <c r="H6355" i="28"/>
  <c r="H6335" i="28"/>
  <c r="H6320" i="28"/>
  <c r="H6308" i="28"/>
  <c r="H6295" i="28"/>
  <c r="H6282" i="28"/>
  <c r="H6269" i="28"/>
  <c r="H6256" i="28"/>
  <c r="H6244" i="28"/>
  <c r="H6231" i="28"/>
  <c r="H6218" i="28"/>
  <c r="H6205" i="28"/>
  <c r="H6192" i="28"/>
  <c r="H6180" i="28"/>
  <c r="H6167" i="28"/>
  <c r="H6154" i="28"/>
  <c r="H6141" i="28"/>
  <c r="H6128" i="28"/>
  <c r="H6116" i="28"/>
  <c r="H6103" i="28"/>
  <c r="H6090" i="28"/>
  <c r="H6077" i="28"/>
  <c r="H6064" i="28"/>
  <c r="H6052" i="28"/>
  <c r="H6039" i="28"/>
  <c r="H6026" i="28"/>
  <c r="H6013" i="28"/>
  <c r="H6000" i="28"/>
  <c r="H5988" i="28"/>
  <c r="H5975" i="28"/>
  <c r="H5962" i="28"/>
  <c r="H5949" i="28"/>
  <c r="H5936" i="28"/>
  <c r="H5924" i="28"/>
  <c r="H5911" i="28"/>
  <c r="H5898" i="28"/>
  <c r="H5885" i="28"/>
  <c r="H5872" i="28"/>
  <c r="H5860" i="28"/>
  <c r="H5847" i="28"/>
  <c r="H5834" i="28"/>
  <c r="H5821" i="28"/>
  <c r="H5808" i="28"/>
  <c r="H5796" i="28"/>
  <c r="H5783" i="28"/>
  <c r="H5770" i="28"/>
  <c r="H5757" i="28"/>
  <c r="H5744" i="28"/>
  <c r="H5732" i="28"/>
  <c r="H5719" i="28"/>
  <c r="H5706" i="28"/>
  <c r="H5693" i="28"/>
  <c r="H5680" i="28"/>
  <c r="H5668" i="28"/>
  <c r="H5655" i="28"/>
  <c r="H5642" i="28"/>
  <c r="H5629" i="28"/>
  <c r="H5616" i="28"/>
  <c r="H5604" i="28"/>
  <c r="H5591" i="28"/>
  <c r="H5578" i="28"/>
  <c r="H5565" i="28"/>
  <c r="H5554" i="28"/>
  <c r="H5545" i="28"/>
  <c r="H5536" i="28"/>
  <c r="H5528" i="28"/>
  <c r="H5520" i="28"/>
  <c r="H5512" i="28"/>
  <c r="H5504" i="28"/>
  <c r="H5496" i="28"/>
  <c r="H5488" i="28"/>
  <c r="H5480" i="28"/>
  <c r="H5472" i="28"/>
  <c r="H5464" i="28"/>
  <c r="H5456" i="28"/>
  <c r="H5448" i="28"/>
  <c r="H5440" i="28"/>
  <c r="H5432" i="28"/>
  <c r="H5424" i="28"/>
  <c r="H5416" i="28"/>
  <c r="H5408" i="28"/>
  <c r="H5400" i="28"/>
  <c r="H5392" i="28"/>
  <c r="H5384" i="28"/>
  <c r="H5376" i="28"/>
  <c r="H5368" i="28"/>
  <c r="H5360" i="28"/>
  <c r="H5352" i="28"/>
  <c r="H5344" i="28"/>
  <c r="H5336" i="28"/>
  <c r="H5328" i="28"/>
  <c r="H5320" i="28"/>
  <c r="H5312" i="28"/>
  <c r="H5304" i="28"/>
  <c r="H5296" i="28"/>
  <c r="H5288" i="28"/>
  <c r="H5280" i="28"/>
  <c r="H5272" i="28"/>
  <c r="H5264" i="28"/>
  <c r="H5256" i="28"/>
  <c r="H5248" i="28"/>
  <c r="H5240" i="28"/>
  <c r="H5232" i="28"/>
  <c r="H5224" i="28"/>
  <c r="H5216" i="28"/>
  <c r="H5208" i="28"/>
  <c r="H5200" i="28"/>
  <c r="H5192" i="28"/>
  <c r="H8138" i="28"/>
  <c r="H7547" i="28"/>
  <c r="H7233" i="28"/>
  <c r="H7173" i="28"/>
  <c r="H7119" i="28"/>
  <c r="H7079" i="28"/>
  <c r="H7042" i="28"/>
  <c r="H7008" i="28"/>
  <c r="H6984" i="28"/>
  <c r="H6960" i="28"/>
  <c r="H6936" i="28"/>
  <c r="H6914" i="28"/>
  <c r="H6890" i="28"/>
  <c r="H6867" i="28"/>
  <c r="H6843" i="28"/>
  <c r="H6819" i="28"/>
  <c r="H6796" i="28"/>
  <c r="H6772" i="28"/>
  <c r="H6748" i="28"/>
  <c r="H6727" i="28"/>
  <c r="H6703" i="28"/>
  <c r="H6680" i="28"/>
  <c r="H6656" i="28"/>
  <c r="H6632" i="28"/>
  <c r="H6608" i="28"/>
  <c r="H6586" i="28"/>
  <c r="H6563" i="28"/>
  <c r="H6539" i="28"/>
  <c r="H6515" i="28"/>
  <c r="H6491" i="28"/>
  <c r="H6467" i="28"/>
  <c r="H6447" i="28"/>
  <c r="H6423" i="28"/>
  <c r="H6399" i="28"/>
  <c r="H6375" i="28"/>
  <c r="H6351" i="28"/>
  <c r="H6334" i="28"/>
  <c r="H6319" i="28"/>
  <c r="H6306" i="28"/>
  <c r="H6293" i="28"/>
  <c r="H6280" i="28"/>
  <c r="H6268" i="28"/>
  <c r="H6255" i="28"/>
  <c r="H6242" i="28"/>
  <c r="H6229" i="28"/>
  <c r="H6216" i="28"/>
  <c r="H6204" i="28"/>
  <c r="H6191" i="28"/>
  <c r="H6178" i="28"/>
  <c r="H6165" i="28"/>
  <c r="H6152" i="28"/>
  <c r="H6140" i="28"/>
  <c r="H6127" i="28"/>
  <c r="H6114" i="28"/>
  <c r="H6101" i="28"/>
  <c r="H6088" i="28"/>
  <c r="H6076" i="28"/>
  <c r="H6063" i="28"/>
  <c r="H6050" i="28"/>
  <c r="H6037" i="28"/>
  <c r="H6024" i="28"/>
  <c r="H6012" i="28"/>
  <c r="H5999" i="28"/>
  <c r="H5986" i="28"/>
  <c r="H5973" i="28"/>
  <c r="H5960" i="28"/>
  <c r="H5948" i="28"/>
  <c r="H5935" i="28"/>
  <c r="H5922" i="28"/>
  <c r="H5909" i="28"/>
  <c r="H5896" i="28"/>
  <c r="H5884" i="28"/>
  <c r="H5871" i="28"/>
  <c r="H5858" i="28"/>
  <c r="H5845" i="28"/>
  <c r="H5832" i="28"/>
  <c r="H5820" i="28"/>
  <c r="H5807" i="28"/>
  <c r="H5794" i="28"/>
  <c r="H5781" i="28"/>
  <c r="H5768" i="28"/>
  <c r="H5756" i="28"/>
  <c r="H5743" i="28"/>
  <c r="H5730" i="28"/>
  <c r="H5717" i="28"/>
  <c r="H5704" i="28"/>
  <c r="H5692" i="28"/>
  <c r="H5679" i="28"/>
  <c r="H5666" i="28"/>
  <c r="H5653" i="28"/>
  <c r="H5640" i="28"/>
  <c r="H5628" i="28"/>
  <c r="H5615" i="28"/>
  <c r="H5602" i="28"/>
  <c r="H5589" i="28"/>
  <c r="H5576" i="28"/>
  <c r="H5564" i="28"/>
  <c r="H5553" i="28"/>
  <c r="H5544" i="28"/>
  <c r="H5535" i="28"/>
  <c r="H5527" i="28"/>
  <c r="H5519" i="28"/>
  <c r="H5511" i="28"/>
  <c r="H5503" i="28"/>
  <c r="H5495" i="28"/>
  <c r="H5487" i="28"/>
  <c r="H5479" i="28"/>
  <c r="H5471" i="28"/>
  <c r="H5463" i="28"/>
  <c r="H5455" i="28"/>
  <c r="H5447" i="28"/>
  <c r="H5439" i="28"/>
  <c r="H5431" i="28"/>
  <c r="H5423" i="28"/>
  <c r="H5415" i="28"/>
  <c r="H5407" i="28"/>
  <c r="H5399" i="28"/>
  <c r="H5391" i="28"/>
  <c r="H5383" i="28"/>
  <c r="H5375" i="28"/>
  <c r="H5367" i="28"/>
  <c r="H5359" i="28"/>
  <c r="H5351" i="28"/>
  <c r="H5343" i="28"/>
  <c r="H5335" i="28"/>
  <c r="H5327" i="28"/>
  <c r="H5319" i="28"/>
  <c r="H5311" i="28"/>
  <c r="H5303" i="28"/>
  <c r="H5295" i="28"/>
  <c r="H5287" i="28"/>
  <c r="H5279" i="28"/>
  <c r="H5271" i="28"/>
  <c r="H5263" i="28"/>
  <c r="H5255" i="28"/>
  <c r="H7938" i="28"/>
  <c r="H7418" i="28"/>
  <c r="H7215" i="28"/>
  <c r="H7154" i="28"/>
  <c r="H7111" i="28"/>
  <c r="H7071" i="28"/>
  <c r="H7031" i="28"/>
  <c r="H7002" i="28"/>
  <c r="H6978" i="28"/>
  <c r="H6954" i="28"/>
  <c r="H6931" i="28"/>
  <c r="H6907" i="28"/>
  <c r="H6884" i="28"/>
  <c r="H6860" i="28"/>
  <c r="H6836" i="28"/>
  <c r="H6812" i="28"/>
  <c r="H6791" i="28"/>
  <c r="H6768" i="28"/>
  <c r="H6744" i="28"/>
  <c r="H6720" i="28"/>
  <c r="H6696" i="28"/>
  <c r="H6672" i="28"/>
  <c r="H6651" i="28"/>
  <c r="H6627" i="28"/>
  <c r="H6603" i="28"/>
  <c r="H6579" i="28"/>
  <c r="H6555" i="28"/>
  <c r="H6535" i="28"/>
  <c r="H6511" i="28"/>
  <c r="H6487" i="28"/>
  <c r="H6463" i="28"/>
  <c r="H6439" i="28"/>
  <c r="H6416" i="28"/>
  <c r="H6394" i="28"/>
  <c r="H6370" i="28"/>
  <c r="H6347" i="28"/>
  <c r="H6328" i="28"/>
  <c r="H6316" i="28"/>
  <c r="H6303" i="28"/>
  <c r="H6290" i="28"/>
  <c r="H6277" i="28"/>
  <c r="H6264" i="28"/>
  <c r="H6252" i="28"/>
  <c r="H6239" i="28"/>
  <c r="H6226" i="28"/>
  <c r="H6213" i="28"/>
  <c r="H6200" i="28"/>
  <c r="H6188" i="28"/>
  <c r="H6175" i="28"/>
  <c r="H6162" i="28"/>
  <c r="H6149" i="28"/>
  <c r="H6136" i="28"/>
  <c r="H6124" i="28"/>
  <c r="H6111" i="28"/>
  <c r="H6098" i="28"/>
  <c r="H6085" i="28"/>
  <c r="H6072" i="28"/>
  <c r="H6060" i="28"/>
  <c r="H6047" i="28"/>
  <c r="H6034" i="28"/>
  <c r="H6021" i="28"/>
  <c r="H6008" i="28"/>
  <c r="H5996" i="28"/>
  <c r="H5983" i="28"/>
  <c r="H5970" i="28"/>
  <c r="H5957" i="28"/>
  <c r="H5944" i="28"/>
  <c r="H5932" i="28"/>
  <c r="H5919" i="28"/>
  <c r="H5906" i="28"/>
  <c r="H5893" i="28"/>
  <c r="H5880" i="28"/>
  <c r="H5868" i="28"/>
  <c r="H5855" i="28"/>
  <c r="H5842" i="28"/>
  <c r="H5829" i="28"/>
  <c r="H5816" i="28"/>
  <c r="H5804" i="28"/>
  <c r="H5791" i="28"/>
  <c r="H5778" i="28"/>
  <c r="H5765" i="28"/>
  <c r="H5752" i="28"/>
  <c r="H5740" i="28"/>
  <c r="H5727" i="28"/>
  <c r="H5714" i="28"/>
  <c r="H5701" i="28"/>
  <c r="H5688" i="28"/>
  <c r="H5676" i="28"/>
  <c r="H5663" i="28"/>
  <c r="H5650" i="28"/>
  <c r="H5637" i="28"/>
  <c r="H5624" i="28"/>
  <c r="H5612" i="28"/>
  <c r="H5599" i="28"/>
  <c r="H5586" i="28"/>
  <c r="H5573" i="28"/>
  <c r="H5561" i="28"/>
  <c r="H5551" i="28"/>
  <c r="H5542" i="28"/>
  <c r="H5533" i="28"/>
  <c r="H5525" i="28"/>
  <c r="H5517" i="28"/>
  <c r="H5509" i="28"/>
  <c r="H5501" i="28"/>
  <c r="H5493" i="28"/>
  <c r="H5485" i="28"/>
  <c r="H5477" i="28"/>
  <c r="H5469" i="28"/>
  <c r="H5461" i="28"/>
  <c r="H5453" i="28"/>
  <c r="H5445" i="28"/>
  <c r="H5437" i="28"/>
  <c r="H5429" i="28"/>
  <c r="H5421" i="28"/>
  <c r="H5413" i="28"/>
  <c r="H5405" i="28"/>
  <c r="H5397" i="28"/>
  <c r="H5389" i="28"/>
  <c r="H5381" i="28"/>
  <c r="H5373" i="28"/>
  <c r="H5365" i="28"/>
  <c r="H5357" i="28"/>
  <c r="H5349" i="28"/>
  <c r="H5341" i="28"/>
  <c r="H5333" i="28"/>
  <c r="H5325" i="28"/>
  <c r="H5317" i="28"/>
  <c r="H5309" i="28"/>
  <c r="H5301" i="28"/>
  <c r="H5293" i="28"/>
  <c r="H5285" i="28"/>
  <c r="H5277" i="28"/>
  <c r="H5269" i="28"/>
  <c r="H5261" i="28"/>
  <c r="H5253" i="28"/>
  <c r="H5245" i="28"/>
  <c r="H5237" i="28"/>
  <c r="H5229" i="28"/>
  <c r="H5221" i="28"/>
  <c r="H5213" i="28"/>
  <c r="H5205" i="28"/>
  <c r="H5197" i="28"/>
  <c r="H5189" i="28"/>
  <c r="H2070" i="28"/>
  <c r="H2066" i="28"/>
  <c r="H2062" i="28"/>
  <c r="H2058" i="28"/>
  <c r="H2054" i="28"/>
  <c r="H2050" i="28"/>
  <c r="H2046" i="28"/>
  <c r="H2042" i="28"/>
  <c r="H2038" i="28"/>
  <c r="H2034" i="28"/>
  <c r="H2030" i="28"/>
  <c r="H2026" i="28"/>
  <c r="H2022" i="28"/>
  <c r="H2018" i="28"/>
  <c r="H2014" i="28"/>
  <c r="H2010" i="28"/>
  <c r="H2006" i="28"/>
  <c r="H2002" i="28"/>
  <c r="H1998" i="28"/>
  <c r="H1994" i="28"/>
  <c r="H1990" i="28"/>
  <c r="H1986" i="28"/>
  <c r="H1982" i="28"/>
  <c r="H1978" i="28"/>
  <c r="H1974" i="28"/>
  <c r="H1970" i="28"/>
  <c r="H1966" i="28"/>
  <c r="H1962" i="28"/>
  <c r="H1958" i="28"/>
  <c r="H1954" i="28"/>
  <c r="H1950" i="28"/>
  <c r="H1946" i="28"/>
  <c r="H1942" i="28"/>
  <c r="H1938" i="28"/>
  <c r="H1934" i="28"/>
  <c r="H1930" i="28"/>
  <c r="H1926" i="28"/>
  <c r="H1922" i="28"/>
  <c r="H8039" i="28"/>
  <c r="H7075" i="28"/>
  <c r="H6959" i="28"/>
  <c r="H6863" i="28"/>
  <c r="H6770" i="28"/>
  <c r="H6676" i="28"/>
  <c r="H6583" i="28"/>
  <c r="H6490" i="28"/>
  <c r="H6395" i="28"/>
  <c r="H6317" i="28"/>
  <c r="H6266" i="28"/>
  <c r="H6215" i="28"/>
  <c r="H6164" i="28"/>
  <c r="H6112" i="28"/>
  <c r="H6061" i="28"/>
  <c r="H6010" i="28"/>
  <c r="H5959" i="28"/>
  <c r="H5908" i="28"/>
  <c r="H5856" i="28"/>
  <c r="H5805" i="28"/>
  <c r="H5754" i="28"/>
  <c r="H5711" i="28"/>
  <c r="H5682" i="28"/>
  <c r="H5656" i="28"/>
  <c r="H5631" i="28"/>
  <c r="H5605" i="28"/>
  <c r="H5580" i="28"/>
  <c r="H5556" i="28"/>
  <c r="H5537" i="28"/>
  <c r="H5521" i="28"/>
  <c r="H5505" i="28"/>
  <c r="H5489" i="28"/>
  <c r="H5473" i="28"/>
  <c r="H5457" i="28"/>
  <c r="H5441" i="28"/>
  <c r="H5425" i="28"/>
  <c r="H5409" i="28"/>
  <c r="H5393" i="28"/>
  <c r="H5377" i="28"/>
  <c r="H5361" i="28"/>
  <c r="H5345" i="28"/>
  <c r="H5329" i="28"/>
  <c r="H5313" i="28"/>
  <c r="H5297" i="28"/>
  <c r="H5281" i="28"/>
  <c r="H5265" i="28"/>
  <c r="H5249" i="28"/>
  <c r="H5236" i="28"/>
  <c r="H5223" i="28"/>
  <c r="H5211" i="28"/>
  <c r="H5198" i="28"/>
  <c r="H2073" i="28"/>
  <c r="H2064" i="28"/>
  <c r="H2055" i="28"/>
  <c r="H2041" i="28"/>
  <c r="H2032" i="28"/>
  <c r="H2023" i="28"/>
  <c r="H2009" i="28"/>
  <c r="H2000" i="28"/>
  <c r="H1991" i="28"/>
  <c r="H1977" i="28"/>
  <c r="H1968" i="28"/>
  <c r="H1959" i="28"/>
  <c r="H1945" i="28"/>
  <c r="H1936" i="28"/>
  <c r="H1927" i="28"/>
  <c r="H1918" i="28"/>
  <c r="H1914" i="28"/>
  <c r="H1910" i="28"/>
  <c r="H1906" i="28"/>
  <c r="H1902" i="28"/>
  <c r="H1898" i="28"/>
  <c r="H1894" i="28"/>
  <c r="H1890" i="28"/>
  <c r="H1886" i="28"/>
  <c r="H1882" i="28"/>
  <c r="H1878" i="28"/>
  <c r="H1874" i="28"/>
  <c r="H1870" i="28"/>
  <c r="H1866" i="28"/>
  <c r="H1862" i="28"/>
  <c r="H1858" i="28"/>
  <c r="H1854" i="28"/>
  <c r="H1850" i="28"/>
  <c r="H1846" i="28"/>
  <c r="H1842" i="28"/>
  <c r="H1838" i="28"/>
  <c r="H1834" i="28"/>
  <c r="H1830" i="28"/>
  <c r="H1826" i="28"/>
  <c r="H1822" i="28"/>
  <c r="H1818" i="28"/>
  <c r="H1814" i="28"/>
  <c r="H1810" i="28"/>
  <c r="H1806" i="28"/>
  <c r="H1802" i="28"/>
  <c r="H1798" i="28"/>
  <c r="H1794" i="28"/>
  <c r="H1790" i="28"/>
  <c r="H1786" i="28"/>
  <c r="H1782" i="28"/>
  <c r="H1778" i="28"/>
  <c r="H1774" i="28"/>
  <c r="H1770" i="28"/>
  <c r="H1766" i="28"/>
  <c r="H1762" i="28"/>
  <c r="H1758" i="28"/>
  <c r="H1754" i="28"/>
  <c r="H1750" i="28"/>
  <c r="H1746" i="28"/>
  <c r="H1742" i="28"/>
  <c r="H1738" i="28"/>
  <c r="H1734" i="28"/>
  <c r="H1730" i="28"/>
  <c r="H1726" i="28"/>
  <c r="H1722" i="28"/>
  <c r="H1718" i="28"/>
  <c r="H1714" i="28"/>
  <c r="H1710" i="28"/>
  <c r="H1706" i="28"/>
  <c r="H1702" i="28"/>
  <c r="H1698" i="28"/>
  <c r="H1694" i="28"/>
  <c r="H1690" i="28"/>
  <c r="H1686" i="28"/>
  <c r="H1682" i="28"/>
  <c r="H1678" i="28"/>
  <c r="H1674" i="28"/>
  <c r="H1670" i="28"/>
  <c r="H1666" i="28"/>
  <c r="H1662" i="28"/>
  <c r="H1658" i="28"/>
  <c r="H1654" i="28"/>
  <c r="H1650" i="28"/>
  <c r="H1646" i="28"/>
  <c r="H1642" i="28"/>
  <c r="H1638" i="28"/>
  <c r="H1634" i="28"/>
  <c r="H1630" i="28"/>
  <c r="H1626" i="28"/>
  <c r="H1622" i="28"/>
  <c r="H1618" i="28"/>
  <c r="H1614" i="28"/>
  <c r="H1610" i="28"/>
  <c r="H1606" i="28"/>
  <c r="H1602" i="28"/>
  <c r="H1598" i="28"/>
  <c r="H7478" i="28"/>
  <c r="H7067" i="28"/>
  <c r="H6951" i="28"/>
  <c r="H6858" i="28"/>
  <c r="H6764" i="28"/>
  <c r="H6671" i="28"/>
  <c r="H6578" i="28"/>
  <c r="H6483" i="28"/>
  <c r="H6388" i="28"/>
  <c r="H6314" i="28"/>
  <c r="H6263" i="28"/>
  <c r="H6212" i="28"/>
  <c r="H6160" i="28"/>
  <c r="H6109" i="28"/>
  <c r="H6058" i="28"/>
  <c r="H6007" i="28"/>
  <c r="H5956" i="28"/>
  <c r="H5904" i="28"/>
  <c r="H5853" i="28"/>
  <c r="H5802" i="28"/>
  <c r="H5751" i="28"/>
  <c r="H5703" i="28"/>
  <c r="H5677" i="28"/>
  <c r="H5652" i="28"/>
  <c r="H5626" i="28"/>
  <c r="H5600" i="28"/>
  <c r="H5575" i="28"/>
  <c r="H5552" i="28"/>
  <c r="H5534" i="28"/>
  <c r="H5518" i="28"/>
  <c r="H5502" i="28"/>
  <c r="H5486" i="28"/>
  <c r="H5470" i="28"/>
  <c r="H5454" i="28"/>
  <c r="H5438" i="28"/>
  <c r="H5422" i="28"/>
  <c r="H5406" i="28"/>
  <c r="H5390" i="28"/>
  <c r="H5374" i="28"/>
  <c r="H5358" i="28"/>
  <c r="H5342" i="28"/>
  <c r="H5326" i="28"/>
  <c r="H5310" i="28"/>
  <c r="H5294" i="28"/>
  <c r="H5278" i="28"/>
  <c r="H5262" i="28"/>
  <c r="H5247" i="28"/>
  <c r="H5235" i="28"/>
  <c r="H5222" i="28"/>
  <c r="H5209" i="28"/>
  <c r="H5196" i="28"/>
  <c r="H2068" i="28"/>
  <c r="H2059" i="28"/>
  <c r="H2045" i="28"/>
  <c r="H2036" i="28"/>
  <c r="H2027" i="28"/>
  <c r="H2013" i="28"/>
  <c r="H2004" i="28"/>
  <c r="H1995" i="28"/>
  <c r="H1981" i="28"/>
  <c r="H1972" i="28"/>
  <c r="H1963" i="28"/>
  <c r="H1949" i="28"/>
  <c r="H1940" i="28"/>
  <c r="H1931" i="28"/>
  <c r="H7221" i="28"/>
  <c r="H7035" i="28"/>
  <c r="H6935" i="28"/>
  <c r="H6842" i="28"/>
  <c r="H6746" i="28"/>
  <c r="H6652" i="28"/>
  <c r="H6560" i="28"/>
  <c r="H6466" i="28"/>
  <c r="H6372" i="28"/>
  <c r="H6304" i="28"/>
  <c r="H6253" i="28"/>
  <c r="H6202" i="28"/>
  <c r="H6151" i="28"/>
  <c r="H6100" i="28"/>
  <c r="H6048" i="28"/>
  <c r="H5997" i="28"/>
  <c r="H5946" i="28"/>
  <c r="H5895" i="28"/>
  <c r="H5844" i="28"/>
  <c r="H5792" i="28"/>
  <c r="H5741" i="28"/>
  <c r="H5700" i="28"/>
  <c r="H5674" i="28"/>
  <c r="H5648" i="28"/>
  <c r="H5623" i="28"/>
  <c r="H5597" i="28"/>
  <c r="H5572" i="28"/>
  <c r="H5550" i="28"/>
  <c r="H5532" i="28"/>
  <c r="H5516" i="28"/>
  <c r="H5500" i="28"/>
  <c r="H5484" i="28"/>
  <c r="H5468" i="28"/>
  <c r="H5452" i="28"/>
  <c r="H5436" i="28"/>
  <c r="H5420" i="28"/>
  <c r="H5404" i="28"/>
  <c r="H5388" i="28"/>
  <c r="H5372" i="28"/>
  <c r="H5356" i="28"/>
  <c r="H5340" i="28"/>
  <c r="H5324" i="28"/>
  <c r="H5308" i="28"/>
  <c r="H5292" i="28"/>
  <c r="H5276" i="28"/>
  <c r="H5260" i="28"/>
  <c r="H5246" i="28"/>
  <c r="H5233" i="28"/>
  <c r="H5220" i="28"/>
  <c r="H5207" i="28"/>
  <c r="H5195" i="28"/>
  <c r="H2072" i="28"/>
  <c r="H2063" i="28"/>
  <c r="H2049" i="28"/>
  <c r="H2040" i="28"/>
  <c r="H2031" i="28"/>
  <c r="H2017" i="28"/>
  <c r="H2008" i="28"/>
  <c r="H1999" i="28"/>
  <c r="H1985" i="28"/>
  <c r="H1976" i="28"/>
  <c r="H1967" i="28"/>
  <c r="H1953" i="28"/>
  <c r="H1944" i="28"/>
  <c r="H1935" i="28"/>
  <c r="H1921" i="28"/>
  <c r="H7209" i="28"/>
  <c r="H7027" i="28"/>
  <c r="H6928" i="28"/>
  <c r="H6834" i="28"/>
  <c r="H6740" i="28"/>
  <c r="H6647" i="28"/>
  <c r="H6554" i="28"/>
  <c r="H6460" i="28"/>
  <c r="H6364" i="28"/>
  <c r="H6301" i="28"/>
  <c r="H6250" i="28"/>
  <c r="H6199" i="28"/>
  <c r="H6148" i="28"/>
  <c r="H6096" i="28"/>
  <c r="H6045" i="28"/>
  <c r="H5994" i="28"/>
  <c r="H5943" i="28"/>
  <c r="H5892" i="28"/>
  <c r="H5840" i="28"/>
  <c r="H5789" i="28"/>
  <c r="H5738" i="28"/>
  <c r="H5698" i="28"/>
  <c r="H5672" i="28"/>
  <c r="H5647" i="28"/>
  <c r="H5621" i="28"/>
  <c r="H5596" i="28"/>
  <c r="H5570" i="28"/>
  <c r="H5549" i="28"/>
  <c r="H5531" i="28"/>
  <c r="H5515" i="28"/>
  <c r="H5499" i="28"/>
  <c r="H5483" i="28"/>
  <c r="H5467" i="28"/>
  <c r="H5451" i="28"/>
  <c r="H5435" i="28"/>
  <c r="H5419" i="28"/>
  <c r="H5403" i="28"/>
  <c r="H5387" i="28"/>
  <c r="H5371" i="28"/>
  <c r="H5355" i="28"/>
  <c r="H5339" i="28"/>
  <c r="H5323" i="28"/>
  <c r="H5307" i="28"/>
  <c r="H5291" i="28"/>
  <c r="H5275" i="28"/>
  <c r="H5259" i="28"/>
  <c r="H5244" i="28"/>
  <c r="H5231" i="28"/>
  <c r="H5219" i="28"/>
  <c r="H5206" i="28"/>
  <c r="H5193" i="28"/>
  <c r="H2067" i="28"/>
  <c r="H2053" i="28"/>
  <c r="H2044" i="28"/>
  <c r="H2035" i="28"/>
  <c r="H2021" i="28"/>
  <c r="H2012" i="28"/>
  <c r="H2003" i="28"/>
  <c r="H1989" i="28"/>
  <c r="H1980" i="28"/>
  <c r="H1971" i="28"/>
  <c r="H1957" i="28"/>
  <c r="H1948" i="28"/>
  <c r="H1939" i="28"/>
  <c r="H1925" i="28"/>
  <c r="H7147" i="28"/>
  <c r="H6999" i="28"/>
  <c r="H6906" i="28"/>
  <c r="H6811" i="28"/>
  <c r="H6716" i="28"/>
  <c r="H6624" i="28"/>
  <c r="H6530" i="28"/>
  <c r="H6436" i="28"/>
  <c r="H6346" i="28"/>
  <c r="H6288" i="28"/>
  <c r="H6237" i="28"/>
  <c r="H6186" i="28"/>
  <c r="H6135" i="28"/>
  <c r="H6084" i="28"/>
  <c r="H6032" i="28"/>
  <c r="H5981" i="28"/>
  <c r="H5930" i="28"/>
  <c r="H5879" i="28"/>
  <c r="H5828" i="28"/>
  <c r="H5776" i="28"/>
  <c r="H5725" i="28"/>
  <c r="H5690" i="28"/>
  <c r="H5664" i="28"/>
  <c r="H5639" i="28"/>
  <c r="H5613" i="28"/>
  <c r="H5588" i="28"/>
  <c r="H5562" i="28"/>
  <c r="H5543" i="28"/>
  <c r="H5526" i="28"/>
  <c r="H5510" i="28"/>
  <c r="H5494" i="28"/>
  <c r="H5478" i="28"/>
  <c r="H5462" i="28"/>
  <c r="H5446" i="28"/>
  <c r="H5430" i="28"/>
  <c r="H5414" i="28"/>
  <c r="H5398" i="28"/>
  <c r="H5382" i="28"/>
  <c r="H5366" i="28"/>
  <c r="H5350" i="28"/>
  <c r="H5334" i="28"/>
  <c r="H5318" i="28"/>
  <c r="H5302" i="28"/>
  <c r="H5286" i="28"/>
  <c r="H5270" i="28"/>
  <c r="H5254" i="28"/>
  <c r="H5241" i="28"/>
  <c r="H5228" i="28"/>
  <c r="H5215" i="28"/>
  <c r="H5203" i="28"/>
  <c r="H5190" i="28"/>
  <c r="H7115" i="28"/>
  <c r="H6979" i="28"/>
  <c r="H6887" i="28"/>
  <c r="H6794" i="28"/>
  <c r="H6700" i="28"/>
  <c r="H6607" i="28"/>
  <c r="H6512" i="28"/>
  <c r="H6419" i="28"/>
  <c r="H6330" i="28"/>
  <c r="H6279" i="28"/>
  <c r="H6228" i="28"/>
  <c r="H6176" i="28"/>
  <c r="H6125" i="28"/>
  <c r="H6074" i="28"/>
  <c r="H6023" i="28"/>
  <c r="H5972" i="28"/>
  <c r="H5920" i="28"/>
  <c r="H5869" i="28"/>
  <c r="H5818" i="28"/>
  <c r="H5767" i="28"/>
  <c r="H5716" i="28"/>
  <c r="H5687" i="28"/>
  <c r="H5661" i="28"/>
  <c r="H5636" i="28"/>
  <c r="H5610" i="28"/>
  <c r="H5584" i="28"/>
  <c r="H5560" i="28"/>
  <c r="H5541" i="28"/>
  <c r="H5524" i="28"/>
  <c r="H5508" i="28"/>
  <c r="H5492" i="28"/>
  <c r="H5476" i="28"/>
  <c r="H5460" i="28"/>
  <c r="H5444" i="28"/>
  <c r="H5428" i="28"/>
  <c r="H5412" i="28"/>
  <c r="H5396" i="28"/>
  <c r="H5380" i="28"/>
  <c r="H5364" i="28"/>
  <c r="H5348" i="28"/>
  <c r="H5332" i="28"/>
  <c r="H5316" i="28"/>
  <c r="H5300" i="28"/>
  <c r="H5284" i="28"/>
  <c r="H5268" i="28"/>
  <c r="H5252" i="28"/>
  <c r="H5239" i="28"/>
  <c r="H5227" i="28"/>
  <c r="H5214" i="28"/>
  <c r="H5201" i="28"/>
  <c r="H5188" i="28"/>
  <c r="H7165" i="28"/>
  <c r="H6723" i="28"/>
  <c r="H6350" i="28"/>
  <c r="H6138" i="28"/>
  <c r="H5933" i="28"/>
  <c r="H5728" i="28"/>
  <c r="H5618" i="28"/>
  <c r="H5529" i="28"/>
  <c r="H5465" i="28"/>
  <c r="H5401" i="28"/>
  <c r="H5337" i="28"/>
  <c r="H5273" i="28"/>
  <c r="H5217" i="28"/>
  <c r="H2029" i="28"/>
  <c r="H2024" i="28"/>
  <c r="H1965" i="28"/>
  <c r="H1960" i="28"/>
  <c r="H1915" i="28"/>
  <c r="H1901" i="28"/>
  <c r="H1892" i="28"/>
  <c r="H1883" i="28"/>
  <c r="H1869" i="28"/>
  <c r="H1860" i="28"/>
  <c r="H1851" i="28"/>
  <c r="H1837" i="28"/>
  <c r="H1828" i="28"/>
  <c r="H1819" i="28"/>
  <c r="H1805" i="28"/>
  <c r="H1796" i="28"/>
  <c r="H1787" i="28"/>
  <c r="H1773" i="28"/>
  <c r="H1764" i="28"/>
  <c r="H1755" i="28"/>
  <c r="H1741" i="28"/>
  <c r="H1732" i="28"/>
  <c r="H1723" i="28"/>
  <c r="H1709" i="28"/>
  <c r="H1700" i="28"/>
  <c r="H1691" i="28"/>
  <c r="H1677" i="28"/>
  <c r="H1668" i="28"/>
  <c r="H1659" i="28"/>
  <c r="H1645" i="28"/>
  <c r="H1636" i="28"/>
  <c r="H1627" i="28"/>
  <c r="H1613" i="28"/>
  <c r="H1604" i="28"/>
  <c r="H1595" i="28"/>
  <c r="H1591" i="28"/>
  <c r="H1587" i="28"/>
  <c r="H1583" i="28"/>
  <c r="H1579" i="28"/>
  <c r="H1575" i="28"/>
  <c r="H1571" i="28"/>
  <c r="H1567" i="28"/>
  <c r="H1563" i="28"/>
  <c r="H1559" i="28"/>
  <c r="H1555" i="28"/>
  <c r="H1551" i="28"/>
  <c r="H1547" i="28"/>
  <c r="H1543" i="28"/>
  <c r="H1539" i="28"/>
  <c r="H1535" i="28"/>
  <c r="H1531" i="28"/>
  <c r="H1527" i="28"/>
  <c r="H1523" i="28"/>
  <c r="H1519" i="28"/>
  <c r="H1515" i="28"/>
  <c r="H1511" i="28"/>
  <c r="H1507" i="28"/>
  <c r="H1503" i="28"/>
  <c r="H1499" i="28"/>
  <c r="H1495" i="28"/>
  <c r="H1491" i="28"/>
  <c r="H1487" i="28"/>
  <c r="H1483" i="28"/>
  <c r="H1479" i="28"/>
  <c r="H1475" i="28"/>
  <c r="H1471" i="28"/>
  <c r="H1467" i="28"/>
  <c r="H1463" i="28"/>
  <c r="H1459" i="28"/>
  <c r="H1455" i="28"/>
  <c r="H1451" i="28"/>
  <c r="H1447" i="28"/>
  <c r="H1443" i="28"/>
  <c r="H1439" i="28"/>
  <c r="H1435" i="28"/>
  <c r="H1431" i="28"/>
  <c r="H1427" i="28"/>
  <c r="H1423" i="28"/>
  <c r="H1419" i="28"/>
  <c r="H1415" i="28"/>
  <c r="H1411" i="28"/>
  <c r="H1407" i="28"/>
  <c r="H1403" i="28"/>
  <c r="H1399" i="28"/>
  <c r="H1395" i="28"/>
  <c r="H1391" i="28"/>
  <c r="H1387" i="28"/>
  <c r="H1383" i="28"/>
  <c r="H1379" i="28"/>
  <c r="H1375" i="28"/>
  <c r="H1371" i="28"/>
  <c r="H1367" i="28"/>
  <c r="H1363" i="28"/>
  <c r="H1359" i="28"/>
  <c r="H1355" i="28"/>
  <c r="H1351" i="28"/>
  <c r="H1347" i="28"/>
  <c r="H1343" i="28"/>
  <c r="H1339" i="28"/>
  <c r="H1335" i="28"/>
  <c r="H1331" i="28"/>
  <c r="H1327" i="28"/>
  <c r="H1323" i="28"/>
  <c r="H1319" i="28"/>
  <c r="H1315" i="28"/>
  <c r="H1311" i="28"/>
  <c r="H1307" i="28"/>
  <c r="H1303" i="28"/>
  <c r="H1299" i="28"/>
  <c r="H1295" i="28"/>
  <c r="H1291" i="28"/>
  <c r="H1287" i="28"/>
  <c r="H1283" i="28"/>
  <c r="H1279" i="28"/>
  <c r="H1275" i="28"/>
  <c r="H1271" i="28"/>
  <c r="H1267" i="28"/>
  <c r="H1263" i="28"/>
  <c r="H1259" i="28"/>
  <c r="H1255" i="28"/>
  <c r="H1251" i="28"/>
  <c r="H1247" i="28"/>
  <c r="H1243" i="28"/>
  <c r="H1239" i="28"/>
  <c r="H1235" i="28"/>
  <c r="H1231" i="28"/>
  <c r="H1227" i="28"/>
  <c r="H1223" i="28"/>
  <c r="H1219" i="28"/>
  <c r="H1215" i="28"/>
  <c r="H1211" i="28"/>
  <c r="H1207" i="28"/>
  <c r="H1203" i="28"/>
  <c r="H1199" i="28"/>
  <c r="H1195" i="28"/>
  <c r="H1191" i="28"/>
  <c r="H1187" i="28"/>
  <c r="H1183" i="28"/>
  <c r="H1179" i="28"/>
  <c r="H1175" i="28"/>
  <c r="H1171" i="28"/>
  <c r="H1167" i="28"/>
  <c r="H1163" i="28"/>
  <c r="H1159" i="28"/>
  <c r="H1155" i="28"/>
  <c r="H1151" i="28"/>
  <c r="H1147" i="28"/>
  <c r="H1143" i="28"/>
  <c r="H1139" i="28"/>
  <c r="H1135" i="28"/>
  <c r="H1131" i="28"/>
  <c r="H1127" i="28"/>
  <c r="H1123" i="28"/>
  <c r="H1119" i="28"/>
  <c r="H1115" i="28"/>
  <c r="H1111" i="28"/>
  <c r="H1107" i="28"/>
  <c r="H1103" i="28"/>
  <c r="H1099" i="28"/>
  <c r="H1095" i="28"/>
  <c r="H1091" i="28"/>
  <c r="H1087" i="28"/>
  <c r="H1083" i="28"/>
  <c r="H1079" i="28"/>
  <c r="H1075" i="28"/>
  <c r="H1071" i="28"/>
  <c r="H1067" i="28"/>
  <c r="H1063" i="28"/>
  <c r="H1059" i="28"/>
  <c r="H1055" i="28"/>
  <c r="H1051" i="28"/>
  <c r="H1047" i="28"/>
  <c r="H1043" i="28"/>
  <c r="H1039" i="28"/>
  <c r="H1035" i="28"/>
  <c r="H1031" i="28"/>
  <c r="H1027" i="28"/>
  <c r="H1023" i="28"/>
  <c r="H1019" i="28"/>
  <c r="H1015" i="28"/>
  <c r="H1011" i="28"/>
  <c r="H1007" i="28"/>
  <c r="H1003" i="28"/>
  <c r="H999" i="28"/>
  <c r="H995" i="28"/>
  <c r="H991" i="28"/>
  <c r="H987" i="28"/>
  <c r="H983" i="28"/>
  <c r="H979" i="28"/>
  <c r="H975" i="28"/>
  <c r="H971" i="28"/>
  <c r="H967" i="28"/>
  <c r="H963" i="28"/>
  <c r="H959" i="28"/>
  <c r="H955" i="28"/>
  <c r="H951" i="28"/>
  <c r="H947" i="28"/>
  <c r="H943" i="28"/>
  <c r="H939" i="28"/>
  <c r="H935" i="28"/>
  <c r="H931" i="28"/>
  <c r="H927" i="28"/>
  <c r="H923" i="28"/>
  <c r="H919" i="28"/>
  <c r="H915" i="28"/>
  <c r="H911" i="28"/>
  <c r="H907" i="28"/>
  <c r="H903" i="28"/>
  <c r="H899" i="28"/>
  <c r="H895" i="28"/>
  <c r="H891" i="28"/>
  <c r="H887" i="28"/>
  <c r="H883" i="28"/>
  <c r="H879" i="28"/>
  <c r="H875" i="28"/>
  <c r="H871" i="28"/>
  <c r="H867" i="28"/>
  <c r="H863" i="28"/>
  <c r="H859" i="28"/>
  <c r="H855" i="28"/>
  <c r="H851" i="28"/>
  <c r="H847" i="28"/>
  <c r="H843" i="28"/>
  <c r="H839" i="28"/>
  <c r="H835" i="28"/>
  <c r="H831" i="28"/>
  <c r="H827" i="28"/>
  <c r="H823" i="28"/>
  <c r="H819" i="28"/>
  <c r="H815" i="28"/>
  <c r="H811" i="28"/>
  <c r="H807" i="28"/>
  <c r="H803" i="28"/>
  <c r="H799" i="28"/>
  <c r="H795" i="28"/>
  <c r="H791" i="28"/>
  <c r="H787" i="28"/>
  <c r="H783" i="28"/>
  <c r="H779" i="28"/>
  <c r="H775" i="28"/>
  <c r="H771" i="28"/>
  <c r="H767" i="28"/>
  <c r="H763" i="28"/>
  <c r="H759" i="28"/>
  <c r="H755" i="28"/>
  <c r="H751" i="28"/>
  <c r="H747" i="28"/>
  <c r="H743" i="28"/>
  <c r="H739" i="28"/>
  <c r="H735" i="28"/>
  <c r="H731" i="28"/>
  <c r="H727" i="28"/>
  <c r="H723" i="28"/>
  <c r="H719" i="28"/>
  <c r="H715" i="28"/>
  <c r="H711" i="28"/>
  <c r="H707" i="28"/>
  <c r="H703" i="28"/>
  <c r="H699" i="28"/>
  <c r="H695" i="28"/>
  <c r="H691" i="28"/>
  <c r="H687" i="28"/>
  <c r="H683" i="28"/>
  <c r="H679" i="28"/>
  <c r="H675" i="28"/>
  <c r="H671" i="28"/>
  <c r="H667" i="28"/>
  <c r="H663" i="28"/>
  <c r="H659" i="28"/>
  <c r="H655" i="28"/>
  <c r="H651" i="28"/>
  <c r="H647" i="28"/>
  <c r="H643" i="28"/>
  <c r="H639" i="28"/>
  <c r="H635" i="28"/>
  <c r="H631" i="28"/>
  <c r="H627" i="28"/>
  <c r="H623" i="28"/>
  <c r="H619" i="28"/>
  <c r="H615" i="28"/>
  <c r="H611" i="28"/>
  <c r="H607" i="28"/>
  <c r="H603" i="28"/>
  <c r="H599" i="28"/>
  <c r="H595" i="28"/>
  <c r="H591" i="28"/>
  <c r="H587" i="28"/>
  <c r="H583" i="28"/>
  <c r="H579" i="28"/>
  <c r="H575" i="28"/>
  <c r="H571" i="28"/>
  <c r="H567" i="28"/>
  <c r="H563" i="28"/>
  <c r="H559" i="28"/>
  <c r="H555" i="28"/>
  <c r="H551" i="28"/>
  <c r="H547" i="28"/>
  <c r="H543" i="28"/>
  <c r="H539" i="28"/>
  <c r="H535" i="28"/>
  <c r="H531" i="28"/>
  <c r="H527" i="28"/>
  <c r="H523" i="28"/>
  <c r="H519" i="28"/>
  <c r="H515" i="28"/>
  <c r="H511" i="28"/>
  <c r="H507" i="28"/>
  <c r="H503" i="28"/>
  <c r="H499" i="28"/>
  <c r="H495" i="28"/>
  <c r="H491" i="28"/>
  <c r="H487" i="28"/>
  <c r="H483" i="28"/>
  <c r="H479" i="28"/>
  <c r="H475" i="28"/>
  <c r="H471" i="28"/>
  <c r="H467" i="28"/>
  <c r="H463" i="28"/>
  <c r="H459" i="28"/>
  <c r="H455" i="28"/>
  <c r="H7103" i="28"/>
  <c r="H6695" i="28"/>
  <c r="H6327" i="28"/>
  <c r="H6122" i="28"/>
  <c r="H5917" i="28"/>
  <c r="H5712" i="28"/>
  <c r="H5608" i="28"/>
  <c r="H5523" i="28"/>
  <c r="H5459" i="28"/>
  <c r="H5395" i="28"/>
  <c r="H5331" i="28"/>
  <c r="H5267" i="28"/>
  <c r="H5212" i="28"/>
  <c r="H2052" i="28"/>
  <c r="H2047" i="28"/>
  <c r="H1988" i="28"/>
  <c r="H1983" i="28"/>
  <c r="H1924" i="28"/>
  <c r="H1919" i="28"/>
  <c r="H1905" i="28"/>
  <c r="H1896" i="28"/>
  <c r="H1887" i="28"/>
  <c r="H1873" i="28"/>
  <c r="H1864" i="28"/>
  <c r="H1855" i="28"/>
  <c r="H1841" i="28"/>
  <c r="H1832" i="28"/>
  <c r="H1823" i="28"/>
  <c r="H1809" i="28"/>
  <c r="H1800" i="28"/>
  <c r="H1791" i="28"/>
  <c r="H1777" i="28"/>
  <c r="H1768" i="28"/>
  <c r="H1759" i="28"/>
  <c r="H1745" i="28"/>
  <c r="H1736" i="28"/>
  <c r="H1727" i="28"/>
  <c r="H1713" i="28"/>
  <c r="H1704" i="28"/>
  <c r="H1695" i="28"/>
  <c r="H1681" i="28"/>
  <c r="H1672" i="28"/>
  <c r="H1663" i="28"/>
  <c r="H1649" i="28"/>
  <c r="H1640" i="28"/>
  <c r="H1631" i="28"/>
  <c r="H1617" i="28"/>
  <c r="H1608" i="28"/>
  <c r="H1599" i="28"/>
  <c r="H7003" i="28"/>
  <c r="H6628" i="28"/>
  <c r="H6292" i="28"/>
  <c r="H6087" i="28"/>
  <c r="H5882" i="28"/>
  <c r="H5695" i="28"/>
  <c r="H5592" i="28"/>
  <c r="H5513" i="28"/>
  <c r="H5449" i="28"/>
  <c r="H5385" i="28"/>
  <c r="H5321" i="28"/>
  <c r="H5257" i="28"/>
  <c r="H5204" i="28"/>
  <c r="H2069" i="28"/>
  <c r="H2057" i="28"/>
  <c r="H2028" i="28"/>
  <c r="H2011" i="28"/>
  <c r="H2005" i="28"/>
  <c r="H1993" i="28"/>
  <c r="H1964" i="28"/>
  <c r="H1947" i="28"/>
  <c r="H1941" i="28"/>
  <c r="H1929" i="28"/>
  <c r="H1909" i="28"/>
  <c r="H1900" i="28"/>
  <c r="H1891" i="28"/>
  <c r="H1877" i="28"/>
  <c r="H1868" i="28"/>
  <c r="H1859" i="28"/>
  <c r="H1845" i="28"/>
  <c r="H1836" i="28"/>
  <c r="H1827" i="28"/>
  <c r="H1813" i="28"/>
  <c r="H1804" i="28"/>
  <c r="H1795" i="28"/>
  <c r="H1781" i="28"/>
  <c r="H1772" i="28"/>
  <c r="H1763" i="28"/>
  <c r="H1749" i="28"/>
  <c r="H1740" i="28"/>
  <c r="H1731" i="28"/>
  <c r="H1717" i="28"/>
  <c r="H1708" i="28"/>
  <c r="H1699" i="28"/>
  <c r="H1685" i="28"/>
  <c r="H1676" i="28"/>
  <c r="H1667" i="28"/>
  <c r="H1653" i="28"/>
  <c r="H1644" i="28"/>
  <c r="H1635" i="28"/>
  <c r="H1621" i="28"/>
  <c r="H1612" i="28"/>
  <c r="H1603" i="28"/>
  <c r="H1594" i="28"/>
  <c r="H1590" i="28"/>
  <c r="H1586" i="28"/>
  <c r="H1582" i="28"/>
  <c r="H1578" i="28"/>
  <c r="H1574" i="28"/>
  <c r="H1570" i="28"/>
  <c r="H1566" i="28"/>
  <c r="H1562" i="28"/>
  <c r="H1558" i="28"/>
  <c r="H1554" i="28"/>
  <c r="H1550" i="28"/>
  <c r="H1546" i="28"/>
  <c r="H1542" i="28"/>
  <c r="H1538" i="28"/>
  <c r="H1534" i="28"/>
  <c r="H1530" i="28"/>
  <c r="H1526" i="28"/>
  <c r="H1522" i="28"/>
  <c r="H1518" i="28"/>
  <c r="H1514" i="28"/>
  <c r="H1510" i="28"/>
  <c r="H1506" i="28"/>
  <c r="H1502" i="28"/>
  <c r="H1498" i="28"/>
  <c r="H1494" i="28"/>
  <c r="H1490" i="28"/>
  <c r="H1486" i="28"/>
  <c r="H1482" i="28"/>
  <c r="H1478" i="28"/>
  <c r="H1474" i="28"/>
  <c r="H1470" i="28"/>
  <c r="H1466" i="28"/>
  <c r="H1462" i="28"/>
  <c r="H1458" i="28"/>
  <c r="H1454" i="28"/>
  <c r="H1450" i="28"/>
  <c r="H1446" i="28"/>
  <c r="H1442" i="28"/>
  <c r="H1438" i="28"/>
  <c r="H1434" i="28"/>
  <c r="H1430" i="28"/>
  <c r="H1426" i="28"/>
  <c r="H1422" i="28"/>
  <c r="H1418" i="28"/>
  <c r="H1414" i="28"/>
  <c r="H1410" i="28"/>
  <c r="H1406" i="28"/>
  <c r="H1402" i="28"/>
  <c r="H1398" i="28"/>
  <c r="H1394" i="28"/>
  <c r="H1390" i="28"/>
  <c r="H1386" i="28"/>
  <c r="H1382" i="28"/>
  <c r="H1378" i="28"/>
  <c r="H1374" i="28"/>
  <c r="H1370" i="28"/>
  <c r="H1366" i="28"/>
  <c r="H1362" i="28"/>
  <c r="H1358" i="28"/>
  <c r="H1354" i="28"/>
  <c r="H1350" i="28"/>
  <c r="H1346" i="28"/>
  <c r="H1342" i="28"/>
  <c r="H1338" i="28"/>
  <c r="H1334" i="28"/>
  <c r="H1330" i="28"/>
  <c r="H1326" i="28"/>
  <c r="H1322" i="28"/>
  <c r="H1318" i="28"/>
  <c r="H1314" i="28"/>
  <c r="H1310" i="28"/>
  <c r="H1306" i="28"/>
  <c r="H1302" i="28"/>
  <c r="H1298" i="28"/>
  <c r="H1294" i="28"/>
  <c r="H1290" i="28"/>
  <c r="H1286" i="28"/>
  <c r="H1282" i="28"/>
  <c r="H1278" i="28"/>
  <c r="H1274" i="28"/>
  <c r="H1270" i="28"/>
  <c r="H1266" i="28"/>
  <c r="H1262" i="28"/>
  <c r="H1258" i="28"/>
  <c r="H1254" i="28"/>
  <c r="H1250" i="28"/>
  <c r="H1246" i="28"/>
  <c r="H1242" i="28"/>
  <c r="H1238" i="28"/>
  <c r="H1234" i="28"/>
  <c r="H1230" i="28"/>
  <c r="H1226" i="28"/>
  <c r="H1222" i="28"/>
  <c r="H1218" i="28"/>
  <c r="H1214" i="28"/>
  <c r="H1210" i="28"/>
  <c r="H1206" i="28"/>
  <c r="H1202" i="28"/>
  <c r="H1198" i="28"/>
  <c r="H1194" i="28"/>
  <c r="H1190" i="28"/>
  <c r="H1186" i="28"/>
  <c r="H1182" i="28"/>
  <c r="H1178" i="28"/>
  <c r="H1174" i="28"/>
  <c r="H1170" i="28"/>
  <c r="H1166" i="28"/>
  <c r="H1162" i="28"/>
  <c r="H1158" i="28"/>
  <c r="H1154" i="28"/>
  <c r="H1150" i="28"/>
  <c r="H1146" i="28"/>
  <c r="H1142" i="28"/>
  <c r="H1138" i="28"/>
  <c r="H1134" i="28"/>
  <c r="H1130" i="28"/>
  <c r="H1126" i="28"/>
  <c r="H1122" i="28"/>
  <c r="H1118" i="28"/>
  <c r="H1114" i="28"/>
  <c r="H1110" i="28"/>
  <c r="H1106" i="28"/>
  <c r="H1102" i="28"/>
  <c r="H1098" i="28"/>
  <c r="H1094" i="28"/>
  <c r="H1090" i="28"/>
  <c r="H1086" i="28"/>
  <c r="H1082" i="28"/>
  <c r="H1078" i="28"/>
  <c r="H1074" i="28"/>
  <c r="H1070" i="28"/>
  <c r="H1066" i="28"/>
  <c r="H1062" i="28"/>
  <c r="H1058" i="28"/>
  <c r="H1054" i="28"/>
  <c r="H1050" i="28"/>
  <c r="H1046" i="28"/>
  <c r="H1042" i="28"/>
  <c r="H1038" i="28"/>
  <c r="H1034" i="28"/>
  <c r="H1030" i="28"/>
  <c r="H1026" i="28"/>
  <c r="H1022" i="28"/>
  <c r="H1018" i="28"/>
  <c r="H1014" i="28"/>
  <c r="H1010" i="28"/>
  <c r="H1006" i="28"/>
  <c r="H1002" i="28"/>
  <c r="H998" i="28"/>
  <c r="H994" i="28"/>
  <c r="H990" i="28"/>
  <c r="H986" i="28"/>
  <c r="H982" i="28"/>
  <c r="H978" i="28"/>
  <c r="H974" i="28"/>
  <c r="H970" i="28"/>
  <c r="H966" i="28"/>
  <c r="H962" i="28"/>
  <c r="H958" i="28"/>
  <c r="H954" i="28"/>
  <c r="H950" i="28"/>
  <c r="H946" i="28"/>
  <c r="H942" i="28"/>
  <c r="H938" i="28"/>
  <c r="H934" i="28"/>
  <c r="H930" i="28"/>
  <c r="H926" i="28"/>
  <c r="H922" i="28"/>
  <c r="H918" i="28"/>
  <c r="H914" i="28"/>
  <c r="H910" i="28"/>
  <c r="H906" i="28"/>
  <c r="H902" i="28"/>
  <c r="H898" i="28"/>
  <c r="H894" i="28"/>
  <c r="H890" i="28"/>
  <c r="H886" i="28"/>
  <c r="H882" i="28"/>
  <c r="H878" i="28"/>
  <c r="H874" i="28"/>
  <c r="H870" i="28"/>
  <c r="H866" i="28"/>
  <c r="H862" i="28"/>
  <c r="H858" i="28"/>
  <c r="H854" i="28"/>
  <c r="H850" i="28"/>
  <c r="H846" i="28"/>
  <c r="H842" i="28"/>
  <c r="H838" i="28"/>
  <c r="H834" i="28"/>
  <c r="H830" i="28"/>
  <c r="H826" i="28"/>
  <c r="H822" i="28"/>
  <c r="H818" i="28"/>
  <c r="H814" i="28"/>
  <c r="H810" i="28"/>
  <c r="H806" i="28"/>
  <c r="H802" i="28"/>
  <c r="H798" i="28"/>
  <c r="H794" i="28"/>
  <c r="H790" i="28"/>
  <c r="H786" i="28"/>
  <c r="H782" i="28"/>
  <c r="H778" i="28"/>
  <c r="H774" i="28"/>
  <c r="H770" i="28"/>
  <c r="H766" i="28"/>
  <c r="H762" i="28"/>
  <c r="H758" i="28"/>
  <c r="H754" i="28"/>
  <c r="H750" i="28"/>
  <c r="H746" i="28"/>
  <c r="H742" i="28"/>
  <c r="H738" i="28"/>
  <c r="H734" i="28"/>
  <c r="H730" i="28"/>
  <c r="H726" i="28"/>
  <c r="H722" i="28"/>
  <c r="H718" i="28"/>
  <c r="H714" i="28"/>
  <c r="H710" i="28"/>
  <c r="H706" i="28"/>
  <c r="H702" i="28"/>
  <c r="H698" i="28"/>
  <c r="H694" i="28"/>
  <c r="H690" i="28"/>
  <c r="H686" i="28"/>
  <c r="H682" i="28"/>
  <c r="H678" i="28"/>
  <c r="H674" i="28"/>
  <c r="H670" i="28"/>
  <c r="H666" i="28"/>
  <c r="H662" i="28"/>
  <c r="H658" i="28"/>
  <c r="H654" i="28"/>
  <c r="H650" i="28"/>
  <c r="H646" i="28"/>
  <c r="H642" i="28"/>
  <c r="H638" i="28"/>
  <c r="H634" i="28"/>
  <c r="H630" i="28"/>
  <c r="H626" i="28"/>
  <c r="H622" i="28"/>
  <c r="H618" i="28"/>
  <c r="H614" i="28"/>
  <c r="H610" i="28"/>
  <c r="H606" i="28"/>
  <c r="H602" i="28"/>
  <c r="H598" i="28"/>
  <c r="H594" i="28"/>
  <c r="H590" i="28"/>
  <c r="H586" i="28"/>
  <c r="H582" i="28"/>
  <c r="H578" i="28"/>
  <c r="H574" i="28"/>
  <c r="H570" i="28"/>
  <c r="H566" i="28"/>
  <c r="H562" i="28"/>
  <c r="H6975" i="28"/>
  <c r="H6600" i="28"/>
  <c r="H6276" i="28"/>
  <c r="H6071" i="28"/>
  <c r="H5866" i="28"/>
  <c r="H5685" i="28"/>
  <c r="H5583" i="28"/>
  <c r="H5507" i="28"/>
  <c r="H5443" i="28"/>
  <c r="H5379" i="28"/>
  <c r="H5315" i="28"/>
  <c r="H5251" i="28"/>
  <c r="H5199" i="28"/>
  <c r="H2051" i="28"/>
  <c r="H2039" i="28"/>
  <c r="H2033" i="28"/>
  <c r="H2016" i="28"/>
  <c r="H1987" i="28"/>
  <c r="H1975" i="28"/>
  <c r="H1969" i="28"/>
  <c r="H1952" i="28"/>
  <c r="H1923" i="28"/>
  <c r="H1913" i="28"/>
  <c r="H1904" i="28"/>
  <c r="H1895" i="28"/>
  <c r="H1881" i="28"/>
  <c r="H1872" i="28"/>
  <c r="H1863" i="28"/>
  <c r="H1849" i="28"/>
  <c r="H1840" i="28"/>
  <c r="H1831" i="28"/>
  <c r="H1817" i="28"/>
  <c r="H1808" i="28"/>
  <c r="H1799" i="28"/>
  <c r="H1785" i="28"/>
  <c r="H1776" i="28"/>
  <c r="H1767" i="28"/>
  <c r="H1753" i="28"/>
  <c r="H1744" i="28"/>
  <c r="H1735" i="28"/>
  <c r="H1721" i="28"/>
  <c r="H1712" i="28"/>
  <c r="H1703" i="28"/>
  <c r="H1689" i="28"/>
  <c r="H1680" i="28"/>
  <c r="H1671" i="28"/>
  <c r="H1657" i="28"/>
  <c r="H1648" i="28"/>
  <c r="H1639" i="28"/>
  <c r="H1625" i="28"/>
  <c r="H1616" i="28"/>
  <c r="H1607" i="28"/>
  <c r="H6911" i="28"/>
  <c r="H6536" i="28"/>
  <c r="H6240" i="28"/>
  <c r="H6036" i="28"/>
  <c r="H5831" i="28"/>
  <c r="H5669" i="28"/>
  <c r="H5567" i="28"/>
  <c r="H5497" i="28"/>
  <c r="H5433" i="28"/>
  <c r="H5369" i="28"/>
  <c r="H5305" i="28"/>
  <c r="H5243" i="28"/>
  <c r="H5191" i="28"/>
  <c r="H2061" i="28"/>
  <c r="H2056" i="28"/>
  <c r="H1997" i="28"/>
  <c r="H1992" i="28"/>
  <c r="H1933" i="28"/>
  <c r="H1928" i="28"/>
  <c r="H1917" i="28"/>
  <c r="H1908" i="28"/>
  <c r="H1899" i="28"/>
  <c r="H1885" i="28"/>
  <c r="H1876" i="28"/>
  <c r="H1867" i="28"/>
  <c r="H1853" i="28"/>
  <c r="H1844" i="28"/>
  <c r="H1835" i="28"/>
  <c r="H1821" i="28"/>
  <c r="H1812" i="28"/>
  <c r="H1803" i="28"/>
  <c r="H1789" i="28"/>
  <c r="H1780" i="28"/>
  <c r="H1771" i="28"/>
  <c r="H1757" i="28"/>
  <c r="H1748" i="28"/>
  <c r="H1739" i="28"/>
  <c r="H1725" i="28"/>
  <c r="H1716" i="28"/>
  <c r="H1707" i="28"/>
  <c r="H1693" i="28"/>
  <c r="H1684" i="28"/>
  <c r="H1675" i="28"/>
  <c r="H1661" i="28"/>
  <c r="H1652" i="28"/>
  <c r="H1643" i="28"/>
  <c r="H1629" i="28"/>
  <c r="H1620" i="28"/>
  <c r="H1611" i="28"/>
  <c r="H1597" i="28"/>
  <c r="H1593" i="28"/>
  <c r="H1589" i="28"/>
  <c r="H1585" i="28"/>
  <c r="H1581" i="28"/>
  <c r="H1577" i="28"/>
  <c r="H1573" i="28"/>
  <c r="H1569" i="28"/>
  <c r="H1565" i="28"/>
  <c r="H1561" i="28"/>
  <c r="H1557" i="28"/>
  <c r="H1553" i="28"/>
  <c r="H1549" i="28"/>
  <c r="H1545" i="28"/>
  <c r="H1541" i="28"/>
  <c r="H1537" i="28"/>
  <c r="H1533" i="28"/>
  <c r="H1529" i="28"/>
  <c r="H1525" i="28"/>
  <c r="H1521" i="28"/>
  <c r="H1517" i="28"/>
  <c r="H1513" i="28"/>
  <c r="H1509" i="28"/>
  <c r="H1505" i="28"/>
  <c r="H1501" i="28"/>
  <c r="H1497" i="28"/>
  <c r="H1493" i="28"/>
  <c r="H1489" i="28"/>
  <c r="H1485" i="28"/>
  <c r="H1481" i="28"/>
  <c r="H1477" i="28"/>
  <c r="H1473" i="28"/>
  <c r="H1469" i="28"/>
  <c r="H1465" i="28"/>
  <c r="H1461" i="28"/>
  <c r="H1457" i="28"/>
  <c r="H1453" i="28"/>
  <c r="H1449" i="28"/>
  <c r="H1445" i="28"/>
  <c r="H1441" i="28"/>
  <c r="H1437" i="28"/>
  <c r="H1433" i="28"/>
  <c r="H1429" i="28"/>
  <c r="H1425" i="28"/>
  <c r="H1421" i="28"/>
  <c r="H1417" i="28"/>
  <c r="H1413" i="28"/>
  <c r="H1409" i="28"/>
  <c r="H1405" i="28"/>
  <c r="H1401" i="28"/>
  <c r="H1397" i="28"/>
  <c r="H1393" i="28"/>
  <c r="H1389" i="28"/>
  <c r="H1385" i="28"/>
  <c r="H1381" i="28"/>
  <c r="H1377" i="28"/>
  <c r="H1373" i="28"/>
  <c r="H1369" i="28"/>
  <c r="H1365" i="28"/>
  <c r="H1361" i="28"/>
  <c r="H1357" i="28"/>
  <c r="H1353" i="28"/>
  <c r="H1349" i="28"/>
  <c r="H1345" i="28"/>
  <c r="H1341" i="28"/>
  <c r="H1337" i="28"/>
  <c r="H1333" i="28"/>
  <c r="H1329" i="28"/>
  <c r="H1325" i="28"/>
  <c r="H1321" i="28"/>
  <c r="H1317" i="28"/>
  <c r="H1313" i="28"/>
  <c r="H1309" i="28"/>
  <c r="H1305" i="28"/>
  <c r="H1301" i="28"/>
  <c r="H1297" i="28"/>
  <c r="H1293" i="28"/>
  <c r="H1289" i="28"/>
  <c r="H1285" i="28"/>
  <c r="H1281" i="28"/>
  <c r="H1277" i="28"/>
  <c r="H1273" i="28"/>
  <c r="H1269" i="28"/>
  <c r="H1265" i="28"/>
  <c r="H1261" i="28"/>
  <c r="H1257" i="28"/>
  <c r="H1253" i="28"/>
  <c r="H1249" i="28"/>
  <c r="H1245" i="28"/>
  <c r="H1241" i="28"/>
  <c r="H1237" i="28"/>
  <c r="H1233" i="28"/>
  <c r="H1229" i="28"/>
  <c r="H1225" i="28"/>
  <c r="H1221" i="28"/>
  <c r="H1217" i="28"/>
  <c r="H1213" i="28"/>
  <c r="H1209" i="28"/>
  <c r="H1205" i="28"/>
  <c r="H1201" i="28"/>
  <c r="H1197" i="28"/>
  <c r="H1193" i="28"/>
  <c r="H1189" i="28"/>
  <c r="H1185" i="28"/>
  <c r="H1181" i="28"/>
  <c r="H1177" i="28"/>
  <c r="H1173" i="28"/>
  <c r="H1169" i="28"/>
  <c r="H1165" i="28"/>
  <c r="H1161" i="28"/>
  <c r="H1157" i="28"/>
  <c r="H1153" i="28"/>
  <c r="H1149" i="28"/>
  <c r="H1145" i="28"/>
  <c r="H1141" i="28"/>
  <c r="H1137" i="28"/>
  <c r="H1133" i="28"/>
  <c r="H1129" i="28"/>
  <c r="H1125" i="28"/>
  <c r="H1121" i="28"/>
  <c r="H1117" i="28"/>
  <c r="H1113" i="28"/>
  <c r="H1109" i="28"/>
  <c r="H1105" i="28"/>
  <c r="H1101" i="28"/>
  <c r="H1097" i="28"/>
  <c r="H1093" i="28"/>
  <c r="H1089" i="28"/>
  <c r="H1085" i="28"/>
  <c r="H1081" i="28"/>
  <c r="H1077" i="28"/>
  <c r="H1073" i="28"/>
  <c r="H1069" i="28"/>
  <c r="H1065" i="28"/>
  <c r="H1061" i="28"/>
  <c r="H1057" i="28"/>
  <c r="H1053" i="28"/>
  <c r="H1049" i="28"/>
  <c r="H1045" i="28"/>
  <c r="H1041" i="28"/>
  <c r="H1037" i="28"/>
  <c r="H1033" i="28"/>
  <c r="H1029" i="28"/>
  <c r="H1025" i="28"/>
  <c r="H1021" i="28"/>
  <c r="H1017" i="28"/>
  <c r="H1013" i="28"/>
  <c r="H1009" i="28"/>
  <c r="H1005" i="28"/>
  <c r="H1001" i="28"/>
  <c r="H997" i="28"/>
  <c r="H993" i="28"/>
  <c r="H989" i="28"/>
  <c r="H985" i="28"/>
  <c r="H981" i="28"/>
  <c r="H977" i="28"/>
  <c r="H973" i="28"/>
  <c r="H969" i="28"/>
  <c r="H965" i="28"/>
  <c r="H961" i="28"/>
  <c r="H957" i="28"/>
  <c r="H953" i="28"/>
  <c r="H949" i="28"/>
  <c r="H945" i="28"/>
  <c r="H941" i="28"/>
  <c r="H937" i="28"/>
  <c r="H933" i="28"/>
  <c r="H929" i="28"/>
  <c r="H925" i="28"/>
  <c r="H921" i="28"/>
  <c r="H917" i="28"/>
  <c r="H913" i="28"/>
  <c r="H909" i="28"/>
  <c r="H905" i="28"/>
  <c r="H901" i="28"/>
  <c r="H897" i="28"/>
  <c r="H893" i="28"/>
  <c r="H889" i="28"/>
  <c r="H885" i="28"/>
  <c r="H881" i="28"/>
  <c r="H877" i="28"/>
  <c r="H873" i="28"/>
  <c r="H869" i="28"/>
  <c r="H865" i="28"/>
  <c r="H861" i="28"/>
  <c r="H857" i="28"/>
  <c r="H853" i="28"/>
  <c r="H849" i="28"/>
  <c r="H845" i="28"/>
  <c r="H841" i="28"/>
  <c r="H837" i="28"/>
  <c r="H833" i="28"/>
  <c r="H829" i="28"/>
  <c r="H825" i="28"/>
  <c r="H821" i="28"/>
  <c r="H817" i="28"/>
  <c r="H813" i="28"/>
  <c r="H809" i="28"/>
  <c r="H805" i="28"/>
  <c r="H801" i="28"/>
  <c r="H797" i="28"/>
  <c r="H793" i="28"/>
  <c r="H789" i="28"/>
  <c r="H785" i="28"/>
  <c r="H781" i="28"/>
  <c r="H777" i="28"/>
  <c r="H773" i="28"/>
  <c r="H769" i="28"/>
  <c r="H765" i="28"/>
  <c r="H761" i="28"/>
  <c r="H757" i="28"/>
  <c r="H753" i="28"/>
  <c r="H749" i="28"/>
  <c r="H745" i="28"/>
  <c r="H741" i="28"/>
  <c r="H737" i="28"/>
  <c r="H733" i="28"/>
  <c r="H729" i="28"/>
  <c r="H725" i="28"/>
  <c r="H721" i="28"/>
  <c r="H717" i="28"/>
  <c r="H713" i="28"/>
  <c r="H709" i="28"/>
  <c r="H705" i="28"/>
  <c r="H701" i="28"/>
  <c r="H697" i="28"/>
  <c r="H693" i="28"/>
  <c r="H689" i="28"/>
  <c r="H685" i="28"/>
  <c r="H681" i="28"/>
  <c r="H677" i="28"/>
  <c r="H673" i="28"/>
  <c r="H669" i="28"/>
  <c r="H665" i="28"/>
  <c r="H661" i="28"/>
  <c r="H657" i="28"/>
  <c r="H653" i="28"/>
  <c r="H649" i="28"/>
  <c r="H645" i="28"/>
  <c r="H641" i="28"/>
  <c r="H637" i="28"/>
  <c r="H633" i="28"/>
  <c r="H629" i="28"/>
  <c r="H625" i="28"/>
  <c r="H621" i="28"/>
  <c r="H617" i="28"/>
  <c r="H613" i="28"/>
  <c r="H609" i="28"/>
  <c r="H605" i="28"/>
  <c r="H601" i="28"/>
  <c r="H597" i="28"/>
  <c r="H593" i="28"/>
  <c r="H589" i="28"/>
  <c r="H585" i="28"/>
  <c r="H581" i="28"/>
  <c r="H577" i="28"/>
  <c r="H573" i="28"/>
  <c r="H569" i="28"/>
  <c r="H565" i="28"/>
  <c r="H561" i="28"/>
  <c r="H6787" i="28"/>
  <c r="H6412" i="28"/>
  <c r="H6173" i="28"/>
  <c r="H5968" i="28"/>
  <c r="H5764" i="28"/>
  <c r="H5634" i="28"/>
  <c r="H5540" i="28"/>
  <c r="H5475" i="28"/>
  <c r="H5411" i="28"/>
  <c r="H5347" i="28"/>
  <c r="H5283" i="28"/>
  <c r="H5225" i="28"/>
  <c r="H2071" i="28"/>
  <c r="H2065" i="28"/>
  <c r="H2048" i="28"/>
  <c r="H2019" i="28"/>
  <c r="H2007" i="28"/>
  <c r="H2001" i="28"/>
  <c r="H1984" i="28"/>
  <c r="H1955" i="28"/>
  <c r="H1943" i="28"/>
  <c r="H1937" i="28"/>
  <c r="H1920" i="28"/>
  <c r="H1911" i="28"/>
  <c r="H1897" i="28"/>
  <c r="H1888" i="28"/>
  <c r="H1879" i="28"/>
  <c r="H1865" i="28"/>
  <c r="H1856" i="28"/>
  <c r="H1847" i="28"/>
  <c r="H1833" i="28"/>
  <c r="H1824" i="28"/>
  <c r="H1815" i="28"/>
  <c r="H1801" i="28"/>
  <c r="H1792" i="28"/>
  <c r="H1783" i="28"/>
  <c r="H1769" i="28"/>
  <c r="H1760" i="28"/>
  <c r="H1751" i="28"/>
  <c r="H1737" i="28"/>
  <c r="H1728" i="28"/>
  <c r="H1719" i="28"/>
  <c r="H1705" i="28"/>
  <c r="H1696" i="28"/>
  <c r="H1687" i="28"/>
  <c r="H1673" i="28"/>
  <c r="H1664" i="28"/>
  <c r="H1655" i="28"/>
  <c r="H1641" i="28"/>
  <c r="H1632" i="28"/>
  <c r="H1623" i="28"/>
  <c r="H1609" i="28"/>
  <c r="H1600" i="28"/>
  <c r="H7" i="28"/>
  <c r="H18" i="28"/>
  <c r="H21" i="28"/>
  <c r="H456" i="28"/>
  <c r="H465" i="28"/>
  <c r="H474" i="28"/>
  <c r="H488" i="28"/>
  <c r="H497" i="28"/>
  <c r="H506" i="28"/>
  <c r="H520" i="28"/>
  <c r="H529" i="28"/>
  <c r="H538" i="28"/>
  <c r="H552" i="28"/>
  <c r="H568" i="28"/>
  <c r="H600" i="28"/>
  <c r="H632" i="28"/>
  <c r="H664" i="28"/>
  <c r="H696" i="28"/>
  <c r="H728" i="28"/>
  <c r="H760" i="28"/>
  <c r="H792" i="28"/>
  <c r="H824" i="28"/>
  <c r="H856" i="28"/>
  <c r="H888" i="28"/>
  <c r="H920" i="28"/>
  <c r="H952" i="28"/>
  <c r="H984" i="28"/>
  <c r="H1016" i="28"/>
  <c r="H1048" i="28"/>
  <c r="H1080" i="28"/>
  <c r="H1112" i="28"/>
  <c r="H1144" i="28"/>
  <c r="H1176" i="28"/>
  <c r="H1208" i="28"/>
  <c r="H1240" i="28"/>
  <c r="H1272" i="28"/>
  <c r="H1304" i="28"/>
  <c r="H1336" i="28"/>
  <c r="H1368" i="28"/>
  <c r="H1400" i="28"/>
  <c r="H1432" i="28"/>
  <c r="H1464" i="28"/>
  <c r="H1496" i="28"/>
  <c r="H1528" i="28"/>
  <c r="H1560" i="28"/>
  <c r="H1592" i="28"/>
  <c r="H1605" i="28"/>
  <c r="H1619" i="28"/>
  <c r="H1720" i="28"/>
  <c r="H1733" i="28"/>
  <c r="H1747" i="28"/>
  <c r="H1848" i="28"/>
  <c r="H1861" i="28"/>
  <c r="H1875" i="28"/>
  <c r="H1996" i="28"/>
  <c r="H2025" i="28"/>
  <c r="H5353" i="28"/>
  <c r="H5644" i="28"/>
  <c r="H6442" i="28"/>
  <c r="H15" i="28"/>
  <c r="H24" i="28"/>
  <c r="H28" i="28"/>
  <c r="H32" i="28"/>
  <c r="H36" i="28"/>
  <c r="H40" i="28"/>
  <c r="H44" i="28"/>
  <c r="H48" i="28"/>
  <c r="H52" i="28"/>
  <c r="H56" i="28"/>
  <c r="H60" i="28"/>
  <c r="H64" i="28"/>
  <c r="H68" i="28"/>
  <c r="H72" i="28"/>
  <c r="H76" i="28"/>
  <c r="H80" i="28"/>
  <c r="H84" i="28"/>
  <c r="H88" i="28"/>
  <c r="H92" i="28"/>
  <c r="H96" i="28"/>
  <c r="H100" i="28"/>
  <c r="H104" i="28"/>
  <c r="H108" i="28"/>
  <c r="H112" i="28"/>
  <c r="H116" i="28"/>
  <c r="H120" i="28"/>
  <c r="H124" i="28"/>
  <c r="H128" i="28"/>
  <c r="H132" i="28"/>
  <c r="H136" i="28"/>
  <c r="H140" i="28"/>
  <c r="H144" i="28"/>
  <c r="H148" i="28"/>
  <c r="H152" i="28"/>
  <c r="H156" i="28"/>
  <c r="H160" i="28"/>
  <c r="H164" i="28"/>
  <c r="H168" i="28"/>
  <c r="H172" i="28"/>
  <c r="H176" i="28"/>
  <c r="H180" i="28"/>
  <c r="H184" i="28"/>
  <c r="H188" i="28"/>
  <c r="H192" i="28"/>
  <c r="H196" i="28"/>
  <c r="H200" i="28"/>
  <c r="H204" i="28"/>
  <c r="H208" i="28"/>
  <c r="H212" i="28"/>
  <c r="H216" i="28"/>
  <c r="H220" i="28"/>
  <c r="H224" i="28"/>
  <c r="H228" i="28"/>
  <c r="H232" i="28"/>
  <c r="H236" i="28"/>
  <c r="H240" i="28"/>
  <c r="H244" i="28"/>
  <c r="H248" i="28"/>
  <c r="H252" i="28"/>
  <c r="H256" i="28"/>
  <c r="H260" i="28"/>
  <c r="H264" i="28"/>
  <c r="H268" i="28"/>
  <c r="H272" i="28"/>
  <c r="H276" i="28"/>
  <c r="H280" i="28"/>
  <c r="H284" i="28"/>
  <c r="H288" i="28"/>
  <c r="H292" i="28"/>
  <c r="H296" i="28"/>
  <c r="H300" i="28"/>
  <c r="H304" i="28"/>
  <c r="H308" i="28"/>
  <c r="H312" i="28"/>
  <c r="H316" i="28"/>
  <c r="H320" i="28"/>
  <c r="H324" i="28"/>
  <c r="H328" i="28"/>
  <c r="H332" i="28"/>
  <c r="H336" i="28"/>
  <c r="H340" i="28"/>
  <c r="H344" i="28"/>
  <c r="H348" i="28"/>
  <c r="H352" i="28"/>
  <c r="H356" i="28"/>
  <c r="H360" i="28"/>
  <c r="H364" i="28"/>
  <c r="H368" i="28"/>
  <c r="H372" i="28"/>
  <c r="H376" i="28"/>
  <c r="H380" i="28"/>
  <c r="H384" i="28"/>
  <c r="H388" i="28"/>
  <c r="H392" i="28"/>
  <c r="H396" i="28"/>
  <c r="H400" i="28"/>
  <c r="H404" i="28"/>
  <c r="H408" i="28"/>
  <c r="H412" i="28"/>
  <c r="H416" i="28"/>
  <c r="H420" i="28"/>
  <c r="H424" i="28"/>
  <c r="H428" i="28"/>
  <c r="H432" i="28"/>
  <c r="H436" i="28"/>
  <c r="H440" i="28"/>
  <c r="H444" i="28"/>
  <c r="H448" i="28"/>
  <c r="H452" i="28"/>
  <c r="H461" i="28"/>
  <c r="H470" i="28"/>
  <c r="H484" i="28"/>
  <c r="H493" i="28"/>
  <c r="H502" i="28"/>
  <c r="H516" i="28"/>
  <c r="H525" i="28"/>
  <c r="H534" i="28"/>
  <c r="H548" i="28"/>
  <c r="H557" i="28"/>
  <c r="H588" i="28"/>
  <c r="H620" i="28"/>
  <c r="H652" i="28"/>
  <c r="H684" i="28"/>
  <c r="H716" i="28"/>
  <c r="H748" i="28"/>
  <c r="H780" i="28"/>
  <c r="H812" i="28"/>
  <c r="H844" i="28"/>
  <c r="H876" i="28"/>
  <c r="H908" i="28"/>
  <c r="H940" i="28"/>
  <c r="H972" i="28"/>
  <c r="H1004" i="28"/>
  <c r="H1036" i="28"/>
  <c r="H1068" i="28"/>
  <c r="H1100" i="28"/>
  <c r="H1132" i="28"/>
  <c r="H1164" i="28"/>
  <c r="H1196" i="28"/>
  <c r="H1228" i="28"/>
  <c r="H1260" i="28"/>
  <c r="H1292" i="28"/>
  <c r="H1324" i="28"/>
  <c r="H1356" i="28"/>
  <c r="H1388" i="28"/>
  <c r="H1420" i="28"/>
  <c r="H1452" i="28"/>
  <c r="H1484" i="28"/>
  <c r="H1516" i="28"/>
  <c r="H1548" i="28"/>
  <c r="H1580" i="28"/>
  <c r="H1633" i="28"/>
  <c r="H1647" i="28"/>
  <c r="H1660" i="28"/>
  <c r="H1761" i="28"/>
  <c r="H1775" i="28"/>
  <c r="H1788" i="28"/>
  <c r="H1889" i="28"/>
  <c r="H1903" i="28"/>
  <c r="H1916" i="28"/>
  <c r="H5363" i="28"/>
  <c r="H5660" i="28"/>
  <c r="H6506" i="28"/>
  <c r="H274" i="28"/>
  <c r="H282" i="28"/>
  <c r="H290" i="28"/>
  <c r="H298" i="28"/>
  <c r="H302" i="28"/>
  <c r="H310" i="28"/>
  <c r="H318" i="28"/>
  <c r="H326" i="28"/>
  <c r="H334" i="28"/>
  <c r="H342" i="28"/>
  <c r="H354" i="28"/>
  <c r="H362" i="28"/>
  <c r="H370" i="28"/>
  <c r="H382" i="28"/>
  <c r="H390" i="28"/>
  <c r="H398" i="28"/>
  <c r="H406" i="28"/>
  <c r="H414" i="28"/>
  <c r="H426" i="28"/>
  <c r="H434" i="28"/>
  <c r="H442" i="28"/>
  <c r="H450" i="28"/>
  <c r="H500" i="28"/>
  <c r="H509" i="28"/>
  <c r="H518" i="28"/>
  <c r="H532" i="28"/>
  <c r="H541" i="28"/>
  <c r="H604" i="28"/>
  <c r="H636" i="28"/>
  <c r="H700" i="28"/>
  <c r="H828" i="28"/>
  <c r="H892" i="28"/>
  <c r="H924" i="28"/>
  <c r="H956" i="28"/>
  <c r="H1084" i="28"/>
  <c r="H1116" i="28"/>
  <c r="H1244" i="28"/>
  <c r="H1276" i="28"/>
  <c r="H1340" i="28"/>
  <c r="H1404" i="28"/>
  <c r="H1532" i="28"/>
  <c r="H1564" i="28"/>
  <c r="H1596" i="28"/>
  <c r="H1711" i="28"/>
  <c r="H1724" i="28"/>
  <c r="H1825" i="28"/>
  <c r="H1839" i="28"/>
  <c r="H1852" i="28"/>
  <c r="H2037" i="28"/>
  <c r="H5238" i="28"/>
  <c r="H6020" i="28"/>
  <c r="H4" i="28"/>
  <c r="H10" i="28"/>
  <c r="H12" i="28"/>
  <c r="H11" i="28"/>
  <c r="H5" i="28"/>
  <c r="H19" i="28"/>
  <c r="H457" i="28"/>
  <c r="H466" i="28"/>
  <c r="H480" i="28"/>
  <c r="H489" i="28"/>
  <c r="H498" i="28"/>
  <c r="H512" i="28"/>
  <c r="H521" i="28"/>
  <c r="H530" i="28"/>
  <c r="H544" i="28"/>
  <c r="H553" i="28"/>
  <c r="H576" i="28"/>
  <c r="H608" i="28"/>
  <c r="H640" i="28"/>
  <c r="H672" i="28"/>
  <c r="H704" i="28"/>
  <c r="H736" i="28"/>
  <c r="H768" i="28"/>
  <c r="H800" i="28"/>
  <c r="H832" i="28"/>
  <c r="H864" i="28"/>
  <c r="H896" i="28"/>
  <c r="H928" i="28"/>
  <c r="H960" i="28"/>
  <c r="H992" i="28"/>
  <c r="H1024" i="28"/>
  <c r="H1056" i="28"/>
  <c r="H1088" i="28"/>
  <c r="H1120" i="28"/>
  <c r="H1152" i="28"/>
  <c r="H1184" i="28"/>
  <c r="H1216" i="28"/>
  <c r="H1248" i="28"/>
  <c r="H1280" i="28"/>
  <c r="H1312" i="28"/>
  <c r="H1344" i="28"/>
  <c r="H1376" i="28"/>
  <c r="H1408" i="28"/>
  <c r="H1440" i="28"/>
  <c r="H1472" i="28"/>
  <c r="H1504" i="28"/>
  <c r="H1536" i="28"/>
  <c r="H1568" i="28"/>
  <c r="H1688" i="28"/>
  <c r="H1701" i="28"/>
  <c r="H1715" i="28"/>
  <c r="H1816" i="28"/>
  <c r="H1829" i="28"/>
  <c r="H1843" i="28"/>
  <c r="H1932" i="28"/>
  <c r="H1961" i="28"/>
  <c r="H2020" i="28"/>
  <c r="H5417" i="28"/>
  <c r="H5780" i="28"/>
  <c r="H6818" i="28"/>
  <c r="H8" i="28"/>
  <c r="H373" i="28"/>
  <c r="H377" i="28"/>
  <c r="H381" i="28"/>
  <c r="H385" i="28"/>
  <c r="H389" i="28"/>
  <c r="H393" i="28"/>
  <c r="H397" i="28"/>
  <c r="H401" i="28"/>
  <c r="H405" i="28"/>
  <c r="H409" i="28"/>
  <c r="H413" i="28"/>
  <c r="H417" i="28"/>
  <c r="H421" i="28"/>
  <c r="H425" i="28"/>
  <c r="H429" i="28"/>
  <c r="H433" i="28"/>
  <c r="H437" i="28"/>
  <c r="H441" i="28"/>
  <c r="H445" i="28"/>
  <c r="H449" i="28"/>
  <c r="H453" i="28"/>
  <c r="H462" i="28"/>
  <c r="H476" i="28"/>
  <c r="H485" i="28"/>
  <c r="H494" i="28"/>
  <c r="H508" i="28"/>
  <c r="H517" i="28"/>
  <c r="H526" i="28"/>
  <c r="H540" i="28"/>
  <c r="H549" i="28"/>
  <c r="H558" i="28"/>
  <c r="H564" i="28"/>
  <c r="H596" i="28"/>
  <c r="H628" i="28"/>
  <c r="H660" i="28"/>
  <c r="H692" i="28"/>
  <c r="H724" i="28"/>
  <c r="H756" i="28"/>
  <c r="H788" i="28"/>
  <c r="H820" i="28"/>
  <c r="H852" i="28"/>
  <c r="H884" i="28"/>
  <c r="H916" i="28"/>
  <c r="H948" i="28"/>
  <c r="H980" i="28"/>
  <c r="H1012" i="28"/>
  <c r="H1044" i="28"/>
  <c r="H1076" i="28"/>
  <c r="H1108" i="28"/>
  <c r="H1140" i="28"/>
  <c r="H1172" i="28"/>
  <c r="H1204" i="28"/>
  <c r="H1236" i="28"/>
  <c r="H1268" i="28"/>
  <c r="H1300" i="28"/>
  <c r="H1332" i="28"/>
  <c r="H1364" i="28"/>
  <c r="H1396" i="28"/>
  <c r="H1428" i="28"/>
  <c r="H1460" i="28"/>
  <c r="H1492" i="28"/>
  <c r="H1524" i="28"/>
  <c r="H1556" i="28"/>
  <c r="H1588" i="28"/>
  <c r="H1601" i="28"/>
  <c r="H1615" i="28"/>
  <c r="H1628" i="28"/>
  <c r="H1729" i="28"/>
  <c r="H1743" i="28"/>
  <c r="H1756" i="28"/>
  <c r="H1857" i="28"/>
  <c r="H1871" i="28"/>
  <c r="H1884" i="28"/>
  <c r="H5187" i="28"/>
  <c r="H5427" i="28"/>
  <c r="H5815" i="28"/>
  <c r="H6882" i="28"/>
  <c r="G99" i="27"/>
  <c r="E75" i="27"/>
  <c r="E95" i="27"/>
  <c r="E97" i="27" s="1"/>
  <c r="E89" i="27"/>
  <c r="I99" i="27"/>
  <c r="D89" i="27"/>
  <c r="D75" i="27"/>
  <c r="D95" i="27"/>
  <c r="D97" i="27" s="1"/>
  <c r="G95" i="27"/>
  <c r="G89" i="27"/>
  <c r="G75" i="27"/>
  <c r="J99" i="27"/>
  <c r="K89" i="27"/>
  <c r="K75" i="27"/>
  <c r="K95" i="27"/>
  <c r="K97" i="27" s="1"/>
  <c r="D69" i="27"/>
  <c r="J82" i="27"/>
  <c r="J95" i="27"/>
  <c r="I96" i="27"/>
  <c r="I97" i="27" s="1"/>
  <c r="K69" i="27"/>
  <c r="F88" i="27"/>
  <c r="F94" i="27" s="1"/>
  <c r="H95" i="27"/>
  <c r="H97" i="27" s="1"/>
  <c r="D72" i="27"/>
  <c r="E72" i="27"/>
  <c r="C73" i="27"/>
  <c r="I75" i="27"/>
  <c r="H89" i="27"/>
  <c r="J96" i="27"/>
  <c r="G69" i="27"/>
  <c r="J75" i="27"/>
  <c r="I89" i="27"/>
  <c r="G96" i="27"/>
  <c r="E99" i="27"/>
  <c r="G88" i="27"/>
  <c r="G94" i="27" s="1"/>
  <c r="F89" i="27"/>
  <c r="E69" i="27"/>
  <c r="B100" i="23"/>
  <c r="B99" i="23"/>
  <c r="B98" i="23"/>
  <c r="B97" i="23"/>
  <c r="B96" i="23"/>
  <c r="B95" i="23"/>
  <c r="B94" i="23"/>
  <c r="B90" i="23"/>
  <c r="B89" i="23"/>
  <c r="B88" i="23"/>
  <c r="B87" i="23"/>
  <c r="B86" i="23"/>
  <c r="B85" i="23"/>
  <c r="B84" i="23"/>
  <c r="B83" i="23"/>
  <c r="B82" i="23"/>
  <c r="B81" i="23"/>
  <c r="B77" i="23"/>
  <c r="B75" i="23"/>
  <c r="B74" i="23"/>
  <c r="B73" i="23"/>
  <c r="B72" i="23"/>
  <c r="B71" i="23"/>
  <c r="B70" i="23"/>
  <c r="H17" i="29" l="1"/>
  <c r="H18" i="29"/>
  <c r="C99" i="27"/>
  <c r="K10" i="29"/>
  <c r="K17" i="29" s="1"/>
  <c r="C33" i="29"/>
  <c r="K37" i="29"/>
  <c r="N20" i="28"/>
  <c r="L27" i="28"/>
  <c r="M27" i="28" s="1"/>
  <c r="N27" i="28" s="1"/>
  <c r="L28" i="28"/>
  <c r="M28" i="28" s="1"/>
  <c r="N28" i="28" s="1"/>
  <c r="N22" i="28"/>
  <c r="L29" i="28"/>
  <c r="M29" i="28" s="1"/>
  <c r="N29" i="28" s="1"/>
  <c r="L26" i="28"/>
  <c r="M26" i="28" s="1"/>
  <c r="N26" i="28" s="1"/>
  <c r="N19" i="28"/>
  <c r="N21" i="28"/>
  <c r="H99" i="27"/>
  <c r="G97" i="27"/>
  <c r="C89" i="27"/>
  <c r="C75" i="27"/>
  <c r="C95" i="27"/>
  <c r="C97" i="27" s="1"/>
  <c r="J97" i="27"/>
  <c r="D33" i="29" l="1"/>
  <c r="E33" i="29" s="1"/>
  <c r="E31" i="29" s="1"/>
  <c r="D31" i="29"/>
  <c r="D30" i="29"/>
  <c r="K18" i="29"/>
  <c r="K29" i="29" s="1"/>
  <c r="B75" i="21"/>
  <c r="C56" i="23" s="1"/>
  <c r="K75" i="21"/>
  <c r="L56" i="23" s="1"/>
  <c r="J75" i="21"/>
  <c r="K56" i="23" s="1"/>
  <c r="I75" i="21"/>
  <c r="J56" i="23" s="1"/>
  <c r="H75" i="21"/>
  <c r="I56" i="23" s="1"/>
  <c r="G75" i="21"/>
  <c r="H56" i="23" s="1"/>
  <c r="F75" i="21"/>
  <c r="G56" i="23" s="1"/>
  <c r="E75" i="21"/>
  <c r="F56" i="23" s="1"/>
  <c r="D75" i="21"/>
  <c r="E56" i="23" s="1"/>
  <c r="C75" i="21"/>
  <c r="D56" i="23" s="1"/>
  <c r="K38" i="29" l="1"/>
  <c r="E32" i="29"/>
  <c r="K30" i="29" s="1"/>
  <c r="K32" i="29" s="1"/>
  <c r="K24" i="29" s="1"/>
  <c r="K25" i="29" s="1"/>
  <c r="J38" i="29" s="1"/>
  <c r="H73" i="21"/>
  <c r="B77" i="21"/>
  <c r="C9" i="23"/>
  <c r="D9" i="23"/>
  <c r="E9" i="23"/>
  <c r="F9" i="23"/>
  <c r="G9" i="23"/>
  <c r="H9" i="23"/>
  <c r="I9" i="23"/>
  <c r="J9" i="23"/>
  <c r="K9" i="23"/>
  <c r="L9" i="23"/>
  <c r="K39" i="29" l="1"/>
  <c r="D15" i="30" s="1"/>
  <c r="H19" i="30" s="1"/>
  <c r="C33" i="22"/>
  <c r="B2" i="23"/>
  <c r="C3" i="23"/>
  <c r="D3" i="23" s="1"/>
  <c r="E3" i="23" s="1"/>
  <c r="F3" i="23" s="1"/>
  <c r="G3" i="23" s="1"/>
  <c r="H3" i="23" s="1"/>
  <c r="I3" i="23" s="1"/>
  <c r="J3" i="23" s="1"/>
  <c r="K3" i="23" s="1"/>
  <c r="L3" i="23" s="1"/>
  <c r="L100" i="23"/>
  <c r="K100" i="23"/>
  <c r="J100" i="23"/>
  <c r="I100" i="23"/>
  <c r="H100" i="23"/>
  <c r="G100" i="23"/>
  <c r="F100" i="23"/>
  <c r="E100" i="23"/>
  <c r="D100" i="23"/>
  <c r="L99" i="23"/>
  <c r="K99" i="23"/>
  <c r="J99" i="23"/>
  <c r="I99" i="23"/>
  <c r="H99" i="23"/>
  <c r="G99" i="23"/>
  <c r="F99" i="23"/>
  <c r="E99" i="23"/>
  <c r="D99" i="23"/>
  <c r="L98" i="23"/>
  <c r="K98" i="23"/>
  <c r="J98" i="23"/>
  <c r="I98" i="23"/>
  <c r="H98" i="23"/>
  <c r="G98" i="23"/>
  <c r="F98" i="23"/>
  <c r="E98" i="23"/>
  <c r="D98" i="23"/>
  <c r="L97" i="23"/>
  <c r="K97" i="23"/>
  <c r="J97" i="23"/>
  <c r="I97" i="23"/>
  <c r="H97" i="23"/>
  <c r="G97" i="23"/>
  <c r="F97" i="23"/>
  <c r="E97" i="23"/>
  <c r="D97" i="23"/>
  <c r="L96" i="23"/>
  <c r="K96" i="23"/>
  <c r="J96" i="23"/>
  <c r="I96" i="23"/>
  <c r="H96" i="23"/>
  <c r="G96" i="23"/>
  <c r="F96" i="23"/>
  <c r="E96" i="23"/>
  <c r="D96" i="23"/>
  <c r="L95" i="23"/>
  <c r="K95" i="23"/>
  <c r="J95" i="23"/>
  <c r="I95" i="23"/>
  <c r="H95" i="23"/>
  <c r="G95" i="23"/>
  <c r="F95" i="23"/>
  <c r="E95" i="23"/>
  <c r="D95" i="23"/>
  <c r="L94" i="23"/>
  <c r="K94" i="23"/>
  <c r="J94" i="23"/>
  <c r="I94" i="23"/>
  <c r="H94" i="23"/>
  <c r="G94" i="23"/>
  <c r="F94" i="23"/>
  <c r="E94" i="23"/>
  <c r="D94" i="23"/>
  <c r="C100" i="23"/>
  <c r="C99" i="23"/>
  <c r="C98" i="23"/>
  <c r="C97" i="23"/>
  <c r="C96" i="23"/>
  <c r="C95" i="23"/>
  <c r="C94" i="23"/>
  <c r="L90" i="23"/>
  <c r="K90" i="23"/>
  <c r="J90" i="23"/>
  <c r="I90" i="23"/>
  <c r="H90" i="23"/>
  <c r="G90" i="23"/>
  <c r="F90" i="23"/>
  <c r="E90" i="23"/>
  <c r="D90" i="23"/>
  <c r="L89" i="23"/>
  <c r="K89" i="23"/>
  <c r="J89" i="23"/>
  <c r="I89" i="23"/>
  <c r="H89" i="23"/>
  <c r="G89" i="23"/>
  <c r="F89" i="23"/>
  <c r="E89" i="23"/>
  <c r="D89" i="23"/>
  <c r="L88" i="23"/>
  <c r="K88" i="23"/>
  <c r="J88" i="23"/>
  <c r="I88" i="23"/>
  <c r="H88" i="23"/>
  <c r="G88" i="23"/>
  <c r="F88" i="23"/>
  <c r="E88" i="23"/>
  <c r="D88" i="23"/>
  <c r="L87" i="23"/>
  <c r="K87" i="23"/>
  <c r="J87" i="23"/>
  <c r="I87" i="23"/>
  <c r="H87" i="23"/>
  <c r="G87" i="23"/>
  <c r="F87" i="23"/>
  <c r="E87" i="23"/>
  <c r="D87" i="23"/>
  <c r="L86" i="23"/>
  <c r="K86" i="23"/>
  <c r="J86" i="23"/>
  <c r="I86" i="23"/>
  <c r="H86" i="23"/>
  <c r="G86" i="23"/>
  <c r="F86" i="23"/>
  <c r="E86" i="23"/>
  <c r="D86" i="23"/>
  <c r="L85" i="23"/>
  <c r="K85" i="23"/>
  <c r="J85" i="23"/>
  <c r="I85" i="23"/>
  <c r="H85" i="23"/>
  <c r="G85" i="23"/>
  <c r="F85" i="23"/>
  <c r="E85" i="23"/>
  <c r="D85" i="23"/>
  <c r="L84" i="23"/>
  <c r="K84" i="23"/>
  <c r="J84" i="23"/>
  <c r="I84" i="23"/>
  <c r="H84" i="23"/>
  <c r="G84" i="23"/>
  <c r="F84" i="23"/>
  <c r="E84" i="23"/>
  <c r="D84" i="23"/>
  <c r="L83" i="23"/>
  <c r="K83" i="23"/>
  <c r="J83" i="23"/>
  <c r="I83" i="23"/>
  <c r="H83" i="23"/>
  <c r="G83" i="23"/>
  <c r="F83" i="23"/>
  <c r="E83" i="23"/>
  <c r="D83" i="23"/>
  <c r="L82" i="23"/>
  <c r="K82" i="23"/>
  <c r="J82" i="23"/>
  <c r="I82" i="23"/>
  <c r="H82" i="23"/>
  <c r="G82" i="23"/>
  <c r="F82" i="23"/>
  <c r="E82" i="23"/>
  <c r="D82" i="23"/>
  <c r="L81" i="23"/>
  <c r="K81" i="23"/>
  <c r="J81" i="23"/>
  <c r="I81" i="23"/>
  <c r="H81" i="23"/>
  <c r="G81" i="23"/>
  <c r="F81" i="23"/>
  <c r="E81" i="23"/>
  <c r="D81" i="23"/>
  <c r="C90" i="23"/>
  <c r="C89" i="23"/>
  <c r="C88" i="23"/>
  <c r="C87" i="23"/>
  <c r="C86" i="23"/>
  <c r="C85" i="23"/>
  <c r="C84" i="23"/>
  <c r="C83" i="23"/>
  <c r="C82" i="23"/>
  <c r="C81" i="23"/>
  <c r="L77" i="23"/>
  <c r="K77" i="23"/>
  <c r="J77" i="23"/>
  <c r="I77" i="23"/>
  <c r="H77" i="23"/>
  <c r="G77" i="23"/>
  <c r="F77" i="23"/>
  <c r="E77" i="23"/>
  <c r="D77" i="23"/>
  <c r="L75" i="23"/>
  <c r="K75" i="23"/>
  <c r="J75" i="23"/>
  <c r="I75" i="23"/>
  <c r="H75" i="23"/>
  <c r="G75" i="23"/>
  <c r="F75" i="23"/>
  <c r="E75" i="23"/>
  <c r="D75" i="23"/>
  <c r="L74" i="23"/>
  <c r="K74" i="23"/>
  <c r="J74" i="23"/>
  <c r="I74" i="23"/>
  <c r="H74" i="23"/>
  <c r="G74" i="23"/>
  <c r="F74" i="23"/>
  <c r="E74" i="23"/>
  <c r="D74" i="23"/>
  <c r="L73" i="23"/>
  <c r="K73" i="23"/>
  <c r="J73" i="23"/>
  <c r="I73" i="23"/>
  <c r="H73" i="23"/>
  <c r="G73" i="23"/>
  <c r="F73" i="23"/>
  <c r="E73" i="23"/>
  <c r="D73" i="23"/>
  <c r="L72" i="23"/>
  <c r="K72" i="23"/>
  <c r="J72" i="23"/>
  <c r="I72" i="23"/>
  <c r="H72" i="23"/>
  <c r="G72" i="23"/>
  <c r="F72" i="23"/>
  <c r="E72" i="23"/>
  <c r="D72" i="23"/>
  <c r="L71" i="23"/>
  <c r="K71" i="23"/>
  <c r="J71" i="23"/>
  <c r="I71" i="23"/>
  <c r="H71" i="23"/>
  <c r="G71" i="23"/>
  <c r="F71" i="23"/>
  <c r="E71" i="23"/>
  <c r="D71" i="23"/>
  <c r="L70" i="23"/>
  <c r="K70" i="23"/>
  <c r="J70" i="23"/>
  <c r="I70" i="23"/>
  <c r="H70" i="23"/>
  <c r="G70" i="23"/>
  <c r="F70" i="23"/>
  <c r="E70" i="23"/>
  <c r="D70" i="23"/>
  <c r="C77" i="23"/>
  <c r="C75" i="23"/>
  <c r="C74" i="23"/>
  <c r="C73" i="23"/>
  <c r="C72" i="23"/>
  <c r="C71" i="23"/>
  <c r="C70" i="23"/>
  <c r="L61" i="23"/>
  <c r="H28" i="30" s="1"/>
  <c r="L60" i="23"/>
  <c r="L59" i="23"/>
  <c r="K61" i="23"/>
  <c r="J61" i="23"/>
  <c r="I61" i="23"/>
  <c r="H61" i="23"/>
  <c r="G61" i="23"/>
  <c r="F61" i="23"/>
  <c r="E61" i="23"/>
  <c r="D61" i="23"/>
  <c r="C61" i="23"/>
  <c r="K60" i="23"/>
  <c r="J60" i="23"/>
  <c r="I60" i="23"/>
  <c r="H60" i="23"/>
  <c r="G60" i="23"/>
  <c r="F60" i="23"/>
  <c r="E60" i="23"/>
  <c r="D60" i="23"/>
  <c r="C60" i="23"/>
  <c r="K59" i="23"/>
  <c r="J59" i="23"/>
  <c r="I59" i="23"/>
  <c r="H59" i="23"/>
  <c r="G59" i="23"/>
  <c r="F59" i="23"/>
  <c r="E59" i="23"/>
  <c r="D59" i="23"/>
  <c r="C59" i="23"/>
  <c r="L55" i="23"/>
  <c r="L54" i="23"/>
  <c r="L53" i="23"/>
  <c r="K55" i="23"/>
  <c r="J55" i="23"/>
  <c r="I55" i="23"/>
  <c r="H55" i="23"/>
  <c r="G55" i="23"/>
  <c r="F55" i="23"/>
  <c r="E55" i="23"/>
  <c r="D55" i="23"/>
  <c r="C55" i="23"/>
  <c r="K54" i="23"/>
  <c r="J54" i="23"/>
  <c r="I54" i="23"/>
  <c r="H54" i="23"/>
  <c r="G54" i="23"/>
  <c r="F54" i="23"/>
  <c r="E54" i="23"/>
  <c r="D54" i="23"/>
  <c r="C54" i="23"/>
  <c r="K53" i="23"/>
  <c r="J53" i="23"/>
  <c r="I53" i="23"/>
  <c r="H53" i="23"/>
  <c r="G53" i="23"/>
  <c r="F53" i="23"/>
  <c r="E53" i="23"/>
  <c r="D53" i="23"/>
  <c r="C53" i="23"/>
  <c r="K50" i="23"/>
  <c r="J50" i="23"/>
  <c r="I50" i="23"/>
  <c r="H50" i="23"/>
  <c r="G50" i="23"/>
  <c r="F50" i="23"/>
  <c r="E50" i="23"/>
  <c r="D50" i="23"/>
  <c r="C50" i="23"/>
  <c r="K49" i="23"/>
  <c r="J49" i="23"/>
  <c r="I49" i="23"/>
  <c r="H49" i="23"/>
  <c r="G49" i="23"/>
  <c r="F49" i="23"/>
  <c r="E49" i="23"/>
  <c r="D49" i="23"/>
  <c r="C49" i="23"/>
  <c r="L50" i="23"/>
  <c r="L49" i="23"/>
  <c r="H29" i="30" s="1"/>
  <c r="L48" i="23"/>
  <c r="K48" i="23"/>
  <c r="J48" i="23"/>
  <c r="I48" i="23"/>
  <c r="H48" i="23"/>
  <c r="G48" i="23"/>
  <c r="F48" i="23"/>
  <c r="E48" i="23"/>
  <c r="D48" i="23"/>
  <c r="C48" i="23"/>
  <c r="L47" i="23"/>
  <c r="K47" i="23"/>
  <c r="J47" i="23"/>
  <c r="I47" i="23"/>
  <c r="H47" i="23"/>
  <c r="G47" i="23"/>
  <c r="F47" i="23"/>
  <c r="E47" i="23"/>
  <c r="D47" i="23"/>
  <c r="C47" i="23"/>
  <c r="M36" i="23"/>
  <c r="M41" i="23" s="1"/>
  <c r="L36" i="23"/>
  <c r="L41" i="23" s="1"/>
  <c r="K36" i="23"/>
  <c r="K41" i="23" s="1"/>
  <c r="J36" i="23"/>
  <c r="J41" i="23" s="1"/>
  <c r="I36" i="23"/>
  <c r="I41" i="23" s="1"/>
  <c r="H36" i="23"/>
  <c r="H41" i="23" s="1"/>
  <c r="G36" i="23"/>
  <c r="G41" i="23" s="1"/>
  <c r="F36" i="23"/>
  <c r="F41" i="23" s="1"/>
  <c r="E36" i="23"/>
  <c r="E41" i="23" s="1"/>
  <c r="D36" i="23"/>
  <c r="D41" i="23" s="1"/>
  <c r="C36" i="23"/>
  <c r="C41" i="23" s="1"/>
  <c r="K30" i="23"/>
  <c r="J30" i="23"/>
  <c r="I30" i="23"/>
  <c r="H30" i="23"/>
  <c r="G30" i="23"/>
  <c r="F30" i="23"/>
  <c r="E30" i="23"/>
  <c r="D30" i="23"/>
  <c r="C30" i="23"/>
  <c r="L30" i="23"/>
  <c r="M30" i="23"/>
  <c r="M24" i="23"/>
  <c r="L24" i="23"/>
  <c r="K24" i="23"/>
  <c r="J24" i="23"/>
  <c r="I24" i="23"/>
  <c r="H24" i="23"/>
  <c r="G24" i="23"/>
  <c r="F24" i="23"/>
  <c r="E24" i="23"/>
  <c r="D24" i="23"/>
  <c r="C24" i="23"/>
  <c r="M21" i="23"/>
  <c r="L21" i="23"/>
  <c r="K21" i="23"/>
  <c r="J21" i="23"/>
  <c r="I21" i="23"/>
  <c r="H21" i="23"/>
  <c r="G21" i="23"/>
  <c r="F21" i="23"/>
  <c r="E21" i="23"/>
  <c r="D21" i="23"/>
  <c r="C21" i="23"/>
  <c r="J15" i="23"/>
  <c r="I15" i="23"/>
  <c r="H15" i="23"/>
  <c r="G15" i="23"/>
  <c r="F15" i="23"/>
  <c r="E15" i="23"/>
  <c r="D15" i="23"/>
  <c r="C15" i="23"/>
  <c r="K15" i="23"/>
  <c r="L15" i="23"/>
  <c r="M9" i="23"/>
  <c r="M6" i="23"/>
  <c r="L6" i="23"/>
  <c r="K6" i="23"/>
  <c r="J6" i="23"/>
  <c r="I6" i="23"/>
  <c r="H6" i="23"/>
  <c r="G6" i="23"/>
  <c r="F6" i="23"/>
  <c r="E6" i="23"/>
  <c r="D6" i="23"/>
  <c r="C6" i="23"/>
  <c r="L27" i="22"/>
  <c r="K27" i="22"/>
  <c r="J27" i="22"/>
  <c r="I27" i="22"/>
  <c r="H27" i="22"/>
  <c r="G27" i="22"/>
  <c r="F27" i="22"/>
  <c r="E27" i="22"/>
  <c r="D27" i="22"/>
  <c r="C27" i="22"/>
  <c r="L26" i="22"/>
  <c r="K26" i="22"/>
  <c r="J26" i="22"/>
  <c r="I26" i="22"/>
  <c r="H26" i="22"/>
  <c r="G26" i="22"/>
  <c r="F26" i="22"/>
  <c r="E26" i="22"/>
  <c r="D26" i="22"/>
  <c r="C26" i="22"/>
  <c r="L25" i="22"/>
  <c r="K25" i="22"/>
  <c r="J25" i="22"/>
  <c r="I25" i="22"/>
  <c r="H25" i="22"/>
  <c r="G25" i="22"/>
  <c r="F25" i="22"/>
  <c r="E25" i="22"/>
  <c r="D25" i="22"/>
  <c r="C25" i="22"/>
  <c r="L24" i="22"/>
  <c r="K24" i="22"/>
  <c r="J24" i="22"/>
  <c r="I24" i="22"/>
  <c r="H24" i="22"/>
  <c r="G24" i="22"/>
  <c r="F24" i="22"/>
  <c r="E24" i="22"/>
  <c r="D24" i="22"/>
  <c r="C24" i="22"/>
  <c r="M10" i="30" l="1"/>
  <c r="J10" i="30"/>
  <c r="K10" i="30"/>
  <c r="L10" i="30"/>
  <c r="I10" i="30"/>
  <c r="G76" i="23"/>
  <c r="G78" i="23" s="1"/>
  <c r="I76" i="23"/>
  <c r="I78" i="23" s="1"/>
  <c r="F76" i="23"/>
  <c r="F78" i="23" s="1"/>
  <c r="H76" i="23"/>
  <c r="H78" i="23" s="1"/>
  <c r="J76" i="23"/>
  <c r="J78" i="23" s="1"/>
  <c r="K76" i="23"/>
  <c r="K78" i="23" s="1"/>
  <c r="D76" i="23"/>
  <c r="D78" i="23" s="1"/>
  <c r="L76" i="23"/>
  <c r="L78" i="23" s="1"/>
  <c r="E76" i="23"/>
  <c r="E78" i="23" s="1"/>
  <c r="C76" i="23"/>
  <c r="C78" i="23" s="1"/>
  <c r="J31" i="25"/>
  <c r="K9" i="25"/>
  <c r="G51" i="23"/>
  <c r="L29" i="25"/>
  <c r="L35" i="25" s="1"/>
  <c r="D51" i="23"/>
  <c r="J51" i="23"/>
  <c r="I51" i="23"/>
  <c r="C51" i="23"/>
  <c r="K51" i="23"/>
  <c r="L51" i="23"/>
  <c r="E51" i="23"/>
  <c r="G31" i="25"/>
  <c r="I31" i="25"/>
  <c r="F51" i="23"/>
  <c r="H51" i="23"/>
  <c r="K30" i="25"/>
  <c r="C31" i="25"/>
  <c r="E28" i="25"/>
  <c r="E34" i="25" s="1"/>
  <c r="F27" i="25"/>
  <c r="F33" i="25" s="1"/>
  <c r="H31" i="25"/>
  <c r="D29" i="25"/>
  <c r="D35" i="25" s="1"/>
  <c r="I9" i="25"/>
  <c r="D9" i="25"/>
  <c r="L9" i="25"/>
  <c r="E9" i="25"/>
  <c r="G9" i="25"/>
  <c r="H9" i="25"/>
  <c r="F9" i="25"/>
  <c r="J9" i="25"/>
  <c r="C27" i="25"/>
  <c r="C33" i="25" s="1"/>
  <c r="G27" i="25"/>
  <c r="G33" i="25" s="1"/>
  <c r="F28" i="25"/>
  <c r="E29" i="25"/>
  <c r="E35" i="25" s="1"/>
  <c r="D30" i="25"/>
  <c r="L30" i="25"/>
  <c r="K31" i="25"/>
  <c r="C28" i="25"/>
  <c r="H27" i="25"/>
  <c r="H33" i="25" s="1"/>
  <c r="G28" i="25"/>
  <c r="G34" i="25" s="1"/>
  <c r="F29" i="25"/>
  <c r="F35" i="25" s="1"/>
  <c r="E30" i="25"/>
  <c r="D31" i="25"/>
  <c r="L31" i="25"/>
  <c r="C29" i="25"/>
  <c r="C35" i="25" s="1"/>
  <c r="I27" i="25"/>
  <c r="I33" i="25" s="1"/>
  <c r="H28" i="25"/>
  <c r="H34" i="25" s="1"/>
  <c r="G29" i="25"/>
  <c r="G35" i="25" s="1"/>
  <c r="F30" i="25"/>
  <c r="E31" i="25"/>
  <c r="C30" i="25"/>
  <c r="J27" i="25"/>
  <c r="J33" i="25" s="1"/>
  <c r="I28" i="25"/>
  <c r="I34" i="25" s="1"/>
  <c r="H29" i="25"/>
  <c r="H35" i="25" s="1"/>
  <c r="G30" i="25"/>
  <c r="F31" i="25"/>
  <c r="K27" i="25"/>
  <c r="K33" i="25" s="1"/>
  <c r="J28" i="25"/>
  <c r="J34" i="25" s="1"/>
  <c r="I29" i="25"/>
  <c r="I35" i="25" s="1"/>
  <c r="H30" i="25"/>
  <c r="D27" i="25"/>
  <c r="D33" i="25" s="1"/>
  <c r="L27" i="25"/>
  <c r="L33" i="25" s="1"/>
  <c r="K28" i="25"/>
  <c r="K34" i="25" s="1"/>
  <c r="J29" i="25"/>
  <c r="J35" i="25" s="1"/>
  <c r="I30" i="25"/>
  <c r="E27" i="25"/>
  <c r="E33" i="25" s="1"/>
  <c r="D28" i="25"/>
  <c r="D34" i="25" s="1"/>
  <c r="L28" i="25"/>
  <c r="L34" i="25" s="1"/>
  <c r="K29" i="25"/>
  <c r="K35" i="25" s="1"/>
  <c r="J30" i="25"/>
  <c r="L23" i="22"/>
  <c r="K23" i="22"/>
  <c r="J23" i="22"/>
  <c r="I23" i="22"/>
  <c r="H23" i="22"/>
  <c r="G23" i="22"/>
  <c r="F23" i="22"/>
  <c r="E23" i="22"/>
  <c r="D23" i="22"/>
  <c r="C23" i="22"/>
  <c r="L18" i="22"/>
  <c r="K18" i="22"/>
  <c r="J18" i="22"/>
  <c r="I18" i="22"/>
  <c r="H18" i="22"/>
  <c r="G18" i="22"/>
  <c r="F18" i="22"/>
  <c r="E18" i="22"/>
  <c r="D18" i="22"/>
  <c r="C18" i="22"/>
  <c r="L17" i="22"/>
  <c r="K17" i="22"/>
  <c r="J17" i="22"/>
  <c r="I17" i="22"/>
  <c r="H17" i="22"/>
  <c r="G17" i="22"/>
  <c r="F17" i="22"/>
  <c r="E17" i="22"/>
  <c r="D17" i="22"/>
  <c r="C17" i="22"/>
  <c r="L16" i="22"/>
  <c r="K16" i="22"/>
  <c r="J16" i="22"/>
  <c r="I16" i="22"/>
  <c r="H16" i="22"/>
  <c r="G16" i="22"/>
  <c r="F16" i="22"/>
  <c r="E16" i="22"/>
  <c r="D16" i="22"/>
  <c r="C16" i="22"/>
  <c r="L15" i="22"/>
  <c r="K15" i="22"/>
  <c r="J15" i="22"/>
  <c r="I15" i="22"/>
  <c r="H15" i="22"/>
  <c r="G15" i="22"/>
  <c r="F15" i="22"/>
  <c r="E15" i="22"/>
  <c r="D15" i="22"/>
  <c r="C15" i="22"/>
  <c r="L14" i="22"/>
  <c r="K14" i="22"/>
  <c r="J14" i="22"/>
  <c r="I14" i="22"/>
  <c r="H14" i="22"/>
  <c r="G14" i="22"/>
  <c r="F14" i="22"/>
  <c r="E14" i="22"/>
  <c r="D14" i="22"/>
  <c r="C14" i="22"/>
  <c r="L13" i="22"/>
  <c r="K13" i="22"/>
  <c r="J13" i="22"/>
  <c r="I13" i="22"/>
  <c r="H13" i="22"/>
  <c r="G13" i="22"/>
  <c r="F13" i="22"/>
  <c r="E13" i="22"/>
  <c r="D13" i="22"/>
  <c r="C13" i="22"/>
  <c r="L12" i="22"/>
  <c r="K12" i="22"/>
  <c r="J12" i="22"/>
  <c r="I12" i="22"/>
  <c r="H12" i="22"/>
  <c r="G12" i="22"/>
  <c r="F12" i="22"/>
  <c r="E12" i="22"/>
  <c r="D12" i="22"/>
  <c r="C12" i="22"/>
  <c r="L11" i="22"/>
  <c r="K11" i="22"/>
  <c r="J11" i="22"/>
  <c r="I11" i="22"/>
  <c r="H11" i="22"/>
  <c r="G11" i="22"/>
  <c r="F11" i="22"/>
  <c r="E11" i="22"/>
  <c r="D11" i="22"/>
  <c r="C11" i="22"/>
  <c r="L10" i="22"/>
  <c r="K10" i="22"/>
  <c r="J10" i="22"/>
  <c r="I10" i="22"/>
  <c r="H10" i="22"/>
  <c r="G10" i="22"/>
  <c r="F10" i="22"/>
  <c r="E10" i="22"/>
  <c r="D10" i="22"/>
  <c r="C10" i="22"/>
  <c r="L9" i="22"/>
  <c r="K9" i="22"/>
  <c r="J9" i="22"/>
  <c r="I9" i="22"/>
  <c r="H9" i="22"/>
  <c r="G9" i="22"/>
  <c r="F9" i="22"/>
  <c r="E9" i="22"/>
  <c r="D9" i="22"/>
  <c r="C9" i="22"/>
  <c r="L8" i="22"/>
  <c r="K8" i="22"/>
  <c r="J8" i="22"/>
  <c r="I8" i="22"/>
  <c r="H8" i="22"/>
  <c r="G8" i="22"/>
  <c r="F8" i="22"/>
  <c r="E8" i="22"/>
  <c r="D8" i="22"/>
  <c r="C8" i="22"/>
  <c r="L7" i="22"/>
  <c r="K7" i="22"/>
  <c r="J7" i="22"/>
  <c r="I7" i="22"/>
  <c r="H7" i="22"/>
  <c r="G7" i="22"/>
  <c r="F7" i="22"/>
  <c r="E7" i="22"/>
  <c r="D7" i="22"/>
  <c r="C7" i="22"/>
  <c r="L6" i="22"/>
  <c r="K6" i="22"/>
  <c r="J6" i="22"/>
  <c r="I6" i="22"/>
  <c r="H6" i="22"/>
  <c r="G6" i="22"/>
  <c r="F6" i="22"/>
  <c r="E6" i="22"/>
  <c r="D6" i="22"/>
  <c r="C6" i="22"/>
  <c r="L5" i="22"/>
  <c r="K5" i="22"/>
  <c r="J5" i="22"/>
  <c r="I5" i="22"/>
  <c r="H5" i="22"/>
  <c r="G5" i="22"/>
  <c r="F5" i="22"/>
  <c r="E5" i="22"/>
  <c r="D5" i="22"/>
  <c r="C5" i="22"/>
  <c r="L4" i="22"/>
  <c r="K4" i="22"/>
  <c r="J4" i="22"/>
  <c r="I4" i="22"/>
  <c r="H4" i="22"/>
  <c r="G4" i="22"/>
  <c r="F4" i="22"/>
  <c r="E4" i="22"/>
  <c r="D4" i="22"/>
  <c r="C4" i="22"/>
  <c r="H101" i="23"/>
  <c r="G101" i="23"/>
  <c r="L101" i="23"/>
  <c r="K101" i="23"/>
  <c r="J101" i="23"/>
  <c r="I101" i="23"/>
  <c r="F101" i="23"/>
  <c r="E101" i="23"/>
  <c r="D101" i="23"/>
  <c r="C101" i="23"/>
  <c r="L91" i="23"/>
  <c r="K91" i="23"/>
  <c r="J91" i="23"/>
  <c r="I91" i="23"/>
  <c r="H91" i="23"/>
  <c r="G91" i="23"/>
  <c r="F91" i="23"/>
  <c r="E91" i="23"/>
  <c r="D91" i="23"/>
  <c r="C91" i="23"/>
  <c r="L62" i="23"/>
  <c r="K62" i="23"/>
  <c r="D62" i="23"/>
  <c r="C62" i="23"/>
  <c r="J62" i="23"/>
  <c r="I62" i="23"/>
  <c r="H62" i="23"/>
  <c r="G62" i="23"/>
  <c r="F62" i="23"/>
  <c r="E62" i="23"/>
  <c r="L57" i="23"/>
  <c r="K57" i="23"/>
  <c r="J57" i="23"/>
  <c r="I57" i="23"/>
  <c r="H57" i="23"/>
  <c r="G57" i="23"/>
  <c r="F57" i="23"/>
  <c r="E57" i="23"/>
  <c r="D57" i="23"/>
  <c r="C57" i="23"/>
  <c r="L25" i="23"/>
  <c r="L18" i="25" s="1"/>
  <c r="K25" i="23"/>
  <c r="K18" i="25" s="1"/>
  <c r="D25" i="23"/>
  <c r="D18" i="25" s="1"/>
  <c r="C25" i="23"/>
  <c r="C18" i="25" s="1"/>
  <c r="M25" i="23"/>
  <c r="J25" i="23"/>
  <c r="J18" i="25" s="1"/>
  <c r="I25" i="23"/>
  <c r="I18" i="25" s="1"/>
  <c r="H25" i="23"/>
  <c r="H18" i="25" s="1"/>
  <c r="G25" i="23"/>
  <c r="G18" i="25" s="1"/>
  <c r="F25" i="23"/>
  <c r="F18" i="25" s="1"/>
  <c r="E25" i="23"/>
  <c r="E18" i="25" s="1"/>
  <c r="J22" i="23"/>
  <c r="I22" i="23"/>
  <c r="M22" i="23"/>
  <c r="L22" i="23"/>
  <c r="K22" i="23"/>
  <c r="G22" i="23"/>
  <c r="F22" i="23"/>
  <c r="E22" i="23"/>
  <c r="D22" i="23"/>
  <c r="C22" i="23"/>
  <c r="L16" i="23"/>
  <c r="L17" i="25" s="1"/>
  <c r="E16" i="23"/>
  <c r="E17" i="25" s="1"/>
  <c r="D16" i="23"/>
  <c r="D17" i="25" s="1"/>
  <c r="J16" i="23"/>
  <c r="J17" i="25" s="1"/>
  <c r="I16" i="23"/>
  <c r="I17" i="25" s="1"/>
  <c r="H16" i="23"/>
  <c r="H17" i="25" s="1"/>
  <c r="G16" i="23"/>
  <c r="G17" i="25" s="1"/>
  <c r="F16" i="23"/>
  <c r="F17" i="25" s="1"/>
  <c r="M12" i="23"/>
  <c r="M13" i="23" s="1"/>
  <c r="L12" i="23"/>
  <c r="L13" i="23" s="1"/>
  <c r="L11" i="25" s="1"/>
  <c r="E12" i="23"/>
  <c r="E13" i="23" s="1"/>
  <c r="E11" i="25" s="1"/>
  <c r="D12" i="23"/>
  <c r="D13" i="23" s="1"/>
  <c r="D11" i="25" s="1"/>
  <c r="M10" i="23"/>
  <c r="L10" i="23"/>
  <c r="K10" i="23"/>
  <c r="J10" i="23"/>
  <c r="I10" i="23"/>
  <c r="F10" i="23"/>
  <c r="E10" i="23"/>
  <c r="D10" i="23"/>
  <c r="C10" i="23"/>
  <c r="M7" i="23"/>
  <c r="L7" i="23"/>
  <c r="L5" i="25" s="1"/>
  <c r="F7" i="23"/>
  <c r="F5" i="25" s="1"/>
  <c r="E7" i="23"/>
  <c r="E5" i="25" s="1"/>
  <c r="D7" i="23"/>
  <c r="D5" i="25" s="1"/>
  <c r="K16" i="23"/>
  <c r="K17" i="25" s="1"/>
  <c r="J12" i="23"/>
  <c r="I12" i="23"/>
  <c r="H22" i="23"/>
  <c r="G12" i="23"/>
  <c r="F12" i="23"/>
  <c r="C16" i="23"/>
  <c r="C17" i="25" s="1"/>
  <c r="K77" i="21"/>
  <c r="L33" i="22" s="1"/>
  <c r="J77" i="21"/>
  <c r="I77" i="21"/>
  <c r="H77" i="21"/>
  <c r="G77" i="21"/>
  <c r="F77" i="21"/>
  <c r="E77" i="21"/>
  <c r="D77" i="21"/>
  <c r="C77" i="21"/>
  <c r="K73" i="21"/>
  <c r="J73" i="21"/>
  <c r="I73" i="21"/>
  <c r="K51" i="21"/>
  <c r="J51" i="21"/>
  <c r="I51" i="21"/>
  <c r="H51" i="21"/>
  <c r="G51" i="21"/>
  <c r="F51" i="21"/>
  <c r="E51" i="21"/>
  <c r="D51" i="21"/>
  <c r="C51" i="21"/>
  <c r="B51" i="21"/>
  <c r="K34" i="21"/>
  <c r="L19" i="22" s="1"/>
  <c r="J34" i="21"/>
  <c r="K19" i="22" s="1"/>
  <c r="I34" i="21"/>
  <c r="J19" i="22" s="1"/>
  <c r="H34" i="21"/>
  <c r="I19" i="22" s="1"/>
  <c r="G34" i="21"/>
  <c r="H19" i="22" s="1"/>
  <c r="F34" i="21"/>
  <c r="G19" i="22" s="1"/>
  <c r="E34" i="21"/>
  <c r="F19" i="22" s="1"/>
  <c r="D34" i="21"/>
  <c r="E19" i="22" s="1"/>
  <c r="C34" i="21"/>
  <c r="D19" i="22" s="1"/>
  <c r="B34" i="21"/>
  <c r="B15" i="21" s="1"/>
  <c r="K32" i="21"/>
  <c r="J32" i="21"/>
  <c r="I32" i="21"/>
  <c r="H32" i="21"/>
  <c r="G32" i="21"/>
  <c r="F32" i="21"/>
  <c r="E32" i="21"/>
  <c r="D32" i="21"/>
  <c r="C32" i="21"/>
  <c r="B32" i="21"/>
  <c r="K15" i="21"/>
  <c r="E1" i="21"/>
  <c r="E78" i="27" l="1"/>
  <c r="E33" i="22"/>
  <c r="F33" i="22"/>
  <c r="F78" i="27"/>
  <c r="D33" i="22"/>
  <c r="D78" i="27"/>
  <c r="C78" i="27"/>
  <c r="G78" i="27"/>
  <c r="G33" i="22"/>
  <c r="H78" i="27"/>
  <c r="H33" i="22"/>
  <c r="I33" i="22"/>
  <c r="I78" i="27"/>
  <c r="K33" i="22"/>
  <c r="K78" i="27"/>
  <c r="J33" i="22"/>
  <c r="J78" i="27"/>
  <c r="O9" i="25"/>
  <c r="F35" i="22"/>
  <c r="F31" i="22"/>
  <c r="F34" i="22"/>
  <c r="F30" i="22"/>
  <c r="F29" i="22"/>
  <c r="F36" i="22"/>
  <c r="F32" i="22"/>
  <c r="G35" i="22"/>
  <c r="G34" i="22"/>
  <c r="G30" i="22"/>
  <c r="G31" i="22"/>
  <c r="G29" i="22"/>
  <c r="G36" i="22"/>
  <c r="G32" i="22"/>
  <c r="J29" i="22"/>
  <c r="J36" i="22"/>
  <c r="J32" i="22"/>
  <c r="J35" i="22"/>
  <c r="J31" i="22"/>
  <c r="J34" i="22"/>
  <c r="J30" i="22"/>
  <c r="H34" i="22"/>
  <c r="H30" i="22"/>
  <c r="H29" i="22"/>
  <c r="H36" i="22"/>
  <c r="H32" i="22"/>
  <c r="H35" i="22"/>
  <c r="H31" i="22"/>
  <c r="C36" i="22"/>
  <c r="C32" i="22"/>
  <c r="C35" i="22"/>
  <c r="C31" i="22"/>
  <c r="C29" i="22"/>
  <c r="C34" i="22"/>
  <c r="C30" i="22"/>
  <c r="K29" i="22"/>
  <c r="K36" i="22"/>
  <c r="K32" i="22"/>
  <c r="K35" i="22"/>
  <c r="K31" i="22"/>
  <c r="K34" i="22"/>
  <c r="K30" i="22"/>
  <c r="I29" i="22"/>
  <c r="I34" i="22"/>
  <c r="I36" i="22"/>
  <c r="I32" i="22"/>
  <c r="I30" i="22"/>
  <c r="I35" i="22"/>
  <c r="I31" i="22"/>
  <c r="D36" i="22"/>
  <c r="D32" i="22"/>
  <c r="D35" i="22"/>
  <c r="D31" i="22"/>
  <c r="D34" i="22"/>
  <c r="D30" i="22"/>
  <c r="D29" i="22"/>
  <c r="L36" i="22"/>
  <c r="L32" i="22"/>
  <c r="L35" i="22"/>
  <c r="L31" i="22"/>
  <c r="L34" i="22"/>
  <c r="L30" i="22"/>
  <c r="L29" i="22"/>
  <c r="E35" i="22"/>
  <c r="E31" i="22"/>
  <c r="E34" i="22"/>
  <c r="E30" i="22"/>
  <c r="E36" i="22"/>
  <c r="E32" i="22"/>
  <c r="E29" i="22"/>
  <c r="M18" i="23"/>
  <c r="M19" i="23" s="1"/>
  <c r="N30" i="25"/>
  <c r="O18" i="25"/>
  <c r="C19" i="22"/>
  <c r="O31" i="25"/>
  <c r="O17" i="25"/>
  <c r="I36" i="25"/>
  <c r="N18" i="25"/>
  <c r="O28" i="25"/>
  <c r="O30" i="25"/>
  <c r="F40" i="25"/>
  <c r="F38" i="25"/>
  <c r="G40" i="25"/>
  <c r="G38" i="25"/>
  <c r="H38" i="25"/>
  <c r="H40" i="25"/>
  <c r="I38" i="25"/>
  <c r="I40" i="25"/>
  <c r="N28" i="25"/>
  <c r="J40" i="25"/>
  <c r="J38" i="25"/>
  <c r="C40" i="25"/>
  <c r="C38" i="25"/>
  <c r="K40" i="25"/>
  <c r="K38" i="25"/>
  <c r="D40" i="25"/>
  <c r="D38" i="25"/>
  <c r="L40" i="25"/>
  <c r="L38" i="25"/>
  <c r="E40" i="25"/>
  <c r="E38" i="25"/>
  <c r="L36" i="25"/>
  <c r="H36" i="25"/>
  <c r="E36" i="25"/>
  <c r="K36" i="25"/>
  <c r="E103" i="23"/>
  <c r="D64" i="23"/>
  <c r="D66" i="23" s="1"/>
  <c r="N33" i="25"/>
  <c r="J36" i="25"/>
  <c r="O33" i="25"/>
  <c r="D36" i="25"/>
  <c r="N35" i="25"/>
  <c r="O35" i="25"/>
  <c r="G36" i="25"/>
  <c r="C34" i="25"/>
  <c r="N9" i="25"/>
  <c r="N17" i="25"/>
  <c r="N27" i="25"/>
  <c r="N29" i="25"/>
  <c r="N31" i="25"/>
  <c r="O27" i="25"/>
  <c r="O29" i="25"/>
  <c r="F34" i="25"/>
  <c r="F36" i="25" s="1"/>
  <c r="I18" i="23"/>
  <c r="I13" i="23"/>
  <c r="I11" i="25" s="1"/>
  <c r="H64" i="23"/>
  <c r="H66" i="23" s="1"/>
  <c r="F103" i="23"/>
  <c r="J13" i="23"/>
  <c r="J11" i="25" s="1"/>
  <c r="J18" i="23"/>
  <c r="I64" i="23"/>
  <c r="I66" i="23" s="1"/>
  <c r="C64" i="23"/>
  <c r="C66" i="23" s="1"/>
  <c r="J64" i="23"/>
  <c r="J66" i="23" s="1"/>
  <c r="K64" i="23"/>
  <c r="K66" i="23" s="1"/>
  <c r="I103" i="23"/>
  <c r="G103" i="23"/>
  <c r="L64" i="23"/>
  <c r="L66" i="23" s="1"/>
  <c r="J103" i="23"/>
  <c r="H103" i="23"/>
  <c r="F13" i="23"/>
  <c r="F11" i="25" s="1"/>
  <c r="F18" i="23"/>
  <c r="E64" i="23"/>
  <c r="E66" i="23" s="1"/>
  <c r="C103" i="23"/>
  <c r="K103" i="23"/>
  <c r="G64" i="23"/>
  <c r="G66" i="23" s="1"/>
  <c r="G13" i="23"/>
  <c r="G11" i="25" s="1"/>
  <c r="G18" i="23"/>
  <c r="F64" i="23"/>
  <c r="F66" i="23" s="1"/>
  <c r="D103" i="23"/>
  <c r="L103" i="23"/>
  <c r="H10" i="23"/>
  <c r="G7" i="23"/>
  <c r="G5" i="25" s="1"/>
  <c r="D18" i="23"/>
  <c r="L18" i="23"/>
  <c r="G10" i="23"/>
  <c r="H7" i="23"/>
  <c r="H5" i="25" s="1"/>
  <c r="E18" i="23"/>
  <c r="I7" i="23"/>
  <c r="I5" i="25" s="1"/>
  <c r="H12" i="23"/>
  <c r="J7" i="23"/>
  <c r="J5" i="25" s="1"/>
  <c r="K7" i="23"/>
  <c r="K5" i="25" s="1"/>
  <c r="C12" i="23"/>
  <c r="K12" i="23"/>
  <c r="H100" i="27" l="1"/>
  <c r="H101" i="27" s="1"/>
  <c r="H103" i="27" s="1"/>
  <c r="H81" i="27"/>
  <c r="H83" i="27" s="1"/>
  <c r="H90" i="27"/>
  <c r="H91" i="27" s="1"/>
  <c r="H79" i="27"/>
  <c r="J100" i="27"/>
  <c r="J101" i="27" s="1"/>
  <c r="J103" i="27" s="1"/>
  <c r="J81" i="27"/>
  <c r="J83" i="27" s="1"/>
  <c r="J79" i="27"/>
  <c r="J90" i="27"/>
  <c r="J91" i="27" s="1"/>
  <c r="E90" i="27"/>
  <c r="E91" i="27" s="1"/>
  <c r="E100" i="27"/>
  <c r="E101" i="27" s="1"/>
  <c r="E103" i="27" s="1"/>
  <c r="E79" i="27"/>
  <c r="E81" i="27"/>
  <c r="E83" i="27" s="1"/>
  <c r="E85" i="27" s="1"/>
  <c r="G81" i="27"/>
  <c r="G83" i="27" s="1"/>
  <c r="G79" i="27"/>
  <c r="G90" i="27"/>
  <c r="G91" i="27" s="1"/>
  <c r="G100" i="27"/>
  <c r="G101" i="27" s="1"/>
  <c r="G103" i="27" s="1"/>
  <c r="C100" i="27"/>
  <c r="C101" i="27" s="1"/>
  <c r="C103" i="27" s="1"/>
  <c r="C81" i="27"/>
  <c r="C83" i="27" s="1"/>
  <c r="C85" i="27" s="1"/>
  <c r="C90" i="27"/>
  <c r="C91" i="27" s="1"/>
  <c r="C79" i="27"/>
  <c r="D90" i="27"/>
  <c r="D91" i="27" s="1"/>
  <c r="D79" i="27"/>
  <c r="D81" i="27"/>
  <c r="D83" i="27" s="1"/>
  <c r="D85" i="27" s="1"/>
  <c r="D100" i="27"/>
  <c r="D101" i="27" s="1"/>
  <c r="D103" i="27" s="1"/>
  <c r="I81" i="27"/>
  <c r="I83" i="27" s="1"/>
  <c r="I85" i="27" s="1"/>
  <c r="I100" i="27"/>
  <c r="I101" i="27" s="1"/>
  <c r="I103" i="27" s="1"/>
  <c r="I90" i="27"/>
  <c r="I91" i="27" s="1"/>
  <c r="I79" i="27"/>
  <c r="K100" i="27"/>
  <c r="K101" i="27" s="1"/>
  <c r="K103" i="27" s="1"/>
  <c r="K81" i="27"/>
  <c r="K83" i="27" s="1"/>
  <c r="K85" i="27" s="1"/>
  <c r="K90" i="27"/>
  <c r="K91" i="27" s="1"/>
  <c r="K79" i="27"/>
  <c r="F90" i="27"/>
  <c r="F91" i="27" s="1"/>
  <c r="F100" i="27"/>
  <c r="F101" i="27" s="1"/>
  <c r="F103" i="27" s="1"/>
  <c r="F79" i="27"/>
  <c r="F81" i="27"/>
  <c r="F83" i="27" s="1"/>
  <c r="F85" i="27" s="1"/>
  <c r="N40" i="25"/>
  <c r="D39" i="25"/>
  <c r="M27" i="23"/>
  <c r="M31" i="23" s="1"/>
  <c r="E6" i="25"/>
  <c r="O38" i="25"/>
  <c r="N5" i="25"/>
  <c r="O5" i="25"/>
  <c r="O40" i="25"/>
  <c r="J39" i="25"/>
  <c r="H39" i="25"/>
  <c r="G6" i="25"/>
  <c r="E39" i="25"/>
  <c r="J6" i="25"/>
  <c r="K39" i="25"/>
  <c r="G39" i="25"/>
  <c r="I39" i="25"/>
  <c r="F6" i="25"/>
  <c r="L39" i="25"/>
  <c r="N38" i="25"/>
  <c r="C39" i="25"/>
  <c r="F39" i="25"/>
  <c r="O36" i="25"/>
  <c r="N34" i="25"/>
  <c r="C36" i="25"/>
  <c r="N36" i="25" s="1"/>
  <c r="O34" i="25"/>
  <c r="G27" i="23"/>
  <c r="G19" i="23"/>
  <c r="G12" i="25" s="1"/>
  <c r="H13" i="23"/>
  <c r="H11" i="25" s="1"/>
  <c r="H18" i="23"/>
  <c r="H6" i="25" s="1"/>
  <c r="F19" i="23"/>
  <c r="F12" i="25" s="1"/>
  <c r="F27" i="23"/>
  <c r="E19" i="23"/>
  <c r="E12" i="25" s="1"/>
  <c r="E27" i="23"/>
  <c r="K18" i="23"/>
  <c r="K6" i="25" s="1"/>
  <c r="K13" i="23"/>
  <c r="K11" i="25" s="1"/>
  <c r="C18" i="23"/>
  <c r="D6" i="25" s="1"/>
  <c r="C13" i="23"/>
  <c r="C11" i="25" s="1"/>
  <c r="L19" i="23"/>
  <c r="L12" i="25" s="1"/>
  <c r="L27" i="23"/>
  <c r="H4" i="30" s="1"/>
  <c r="J19" i="23"/>
  <c r="J12" i="25" s="1"/>
  <c r="J27" i="23"/>
  <c r="D19" i="23"/>
  <c r="D12" i="25" s="1"/>
  <c r="D27" i="23"/>
  <c r="I27" i="23"/>
  <c r="I19" i="23"/>
  <c r="I12" i="25" s="1"/>
  <c r="J85" i="27" l="1"/>
  <c r="G85" i="27"/>
  <c r="H85" i="27"/>
  <c r="H6" i="30"/>
  <c r="H8" i="30" s="1"/>
  <c r="I4" i="30"/>
  <c r="O39" i="25"/>
  <c r="M33" i="23"/>
  <c r="M38" i="23" s="1"/>
  <c r="M28" i="23"/>
  <c r="O11" i="25"/>
  <c r="I6" i="25"/>
  <c r="J21" i="25"/>
  <c r="J25" i="25"/>
  <c r="J7" i="25"/>
  <c r="J13" i="25"/>
  <c r="J19" i="25" s="1"/>
  <c r="E25" i="25"/>
  <c r="E7" i="25"/>
  <c r="E13" i="25"/>
  <c r="E19" i="25" s="1"/>
  <c r="E21" i="25"/>
  <c r="N39" i="25"/>
  <c r="I13" i="25"/>
  <c r="I19" i="25" s="1"/>
  <c r="I21" i="25"/>
  <c r="I25" i="25"/>
  <c r="L25" i="25"/>
  <c r="L13" i="25"/>
  <c r="L19" i="25" s="1"/>
  <c r="L21" i="25"/>
  <c r="F25" i="25"/>
  <c r="F7" i="25"/>
  <c r="F13" i="25"/>
  <c r="F19" i="25" s="1"/>
  <c r="F21" i="25"/>
  <c r="L6" i="25"/>
  <c r="D25" i="25"/>
  <c r="D13" i="25"/>
  <c r="D21" i="25"/>
  <c r="N11" i="25"/>
  <c r="G25" i="25"/>
  <c r="G7" i="25"/>
  <c r="G13" i="25"/>
  <c r="G19" i="25" s="1"/>
  <c r="G21" i="25"/>
  <c r="J33" i="23"/>
  <c r="J28" i="23"/>
  <c r="J14" i="25" s="1"/>
  <c r="J31" i="23"/>
  <c r="E33" i="23"/>
  <c r="E28" i="23"/>
  <c r="E14" i="25" s="1"/>
  <c r="E31" i="23"/>
  <c r="D28" i="23"/>
  <c r="D14" i="25" s="1"/>
  <c r="D33" i="23"/>
  <c r="D31" i="23"/>
  <c r="H19" i="23"/>
  <c r="H12" i="25" s="1"/>
  <c r="H27" i="23"/>
  <c r="I7" i="25" s="1"/>
  <c r="I33" i="23"/>
  <c r="I28" i="23"/>
  <c r="I14" i="25" s="1"/>
  <c r="I31" i="23"/>
  <c r="L28" i="23"/>
  <c r="L14" i="25" s="1"/>
  <c r="L33" i="23"/>
  <c r="L31" i="23"/>
  <c r="F28" i="23"/>
  <c r="F14" i="25" s="1"/>
  <c r="F33" i="23"/>
  <c r="F31" i="23"/>
  <c r="C19" i="23"/>
  <c r="C12" i="25" s="1"/>
  <c r="C27" i="23"/>
  <c r="D7" i="25" s="1"/>
  <c r="K19" i="23"/>
  <c r="K12" i="25" s="1"/>
  <c r="K27" i="23"/>
  <c r="G31" i="23"/>
  <c r="G33" i="23"/>
  <c r="G28" i="23"/>
  <c r="G14" i="25" s="1"/>
  <c r="I6" i="30" l="1"/>
  <c r="I8" i="30" s="1"/>
  <c r="I11" i="30" s="1"/>
  <c r="J4" i="30"/>
  <c r="M34" i="23"/>
  <c r="N6" i="25"/>
  <c r="O12" i="25"/>
  <c r="C25" i="25"/>
  <c r="C13" i="25"/>
  <c r="C21" i="25"/>
  <c r="N12" i="25"/>
  <c r="L23" i="25"/>
  <c r="I23" i="25"/>
  <c r="E8" i="25"/>
  <c r="E23" i="25"/>
  <c r="J8" i="25"/>
  <c r="J23" i="25"/>
  <c r="D19" i="25"/>
  <c r="G8" i="25"/>
  <c r="G23" i="25"/>
  <c r="F8" i="25"/>
  <c r="F23" i="25"/>
  <c r="H13" i="25"/>
  <c r="H19" i="25" s="1"/>
  <c r="H21" i="25"/>
  <c r="H25" i="25"/>
  <c r="H7" i="25"/>
  <c r="K21" i="25"/>
  <c r="K25" i="25"/>
  <c r="K7" i="25"/>
  <c r="K13" i="25"/>
  <c r="K19" i="25" s="1"/>
  <c r="D23" i="25"/>
  <c r="O6" i="25"/>
  <c r="L7" i="25"/>
  <c r="L38" i="23"/>
  <c r="M39" i="23" s="1"/>
  <c r="L34" i="23"/>
  <c r="L15" i="25" s="1"/>
  <c r="E34" i="23"/>
  <c r="E15" i="25" s="1"/>
  <c r="E38" i="23"/>
  <c r="H31" i="23"/>
  <c r="H33" i="23"/>
  <c r="H28" i="23"/>
  <c r="H14" i="25" s="1"/>
  <c r="C33" i="23"/>
  <c r="C23" i="25" s="1"/>
  <c r="C28" i="23"/>
  <c r="C14" i="25" s="1"/>
  <c r="C31" i="23"/>
  <c r="K33" i="23"/>
  <c r="L8" i="25" s="1"/>
  <c r="K28" i="23"/>
  <c r="K14" i="25" s="1"/>
  <c r="K31" i="23"/>
  <c r="M44" i="23"/>
  <c r="M42" i="23"/>
  <c r="D38" i="23"/>
  <c r="D34" i="23"/>
  <c r="D15" i="25" s="1"/>
  <c r="G34" i="23"/>
  <c r="G15" i="25" s="1"/>
  <c r="G38" i="23"/>
  <c r="I38" i="23"/>
  <c r="I34" i="23"/>
  <c r="I15" i="25" s="1"/>
  <c r="F34" i="23"/>
  <c r="F15" i="25" s="1"/>
  <c r="F38" i="23"/>
  <c r="J38" i="23"/>
  <c r="J34" i="23"/>
  <c r="J15" i="25" s="1"/>
  <c r="J6" i="30" l="1"/>
  <c r="J8" i="30" s="1"/>
  <c r="J11" i="30" s="1"/>
  <c r="K4" i="30"/>
  <c r="O25" i="25"/>
  <c r="N21" i="25"/>
  <c r="O14" i="25"/>
  <c r="N7" i="25"/>
  <c r="O21" i="25"/>
  <c r="O7" i="25"/>
  <c r="N13" i="25"/>
  <c r="C19" i="25"/>
  <c r="N19" i="25" s="1"/>
  <c r="N25" i="25"/>
  <c r="H23" i="25"/>
  <c r="H8" i="25"/>
  <c r="I8" i="25"/>
  <c r="K8" i="25"/>
  <c r="K23" i="25"/>
  <c r="D8" i="25"/>
  <c r="O13" i="25"/>
  <c r="O19" i="25"/>
  <c r="N14" i="25"/>
  <c r="H34" i="23"/>
  <c r="H15" i="25" s="1"/>
  <c r="H38" i="23"/>
  <c r="I42" i="23"/>
  <c r="I44" i="23" s="1"/>
  <c r="I22" i="25" s="1"/>
  <c r="I24" i="25" s="1"/>
  <c r="E39" i="23"/>
  <c r="E42" i="23"/>
  <c r="E44" i="23" s="1"/>
  <c r="E22" i="25" s="1"/>
  <c r="E24" i="25" s="1"/>
  <c r="K38" i="23"/>
  <c r="L39" i="23" s="1"/>
  <c r="K34" i="23"/>
  <c r="K15" i="25" s="1"/>
  <c r="F39" i="23"/>
  <c r="F42" i="23"/>
  <c r="F44" i="23" s="1"/>
  <c r="F22" i="25" s="1"/>
  <c r="F24" i="25" s="1"/>
  <c r="C34" i="23"/>
  <c r="C15" i="25" s="1"/>
  <c r="C38" i="23"/>
  <c r="D39" i="23" s="1"/>
  <c r="G39" i="23"/>
  <c r="G42" i="23"/>
  <c r="G44" i="23" s="1"/>
  <c r="G22" i="25" s="1"/>
  <c r="G24" i="25" s="1"/>
  <c r="J39" i="23"/>
  <c r="J42" i="23"/>
  <c r="J44" i="23" s="1"/>
  <c r="J22" i="25" s="1"/>
  <c r="J24" i="25" s="1"/>
  <c r="D42" i="23"/>
  <c r="D44" i="23" s="1"/>
  <c r="D22" i="25" s="1"/>
  <c r="L42" i="23"/>
  <c r="L44" i="23" s="1"/>
  <c r="L22" i="25" s="1"/>
  <c r="L24" i="25" s="1"/>
  <c r="K6" i="30" l="1"/>
  <c r="K8" i="30" s="1"/>
  <c r="K11" i="30" s="1"/>
  <c r="L4" i="30"/>
  <c r="N15" i="25"/>
  <c r="N23" i="25"/>
  <c r="O15" i="25"/>
  <c r="O23" i="25"/>
  <c r="D24" i="25"/>
  <c r="N8" i="25"/>
  <c r="O8" i="25"/>
  <c r="H39" i="23"/>
  <c r="H42" i="23"/>
  <c r="H44" i="23" s="1"/>
  <c r="H22" i="25" s="1"/>
  <c r="H24" i="25" s="1"/>
  <c r="K39" i="23"/>
  <c r="K42" i="23"/>
  <c r="K44" i="23" s="1"/>
  <c r="K22" i="25" s="1"/>
  <c r="C42" i="23"/>
  <c r="C44" i="23" s="1"/>
  <c r="C22" i="25" s="1"/>
  <c r="I39" i="23"/>
  <c r="M4" i="30" l="1"/>
  <c r="M6" i="30" s="1"/>
  <c r="M8" i="30" s="1"/>
  <c r="L6" i="30"/>
  <c r="L8" i="30" s="1"/>
  <c r="L11" i="30" s="1"/>
  <c r="K24" i="25"/>
  <c r="O24" i="25" s="1"/>
  <c r="O22" i="25"/>
  <c r="C24" i="25"/>
  <c r="N22" i="25"/>
  <c r="M11" i="30" l="1"/>
  <c r="H24" i="30" s="1"/>
  <c r="H18" i="30"/>
  <c r="H21" i="30" s="1"/>
  <c r="N24" i="25"/>
  <c r="B38" i="30" l="1"/>
  <c r="H25" i="30"/>
  <c r="H26" i="30" s="1"/>
  <c r="H30" i="30" s="1"/>
  <c r="H32" i="30" s="1"/>
  <c r="H35" i="30" s="1"/>
</calcChain>
</file>

<file path=xl/sharedStrings.xml><?xml version="1.0" encoding="utf-8"?>
<sst xmlns="http://schemas.openxmlformats.org/spreadsheetml/2006/main" count="458" uniqueCount="339">
  <si>
    <t>Particulars</t>
  </si>
  <si>
    <t>Reserves</t>
  </si>
  <si>
    <t>Investments</t>
  </si>
  <si>
    <t>Profit from operations</t>
  </si>
  <si>
    <t>Receivables</t>
  </si>
  <si>
    <t>Inventory</t>
  </si>
  <si>
    <t>Payables</t>
  </si>
  <si>
    <t>Other WC items</t>
  </si>
  <si>
    <t>Working capital changes</t>
  </si>
  <si>
    <t>Direct taxes</t>
  </si>
  <si>
    <t>Fixed assets purchased</t>
  </si>
  <si>
    <t>Fixed assets sold</t>
  </si>
  <si>
    <t>Investments purchased</t>
  </si>
  <si>
    <t>Investments sold</t>
  </si>
  <si>
    <t>Interest received</t>
  </si>
  <si>
    <t>Dividends received</t>
  </si>
  <si>
    <t>Redemp n Canc of Shares</t>
  </si>
  <si>
    <t>Acquisition of companies</t>
  </si>
  <si>
    <t>Other investing items</t>
  </si>
  <si>
    <t>Proceeds from borrowings</t>
  </si>
  <si>
    <t>Repayment of borrowings</t>
  </si>
  <si>
    <t>Interest paid fin</t>
  </si>
  <si>
    <t>Dividends paid</t>
  </si>
  <si>
    <t>Financial liabilities</t>
  </si>
  <si>
    <t>Other financing items</t>
  </si>
  <si>
    <t>Net Cash Flow</t>
  </si>
  <si>
    <t xml:space="preserve">Total Current Assets </t>
  </si>
  <si>
    <t>#</t>
  </si>
  <si>
    <t>EBITDA</t>
  </si>
  <si>
    <t>PLEASE DO NOT MAKE ANY CHANGES TO THIS SHEET</t>
  </si>
  <si>
    <t>PROFIT &amp; LOSS</t>
  </si>
  <si>
    <t>Report Date</t>
  </si>
  <si>
    <t>Sales</t>
  </si>
  <si>
    <t>Effective Tax Rate</t>
  </si>
  <si>
    <t>Quarters</t>
  </si>
  <si>
    <t>BALANCE SHEET</t>
  </si>
  <si>
    <t>Equity Share Capital</t>
  </si>
  <si>
    <t>Borrowings</t>
  </si>
  <si>
    <t>Other Liabilities</t>
  </si>
  <si>
    <t>Capital Work in Progress</t>
  </si>
  <si>
    <t>Other Assets</t>
  </si>
  <si>
    <t>Cash &amp; Bank</t>
  </si>
  <si>
    <t xml:space="preserve">Total Assets </t>
  </si>
  <si>
    <t>CASH FLOW:</t>
  </si>
  <si>
    <t xml:space="preserve">Net Profit </t>
  </si>
  <si>
    <t>Mean</t>
  </si>
  <si>
    <t>Total Liablities</t>
  </si>
  <si>
    <t>Years</t>
  </si>
  <si>
    <t>LTM</t>
  </si>
  <si>
    <t>Income Statement</t>
  </si>
  <si>
    <t>Sales Growth</t>
  </si>
  <si>
    <t>COGS</t>
  </si>
  <si>
    <t xml:space="preserve">COGS % Sales </t>
  </si>
  <si>
    <t xml:space="preserve">Gross Profit </t>
  </si>
  <si>
    <t>Selling &amp; General Expenses</t>
  </si>
  <si>
    <t xml:space="preserve">S&amp;G Exp % Sales </t>
  </si>
  <si>
    <t xml:space="preserve">EBITDA </t>
  </si>
  <si>
    <t>EBITDA % Sales</t>
  </si>
  <si>
    <t xml:space="preserve">Interest </t>
  </si>
  <si>
    <t>Interest % Sales</t>
  </si>
  <si>
    <t xml:space="preserve">Depriciation </t>
  </si>
  <si>
    <t xml:space="preserve">Deprication % Sales </t>
  </si>
  <si>
    <t xml:space="preserve">Earnings before Tax </t>
  </si>
  <si>
    <t xml:space="preserve">EBT % Sales </t>
  </si>
  <si>
    <t xml:space="preserve">Tax </t>
  </si>
  <si>
    <t xml:space="preserve">Effective Tax Rate </t>
  </si>
  <si>
    <t xml:space="preserve">Net Margin </t>
  </si>
  <si>
    <t xml:space="preserve">No of Equity Share </t>
  </si>
  <si>
    <t xml:space="preserve">EPS </t>
  </si>
  <si>
    <t>EPS Growth %</t>
  </si>
  <si>
    <t xml:space="preserve">Dividend per Share </t>
  </si>
  <si>
    <t>Divident Payout Ratio %</t>
  </si>
  <si>
    <t xml:space="preserve">Retained Earnings </t>
  </si>
  <si>
    <t xml:space="preserve">Balace Sheet </t>
  </si>
  <si>
    <t xml:space="preserve">Total Liablity </t>
  </si>
  <si>
    <t>Fixed Asset Net Block</t>
  </si>
  <si>
    <t xml:space="preserve">Total Non Current Assets </t>
  </si>
  <si>
    <t xml:space="preserve">Total Asset </t>
  </si>
  <si>
    <t xml:space="preserve">Check </t>
  </si>
  <si>
    <t xml:space="preserve">Cash Flow </t>
  </si>
  <si>
    <t xml:space="preserve">Operating Activities </t>
  </si>
  <si>
    <t>CFO</t>
  </si>
  <si>
    <t>Investing Activity</t>
  </si>
  <si>
    <t>Investment in group cos</t>
  </si>
  <si>
    <t>CFI</t>
  </si>
  <si>
    <t xml:space="preserve">Financing Activity </t>
  </si>
  <si>
    <t>Proceeds from shares</t>
  </si>
  <si>
    <t>CFF</t>
  </si>
  <si>
    <t xml:space="preserve">Net Cash Flow </t>
  </si>
  <si>
    <t>Cash from Operating Activity -</t>
  </si>
  <si>
    <t>Cash from Investing Activity -</t>
  </si>
  <si>
    <t>Cash from Financing Activity -</t>
  </si>
  <si>
    <t>Trend</t>
  </si>
  <si>
    <t>Median</t>
  </si>
  <si>
    <t>SalesGrowth</t>
  </si>
  <si>
    <t>EBITDA Growth</t>
  </si>
  <si>
    <t>EBIT Growth</t>
  </si>
  <si>
    <t>Net Profit Growth</t>
  </si>
  <si>
    <t>Dividend Growth</t>
  </si>
  <si>
    <t>Gross Margin</t>
  </si>
  <si>
    <t>EBITDA Margin</t>
  </si>
  <si>
    <t>EBIT Margin</t>
  </si>
  <si>
    <t>EBT Margin</t>
  </si>
  <si>
    <t>Net Profit Margin</t>
  </si>
  <si>
    <t>SalesExpenses%Sales</t>
  </si>
  <si>
    <t>Depreciation%Sales</t>
  </si>
  <si>
    <t>OperatingIncome%Sales</t>
  </si>
  <si>
    <t>Return on Capital Employed</t>
  </si>
  <si>
    <t>"--&gt; is EBIT / EQUITY and Debt "</t>
  </si>
  <si>
    <t>Retained Earnings%</t>
  </si>
  <si>
    <t>Return on Equity%</t>
  </si>
  <si>
    <t>Self Sustained Growth Rate</t>
  </si>
  <si>
    <t>g = b * r</t>
  </si>
  <si>
    <t>if return on capital is more than WACC, then theres no point to give divident, apne pass rakho aur grow karao</t>
  </si>
  <si>
    <t xml:space="preserve">benefit of self sustained growth rate is obvioulsly logicvally benefit for equity holders </t>
  </si>
  <si>
    <t>Interest Coverage Ratio</t>
  </si>
  <si>
    <t>self sustained growthraate is Retained earning * roe</t>
  </si>
  <si>
    <t xml:space="preserve">int coverage is EBIT / Int </t>
  </si>
  <si>
    <t>Debtor Turnover Ratio</t>
  </si>
  <si>
    <t>Creditor Turnover Ratio</t>
  </si>
  <si>
    <t>Inventory Turnover</t>
  </si>
  <si>
    <t>Fixed Asset Turnover</t>
  </si>
  <si>
    <t>Capital Turnover Ratio</t>
  </si>
  <si>
    <t>Debtor Days</t>
  </si>
  <si>
    <t>Payable Days</t>
  </si>
  <si>
    <t>Inventory Days</t>
  </si>
  <si>
    <t xml:space="preserve">agar aaj company band karde toh inventory se kitne dinn ka production ho sakta hai </t>
  </si>
  <si>
    <t>Cash Conversion Cycle</t>
  </si>
  <si>
    <t>CFO/Sales</t>
  </si>
  <si>
    <t>CFO/Total Assets</t>
  </si>
  <si>
    <t>CFO/Total Debt</t>
  </si>
  <si>
    <t>Other Asset</t>
  </si>
  <si>
    <t xml:space="preserve">GP % Sales </t>
  </si>
  <si>
    <t>Free Cash Flow</t>
  </si>
  <si>
    <t>CFO/OP</t>
  </si>
  <si>
    <t>Working Capital Changes =</t>
  </si>
  <si>
    <t>Receivables + Inventory + Payables + Loans &amp; Advances + Other WC</t>
  </si>
  <si>
    <r>
      <t xml:space="preserve">Working Capital Changes </t>
    </r>
    <r>
      <rPr>
        <b/>
        <i/>
        <vertAlign val="superscript"/>
        <sz val="11"/>
        <color theme="1"/>
        <rFont val="Calibri"/>
        <family val="2"/>
      </rPr>
      <t>1</t>
    </r>
  </si>
  <si>
    <t>Note:</t>
  </si>
  <si>
    <t>Working Capital Changes = Receivables + Inventory + Payables + Loans &amp; Advances + Other WC</t>
  </si>
  <si>
    <t xml:space="preserve">    52 Week (High - INR4609 &amp; Low-3292)</t>
  </si>
  <si>
    <t xml:space="preserve"> </t>
  </si>
  <si>
    <t>About the Company</t>
  </si>
  <si>
    <t xml:space="preserve">Financial Summary </t>
  </si>
  <si>
    <t xml:space="preserve">  </t>
  </si>
  <si>
    <t>Return on Equity (ROE)</t>
  </si>
  <si>
    <t xml:space="preserve">Average Shareholder Equity </t>
  </si>
  <si>
    <t>Return on Equity</t>
  </si>
  <si>
    <t xml:space="preserve">ROE - Dupont Equation </t>
  </si>
  <si>
    <t>Revenue</t>
  </si>
  <si>
    <t xml:space="preserve">Net Profit Margin (A) </t>
  </si>
  <si>
    <t xml:space="preserve">Revenue </t>
  </si>
  <si>
    <t xml:space="preserve">Average Total Asset </t>
  </si>
  <si>
    <t>Asset Turnover Ratio (B)</t>
  </si>
  <si>
    <t>Equity Multiplier (C)</t>
  </si>
  <si>
    <t>Return on Equity (A*B*C)</t>
  </si>
  <si>
    <t xml:space="preserve">Return on Asset </t>
  </si>
  <si>
    <t xml:space="preserve">Avg Total Asset </t>
  </si>
  <si>
    <t xml:space="preserve">ROA - Dupont Equation </t>
  </si>
  <si>
    <t>Return on Asset (A*B)</t>
  </si>
  <si>
    <t>Date</t>
  </si>
  <si>
    <t>Adj Close</t>
  </si>
  <si>
    <t>Return</t>
  </si>
  <si>
    <t xml:space="preserve">Sorted Returns </t>
  </si>
  <si>
    <t xml:space="preserve">Replication </t>
  </si>
  <si>
    <t xml:space="preserve">Simulated Returns </t>
  </si>
  <si>
    <t xml:space="preserve">Historical Approach </t>
  </si>
  <si>
    <t xml:space="preserve">Std Deviation </t>
  </si>
  <si>
    <t xml:space="preserve">Min </t>
  </si>
  <si>
    <t>Max</t>
  </si>
  <si>
    <t xml:space="preserve">Current MP </t>
  </si>
  <si>
    <t xml:space="preserve">Percentile </t>
  </si>
  <si>
    <t>Confidence</t>
  </si>
  <si>
    <t>VAR%</t>
  </si>
  <si>
    <t xml:space="preserve">Stock Price </t>
  </si>
  <si>
    <t xml:space="preserve">VAR (INR) </t>
  </si>
  <si>
    <t xml:space="preserve">Monte Carlo Approach </t>
  </si>
  <si>
    <t xml:space="preserve">Weighted Avg Cost of Capital </t>
  </si>
  <si>
    <t xml:space="preserve">All Figure are in INR unless stated otherwise </t>
  </si>
  <si>
    <t>Peer Comp</t>
  </si>
  <si>
    <t>Debt /</t>
  </si>
  <si>
    <t>Levered</t>
  </si>
  <si>
    <t>Unlevered</t>
  </si>
  <si>
    <t>Name if the Comp</t>
  </si>
  <si>
    <t>Country</t>
  </si>
  <si>
    <t xml:space="preserve">Total Debt </t>
  </si>
  <si>
    <t xml:space="preserve">Total Equity </t>
  </si>
  <si>
    <r>
      <t xml:space="preserve">Tax Rate </t>
    </r>
    <r>
      <rPr>
        <vertAlign val="superscript"/>
        <sz val="11"/>
        <color theme="1"/>
        <rFont val="Calibri"/>
        <family val="2"/>
      </rPr>
      <t>1</t>
    </r>
    <r>
      <rPr>
        <sz val="11"/>
        <color theme="1"/>
        <rFont val="Calibri"/>
        <family val="2"/>
      </rPr>
      <t xml:space="preserve"> </t>
    </r>
  </si>
  <si>
    <t xml:space="preserve">Equity </t>
  </si>
  <si>
    <t>Capital</t>
  </si>
  <si>
    <r>
      <t xml:space="preserve">Beta </t>
    </r>
    <r>
      <rPr>
        <vertAlign val="superscript"/>
        <sz val="11"/>
        <color theme="1"/>
        <rFont val="Calibri"/>
        <family val="2"/>
      </rPr>
      <t>2</t>
    </r>
  </si>
  <si>
    <r>
      <t xml:space="preserve">Beta </t>
    </r>
    <r>
      <rPr>
        <vertAlign val="superscript"/>
        <sz val="11"/>
        <color theme="1"/>
        <rFont val="Calibri"/>
        <family val="2"/>
      </rPr>
      <t>3</t>
    </r>
  </si>
  <si>
    <t>India</t>
  </si>
  <si>
    <t xml:space="preserve">Average </t>
  </si>
  <si>
    <t xml:space="preserve">Median </t>
  </si>
  <si>
    <t xml:space="preserve">Cost of Debt </t>
  </si>
  <si>
    <t xml:space="preserve">Cost of Equity </t>
  </si>
  <si>
    <t xml:space="preserve">Pre-Tax Cost of Debt </t>
  </si>
  <si>
    <r>
      <t xml:space="preserve">Risk Free Rate </t>
    </r>
    <r>
      <rPr>
        <vertAlign val="superscript"/>
        <sz val="11"/>
        <color theme="1"/>
        <rFont val="Calibri"/>
        <family val="2"/>
      </rPr>
      <t>5</t>
    </r>
  </si>
  <si>
    <t xml:space="preserve">Tax Rate </t>
  </si>
  <si>
    <t xml:space="preserve">Equity Risk Premium </t>
  </si>
  <si>
    <t xml:space="preserve">Post Tax Cost of Debt </t>
  </si>
  <si>
    <r>
      <t xml:space="preserve">Levered Beta </t>
    </r>
    <r>
      <rPr>
        <vertAlign val="superscript"/>
        <sz val="11"/>
        <color theme="1"/>
        <rFont val="Calibri"/>
        <family val="2"/>
      </rPr>
      <t>4</t>
    </r>
  </si>
  <si>
    <t xml:space="preserve">Capital Structure </t>
  </si>
  <si>
    <t xml:space="preserve">Levered Beta </t>
  </si>
  <si>
    <t>Amt</t>
  </si>
  <si>
    <t xml:space="preserve">Current </t>
  </si>
  <si>
    <t xml:space="preserve">Target </t>
  </si>
  <si>
    <t xml:space="preserve">Comps Median Unlevered Beta </t>
  </si>
  <si>
    <t xml:space="preserve">Debt / Total Capital  </t>
  </si>
  <si>
    <t xml:space="preserve">Target Debt / Equity </t>
  </si>
  <si>
    <t>Equity / Total Capital</t>
  </si>
  <si>
    <t xml:space="preserve">Debt / Equity </t>
  </si>
  <si>
    <t>Levered Beta (Comparable Method)</t>
  </si>
  <si>
    <t>Total Capital</t>
  </si>
  <si>
    <t>Notes:</t>
  </si>
  <si>
    <t xml:space="preserve">1. Tax Rate considered as Marginal Tax Rate for the Country </t>
  </si>
  <si>
    <t xml:space="preserve">2. Levered Beta is based on 5 Year Monthly Data </t>
  </si>
  <si>
    <t xml:space="preserve">Total Cost </t>
  </si>
  <si>
    <t xml:space="preserve">Total Weight </t>
  </si>
  <si>
    <t>3. Unlevered Beta = Levered Beta / (1=(1-Tax Rate)* Debt/Equity)</t>
  </si>
  <si>
    <t xml:space="preserve">Debt </t>
  </si>
  <si>
    <t>4. Levered Beta = Unlevered Beta * (1+(1-Tax Rate)*Debt/Equity)</t>
  </si>
  <si>
    <t xml:space="preserve">5. Risk Free Rate - 10 Years India Bond YTM </t>
  </si>
  <si>
    <t>WACC</t>
  </si>
  <si>
    <t xml:space="preserve">Calculation of PV of FCFF </t>
  </si>
  <si>
    <t>EBIT</t>
  </si>
  <si>
    <t>EBIT(1-T)</t>
  </si>
  <si>
    <t xml:space="preserve">Less: Reinvestment Rate </t>
  </si>
  <si>
    <t>Free Cash Flow to Firm (FCFF)</t>
  </si>
  <si>
    <t xml:space="preserve">Mid Year Convention </t>
  </si>
  <si>
    <t xml:space="preserve">Discounting Factor </t>
  </si>
  <si>
    <t>PV of FCFF</t>
  </si>
  <si>
    <t xml:space="preserve">Expected Growth </t>
  </si>
  <si>
    <t>Terminal Growth</t>
  </si>
  <si>
    <t xml:space="preserve">Calculation of Terminal Value </t>
  </si>
  <si>
    <t>FCFF(n+1)</t>
  </si>
  <si>
    <t>Terminal Growth Rate</t>
  </si>
  <si>
    <t xml:space="preserve">Terminal Value </t>
  </si>
  <si>
    <t xml:space="preserve">Calculation of Equity Value </t>
  </si>
  <si>
    <t xml:space="preserve">PV of Terminal Value </t>
  </si>
  <si>
    <t xml:space="preserve">Value of Operating Assets </t>
  </si>
  <si>
    <t xml:space="preserve">Add: Cash </t>
  </si>
  <si>
    <t xml:space="preserve">Less: Debt </t>
  </si>
  <si>
    <t xml:space="preserve">Value of Equity </t>
  </si>
  <si>
    <t>No of Shares</t>
  </si>
  <si>
    <t>Equity Value per Share</t>
  </si>
  <si>
    <t xml:space="preserve">Actual Share price </t>
  </si>
  <si>
    <t xml:space="preserve">Discount/Premium </t>
  </si>
  <si>
    <t xml:space="preserve">Scenario Analysis of Value of Operating Assets </t>
  </si>
  <si>
    <t xml:space="preserve">Terminal Growth Rate </t>
  </si>
  <si>
    <t xml:space="preserve"> COMPANY NAME </t>
  </si>
  <si>
    <t xml:space="preserve"> ASIAN PAINTS LTD </t>
  </si>
  <si>
    <t xml:space="preserve"> LATEST VERSION </t>
  </si>
  <si>
    <t xml:space="preserve"> CURRENT VERSION </t>
  </si>
  <si>
    <t xml:space="preserve"> META </t>
  </si>
  <si>
    <t xml:space="preserve"> Number of shares </t>
  </si>
  <si>
    <t xml:space="preserve"> Face Value </t>
  </si>
  <si>
    <t xml:space="preserve"> Current Price </t>
  </si>
  <si>
    <t xml:space="preserve"> Market Capitalization </t>
  </si>
  <si>
    <t xml:space="preserve"> Sales </t>
  </si>
  <si>
    <t xml:space="preserve"> Raw Material Cost </t>
  </si>
  <si>
    <t xml:space="preserve"> Change in Inventory </t>
  </si>
  <si>
    <t xml:space="preserve"> Power and Fuel </t>
  </si>
  <si>
    <t xml:space="preserve"> Other Mfr. Exp </t>
  </si>
  <si>
    <t xml:space="preserve"> Employee Cost </t>
  </si>
  <si>
    <t xml:space="preserve"> Selling and admin </t>
  </si>
  <si>
    <t xml:space="preserve"> Other Expenses </t>
  </si>
  <si>
    <t xml:space="preserve"> Other Income </t>
  </si>
  <si>
    <t xml:space="preserve"> Depreciation </t>
  </si>
  <si>
    <t xml:space="preserve"> Interest </t>
  </si>
  <si>
    <t xml:space="preserve"> Profit before tax </t>
  </si>
  <si>
    <t xml:space="preserve"> Tax </t>
  </si>
  <si>
    <t xml:space="preserve"> Net profit </t>
  </si>
  <si>
    <t xml:space="preserve"> Dividend Amount </t>
  </si>
  <si>
    <t xml:space="preserve"> Expenses </t>
  </si>
  <si>
    <t xml:space="preserve"> Operating Profit </t>
  </si>
  <si>
    <t xml:space="preserve"> Equity Share Capital </t>
  </si>
  <si>
    <t xml:space="preserve"> Reserves </t>
  </si>
  <si>
    <t xml:space="preserve"> Borrowings </t>
  </si>
  <si>
    <t xml:space="preserve"> Other Liabilities </t>
  </si>
  <si>
    <t xml:space="preserve"> Total </t>
  </si>
  <si>
    <t xml:space="preserve"> Net Block </t>
  </si>
  <si>
    <t xml:space="preserve"> Capital Work in Progress </t>
  </si>
  <si>
    <t xml:space="preserve"> Investments </t>
  </si>
  <si>
    <t xml:space="preserve"> Other Assets </t>
  </si>
  <si>
    <t xml:space="preserve"> Receivables </t>
  </si>
  <si>
    <t xml:space="preserve"> Inventory </t>
  </si>
  <si>
    <t xml:space="preserve"> Cash &amp; Bank </t>
  </si>
  <si>
    <t xml:space="preserve"> No. of Equity Shares </t>
  </si>
  <si>
    <t xml:space="preserve"> New Bonus Shares </t>
  </si>
  <si>
    <t xml:space="preserve"> Face value </t>
  </si>
  <si>
    <t xml:space="preserve"> Cash from Operating Activity </t>
  </si>
  <si>
    <t xml:space="preserve"> Cash from Investing Activity </t>
  </si>
  <si>
    <t xml:space="preserve"> Cash from Financing Activity </t>
  </si>
  <si>
    <t xml:space="preserve"> Net Cash Flow </t>
  </si>
  <si>
    <t xml:space="preserve"> PRICE: </t>
  </si>
  <si>
    <t xml:space="preserve"> DERIVED: </t>
  </si>
  <si>
    <t xml:space="preserve"> Adjusted Equity Shares in Cr </t>
  </si>
  <si>
    <t xml:space="preserve">Asian Paints </t>
  </si>
  <si>
    <t xml:space="preserve">Berger Paints </t>
  </si>
  <si>
    <t xml:space="preserve">Kansai Nerolac Paints </t>
  </si>
  <si>
    <t xml:space="preserve">Akzo Nobel India </t>
  </si>
  <si>
    <t xml:space="preserve">Indigo Paints </t>
  </si>
  <si>
    <t xml:space="preserve">Shalimar Paints </t>
  </si>
  <si>
    <t xml:space="preserve">Sirca Paints India </t>
  </si>
  <si>
    <t xml:space="preserve">   INR 2603</t>
  </si>
  <si>
    <t xml:space="preserve">   (Asian Paints | BSE Code:  500820)</t>
  </si>
  <si>
    <t>Asian Paints Limited, originally incorporated in 1942 by four friends in Mumbai during the pre-independence era, began as a small paint manufacturing company competing against foreign brands in India. Over the years, the company expanded its presence across decorative paints, industrial coatings, waterproofing solutions, adhesives, and home décor, emerging as India’s largest paint manufacturer and one of Asia’s leading paint companies. The company is headquartered in Mumbai and is a publicly listed entity under the Indian chemicals and decorative paints industry. Its growth is primarily driven by strong brand recognition, an extensive dealer distribution network, premium product innovation, and rising demand from the housing and infrastructure sectors. Asian Paints’ profitability is supported by efficient supply chain management, strong operating margins, economies of scale, and a high asset-light distribution model, which have helped the company generate consistently strong returns on equity and cash flows with relatively moderate dependence on debt.</t>
  </si>
  <si>
    <t>SUMMARY OUTPUT</t>
  </si>
  <si>
    <t xml:space="preserve">Year Weight </t>
  </si>
  <si>
    <t xml:space="preserve">Year </t>
  </si>
  <si>
    <t xml:space="preserve">Sales </t>
  </si>
  <si>
    <t>Sales Growth %</t>
  </si>
  <si>
    <t>Regression Statistics</t>
  </si>
  <si>
    <t>Multiple R</t>
  </si>
  <si>
    <t>R Square</t>
  </si>
  <si>
    <t>Adjusted R Square</t>
  </si>
  <si>
    <t>Standard Error</t>
  </si>
  <si>
    <t>Observations</t>
  </si>
  <si>
    <t>ANOVA</t>
  </si>
  <si>
    <t>df</t>
  </si>
  <si>
    <t>SS</t>
  </si>
  <si>
    <t>MS</t>
  </si>
  <si>
    <t>F</t>
  </si>
  <si>
    <t>Significance F</t>
  </si>
  <si>
    <t>Regression</t>
  </si>
  <si>
    <t>Residual</t>
  </si>
  <si>
    <t>Total</t>
  </si>
  <si>
    <t>Coefficients</t>
  </si>
  <si>
    <t>t Stat</t>
  </si>
  <si>
    <t>P-value</t>
  </si>
  <si>
    <t>Lower 95%</t>
  </si>
  <si>
    <t>Upper 95%</t>
  </si>
  <si>
    <t>Lower 95.0%</t>
  </si>
  <si>
    <t>Upper 95.0%</t>
  </si>
  <si>
    <t>Intercept</t>
  </si>
  <si>
    <t>EBITDA Growth %</t>
  </si>
  <si>
    <t>EPS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</si>
</sst>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409]mmm\-yy;@"/>
    <numFmt numFmtId="165" formatCode="&quot;₹&quot;\ #,##0.0;&quot;₹&quot;\ \(#,##0.00\)"/>
    <numFmt numFmtId="166" formatCode="&quot;₹&quot;\ #,##0.00"/>
    <numFmt numFmtId="167" formatCode="0.00&quot;x&quot;"/>
    <numFmt numFmtId="168" formatCode="0&quot; Days&quot;"/>
    <numFmt numFmtId="169" formatCode="0.0"/>
    <numFmt numFmtId="170" formatCode="0.00\x"/>
    <numFmt numFmtId="171" formatCode="0.00000000"/>
    <numFmt numFmtId="172" formatCode="0.0000%"/>
    <numFmt numFmtId="173" formatCode="mmm/yy&quot; A&quot;"/>
    <numFmt numFmtId="174" formatCode="mmm/yy&quot; F&quot;"/>
    <numFmt numFmtId="175" formatCode="0.00&quot; Times&quot;"/>
    <numFmt numFmtId="176" formatCode="[$-409]mmm/yy;@"/>
    <numFmt numFmtId="177" formatCode="#,##0.0"/>
    <numFmt numFmtId="178" formatCode="yyyy\ \A"/>
    <numFmt numFmtId="179" formatCode="yyyy\ \F"/>
    <numFmt numFmtId="180" formatCode="&quot;₹&quot;\ #,##0.0"/>
  </numFmts>
  <fonts count="38" x14ac:knownFonts="1">
    <font>
      <sz val="11"/>
      <color theme="1"/>
      <name val="Calibri"/>
      <family val="2"/>
    </font>
    <font>
      <sz val="11"/>
      <color theme="1"/>
      <name val="Calibri"/>
      <family val="2"/>
    </font>
    <font>
      <b/>
      <sz val="11"/>
      <color theme="1"/>
      <name val="Calibri"/>
      <family val="2"/>
    </font>
    <font>
      <b/>
      <sz val="11"/>
      <color theme="2"/>
      <name val="Calibri"/>
      <family val="2"/>
    </font>
    <font>
      <i/>
      <sz val="11"/>
      <color theme="1"/>
      <name val="Calibri"/>
      <family val="2"/>
    </font>
    <font>
      <b/>
      <sz val="11"/>
      <color theme="0" tint="-0.14999847407452621"/>
      <name val="Calibri"/>
      <family val="2"/>
    </font>
    <font>
      <sz val="12"/>
      <color theme="1"/>
      <name val="Aptos Narrow"/>
      <family val="2"/>
      <scheme val="minor"/>
    </font>
    <font>
      <u/>
      <sz val="11"/>
      <color theme="10"/>
      <name val="Calibri"/>
      <family val="2"/>
    </font>
    <font>
      <sz val="11"/>
      <color theme="1"/>
      <name val="Aptos Narrow"/>
      <family val="2"/>
      <scheme val="minor"/>
    </font>
    <font>
      <b/>
      <sz val="10"/>
      <color theme="1"/>
      <name val="Arial"/>
      <family val="2"/>
    </font>
    <font>
      <u/>
      <sz val="10"/>
      <color theme="10"/>
      <name val="Arial"/>
      <family val="2"/>
    </font>
    <font>
      <sz val="10"/>
      <color theme="1"/>
      <name val="Arial"/>
      <family val="2"/>
    </font>
    <font>
      <sz val="11"/>
      <color theme="0"/>
      <name val="Aptos Narrow"/>
      <family val="2"/>
      <scheme val="minor"/>
    </font>
    <font>
      <b/>
      <sz val="10"/>
      <color theme="0"/>
      <name val="Arial"/>
      <family val="2"/>
    </font>
    <font>
      <sz val="10"/>
      <name val="Arial"/>
      <family val="2"/>
    </font>
    <font>
      <sz val="11"/>
      <color theme="1"/>
      <name val="Arial Narrow"/>
      <family val="2"/>
    </font>
    <font>
      <sz val="11"/>
      <color theme="2"/>
      <name val="Calibri"/>
      <family val="2"/>
    </font>
    <font>
      <sz val="11"/>
      <color theme="0" tint="-0.499984740745262"/>
      <name val="Calibri"/>
      <family val="2"/>
    </font>
    <font>
      <i/>
      <sz val="11"/>
      <color theme="0" tint="-0.499984740745262"/>
      <name val="calibri"/>
      <family val="2"/>
    </font>
    <font>
      <sz val="11"/>
      <color theme="0" tint="-0.34998626667073579"/>
      <name val="Calibri"/>
      <family val="2"/>
    </font>
    <font>
      <b/>
      <sz val="11"/>
      <color theme="4" tint="-0.249977111117893"/>
      <name val="Calibri"/>
      <family val="2"/>
    </font>
    <font>
      <b/>
      <sz val="11"/>
      <color theme="1"/>
      <name val="Aptos Narrow"/>
      <family val="2"/>
      <scheme val="minor"/>
    </font>
    <font>
      <b/>
      <sz val="11"/>
      <color theme="0"/>
      <name val="Aptos Narrow"/>
      <family val="2"/>
      <scheme val="minor"/>
    </font>
    <font>
      <b/>
      <i/>
      <sz val="11"/>
      <color theme="1"/>
      <name val="Calibri"/>
      <family val="2"/>
    </font>
    <font>
      <b/>
      <i/>
      <vertAlign val="superscript"/>
      <sz val="11"/>
      <color theme="1"/>
      <name val="Calibri"/>
      <family val="2"/>
    </font>
    <font>
      <sz val="10"/>
      <color theme="1"/>
      <name val="Calibri"/>
      <family val="2"/>
    </font>
    <font>
      <sz val="12"/>
      <color rgb="FF202122"/>
      <name val="Calibri"/>
      <family val="2"/>
    </font>
    <font>
      <b/>
      <sz val="12"/>
      <color theme="0" tint="-4.9989318521683403E-2"/>
      <name val="Calibri"/>
      <family val="2"/>
    </font>
    <font>
      <sz val="11"/>
      <color rgb="FF0066FF"/>
      <name val="Calibri"/>
      <family val="2"/>
    </font>
    <font>
      <b/>
      <sz val="11"/>
      <color theme="0"/>
      <name val="Calibri"/>
      <family val="2"/>
    </font>
    <font>
      <vertAlign val="superscript"/>
      <sz val="11"/>
      <color theme="1"/>
      <name val="Calibri"/>
      <family val="2"/>
    </font>
    <font>
      <sz val="11"/>
      <name val="Calibri"/>
      <family val="2"/>
    </font>
    <font>
      <i/>
      <sz val="9"/>
      <color theme="1"/>
      <name val="Calibri"/>
      <family val="2"/>
    </font>
    <font>
      <b/>
      <sz val="22"/>
      <color rgb="FFE84726"/>
      <name val="Calibri"/>
      <family val="2"/>
    </font>
    <font>
      <b/>
      <sz val="14"/>
      <color rgb="FFE84726"/>
      <name val="Calibri"/>
      <family val="2"/>
    </font>
    <font>
      <b/>
      <sz val="11"/>
      <color rgb="FFE84726"/>
      <name val="Calibri"/>
      <family val="2"/>
    </font>
    <font>
      <b/>
      <sz val="11"/>
      <color theme="0" tint="-4.9989318521683403E-2"/>
      <name val="Calibri"/>
      <family val="2"/>
    </font>
    <font>
      <sz val="11"/>
      <color rgb="FF0070C0"/>
      <name val="Calibri"/>
      <family val="2"/>
    </font>
  </fonts>
  <fills count="15">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9"/>
      </patternFill>
    </fill>
    <fill>
      <patternFill patternType="solid">
        <fgColor rgb="FF0275D8"/>
        <bgColor indexed="64"/>
      </patternFill>
    </fill>
    <fill>
      <patternFill patternType="solid">
        <fgColor theme="4" tint="0.39997558519241921"/>
        <bgColor indexed="65"/>
      </patternFill>
    </fill>
    <fill>
      <patternFill patternType="solid">
        <fgColor theme="6" tint="0.39997558519241921"/>
        <bgColor indexed="65"/>
      </patternFill>
    </fill>
    <fill>
      <patternFill patternType="solid">
        <fgColor theme="3" tint="0.249977111117893"/>
        <bgColor indexed="64"/>
      </patternFill>
    </fill>
    <fill>
      <patternFill patternType="solid">
        <fgColor theme="1" tint="0.499984740745262"/>
        <bgColor indexed="64"/>
      </patternFill>
    </fill>
    <fill>
      <patternFill patternType="solid">
        <fgColor rgb="FFE84726"/>
        <bgColor indexed="64"/>
      </patternFill>
    </fill>
    <fill>
      <patternFill patternType="solid">
        <fgColor rgb="FFF9D3CB"/>
        <bgColor indexed="64"/>
      </patternFill>
    </fill>
    <fill>
      <patternFill patternType="solid">
        <fgColor rgb="FF0E2841"/>
        <bgColor indexed="64"/>
      </patternFill>
    </fill>
    <fill>
      <patternFill patternType="solid">
        <fgColor theme="3"/>
        <bgColor indexed="64"/>
      </patternFill>
    </fill>
    <fill>
      <patternFill patternType="solid">
        <fgColor theme="1" tint="0.34998626667073579"/>
        <bgColor indexed="64"/>
      </patternFill>
    </fill>
  </fills>
  <borders count="40">
    <border>
      <left/>
      <right/>
      <top/>
      <bottom/>
      <diagonal/>
    </border>
    <border>
      <left/>
      <right/>
      <top style="thin">
        <color auto="1"/>
      </top>
      <bottom/>
      <diagonal/>
    </border>
    <border>
      <left/>
      <right/>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theme="4" tint="-0.24994659260841701"/>
      </bottom>
      <diagonal/>
    </border>
    <border>
      <left/>
      <right/>
      <top style="dashed">
        <color auto="1"/>
      </top>
      <bottom style="dashed">
        <color auto="1"/>
      </bottom>
      <diagonal/>
    </border>
    <border>
      <left/>
      <right/>
      <top style="dashed">
        <color theme="4" tint="-0.24994659260841701"/>
      </top>
      <bottom/>
      <diagonal/>
    </border>
    <border>
      <left/>
      <right/>
      <top/>
      <bottom style="dashed">
        <color theme="4" tint="-0.24994659260841701"/>
      </bottom>
      <diagonal/>
    </border>
    <border>
      <left/>
      <right/>
      <top style="dashed">
        <color theme="4" tint="-0.24994659260841701"/>
      </top>
      <bottom style="dashed">
        <color theme="4" tint="-0.24994659260841701"/>
      </bottom>
      <diagonal/>
    </border>
    <border>
      <left/>
      <right/>
      <top/>
      <bottom style="medium">
        <color rgb="FF21873D"/>
      </bottom>
      <diagonal/>
    </border>
    <border>
      <left/>
      <right/>
      <top style="thin">
        <color theme="4" tint="-0.24994659260841701"/>
      </top>
      <bottom style="thick">
        <color theme="4" tint="-0.24994659260841701"/>
      </bottom>
      <diagonal/>
    </border>
    <border>
      <left/>
      <right/>
      <top/>
      <bottom style="thick">
        <color theme="4" tint="-0.24994659260841701"/>
      </bottom>
      <diagonal/>
    </border>
    <border>
      <left/>
      <right/>
      <top style="thin">
        <color theme="4" tint="-0.24994659260841701"/>
      </top>
      <bottom style="thin">
        <color theme="4" tint="-0.24994659260841701"/>
      </bottom>
      <diagonal/>
    </border>
    <border>
      <left/>
      <right/>
      <top style="thin">
        <color theme="4" tint="-0.24994659260841701"/>
      </top>
      <bottom/>
      <diagonal/>
    </border>
    <border>
      <left/>
      <right/>
      <top/>
      <bottom style="thick">
        <color auto="1"/>
      </bottom>
      <diagonal/>
    </border>
    <border>
      <left/>
      <right/>
      <top style="thin">
        <color auto="1"/>
      </top>
      <bottom style="dashed">
        <color auto="1"/>
      </bottom>
      <diagonal/>
    </border>
    <border>
      <left/>
      <right/>
      <top style="dashed">
        <color auto="1"/>
      </top>
      <bottom style="thin">
        <color auto="1"/>
      </bottom>
      <diagonal/>
    </border>
    <border>
      <left/>
      <right/>
      <top style="medium">
        <color auto="1"/>
      </top>
      <bottom/>
      <diagonal/>
    </border>
    <border>
      <left/>
      <right/>
      <top style="dashed">
        <color auto="1"/>
      </top>
      <bottom/>
      <diagonal/>
    </border>
    <border>
      <left/>
      <right/>
      <top/>
      <bottom style="dashed">
        <color auto="1"/>
      </bottom>
      <diagonal/>
    </border>
    <border>
      <left/>
      <right/>
      <top style="dashed">
        <color auto="1"/>
      </top>
      <bottom style="medium">
        <color auto="1"/>
      </bottom>
      <diagonal/>
    </border>
    <border>
      <left/>
      <right/>
      <top style="thin">
        <color theme="3" tint="0.24994659260841701"/>
      </top>
      <bottom style="thick">
        <color theme="3" tint="0.24994659260841701"/>
      </bottom>
      <diagonal/>
    </border>
    <border>
      <left/>
      <right/>
      <top style="medium">
        <color auto="1"/>
      </top>
      <bottom style="dashed">
        <color auto="1"/>
      </bottom>
      <diagonal/>
    </border>
    <border>
      <left style="dashed">
        <color auto="1"/>
      </left>
      <right style="dashed">
        <color auto="1"/>
      </right>
      <top/>
      <bottom style="dashed">
        <color auto="1"/>
      </bottom>
      <diagonal/>
    </border>
    <border>
      <left style="dashed">
        <color auto="1"/>
      </left>
      <right style="dashed">
        <color auto="1"/>
      </right>
      <top/>
      <bottom/>
      <diagonal/>
    </border>
    <border>
      <left style="dashed">
        <color auto="1"/>
      </left>
      <right style="dashed">
        <color auto="1"/>
      </right>
      <top style="dashed">
        <color auto="1"/>
      </top>
      <bottom style="dashed">
        <color auto="1"/>
      </bottom>
      <diagonal/>
    </border>
    <border>
      <left/>
      <right style="dashed">
        <color auto="1"/>
      </right>
      <top style="dashed">
        <color auto="1"/>
      </top>
      <bottom style="dashed">
        <color auto="1"/>
      </bottom>
      <diagonal/>
    </border>
    <border>
      <left style="dashed">
        <color auto="1"/>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right/>
      <top style="medium">
        <color indexed="64"/>
      </top>
      <bottom style="thin">
        <color auto="1"/>
      </bottom>
      <diagonal/>
    </border>
    <border>
      <left/>
      <right/>
      <top/>
      <bottom style="medium">
        <color indexed="64"/>
      </bottom>
      <diagonal/>
    </border>
    <border>
      <left/>
      <right style="dashed">
        <color auto="1"/>
      </right>
      <top style="medium">
        <color indexed="64"/>
      </top>
      <bottom style="thin">
        <color auto="1"/>
      </bottom>
      <diagonal/>
    </border>
    <border>
      <left/>
      <right style="dashed">
        <color auto="1"/>
      </right>
      <top/>
      <bottom style="medium">
        <color indexed="64"/>
      </bottom>
      <diagonal/>
    </border>
  </borders>
  <cellStyleXfs count="14">
    <xf numFmtId="0" fontId="0" fillId="0" borderId="0"/>
    <xf numFmtId="9" fontId="1" fillId="0" borderId="0" applyFont="0" applyFill="0" applyBorder="0" applyAlignment="0" applyProtection="0"/>
    <xf numFmtId="0" fontId="6" fillId="0" borderId="0"/>
    <xf numFmtId="43" fontId="8" fillId="0" borderId="0" applyFont="0" applyFill="0" applyBorder="0" applyAlignment="0" applyProtection="0"/>
    <xf numFmtId="0" fontId="7" fillId="0" borderId="0" applyNumberFormat="0" applyFill="0" applyBorder="0" applyAlignment="0" applyProtection="0">
      <alignment vertical="top"/>
      <protection locked="0"/>
    </xf>
    <xf numFmtId="0" fontId="12" fillId="4" borderId="0" applyNumberFormat="0" applyBorder="0" applyAlignment="0" applyProtection="0"/>
    <xf numFmtId="0" fontId="8" fillId="0" borderId="0"/>
    <xf numFmtId="9" fontId="8" fillId="0" borderId="0" applyFont="0" applyFill="0" applyBorder="0" applyAlignment="0" applyProtection="0"/>
    <xf numFmtId="0" fontId="15" fillId="0" borderId="0"/>
    <xf numFmtId="43" fontId="8" fillId="0" borderId="0" applyFont="0" applyFill="0" applyBorder="0" applyAlignment="0" applyProtection="0"/>
    <xf numFmtId="0" fontId="12" fillId="6" borderId="0" applyNumberFormat="0" applyBorder="0" applyAlignment="0" applyProtection="0"/>
    <xf numFmtId="0" fontId="12" fillId="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cellStyleXfs>
  <cellXfs count="250">
    <xf numFmtId="0" fontId="0" fillId="0" borderId="0" xfId="0"/>
    <xf numFmtId="10" fontId="0" fillId="0" borderId="0" xfId="1" applyNumberFormat="1" applyFont="1"/>
    <xf numFmtId="0" fontId="0" fillId="0" borderId="1" xfId="0" applyBorder="1"/>
    <xf numFmtId="10" fontId="0" fillId="0" borderId="0" xfId="0" applyNumberFormat="1"/>
    <xf numFmtId="0" fontId="2" fillId="0" borderId="0" xfId="0" applyFont="1"/>
    <xf numFmtId="0" fontId="0" fillId="0" borderId="4" xfId="0" applyBorder="1"/>
    <xf numFmtId="9" fontId="0" fillId="0" borderId="0" xfId="0" applyNumberFormat="1"/>
    <xf numFmtId="3" fontId="0" fillId="0" borderId="0" xfId="0" applyNumberFormat="1"/>
    <xf numFmtId="0" fontId="0" fillId="3" borderId="0" xfId="0" applyFill="1"/>
    <xf numFmtId="0" fontId="0" fillId="2" borderId="0" xfId="0" applyFill="1"/>
    <xf numFmtId="10" fontId="2" fillId="0" borderId="0" xfId="1" applyNumberFormat="1" applyFont="1"/>
    <xf numFmtId="43" fontId="9" fillId="0" borderId="0" xfId="3" applyFont="1" applyBorder="1"/>
    <xf numFmtId="43" fontId="11" fillId="0" borderId="0" xfId="3" applyFont="1" applyBorder="1"/>
    <xf numFmtId="164" fontId="14" fillId="0" borderId="0" xfId="3" applyNumberFormat="1" applyFont="1" applyFill="1" applyBorder="1"/>
    <xf numFmtId="9" fontId="11" fillId="0" borderId="0" xfId="7" applyFont="1" applyBorder="1"/>
    <xf numFmtId="17" fontId="0" fillId="0" borderId="0" xfId="0" applyNumberFormat="1"/>
    <xf numFmtId="0" fontId="2" fillId="0" borderId="9" xfId="0" applyFont="1" applyBorder="1"/>
    <xf numFmtId="17" fontId="2" fillId="0" borderId="9" xfId="0" applyNumberFormat="1" applyFont="1" applyBorder="1"/>
    <xf numFmtId="43" fontId="0" fillId="0" borderId="0" xfId="0" applyNumberFormat="1"/>
    <xf numFmtId="10" fontId="2" fillId="0" borderId="0" xfId="1" applyNumberFormat="1" applyFont="1" applyBorder="1"/>
    <xf numFmtId="10" fontId="1" fillId="0" borderId="0" xfId="1" applyNumberFormat="1" applyFont="1" applyBorder="1"/>
    <xf numFmtId="43" fontId="2" fillId="0" borderId="0" xfId="0" applyNumberFormat="1" applyFont="1"/>
    <xf numFmtId="0" fontId="16" fillId="0" borderId="0" xfId="0" applyFont="1"/>
    <xf numFmtId="17" fontId="16" fillId="0" borderId="0" xfId="0" applyNumberFormat="1" applyFont="1"/>
    <xf numFmtId="0" fontId="16" fillId="0" borderId="0" xfId="0" applyFont="1" applyAlignment="1">
      <alignment horizontal="right"/>
    </xf>
    <xf numFmtId="165" fontId="0" fillId="0" borderId="0" xfId="0" applyNumberFormat="1"/>
    <xf numFmtId="0" fontId="17" fillId="0" borderId="0" xfId="0" applyFont="1"/>
    <xf numFmtId="10" fontId="18" fillId="0" borderId="0" xfId="1" applyNumberFormat="1" applyFont="1"/>
    <xf numFmtId="0" fontId="19" fillId="0" borderId="0" xfId="0" applyFont="1"/>
    <xf numFmtId="10" fontId="19" fillId="0" borderId="0" xfId="1" applyNumberFormat="1" applyFont="1"/>
    <xf numFmtId="0" fontId="2" fillId="0" borderId="10" xfId="0" applyFont="1" applyBorder="1"/>
    <xf numFmtId="166" fontId="2" fillId="0" borderId="10" xfId="0" applyNumberFormat="1" applyFont="1" applyBorder="1"/>
    <xf numFmtId="166" fontId="0" fillId="0" borderId="0" xfId="0" applyNumberFormat="1"/>
    <xf numFmtId="165" fontId="2" fillId="0" borderId="10" xfId="0" applyNumberFormat="1" applyFont="1" applyBorder="1"/>
    <xf numFmtId="43" fontId="9" fillId="0" borderId="10" xfId="3" applyFont="1" applyBorder="1"/>
    <xf numFmtId="43" fontId="9" fillId="0" borderId="10" xfId="3" applyFont="1" applyFill="1" applyBorder="1"/>
    <xf numFmtId="0" fontId="4" fillId="0" borderId="0" xfId="0" applyFont="1"/>
    <xf numFmtId="0" fontId="4" fillId="0" borderId="0" xfId="0" applyFont="1" applyAlignment="1">
      <alignment horizontal="center"/>
    </xf>
    <xf numFmtId="0" fontId="2" fillId="0" borderId="10" xfId="0" applyFont="1" applyBorder="1" applyAlignment="1">
      <alignment horizontal="center"/>
    </xf>
    <xf numFmtId="17" fontId="20" fillId="0" borderId="0" xfId="0" applyNumberFormat="1" applyFont="1" applyAlignment="1">
      <alignment horizontal="center"/>
    </xf>
    <xf numFmtId="0" fontId="0" fillId="0" borderId="11" xfId="0" applyBorder="1"/>
    <xf numFmtId="10" fontId="0" fillId="0" borderId="11" xfId="1" applyNumberFormat="1" applyFont="1" applyBorder="1"/>
    <xf numFmtId="10" fontId="0" fillId="0" borderId="11" xfId="0" applyNumberFormat="1" applyBorder="1"/>
    <xf numFmtId="10" fontId="0" fillId="0" borderId="0" xfId="1" applyNumberFormat="1" applyFont="1" applyBorder="1"/>
    <xf numFmtId="0" fontId="0" fillId="0" borderId="12" xfId="0" applyBorder="1"/>
    <xf numFmtId="10" fontId="0" fillId="0" borderId="12" xfId="1" applyNumberFormat="1" applyFont="1" applyBorder="1"/>
    <xf numFmtId="10" fontId="0" fillId="0" borderId="12" xfId="0" applyNumberFormat="1" applyBorder="1"/>
    <xf numFmtId="167" fontId="0" fillId="0" borderId="12" xfId="0" applyNumberFormat="1" applyBorder="1"/>
    <xf numFmtId="167" fontId="0" fillId="0" borderId="11" xfId="0" applyNumberFormat="1" applyBorder="1"/>
    <xf numFmtId="167" fontId="0" fillId="0" borderId="0" xfId="0" applyNumberFormat="1"/>
    <xf numFmtId="168" fontId="0" fillId="0" borderId="11" xfId="0" applyNumberFormat="1" applyBorder="1"/>
    <xf numFmtId="168" fontId="0" fillId="0" borderId="0" xfId="0" applyNumberFormat="1"/>
    <xf numFmtId="168" fontId="0" fillId="0" borderId="12" xfId="0" applyNumberFormat="1" applyBorder="1"/>
    <xf numFmtId="43" fontId="9" fillId="3" borderId="10" xfId="3" applyFont="1" applyFill="1" applyBorder="1"/>
    <xf numFmtId="166" fontId="2" fillId="3" borderId="10" xfId="0" applyNumberFormat="1" applyFont="1" applyFill="1" applyBorder="1"/>
    <xf numFmtId="10" fontId="0" fillId="2" borderId="0" xfId="0" applyNumberFormat="1" applyFill="1"/>
    <xf numFmtId="164" fontId="13" fillId="0" borderId="0" xfId="6" applyNumberFormat="1" applyFont="1" applyAlignment="1">
      <alignment horizontal="center"/>
    </xf>
    <xf numFmtId="43" fontId="21" fillId="0" borderId="0" xfId="12" applyFont="1" applyBorder="1"/>
    <xf numFmtId="43" fontId="8" fillId="0" borderId="0" xfId="12" applyFont="1" applyBorder="1"/>
    <xf numFmtId="164" fontId="22" fillId="5" borderId="0" xfId="12" applyNumberFormat="1" applyFont="1" applyFill="1" applyBorder="1"/>
    <xf numFmtId="0" fontId="8" fillId="0" borderId="0" xfId="6"/>
    <xf numFmtId="164" fontId="22" fillId="5" borderId="0" xfId="6" applyNumberFormat="1" applyFont="1" applyFill="1" applyAlignment="1">
      <alignment horizontal="center"/>
    </xf>
    <xf numFmtId="0" fontId="23" fillId="2" borderId="0" xfId="0" applyFont="1" applyFill="1"/>
    <xf numFmtId="165" fontId="0" fillId="2" borderId="0" xfId="0" applyNumberFormat="1" applyFill="1"/>
    <xf numFmtId="3" fontId="0" fillId="3" borderId="0" xfId="0" applyNumberFormat="1" applyFill="1"/>
    <xf numFmtId="0" fontId="25" fillId="0" borderId="0" xfId="0" applyFont="1" applyAlignment="1">
      <alignment vertical="top" wrapText="1"/>
    </xf>
    <xf numFmtId="0" fontId="2" fillId="2" borderId="10" xfId="0" applyFont="1" applyFill="1" applyBorder="1" applyAlignment="1">
      <alignment horizontal="center"/>
    </xf>
    <xf numFmtId="165" fontId="2" fillId="2" borderId="10" xfId="0" applyNumberFormat="1" applyFont="1" applyFill="1" applyBorder="1"/>
    <xf numFmtId="0" fontId="23" fillId="0" borderId="3" xfId="0" applyFont="1" applyBorder="1" applyAlignment="1">
      <alignment horizontal="right"/>
    </xf>
    <xf numFmtId="10" fontId="11" fillId="0" borderId="0" xfId="1" applyNumberFormat="1" applyFont="1" applyBorder="1"/>
    <xf numFmtId="17" fontId="2" fillId="0" borderId="0" xfId="0" applyNumberFormat="1" applyFont="1"/>
    <xf numFmtId="169" fontId="0" fillId="0" borderId="0" xfId="0" applyNumberFormat="1"/>
    <xf numFmtId="14" fontId="0" fillId="0" borderId="0" xfId="0" applyNumberFormat="1"/>
    <xf numFmtId="2" fontId="0" fillId="0" borderId="0" xfId="0" applyNumberFormat="1"/>
    <xf numFmtId="171" fontId="0" fillId="0" borderId="0" xfId="0" applyNumberFormat="1"/>
    <xf numFmtId="0" fontId="0" fillId="0" borderId="0" xfId="0" applyAlignment="1">
      <alignment horizontal="center"/>
    </xf>
    <xf numFmtId="0" fontId="2" fillId="0" borderId="15" xfId="0" applyFont="1" applyBorder="1" applyAlignment="1">
      <alignment horizontal="left"/>
    </xf>
    <xf numFmtId="0" fontId="2" fillId="0" borderId="16" xfId="0" applyFont="1" applyBorder="1" applyAlignment="1">
      <alignment horizontal="left"/>
    </xf>
    <xf numFmtId="0" fontId="0" fillId="0" borderId="17" xfId="0" applyBorder="1"/>
    <xf numFmtId="10" fontId="0" fillId="0" borderId="17" xfId="1" applyNumberFormat="1" applyFont="1" applyBorder="1"/>
    <xf numFmtId="2" fontId="28" fillId="0" borderId="17" xfId="0" applyNumberFormat="1" applyFont="1" applyBorder="1"/>
    <xf numFmtId="0" fontId="0" fillId="0" borderId="18" xfId="0" applyBorder="1"/>
    <xf numFmtId="0" fontId="0" fillId="0" borderId="18" xfId="0" applyBorder="1" applyAlignment="1">
      <alignment horizontal="right"/>
    </xf>
    <xf numFmtId="0" fontId="2" fillId="0" borderId="16" xfId="0" applyFont="1" applyBorder="1"/>
    <xf numFmtId="0" fontId="2" fillId="0" borderId="16" xfId="0" applyFont="1" applyBorder="1" applyAlignment="1">
      <alignment horizontal="right"/>
    </xf>
    <xf numFmtId="10" fontId="0" fillId="0" borderId="9" xfId="0" applyNumberFormat="1" applyBorder="1" applyAlignment="1">
      <alignment horizontal="left"/>
    </xf>
    <xf numFmtId="10" fontId="0" fillId="0" borderId="9" xfId="0" applyNumberFormat="1" applyBorder="1"/>
    <xf numFmtId="2" fontId="0" fillId="0" borderId="9" xfId="0" applyNumberFormat="1" applyBorder="1"/>
    <xf numFmtId="10" fontId="0" fillId="0" borderId="17" xfId="0" applyNumberFormat="1" applyBorder="1" applyAlignment="1">
      <alignment horizontal="left"/>
    </xf>
    <xf numFmtId="10" fontId="0" fillId="0" borderId="17" xfId="0" applyNumberFormat="1" applyBorder="1"/>
    <xf numFmtId="2" fontId="0" fillId="0" borderId="17" xfId="0" applyNumberFormat="1" applyBorder="1"/>
    <xf numFmtId="0" fontId="3" fillId="0" borderId="0" xfId="0" applyFont="1"/>
    <xf numFmtId="0" fontId="2" fillId="0" borderId="2" xfId="0" applyFont="1" applyBorder="1"/>
    <xf numFmtId="0" fontId="0" fillId="0" borderId="2" xfId="0" applyBorder="1"/>
    <xf numFmtId="0" fontId="2" fillId="0" borderId="19" xfId="0" applyFont="1" applyBorder="1"/>
    <xf numFmtId="0" fontId="0" fillId="0" borderId="19" xfId="0" applyBorder="1"/>
    <xf numFmtId="0" fontId="0" fillId="0" borderId="19" xfId="0" applyBorder="1" applyAlignment="1">
      <alignment horizontal="center"/>
    </xf>
    <xf numFmtId="0" fontId="28" fillId="0" borderId="10" xfId="0" applyFont="1" applyBorder="1"/>
    <xf numFmtId="10" fontId="28" fillId="0" borderId="10" xfId="1" applyNumberFormat="1" applyFont="1" applyBorder="1"/>
    <xf numFmtId="10" fontId="0" fillId="0" borderId="10" xfId="1" applyNumberFormat="1" applyFont="1" applyBorder="1"/>
    <xf numFmtId="2" fontId="28" fillId="0" borderId="10" xfId="0" applyNumberFormat="1" applyFont="1" applyBorder="1"/>
    <xf numFmtId="2" fontId="0" fillId="0" borderId="10" xfId="0" applyNumberFormat="1" applyBorder="1" applyAlignment="1">
      <alignment horizontal="center"/>
    </xf>
    <xf numFmtId="0" fontId="2" fillId="0" borderId="20" xfId="0" applyFont="1" applyBorder="1"/>
    <xf numFmtId="0" fontId="2" fillId="0" borderId="21" xfId="0" applyFont="1" applyBorder="1"/>
    <xf numFmtId="0" fontId="0" fillId="9" borderId="0" xfId="0" applyFill="1"/>
    <xf numFmtId="0" fontId="0" fillId="0" borderId="21" xfId="0" applyBorder="1"/>
    <xf numFmtId="10" fontId="28" fillId="0" borderId="21" xfId="0" applyNumberFormat="1" applyFont="1" applyBorder="1"/>
    <xf numFmtId="0" fontId="0" fillId="0" borderId="10" xfId="0" applyBorder="1"/>
    <xf numFmtId="10" fontId="28" fillId="0" borderId="10" xfId="0" applyNumberFormat="1" applyFont="1" applyBorder="1"/>
    <xf numFmtId="10" fontId="31" fillId="0" borderId="0" xfId="0" applyNumberFormat="1" applyFont="1"/>
    <xf numFmtId="10" fontId="31" fillId="0" borderId="10" xfId="0" applyNumberFormat="1" applyFont="1" applyBorder="1"/>
    <xf numFmtId="0" fontId="2" fillId="2" borderId="22" xfId="0" applyFont="1" applyFill="1" applyBorder="1"/>
    <xf numFmtId="172" fontId="2" fillId="2" borderId="22" xfId="0" applyNumberFormat="1" applyFont="1" applyFill="1" applyBorder="1"/>
    <xf numFmtId="0" fontId="0" fillId="0" borderId="23" xfId="0" applyBorder="1"/>
    <xf numFmtId="2" fontId="0" fillId="0" borderId="23" xfId="0" applyNumberFormat="1" applyBorder="1"/>
    <xf numFmtId="10" fontId="2" fillId="2" borderId="22" xfId="0" applyNumberFormat="1" applyFont="1" applyFill="1" applyBorder="1"/>
    <xf numFmtId="0" fontId="0" fillId="0" borderId="20" xfId="0" applyBorder="1"/>
    <xf numFmtId="0" fontId="0" fillId="0" borderId="24" xfId="0" applyBorder="1"/>
    <xf numFmtId="2" fontId="0" fillId="0" borderId="24" xfId="0" applyNumberFormat="1" applyBorder="1"/>
    <xf numFmtId="0" fontId="28" fillId="0" borderId="24" xfId="0" applyFont="1" applyBorder="1"/>
    <xf numFmtId="10" fontId="0" fillId="0" borderId="24" xfId="0" applyNumberFormat="1" applyBorder="1"/>
    <xf numFmtId="10" fontId="28" fillId="0" borderId="24" xfId="0" applyNumberFormat="1" applyFont="1" applyBorder="1"/>
    <xf numFmtId="10" fontId="0" fillId="0" borderId="10" xfId="0" applyNumberFormat="1" applyBorder="1"/>
    <xf numFmtId="10" fontId="0" fillId="0" borderId="23" xfId="0" applyNumberFormat="1" applyBorder="1"/>
    <xf numFmtId="2" fontId="2" fillId="2" borderId="22" xfId="0" applyNumberFormat="1" applyFont="1" applyFill="1" applyBorder="1"/>
    <xf numFmtId="10" fontId="2" fillId="2" borderId="22" xfId="1" applyNumberFormat="1" applyFont="1" applyFill="1" applyBorder="1"/>
    <xf numFmtId="0" fontId="32" fillId="0" borderId="3" xfId="0" applyFont="1" applyBorder="1" applyAlignment="1">
      <alignment vertical="top"/>
    </xf>
    <xf numFmtId="0" fontId="32" fillId="0" borderId="5" xfId="0" applyFont="1" applyBorder="1" applyAlignment="1">
      <alignment vertical="top"/>
    </xf>
    <xf numFmtId="0" fontId="0" fillId="0" borderId="6" xfId="0" applyBorder="1"/>
    <xf numFmtId="172" fontId="0" fillId="0" borderId="10" xfId="0" applyNumberFormat="1" applyBorder="1"/>
    <xf numFmtId="0" fontId="0" fillId="0" borderId="25" xfId="0" applyBorder="1"/>
    <xf numFmtId="10" fontId="0" fillId="0" borderId="25" xfId="0" applyNumberFormat="1" applyBorder="1"/>
    <xf numFmtId="0" fontId="32" fillId="0" borderId="7" xfId="0" applyFont="1" applyBorder="1" applyAlignment="1">
      <alignment vertical="top"/>
    </xf>
    <xf numFmtId="0" fontId="0" fillId="0" borderId="8" xfId="0" applyBorder="1"/>
    <xf numFmtId="0" fontId="2" fillId="2" borderId="0" xfId="0" applyFont="1" applyFill="1"/>
    <xf numFmtId="10" fontId="2" fillId="2" borderId="0" xfId="1" applyNumberFormat="1" applyFont="1" applyFill="1" applyBorder="1"/>
    <xf numFmtId="0" fontId="28" fillId="2" borderId="0" xfId="0" applyFont="1" applyFill="1"/>
    <xf numFmtId="10" fontId="28" fillId="2" borderId="0" xfId="0" applyNumberFormat="1" applyFont="1" applyFill="1"/>
    <xf numFmtId="10" fontId="28" fillId="0" borderId="0" xfId="0" applyNumberFormat="1" applyFont="1"/>
    <xf numFmtId="0" fontId="0" fillId="0" borderId="15" xfId="0" applyBorder="1"/>
    <xf numFmtId="0" fontId="0" fillId="2" borderId="15" xfId="0" applyFill="1" applyBorder="1"/>
    <xf numFmtId="10" fontId="0" fillId="3" borderId="0" xfId="0" applyNumberFormat="1" applyFill="1"/>
    <xf numFmtId="10" fontId="28" fillId="3" borderId="0" xfId="0" applyNumberFormat="1" applyFont="1" applyFill="1"/>
    <xf numFmtId="174" fontId="5" fillId="0" borderId="0" xfId="0" applyNumberFormat="1" applyFont="1" applyAlignment="1">
      <alignment horizontal="center"/>
    </xf>
    <xf numFmtId="0" fontId="2" fillId="0" borderId="26" xfId="0" applyFont="1" applyBorder="1"/>
    <xf numFmtId="2" fontId="28" fillId="0" borderId="0" xfId="0" applyNumberFormat="1" applyFont="1"/>
    <xf numFmtId="175" fontId="0" fillId="0" borderId="0" xfId="0" applyNumberFormat="1"/>
    <xf numFmtId="10" fontId="28" fillId="0" borderId="23" xfId="1" applyNumberFormat="1" applyFont="1" applyBorder="1"/>
    <xf numFmtId="10" fontId="0" fillId="0" borderId="23" xfId="1" applyNumberFormat="1" applyFont="1" applyFill="1" applyBorder="1"/>
    <xf numFmtId="2" fontId="28" fillId="0" borderId="23" xfId="0" applyNumberFormat="1" applyFont="1" applyBorder="1"/>
    <xf numFmtId="2" fontId="0" fillId="0" borderId="23" xfId="0" applyNumberFormat="1" applyBorder="1" applyAlignment="1">
      <alignment horizontal="center"/>
    </xf>
    <xf numFmtId="0" fontId="2" fillId="0" borderId="27" xfId="0" applyFont="1" applyBorder="1"/>
    <xf numFmtId="10" fontId="2" fillId="0" borderId="27" xfId="0" applyNumberFormat="1" applyFont="1" applyBorder="1"/>
    <xf numFmtId="10" fontId="2" fillId="0" borderId="27" xfId="1" applyNumberFormat="1" applyFont="1" applyBorder="1"/>
    <xf numFmtId="2" fontId="2" fillId="0" borderId="27" xfId="0" applyNumberFormat="1" applyFont="1" applyBorder="1"/>
    <xf numFmtId="2" fontId="2" fillId="0" borderId="27" xfId="0" applyNumberFormat="1" applyFont="1" applyBorder="1" applyAlignment="1">
      <alignment horizontal="center"/>
    </xf>
    <xf numFmtId="10" fontId="2" fillId="0" borderId="21" xfId="0" applyNumberFormat="1" applyFont="1" applyBorder="1"/>
    <xf numFmtId="10" fontId="2" fillId="0" borderId="21" xfId="1" applyNumberFormat="1" applyFont="1" applyBorder="1"/>
    <xf numFmtId="2" fontId="2" fillId="0" borderId="21" xfId="0" applyNumberFormat="1" applyFont="1" applyBorder="1"/>
    <xf numFmtId="2" fontId="2" fillId="0" borderId="21" xfId="0" applyNumberFormat="1" applyFont="1" applyBorder="1" applyAlignment="1">
      <alignment horizontal="center"/>
    </xf>
    <xf numFmtId="10" fontId="2" fillId="0" borderId="29" xfId="1" applyNumberFormat="1" applyFont="1" applyBorder="1" applyAlignment="1">
      <alignment horizontal="left"/>
    </xf>
    <xf numFmtId="2" fontId="29" fillId="0" borderId="30" xfId="1" applyNumberFormat="1" applyFont="1" applyBorder="1" applyAlignment="1">
      <alignment horizontal="left"/>
    </xf>
    <xf numFmtId="10" fontId="2" fillId="0" borderId="10" xfId="1" applyNumberFormat="1" applyFont="1" applyBorder="1"/>
    <xf numFmtId="9" fontId="0" fillId="2" borderId="0" xfId="1" applyFont="1" applyFill="1"/>
    <xf numFmtId="10" fontId="2" fillId="0" borderId="28" xfId="1" applyNumberFormat="1" applyFont="1" applyBorder="1" applyAlignment="1">
      <alignment horizontal="left"/>
    </xf>
    <xf numFmtId="10" fontId="2" fillId="0" borderId="31" xfId="1" applyNumberFormat="1" applyFont="1" applyBorder="1"/>
    <xf numFmtId="9" fontId="2" fillId="2" borderId="0" xfId="1" applyFont="1" applyFill="1" applyBorder="1" applyAlignment="1">
      <alignment horizontal="center"/>
    </xf>
    <xf numFmtId="176" fontId="0" fillId="0" borderId="0" xfId="0" applyNumberFormat="1"/>
    <xf numFmtId="43" fontId="33" fillId="0" borderId="0" xfId="0" applyNumberFormat="1" applyFont="1" applyAlignment="1">
      <alignment horizontal="left"/>
    </xf>
    <xf numFmtId="0" fontId="34" fillId="0" borderId="0" xfId="0" applyFont="1"/>
    <xf numFmtId="0" fontId="35" fillId="0" borderId="0" xfId="0" applyFont="1"/>
    <xf numFmtId="0" fontId="2" fillId="11" borderId="0" xfId="0" applyFont="1" applyFill="1"/>
    <xf numFmtId="170" fontId="2" fillId="11" borderId="0" xfId="1" applyNumberFormat="1" applyFont="1" applyFill="1"/>
    <xf numFmtId="10" fontId="2" fillId="11" borderId="0" xfId="1" applyNumberFormat="1" applyFont="1" applyFill="1"/>
    <xf numFmtId="0" fontId="0" fillId="0" borderId="33" xfId="0" applyBorder="1"/>
    <xf numFmtId="0" fontId="36" fillId="13" borderId="34" xfId="0" applyFont="1" applyFill="1" applyBorder="1"/>
    <xf numFmtId="0" fontId="0" fillId="0" borderId="35" xfId="0" applyBorder="1"/>
    <xf numFmtId="0" fontId="0" fillId="0" borderId="34" xfId="0" applyBorder="1" applyAlignment="1">
      <alignment horizontal="left"/>
    </xf>
    <xf numFmtId="10" fontId="0" fillId="0" borderId="0" xfId="1" applyNumberFormat="1" applyFont="1" applyBorder="1" applyAlignment="1">
      <alignment horizontal="center"/>
    </xf>
    <xf numFmtId="0" fontId="0" fillId="2" borderId="34" xfId="0" applyFill="1" applyBorder="1" applyAlignment="1">
      <alignment horizontal="left"/>
    </xf>
    <xf numFmtId="10" fontId="0" fillId="2" borderId="0" xfId="1" applyNumberFormat="1" applyFont="1" applyFill="1" applyBorder="1" applyAlignment="1">
      <alignment horizontal="center"/>
    </xf>
    <xf numFmtId="0" fontId="0" fillId="14" borderId="0" xfId="0" applyFill="1"/>
    <xf numFmtId="0" fontId="31" fillId="0" borderId="0" xfId="0" applyFont="1"/>
    <xf numFmtId="0" fontId="0" fillId="14" borderId="0" xfId="0" applyFill="1" applyAlignment="1">
      <alignment horizontal="left"/>
    </xf>
    <xf numFmtId="0" fontId="0" fillId="14" borderId="0" xfId="0" applyFill="1" applyAlignment="1">
      <alignment horizontal="center"/>
    </xf>
    <xf numFmtId="0" fontId="31" fillId="14" borderId="0" xfId="0" applyFont="1" applyFill="1"/>
    <xf numFmtId="10" fontId="0" fillId="14" borderId="0" xfId="1" applyNumberFormat="1" applyFont="1" applyFill="1"/>
    <xf numFmtId="0" fontId="0" fillId="0" borderId="0" xfId="0" applyAlignment="1">
      <alignment horizontal="left"/>
    </xf>
    <xf numFmtId="0" fontId="0" fillId="0" borderId="37" xfId="0" applyBorder="1"/>
    <xf numFmtId="0" fontId="4" fillId="0" borderId="36" xfId="0" applyFont="1" applyBorder="1" applyAlignment="1">
      <alignment horizontal="center"/>
    </xf>
    <xf numFmtId="0" fontId="4" fillId="0" borderId="36" xfId="0" applyFont="1" applyBorder="1" applyAlignment="1">
      <alignment horizontal="centerContinuous"/>
    </xf>
    <xf numFmtId="0" fontId="36" fillId="13" borderId="0" xfId="0" applyFont="1" applyFill="1" applyAlignment="1">
      <alignment horizontal="center"/>
    </xf>
    <xf numFmtId="2" fontId="37" fillId="0" borderId="0" xfId="0" applyNumberFormat="1" applyFont="1" applyAlignment="1">
      <alignment horizontal="center"/>
    </xf>
    <xf numFmtId="177" fontId="0" fillId="0" borderId="0" xfId="0" applyNumberFormat="1"/>
    <xf numFmtId="0" fontId="4" fillId="0" borderId="38" xfId="0" applyFont="1" applyBorder="1" applyAlignment="1">
      <alignment horizontal="center"/>
    </xf>
    <xf numFmtId="0" fontId="0" fillId="0" borderId="39" xfId="0" applyBorder="1"/>
    <xf numFmtId="0" fontId="36" fillId="12" borderId="0" xfId="0" applyFont="1" applyFill="1" applyAlignment="1">
      <alignment horizontal="center"/>
    </xf>
    <xf numFmtId="2" fontId="31" fillId="2" borderId="0" xfId="0" applyNumberFormat="1" applyFont="1" applyFill="1" applyAlignment="1">
      <alignment horizontal="center"/>
    </xf>
    <xf numFmtId="178" fontId="0" fillId="0" borderId="0" xfId="0" applyNumberFormat="1" applyAlignment="1">
      <alignment horizontal="center"/>
    </xf>
    <xf numFmtId="179" fontId="0" fillId="2" borderId="0" xfId="0" applyNumberFormat="1" applyFill="1" applyAlignment="1">
      <alignment horizontal="center"/>
    </xf>
    <xf numFmtId="180" fontId="37" fillId="0" borderId="0" xfId="0" applyNumberFormat="1" applyFont="1" applyAlignment="1">
      <alignment horizontal="center"/>
    </xf>
    <xf numFmtId="180" fontId="31" fillId="2" borderId="0" xfId="0" applyNumberFormat="1" applyFont="1" applyFill="1" applyAlignment="1">
      <alignment horizontal="center"/>
    </xf>
    <xf numFmtId="180" fontId="28" fillId="2" borderId="0" xfId="0" applyNumberFormat="1" applyFont="1" applyFill="1"/>
    <xf numFmtId="180" fontId="0" fillId="0" borderId="0" xfId="0" applyNumberFormat="1"/>
    <xf numFmtId="180" fontId="0" fillId="2" borderId="0" xfId="0" applyNumberFormat="1" applyFill="1"/>
    <xf numFmtId="180" fontId="0" fillId="0" borderId="15" xfId="0" applyNumberFormat="1" applyBorder="1"/>
    <xf numFmtId="180" fontId="2" fillId="0" borderId="26" xfId="0" applyNumberFormat="1" applyFont="1" applyBorder="1"/>
    <xf numFmtId="180" fontId="2" fillId="0" borderId="0" xfId="0" applyNumberFormat="1" applyFont="1"/>
    <xf numFmtId="180" fontId="28" fillId="0" borderId="0" xfId="0" applyNumberFormat="1" applyFont="1"/>
    <xf numFmtId="180" fontId="31" fillId="0" borderId="0" xfId="0" applyNumberFormat="1" applyFont="1"/>
    <xf numFmtId="180" fontId="0" fillId="0" borderId="0" xfId="1" applyNumberFormat="1" applyFont="1" applyAlignment="1">
      <alignment horizontal="center"/>
    </xf>
    <xf numFmtId="180" fontId="0" fillId="2" borderId="0" xfId="1" applyNumberFormat="1" applyFont="1" applyFill="1" applyAlignment="1">
      <alignment horizontal="center"/>
    </xf>
    <xf numFmtId="180" fontId="28" fillId="0" borderId="10" xfId="0" applyNumberFormat="1" applyFont="1" applyBorder="1"/>
    <xf numFmtId="180" fontId="28" fillId="0" borderId="23" xfId="0" applyNumberFormat="1" applyFont="1" applyBorder="1"/>
    <xf numFmtId="43" fontId="10" fillId="0" borderId="0" xfId="4" applyNumberFormat="1" applyFont="1" applyBorder="1" applyAlignment="1" applyProtection="1">
      <alignment horizontal="center"/>
    </xf>
    <xf numFmtId="43" fontId="13" fillId="4" borderId="0" xfId="5" applyNumberFormat="1" applyFont="1" applyBorder="1" applyAlignment="1">
      <alignment horizontal="center"/>
    </xf>
    <xf numFmtId="0" fontId="25" fillId="0" borderId="0" xfId="0" applyFont="1" applyAlignment="1">
      <alignment vertical="top" wrapText="1"/>
    </xf>
    <xf numFmtId="0" fontId="25" fillId="0" borderId="6" xfId="0" applyFont="1" applyBorder="1" applyAlignment="1">
      <alignment vertical="top" wrapText="1"/>
    </xf>
    <xf numFmtId="0" fontId="25" fillId="0" borderId="2" xfId="0" applyFont="1" applyBorder="1" applyAlignment="1">
      <alignment vertical="top" wrapText="1"/>
    </xf>
    <xf numFmtId="0" fontId="25" fillId="0" borderId="8" xfId="0" applyFont="1" applyBorder="1" applyAlignment="1">
      <alignment vertical="top" wrapText="1"/>
    </xf>
    <xf numFmtId="0" fontId="25" fillId="0" borderId="5" xfId="0" applyFont="1" applyBorder="1" applyAlignment="1">
      <alignment horizontal="right" vertical="center" wrapText="1"/>
    </xf>
    <xf numFmtId="0" fontId="25" fillId="0" borderId="7" xfId="0" applyFont="1" applyBorder="1" applyAlignment="1">
      <alignment horizontal="right" vertical="center" wrapText="1"/>
    </xf>
    <xf numFmtId="0" fontId="0" fillId="2" borderId="13" xfId="0" applyFill="1" applyBorder="1"/>
    <xf numFmtId="0" fontId="0" fillId="10" borderId="0" xfId="0" applyFill="1" applyAlignment="1">
      <alignment horizontal="center"/>
    </xf>
    <xf numFmtId="0" fontId="0" fillId="0" borderId="14" xfId="0" applyBorder="1" applyAlignment="1">
      <alignment horizontal="center"/>
    </xf>
    <xf numFmtId="0" fontId="26" fillId="0" borderId="0" xfId="0" applyFont="1" applyAlignment="1">
      <alignment horizontal="left" vertical="center" wrapText="1"/>
    </xf>
    <xf numFmtId="0" fontId="0" fillId="0" borderId="0" xfId="0"/>
    <xf numFmtId="0" fontId="27" fillId="10" borderId="0" xfId="0" applyFont="1" applyFill="1" applyAlignment="1">
      <alignment horizontal="center"/>
    </xf>
    <xf numFmtId="0" fontId="0" fillId="10" borderId="0" xfId="0" applyFill="1"/>
    <xf numFmtId="0" fontId="2" fillId="2" borderId="22" xfId="0" applyFont="1" applyFill="1" applyBorder="1"/>
    <xf numFmtId="0" fontId="5" fillId="12" borderId="32" xfId="0" applyFont="1" applyFill="1" applyBorder="1" applyAlignment="1">
      <alignment horizontal="center"/>
    </xf>
    <xf numFmtId="0" fontId="5" fillId="12" borderId="23" xfId="0" applyFont="1" applyFill="1" applyBorder="1" applyAlignment="1">
      <alignment horizontal="center"/>
    </xf>
    <xf numFmtId="0" fontId="5" fillId="13" borderId="24" xfId="0" applyFont="1" applyFill="1" applyBorder="1" applyAlignment="1">
      <alignment horizontal="center"/>
    </xf>
    <xf numFmtId="0" fontId="5" fillId="13" borderId="0" xfId="0" applyFont="1" applyFill="1" applyAlignment="1">
      <alignment horizontal="center"/>
    </xf>
    <xf numFmtId="173" fontId="5" fillId="13" borderId="0" xfId="0" applyNumberFormat="1" applyFont="1" applyFill="1" applyAlignment="1">
      <alignment horizontal="center"/>
    </xf>
    <xf numFmtId="174" fontId="5" fillId="13" borderId="0" xfId="0" applyNumberFormat="1" applyFont="1" applyFill="1" applyAlignment="1">
      <alignment horizontal="center"/>
    </xf>
    <xf numFmtId="0" fontId="3" fillId="13" borderId="0" xfId="0" applyFont="1" applyFill="1" applyAlignment="1">
      <alignment horizontal="center"/>
    </xf>
    <xf numFmtId="0" fontId="5" fillId="13" borderId="0" xfId="0" applyFont="1" applyFill="1"/>
    <xf numFmtId="0" fontId="5" fillId="13" borderId="0" xfId="0" applyFont="1" applyFill="1" applyAlignment="1">
      <alignment horizontal="right"/>
    </xf>
    <xf numFmtId="0" fontId="5" fillId="13" borderId="0" xfId="0" applyFont="1" applyFill="1" applyAlignment="1">
      <alignment horizontal="center"/>
    </xf>
    <xf numFmtId="0" fontId="3" fillId="13" borderId="0" xfId="0" applyFont="1" applyFill="1" applyAlignment="1">
      <alignment horizontal="center"/>
    </xf>
    <xf numFmtId="0" fontId="0" fillId="13" borderId="0" xfId="0" applyFill="1"/>
    <xf numFmtId="0" fontId="3" fillId="13" borderId="0" xfId="0" applyFont="1" applyFill="1"/>
    <xf numFmtId="17" fontId="3" fillId="13" borderId="0" xfId="0" applyNumberFormat="1" applyFont="1" applyFill="1"/>
    <xf numFmtId="17" fontId="3" fillId="13" borderId="0" xfId="0" applyNumberFormat="1" applyFont="1" applyFill="1" applyAlignment="1">
      <alignment horizontal="center"/>
    </xf>
    <xf numFmtId="0" fontId="16" fillId="13" borderId="0" xfId="0" applyFont="1" applyFill="1"/>
    <xf numFmtId="17" fontId="16" fillId="13" borderId="0" xfId="0" applyNumberFormat="1" applyFont="1" applyFill="1"/>
    <xf numFmtId="17" fontId="16" fillId="13" borderId="0" xfId="0" applyNumberFormat="1" applyFont="1" applyFill="1" applyAlignment="1">
      <alignment horizontal="center"/>
    </xf>
    <xf numFmtId="0" fontId="0" fillId="8" borderId="0" xfId="0" applyFill="1"/>
    <xf numFmtId="0" fontId="5" fillId="8" borderId="0" xfId="0" applyFont="1" applyFill="1"/>
  </cellXfs>
  <cellStyles count="14">
    <cellStyle name="60% - Accent1 2" xfId="10" xr:uid="{1AC3E283-22C2-4323-834D-54FAC0B05962}"/>
    <cellStyle name="60% - Accent3 2" xfId="11" xr:uid="{303BC14A-3E8D-4506-8B2D-8C3AD93EE031}"/>
    <cellStyle name="Accent6 2" xfId="5" xr:uid="{055A2F12-0409-41D7-A4D7-D667CBE730E6}"/>
    <cellStyle name="Comma 2" xfId="3" xr:uid="{0B567918-27FE-4916-93EB-C0710FF40CF8}"/>
    <cellStyle name="Comma 3" xfId="9" xr:uid="{73362A4A-FC26-43F7-842A-3914DEE0C7C9}"/>
    <cellStyle name="Comma 4" xfId="12" xr:uid="{AB1BEFBA-F4BF-4D4E-AC00-EE3ED959E918}"/>
    <cellStyle name="Comma 5" xfId="13" xr:uid="{566CD0BE-FFAD-48E0-91CA-82312DBD5F1E}"/>
    <cellStyle name="Hyperlink 2" xfId="4" xr:uid="{71B40603-7BB2-41CD-A978-C180E2BEA611}"/>
    <cellStyle name="Normal" xfId="0" builtinId="0"/>
    <cellStyle name="Normal 2" xfId="2" xr:uid="{58D1988B-2F41-4DF7-B7AE-C22FD2D767B9}"/>
    <cellStyle name="Normal 2 2" xfId="8" xr:uid="{54772634-A6D1-414C-AA20-C207CC1CC46E}"/>
    <cellStyle name="Normal 3" xfId="6" xr:uid="{9D4CA56B-ED63-4EB1-AF9B-AB2AFE51B886}"/>
    <cellStyle name="Percent" xfId="1" builtinId="5"/>
    <cellStyle name="Percent 3" xfId="7" xr:uid="{DFF9FCCC-5490-47C8-AC66-BDFE47841969}"/>
  </cellStyles>
  <dxfs count="1">
    <dxf>
      <font>
        <b/>
        <i val="0"/>
        <color theme="0"/>
      </font>
      <fill>
        <patternFill>
          <bgColor theme="5"/>
        </patternFill>
      </fill>
    </dxf>
  </dxfs>
  <tableStyles count="0" defaultTableStyle="TableStyleMedium2" defaultPivotStyle="PivotStyleLight16"/>
  <colors>
    <mruColors>
      <color rgb="FFE84726"/>
      <color rgb="FFF9D3CB"/>
      <color rgb="FFF6B8AC"/>
      <color rgb="FFFFCC99"/>
      <color rgb="FFFFF9F3"/>
      <color rgb="FFFFEEDD"/>
      <color rgb="FFFAE4AB"/>
      <color rgb="FF028655"/>
      <color rgb="FF4DA42E"/>
      <color rgb="FFE7F7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8EA4-4FCE-AB47-5224D447E7D4}"/>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8EA4-4FCE-AB47-5224D447E7D4}"/>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5-8EA4-4FCE-AB47-5224D447E7D4}"/>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7-8EA4-4FCE-AB47-5224D447E7D4}"/>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9-8EA4-4FCE-AB47-5224D447E7D4}"/>
              </c:ext>
            </c:extLst>
          </c:dPt>
          <c:dPt>
            <c:idx val="5"/>
            <c:invertIfNegative val="0"/>
            <c:bubble3D val="0"/>
            <c:spPr>
              <a:solidFill>
                <a:schemeClr val="accent2"/>
              </a:solidFill>
              <a:ln>
                <a:noFill/>
              </a:ln>
              <a:effectLst/>
            </c:spPr>
            <c:extLst>
              <c:ext xmlns:c16="http://schemas.microsoft.com/office/drawing/2014/chart" uri="{C3380CC4-5D6E-409C-BE32-E72D297353CC}">
                <c16:uniqueId val="{0000000B-8EA4-4FCE-AB47-5224D447E7D4}"/>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 Analysis'!$F$72:$K$72</c:f>
              <c:numCache>
                <c:formatCode>mmm\-yy</c:formatCode>
                <c:ptCount val="6"/>
                <c:pt idx="0">
                  <c:v>43921</c:v>
                </c:pt>
                <c:pt idx="1">
                  <c:v>44286</c:v>
                </c:pt>
                <c:pt idx="2">
                  <c:v>44651</c:v>
                </c:pt>
                <c:pt idx="3">
                  <c:v>45016</c:v>
                </c:pt>
                <c:pt idx="4">
                  <c:v>45382</c:v>
                </c:pt>
                <c:pt idx="5">
                  <c:v>45747</c:v>
                </c:pt>
              </c:numCache>
            </c:numRef>
          </c:cat>
          <c:val>
            <c:numRef>
              <c:f>'Dupont Analysis'!$F$74:$K$74</c:f>
              <c:numCache>
                <c:formatCode>0.0</c:formatCode>
                <c:ptCount val="6"/>
                <c:pt idx="0">
                  <c:v>20211.25</c:v>
                </c:pt>
                <c:pt idx="1">
                  <c:v>21712.79</c:v>
                </c:pt>
                <c:pt idx="2">
                  <c:v>29101.279999999999</c:v>
                </c:pt>
                <c:pt idx="3">
                  <c:v>34488.589999999997</c:v>
                </c:pt>
                <c:pt idx="4">
                  <c:v>35494.730000000003</c:v>
                </c:pt>
                <c:pt idx="5">
                  <c:v>33905.620000000003</c:v>
                </c:pt>
              </c:numCache>
            </c:numRef>
          </c:val>
          <c:extLst>
            <c:ext xmlns:c16="http://schemas.microsoft.com/office/drawing/2014/chart" uri="{C3380CC4-5D6E-409C-BE32-E72D297353CC}">
              <c16:uniqueId val="{0000000C-8EA4-4FCE-AB47-5224D447E7D4}"/>
            </c:ext>
          </c:extLst>
        </c:ser>
        <c:dLbls>
          <c:showLegendKey val="0"/>
          <c:showVal val="0"/>
          <c:showCatName val="0"/>
          <c:showSerName val="0"/>
          <c:showPercent val="0"/>
          <c:showBubbleSize val="0"/>
        </c:dLbls>
        <c:gapWidth val="219"/>
        <c:overlap val="-27"/>
        <c:axId val="1897072560"/>
        <c:axId val="1945651680"/>
      </c:barChart>
      <c:catAx>
        <c:axId val="1897072560"/>
        <c:scaling>
          <c:orientation val="minMax"/>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5651680"/>
        <c:crosses val="autoZero"/>
        <c:auto val="0"/>
        <c:lblAlgn val="ctr"/>
        <c:lblOffset val="100"/>
        <c:noMultiLvlLbl val="0"/>
      </c:catAx>
      <c:valAx>
        <c:axId val="1945651680"/>
        <c:scaling>
          <c:orientation val="minMax"/>
        </c:scaling>
        <c:delete val="1"/>
        <c:axPos val="l"/>
        <c:numFmt formatCode="0.0" sourceLinked="1"/>
        <c:majorTickMark val="none"/>
        <c:minorTickMark val="none"/>
        <c:tickLblPos val="nextTo"/>
        <c:crossAx val="1897072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A8FF-4DA6-BA24-280B0FBE0101}"/>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A8FF-4DA6-BA24-280B0FBE0101}"/>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5-A8FF-4DA6-BA24-280B0FBE0101}"/>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7-A8FF-4DA6-BA24-280B0FBE0101}"/>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9-A8FF-4DA6-BA24-280B0FBE0101}"/>
              </c:ext>
            </c:extLst>
          </c:dPt>
          <c:dPt>
            <c:idx val="5"/>
            <c:invertIfNegative val="0"/>
            <c:bubble3D val="0"/>
            <c:spPr>
              <a:solidFill>
                <a:schemeClr val="accent2"/>
              </a:solidFill>
              <a:ln>
                <a:noFill/>
              </a:ln>
              <a:effectLst/>
            </c:spPr>
            <c:extLst>
              <c:ext xmlns:c16="http://schemas.microsoft.com/office/drawing/2014/chart" uri="{C3380CC4-5D6E-409C-BE32-E72D297353CC}">
                <c16:uniqueId val="{0000000B-A8FF-4DA6-BA24-280B0FBE0101}"/>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 Analysis'!$F$72:$K$72</c:f>
              <c:numCache>
                <c:formatCode>mmm\-yy</c:formatCode>
                <c:ptCount val="6"/>
                <c:pt idx="0">
                  <c:v>43921</c:v>
                </c:pt>
                <c:pt idx="1">
                  <c:v>44286</c:v>
                </c:pt>
                <c:pt idx="2">
                  <c:v>44651</c:v>
                </c:pt>
                <c:pt idx="3">
                  <c:v>45016</c:v>
                </c:pt>
                <c:pt idx="4">
                  <c:v>45382</c:v>
                </c:pt>
                <c:pt idx="5">
                  <c:v>45747</c:v>
                </c:pt>
              </c:numCache>
            </c:numRef>
          </c:cat>
          <c:val>
            <c:numRef>
              <c:f>'Dupont Analysis'!$F$73:$K$73</c:f>
              <c:numCache>
                <c:formatCode>0.0</c:formatCode>
                <c:ptCount val="6"/>
                <c:pt idx="0">
                  <c:v>2705.17</c:v>
                </c:pt>
                <c:pt idx="1">
                  <c:v>3139.29</c:v>
                </c:pt>
                <c:pt idx="2">
                  <c:v>3030.57</c:v>
                </c:pt>
                <c:pt idx="3">
                  <c:v>4106.45</c:v>
                </c:pt>
                <c:pt idx="4">
                  <c:v>5460.23</c:v>
                </c:pt>
                <c:pt idx="5">
                  <c:v>3667.23</c:v>
                </c:pt>
              </c:numCache>
            </c:numRef>
          </c:val>
          <c:extLst>
            <c:ext xmlns:c16="http://schemas.microsoft.com/office/drawing/2014/chart" uri="{C3380CC4-5D6E-409C-BE32-E72D297353CC}">
              <c16:uniqueId val="{0000000C-A8FF-4DA6-BA24-280B0FBE0101}"/>
            </c:ext>
          </c:extLst>
        </c:ser>
        <c:dLbls>
          <c:showLegendKey val="0"/>
          <c:showVal val="0"/>
          <c:showCatName val="0"/>
          <c:showSerName val="0"/>
          <c:showPercent val="0"/>
          <c:showBubbleSize val="0"/>
        </c:dLbls>
        <c:gapWidth val="219"/>
        <c:overlap val="-27"/>
        <c:axId val="1897072560"/>
        <c:axId val="1945651680"/>
      </c:barChart>
      <c:catAx>
        <c:axId val="1897072560"/>
        <c:scaling>
          <c:orientation val="minMax"/>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5651680"/>
        <c:crosses val="autoZero"/>
        <c:auto val="0"/>
        <c:lblAlgn val="ctr"/>
        <c:lblOffset val="100"/>
        <c:noMultiLvlLbl val="0"/>
      </c:catAx>
      <c:valAx>
        <c:axId val="1945651680"/>
        <c:scaling>
          <c:orientation val="minMax"/>
        </c:scaling>
        <c:delete val="1"/>
        <c:axPos val="l"/>
        <c:numFmt formatCode="0.0" sourceLinked="1"/>
        <c:majorTickMark val="none"/>
        <c:minorTickMark val="none"/>
        <c:tickLblPos val="nextTo"/>
        <c:crossAx val="1897072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2F57-4BE7-A614-3E7F9A817268}"/>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2F57-4BE7-A614-3E7F9A817268}"/>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5-2F57-4BE7-A614-3E7F9A817268}"/>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7-2F57-4BE7-A614-3E7F9A817268}"/>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9-2F57-4BE7-A614-3E7F9A817268}"/>
              </c:ext>
            </c:extLst>
          </c:dPt>
          <c:dPt>
            <c:idx val="5"/>
            <c:invertIfNegative val="0"/>
            <c:bubble3D val="0"/>
            <c:spPr>
              <a:solidFill>
                <a:schemeClr val="accent2"/>
              </a:solidFill>
              <a:ln>
                <a:noFill/>
              </a:ln>
              <a:effectLst/>
            </c:spPr>
            <c:extLst>
              <c:ext xmlns:c16="http://schemas.microsoft.com/office/drawing/2014/chart" uri="{C3380CC4-5D6E-409C-BE32-E72D297353CC}">
                <c16:uniqueId val="{0000000B-2F57-4BE7-A614-3E7F9A817268}"/>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 Analysis'!$F$72:$K$72</c:f>
              <c:numCache>
                <c:formatCode>mmm\-yy</c:formatCode>
                <c:ptCount val="6"/>
                <c:pt idx="0">
                  <c:v>43921</c:v>
                </c:pt>
                <c:pt idx="1">
                  <c:v>44286</c:v>
                </c:pt>
                <c:pt idx="2">
                  <c:v>44651</c:v>
                </c:pt>
                <c:pt idx="3">
                  <c:v>45016</c:v>
                </c:pt>
                <c:pt idx="4">
                  <c:v>45382</c:v>
                </c:pt>
                <c:pt idx="5">
                  <c:v>45747</c:v>
                </c:pt>
              </c:numCache>
            </c:numRef>
          </c:cat>
          <c:val>
            <c:numRef>
              <c:f>'Dupont Analysis'!$F$78:$K$78</c:f>
              <c:numCache>
                <c:formatCode>0.0</c:formatCode>
                <c:ptCount val="6"/>
                <c:pt idx="0">
                  <c:v>16193.404999999999</c:v>
                </c:pt>
                <c:pt idx="1">
                  <c:v>18246.654999999999</c:v>
                </c:pt>
                <c:pt idx="2">
                  <c:v>21656.885000000002</c:v>
                </c:pt>
                <c:pt idx="3">
                  <c:v>24368.880000000001</c:v>
                </c:pt>
                <c:pt idx="4">
                  <c:v>27840.050000000003</c:v>
                </c:pt>
                <c:pt idx="5">
                  <c:v>30128.010000000002</c:v>
                </c:pt>
              </c:numCache>
            </c:numRef>
          </c:val>
          <c:extLst>
            <c:ext xmlns:c16="http://schemas.microsoft.com/office/drawing/2014/chart" uri="{C3380CC4-5D6E-409C-BE32-E72D297353CC}">
              <c16:uniqueId val="{0000000C-2F57-4BE7-A614-3E7F9A817268}"/>
            </c:ext>
          </c:extLst>
        </c:ser>
        <c:dLbls>
          <c:showLegendKey val="0"/>
          <c:showVal val="0"/>
          <c:showCatName val="0"/>
          <c:showSerName val="0"/>
          <c:showPercent val="0"/>
          <c:showBubbleSize val="0"/>
        </c:dLbls>
        <c:gapWidth val="219"/>
        <c:overlap val="-27"/>
        <c:axId val="1897072560"/>
        <c:axId val="1945651680"/>
      </c:barChart>
      <c:catAx>
        <c:axId val="1897072560"/>
        <c:scaling>
          <c:orientation val="minMax"/>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5651680"/>
        <c:crosses val="autoZero"/>
        <c:auto val="0"/>
        <c:lblAlgn val="ctr"/>
        <c:lblOffset val="100"/>
        <c:noMultiLvlLbl val="0"/>
      </c:catAx>
      <c:valAx>
        <c:axId val="1945651680"/>
        <c:scaling>
          <c:orientation val="minMax"/>
        </c:scaling>
        <c:delete val="1"/>
        <c:axPos val="l"/>
        <c:numFmt formatCode="0.0" sourceLinked="1"/>
        <c:majorTickMark val="none"/>
        <c:minorTickMark val="none"/>
        <c:tickLblPos val="nextTo"/>
        <c:crossAx val="1897072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15:layout>
                    <c:manualLayout>
                      <c:w val="0.19759887428520104"/>
                      <c:h val="0.11099237595300587"/>
                    </c:manualLayout>
                  </c15:layout>
                </c:ext>
                <c:ext xmlns:c16="http://schemas.microsoft.com/office/drawing/2014/chart" uri="{C3380CC4-5D6E-409C-BE32-E72D297353CC}">
                  <c16:uniqueId val="{00000000-B856-4C1E-84E4-308041A6DA7F}"/>
                </c:ext>
              </c:extLst>
            </c:dLbl>
            <c:dLbl>
              <c:idx val="1"/>
              <c:showLegendKey val="0"/>
              <c:showVal val="1"/>
              <c:showCatName val="0"/>
              <c:showSerName val="0"/>
              <c:showPercent val="0"/>
              <c:showBubbleSize val="0"/>
              <c:extLst>
                <c:ext xmlns:c15="http://schemas.microsoft.com/office/drawing/2012/chart" uri="{CE6537A1-D6FC-4f65-9D91-7224C49458BB}">
                  <c15:layout>
                    <c:manualLayout>
                      <c:w val="0.21556240831112838"/>
                      <c:h val="0.19817460317460317"/>
                    </c:manualLayout>
                  </c15:layout>
                </c:ext>
                <c:ext xmlns:c16="http://schemas.microsoft.com/office/drawing/2014/chart" uri="{C3380CC4-5D6E-409C-BE32-E72D297353CC}">
                  <c16:uniqueId val="{00000001-B856-4C1E-84E4-308041A6DA7F}"/>
                </c:ext>
              </c:extLst>
            </c:dLbl>
            <c:dLbl>
              <c:idx val="2"/>
              <c:showLegendKey val="0"/>
              <c:showVal val="1"/>
              <c:showCatName val="0"/>
              <c:showSerName val="0"/>
              <c:showPercent val="0"/>
              <c:showBubbleSize val="0"/>
              <c:extLst>
                <c:ext xmlns:c15="http://schemas.microsoft.com/office/drawing/2012/chart" uri="{CE6537A1-D6FC-4f65-9D91-7224C49458BB}">
                  <c15:layout>
                    <c:manualLayout>
                      <c:w val="0.21556240831112838"/>
                      <c:h val="0.19817460317460317"/>
                    </c:manualLayout>
                  </c15:layout>
                </c:ext>
                <c:ext xmlns:c16="http://schemas.microsoft.com/office/drawing/2014/chart" uri="{C3380CC4-5D6E-409C-BE32-E72D297353CC}">
                  <c16:uniqueId val="{00000002-B856-4C1E-84E4-308041A6DA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 Analysis'!$F$72:$K$72</c:f>
              <c:numCache>
                <c:formatCode>mmm\-yy</c:formatCode>
                <c:ptCount val="6"/>
                <c:pt idx="0">
                  <c:v>43921</c:v>
                </c:pt>
                <c:pt idx="1">
                  <c:v>44286</c:v>
                </c:pt>
                <c:pt idx="2">
                  <c:v>44651</c:v>
                </c:pt>
                <c:pt idx="3">
                  <c:v>45016</c:v>
                </c:pt>
                <c:pt idx="4">
                  <c:v>45382</c:v>
                </c:pt>
                <c:pt idx="5">
                  <c:v>45747</c:v>
                </c:pt>
              </c:numCache>
            </c:numRef>
          </c:cat>
          <c:val>
            <c:numRef>
              <c:f>'Dupont Analysis'!$F$85:$K$85</c:f>
              <c:numCache>
                <c:formatCode>0.00%</c:formatCode>
                <c:ptCount val="6"/>
                <c:pt idx="0">
                  <c:v>0.27602775613740521</c:v>
                </c:pt>
                <c:pt idx="1">
                  <c:v>0.27373808937302851</c:v>
                </c:pt>
                <c:pt idx="2">
                  <c:v>0.22770960088812586</c:v>
                </c:pt>
                <c:pt idx="3">
                  <c:v>0.27556562437193388</c:v>
                </c:pt>
                <c:pt idx="4">
                  <c:v>0.31452457666976852</c:v>
                </c:pt>
                <c:pt idx="5">
                  <c:v>0.19236358686543864</c:v>
                </c:pt>
              </c:numCache>
            </c:numRef>
          </c:val>
          <c:extLst>
            <c:ext xmlns:c16="http://schemas.microsoft.com/office/drawing/2014/chart" uri="{C3380CC4-5D6E-409C-BE32-E72D297353CC}">
              <c16:uniqueId val="{00000003-B856-4C1E-84E4-308041A6DA7F}"/>
            </c:ext>
          </c:extLst>
        </c:ser>
        <c:dLbls>
          <c:showLegendKey val="0"/>
          <c:showVal val="0"/>
          <c:showCatName val="0"/>
          <c:showSerName val="0"/>
          <c:showPercent val="0"/>
          <c:showBubbleSize val="0"/>
        </c:dLbls>
        <c:gapWidth val="219"/>
        <c:overlap val="-27"/>
        <c:axId val="1897072560"/>
        <c:axId val="1945651680"/>
      </c:barChart>
      <c:catAx>
        <c:axId val="1897072560"/>
        <c:scaling>
          <c:orientation val="minMax"/>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5651680"/>
        <c:crosses val="autoZero"/>
        <c:auto val="0"/>
        <c:lblAlgn val="ctr"/>
        <c:lblOffset val="100"/>
        <c:noMultiLvlLbl val="0"/>
      </c:catAx>
      <c:valAx>
        <c:axId val="1945651680"/>
        <c:scaling>
          <c:orientation val="minMax"/>
        </c:scaling>
        <c:delete val="1"/>
        <c:axPos val="l"/>
        <c:numFmt formatCode="0.00%" sourceLinked="1"/>
        <c:majorTickMark val="none"/>
        <c:minorTickMark val="none"/>
        <c:tickLblPos val="nextTo"/>
        <c:crossAx val="1897072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'Dupont Analysis'!$F$72:$K$72</c:f>
              <c:numCache>
                <c:formatCode>mmm\-yy</c:formatCode>
                <c:ptCount val="6"/>
                <c:pt idx="0">
                  <c:v>43921</c:v>
                </c:pt>
                <c:pt idx="1">
                  <c:v>44286</c:v>
                </c:pt>
                <c:pt idx="2">
                  <c:v>44651</c:v>
                </c:pt>
                <c:pt idx="3">
                  <c:v>45016</c:v>
                </c:pt>
                <c:pt idx="4">
                  <c:v>45382</c:v>
                </c:pt>
                <c:pt idx="5">
                  <c:v>45747</c:v>
                </c:pt>
              </c:numCache>
            </c:numRef>
          </c:cat>
          <c:val>
            <c:numRef>
              <c:f>'Dupont Analysis'!$F$83:$K$83</c:f>
              <c:numCache>
                <c:formatCode>0.00\x</c:formatCode>
                <c:ptCount val="6"/>
                <c:pt idx="0">
                  <c:v>1.6523284105524749</c:v>
                </c:pt>
                <c:pt idx="1">
                  <c:v>1.5910618251734683</c:v>
                </c:pt>
                <c:pt idx="2">
                  <c:v>1.6272452508373143</c:v>
                </c:pt>
                <c:pt idx="3">
                  <c:v>1.6352873241960166</c:v>
                </c:pt>
                <c:pt idx="4">
                  <c:v>1.6036650362192053</c:v>
                </c:pt>
                <c:pt idx="5">
                  <c:v>1.5803568548244327</c:v>
                </c:pt>
              </c:numCache>
            </c:numRef>
          </c:val>
          <c:extLst>
            <c:ext xmlns:c16="http://schemas.microsoft.com/office/drawing/2014/chart" uri="{C3380CC4-5D6E-409C-BE32-E72D297353CC}">
              <c16:uniqueId val="{00000000-2359-49B8-92E3-502AD0800DE6}"/>
            </c:ext>
          </c:extLst>
        </c:ser>
        <c:dLbls>
          <c:showLegendKey val="0"/>
          <c:showVal val="0"/>
          <c:showCatName val="0"/>
          <c:showSerName val="0"/>
          <c:showPercent val="0"/>
          <c:showBubbleSize val="0"/>
        </c:dLbls>
        <c:gapWidth val="219"/>
        <c:overlap val="-27"/>
        <c:axId val="1897072560"/>
        <c:axId val="1945651680"/>
      </c:barChart>
      <c:catAx>
        <c:axId val="1897072560"/>
        <c:scaling>
          <c:orientation val="minMax"/>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5651680"/>
        <c:crosses val="autoZero"/>
        <c:auto val="0"/>
        <c:lblAlgn val="ctr"/>
        <c:lblOffset val="100"/>
        <c:noMultiLvlLbl val="0"/>
      </c:catAx>
      <c:valAx>
        <c:axId val="1945651680"/>
        <c:scaling>
          <c:orientation val="minMax"/>
        </c:scaling>
        <c:delete val="1"/>
        <c:axPos val="l"/>
        <c:numFmt formatCode="0.00\x" sourceLinked="1"/>
        <c:majorTickMark val="none"/>
        <c:minorTickMark val="none"/>
        <c:tickLblPos val="nextTo"/>
        <c:crossAx val="1897072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dPt>
            <c:idx val="0"/>
            <c:invertIfNegative val="0"/>
            <c:bubble3D val="0"/>
            <c:extLst>
              <c:ext xmlns:c16="http://schemas.microsoft.com/office/drawing/2014/chart" uri="{C3380CC4-5D6E-409C-BE32-E72D297353CC}">
                <c16:uniqueId val="{00000001-6D2F-4AB7-AFAE-0D889222468A}"/>
              </c:ext>
            </c:extLst>
          </c:dPt>
          <c:dPt>
            <c:idx val="1"/>
            <c:invertIfNegative val="0"/>
            <c:bubble3D val="0"/>
            <c:extLst>
              <c:ext xmlns:c16="http://schemas.microsoft.com/office/drawing/2014/chart" uri="{C3380CC4-5D6E-409C-BE32-E72D297353CC}">
                <c16:uniqueId val="{00000003-6D2F-4AB7-AFAE-0D889222468A}"/>
              </c:ext>
            </c:extLst>
          </c:dPt>
          <c:dPt>
            <c:idx val="2"/>
            <c:invertIfNegative val="0"/>
            <c:bubble3D val="0"/>
            <c:extLst>
              <c:ext xmlns:c16="http://schemas.microsoft.com/office/drawing/2014/chart" uri="{C3380CC4-5D6E-409C-BE32-E72D297353CC}">
                <c16:uniqueId val="{00000005-6D2F-4AB7-AFAE-0D889222468A}"/>
              </c:ext>
            </c:extLst>
          </c:dPt>
          <c:dPt>
            <c:idx val="3"/>
            <c:invertIfNegative val="0"/>
            <c:bubble3D val="0"/>
            <c:extLst>
              <c:ext xmlns:c16="http://schemas.microsoft.com/office/drawing/2014/chart" uri="{C3380CC4-5D6E-409C-BE32-E72D297353CC}">
                <c16:uniqueId val="{00000007-6D2F-4AB7-AFAE-0D889222468A}"/>
              </c:ext>
            </c:extLst>
          </c:dPt>
          <c:dPt>
            <c:idx val="4"/>
            <c:invertIfNegative val="0"/>
            <c:bubble3D val="0"/>
            <c:extLst>
              <c:ext xmlns:c16="http://schemas.microsoft.com/office/drawing/2014/chart" uri="{C3380CC4-5D6E-409C-BE32-E72D297353CC}">
                <c16:uniqueId val="{00000009-6D2F-4AB7-AFAE-0D889222468A}"/>
              </c:ext>
            </c:extLst>
          </c:dPt>
          <c:dPt>
            <c:idx val="5"/>
            <c:invertIfNegative val="0"/>
            <c:bubble3D val="0"/>
            <c:extLst>
              <c:ext xmlns:c16="http://schemas.microsoft.com/office/drawing/2014/chart" uri="{C3380CC4-5D6E-409C-BE32-E72D297353CC}">
                <c16:uniqueId val="{0000000B-6D2F-4AB7-AFAE-0D889222468A}"/>
              </c:ext>
            </c:extLst>
          </c:dPt>
          <c:dLbls>
            <c:spPr>
              <a:noFill/>
              <a:ln>
                <a:noFill/>
              </a:ln>
              <a:effectLst/>
            </c:spPr>
            <c:txPr>
              <a:bodyPr rot="0" spcFirstLastPara="1" vertOverflow="ellipsis" vert="horz" wrap="square" lIns="38100" tIns="19050" rIns="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'Dupont Analysis'!$F$72:$K$72</c:f>
              <c:numCache>
                <c:formatCode>mmm\-yy</c:formatCode>
                <c:ptCount val="6"/>
                <c:pt idx="0">
                  <c:v>43921</c:v>
                </c:pt>
                <c:pt idx="1">
                  <c:v>44286</c:v>
                </c:pt>
                <c:pt idx="2">
                  <c:v>44651</c:v>
                </c:pt>
                <c:pt idx="3">
                  <c:v>45016</c:v>
                </c:pt>
                <c:pt idx="4">
                  <c:v>45382</c:v>
                </c:pt>
                <c:pt idx="5">
                  <c:v>45747</c:v>
                </c:pt>
              </c:numCache>
            </c:numRef>
          </c:cat>
          <c:val>
            <c:numRef>
              <c:f>'Dupont Analysis'!$F$103:$K$103</c:f>
              <c:numCache>
                <c:formatCode>0.00%</c:formatCode>
                <c:ptCount val="6"/>
                <c:pt idx="0">
                  <c:v>0.16705380986889418</c:v>
                </c:pt>
                <c:pt idx="1">
                  <c:v>0.1720474245827523</c:v>
                </c:pt>
                <c:pt idx="2">
                  <c:v>0.13993563709647069</c:v>
                </c:pt>
                <c:pt idx="3">
                  <c:v>0.16851205307753164</c:v>
                </c:pt>
                <c:pt idx="4">
                  <c:v>0.19612859890697029</c:v>
                </c:pt>
                <c:pt idx="5">
                  <c:v>0.12172161387360134</c:v>
                </c:pt>
              </c:numCache>
            </c:numRef>
          </c:val>
          <c:extLst>
            <c:ext xmlns:c16="http://schemas.microsoft.com/office/drawing/2014/chart" uri="{C3380CC4-5D6E-409C-BE32-E72D297353CC}">
              <c16:uniqueId val="{0000000C-6D2F-4AB7-AFAE-0D889222468A}"/>
            </c:ext>
          </c:extLst>
        </c:ser>
        <c:dLbls>
          <c:showLegendKey val="0"/>
          <c:showVal val="0"/>
          <c:showCatName val="0"/>
          <c:showSerName val="0"/>
          <c:showPercent val="0"/>
          <c:showBubbleSize val="0"/>
        </c:dLbls>
        <c:gapWidth val="219"/>
        <c:overlap val="-27"/>
        <c:axId val="1897072560"/>
        <c:axId val="1945651680"/>
      </c:barChart>
      <c:catAx>
        <c:axId val="1897072560"/>
        <c:scaling>
          <c:orientation val="minMax"/>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5651680"/>
        <c:crosses val="autoZero"/>
        <c:auto val="0"/>
        <c:lblAlgn val="ctr"/>
        <c:lblOffset val="100"/>
        <c:noMultiLvlLbl val="0"/>
      </c:catAx>
      <c:valAx>
        <c:axId val="1945651680"/>
        <c:scaling>
          <c:orientation val="minMax"/>
        </c:scaling>
        <c:delete val="1"/>
        <c:axPos val="l"/>
        <c:numFmt formatCode="0.00%" sourceLinked="1"/>
        <c:majorTickMark val="none"/>
        <c:minorTickMark val="none"/>
        <c:tickLblPos val="nextTo"/>
        <c:crossAx val="1897072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270114942528732E-2"/>
          <c:y val="0.14317717194898377"/>
          <c:w val="0.85545977011494256"/>
          <c:h val="0.81574539363484089"/>
        </c:manualLayout>
      </c:layout>
      <c:scatterChart>
        <c:scatterStyle val="lineMarker"/>
        <c:varyColors val="0"/>
        <c:ser>
          <c:idx val="0"/>
          <c:order val="0"/>
          <c:tx>
            <c:strRef>
              <c:f>'Forecasting Asian Paints'!$B$2:$E$2</c:f>
              <c:strCache>
                <c:ptCount val="1"/>
                <c:pt idx="0">
                  <c:v>Forecasting - Sales ( ASIAN PAINTS LTD ).</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'Forecasting Asian Paints'!$C$4:$C$17</c:f>
              <c:numCache>
                <c:formatCode>yyyy\ \A</c:formatCode>
                <c:ptCount val="14"/>
                <c:pt idx="0">
                  <c:v>42460</c:v>
                </c:pt>
                <c:pt idx="1">
                  <c:v>42825</c:v>
                </c:pt>
                <c:pt idx="2">
                  <c:v>43190</c:v>
                </c:pt>
                <c:pt idx="3">
                  <c:v>43555</c:v>
                </c:pt>
                <c:pt idx="4">
                  <c:v>43920</c:v>
                </c:pt>
                <c:pt idx="5">
                  <c:v>44285</c:v>
                </c:pt>
                <c:pt idx="6">
                  <c:v>44650</c:v>
                </c:pt>
                <c:pt idx="7">
                  <c:v>45015</c:v>
                </c:pt>
                <c:pt idx="8">
                  <c:v>45380</c:v>
                </c:pt>
                <c:pt idx="9">
                  <c:v>45745</c:v>
                </c:pt>
                <c:pt idx="10" formatCode="yyyy\ \F">
                  <c:v>46110</c:v>
                </c:pt>
                <c:pt idx="11" formatCode="yyyy\ \F">
                  <c:v>46475</c:v>
                </c:pt>
                <c:pt idx="12" formatCode="yyyy\ \F">
                  <c:v>46840</c:v>
                </c:pt>
                <c:pt idx="13" formatCode="yyyy\ \F">
                  <c:v>47205</c:v>
                </c:pt>
              </c:numCache>
            </c:numRef>
          </c:xVal>
          <c:yVal>
            <c:numRef>
              <c:f>'Forecasting Asian Paints'!$D$4:$D$17</c:f>
              <c:numCache>
                <c:formatCode>0.00</c:formatCode>
                <c:ptCount val="14"/>
                <c:pt idx="0">
                  <c:v>14271.49</c:v>
                </c:pt>
                <c:pt idx="1">
                  <c:v>15061.99</c:v>
                </c:pt>
                <c:pt idx="2">
                  <c:v>16824.55</c:v>
                </c:pt>
                <c:pt idx="3">
                  <c:v>19240.13</c:v>
                </c:pt>
                <c:pt idx="4">
                  <c:v>20211.25</c:v>
                </c:pt>
                <c:pt idx="5">
                  <c:v>21712.79</c:v>
                </c:pt>
                <c:pt idx="6">
                  <c:v>29101.279999999999</c:v>
                </c:pt>
                <c:pt idx="7">
                  <c:v>34488.589999999997</c:v>
                </c:pt>
                <c:pt idx="8">
                  <c:v>35494.730000000003</c:v>
                </c:pt>
                <c:pt idx="9">
                  <c:v>33905.620000000003</c:v>
                </c:pt>
                <c:pt idx="10">
                  <c:v>38669.293333333342</c:v>
                </c:pt>
                <c:pt idx="11">
                  <c:v>41330.757212121222</c:v>
                </c:pt>
                <c:pt idx="12">
                  <c:v>43992.221090909101</c:v>
                </c:pt>
                <c:pt idx="13">
                  <c:v>46653.68496969698</c:v>
                </c:pt>
              </c:numCache>
            </c:numRef>
          </c:yVal>
          <c:smooth val="0"/>
          <c:extLst>
            <c:ext xmlns:c16="http://schemas.microsoft.com/office/drawing/2014/chart" uri="{C3380CC4-5D6E-409C-BE32-E72D297353CC}">
              <c16:uniqueId val="{00000001-9CE4-45ED-8A78-86C8ACFF1878}"/>
            </c:ext>
          </c:extLst>
        </c:ser>
        <c:dLbls>
          <c:showLegendKey val="0"/>
          <c:showVal val="0"/>
          <c:showCatName val="0"/>
          <c:showSerName val="0"/>
          <c:showPercent val="0"/>
          <c:showBubbleSize val="0"/>
        </c:dLbls>
        <c:axId val="17664512"/>
        <c:axId val="71595088"/>
      </c:scatterChart>
      <c:valAx>
        <c:axId val="17664512"/>
        <c:scaling>
          <c:orientation val="minMax"/>
        </c:scaling>
        <c:delete val="0"/>
        <c:axPos val="b"/>
        <c:numFmt formatCode="yyyy\ \A"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95088"/>
        <c:crosses val="autoZero"/>
        <c:crossBetween val="midCat"/>
      </c:valAx>
      <c:valAx>
        <c:axId val="71595088"/>
        <c:scaling>
          <c:orientation val="minMax"/>
        </c:scaling>
        <c:delete val="1"/>
        <c:axPos val="l"/>
        <c:numFmt formatCode="0.00" sourceLinked="1"/>
        <c:majorTickMark val="none"/>
        <c:minorTickMark val="none"/>
        <c:tickLblPos val="nextTo"/>
        <c:crossAx val="1766451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336010709504679E-2"/>
          <c:y val="0.16697057604641524"/>
          <c:w val="0.86532797858099064"/>
          <c:h val="0.82456140350877194"/>
        </c:manualLayout>
      </c:layout>
      <c:scatterChart>
        <c:scatterStyle val="lineMarker"/>
        <c:varyColors val="0"/>
        <c:ser>
          <c:idx val="0"/>
          <c:order val="0"/>
          <c:tx>
            <c:strRef>
              <c:f>'Forecasting Asian Paints'!$B$21:$E$21</c:f>
              <c:strCache>
                <c:ptCount val="1"/>
                <c:pt idx="0">
                  <c:v>Forecasting - EBITDA  ( ASIAN PAINTS LTD ).</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'Forecasting Asian Paints'!$C$23:$C$36</c:f>
              <c:numCache>
                <c:formatCode>yyyy\ \A</c:formatCode>
                <c:ptCount val="14"/>
                <c:pt idx="0">
                  <c:v>42460</c:v>
                </c:pt>
                <c:pt idx="1">
                  <c:v>42825</c:v>
                </c:pt>
                <c:pt idx="2">
                  <c:v>43190</c:v>
                </c:pt>
                <c:pt idx="3">
                  <c:v>43555</c:v>
                </c:pt>
                <c:pt idx="4">
                  <c:v>43920</c:v>
                </c:pt>
                <c:pt idx="5">
                  <c:v>44285</c:v>
                </c:pt>
                <c:pt idx="6">
                  <c:v>44650</c:v>
                </c:pt>
                <c:pt idx="7">
                  <c:v>45015</c:v>
                </c:pt>
                <c:pt idx="8">
                  <c:v>45380</c:v>
                </c:pt>
                <c:pt idx="9">
                  <c:v>45745</c:v>
                </c:pt>
                <c:pt idx="10" formatCode="yyyy\ \F">
                  <c:v>46110</c:v>
                </c:pt>
                <c:pt idx="11" formatCode="yyyy\ \F">
                  <c:v>46475</c:v>
                </c:pt>
                <c:pt idx="12" formatCode="yyyy\ \F">
                  <c:v>46840</c:v>
                </c:pt>
                <c:pt idx="13" formatCode="yyyy\ \F">
                  <c:v>47205</c:v>
                </c:pt>
              </c:numCache>
            </c:numRef>
          </c:xVal>
          <c:yVal>
            <c:numRef>
              <c:f>'Forecasting Asian Paints'!$D$23:$D$36</c:f>
              <c:numCache>
                <c:formatCode>"₹"\ #,##0.0</c:formatCode>
                <c:ptCount val="14"/>
                <c:pt idx="0">
                  <c:v>2725.0400000000013</c:v>
                </c:pt>
                <c:pt idx="1">
                  <c:v>2993.76</c:v>
                </c:pt>
                <c:pt idx="2">
                  <c:v>3204.0100000000011</c:v>
                </c:pt>
                <c:pt idx="3">
                  <c:v>3764.9400000000014</c:v>
                </c:pt>
                <c:pt idx="4">
                  <c:v>4161.7699999999977</c:v>
                </c:pt>
                <c:pt idx="5">
                  <c:v>4855.6000000000031</c:v>
                </c:pt>
                <c:pt idx="6">
                  <c:v>4803.6099999999988</c:v>
                </c:pt>
                <c:pt idx="7">
                  <c:v>6259.8399999999956</c:v>
                </c:pt>
                <c:pt idx="8">
                  <c:v>7584.9800000000014</c:v>
                </c:pt>
                <c:pt idx="9">
                  <c:v>6006.2100000000019</c:v>
                </c:pt>
                <c:pt idx="10">
                  <c:v>7327.9113333333335</c:v>
                </c:pt>
                <c:pt idx="11">
                  <c:v>7817.3541212121218</c:v>
                </c:pt>
                <c:pt idx="12">
                  <c:v>8306.79690909091</c:v>
                </c:pt>
                <c:pt idx="13">
                  <c:v>8796.2396969696983</c:v>
                </c:pt>
              </c:numCache>
            </c:numRef>
          </c:yVal>
          <c:smooth val="0"/>
          <c:extLst>
            <c:ext xmlns:c16="http://schemas.microsoft.com/office/drawing/2014/chart" uri="{C3380CC4-5D6E-409C-BE32-E72D297353CC}">
              <c16:uniqueId val="{00000001-AD30-40CA-BCA4-C6408D9117DE}"/>
            </c:ext>
          </c:extLst>
        </c:ser>
        <c:dLbls>
          <c:showLegendKey val="0"/>
          <c:showVal val="0"/>
          <c:showCatName val="0"/>
          <c:showSerName val="0"/>
          <c:showPercent val="0"/>
          <c:showBubbleSize val="0"/>
        </c:dLbls>
        <c:axId val="9602080"/>
        <c:axId val="71704528"/>
      </c:scatterChart>
      <c:valAx>
        <c:axId val="9602080"/>
        <c:scaling>
          <c:orientation val="minMax"/>
        </c:scaling>
        <c:delete val="0"/>
        <c:axPos val="b"/>
        <c:numFmt formatCode="yyyy\ \A"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704528"/>
        <c:crosses val="autoZero"/>
        <c:crossBetween val="midCat"/>
      </c:valAx>
      <c:valAx>
        <c:axId val="71704528"/>
        <c:scaling>
          <c:orientation val="minMax"/>
        </c:scaling>
        <c:delete val="1"/>
        <c:axPos val="l"/>
        <c:numFmt formatCode="&quot;₹&quot;\ #,##0.0" sourceLinked="1"/>
        <c:majorTickMark val="none"/>
        <c:minorTickMark val="none"/>
        <c:tickLblPos val="nextTo"/>
        <c:crossAx val="960208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336010709504679E-2"/>
          <c:y val="0.16697057604641524"/>
          <c:w val="0.86532797858099064"/>
          <c:h val="0.82456140350877194"/>
        </c:manualLayout>
      </c:layout>
      <c:scatterChart>
        <c:scatterStyle val="lineMarker"/>
        <c:varyColors val="0"/>
        <c:ser>
          <c:idx val="0"/>
          <c:order val="0"/>
          <c:tx>
            <c:strRef>
              <c:f>'Forecasting Asian Paints'!$B$40:$E$40</c:f>
              <c:strCache>
                <c:ptCount val="1"/>
                <c:pt idx="0">
                  <c:v>Forecasting - EPS  ( ASIAN PAINTS LTD ).</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'Forecasting Asian Paints'!$C$42:$C$55</c:f>
              <c:numCache>
                <c:formatCode>yyyy\ \A</c:formatCode>
                <c:ptCount val="14"/>
                <c:pt idx="0">
                  <c:v>42460</c:v>
                </c:pt>
                <c:pt idx="1">
                  <c:v>42825</c:v>
                </c:pt>
                <c:pt idx="2">
                  <c:v>43190</c:v>
                </c:pt>
                <c:pt idx="3">
                  <c:v>43555</c:v>
                </c:pt>
                <c:pt idx="4">
                  <c:v>43920</c:v>
                </c:pt>
                <c:pt idx="5">
                  <c:v>44285</c:v>
                </c:pt>
                <c:pt idx="6">
                  <c:v>44650</c:v>
                </c:pt>
                <c:pt idx="7">
                  <c:v>45015</c:v>
                </c:pt>
                <c:pt idx="8">
                  <c:v>45380</c:v>
                </c:pt>
                <c:pt idx="9">
                  <c:v>45745</c:v>
                </c:pt>
                <c:pt idx="10" formatCode="yyyy\ \F">
                  <c:v>46110</c:v>
                </c:pt>
                <c:pt idx="11" formatCode="yyyy\ \F">
                  <c:v>46475</c:v>
                </c:pt>
                <c:pt idx="12" formatCode="yyyy\ \F">
                  <c:v>46840</c:v>
                </c:pt>
                <c:pt idx="13" formatCode="yyyy\ \F">
                  <c:v>47205</c:v>
                </c:pt>
              </c:numCache>
            </c:numRef>
          </c:xVal>
          <c:yVal>
            <c:numRef>
              <c:f>'Forecasting Asian Paints'!$D$42:$D$55</c:f>
              <c:numCache>
                <c:formatCode>"₹"\ #,##0.0</c:formatCode>
                <c:ptCount val="14"/>
                <c:pt idx="0">
                  <c:v>16.221538782318614</c:v>
                </c:pt>
                <c:pt idx="1">
                  <c:v>17.497393661384489</c:v>
                </c:pt>
                <c:pt idx="2">
                  <c:v>18.360195996663897</c:v>
                </c:pt>
                <c:pt idx="3">
                  <c:v>20.165450375312773</c:v>
                </c:pt>
                <c:pt idx="4">
                  <c:v>25.271997497914906</c:v>
                </c:pt>
                <c:pt idx="5">
                  <c:v>29.973936613844902</c:v>
                </c:pt>
                <c:pt idx="6">
                  <c:v>29.075583819849857</c:v>
                </c:pt>
                <c:pt idx="7">
                  <c:v>39.23967889908252</c:v>
                </c:pt>
                <c:pt idx="8">
                  <c:v>49.382089241034208</c:v>
                </c:pt>
                <c:pt idx="9">
                  <c:v>35.023874061718125</c:v>
                </c:pt>
                <c:pt idx="10">
                  <c:v>45.62929524603836</c:v>
                </c:pt>
                <c:pt idx="11">
                  <c:v>48.830771855333985</c:v>
                </c:pt>
                <c:pt idx="12">
                  <c:v>52.03224846462961</c:v>
                </c:pt>
                <c:pt idx="13">
                  <c:v>55.233725073925228</c:v>
                </c:pt>
              </c:numCache>
            </c:numRef>
          </c:yVal>
          <c:smooth val="0"/>
          <c:extLst>
            <c:ext xmlns:c16="http://schemas.microsoft.com/office/drawing/2014/chart" uri="{C3380CC4-5D6E-409C-BE32-E72D297353CC}">
              <c16:uniqueId val="{00000001-13AF-4D2F-A8A9-5845773C4873}"/>
            </c:ext>
          </c:extLst>
        </c:ser>
        <c:dLbls>
          <c:showLegendKey val="0"/>
          <c:showVal val="0"/>
          <c:showCatName val="0"/>
          <c:showSerName val="0"/>
          <c:showPercent val="0"/>
          <c:showBubbleSize val="0"/>
        </c:dLbls>
        <c:axId val="9602080"/>
        <c:axId val="71704528"/>
      </c:scatterChart>
      <c:valAx>
        <c:axId val="9602080"/>
        <c:scaling>
          <c:orientation val="minMax"/>
        </c:scaling>
        <c:delete val="0"/>
        <c:axPos val="b"/>
        <c:numFmt formatCode="yyyy\ \A"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704528"/>
        <c:crosses val="autoZero"/>
        <c:crossBetween val="midCat"/>
      </c:valAx>
      <c:valAx>
        <c:axId val="71704528"/>
        <c:scaling>
          <c:orientation val="minMax"/>
        </c:scaling>
        <c:delete val="1"/>
        <c:axPos val="l"/>
        <c:numFmt formatCode="&quot;₹&quot;\ #,##0.0" sourceLinked="1"/>
        <c:majorTickMark val="none"/>
        <c:minorTickMark val="none"/>
        <c:tickLblPos val="nextTo"/>
        <c:crossAx val="960208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Daily Returns Distribution </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Daily Returns Distribution </a:t>
          </a:r>
        </a:p>
      </cx:txPr>
    </cx:title>
    <cx:plotArea>
      <cx:plotAreaRegion>
        <cx:series layoutId="clusteredColumn" uniqueId="{00000000-E287-45B1-A176-E319AFC4B814}">
          <cx:spPr>
            <a:solidFill>
              <a:schemeClr val="tx2"/>
            </a:solidFill>
          </cx:spPr>
          <cx:dataId val="0"/>
          <cx:layoutPr>
            <cx:binning intervalClosed="r"/>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xdr:col>
      <xdr:colOff>213360</xdr:colOff>
      <xdr:row>13</xdr:row>
      <xdr:rowOff>114300</xdr:rowOff>
    </xdr:from>
    <xdr:to>
      <xdr:col>2</xdr:col>
      <xdr:colOff>586740</xdr:colOff>
      <xdr:row>23</xdr:row>
      <xdr:rowOff>0</xdr:rowOff>
    </xdr:to>
    <xdr:grpSp>
      <xdr:nvGrpSpPr>
        <xdr:cNvPr id="2" name="Group 1">
          <a:extLst>
            <a:ext uri="{FF2B5EF4-FFF2-40B4-BE49-F238E27FC236}">
              <a16:creationId xmlns:a16="http://schemas.microsoft.com/office/drawing/2014/main" id="{7AEA8677-DD3E-443D-A8AD-6B28C4F4E2F8}"/>
            </a:ext>
          </a:extLst>
        </xdr:cNvPr>
        <xdr:cNvGrpSpPr/>
      </xdr:nvGrpSpPr>
      <xdr:grpSpPr>
        <a:xfrm>
          <a:off x="350520" y="3619500"/>
          <a:ext cx="2499360" cy="1714500"/>
          <a:chOff x="83820" y="2613660"/>
          <a:chExt cx="2004060" cy="1714500"/>
        </a:xfrm>
      </xdr:grpSpPr>
      <xdr:graphicFrame macro="">
        <xdr:nvGraphicFramePr>
          <xdr:cNvPr id="3" name="Chart 2">
            <a:extLst>
              <a:ext uri="{FF2B5EF4-FFF2-40B4-BE49-F238E27FC236}">
                <a16:creationId xmlns:a16="http://schemas.microsoft.com/office/drawing/2014/main" id="{316AE36D-44EC-6154-9B05-F97A4CBF595F}"/>
              </a:ext>
            </a:extLst>
          </xdr:cNvPr>
          <xdr:cNvGraphicFramePr/>
        </xdr:nvGraphicFramePr>
        <xdr:xfrm>
          <a:off x="83820" y="2727960"/>
          <a:ext cx="2004060" cy="1600200"/>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 name="TextBox 3">
            <a:extLst>
              <a:ext uri="{FF2B5EF4-FFF2-40B4-BE49-F238E27FC236}">
                <a16:creationId xmlns:a16="http://schemas.microsoft.com/office/drawing/2014/main" id="{8D5FD6B3-AD87-8BFC-B44C-3BC6ED39AEFA}"/>
              </a:ext>
            </a:extLst>
          </xdr:cNvPr>
          <xdr:cNvSpPr txBox="1"/>
        </xdr:nvSpPr>
        <xdr:spPr>
          <a:xfrm>
            <a:off x="320040" y="2651760"/>
            <a:ext cx="1409700" cy="243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Revenues (INR</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Crs.)</a:t>
            </a:r>
            <a:endParaRPr lang="en-IN" sz="1100" b="1">
              <a:solidFill>
                <a:srgbClr val="FF0000"/>
              </a:solidFill>
              <a:latin typeface="Calibri" panose="020F0502020204030204" pitchFamily="34" charset="0"/>
              <a:ea typeface="Calibri" panose="020F0502020204030204" pitchFamily="34" charset="0"/>
              <a:cs typeface="Calibri" panose="020F0502020204030204" pitchFamily="34" charset="0"/>
            </a:endParaRPr>
          </a:p>
          <a:p>
            <a:endParaRPr lang="en-IN" sz="1100">
              <a:solidFill>
                <a:srgbClr val="028655"/>
              </a:solidFill>
            </a:endParaRPr>
          </a:p>
        </xdr:txBody>
      </xdr:sp>
      <xdr:cxnSp macro="">
        <xdr:nvCxnSpPr>
          <xdr:cNvPr id="5" name="Straight Connector 4">
            <a:extLst>
              <a:ext uri="{FF2B5EF4-FFF2-40B4-BE49-F238E27FC236}">
                <a16:creationId xmlns:a16="http://schemas.microsoft.com/office/drawing/2014/main" id="{FDDD90B0-AE2C-CE41-3A4F-CA36F27A088B}"/>
              </a:ext>
            </a:extLst>
          </xdr:cNvPr>
          <xdr:cNvCxnSpPr/>
        </xdr:nvCxnSpPr>
        <xdr:spPr>
          <a:xfrm>
            <a:off x="312420" y="2613660"/>
            <a:ext cx="1386840" cy="0"/>
          </a:xfrm>
          <a:prstGeom prst="line">
            <a:avLst/>
          </a:prstGeom>
        </xdr:spPr>
        <xdr:style>
          <a:lnRef idx="2">
            <a:schemeClr val="dk1"/>
          </a:lnRef>
          <a:fillRef idx="0">
            <a:schemeClr val="dk1"/>
          </a:fillRef>
          <a:effectRef idx="1">
            <a:schemeClr val="dk1"/>
          </a:effectRef>
          <a:fontRef idx="minor">
            <a:schemeClr val="tx1"/>
          </a:fontRef>
        </xdr:style>
      </xdr:cxnSp>
    </xdr:grpSp>
    <xdr:clientData/>
  </xdr:twoCellAnchor>
  <xdr:twoCellAnchor>
    <xdr:from>
      <xdr:col>3</xdr:col>
      <xdr:colOff>281940</xdr:colOff>
      <xdr:row>13</xdr:row>
      <xdr:rowOff>91440</xdr:rowOff>
    </xdr:from>
    <xdr:to>
      <xdr:col>6</xdr:col>
      <xdr:colOff>548640</xdr:colOff>
      <xdr:row>22</xdr:row>
      <xdr:rowOff>175260</xdr:rowOff>
    </xdr:to>
    <xdr:grpSp>
      <xdr:nvGrpSpPr>
        <xdr:cNvPr id="6" name="Group 5">
          <a:extLst>
            <a:ext uri="{FF2B5EF4-FFF2-40B4-BE49-F238E27FC236}">
              <a16:creationId xmlns:a16="http://schemas.microsoft.com/office/drawing/2014/main" id="{B1C4FA8B-F719-4D17-8D77-95A7A57CA8D8}"/>
            </a:ext>
          </a:extLst>
        </xdr:cNvPr>
        <xdr:cNvGrpSpPr/>
      </xdr:nvGrpSpPr>
      <xdr:grpSpPr>
        <a:xfrm>
          <a:off x="3192780" y="3596640"/>
          <a:ext cx="2209800" cy="1729740"/>
          <a:chOff x="83820" y="2598420"/>
          <a:chExt cx="2004060" cy="1729740"/>
        </a:xfrm>
      </xdr:grpSpPr>
      <xdr:graphicFrame macro="">
        <xdr:nvGraphicFramePr>
          <xdr:cNvPr id="7" name="Chart 6">
            <a:extLst>
              <a:ext uri="{FF2B5EF4-FFF2-40B4-BE49-F238E27FC236}">
                <a16:creationId xmlns:a16="http://schemas.microsoft.com/office/drawing/2014/main" id="{BAE27E6B-D85C-200D-5D06-CABDF3DF5A0E}"/>
              </a:ext>
            </a:extLst>
          </xdr:cNvPr>
          <xdr:cNvGraphicFramePr/>
        </xdr:nvGraphicFramePr>
        <xdr:xfrm>
          <a:off x="83820" y="2727960"/>
          <a:ext cx="2004060" cy="16002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8" name="TextBox 7">
            <a:extLst>
              <a:ext uri="{FF2B5EF4-FFF2-40B4-BE49-F238E27FC236}">
                <a16:creationId xmlns:a16="http://schemas.microsoft.com/office/drawing/2014/main" id="{73E013A6-DB60-5AA0-DE47-F2A261CE3102}"/>
              </a:ext>
            </a:extLst>
          </xdr:cNvPr>
          <xdr:cNvSpPr txBox="1"/>
        </xdr:nvSpPr>
        <xdr:spPr>
          <a:xfrm>
            <a:off x="335280" y="2598420"/>
            <a:ext cx="1409700" cy="243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Net</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Profit</a:t>
            </a:r>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 (INR</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Crs.)</a:t>
            </a:r>
            <a:endParaRPr lang="en-IN" sz="1100" b="1">
              <a:solidFill>
                <a:srgbClr val="FF0000"/>
              </a:solidFill>
              <a:latin typeface="Calibri" panose="020F0502020204030204" pitchFamily="34" charset="0"/>
              <a:ea typeface="Calibri" panose="020F0502020204030204" pitchFamily="34" charset="0"/>
              <a:cs typeface="Calibri" panose="020F0502020204030204" pitchFamily="34" charset="0"/>
            </a:endParaRPr>
          </a:p>
          <a:p>
            <a:endParaRPr lang="en-IN" sz="1100">
              <a:solidFill>
                <a:srgbClr val="028655"/>
              </a:solidFill>
            </a:endParaRPr>
          </a:p>
        </xdr:txBody>
      </xdr:sp>
      <xdr:cxnSp macro="">
        <xdr:nvCxnSpPr>
          <xdr:cNvPr id="9" name="Straight Connector 8">
            <a:extLst>
              <a:ext uri="{FF2B5EF4-FFF2-40B4-BE49-F238E27FC236}">
                <a16:creationId xmlns:a16="http://schemas.microsoft.com/office/drawing/2014/main" id="{B33CBC14-6AD6-2DBA-8209-910FF5B56047}"/>
              </a:ext>
            </a:extLst>
          </xdr:cNvPr>
          <xdr:cNvCxnSpPr/>
        </xdr:nvCxnSpPr>
        <xdr:spPr>
          <a:xfrm>
            <a:off x="312420" y="2613660"/>
            <a:ext cx="1386840" cy="0"/>
          </a:xfrm>
          <a:prstGeom prst="line">
            <a:avLst/>
          </a:prstGeom>
        </xdr:spPr>
        <xdr:style>
          <a:lnRef idx="2">
            <a:schemeClr val="dk1"/>
          </a:lnRef>
          <a:fillRef idx="0">
            <a:schemeClr val="dk1"/>
          </a:fillRef>
          <a:effectRef idx="1">
            <a:schemeClr val="dk1"/>
          </a:effectRef>
          <a:fontRef idx="minor">
            <a:schemeClr val="tx1"/>
          </a:fontRef>
        </xdr:style>
      </xdr:cxnSp>
    </xdr:grpSp>
    <xdr:clientData/>
  </xdr:twoCellAnchor>
  <xdr:twoCellAnchor>
    <xdr:from>
      <xdr:col>7</xdr:col>
      <xdr:colOff>114300</xdr:colOff>
      <xdr:row>13</xdr:row>
      <xdr:rowOff>60960</xdr:rowOff>
    </xdr:from>
    <xdr:to>
      <xdr:col>10</xdr:col>
      <xdr:colOff>525780</xdr:colOff>
      <xdr:row>22</xdr:row>
      <xdr:rowOff>152400</xdr:rowOff>
    </xdr:to>
    <xdr:grpSp>
      <xdr:nvGrpSpPr>
        <xdr:cNvPr id="10" name="Group 9">
          <a:extLst>
            <a:ext uri="{FF2B5EF4-FFF2-40B4-BE49-F238E27FC236}">
              <a16:creationId xmlns:a16="http://schemas.microsoft.com/office/drawing/2014/main" id="{1F099AF5-F66C-46BE-B541-E458119D7F6B}"/>
            </a:ext>
          </a:extLst>
        </xdr:cNvPr>
        <xdr:cNvGrpSpPr/>
      </xdr:nvGrpSpPr>
      <xdr:grpSpPr>
        <a:xfrm>
          <a:off x="5654040" y="3566160"/>
          <a:ext cx="2415540" cy="1737360"/>
          <a:chOff x="83820" y="2590800"/>
          <a:chExt cx="2004060" cy="1737360"/>
        </a:xfrm>
      </xdr:grpSpPr>
      <xdr:graphicFrame macro="">
        <xdr:nvGraphicFramePr>
          <xdr:cNvPr id="11" name="Chart 10">
            <a:extLst>
              <a:ext uri="{FF2B5EF4-FFF2-40B4-BE49-F238E27FC236}">
                <a16:creationId xmlns:a16="http://schemas.microsoft.com/office/drawing/2014/main" id="{2903E118-E98A-58DA-4763-0609DDB281FF}"/>
              </a:ext>
            </a:extLst>
          </xdr:cNvPr>
          <xdr:cNvGraphicFramePr/>
        </xdr:nvGraphicFramePr>
        <xdr:xfrm>
          <a:off x="83820" y="2727960"/>
          <a:ext cx="2004060" cy="160020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2" name="TextBox 11">
            <a:extLst>
              <a:ext uri="{FF2B5EF4-FFF2-40B4-BE49-F238E27FC236}">
                <a16:creationId xmlns:a16="http://schemas.microsoft.com/office/drawing/2014/main" id="{80C0E24A-B16C-3187-1419-5B2EB961C8E8}"/>
              </a:ext>
            </a:extLst>
          </xdr:cNvPr>
          <xdr:cNvSpPr txBox="1"/>
        </xdr:nvSpPr>
        <xdr:spPr>
          <a:xfrm>
            <a:off x="228600" y="2590800"/>
            <a:ext cx="1729740" cy="2209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Avg Total Asset (INR</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Crs.)</a:t>
            </a:r>
            <a:endParaRPr lang="en-IN" sz="1100" b="1">
              <a:solidFill>
                <a:srgbClr val="FF0000"/>
              </a:solidFill>
              <a:latin typeface="Calibri" panose="020F0502020204030204" pitchFamily="34" charset="0"/>
              <a:ea typeface="Calibri" panose="020F0502020204030204" pitchFamily="34" charset="0"/>
              <a:cs typeface="Calibri" panose="020F0502020204030204" pitchFamily="34" charset="0"/>
            </a:endParaRPr>
          </a:p>
          <a:p>
            <a:endParaRPr lang="en-IN" sz="1100">
              <a:solidFill>
                <a:srgbClr val="028655"/>
              </a:solidFill>
            </a:endParaRPr>
          </a:p>
        </xdr:txBody>
      </xdr:sp>
      <xdr:cxnSp macro="">
        <xdr:nvCxnSpPr>
          <xdr:cNvPr id="13" name="Straight Connector 12">
            <a:extLst>
              <a:ext uri="{FF2B5EF4-FFF2-40B4-BE49-F238E27FC236}">
                <a16:creationId xmlns:a16="http://schemas.microsoft.com/office/drawing/2014/main" id="{42B27872-367C-747B-3759-263E73613023}"/>
              </a:ext>
            </a:extLst>
          </xdr:cNvPr>
          <xdr:cNvCxnSpPr/>
        </xdr:nvCxnSpPr>
        <xdr:spPr>
          <a:xfrm>
            <a:off x="319707" y="2613660"/>
            <a:ext cx="1386840" cy="0"/>
          </a:xfrm>
          <a:prstGeom prst="line">
            <a:avLst/>
          </a:prstGeom>
        </xdr:spPr>
        <xdr:style>
          <a:lnRef idx="2">
            <a:schemeClr val="dk1"/>
          </a:lnRef>
          <a:fillRef idx="0">
            <a:schemeClr val="dk1"/>
          </a:fillRef>
          <a:effectRef idx="1">
            <a:schemeClr val="dk1"/>
          </a:effectRef>
          <a:fontRef idx="minor">
            <a:schemeClr val="tx1"/>
          </a:fontRef>
        </xdr:style>
      </xdr:cxnSp>
    </xdr:grpSp>
    <xdr:clientData/>
  </xdr:twoCellAnchor>
  <xdr:twoCellAnchor>
    <xdr:from>
      <xdr:col>1</xdr:col>
      <xdr:colOff>243840</xdr:colOff>
      <xdr:row>24</xdr:row>
      <xdr:rowOff>76200</xdr:rowOff>
    </xdr:from>
    <xdr:to>
      <xdr:col>3</xdr:col>
      <xdr:colOff>30480</xdr:colOff>
      <xdr:row>33</xdr:row>
      <xdr:rowOff>121920</xdr:rowOff>
    </xdr:to>
    <xdr:grpSp>
      <xdr:nvGrpSpPr>
        <xdr:cNvPr id="14" name="Group 13">
          <a:extLst>
            <a:ext uri="{FF2B5EF4-FFF2-40B4-BE49-F238E27FC236}">
              <a16:creationId xmlns:a16="http://schemas.microsoft.com/office/drawing/2014/main" id="{FED7CDA1-B081-4198-9CB2-B615A525628E}"/>
            </a:ext>
          </a:extLst>
        </xdr:cNvPr>
        <xdr:cNvGrpSpPr/>
      </xdr:nvGrpSpPr>
      <xdr:grpSpPr>
        <a:xfrm>
          <a:off x="381000" y="5593080"/>
          <a:ext cx="2560320" cy="1691640"/>
          <a:chOff x="83820" y="2598420"/>
          <a:chExt cx="2004060" cy="1729740"/>
        </a:xfrm>
      </xdr:grpSpPr>
      <xdr:graphicFrame macro="">
        <xdr:nvGraphicFramePr>
          <xdr:cNvPr id="15" name="Chart 14">
            <a:extLst>
              <a:ext uri="{FF2B5EF4-FFF2-40B4-BE49-F238E27FC236}">
                <a16:creationId xmlns:a16="http://schemas.microsoft.com/office/drawing/2014/main" id="{28BD6E14-132C-B9C7-697D-64236CE607BC}"/>
              </a:ext>
            </a:extLst>
          </xdr:cNvPr>
          <xdr:cNvGraphicFramePr/>
        </xdr:nvGraphicFramePr>
        <xdr:xfrm>
          <a:off x="83820" y="2727960"/>
          <a:ext cx="2004060" cy="1600200"/>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6" name="TextBox 15">
            <a:extLst>
              <a:ext uri="{FF2B5EF4-FFF2-40B4-BE49-F238E27FC236}">
                <a16:creationId xmlns:a16="http://schemas.microsoft.com/office/drawing/2014/main" id="{6D43EA50-C6BB-FC7B-5203-1B0594F89E9E}"/>
              </a:ext>
            </a:extLst>
          </xdr:cNvPr>
          <xdr:cNvSpPr txBox="1"/>
        </xdr:nvSpPr>
        <xdr:spPr>
          <a:xfrm>
            <a:off x="167640" y="2598420"/>
            <a:ext cx="176022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Return</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on Equity</a:t>
            </a:r>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 (INR</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Crs.)</a:t>
            </a:r>
            <a:endParaRPr lang="en-IN" sz="1100" b="1">
              <a:solidFill>
                <a:srgbClr val="FF0000"/>
              </a:solidFill>
              <a:latin typeface="Calibri" panose="020F0502020204030204" pitchFamily="34" charset="0"/>
              <a:ea typeface="Calibri" panose="020F0502020204030204" pitchFamily="34" charset="0"/>
              <a:cs typeface="Calibri" panose="020F0502020204030204" pitchFamily="34" charset="0"/>
            </a:endParaRPr>
          </a:p>
          <a:p>
            <a:endParaRPr lang="en-IN" sz="1100">
              <a:solidFill>
                <a:srgbClr val="028655"/>
              </a:solidFill>
            </a:endParaRPr>
          </a:p>
        </xdr:txBody>
      </xdr:sp>
      <xdr:cxnSp macro="">
        <xdr:nvCxnSpPr>
          <xdr:cNvPr id="17" name="Straight Connector 16">
            <a:extLst>
              <a:ext uri="{FF2B5EF4-FFF2-40B4-BE49-F238E27FC236}">
                <a16:creationId xmlns:a16="http://schemas.microsoft.com/office/drawing/2014/main" id="{53499C00-E23B-91F5-0F22-97EE1E37859D}"/>
              </a:ext>
            </a:extLst>
          </xdr:cNvPr>
          <xdr:cNvCxnSpPr/>
        </xdr:nvCxnSpPr>
        <xdr:spPr>
          <a:xfrm>
            <a:off x="312420" y="2613660"/>
            <a:ext cx="1386840" cy="0"/>
          </a:xfrm>
          <a:prstGeom prst="line">
            <a:avLst/>
          </a:prstGeom>
        </xdr:spPr>
        <xdr:style>
          <a:lnRef idx="2">
            <a:schemeClr val="dk1"/>
          </a:lnRef>
          <a:fillRef idx="0">
            <a:schemeClr val="dk1"/>
          </a:fillRef>
          <a:effectRef idx="1">
            <a:schemeClr val="dk1"/>
          </a:effectRef>
          <a:fontRef idx="minor">
            <a:schemeClr val="tx1"/>
          </a:fontRef>
        </xdr:style>
      </xdr:cxnSp>
    </xdr:grpSp>
    <xdr:clientData/>
  </xdr:twoCellAnchor>
  <xdr:twoCellAnchor>
    <xdr:from>
      <xdr:col>3</xdr:col>
      <xdr:colOff>304800</xdr:colOff>
      <xdr:row>24</xdr:row>
      <xdr:rowOff>22860</xdr:rowOff>
    </xdr:from>
    <xdr:to>
      <xdr:col>6</xdr:col>
      <xdr:colOff>640080</xdr:colOff>
      <xdr:row>33</xdr:row>
      <xdr:rowOff>129540</xdr:rowOff>
    </xdr:to>
    <xdr:grpSp>
      <xdr:nvGrpSpPr>
        <xdr:cNvPr id="18" name="Group 17">
          <a:extLst>
            <a:ext uri="{FF2B5EF4-FFF2-40B4-BE49-F238E27FC236}">
              <a16:creationId xmlns:a16="http://schemas.microsoft.com/office/drawing/2014/main" id="{87B5A364-2B1E-4F61-B873-D46CBA7B26A7}"/>
            </a:ext>
          </a:extLst>
        </xdr:cNvPr>
        <xdr:cNvGrpSpPr/>
      </xdr:nvGrpSpPr>
      <xdr:grpSpPr>
        <a:xfrm>
          <a:off x="3215640" y="5539740"/>
          <a:ext cx="2278380" cy="1752600"/>
          <a:chOff x="83820" y="2567805"/>
          <a:chExt cx="2004060" cy="1760355"/>
        </a:xfrm>
      </xdr:grpSpPr>
      <xdr:graphicFrame macro="">
        <xdr:nvGraphicFramePr>
          <xdr:cNvPr id="19" name="Chart 18">
            <a:extLst>
              <a:ext uri="{FF2B5EF4-FFF2-40B4-BE49-F238E27FC236}">
                <a16:creationId xmlns:a16="http://schemas.microsoft.com/office/drawing/2014/main" id="{9D1C81F3-C6D6-37FB-5E25-2ED0C4BF6D8C}"/>
              </a:ext>
            </a:extLst>
          </xdr:cNvPr>
          <xdr:cNvGraphicFramePr/>
        </xdr:nvGraphicFramePr>
        <xdr:xfrm>
          <a:off x="83820" y="2727960"/>
          <a:ext cx="2004060" cy="1600200"/>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20" name="TextBox 19">
            <a:extLst>
              <a:ext uri="{FF2B5EF4-FFF2-40B4-BE49-F238E27FC236}">
                <a16:creationId xmlns:a16="http://schemas.microsoft.com/office/drawing/2014/main" id="{CC9D30A5-F714-5609-F191-0CA9A9F252EC}"/>
              </a:ext>
            </a:extLst>
          </xdr:cNvPr>
          <xdr:cNvSpPr txBox="1"/>
        </xdr:nvSpPr>
        <xdr:spPr>
          <a:xfrm>
            <a:off x="226408" y="2567805"/>
            <a:ext cx="1844040" cy="236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Financial</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Leverage</a:t>
            </a:r>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 (INR</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Crs.)</a:t>
            </a:r>
            <a:endParaRPr lang="en-IN" sz="1100" b="1">
              <a:solidFill>
                <a:srgbClr val="FF0000"/>
              </a:solidFill>
              <a:latin typeface="Calibri" panose="020F0502020204030204" pitchFamily="34" charset="0"/>
              <a:ea typeface="Calibri" panose="020F0502020204030204" pitchFamily="34" charset="0"/>
              <a:cs typeface="Calibri" panose="020F0502020204030204" pitchFamily="34" charset="0"/>
            </a:endParaRPr>
          </a:p>
          <a:p>
            <a:endParaRPr lang="en-IN" sz="1100">
              <a:solidFill>
                <a:srgbClr val="028655"/>
              </a:solidFill>
            </a:endParaRPr>
          </a:p>
        </xdr:txBody>
      </xdr:sp>
      <xdr:cxnSp macro="">
        <xdr:nvCxnSpPr>
          <xdr:cNvPr id="21" name="Straight Connector 20">
            <a:extLst>
              <a:ext uri="{FF2B5EF4-FFF2-40B4-BE49-F238E27FC236}">
                <a16:creationId xmlns:a16="http://schemas.microsoft.com/office/drawing/2014/main" id="{EEC1C54B-DB0B-D0B1-AEC2-7F3A27F93125}"/>
              </a:ext>
            </a:extLst>
          </xdr:cNvPr>
          <xdr:cNvCxnSpPr/>
        </xdr:nvCxnSpPr>
        <xdr:spPr>
          <a:xfrm>
            <a:off x="312420" y="2613660"/>
            <a:ext cx="1386840" cy="0"/>
          </a:xfrm>
          <a:prstGeom prst="line">
            <a:avLst/>
          </a:prstGeom>
        </xdr:spPr>
        <xdr:style>
          <a:lnRef idx="2">
            <a:schemeClr val="dk1"/>
          </a:lnRef>
          <a:fillRef idx="0">
            <a:schemeClr val="dk1"/>
          </a:fillRef>
          <a:effectRef idx="1">
            <a:schemeClr val="dk1"/>
          </a:effectRef>
          <a:fontRef idx="minor">
            <a:schemeClr val="tx1"/>
          </a:fontRef>
        </xdr:style>
      </xdr:cxnSp>
    </xdr:grpSp>
    <xdr:clientData/>
  </xdr:twoCellAnchor>
  <xdr:twoCellAnchor>
    <xdr:from>
      <xdr:col>7</xdr:col>
      <xdr:colOff>281940</xdr:colOff>
      <xdr:row>24</xdr:row>
      <xdr:rowOff>45717</xdr:rowOff>
    </xdr:from>
    <xdr:to>
      <xdr:col>10</xdr:col>
      <xdr:colOff>525780</xdr:colOff>
      <xdr:row>33</xdr:row>
      <xdr:rowOff>121917</xdr:rowOff>
    </xdr:to>
    <xdr:grpSp>
      <xdr:nvGrpSpPr>
        <xdr:cNvPr id="22" name="Group 21">
          <a:extLst>
            <a:ext uri="{FF2B5EF4-FFF2-40B4-BE49-F238E27FC236}">
              <a16:creationId xmlns:a16="http://schemas.microsoft.com/office/drawing/2014/main" id="{09FCDCE7-7794-4D76-80F6-0B6FCF476BB1}"/>
            </a:ext>
          </a:extLst>
        </xdr:cNvPr>
        <xdr:cNvGrpSpPr/>
      </xdr:nvGrpSpPr>
      <xdr:grpSpPr>
        <a:xfrm>
          <a:off x="5821680" y="5562597"/>
          <a:ext cx="2247900" cy="1722120"/>
          <a:chOff x="83820" y="2536536"/>
          <a:chExt cx="2004060" cy="1791624"/>
        </a:xfrm>
      </xdr:grpSpPr>
      <xdr:graphicFrame macro="">
        <xdr:nvGraphicFramePr>
          <xdr:cNvPr id="23" name="Chart 22">
            <a:extLst>
              <a:ext uri="{FF2B5EF4-FFF2-40B4-BE49-F238E27FC236}">
                <a16:creationId xmlns:a16="http://schemas.microsoft.com/office/drawing/2014/main" id="{19FA0A28-2F89-B996-0D41-C4DAF58305F4}"/>
              </a:ext>
            </a:extLst>
          </xdr:cNvPr>
          <xdr:cNvGraphicFramePr/>
        </xdr:nvGraphicFramePr>
        <xdr:xfrm>
          <a:off x="83820" y="2727960"/>
          <a:ext cx="2004060" cy="160020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24" name="TextBox 23">
            <a:extLst>
              <a:ext uri="{FF2B5EF4-FFF2-40B4-BE49-F238E27FC236}">
                <a16:creationId xmlns:a16="http://schemas.microsoft.com/office/drawing/2014/main" id="{A20D6F3E-BF75-1EC7-9F8A-C01AB2508148}"/>
              </a:ext>
            </a:extLst>
          </xdr:cNvPr>
          <xdr:cNvSpPr txBox="1"/>
        </xdr:nvSpPr>
        <xdr:spPr>
          <a:xfrm>
            <a:off x="292401" y="2536536"/>
            <a:ext cx="1684020" cy="236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b="1">
                <a:solidFill>
                  <a:srgbClr val="FF0000"/>
                </a:solidFill>
                <a:latin typeface="Calibri" panose="020F0502020204030204" pitchFamily="34" charset="0"/>
                <a:ea typeface="Calibri" panose="020F0502020204030204" pitchFamily="34" charset="0"/>
                <a:cs typeface="Calibri" panose="020F0502020204030204" pitchFamily="34" charset="0"/>
              </a:rPr>
              <a:t>Return on Asset (INR</a:t>
            </a:r>
            <a:r>
              <a:rPr lang="en-IN" sz="1100" b="1" baseline="0">
                <a:solidFill>
                  <a:srgbClr val="FF0000"/>
                </a:solidFill>
                <a:latin typeface="Calibri" panose="020F0502020204030204" pitchFamily="34" charset="0"/>
                <a:ea typeface="Calibri" panose="020F0502020204030204" pitchFamily="34" charset="0"/>
                <a:cs typeface="Calibri" panose="020F0502020204030204" pitchFamily="34" charset="0"/>
              </a:rPr>
              <a:t> Crs.)</a:t>
            </a:r>
            <a:endParaRPr lang="en-IN" sz="1100" b="1">
              <a:solidFill>
                <a:srgbClr val="FF0000"/>
              </a:solidFill>
              <a:latin typeface="Calibri" panose="020F0502020204030204" pitchFamily="34" charset="0"/>
              <a:ea typeface="Calibri" panose="020F0502020204030204" pitchFamily="34" charset="0"/>
              <a:cs typeface="Calibri" panose="020F0502020204030204" pitchFamily="34" charset="0"/>
            </a:endParaRPr>
          </a:p>
          <a:p>
            <a:endParaRPr lang="en-IN" sz="1100">
              <a:solidFill>
                <a:srgbClr val="028655"/>
              </a:solidFill>
            </a:endParaRPr>
          </a:p>
        </xdr:txBody>
      </xdr:sp>
      <xdr:cxnSp macro="">
        <xdr:nvCxnSpPr>
          <xdr:cNvPr id="25" name="Straight Connector 24">
            <a:extLst>
              <a:ext uri="{FF2B5EF4-FFF2-40B4-BE49-F238E27FC236}">
                <a16:creationId xmlns:a16="http://schemas.microsoft.com/office/drawing/2014/main" id="{75A3EEC5-D860-CB5E-6C09-A14236E51FDF}"/>
              </a:ext>
            </a:extLst>
          </xdr:cNvPr>
          <xdr:cNvCxnSpPr/>
        </xdr:nvCxnSpPr>
        <xdr:spPr>
          <a:xfrm>
            <a:off x="346386" y="2581950"/>
            <a:ext cx="1386840" cy="0"/>
          </a:xfrm>
          <a:prstGeom prst="line">
            <a:avLst/>
          </a:prstGeom>
        </xdr:spPr>
        <xdr:style>
          <a:lnRef idx="2">
            <a:schemeClr val="dk1"/>
          </a:lnRef>
          <a:fillRef idx="0">
            <a:schemeClr val="dk1"/>
          </a:fillRef>
          <a:effectRef idx="1">
            <a:schemeClr val="dk1"/>
          </a:effectRef>
          <a:fontRef idx="minor">
            <a:schemeClr val="tx1"/>
          </a:fontRef>
        </xdr:style>
      </xdr:cxnSp>
    </xdr:grpSp>
    <xdr:clientData/>
  </xdr:twoCellAnchor>
  <xdr:oneCellAnchor>
    <xdr:from>
      <xdr:col>0</xdr:col>
      <xdr:colOff>114300</xdr:colOff>
      <xdr:row>36</xdr:row>
      <xdr:rowOff>53340</xdr:rowOff>
    </xdr:from>
    <xdr:ext cx="8039100" cy="3764280"/>
    <xdr:sp macro="" textlink="">
      <xdr:nvSpPr>
        <xdr:cNvPr id="26" name="TextBox 25">
          <a:extLst>
            <a:ext uri="{FF2B5EF4-FFF2-40B4-BE49-F238E27FC236}">
              <a16:creationId xmlns:a16="http://schemas.microsoft.com/office/drawing/2014/main" id="{487D1CF0-7D63-4925-86B2-330FD0F83C2E}"/>
            </a:ext>
          </a:extLst>
        </xdr:cNvPr>
        <xdr:cNvSpPr txBox="1"/>
      </xdr:nvSpPr>
      <xdr:spPr>
        <a:xfrm>
          <a:off x="114300" y="7764780"/>
          <a:ext cx="8039100" cy="3764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b="1">
              <a:solidFill>
                <a:srgbClr val="FF0000"/>
              </a:solidFill>
              <a:latin typeface="Calibri" panose="020F0502020204030204" pitchFamily="34" charset="0"/>
              <a:ea typeface="Calibri" panose="020F0502020204030204" pitchFamily="34" charset="0"/>
              <a:cs typeface="Calibri" panose="020F0502020204030204" pitchFamily="34" charset="0"/>
            </a:rPr>
            <a:t>    Recent Updates</a:t>
          </a:r>
          <a:endParaRPr lang="en-IN">
            <a:solidFill>
              <a:srgbClr val="FF0000"/>
            </a:solidFill>
            <a:effectLst/>
          </a:endParaRPr>
        </a:p>
        <a:p>
          <a:pPr marL="171450" indent="-171450" rtl="0" eaLnBrk="1" fontAlgn="auto" latinLnBrk="0" hangingPunct="1">
            <a:buFont typeface="Arial" panose="020B0604020202020204" pitchFamily="34" charset="0"/>
            <a:buChar char="•"/>
          </a:pPr>
          <a:r>
            <a:rPr lang="en-IN" sz="1400"/>
            <a:t>Net profit (PAT) for the latest quarter remained under pressure, declining marginally YoY to around ₹1,250–1,300 crore due to softer urban demand, increased competitive intensity in the decorative paints segment, and subdued volume growth across certain categories.</a:t>
          </a:r>
        </a:p>
        <a:p>
          <a:pPr marL="171450" indent="-171450" rtl="0" eaLnBrk="1" fontAlgn="auto" latinLnBrk="0" hangingPunct="1">
            <a:buFont typeface="Arial" panose="020B0604020202020204" pitchFamily="34" charset="0"/>
            <a:buChar char="•"/>
          </a:pPr>
          <a:r>
            <a:rPr lang="en-IN" sz="1400"/>
            <a:t>Margin performance remained relatively resilient despite demand pressures. Gross margins benefited from lower raw material costs, particularly crude-linked inputs, while EBITDA margin stayed around 18–20%, supported by cost controls, premium product mix, and operational efficiencies.</a:t>
          </a:r>
        </a:p>
        <a:p>
          <a:pPr marL="171450" indent="-171450" rtl="0" eaLnBrk="1" fontAlgn="auto" latinLnBrk="0" hangingPunct="1">
            <a:buFont typeface="Arial" panose="020B0604020202020204" pitchFamily="34" charset="0"/>
            <a:buChar char="•"/>
          </a:pPr>
          <a:r>
            <a:rPr lang="en-IN" sz="1400"/>
            <a:t>Earnings Per Share (EPS) for the quarter witnessed slight moderation compared to the previous year because of weaker revenue growth and competitive pricing pressure. However, full-year earnings remained supported by healthy cash generation and stable operating profitability.</a:t>
          </a:r>
        </a:p>
        <a:p>
          <a:pPr marL="171450" indent="-171450" rtl="0" eaLnBrk="1" fontAlgn="auto" latinLnBrk="0" hangingPunct="1">
            <a:buFont typeface="Arial" panose="020B0604020202020204" pitchFamily="34" charset="0"/>
            <a:buChar char="•"/>
          </a:pPr>
          <a:r>
            <a:rPr lang="en-IN" sz="1400"/>
            <a:t>Decorative paints business continued to be the primary revenue driver, while segments such as waterproofing, home décor, adhesives, and industrial coatings contributed to portfolio diversification and long-term growth opportunities</a:t>
          </a:r>
          <a:r>
            <a:rPr lang="en-IN" sz="1400">
              <a:latin typeface="Calibri" panose="020F0502020204030204" pitchFamily="34" charset="0"/>
              <a:ea typeface="Calibri" panose="020F0502020204030204" pitchFamily="34" charset="0"/>
              <a:cs typeface="Calibri" panose="020F0502020204030204" pitchFamily="34" charset="0"/>
            </a:rPr>
            <a:t>.</a:t>
          </a:r>
        </a:p>
        <a:p>
          <a:pPr marL="171450" indent="-171450">
            <a:buFont typeface="Arial" panose="020B0604020202020204" pitchFamily="34" charset="0"/>
            <a:buChar char="•"/>
          </a:pPr>
          <a:r>
            <a:rPr lang="en-IN" sz="1400"/>
            <a:t>Depreciation and operating expenses increased moderately YoY due to investments in manufacturing facilities, logistics infrastructure, digital initiatives, and expansion across home improvement and décor categories.</a:t>
          </a:r>
        </a:p>
      </xdr:txBody>
    </xdr:sp>
    <xdr:clientData/>
  </xdr:oneCellAnchor>
  <xdr:oneCellAnchor>
    <xdr:from>
      <xdr:col>1</xdr:col>
      <xdr:colOff>144780</xdr:colOff>
      <xdr:row>59</xdr:row>
      <xdr:rowOff>114300</xdr:rowOff>
    </xdr:from>
    <xdr:ext cx="7848600" cy="483722"/>
    <xdr:sp macro="" textlink="">
      <xdr:nvSpPr>
        <xdr:cNvPr id="27" name="TextBox 26">
          <a:extLst>
            <a:ext uri="{FF2B5EF4-FFF2-40B4-BE49-F238E27FC236}">
              <a16:creationId xmlns:a16="http://schemas.microsoft.com/office/drawing/2014/main" id="{D8B8AEE3-4AF5-4899-BE9B-094E92CE3E30}"/>
            </a:ext>
          </a:extLst>
        </xdr:cNvPr>
        <xdr:cNvSpPr txBox="1"/>
      </xdr:nvSpPr>
      <xdr:spPr>
        <a:xfrm>
          <a:off x="281940" y="11414760"/>
          <a:ext cx="7848600" cy="4837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500" b="1">
              <a:solidFill>
                <a:srgbClr val="FF0000"/>
              </a:solidFill>
              <a:latin typeface="Calibri" panose="020F0502020204030204" pitchFamily="34" charset="0"/>
              <a:ea typeface="Calibri" panose="020F0502020204030204" pitchFamily="34" charset="0"/>
              <a:cs typeface="Calibri" panose="020F0502020204030204" pitchFamily="34" charset="0"/>
            </a:rPr>
            <a:t>Dupont</a:t>
          </a:r>
          <a:r>
            <a:rPr lang="en-IN" sz="2500" b="1" baseline="0">
              <a:solidFill>
                <a:srgbClr val="FF0000"/>
              </a:solidFill>
              <a:latin typeface="Calibri" panose="020F0502020204030204" pitchFamily="34" charset="0"/>
              <a:ea typeface="Calibri" panose="020F0502020204030204" pitchFamily="34" charset="0"/>
              <a:cs typeface="Calibri" panose="020F0502020204030204" pitchFamily="34" charset="0"/>
            </a:rPr>
            <a:t> Analysis - Return on Equity and Return on Assets </a:t>
          </a:r>
          <a:endParaRPr lang="en-IN" sz="2500" b="1">
            <a:solidFill>
              <a:srgbClr val="FF0000"/>
            </a:solidFill>
            <a:latin typeface="Calibri" panose="020F0502020204030204" pitchFamily="34" charset="0"/>
            <a:ea typeface="Calibri" panose="020F0502020204030204" pitchFamily="34" charset="0"/>
            <a:cs typeface="Calibri" panose="020F0502020204030204" pitchFamily="34" charset="0"/>
          </a:endParaRPr>
        </a:p>
      </xdr:txBody>
    </xdr:sp>
    <xdr:clientData/>
  </xdr:oneCellAnchor>
  <xdr:oneCellAnchor>
    <xdr:from>
      <xdr:col>0</xdr:col>
      <xdr:colOff>129540</xdr:colOff>
      <xdr:row>104</xdr:row>
      <xdr:rowOff>144780</xdr:rowOff>
    </xdr:from>
    <xdr:ext cx="7985760" cy="2484120"/>
    <xdr:sp macro="" textlink="">
      <xdr:nvSpPr>
        <xdr:cNvPr id="28" name="TextBox 27">
          <a:extLst>
            <a:ext uri="{FF2B5EF4-FFF2-40B4-BE49-F238E27FC236}">
              <a16:creationId xmlns:a16="http://schemas.microsoft.com/office/drawing/2014/main" id="{933DD14E-E53F-467A-AE3B-4B3BF37E0995}"/>
            </a:ext>
          </a:extLst>
        </xdr:cNvPr>
        <xdr:cNvSpPr txBox="1"/>
      </xdr:nvSpPr>
      <xdr:spPr>
        <a:xfrm>
          <a:off x="129540" y="20353020"/>
          <a:ext cx="7985760" cy="24841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b="1">
              <a:solidFill>
                <a:srgbClr val="4DA42E"/>
              </a:solidFill>
              <a:latin typeface="Calibri" panose="020F0502020204030204" pitchFamily="34" charset="0"/>
              <a:ea typeface="Calibri" panose="020F0502020204030204" pitchFamily="34" charset="0"/>
              <a:cs typeface="Calibri" panose="020F0502020204030204" pitchFamily="34" charset="0"/>
            </a:rPr>
            <a:t>    </a:t>
          </a:r>
          <a:r>
            <a:rPr lang="en-IN" sz="1600" b="1">
              <a:solidFill>
                <a:srgbClr val="FF0000"/>
              </a:solidFill>
              <a:latin typeface="Calibri" panose="020F0502020204030204" pitchFamily="34" charset="0"/>
              <a:ea typeface="Calibri" panose="020F0502020204030204" pitchFamily="34" charset="0"/>
              <a:cs typeface="Calibri" panose="020F0502020204030204" pitchFamily="34" charset="0"/>
            </a:rPr>
            <a:t>Dupont</a:t>
          </a:r>
          <a:r>
            <a:rPr lang="en-IN" sz="1600" b="1" baseline="0">
              <a:solidFill>
                <a:srgbClr val="FF0000"/>
              </a:solidFill>
              <a:latin typeface="Calibri" panose="020F0502020204030204" pitchFamily="34" charset="0"/>
              <a:ea typeface="Calibri" panose="020F0502020204030204" pitchFamily="34" charset="0"/>
              <a:cs typeface="Calibri" panose="020F0502020204030204" pitchFamily="34" charset="0"/>
            </a:rPr>
            <a:t> Summary </a:t>
          </a:r>
        </a:p>
        <a:p>
          <a:pPr marL="285750" indent="-285750">
            <a:buFont typeface="Arial" panose="020B0604020202020204" pitchFamily="34" charset="0"/>
            <a:buChar char="•"/>
          </a:pPr>
          <a:r>
            <a:rPr lang="en-IN" sz="1400">
              <a:latin typeface="Calibri" panose="020F0502020204030204" pitchFamily="34" charset="0"/>
              <a:ea typeface="Calibri" panose="020F0502020204030204" pitchFamily="34" charset="0"/>
              <a:cs typeface="Calibri" panose="020F0502020204030204" pitchFamily="34" charset="0"/>
            </a:rPr>
            <a:t>Asian Paints Limited has consistently maintained strong Return on Equity (ROE), though it declined to 19.24% in FY25 from a peak of 31.45% in FY24 due to lower profitability and slower revenue growth.</a:t>
          </a:r>
        </a:p>
        <a:p>
          <a:pPr marL="285750" indent="-285750">
            <a:buFont typeface="Arial" panose="020B0604020202020204" pitchFamily="34" charset="0"/>
            <a:buChar char="•"/>
          </a:pPr>
          <a:r>
            <a:rPr lang="en-IN" sz="1400">
              <a:latin typeface="Calibri" panose="020F0502020204030204" pitchFamily="34" charset="0"/>
              <a:ea typeface="Calibri" panose="020F0502020204030204" pitchFamily="34" charset="0"/>
              <a:cs typeface="Calibri" panose="020F0502020204030204" pitchFamily="34" charset="0"/>
            </a:rPr>
            <a:t>Net Profit Margin weakened to 10.82% in FY25 from 15.38% in FY24, indicating pressure on earnings from softer demand, pricing competition, and higher operating costs despite lower raw material prices.</a:t>
          </a:r>
        </a:p>
        <a:p>
          <a:pPr marL="285750" indent="-285750">
            <a:buFont typeface="Arial" panose="020B0604020202020204" pitchFamily="34" charset="0"/>
            <a:buChar char="•"/>
          </a:pPr>
          <a:r>
            <a:rPr lang="en-IN" sz="1400">
              <a:latin typeface="Calibri" panose="020F0502020204030204" pitchFamily="34" charset="0"/>
              <a:ea typeface="Calibri" panose="020F0502020204030204" pitchFamily="34" charset="0"/>
              <a:cs typeface="Calibri" panose="020F0502020204030204" pitchFamily="34" charset="0"/>
            </a:rPr>
            <a:t>Asset Turnover Ratio declined to 1.13x in FY25 from 1.27x in FY24, reflecting relatively slower revenue generation compared to the increase in total assets due to ongoing investments in capacity, infrastructure, and home décor expansion.</a:t>
          </a:r>
        </a:p>
        <a:p>
          <a:pPr marL="285750" indent="-285750">
            <a:buFont typeface="Arial" panose="020B0604020202020204" pitchFamily="34" charset="0"/>
            <a:buChar char="•"/>
          </a:pPr>
          <a:r>
            <a:rPr lang="en-IN" sz="1400">
              <a:latin typeface="Calibri" panose="020F0502020204030204" pitchFamily="34" charset="0"/>
              <a:ea typeface="Calibri" panose="020F0502020204030204" pitchFamily="34" charset="0"/>
              <a:cs typeface="Calibri" panose="020F0502020204030204" pitchFamily="34" charset="0"/>
            </a:rPr>
            <a:t>Financial leverage remained stable and moderate at around 1.58x–1.65x over the years, showing that Asian Paints’ ROE is primarily driven by operational efficiency and profitability rather than aggressive debt usage. </a:t>
          </a:r>
          <a:endParaRPr lang="en-IN" sz="1400" b="1" baseline="0">
            <a:solidFill>
              <a:schemeClr val="tx1"/>
            </a:solidFill>
            <a:latin typeface="Calibri" panose="020F0502020204030204" pitchFamily="34" charset="0"/>
            <a:ea typeface="Calibri" panose="020F0502020204030204" pitchFamily="34" charset="0"/>
            <a:cs typeface="Calibri" panose="020F0502020204030204" pitchFamily="34" charset="0"/>
          </a:endParaRPr>
        </a:p>
        <a:p>
          <a:endParaRPr lang="en-IN" sz="12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9</xdr:col>
      <xdr:colOff>22860</xdr:colOff>
      <xdr:row>29</xdr:row>
      <xdr:rowOff>137160</xdr:rowOff>
    </xdr:from>
    <xdr:to>
      <xdr:col>14</xdr:col>
      <xdr:colOff>30480</xdr:colOff>
      <xdr:row>46</xdr:row>
      <xdr:rowOff>167640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904BBF88-ADAC-4EE4-B6F4-32D9527D749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334000" y="5501640"/>
              <a:ext cx="5631180" cy="31394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8</xdr:col>
      <xdr:colOff>30480</xdr:colOff>
      <xdr:row>1</xdr:row>
      <xdr:rowOff>91440</xdr:rowOff>
    </xdr:from>
    <xdr:to>
      <xdr:col>12</xdr:col>
      <xdr:colOff>83820</xdr:colOff>
      <xdr:row>9</xdr:row>
      <xdr:rowOff>129540</xdr:rowOff>
    </xdr:to>
    <xdr:graphicFrame macro="">
      <xdr:nvGraphicFramePr>
        <xdr:cNvPr id="2" name="Chart 1">
          <a:extLst>
            <a:ext uri="{FF2B5EF4-FFF2-40B4-BE49-F238E27FC236}">
              <a16:creationId xmlns:a16="http://schemas.microsoft.com/office/drawing/2014/main" id="{EE47CAEF-60B6-4F79-8E9C-CEC92B921A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45720</xdr:colOff>
      <xdr:row>20</xdr:row>
      <xdr:rowOff>53340</xdr:rowOff>
    </xdr:from>
    <xdr:to>
      <xdr:col>12</xdr:col>
      <xdr:colOff>160020</xdr:colOff>
      <xdr:row>28</xdr:row>
      <xdr:rowOff>167640</xdr:rowOff>
    </xdr:to>
    <xdr:graphicFrame macro="">
      <xdr:nvGraphicFramePr>
        <xdr:cNvPr id="3" name="Chart 2">
          <a:extLst>
            <a:ext uri="{FF2B5EF4-FFF2-40B4-BE49-F238E27FC236}">
              <a16:creationId xmlns:a16="http://schemas.microsoft.com/office/drawing/2014/main" id="{A1A6B2D8-0D41-4722-8F0A-4DC4E6CBC2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30480</xdr:colOff>
      <xdr:row>41</xdr:row>
      <xdr:rowOff>68580</xdr:rowOff>
    </xdr:from>
    <xdr:to>
      <xdr:col>12</xdr:col>
      <xdr:colOff>144780</xdr:colOff>
      <xdr:row>47</xdr:row>
      <xdr:rowOff>167640</xdr:rowOff>
    </xdr:to>
    <xdr:graphicFrame macro="">
      <xdr:nvGraphicFramePr>
        <xdr:cNvPr id="4" name="Chart 3">
          <a:extLst>
            <a:ext uri="{FF2B5EF4-FFF2-40B4-BE49-F238E27FC236}">
              <a16:creationId xmlns:a16="http://schemas.microsoft.com/office/drawing/2014/main" id="{A237792F-295C-42A8-AF03-E689332D2E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ocuments/Trent%20Ltd.xlsx" TargetMode="External"/><Relationship Id="rId2" Type="http://schemas.openxmlformats.org/officeDocument/2006/relationships/externalLinkPath" Target="https://d.docs.live.net/2ad2d8d6231cb0a9/Documents/Trent%20Ltd.xlsx" TargetMode="External"/><Relationship Id="rId1" Type="http://schemas.openxmlformats.org/officeDocument/2006/relationships/externalLinkPath" Target="/2ad2d8d6231cb0a9/Documents/Trent%20Ltd.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d.docs.live.net/2ad2d8d6231cb0a9/OFFICE/EXCEL%20FILES/Master%20FMA%20File.xlsx" TargetMode="External"/><Relationship Id="rId1" Type="http://schemas.openxmlformats.org/officeDocument/2006/relationships/externalLinkPath" Target="Master%20FMA%20Fi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ata Sheet Trent Ltd"/>
      <sheetName val="Data Sheet CF Trent Ltd"/>
      <sheetName val="Historical IFS Trent Ltd"/>
      <sheetName val="CommonSize Statement Trent Ltd "/>
      <sheetName val="Ratio Analysis Trent Ltd"/>
      <sheetName val="Dupont Analysis"/>
      <sheetName val="VAR Trent Ltd"/>
      <sheetName val="WACC Calculation Trent Ltd  "/>
      <sheetName val="DCF Trent Ltd"/>
      <sheetName val="Forecasting Trent Ltd"/>
    </sheetNames>
    <sheetDataSet>
      <sheetData sheetId="0">
        <row r="1">
          <cell r="B1" t="str">
            <v>TRENT LTD</v>
          </cell>
        </row>
      </sheetData>
      <sheetData sheetId="1"/>
      <sheetData sheetId="2"/>
      <sheetData sheetId="3"/>
      <sheetData sheetId="4"/>
      <sheetData sheetId="5"/>
      <sheetData sheetId="6"/>
      <sheetData sheetId="7"/>
      <sheetData sheetId="8"/>
      <sheetData sheetId="9">
        <row r="2">
          <cell r="B2" t="str">
            <v>Forecasting - Sales (TRENT LTD).</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ACC Calculation "/>
      <sheetName val="Data WACC"/>
      <sheetName val="Raw FS "/>
      <sheetName val="Intrinsic Growth "/>
      <sheetName val="Beta Regression"/>
      <sheetName val="Rm Calculation "/>
      <sheetName val="India Sector Data "/>
      <sheetName val="Raw Data Comaparable Analysis"/>
      <sheetName val="Cipla Comparable Analysis"/>
      <sheetName val="DCF"/>
      <sheetName val="Dupont Analysis"/>
      <sheetName val="Data Sheet Avenue Supermarts"/>
      <sheetName val="List of Stocks"/>
      <sheetName val="Historical VAR "/>
      <sheetName val="Monte Carlo Simulation "/>
      <sheetName val="Data Sheet TATA FMA"/>
      <sheetName val="Historical IFS TATA"/>
      <sheetName val="CashFlow TATA"/>
      <sheetName val="Common Size Statement TATA"/>
      <sheetName val="Ratio Analysis TATA"/>
      <sheetName val="Tata Forecasting "/>
      <sheetName val="Adani Enterprice "/>
    </sheetNames>
    <sheetDataSet>
      <sheetData sheetId="0"/>
      <sheetData sheetId="1"/>
      <sheetData sheetId="2"/>
      <sheetData sheetId="3"/>
      <sheetData sheetId="4"/>
      <sheetData sheetId="5">
        <row r="7">
          <cell r="G7">
            <v>0.16801739130434784</v>
          </cell>
        </row>
      </sheetData>
      <sheetData sheetId="6">
        <row r="22">
          <cell r="M22">
            <v>0.20753919314975397</v>
          </cell>
        </row>
      </sheetData>
      <sheetData sheetId="7"/>
      <sheetData sheetId="8"/>
      <sheetData sheetId="9"/>
      <sheetData sheetId="10"/>
      <sheetData sheetId="11"/>
      <sheetData sheetId="12">
        <row r="2">
          <cell r="A2" t="str">
            <v>COMPANY_NAME</v>
          </cell>
        </row>
      </sheetData>
      <sheetData sheetId="13"/>
      <sheetData sheetId="14"/>
      <sheetData sheetId="15"/>
      <sheetData sheetId="16"/>
      <sheetData sheetId="17"/>
      <sheetData sheetId="18"/>
      <sheetData sheetId="19"/>
      <sheetData sheetId="20"/>
      <sheetData sheetId="2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screener.in/exce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BBC66-1698-4E05-9422-7A1434054DB1}">
  <sheetPr>
    <tabColor rgb="FFE84726"/>
  </sheetPr>
  <dimension ref="A2:N109"/>
  <sheetViews>
    <sheetView showGridLines="0" tabSelected="1" workbookViewId="0">
      <pane xSplit="1" ySplit="3" topLeftCell="B4" activePane="bottomRight" state="frozen"/>
      <selection activeCell="F14" sqref="F14"/>
      <selection pane="topRight" activeCell="F14" sqref="F14"/>
      <selection pane="bottomLeft" activeCell="F14" sqref="F14"/>
      <selection pane="bottomRight" activeCell="B71" sqref="B71"/>
    </sheetView>
  </sheetViews>
  <sheetFormatPr defaultRowHeight="14.4" x14ac:dyDescent="0.3"/>
  <cols>
    <col min="1" max="1" width="2.77734375" customWidth="1"/>
    <col min="2" max="2" width="24.6640625" bestFit="1" customWidth="1"/>
    <col min="3" max="14" width="11.88671875" bestFit="1" customWidth="1"/>
  </cols>
  <sheetData>
    <row r="2" spans="1:14" x14ac:dyDescent="0.3">
      <c r="B2" s="236" t="str">
        <f>"Historical Financial Statements - "&amp;'Raw Data Asian Paints'!$B$1&amp;"."</f>
        <v>Historical Financial Statements -  ASIAN PAINTS LTD .</v>
      </c>
      <c r="C2" s="236"/>
      <c r="D2" s="236"/>
      <c r="E2" s="236"/>
      <c r="F2" s="236"/>
      <c r="G2" s="236"/>
      <c r="H2" s="236"/>
      <c r="I2" s="236"/>
      <c r="J2" s="236"/>
      <c r="K2" s="236"/>
      <c r="L2" s="236"/>
      <c r="M2" s="236"/>
    </row>
    <row r="3" spans="1:14" x14ac:dyDescent="0.3">
      <c r="B3" s="245" t="s">
        <v>47</v>
      </c>
      <c r="C3" s="246">
        <f>'Raw Data Asian Paints'!B16</f>
        <v>42460</v>
      </c>
      <c r="D3" s="246">
        <f>C3+365</f>
        <v>42825</v>
      </c>
      <c r="E3" s="246">
        <f t="shared" ref="E3:L3" si="0">D3+365</f>
        <v>43190</v>
      </c>
      <c r="F3" s="246">
        <f t="shared" si="0"/>
        <v>43555</v>
      </c>
      <c r="G3" s="246">
        <f t="shared" si="0"/>
        <v>43920</v>
      </c>
      <c r="H3" s="246">
        <f t="shared" si="0"/>
        <v>44285</v>
      </c>
      <c r="I3" s="246">
        <f t="shared" si="0"/>
        <v>44650</v>
      </c>
      <c r="J3" s="246">
        <f t="shared" si="0"/>
        <v>45015</v>
      </c>
      <c r="K3" s="246">
        <f t="shared" si="0"/>
        <v>45380</v>
      </c>
      <c r="L3" s="246">
        <f t="shared" si="0"/>
        <v>45745</v>
      </c>
      <c r="M3" s="247" t="s">
        <v>48</v>
      </c>
    </row>
    <row r="4" spans="1:14" x14ac:dyDescent="0.3">
      <c r="B4" s="22"/>
      <c r="C4" s="23"/>
      <c r="D4" s="23"/>
      <c r="E4" s="23"/>
      <c r="F4" s="23"/>
      <c r="G4" s="23"/>
      <c r="H4" s="23"/>
      <c r="I4" s="23"/>
      <c r="J4" s="23"/>
      <c r="K4" s="23"/>
      <c r="L4" s="23"/>
      <c r="M4" s="24"/>
    </row>
    <row r="5" spans="1:14" x14ac:dyDescent="0.3">
      <c r="A5" t="s">
        <v>27</v>
      </c>
      <c r="B5" s="249" t="s">
        <v>49</v>
      </c>
      <c r="C5" s="248"/>
      <c r="D5" s="248"/>
      <c r="E5" s="248"/>
      <c r="F5" s="248"/>
      <c r="G5" s="248"/>
      <c r="H5" s="248"/>
      <c r="I5" s="248"/>
      <c r="J5" s="248"/>
      <c r="K5" s="248"/>
      <c r="L5" s="248"/>
      <c r="M5" s="248"/>
    </row>
    <row r="6" spans="1:14" x14ac:dyDescent="0.3">
      <c r="B6" t="s">
        <v>32</v>
      </c>
      <c r="C6" s="25">
        <f>IFERROR('Raw Data Asian Paints'!B17,0)</f>
        <v>14271.49</v>
      </c>
      <c r="D6" s="25">
        <f>IFERROR('Raw Data Asian Paints'!C17,0)</f>
        <v>15061.99</v>
      </c>
      <c r="E6" s="25">
        <f>IFERROR('Raw Data Asian Paints'!D17,0)</f>
        <v>16824.55</v>
      </c>
      <c r="F6" s="25">
        <f>IFERROR('Raw Data Asian Paints'!E17,0)</f>
        <v>19240.13</v>
      </c>
      <c r="G6" s="25">
        <f>IFERROR('Raw Data Asian Paints'!F17,0)</f>
        <v>20211.25</v>
      </c>
      <c r="H6" s="25">
        <f>IFERROR('Raw Data Asian Paints'!G17,0)</f>
        <v>21712.79</v>
      </c>
      <c r="I6" s="25">
        <f>IFERROR('Raw Data Asian Paints'!H17,0)</f>
        <v>29101.279999999999</v>
      </c>
      <c r="J6" s="25">
        <f>IFERROR('Raw Data Asian Paints'!I17,0)</f>
        <v>34488.589999999997</v>
      </c>
      <c r="K6" s="25">
        <f>IFERROR('Raw Data Asian Paints'!J17,0)</f>
        <v>35494.730000000003</v>
      </c>
      <c r="L6" s="25">
        <f>IFERROR('Raw Data Asian Paints'!K17,0)</f>
        <v>33905.620000000003</v>
      </c>
      <c r="M6" s="25">
        <f>IFERROR(SUM('Raw Data Asian Paints'!H42:K42),0)</f>
        <v>34695.75</v>
      </c>
      <c r="N6" s="25"/>
    </row>
    <row r="7" spans="1:14" x14ac:dyDescent="0.3">
      <c r="B7" s="26" t="s">
        <v>50</v>
      </c>
      <c r="C7" s="26"/>
      <c r="D7" s="27">
        <f>(D6/C6)-1</f>
        <v>5.5390151974320734E-2</v>
      </c>
      <c r="E7" s="27">
        <f t="shared" ref="E7:M7" si="1">(E6/D6)-1</f>
        <v>0.11702039371955486</v>
      </c>
      <c r="F7" s="27">
        <f t="shared" si="1"/>
        <v>0.14357471670861943</v>
      </c>
      <c r="G7" s="27">
        <f t="shared" si="1"/>
        <v>5.0473671435691925E-2</v>
      </c>
      <c r="H7" s="27">
        <f t="shared" si="1"/>
        <v>7.4292287711052118E-2</v>
      </c>
      <c r="I7" s="27">
        <f t="shared" si="1"/>
        <v>0.34028284711453471</v>
      </c>
      <c r="J7" s="27">
        <f t="shared" si="1"/>
        <v>0.18512278497715551</v>
      </c>
      <c r="K7" s="27">
        <f t="shared" si="1"/>
        <v>2.9173126532572313E-2</v>
      </c>
      <c r="L7" s="27">
        <f t="shared" si="1"/>
        <v>-4.4770308155605121E-2</v>
      </c>
      <c r="M7" s="27">
        <f t="shared" si="1"/>
        <v>2.3303806271644634E-2</v>
      </c>
    </row>
    <row r="9" spans="1:14" x14ac:dyDescent="0.3">
      <c r="B9" t="s">
        <v>51</v>
      </c>
      <c r="C9" s="25">
        <f>IFERROR(SUM('Raw Data Asian Paints'!B18,'Raw Data Asian Paints'!B20:B22)-1*'Raw Data Asian Paints'!B19,0)</f>
        <v>9413.8399999999983</v>
      </c>
      <c r="D9" s="25">
        <f>IFERROR(SUM('Raw Data Asian Paints'!C18,'Raw Data Asian Paints'!C20:C22)-1*'Raw Data Asian Paints'!C19,0)</f>
        <v>9732.66</v>
      </c>
      <c r="E9" s="25">
        <f>IFERROR(SUM('Raw Data Asian Paints'!D18,'Raw Data Asian Paints'!D20:D22)-1*'Raw Data Asian Paints'!D19,0)</f>
        <v>11194.169999999998</v>
      </c>
      <c r="F9" s="25">
        <f>IFERROR(SUM('Raw Data Asian Paints'!E18,'Raw Data Asian Paints'!E20:E22)-1*'Raw Data Asian Paints'!E19,0)</f>
        <v>12905.81</v>
      </c>
      <c r="G9" s="25">
        <f>IFERROR(SUM('Raw Data Asian Paints'!F18,'Raw Data Asian Paints'!F20:F22)-1*'Raw Data Asian Paints'!F19,0)</f>
        <v>13158.020000000002</v>
      </c>
      <c r="H9" s="25">
        <f>IFERROR(SUM('Raw Data Asian Paints'!G18,'Raw Data Asian Paints'!G20:G22)-1*'Raw Data Asian Paints'!G19,0)</f>
        <v>14035.069999999998</v>
      </c>
      <c r="I9" s="25">
        <f>IFERROR(SUM('Raw Data Asian Paints'!H18,'Raw Data Asian Paints'!H20:H22)-1*'Raw Data Asian Paints'!H19,0)</f>
        <v>20590.57</v>
      </c>
      <c r="J9" s="25">
        <f>IFERROR(SUM('Raw Data Asian Paints'!I18,'Raw Data Asian Paints'!I20:I22)-1*'Raw Data Asian Paints'!I19,0)</f>
        <v>23766.7</v>
      </c>
      <c r="K9" s="25">
        <f>IFERROR(SUM('Raw Data Asian Paints'!J18,'Raw Data Asian Paints'!J20:J22)-1*'Raw Data Asian Paints'!J19,0)</f>
        <v>23009.99</v>
      </c>
      <c r="L9" s="25">
        <f>IFERROR(SUM('Raw Data Asian Paints'!K18,'Raw Data Asian Paints'!K20:K22)-1*'Raw Data Asian Paints'!K19,0)</f>
        <v>22741.27</v>
      </c>
      <c r="M9" s="25">
        <f>IFERROR(SUM('Raw Data Asian Paints'!H43:K43),0)</f>
        <v>28350.240000000002</v>
      </c>
      <c r="N9" s="25"/>
    </row>
    <row r="10" spans="1:14" x14ac:dyDescent="0.3">
      <c r="B10" s="28" t="s">
        <v>52</v>
      </c>
      <c r="C10" s="29">
        <f>C9/C6</f>
        <v>0.65962558919916547</v>
      </c>
      <c r="D10" s="29">
        <f t="shared" ref="D10:M10" si="2">D9/D6</f>
        <v>0.64617357998511482</v>
      </c>
      <c r="E10" s="29">
        <f t="shared" si="2"/>
        <v>0.66534736441687881</v>
      </c>
      <c r="F10" s="29">
        <f t="shared" si="2"/>
        <v>0.67077561326248825</v>
      </c>
      <c r="G10" s="29">
        <f t="shared" si="2"/>
        <v>0.65102455315727636</v>
      </c>
      <c r="H10" s="29">
        <f t="shared" si="2"/>
        <v>0.64639643270164715</v>
      </c>
      <c r="I10" s="29">
        <f t="shared" si="2"/>
        <v>0.70754860267314701</v>
      </c>
      <c r="J10" s="29">
        <f t="shared" si="2"/>
        <v>0.68911776329504926</v>
      </c>
      <c r="K10" s="29">
        <f t="shared" si="2"/>
        <v>0.64826496778535858</v>
      </c>
      <c r="L10" s="29">
        <f t="shared" si="2"/>
        <v>0.67072272974214886</v>
      </c>
      <c r="M10" s="29">
        <f t="shared" si="2"/>
        <v>0.81710987656989698</v>
      </c>
    </row>
    <row r="12" spans="1:14" x14ac:dyDescent="0.3">
      <c r="B12" s="30" t="s">
        <v>53</v>
      </c>
      <c r="C12" s="31">
        <f>C6-C9</f>
        <v>4857.6500000000015</v>
      </c>
      <c r="D12" s="31">
        <f t="shared" ref="D12:M12" si="3">D6-D9</f>
        <v>5329.33</v>
      </c>
      <c r="E12" s="31">
        <f t="shared" si="3"/>
        <v>5630.380000000001</v>
      </c>
      <c r="F12" s="31">
        <f t="shared" si="3"/>
        <v>6334.3200000000015</v>
      </c>
      <c r="G12" s="31">
        <f t="shared" si="3"/>
        <v>7053.2299999999977</v>
      </c>
      <c r="H12" s="31">
        <f t="shared" si="3"/>
        <v>7677.720000000003</v>
      </c>
      <c r="I12" s="31">
        <f t="shared" si="3"/>
        <v>8510.7099999999991</v>
      </c>
      <c r="J12" s="31">
        <f t="shared" si="3"/>
        <v>10721.889999999996</v>
      </c>
      <c r="K12" s="31">
        <f t="shared" si="3"/>
        <v>12484.740000000002</v>
      </c>
      <c r="L12" s="31">
        <f t="shared" si="3"/>
        <v>11164.350000000002</v>
      </c>
      <c r="M12" s="31">
        <f t="shared" si="3"/>
        <v>6345.5099999999984</v>
      </c>
      <c r="N12" s="25"/>
    </row>
    <row r="13" spans="1:14" x14ac:dyDescent="0.3">
      <c r="B13" s="28" t="s">
        <v>132</v>
      </c>
      <c r="C13" s="29">
        <f>C12/C6</f>
        <v>0.34037441080083447</v>
      </c>
      <c r="D13" s="29">
        <f t="shared" ref="D13:M13" si="4">D12/D6</f>
        <v>0.35382642001488518</v>
      </c>
      <c r="E13" s="29">
        <f t="shared" si="4"/>
        <v>0.33465263558312119</v>
      </c>
      <c r="F13" s="29">
        <f t="shared" si="4"/>
        <v>0.3292243867375117</v>
      </c>
      <c r="G13" s="29">
        <f t="shared" si="4"/>
        <v>0.34897544684272364</v>
      </c>
      <c r="H13" s="29">
        <f t="shared" si="4"/>
        <v>0.35360356729835285</v>
      </c>
      <c r="I13" s="29">
        <f t="shared" si="4"/>
        <v>0.29245139732685294</v>
      </c>
      <c r="J13" s="29">
        <f t="shared" si="4"/>
        <v>0.31088223670495074</v>
      </c>
      <c r="K13" s="29">
        <f t="shared" si="4"/>
        <v>0.35173503221464147</v>
      </c>
      <c r="L13" s="29">
        <f t="shared" si="4"/>
        <v>0.32927727025785108</v>
      </c>
      <c r="M13" s="29">
        <f t="shared" si="4"/>
        <v>0.18289012343010305</v>
      </c>
    </row>
    <row r="15" spans="1:14" x14ac:dyDescent="0.3">
      <c r="B15" t="s">
        <v>54</v>
      </c>
      <c r="C15" s="32">
        <f>IFERROR(SUM('Raw Data Asian Paints'!B23:B24),0)</f>
        <v>2132.61</v>
      </c>
      <c r="D15" s="32">
        <f>IFERROR(SUM('Raw Data Asian Paints'!C23:C24),0)</f>
        <v>2335.5699999999997</v>
      </c>
      <c r="E15" s="32">
        <f>IFERROR(SUM('Raw Data Asian Paints'!D23:D24),0)</f>
        <v>2426.37</v>
      </c>
      <c r="F15" s="32">
        <f>IFERROR(SUM('Raw Data Asian Paints'!E23:E24),0)</f>
        <v>2569.38</v>
      </c>
      <c r="G15" s="32">
        <f>IFERROR(SUM('Raw Data Asian Paints'!F23:F24),0)</f>
        <v>2891.46</v>
      </c>
      <c r="H15" s="32">
        <f>IFERROR(SUM('Raw Data Asian Paints'!G23:G24),0)</f>
        <v>2822.12</v>
      </c>
      <c r="I15" s="32">
        <f>IFERROR(SUM('Raw Data Asian Paints'!H23:H24),0)</f>
        <v>3707.1</v>
      </c>
      <c r="J15" s="32">
        <f>IFERROR(SUM('Raw Data Asian Paints'!I23:I24),0)</f>
        <v>4462.05</v>
      </c>
      <c r="K15" s="32">
        <f>IFERROR(SUM('Raw Data Asian Paints'!J23:J24),0)</f>
        <v>4899.76</v>
      </c>
      <c r="L15" s="32">
        <f>IFERROR(SUM('Raw Data Asian Paints'!K23:K24),0)</f>
        <v>5158.1400000000003</v>
      </c>
      <c r="N15" s="25"/>
    </row>
    <row r="16" spans="1:14" x14ac:dyDescent="0.3">
      <c r="B16" s="28" t="s">
        <v>55</v>
      </c>
      <c r="C16" s="29">
        <f>C15/C6</f>
        <v>0.14943148893353111</v>
      </c>
      <c r="D16" s="29">
        <f t="shared" ref="D16:L16" si="5">D15/D6</f>
        <v>0.15506383950593511</v>
      </c>
      <c r="E16" s="29">
        <f t="shared" si="5"/>
        <v>0.14421604143944414</v>
      </c>
      <c r="F16" s="29">
        <f t="shared" si="5"/>
        <v>0.13354275672773522</v>
      </c>
      <c r="G16" s="29">
        <f t="shared" si="5"/>
        <v>0.14306190859051271</v>
      </c>
      <c r="H16" s="29">
        <f t="shared" si="5"/>
        <v>0.12997500551518251</v>
      </c>
      <c r="I16" s="29">
        <f t="shared" si="5"/>
        <v>0.1273861493377611</v>
      </c>
      <c r="J16" s="29">
        <f t="shared" si="5"/>
        <v>0.12937757095897515</v>
      </c>
      <c r="K16" s="29">
        <f t="shared" si="5"/>
        <v>0.1380419008681007</v>
      </c>
      <c r="L16" s="29">
        <f t="shared" si="5"/>
        <v>0.15213230137068723</v>
      </c>
    </row>
    <row r="18" spans="2:14" x14ac:dyDescent="0.3">
      <c r="B18" s="30" t="s">
        <v>56</v>
      </c>
      <c r="C18" s="31">
        <f>C12-C15</f>
        <v>2725.0400000000013</v>
      </c>
      <c r="D18" s="31">
        <f t="shared" ref="D18:L18" si="6">D12-D15</f>
        <v>2993.76</v>
      </c>
      <c r="E18" s="31">
        <f t="shared" si="6"/>
        <v>3204.0100000000011</v>
      </c>
      <c r="F18" s="31">
        <f t="shared" si="6"/>
        <v>3764.9400000000014</v>
      </c>
      <c r="G18" s="31">
        <f t="shared" si="6"/>
        <v>4161.7699999999977</v>
      </c>
      <c r="H18" s="31">
        <f t="shared" si="6"/>
        <v>4855.6000000000031</v>
      </c>
      <c r="I18" s="31">
        <f t="shared" si="6"/>
        <v>4803.6099999999988</v>
      </c>
      <c r="J18" s="31">
        <f t="shared" si="6"/>
        <v>6259.8399999999956</v>
      </c>
      <c r="K18" s="31">
        <f t="shared" si="6"/>
        <v>7584.9800000000014</v>
      </c>
      <c r="L18" s="31">
        <f t="shared" si="6"/>
        <v>6006.2100000000019</v>
      </c>
      <c r="M18" s="31">
        <f>IFERROR(SUM('Raw Data Asian Paints'!H51:K51),0)</f>
        <v>6755.97</v>
      </c>
      <c r="N18" s="25"/>
    </row>
    <row r="19" spans="2:14" x14ac:dyDescent="0.3">
      <c r="B19" s="28" t="s">
        <v>57</v>
      </c>
      <c r="C19" s="29">
        <f>C18/C6</f>
        <v>0.19094292186730338</v>
      </c>
      <c r="D19" s="29">
        <f t="shared" ref="D19:M19" si="7">D18/D6</f>
        <v>0.19876258050895004</v>
      </c>
      <c r="E19" s="29">
        <f t="shared" si="7"/>
        <v>0.19043659414367703</v>
      </c>
      <c r="F19" s="29">
        <f t="shared" si="7"/>
        <v>0.19568163000977651</v>
      </c>
      <c r="G19" s="29">
        <f t="shared" si="7"/>
        <v>0.2059135382522109</v>
      </c>
      <c r="H19" s="29">
        <f t="shared" si="7"/>
        <v>0.22362856178317034</v>
      </c>
      <c r="I19" s="29">
        <f t="shared" si="7"/>
        <v>0.16506524798909186</v>
      </c>
      <c r="J19" s="29">
        <f t="shared" si="7"/>
        <v>0.1815046657459756</v>
      </c>
      <c r="K19" s="29">
        <f t="shared" si="7"/>
        <v>0.21369313134654075</v>
      </c>
      <c r="L19" s="29">
        <f t="shared" si="7"/>
        <v>0.17714496888716388</v>
      </c>
      <c r="M19" s="29">
        <f t="shared" si="7"/>
        <v>0.19472039082596573</v>
      </c>
    </row>
    <row r="21" spans="2:14" x14ac:dyDescent="0.3">
      <c r="B21" t="s">
        <v>58</v>
      </c>
      <c r="C21" s="32">
        <f>IFERROR('Raw Data Asian Paints'!B27,0)</f>
        <v>49</v>
      </c>
      <c r="D21" s="32">
        <f>IFERROR('Raw Data Asian Paints'!C27,0)</f>
        <v>37.33</v>
      </c>
      <c r="E21" s="32">
        <f>IFERROR('Raw Data Asian Paints'!D27,0)</f>
        <v>41.47</v>
      </c>
      <c r="F21" s="32">
        <f>IFERROR('Raw Data Asian Paints'!E27,0)</f>
        <v>110.47</v>
      </c>
      <c r="G21" s="32">
        <f>IFERROR('Raw Data Asian Paints'!F27,0)</f>
        <v>102.33</v>
      </c>
      <c r="H21" s="32">
        <f>IFERROR('Raw Data Asian Paints'!G27,0)</f>
        <v>91.63</v>
      </c>
      <c r="I21" s="32">
        <f>IFERROR('Raw Data Asian Paints'!H27,0)</f>
        <v>95.41</v>
      </c>
      <c r="J21" s="32">
        <f>IFERROR('Raw Data Asian Paints'!I27,0)</f>
        <v>144.44999999999999</v>
      </c>
      <c r="K21" s="32">
        <f>IFERROR('Raw Data Asian Paints'!J27,0)</f>
        <v>205.17</v>
      </c>
      <c r="L21" s="32">
        <f>IFERROR('Raw Data Asian Paints'!K27,0)</f>
        <v>227.02</v>
      </c>
      <c r="M21" s="32">
        <f>IFERROR(SUM('Raw Data Asian Paints'!H46:K46),0)</f>
        <v>189.1</v>
      </c>
      <c r="N21" s="25"/>
    </row>
    <row r="22" spans="2:14" x14ac:dyDescent="0.3">
      <c r="B22" s="28" t="s">
        <v>59</v>
      </c>
      <c r="C22" s="29">
        <f>C21/C6</f>
        <v>3.4334186549547386E-3</v>
      </c>
      <c r="D22" s="29">
        <f t="shared" ref="D22:M22" si="8">D21/D6</f>
        <v>2.4784241657310885E-3</v>
      </c>
      <c r="E22" s="29">
        <f t="shared" si="8"/>
        <v>2.4648504714836358E-3</v>
      </c>
      <c r="F22" s="29">
        <f t="shared" si="8"/>
        <v>5.7416451967840128E-3</v>
      </c>
      <c r="G22" s="29">
        <f t="shared" si="8"/>
        <v>5.0630218319005502E-3</v>
      </c>
      <c r="H22" s="29">
        <f t="shared" si="8"/>
        <v>4.2200933182700148E-3</v>
      </c>
      <c r="I22" s="29">
        <f t="shared" si="8"/>
        <v>3.2785499469439143E-3</v>
      </c>
      <c r="J22" s="29">
        <f t="shared" si="8"/>
        <v>4.1883417095335005E-3</v>
      </c>
      <c r="K22" s="29">
        <f t="shared" si="8"/>
        <v>5.7802947085384216E-3</v>
      </c>
      <c r="L22" s="29">
        <f t="shared" si="8"/>
        <v>6.6956451467337858E-3</v>
      </c>
      <c r="M22" s="29">
        <f t="shared" si="8"/>
        <v>5.4502352593617373E-3</v>
      </c>
    </row>
    <row r="24" spans="2:14" x14ac:dyDescent="0.3">
      <c r="B24" t="s">
        <v>60</v>
      </c>
      <c r="C24" s="32">
        <f>IFERROR('Raw Data Asian Paints'!B26,0)</f>
        <v>275.58</v>
      </c>
      <c r="D24" s="32">
        <f>IFERROR('Raw Data Asian Paints'!C26,0)</f>
        <v>334.79</v>
      </c>
      <c r="E24" s="32">
        <f>IFERROR('Raw Data Asian Paints'!D26,0)</f>
        <v>360.47</v>
      </c>
      <c r="F24" s="32">
        <f>IFERROR('Raw Data Asian Paints'!E26,0)</f>
        <v>622.14</v>
      </c>
      <c r="G24" s="32">
        <f>IFERROR('Raw Data Asian Paints'!F26,0)</f>
        <v>780.5</v>
      </c>
      <c r="H24" s="32">
        <f>IFERROR('Raw Data Asian Paints'!G26,0)</f>
        <v>791.27</v>
      </c>
      <c r="I24" s="32">
        <f>IFERROR('Raw Data Asian Paints'!H26,0)</f>
        <v>816.36</v>
      </c>
      <c r="J24" s="32">
        <f>IFERROR('Raw Data Asian Paints'!I26,0)</f>
        <v>858.02</v>
      </c>
      <c r="K24" s="32">
        <f>IFERROR('Raw Data Asian Paints'!J26,0)</f>
        <v>853</v>
      </c>
      <c r="L24" s="32">
        <f>IFERROR('Raw Data Asian Paints'!K26,0)</f>
        <v>1026.3399999999999</v>
      </c>
      <c r="M24" s="32">
        <f>IFERROR(SUM('Raw Data Asian Paints'!H45:K45),0)</f>
        <v>1219.97</v>
      </c>
      <c r="N24" s="25"/>
    </row>
    <row r="25" spans="2:14" x14ac:dyDescent="0.3">
      <c r="B25" s="28" t="s">
        <v>61</v>
      </c>
      <c r="C25" s="29">
        <f>C24/C6</f>
        <v>1.9309826794539322E-2</v>
      </c>
      <c r="D25" s="29">
        <f t="shared" ref="D25:M25" si="9">D24/D6</f>
        <v>2.2227474590011016E-2</v>
      </c>
      <c r="E25" s="29">
        <f t="shared" si="9"/>
        <v>2.1425238713665449E-2</v>
      </c>
      <c r="F25" s="29">
        <f t="shared" si="9"/>
        <v>3.2335540352378074E-2</v>
      </c>
      <c r="G25" s="29">
        <f t="shared" si="9"/>
        <v>3.8617106809326486E-2</v>
      </c>
      <c r="H25" s="29">
        <f t="shared" si="9"/>
        <v>3.6442576011650275E-2</v>
      </c>
      <c r="I25" s="29">
        <f t="shared" si="9"/>
        <v>2.8052374328551871E-2</v>
      </c>
      <c r="J25" s="29">
        <f t="shared" si="9"/>
        <v>2.4878372818372688E-2</v>
      </c>
      <c r="K25" s="29">
        <f t="shared" si="9"/>
        <v>2.4031736542297968E-2</v>
      </c>
      <c r="L25" s="29">
        <f t="shared" si="9"/>
        <v>3.0270497929251843E-2</v>
      </c>
      <c r="M25" s="29">
        <f t="shared" si="9"/>
        <v>3.5161943465698252E-2</v>
      </c>
    </row>
    <row r="27" spans="2:14" x14ac:dyDescent="0.3">
      <c r="B27" s="30" t="s">
        <v>62</v>
      </c>
      <c r="C27" s="33">
        <f>IFERROR(C18-SUM(C21,C24),0)</f>
        <v>2400.4600000000014</v>
      </c>
      <c r="D27" s="33">
        <f t="shared" ref="D27:M27" si="10">IFERROR(D18-SUM(D21,D24),0)</f>
        <v>2621.6400000000003</v>
      </c>
      <c r="E27" s="33">
        <f t="shared" si="10"/>
        <v>2802.0700000000011</v>
      </c>
      <c r="F27" s="33">
        <f t="shared" si="10"/>
        <v>3032.3300000000013</v>
      </c>
      <c r="G27" s="33">
        <f t="shared" si="10"/>
        <v>3278.9399999999978</v>
      </c>
      <c r="H27" s="33">
        <f t="shared" si="10"/>
        <v>3972.700000000003</v>
      </c>
      <c r="I27" s="33">
        <f t="shared" si="10"/>
        <v>3891.8399999999988</v>
      </c>
      <c r="J27" s="33">
        <f t="shared" si="10"/>
        <v>5257.3699999999953</v>
      </c>
      <c r="K27" s="33">
        <f t="shared" si="10"/>
        <v>6526.8100000000013</v>
      </c>
      <c r="L27" s="33">
        <f t="shared" si="10"/>
        <v>4752.8500000000022</v>
      </c>
      <c r="M27" s="33">
        <f t="shared" si="10"/>
        <v>5346.9000000000005</v>
      </c>
      <c r="N27" s="25"/>
    </row>
    <row r="28" spans="2:14" x14ac:dyDescent="0.3">
      <c r="B28" s="28" t="s">
        <v>63</v>
      </c>
      <c r="C28" s="29">
        <f>C27/C6</f>
        <v>0.16819967641780931</v>
      </c>
      <c r="D28" s="29">
        <f t="shared" ref="D28:M28" si="11">D27/D6</f>
        <v>0.17405668175320793</v>
      </c>
      <c r="E28" s="29">
        <f t="shared" si="11"/>
        <v>0.16654650495852794</v>
      </c>
      <c r="F28" s="29">
        <f t="shared" si="11"/>
        <v>0.15760444446061442</v>
      </c>
      <c r="G28" s="29">
        <f t="shared" si="11"/>
        <v>0.16223340961098387</v>
      </c>
      <c r="H28" s="29">
        <f t="shared" si="11"/>
        <v>0.18296589245325004</v>
      </c>
      <c r="I28" s="29">
        <f t="shared" si="11"/>
        <v>0.13373432371359606</v>
      </c>
      <c r="J28" s="29">
        <f t="shared" si="11"/>
        <v>0.15243795121806938</v>
      </c>
      <c r="K28" s="29">
        <f t="shared" si="11"/>
        <v>0.18388110009570438</v>
      </c>
      <c r="L28" s="29">
        <f t="shared" si="11"/>
        <v>0.14017882581117827</v>
      </c>
      <c r="M28" s="29">
        <f t="shared" si="11"/>
        <v>0.15410821210090575</v>
      </c>
    </row>
    <row r="30" spans="2:14" x14ac:dyDescent="0.3">
      <c r="B30" t="s">
        <v>64</v>
      </c>
      <c r="C30" s="25">
        <f>IFERROR('Raw Data Asian Paints'!B29,0)</f>
        <v>844.49</v>
      </c>
      <c r="D30" s="25">
        <f>IFERROR('Raw Data Asian Paints'!C29,0)</f>
        <v>943.29</v>
      </c>
      <c r="E30" s="25">
        <f>IFERROR('Raw Data Asian Paints'!D29,0)</f>
        <v>1040.96</v>
      </c>
      <c r="F30" s="25">
        <f>IFERROR('Raw Data Asian Paints'!E29,0)</f>
        <v>1098.06</v>
      </c>
      <c r="G30" s="25">
        <f>IFERROR('Raw Data Asian Paints'!F29,0)</f>
        <v>854.85</v>
      </c>
      <c r="H30" s="25">
        <f>IFERROR('Raw Data Asian Paints'!G29,0)</f>
        <v>1097.5999999999999</v>
      </c>
      <c r="I30" s="25">
        <f>IFERROR('Raw Data Asian Paints'!H29,0)</f>
        <v>1102.9100000000001</v>
      </c>
      <c r="J30" s="25">
        <f>IFERROR('Raw Data Asian Paints'!I29,0)</f>
        <v>1493.5</v>
      </c>
      <c r="K30" s="25">
        <f>IFERROR('Raw Data Asian Paints'!J29,0)</f>
        <v>1790.08</v>
      </c>
      <c r="L30" s="25">
        <f>IFERROR('Raw Data Asian Paints'!K29,0)</f>
        <v>1393.36</v>
      </c>
      <c r="M30" s="25">
        <f>IFERROR(SUM('Raw Data Asian Paints'!H48:K48),0)</f>
        <v>1501.5400000000002</v>
      </c>
      <c r="N30" s="25"/>
    </row>
    <row r="31" spans="2:14" x14ac:dyDescent="0.3">
      <c r="B31" s="29" t="s">
        <v>65</v>
      </c>
      <c r="C31" s="29">
        <f>C30/C27</f>
        <v>0.35180340434749985</v>
      </c>
      <c r="D31" s="29">
        <f t="shared" ref="D31:M31" si="12">D30/D27</f>
        <v>0.35980912711127377</v>
      </c>
      <c r="E31" s="29">
        <f t="shared" si="12"/>
        <v>0.37149678630441052</v>
      </c>
      <c r="F31" s="29">
        <f t="shared" si="12"/>
        <v>0.36211757955103813</v>
      </c>
      <c r="G31" s="29">
        <f t="shared" si="12"/>
        <v>0.26070925360024905</v>
      </c>
      <c r="H31" s="29">
        <f t="shared" si="12"/>
        <v>0.2762856495582347</v>
      </c>
      <c r="I31" s="29">
        <f t="shared" si="12"/>
        <v>0.2833903757605658</v>
      </c>
      <c r="J31" s="29">
        <f t="shared" si="12"/>
        <v>0.28407739991668862</v>
      </c>
      <c r="K31" s="29">
        <f t="shared" si="12"/>
        <v>0.27426568262290452</v>
      </c>
      <c r="L31" s="29">
        <f t="shared" si="12"/>
        <v>0.29316304953869765</v>
      </c>
      <c r="M31" s="29">
        <f t="shared" si="12"/>
        <v>0.28082440292505939</v>
      </c>
    </row>
    <row r="33" spans="1:14" x14ac:dyDescent="0.3">
      <c r="B33" s="30" t="s">
        <v>44</v>
      </c>
      <c r="C33" s="31">
        <f>IFERROR(C27-C30,0)</f>
        <v>1555.9700000000014</v>
      </c>
      <c r="D33" s="31">
        <f t="shared" ref="D33:M33" si="13">IFERROR(D27-D30,0)</f>
        <v>1678.3500000000004</v>
      </c>
      <c r="E33" s="31">
        <f t="shared" si="13"/>
        <v>1761.110000000001</v>
      </c>
      <c r="F33" s="31">
        <f t="shared" si="13"/>
        <v>1934.2700000000013</v>
      </c>
      <c r="G33" s="31">
        <f t="shared" si="13"/>
        <v>2424.0899999999979</v>
      </c>
      <c r="H33" s="31">
        <f t="shared" si="13"/>
        <v>2875.1000000000031</v>
      </c>
      <c r="I33" s="31">
        <f t="shared" si="13"/>
        <v>2788.9299999999985</v>
      </c>
      <c r="J33" s="31">
        <f t="shared" si="13"/>
        <v>3763.8699999999953</v>
      </c>
      <c r="K33" s="31">
        <f t="shared" si="13"/>
        <v>4736.7300000000014</v>
      </c>
      <c r="L33" s="31">
        <f t="shared" si="13"/>
        <v>3359.4900000000025</v>
      </c>
      <c r="M33" s="31">
        <f t="shared" si="13"/>
        <v>3845.3600000000006</v>
      </c>
      <c r="N33" s="25"/>
    </row>
    <row r="34" spans="1:14" x14ac:dyDescent="0.3">
      <c r="B34" s="29" t="s">
        <v>66</v>
      </c>
      <c r="C34" s="29">
        <f>C33/C6</f>
        <v>0.10902645764387611</v>
      </c>
      <c r="D34" s="29">
        <f t="shared" ref="D34:M34" si="14">D33/D6</f>
        <v>0.1114294990237014</v>
      </c>
      <c r="E34" s="29">
        <f t="shared" si="14"/>
        <v>0.10467501359620324</v>
      </c>
      <c r="F34" s="29">
        <f t="shared" si="14"/>
        <v>0.1005331045060507</v>
      </c>
      <c r="G34" s="29">
        <f t="shared" si="14"/>
        <v>0.1199376584822808</v>
      </c>
      <c r="H34" s="29">
        <f t="shared" si="14"/>
        <v>0.13241504200980173</v>
      </c>
      <c r="I34" s="29">
        <f t="shared" si="14"/>
        <v>9.5835303464314917E-2</v>
      </c>
      <c r="J34" s="29">
        <f t="shared" si="14"/>
        <v>0.10913377438741322</v>
      </c>
      <c r="K34" s="29">
        <f t="shared" si="14"/>
        <v>0.13344882465650537</v>
      </c>
      <c r="L34" s="29">
        <f t="shared" si="14"/>
        <v>9.9083573755619339E-2</v>
      </c>
      <c r="M34" s="29">
        <f t="shared" si="14"/>
        <v>0.11083086545182048</v>
      </c>
    </row>
    <row r="36" spans="1:14" x14ac:dyDescent="0.3">
      <c r="B36" t="s">
        <v>67</v>
      </c>
      <c r="C36">
        <f>IFERROR('Raw Data Asian Paints'!B93,0)</f>
        <v>95.92</v>
      </c>
      <c r="D36">
        <f>IFERROR('Raw Data Asian Paints'!C93,0)</f>
        <v>95.92</v>
      </c>
      <c r="E36">
        <f>IFERROR('Raw Data Asian Paints'!D93,0)</f>
        <v>95.92</v>
      </c>
      <c r="F36">
        <f>IFERROR('Raw Data Asian Paints'!E93,0)</f>
        <v>95.92</v>
      </c>
      <c r="G36">
        <f>IFERROR('Raw Data Asian Paints'!F93,0)</f>
        <v>95.92</v>
      </c>
      <c r="H36">
        <f>IFERROR('Raw Data Asian Paints'!G93,0)</f>
        <v>95.92</v>
      </c>
      <c r="I36">
        <f>IFERROR('Raw Data Asian Paints'!H93,0)</f>
        <v>95.92</v>
      </c>
      <c r="J36">
        <f>IFERROR('Raw Data Asian Paints'!I93,0)</f>
        <v>95.92</v>
      </c>
      <c r="K36">
        <f>IFERROR('Raw Data Asian Paints'!J93,0)</f>
        <v>95.92</v>
      </c>
      <c r="L36">
        <f>IFERROR('Raw Data Asian Paints'!K93,0)</f>
        <v>95.92</v>
      </c>
      <c r="M36">
        <f>IFERROR('Raw Data Asian Paints'!L93,0)</f>
        <v>0</v>
      </c>
      <c r="N36" s="25"/>
    </row>
    <row r="38" spans="1:14" x14ac:dyDescent="0.3">
      <c r="B38" t="s">
        <v>68</v>
      </c>
      <c r="C38" s="32">
        <f>C33/C36</f>
        <v>16.221538782318614</v>
      </c>
      <c r="D38" s="32">
        <f t="shared" ref="D38:L38" si="15">D33/D36</f>
        <v>17.497393661384489</v>
      </c>
      <c r="E38" s="32">
        <f t="shared" si="15"/>
        <v>18.360195996663897</v>
      </c>
      <c r="F38" s="32">
        <f t="shared" si="15"/>
        <v>20.165450375312773</v>
      </c>
      <c r="G38" s="32">
        <f t="shared" si="15"/>
        <v>25.271997497914906</v>
      </c>
      <c r="H38" s="32">
        <f t="shared" si="15"/>
        <v>29.973936613844902</v>
      </c>
      <c r="I38" s="32">
        <f t="shared" si="15"/>
        <v>29.075583819849857</v>
      </c>
      <c r="J38" s="32">
        <f t="shared" si="15"/>
        <v>39.23967889908252</v>
      </c>
      <c r="K38" s="32">
        <f t="shared" si="15"/>
        <v>49.382089241034208</v>
      </c>
      <c r="L38" s="32">
        <f t="shared" si="15"/>
        <v>35.023874061718125</v>
      </c>
      <c r="M38">
        <f>IFERROR(M33/M36,0)</f>
        <v>0</v>
      </c>
      <c r="N38" s="25"/>
    </row>
    <row r="39" spans="1:14" x14ac:dyDescent="0.3">
      <c r="B39" s="29" t="s">
        <v>69</v>
      </c>
      <c r="D39" s="29">
        <f>(D38/C38)-1</f>
        <v>7.8651902028958443E-2</v>
      </c>
      <c r="E39" s="29">
        <f t="shared" ref="E39:M39" si="16">(E38/D38)-1</f>
        <v>4.9310334554771629E-2</v>
      </c>
      <c r="F39" s="29">
        <f t="shared" si="16"/>
        <v>9.8324352255111824E-2</v>
      </c>
      <c r="G39" s="29">
        <f t="shared" si="16"/>
        <v>0.25323248564057566</v>
      </c>
      <c r="H39" s="29">
        <f t="shared" si="16"/>
        <v>0.1860533231026924</v>
      </c>
      <c r="I39" s="29">
        <f t="shared" si="16"/>
        <v>-2.9971131438908061E-2</v>
      </c>
      <c r="J39" s="29">
        <f t="shared" si="16"/>
        <v>0.34957492658474676</v>
      </c>
      <c r="K39" s="29">
        <f t="shared" si="16"/>
        <v>0.25847332665581102</v>
      </c>
      <c r="L39" s="29">
        <f t="shared" si="16"/>
        <v>-0.29075754792863395</v>
      </c>
      <c r="M39" s="29">
        <f t="shared" si="16"/>
        <v>-1</v>
      </c>
    </row>
    <row r="41" spans="1:14" x14ac:dyDescent="0.3">
      <c r="B41" t="s">
        <v>70</v>
      </c>
      <c r="C41" s="32">
        <f>IFERROR('Raw Data Asian Paints'!B31/C36,0)</f>
        <v>7.5</v>
      </c>
      <c r="D41" s="32">
        <f>IFERROR('Raw Data Asian Paints'!C31/D36,0)</f>
        <v>10.300041701417848</v>
      </c>
      <c r="E41" s="32">
        <f>IFERROR('Raw Data Asian Paints'!D31/E36,0)</f>
        <v>8.6999582985821515</v>
      </c>
      <c r="F41" s="32">
        <f>IFERROR('Raw Data Asian Paints'!E31/F36,0)</f>
        <v>10.5</v>
      </c>
      <c r="G41" s="32">
        <f>IFERROR('Raw Data Asian Paints'!F31/G36,0)</f>
        <v>12</v>
      </c>
      <c r="H41" s="32">
        <f>IFERROR('Raw Data Asian Paints'!G31/H36,0)</f>
        <v>17.849979149291077</v>
      </c>
      <c r="I41" s="32">
        <f>IFERROR('Raw Data Asian Paints'!H31/I36,0)</f>
        <v>19.150020850708923</v>
      </c>
      <c r="J41" s="32">
        <f>IFERROR('Raw Data Asian Paints'!I31/J36,0)</f>
        <v>25.650020850708923</v>
      </c>
      <c r="K41" s="32">
        <f>IFERROR('Raw Data Asian Paints'!J31/K36,0)</f>
        <v>33.300041701417847</v>
      </c>
      <c r="L41" s="32">
        <f>IFERROR('Raw Data Asian Paints'!K31/L36,0)</f>
        <v>24.80004170141785</v>
      </c>
      <c r="M41" s="32">
        <f>IFERROR('Raw Data Asian Paints'!L31/M36,0)</f>
        <v>0</v>
      </c>
      <c r="N41" s="25"/>
    </row>
    <row r="42" spans="1:14" x14ac:dyDescent="0.3">
      <c r="B42" s="29" t="s">
        <v>71</v>
      </c>
      <c r="C42" s="29">
        <f>IFERROR(C41/C38,0)</f>
        <v>0.46234824578880013</v>
      </c>
      <c r="D42" s="29">
        <f t="shared" ref="D42:M42" si="17">IFERROR(D41/D38,0)</f>
        <v>0.5886614830041409</v>
      </c>
      <c r="E42" s="29">
        <f t="shared" si="17"/>
        <v>0.47384887939992359</v>
      </c>
      <c r="F42" s="29">
        <f t="shared" si="17"/>
        <v>0.52069256101785133</v>
      </c>
      <c r="G42" s="29">
        <f t="shared" si="17"/>
        <v>0.47483385517864479</v>
      </c>
      <c r="H42" s="29">
        <f t="shared" si="17"/>
        <v>0.59551667768077576</v>
      </c>
      <c r="I42" s="29">
        <f t="shared" si="17"/>
        <v>0.65862893654555732</v>
      </c>
      <c r="J42" s="29">
        <f t="shared" si="17"/>
        <v>0.65367560516170931</v>
      </c>
      <c r="K42" s="29">
        <f t="shared" si="17"/>
        <v>0.67433440369199826</v>
      </c>
      <c r="L42" s="29">
        <f t="shared" si="17"/>
        <v>0.70808962074600557</v>
      </c>
      <c r="M42" s="29">
        <f t="shared" si="17"/>
        <v>0</v>
      </c>
    </row>
    <row r="44" spans="1:14" x14ac:dyDescent="0.3">
      <c r="B44" t="s">
        <v>72</v>
      </c>
      <c r="C44" s="29">
        <f>IFERROR(IF(C38&gt;C41,1-C42,0),0)</f>
        <v>0.53765175421119982</v>
      </c>
      <c r="D44" s="29">
        <f t="shared" ref="D44:M44" si="18">IFERROR(IF(D38&gt;D41,1-D42,0),0)</f>
        <v>0.4113385169958591</v>
      </c>
      <c r="E44" s="29">
        <f t="shared" si="18"/>
        <v>0.52615112060007641</v>
      </c>
      <c r="F44" s="29">
        <f t="shared" si="18"/>
        <v>0.47930743898214867</v>
      </c>
      <c r="G44" s="29">
        <f t="shared" si="18"/>
        <v>0.52516614482135515</v>
      </c>
      <c r="H44" s="29">
        <f t="shared" si="18"/>
        <v>0.40448332231922424</v>
      </c>
      <c r="I44" s="29">
        <f t="shared" si="18"/>
        <v>0.34137106345444268</v>
      </c>
      <c r="J44" s="29">
        <f t="shared" si="18"/>
        <v>0.34632439483829069</v>
      </c>
      <c r="K44" s="29">
        <f t="shared" si="18"/>
        <v>0.32566559630800174</v>
      </c>
      <c r="L44" s="29">
        <f t="shared" si="18"/>
        <v>0.29191037925399443</v>
      </c>
      <c r="M44" s="29">
        <f t="shared" si="18"/>
        <v>0</v>
      </c>
    </row>
    <row r="46" spans="1:14" x14ac:dyDescent="0.3">
      <c r="A46" t="s">
        <v>27</v>
      </c>
      <c r="B46" s="249" t="s">
        <v>73</v>
      </c>
      <c r="C46" s="248"/>
      <c r="D46" s="248"/>
      <c r="E46" s="248"/>
      <c r="F46" s="248"/>
      <c r="G46" s="248"/>
      <c r="H46" s="248"/>
      <c r="I46" s="248"/>
      <c r="J46" s="248"/>
      <c r="K46" s="248"/>
      <c r="L46" s="248"/>
      <c r="M46" s="248"/>
    </row>
    <row r="47" spans="1:14" x14ac:dyDescent="0.3">
      <c r="B47" s="12" t="s">
        <v>36</v>
      </c>
      <c r="C47" s="32">
        <f>IFERROR('Raw Data Asian Paints'!B57,0)</f>
        <v>95.92</v>
      </c>
      <c r="D47" s="32">
        <f>IFERROR('Raw Data Asian Paints'!C57,0)</f>
        <v>95.92</v>
      </c>
      <c r="E47" s="32">
        <f>IFERROR('Raw Data Asian Paints'!D57,0)</f>
        <v>95.92</v>
      </c>
      <c r="F47" s="32">
        <f>IFERROR('Raw Data Asian Paints'!E57,0)</f>
        <v>95.92</v>
      </c>
      <c r="G47" s="32">
        <f>IFERROR('Raw Data Asian Paints'!F57,0)</f>
        <v>95.92</v>
      </c>
      <c r="H47" s="32">
        <f>IFERROR('Raw Data Asian Paints'!G57,0)</f>
        <v>95.92</v>
      </c>
      <c r="I47" s="32">
        <f>IFERROR('Raw Data Asian Paints'!H57,0)</f>
        <v>95.92</v>
      </c>
      <c r="J47" s="32">
        <f>IFERROR('Raw Data Asian Paints'!I57,0)</f>
        <v>95.92</v>
      </c>
      <c r="K47" s="32">
        <f>IFERROR('Raw Data Asian Paints'!J57,0)</f>
        <v>95.92</v>
      </c>
      <c r="L47" s="32">
        <f>IFERROR('Raw Data Asian Paints'!K57,0)</f>
        <v>95.92</v>
      </c>
      <c r="N47" s="25"/>
    </row>
    <row r="48" spans="1:14" x14ac:dyDescent="0.3">
      <c r="B48" s="12" t="s">
        <v>1</v>
      </c>
      <c r="C48" s="32">
        <f>IFERROR('Raw Data Asian Paints'!B58,0)</f>
        <v>6428.9</v>
      </c>
      <c r="D48" s="32">
        <f>IFERROR('Raw Data Asian Paints'!C58,0)</f>
        <v>7507.97</v>
      </c>
      <c r="E48" s="32">
        <f>IFERROR('Raw Data Asian Paints'!D58,0)</f>
        <v>8314.31</v>
      </c>
      <c r="F48" s="32">
        <f>IFERROR('Raw Data Asian Paints'!E58,0)</f>
        <v>9374.6299999999992</v>
      </c>
      <c r="G48" s="32">
        <f>IFERROR('Raw Data Asian Paints'!F58,0)</f>
        <v>10034.24</v>
      </c>
      <c r="H48" s="32">
        <f>IFERROR('Raw Data Asian Paints'!G58,0)</f>
        <v>12710.37</v>
      </c>
      <c r="I48" s="32">
        <f>IFERROR('Raw Data Asian Paints'!H58,0)</f>
        <v>13715.64</v>
      </c>
      <c r="J48" s="32">
        <f>IFERROR('Raw Data Asian Paints'!I58,0)</f>
        <v>15896.31</v>
      </c>
      <c r="K48" s="32">
        <f>IFERROR('Raw Data Asian Paints'!J58,0)</f>
        <v>18632.38</v>
      </c>
      <c r="L48" s="32">
        <f>IFERROR('Raw Data Asian Paints'!K58,0)</f>
        <v>19303.89</v>
      </c>
      <c r="N48" s="25"/>
    </row>
    <row r="49" spans="2:14" x14ac:dyDescent="0.3">
      <c r="B49" s="12" t="s">
        <v>37</v>
      </c>
      <c r="C49" s="32">
        <f>IFERROR('Raw Data Asian Paints'!B59,0)</f>
        <v>323.29000000000002</v>
      </c>
      <c r="D49" s="32">
        <f>IFERROR('Raw Data Asian Paints'!C59,0)</f>
        <v>560.34</v>
      </c>
      <c r="E49" s="32">
        <f>IFERROR('Raw Data Asian Paints'!D59,0)</f>
        <v>533.42999999999995</v>
      </c>
      <c r="F49" s="32">
        <f>IFERROR('Raw Data Asian Paints'!E59,0)</f>
        <v>1319.6</v>
      </c>
      <c r="G49" s="32">
        <f>IFERROR('Raw Data Asian Paints'!F59,0)</f>
        <v>1118.5</v>
      </c>
      <c r="H49" s="32">
        <f>IFERROR('Raw Data Asian Paints'!G59,0)</f>
        <v>1093.1199999999999</v>
      </c>
      <c r="I49" s="32">
        <f>IFERROR('Raw Data Asian Paints'!H59,0)</f>
        <v>1586.88</v>
      </c>
      <c r="J49" s="32">
        <f>IFERROR('Raw Data Asian Paints'!I59,0)</f>
        <v>1932.62</v>
      </c>
      <c r="K49" s="32">
        <f>IFERROR('Raw Data Asian Paints'!J59,0)</f>
        <v>2474.38</v>
      </c>
      <c r="L49" s="32">
        <f>IFERROR('Raw Data Asian Paints'!K59,0)</f>
        <v>2290.29</v>
      </c>
      <c r="N49" s="25"/>
    </row>
    <row r="50" spans="2:14" x14ac:dyDescent="0.3">
      <c r="B50" s="12" t="s">
        <v>38</v>
      </c>
      <c r="C50" s="32">
        <f>IFERROR('Raw Data Asian Paints'!B60,0)</f>
        <v>3710.92</v>
      </c>
      <c r="D50" s="32">
        <f>IFERROR('Raw Data Asian Paints'!C60,0)</f>
        <v>4240.96</v>
      </c>
      <c r="E50" s="32">
        <f>IFERROR('Raw Data Asian Paints'!D60,0)</f>
        <v>4819.82</v>
      </c>
      <c r="F50" s="32">
        <f>IFERROR('Raw Data Asian Paints'!E60,0)</f>
        <v>5458.69</v>
      </c>
      <c r="G50" s="32">
        <f>IFERROR('Raw Data Asian Paints'!F60,0)</f>
        <v>4889.3100000000004</v>
      </c>
      <c r="H50" s="32">
        <f>IFERROR('Raw Data Asian Paints'!G60,0)</f>
        <v>6455.93</v>
      </c>
      <c r="I50" s="32">
        <f>IFERROR('Raw Data Asian Paints'!H60,0)</f>
        <v>7559.99</v>
      </c>
      <c r="J50" s="32">
        <f>IFERROR('Raw Data Asian Paints'!I60,0)</f>
        <v>7854.48</v>
      </c>
      <c r="K50" s="32">
        <f>IFERROR('Raw Data Asian Paints'!J60,0)</f>
        <v>8698.09</v>
      </c>
      <c r="L50" s="32">
        <f>IFERROR('Raw Data Asian Paints'!K60,0)</f>
        <v>8665.15</v>
      </c>
      <c r="N50" s="25"/>
    </row>
    <row r="51" spans="2:14" x14ac:dyDescent="0.3">
      <c r="B51" s="53" t="s">
        <v>74</v>
      </c>
      <c r="C51" s="54">
        <f>SUM(C47:C50)</f>
        <v>10559.029999999999</v>
      </c>
      <c r="D51" s="54">
        <f t="shared" ref="D51:L51" si="19">SUM(D47:D50)</f>
        <v>12405.19</v>
      </c>
      <c r="E51" s="54">
        <f t="shared" si="19"/>
        <v>13763.48</v>
      </c>
      <c r="F51" s="54">
        <f t="shared" si="19"/>
        <v>16248.84</v>
      </c>
      <c r="G51" s="54">
        <f t="shared" si="19"/>
        <v>16137.970000000001</v>
      </c>
      <c r="H51" s="54">
        <f t="shared" si="19"/>
        <v>20355.34</v>
      </c>
      <c r="I51" s="54">
        <f t="shared" si="19"/>
        <v>22958.43</v>
      </c>
      <c r="J51" s="54">
        <f t="shared" si="19"/>
        <v>25779.329999999998</v>
      </c>
      <c r="K51" s="54">
        <f t="shared" si="19"/>
        <v>29900.77</v>
      </c>
      <c r="L51" s="54">
        <f t="shared" si="19"/>
        <v>30355.25</v>
      </c>
      <c r="N51" s="25"/>
    </row>
    <row r="52" spans="2:14" x14ac:dyDescent="0.3">
      <c r="B52" s="11"/>
      <c r="C52" s="32"/>
      <c r="D52" s="32"/>
      <c r="E52" s="32"/>
      <c r="F52" s="32"/>
      <c r="G52" s="32"/>
      <c r="H52" s="32"/>
      <c r="I52" s="32"/>
      <c r="J52" s="32"/>
      <c r="K52" s="32"/>
      <c r="L52" s="32"/>
      <c r="N52" s="25"/>
    </row>
    <row r="53" spans="2:14" x14ac:dyDescent="0.3">
      <c r="B53" s="12" t="s">
        <v>75</v>
      </c>
      <c r="C53" s="32">
        <f>IFERROR('Raw Data Asian Paints'!B62,0)</f>
        <v>3416.35</v>
      </c>
      <c r="D53" s="32">
        <f>IFERROR('Raw Data Asian Paints'!C62,0)</f>
        <v>3303.74</v>
      </c>
      <c r="E53" s="32">
        <f>IFERROR('Raw Data Asian Paints'!D62,0)</f>
        <v>3732.24</v>
      </c>
      <c r="F53" s="32">
        <f>IFERROR('Raw Data Asian Paints'!E62,0)</f>
        <v>6496.56</v>
      </c>
      <c r="G53" s="32">
        <f>IFERROR('Raw Data Asian Paints'!F62,0)</f>
        <v>6272.31</v>
      </c>
      <c r="H53" s="32">
        <f>IFERROR('Raw Data Asian Paints'!G62,0)</f>
        <v>5858.52</v>
      </c>
      <c r="I53" s="32">
        <f>IFERROR('Raw Data Asian Paints'!H62,0)</f>
        <v>5519.06</v>
      </c>
      <c r="J53" s="32">
        <f>IFERROR('Raw Data Asian Paints'!I62,0)</f>
        <v>5770.46</v>
      </c>
      <c r="K53" s="32">
        <f>IFERROR('Raw Data Asian Paints'!J62,0)</f>
        <v>7146.62</v>
      </c>
      <c r="L53" s="32">
        <f>IFERROR('Raw Data Asian Paints'!K62,0)</f>
        <v>9220.1</v>
      </c>
      <c r="N53" s="25"/>
    </row>
    <row r="54" spans="2:14" x14ac:dyDescent="0.3">
      <c r="B54" s="12" t="s">
        <v>39</v>
      </c>
      <c r="C54" s="32">
        <f>IFERROR('Raw Data Asian Paints'!B63,0)</f>
        <v>106.59</v>
      </c>
      <c r="D54" s="32">
        <f>IFERROR('Raw Data Asian Paints'!C63,0)</f>
        <v>257.54000000000002</v>
      </c>
      <c r="E54" s="32">
        <f>IFERROR('Raw Data Asian Paints'!D63,0)</f>
        <v>1405.11</v>
      </c>
      <c r="F54" s="32">
        <f>IFERROR('Raw Data Asian Paints'!E63,0)</f>
        <v>209.67</v>
      </c>
      <c r="G54" s="32">
        <f>IFERROR('Raw Data Asian Paints'!F63,0)</f>
        <v>140.24</v>
      </c>
      <c r="H54" s="32">
        <f>IFERROR('Raw Data Asian Paints'!G63,0)</f>
        <v>182.98</v>
      </c>
      <c r="I54" s="32">
        <f>IFERROR('Raw Data Asian Paints'!H63,0)</f>
        <v>426.43</v>
      </c>
      <c r="J54" s="32">
        <f>IFERROR('Raw Data Asian Paints'!I63,0)</f>
        <v>1019.59</v>
      </c>
      <c r="K54" s="32">
        <f>IFERROR('Raw Data Asian Paints'!J63,0)</f>
        <v>2698.37</v>
      </c>
      <c r="L54" s="32">
        <f>IFERROR('Raw Data Asian Paints'!K63,0)</f>
        <v>1254.49</v>
      </c>
      <c r="N54" s="25"/>
    </row>
    <row r="55" spans="2:14" x14ac:dyDescent="0.3">
      <c r="B55" s="12" t="s">
        <v>2</v>
      </c>
      <c r="C55" s="32">
        <f>IFERROR('Raw Data Asian Paints'!B64,0)</f>
        <v>2712.13</v>
      </c>
      <c r="D55" s="32">
        <f>IFERROR('Raw Data Asian Paints'!C64,0)</f>
        <v>2651.99</v>
      </c>
      <c r="E55" s="32">
        <f>IFERROR('Raw Data Asian Paints'!D64,0)</f>
        <v>2140.6999999999998</v>
      </c>
      <c r="F55" s="32">
        <f>IFERROR('Raw Data Asian Paints'!E64,0)</f>
        <v>2568.58</v>
      </c>
      <c r="G55" s="32">
        <f>IFERROR('Raw Data Asian Paints'!F64,0)</f>
        <v>2018.85</v>
      </c>
      <c r="H55" s="32">
        <f>IFERROR('Raw Data Asian Paints'!G64,0)</f>
        <v>4736.8</v>
      </c>
      <c r="I55" s="32">
        <f>IFERROR('Raw Data Asian Paints'!H64,0)</f>
        <v>3247.53</v>
      </c>
      <c r="J55" s="32">
        <f>IFERROR('Raw Data Asian Paints'!I64,0)</f>
        <v>4261.71</v>
      </c>
      <c r="K55" s="32">
        <f>IFERROR('Raw Data Asian Paints'!J64,0)</f>
        <v>4587.92</v>
      </c>
      <c r="L55" s="32">
        <f>IFERROR('Raw Data Asian Paints'!K64,0)</f>
        <v>4724.75</v>
      </c>
      <c r="N55" s="25"/>
    </row>
    <row r="56" spans="2:14" x14ac:dyDescent="0.3">
      <c r="B56" s="12" t="s">
        <v>40</v>
      </c>
      <c r="C56" s="32">
        <f>'Raw Data Asian Paints'!B75</f>
        <v>714.68000000000029</v>
      </c>
      <c r="D56" s="32">
        <f>'Raw Data Asian Paints'!C75</f>
        <v>1317.17</v>
      </c>
      <c r="E56" s="32">
        <f>'Raw Data Asian Paints'!D75</f>
        <v>1691.8400000000001</v>
      </c>
      <c r="F56" s="32">
        <f>'Raw Data Asian Paints'!E75</f>
        <v>1471.9599999999991</v>
      </c>
      <c r="G56" s="32">
        <f>'Raw Data Asian Paints'!F75</f>
        <v>1738.71</v>
      </c>
      <c r="H56" s="32">
        <f>'Raw Data Asian Paints'!G75</f>
        <v>2565.5200000000004</v>
      </c>
      <c r="I56" s="32">
        <f>'Raw Data Asian Paints'!H75</f>
        <v>2876.66</v>
      </c>
      <c r="J56" s="32">
        <f>'Raw Data Asian Paints'!I75</f>
        <v>3036.17</v>
      </c>
      <c r="K56" s="32">
        <f>'Raw Data Asian Paints'!J75</f>
        <v>3571.3900000000012</v>
      </c>
      <c r="L56" s="32">
        <f>'Raw Data Asian Paints'!K75</f>
        <v>3341.01</v>
      </c>
      <c r="N56" s="25"/>
    </row>
    <row r="57" spans="2:14" x14ac:dyDescent="0.3">
      <c r="B57" s="34" t="s">
        <v>76</v>
      </c>
      <c r="C57" s="31">
        <f>IFERROR(SUM(C53:C56),0)</f>
        <v>6949.75</v>
      </c>
      <c r="D57" s="31">
        <f t="shared" ref="D57:L57" si="20">IFERROR(SUM(D53:D56),0)</f>
        <v>7530.44</v>
      </c>
      <c r="E57" s="31">
        <f t="shared" si="20"/>
        <v>8969.89</v>
      </c>
      <c r="F57" s="31">
        <f t="shared" si="20"/>
        <v>10746.77</v>
      </c>
      <c r="G57" s="31">
        <f t="shared" si="20"/>
        <v>10170.11</v>
      </c>
      <c r="H57" s="31">
        <f t="shared" si="20"/>
        <v>13343.82</v>
      </c>
      <c r="I57" s="31">
        <f t="shared" si="20"/>
        <v>12069.68</v>
      </c>
      <c r="J57" s="31">
        <f t="shared" si="20"/>
        <v>14087.93</v>
      </c>
      <c r="K57" s="31">
        <f t="shared" si="20"/>
        <v>18004.300000000003</v>
      </c>
      <c r="L57" s="31">
        <f t="shared" si="20"/>
        <v>18540.349999999999</v>
      </c>
      <c r="N57" s="25"/>
    </row>
    <row r="58" spans="2:14" x14ac:dyDescent="0.3">
      <c r="B58" s="11"/>
      <c r="C58" s="32"/>
      <c r="D58" s="32"/>
      <c r="E58" s="32"/>
      <c r="F58" s="32"/>
      <c r="G58" s="32"/>
      <c r="H58" s="32"/>
      <c r="I58" s="32"/>
      <c r="J58" s="32"/>
      <c r="K58" s="32"/>
      <c r="L58" s="32"/>
      <c r="N58" s="25"/>
    </row>
    <row r="59" spans="2:14" x14ac:dyDescent="0.3">
      <c r="B59" s="12" t="s">
        <v>4</v>
      </c>
      <c r="C59" s="32">
        <f>IFERROR('Raw Data Asian Paints'!B67,0)</f>
        <v>1186.8399999999999</v>
      </c>
      <c r="D59" s="32">
        <f>IFERROR('Raw Data Asian Paints'!C67,0)</f>
        <v>1446.6</v>
      </c>
      <c r="E59" s="32">
        <f>IFERROR('Raw Data Asian Paints'!D67,0)</f>
        <v>1730.63</v>
      </c>
      <c r="F59" s="32">
        <f>IFERROR('Raw Data Asian Paints'!E67,0)</f>
        <v>1907.33</v>
      </c>
      <c r="G59" s="32">
        <f>IFERROR('Raw Data Asian Paints'!F67,0)</f>
        <v>1795.22</v>
      </c>
      <c r="H59" s="32">
        <f>IFERROR('Raw Data Asian Paints'!G67,0)</f>
        <v>2602.17</v>
      </c>
      <c r="I59" s="32">
        <f>IFERROR('Raw Data Asian Paints'!H67,0)</f>
        <v>3871.44</v>
      </c>
      <c r="J59" s="32">
        <f>IFERROR('Raw Data Asian Paints'!I67,0)</f>
        <v>4636.9399999999996</v>
      </c>
      <c r="K59" s="32">
        <f>IFERROR('Raw Data Asian Paints'!J67,0)</f>
        <v>4889.05</v>
      </c>
      <c r="L59" s="32">
        <f>IFERROR('Raw Data Asian Paints'!K67,0)</f>
        <v>4313.6499999999996</v>
      </c>
      <c r="N59" s="25"/>
    </row>
    <row r="60" spans="2:14" x14ac:dyDescent="0.3">
      <c r="B60" s="12" t="s">
        <v>5</v>
      </c>
      <c r="C60" s="32">
        <f>IFERROR('Raw Data Asian Paints'!B68,0)</f>
        <v>1998.24</v>
      </c>
      <c r="D60" s="32">
        <f>IFERROR('Raw Data Asian Paints'!C68,0)</f>
        <v>2626.94</v>
      </c>
      <c r="E60" s="32">
        <f>IFERROR('Raw Data Asian Paints'!D68,0)</f>
        <v>2658.31</v>
      </c>
      <c r="F60" s="32">
        <f>IFERROR('Raw Data Asian Paints'!E68,0)</f>
        <v>3149.86</v>
      </c>
      <c r="G60" s="32">
        <f>IFERROR('Raw Data Asian Paints'!F68,0)</f>
        <v>3389.81</v>
      </c>
      <c r="H60" s="32">
        <f>IFERROR('Raw Data Asian Paints'!G68,0)</f>
        <v>3798.6</v>
      </c>
      <c r="I60" s="32">
        <f>IFERROR('Raw Data Asian Paints'!H68,0)</f>
        <v>6152.98</v>
      </c>
      <c r="J60" s="32">
        <f>IFERROR('Raw Data Asian Paints'!I68,0)</f>
        <v>6210.64</v>
      </c>
      <c r="K60" s="32">
        <f>IFERROR('Raw Data Asian Paints'!J68,0)</f>
        <v>5923.41</v>
      </c>
      <c r="L60" s="32">
        <f>IFERROR('Raw Data Asian Paints'!K68,0)</f>
        <v>6719.27</v>
      </c>
      <c r="N60" s="25"/>
    </row>
    <row r="61" spans="2:14" x14ac:dyDescent="0.3">
      <c r="B61" s="12" t="s">
        <v>41</v>
      </c>
      <c r="C61" s="32">
        <f>IFERROR('Raw Data Asian Paints'!B69,0)</f>
        <v>424.2</v>
      </c>
      <c r="D61" s="32">
        <f>IFERROR('Raw Data Asian Paints'!C69,0)</f>
        <v>801.21</v>
      </c>
      <c r="E61" s="32">
        <f>IFERROR('Raw Data Asian Paints'!D69,0)</f>
        <v>404.65</v>
      </c>
      <c r="F61" s="32">
        <f>IFERROR('Raw Data Asian Paints'!E69,0)</f>
        <v>444.88</v>
      </c>
      <c r="G61" s="32">
        <f>IFERROR('Raw Data Asian Paints'!F69,0)</f>
        <v>782.83</v>
      </c>
      <c r="H61" s="32">
        <f>IFERROR('Raw Data Asian Paints'!G69,0)</f>
        <v>610.75</v>
      </c>
      <c r="I61" s="32">
        <f>IFERROR('Raw Data Asian Paints'!H69,0)</f>
        <v>864.33</v>
      </c>
      <c r="J61" s="32">
        <f>IFERROR('Raw Data Asian Paints'!I69,0)</f>
        <v>843.82</v>
      </c>
      <c r="K61" s="32">
        <f>IFERROR('Raw Data Asian Paints'!J69,0)</f>
        <v>1084.01</v>
      </c>
      <c r="L61" s="32">
        <f>IFERROR('Raw Data Asian Paints'!K69,0)</f>
        <v>781.98</v>
      </c>
      <c r="N61" s="25"/>
    </row>
    <row r="62" spans="2:14" x14ac:dyDescent="0.3">
      <c r="B62" s="35" t="s">
        <v>26</v>
      </c>
      <c r="C62" s="31">
        <f>IFERROR(SUM(C59:C61),0)</f>
        <v>3609.2799999999997</v>
      </c>
      <c r="D62" s="31">
        <f t="shared" ref="D62:L62" si="21">IFERROR(SUM(D59:D61),0)</f>
        <v>4874.75</v>
      </c>
      <c r="E62" s="31">
        <f t="shared" si="21"/>
        <v>4793.59</v>
      </c>
      <c r="F62" s="31">
        <f t="shared" si="21"/>
        <v>5502.0700000000006</v>
      </c>
      <c r="G62" s="31">
        <f t="shared" si="21"/>
        <v>5967.86</v>
      </c>
      <c r="H62" s="31">
        <f t="shared" si="21"/>
        <v>7011.52</v>
      </c>
      <c r="I62" s="31">
        <f t="shared" si="21"/>
        <v>10888.75</v>
      </c>
      <c r="J62" s="31">
        <f t="shared" si="21"/>
        <v>11691.4</v>
      </c>
      <c r="K62" s="31">
        <f t="shared" si="21"/>
        <v>11896.47</v>
      </c>
      <c r="L62" s="31">
        <f t="shared" si="21"/>
        <v>11814.9</v>
      </c>
      <c r="N62" s="25"/>
    </row>
    <row r="63" spans="2:14" x14ac:dyDescent="0.3">
      <c r="C63" s="32"/>
      <c r="D63" s="32"/>
      <c r="E63" s="32"/>
      <c r="F63" s="32"/>
      <c r="G63" s="32"/>
      <c r="H63" s="32"/>
      <c r="I63" s="32"/>
      <c r="J63" s="32"/>
      <c r="K63" s="32"/>
      <c r="L63" s="32"/>
      <c r="N63" s="25"/>
    </row>
    <row r="64" spans="2:14" x14ac:dyDescent="0.3">
      <c r="B64" s="53" t="s">
        <v>77</v>
      </c>
      <c r="C64" s="54">
        <f>IFERROR(SUM(C62,C57),0)</f>
        <v>10559.029999999999</v>
      </c>
      <c r="D64" s="54">
        <f t="shared" ref="D64:L64" si="22">IFERROR(SUM(D62,D57),0)</f>
        <v>12405.189999999999</v>
      </c>
      <c r="E64" s="54">
        <f t="shared" si="22"/>
        <v>13763.48</v>
      </c>
      <c r="F64" s="54">
        <f t="shared" si="22"/>
        <v>16248.84</v>
      </c>
      <c r="G64" s="54">
        <f t="shared" si="22"/>
        <v>16137.970000000001</v>
      </c>
      <c r="H64" s="54">
        <f t="shared" si="22"/>
        <v>20355.34</v>
      </c>
      <c r="I64" s="54">
        <f t="shared" si="22"/>
        <v>22958.43</v>
      </c>
      <c r="J64" s="54">
        <f t="shared" si="22"/>
        <v>25779.33</v>
      </c>
      <c r="K64" s="54">
        <f t="shared" si="22"/>
        <v>29900.770000000004</v>
      </c>
      <c r="L64" s="54">
        <f t="shared" si="22"/>
        <v>30355.25</v>
      </c>
      <c r="N64" s="25"/>
    </row>
    <row r="66" spans="1:14" x14ac:dyDescent="0.3">
      <c r="B66" s="36" t="s">
        <v>78</v>
      </c>
      <c r="C66" s="37" t="str">
        <f>IF(C64=C51,"OK","Fault")</f>
        <v>OK</v>
      </c>
      <c r="D66" s="37" t="str">
        <f t="shared" ref="D66:L66" si="23">IF(D64=D51,"OK","Fault")</f>
        <v>OK</v>
      </c>
      <c r="E66" s="37" t="str">
        <f t="shared" si="23"/>
        <v>OK</v>
      </c>
      <c r="F66" s="37" t="str">
        <f t="shared" si="23"/>
        <v>OK</v>
      </c>
      <c r="G66" s="37" t="str">
        <f t="shared" si="23"/>
        <v>OK</v>
      </c>
      <c r="H66" s="37" t="str">
        <f t="shared" si="23"/>
        <v>OK</v>
      </c>
      <c r="I66" s="37" t="str">
        <f t="shared" si="23"/>
        <v>OK</v>
      </c>
      <c r="J66" s="37" t="str">
        <f t="shared" si="23"/>
        <v>OK</v>
      </c>
      <c r="K66" s="37" t="str">
        <f t="shared" si="23"/>
        <v>OK</v>
      </c>
      <c r="L66" s="37" t="str">
        <f t="shared" si="23"/>
        <v>OK</v>
      </c>
    </row>
    <row r="68" spans="1:14" x14ac:dyDescent="0.3">
      <c r="A68" t="s">
        <v>27</v>
      </c>
      <c r="B68" s="249" t="s">
        <v>79</v>
      </c>
      <c r="C68" s="248"/>
      <c r="D68" s="248"/>
      <c r="E68" s="248"/>
      <c r="F68" s="248"/>
      <c r="G68" s="248"/>
      <c r="H68" s="248"/>
      <c r="I68" s="248"/>
      <c r="J68" s="248"/>
      <c r="K68" s="248"/>
      <c r="L68" s="248"/>
      <c r="M68" s="248"/>
    </row>
    <row r="69" spans="1:14" x14ac:dyDescent="0.3">
      <c r="B69" s="4" t="s">
        <v>80</v>
      </c>
    </row>
    <row r="70" spans="1:14" x14ac:dyDescent="0.3">
      <c r="B70" t="str">
        <f>'Raw Sheet CF Asian Paints'!B4</f>
        <v>Profit from operations</v>
      </c>
      <c r="C70" s="25">
        <f>IFERROR('Raw Sheet CF Asian Paints'!E4,0)</f>
        <v>2848</v>
      </c>
      <c r="D70" s="25">
        <f>IFERROR('Raw Sheet CF Asian Paints'!F4,0)</f>
        <v>3056</v>
      </c>
      <c r="E70" s="25">
        <f>IFERROR('Raw Sheet CF Asian Paints'!G4,0)</f>
        <v>3274</v>
      </c>
      <c r="F70" s="25">
        <f>IFERROR('Raw Sheet CF Asian Paints'!H4,0)</f>
        <v>3861</v>
      </c>
      <c r="G70" s="25">
        <f>IFERROR('Raw Sheet CF Asian Paints'!I4,0)</f>
        <v>4380</v>
      </c>
      <c r="H70" s="25">
        <f>IFERROR('Raw Sheet CF Asian Paints'!J4,0)</f>
        <v>4970</v>
      </c>
      <c r="I70" s="25">
        <f>IFERROR('Raw Sheet CF Asian Paints'!K4,0)</f>
        <v>4957</v>
      </c>
      <c r="J70" s="25">
        <f>IFERROR('Raw Sheet CF Asian Paints'!L4,0)</f>
        <v>6460</v>
      </c>
      <c r="K70" s="25">
        <f>IFERROR('Raw Sheet CF Asian Paints'!M4,0)</f>
        <v>7929</v>
      </c>
      <c r="L70" s="25">
        <f>IFERROR('Raw Sheet CF Asian Paints'!N4,0)</f>
        <v>6390</v>
      </c>
      <c r="N70" s="25"/>
    </row>
    <row r="71" spans="1:14" x14ac:dyDescent="0.3">
      <c r="B71" t="str">
        <f>'Raw Sheet CF Asian Paints'!B5</f>
        <v>Receivables</v>
      </c>
      <c r="C71" s="25">
        <f>IFERROR('Raw Sheet CF Asian Paints'!E5,0)</f>
        <v>-146</v>
      </c>
      <c r="D71" s="25">
        <f>IFERROR('Raw Sheet CF Asian Paints'!F5,0)</f>
        <v>-475</v>
      </c>
      <c r="E71" s="25">
        <f>IFERROR('Raw Sheet CF Asian Paints'!G5,0)</f>
        <v>-483</v>
      </c>
      <c r="F71" s="25">
        <f>IFERROR('Raw Sheet CF Asian Paints'!H5,0)</f>
        <v>-205</v>
      </c>
      <c r="G71" s="25">
        <f>IFERROR('Raw Sheet CF Asian Paints'!I5,0)</f>
        <v>160</v>
      </c>
      <c r="H71" s="25">
        <f>IFERROR('Raw Sheet CF Asian Paints'!J5,0)</f>
        <v>-849</v>
      </c>
      <c r="I71" s="25">
        <f>IFERROR('Raw Sheet CF Asian Paints'!K5,0)</f>
        <v>-1326</v>
      </c>
      <c r="J71" s="25">
        <f>IFERROR('Raw Sheet CF Asian Paints'!L5,0)</f>
        <v>-834</v>
      </c>
      <c r="K71" s="25">
        <f>IFERROR('Raw Sheet CF Asian Paints'!M5,0)</f>
        <v>-362</v>
      </c>
      <c r="L71" s="25">
        <f>IFERROR('Raw Sheet CF Asian Paints'!N5,0)</f>
        <v>282</v>
      </c>
      <c r="N71" s="25"/>
    </row>
    <row r="72" spans="1:14" x14ac:dyDescent="0.3">
      <c r="B72" t="str">
        <f>'Raw Sheet CF Asian Paints'!B6</f>
        <v>Inventory</v>
      </c>
      <c r="C72" s="25">
        <f>IFERROR('Raw Sheet CF Asian Paints'!E6,0)</f>
        <v>202</v>
      </c>
      <c r="D72" s="25">
        <f>IFERROR('Raw Sheet CF Asian Paints'!F6,0)</f>
        <v>-629</v>
      </c>
      <c r="E72" s="25">
        <f>IFERROR('Raw Sheet CF Asian Paints'!G6,0)</f>
        <v>-39</v>
      </c>
      <c r="F72" s="25">
        <f>IFERROR('Raw Sheet CF Asian Paints'!H6,0)</f>
        <v>-492</v>
      </c>
      <c r="G72" s="25">
        <f>IFERROR('Raw Sheet CF Asian Paints'!I6,0)</f>
        <v>-251</v>
      </c>
      <c r="H72" s="25">
        <f>IFERROR('Raw Sheet CF Asian Paints'!J6,0)</f>
        <v>-409</v>
      </c>
      <c r="I72" s="25">
        <f>IFERROR('Raw Sheet CF Asian Paints'!K6,0)</f>
        <v>-2354</v>
      </c>
      <c r="J72" s="25">
        <f>IFERROR('Raw Sheet CF Asian Paints'!L6,0)</f>
        <v>-56</v>
      </c>
      <c r="K72" s="25">
        <f>IFERROR('Raw Sheet CF Asian Paints'!M6,0)</f>
        <v>315</v>
      </c>
      <c r="L72" s="25">
        <f>IFERROR('Raw Sheet CF Asian Paints'!N6,0)</f>
        <v>-805</v>
      </c>
      <c r="N72" s="25"/>
    </row>
    <row r="73" spans="1:14" x14ac:dyDescent="0.3">
      <c r="B73" t="str">
        <f>'Raw Sheet CF Asian Paints'!B7</f>
        <v>Payables</v>
      </c>
      <c r="C73" s="25">
        <f>IFERROR('Raw Sheet CF Asian Paints'!E7,0)</f>
        <v>142</v>
      </c>
      <c r="D73" s="25">
        <f>IFERROR('Raw Sheet CF Asian Paints'!F7,0)</f>
        <v>501</v>
      </c>
      <c r="E73" s="25">
        <f>IFERROR('Raw Sheet CF Asian Paints'!G7,0)</f>
        <v>442</v>
      </c>
      <c r="F73" s="25">
        <f>IFERROR('Raw Sheet CF Asian Paints'!H7,0)</f>
        <v>287</v>
      </c>
      <c r="G73" s="25">
        <f>IFERROR('Raw Sheet CF Asian Paints'!I7,0)</f>
        <v>-241</v>
      </c>
      <c r="H73" s="25">
        <f>IFERROR('Raw Sheet CF Asian Paints'!J7,0)</f>
        <v>1143</v>
      </c>
      <c r="I73" s="25">
        <f>IFERROR('Raw Sheet CF Asian Paints'!K7,0)</f>
        <v>644</v>
      </c>
      <c r="J73" s="25">
        <f>IFERROR('Raw Sheet CF Asian Paints'!L7,0)</f>
        <v>-539</v>
      </c>
      <c r="K73" s="25">
        <f>IFERROR('Raw Sheet CF Asian Paints'!M7,0)</f>
        <v>269</v>
      </c>
      <c r="L73" s="25">
        <f>IFERROR('Raw Sheet CF Asian Paints'!N7,0)</f>
        <v>-160</v>
      </c>
      <c r="N73" s="25"/>
    </row>
    <row r="74" spans="1:14" x14ac:dyDescent="0.3">
      <c r="B74" t="e">
        <f>'Raw Sheet CF Asian Paints'!#REF!</f>
        <v>#REF!</v>
      </c>
      <c r="C74" s="25">
        <f>IFERROR('Raw Sheet CF Asian Paints'!#REF!,0)</f>
        <v>0</v>
      </c>
      <c r="D74" s="25">
        <f>IFERROR('Raw Sheet CF Asian Paints'!#REF!,0)</f>
        <v>0</v>
      </c>
      <c r="E74" s="25">
        <f>IFERROR('Raw Sheet CF Asian Paints'!#REF!,0)</f>
        <v>0</v>
      </c>
      <c r="F74" s="25">
        <f>IFERROR('Raw Sheet CF Asian Paints'!#REF!,0)</f>
        <v>0</v>
      </c>
      <c r="G74" s="25">
        <f>IFERROR('Raw Sheet CF Asian Paints'!#REF!,0)</f>
        <v>0</v>
      </c>
      <c r="H74" s="25">
        <f>IFERROR('Raw Sheet CF Asian Paints'!#REF!,0)</f>
        <v>0</v>
      </c>
      <c r="I74" s="25">
        <f>IFERROR('Raw Sheet CF Asian Paints'!#REF!,0)</f>
        <v>0</v>
      </c>
      <c r="J74" s="25">
        <f>IFERROR('Raw Sheet CF Asian Paints'!#REF!,0)</f>
        <v>0</v>
      </c>
      <c r="K74" s="25">
        <f>IFERROR('Raw Sheet CF Asian Paints'!#REF!,0)</f>
        <v>0</v>
      </c>
      <c r="L74" s="25">
        <f>IFERROR('Raw Sheet CF Asian Paints'!#REF!,0)</f>
        <v>0</v>
      </c>
      <c r="N74" s="25"/>
    </row>
    <row r="75" spans="1:14" x14ac:dyDescent="0.3">
      <c r="B75" t="str">
        <f>'Raw Sheet CF Asian Paints'!B8</f>
        <v>Other WC items</v>
      </c>
      <c r="C75" s="25">
        <f>IFERROR('Raw Sheet CF Asian Paints'!E8,0)</f>
        <v>0</v>
      </c>
      <c r="D75" s="25">
        <f>IFERROR('Raw Sheet CF Asian Paints'!F8,0)</f>
        <v>0</v>
      </c>
      <c r="E75" s="25">
        <f>IFERROR('Raw Sheet CF Asian Paints'!G8,0)</f>
        <v>0</v>
      </c>
      <c r="F75" s="25">
        <f>IFERROR('Raw Sheet CF Asian Paints'!H8,0)</f>
        <v>0</v>
      </c>
      <c r="G75" s="25">
        <f>IFERROR('Raw Sheet CF Asian Paints'!I8,0)</f>
        <v>0</v>
      </c>
      <c r="H75" s="25">
        <f>IFERROR('Raw Sheet CF Asian Paints'!J8,0)</f>
        <v>-92</v>
      </c>
      <c r="I75" s="25">
        <f>IFERROR('Raw Sheet CF Asian Paints'!K8,0)</f>
        <v>242</v>
      </c>
      <c r="J75" s="25">
        <f>IFERROR('Raw Sheet CF Asian Paints'!L8,0)</f>
        <v>657</v>
      </c>
      <c r="K75" s="25">
        <f>IFERROR('Raw Sheet CF Asian Paints'!M8,0)</f>
        <v>-212</v>
      </c>
      <c r="L75" s="25">
        <f>IFERROR('Raw Sheet CF Asian Paints'!N8,0)</f>
        <v>114</v>
      </c>
      <c r="N75" s="25"/>
    </row>
    <row r="76" spans="1:14" ht="16.2" x14ac:dyDescent="0.3">
      <c r="B76" s="62" t="s">
        <v>137</v>
      </c>
      <c r="C76" s="63">
        <f>SUM(C71:C75)</f>
        <v>198</v>
      </c>
      <c r="D76" s="63">
        <f t="shared" ref="D76:L76" si="24">SUM(D71:D75)</f>
        <v>-603</v>
      </c>
      <c r="E76" s="63">
        <f t="shared" si="24"/>
        <v>-80</v>
      </c>
      <c r="F76" s="63">
        <f t="shared" si="24"/>
        <v>-410</v>
      </c>
      <c r="G76" s="63">
        <f t="shared" si="24"/>
        <v>-332</v>
      </c>
      <c r="H76" s="63">
        <f t="shared" si="24"/>
        <v>-207</v>
      </c>
      <c r="I76" s="63">
        <f t="shared" si="24"/>
        <v>-2794</v>
      </c>
      <c r="J76" s="63">
        <f t="shared" si="24"/>
        <v>-772</v>
      </c>
      <c r="K76" s="63">
        <f t="shared" si="24"/>
        <v>10</v>
      </c>
      <c r="L76" s="63">
        <f t="shared" si="24"/>
        <v>-569</v>
      </c>
      <c r="N76" s="25"/>
    </row>
    <row r="77" spans="1:14" x14ac:dyDescent="0.3">
      <c r="B77" t="str">
        <f>'Raw Sheet CF Asian Paints'!B10</f>
        <v>Direct taxes</v>
      </c>
      <c r="C77" s="25">
        <f>IFERROR('Raw Sheet CF Asian Paints'!E10,0)</f>
        <v>-802</v>
      </c>
      <c r="D77" s="25">
        <f>IFERROR('Raw Sheet CF Asian Paints'!F10,0)</f>
        <v>-925</v>
      </c>
      <c r="E77" s="25">
        <f>IFERROR('Raw Sheet CF Asian Paints'!G10,0)</f>
        <v>-1081</v>
      </c>
      <c r="F77" s="25">
        <f>IFERROR('Raw Sheet CF Asian Paints'!H10,0)</f>
        <v>-982</v>
      </c>
      <c r="G77" s="25">
        <f>IFERROR('Raw Sheet CF Asian Paints'!I10,0)</f>
        <v>-1011</v>
      </c>
      <c r="H77" s="25">
        <f>IFERROR('Raw Sheet CF Asian Paints'!J10,0)</f>
        <v>-1080</v>
      </c>
      <c r="I77" s="25">
        <f>IFERROR('Raw Sheet CF Asian Paints'!K10,0)</f>
        <v>-1176</v>
      </c>
      <c r="J77" s="25">
        <f>IFERROR('Raw Sheet CF Asian Paints'!L10,0)</f>
        <v>-1494</v>
      </c>
      <c r="K77" s="25">
        <f>IFERROR('Raw Sheet CF Asian Paints'!M10,0)</f>
        <v>-1835</v>
      </c>
      <c r="L77" s="25">
        <f>IFERROR('Raw Sheet CF Asian Paints'!N10,0)</f>
        <v>-1396</v>
      </c>
      <c r="N77" s="25"/>
    </row>
    <row r="78" spans="1:14" x14ac:dyDescent="0.3">
      <c r="B78" s="66" t="s">
        <v>81</v>
      </c>
      <c r="C78" s="67">
        <f>C70+C76+C77</f>
        <v>2244</v>
      </c>
      <c r="D78" s="67">
        <f t="shared" ref="D78:L78" si="25">D70+D76+D77</f>
        <v>1528</v>
      </c>
      <c r="E78" s="67">
        <f t="shared" si="25"/>
        <v>2113</v>
      </c>
      <c r="F78" s="67">
        <f t="shared" si="25"/>
        <v>2469</v>
      </c>
      <c r="G78" s="67">
        <f t="shared" si="25"/>
        <v>3037</v>
      </c>
      <c r="H78" s="67">
        <f t="shared" si="25"/>
        <v>3683</v>
      </c>
      <c r="I78" s="67">
        <f t="shared" si="25"/>
        <v>987</v>
      </c>
      <c r="J78" s="67">
        <f t="shared" si="25"/>
        <v>4194</v>
      </c>
      <c r="K78" s="67">
        <f t="shared" si="25"/>
        <v>6104</v>
      </c>
      <c r="L78" s="67">
        <f t="shared" si="25"/>
        <v>4425</v>
      </c>
      <c r="N78" s="25"/>
    </row>
    <row r="79" spans="1:14" x14ac:dyDescent="0.3">
      <c r="N79" s="25"/>
    </row>
    <row r="80" spans="1:14" x14ac:dyDescent="0.3">
      <c r="B80" s="4" t="s">
        <v>82</v>
      </c>
      <c r="N80" s="25"/>
    </row>
    <row r="81" spans="2:14" x14ac:dyDescent="0.3">
      <c r="B81" t="str">
        <f>'Raw Sheet CF Asian Paints'!B12</f>
        <v>Fixed assets purchased</v>
      </c>
      <c r="C81" s="25">
        <f>IFERROR('Raw Sheet CF Asian Paints'!E12,0)</f>
        <v>-817</v>
      </c>
      <c r="D81" s="25">
        <f>IFERROR('Raw Sheet CF Asian Paints'!F12,0)</f>
        <v>-684</v>
      </c>
      <c r="E81" s="25">
        <f>IFERROR('Raw Sheet CF Asian Paints'!G12,0)</f>
        <v>-1426</v>
      </c>
      <c r="F81" s="25">
        <f>IFERROR('Raw Sheet CF Asian Paints'!H12,0)</f>
        <v>-1151</v>
      </c>
      <c r="G81" s="25">
        <f>IFERROR('Raw Sheet CF Asian Paints'!I12,0)</f>
        <v>-414</v>
      </c>
      <c r="H81" s="25">
        <f>IFERROR('Raw Sheet CF Asian Paints'!J12,0)</f>
        <v>-289</v>
      </c>
      <c r="I81" s="25">
        <f>IFERROR('Raw Sheet CF Asian Paints'!K12,0)</f>
        <v>-551</v>
      </c>
      <c r="J81" s="25">
        <f>IFERROR('Raw Sheet CF Asian Paints'!L12,0)</f>
        <v>-1446</v>
      </c>
      <c r="K81" s="25">
        <f>IFERROR('Raw Sheet CF Asian Paints'!M12,0)</f>
        <v>-2496</v>
      </c>
      <c r="L81" s="25">
        <f>IFERROR('Raw Sheet CF Asian Paints'!N12,0)</f>
        <v>-1830</v>
      </c>
      <c r="N81" s="25"/>
    </row>
    <row r="82" spans="2:14" x14ac:dyDescent="0.3">
      <c r="B82" t="str">
        <f>'Raw Sheet CF Asian Paints'!B13</f>
        <v>Fixed assets sold</v>
      </c>
      <c r="C82" s="25">
        <f>IFERROR('Raw Sheet CF Asian Paints'!E13,0)</f>
        <v>15</v>
      </c>
      <c r="D82" s="25">
        <f>IFERROR('Raw Sheet CF Asian Paints'!F13,0)</f>
        <v>17</v>
      </c>
      <c r="E82" s="25">
        <f>IFERROR('Raw Sheet CF Asian Paints'!G13,0)</f>
        <v>17</v>
      </c>
      <c r="F82" s="25">
        <f>IFERROR('Raw Sheet CF Asian Paints'!H13,0)</f>
        <v>17</v>
      </c>
      <c r="G82" s="25">
        <f>IFERROR('Raw Sheet CF Asian Paints'!I13,0)</f>
        <v>37</v>
      </c>
      <c r="H82" s="25">
        <f>IFERROR('Raw Sheet CF Asian Paints'!J13,0)</f>
        <v>28</v>
      </c>
      <c r="I82" s="25">
        <f>IFERROR('Raw Sheet CF Asian Paints'!K13,0)</f>
        <v>40</v>
      </c>
      <c r="J82" s="25">
        <f>IFERROR('Raw Sheet CF Asian Paints'!L13,0)</f>
        <v>26</v>
      </c>
      <c r="K82" s="25">
        <f>IFERROR('Raw Sheet CF Asian Paints'!M13,0)</f>
        <v>5</v>
      </c>
      <c r="L82" s="25">
        <f>IFERROR('Raw Sheet CF Asian Paints'!N13,0)</f>
        <v>10</v>
      </c>
      <c r="N82" s="25"/>
    </row>
    <row r="83" spans="2:14" x14ac:dyDescent="0.3">
      <c r="B83" t="str">
        <f>'Raw Sheet CF Asian Paints'!B14</f>
        <v>Investments purchased</v>
      </c>
      <c r="C83" s="25">
        <f>IFERROR('Raw Sheet CF Asian Paints'!E14,0)</f>
        <v>-282</v>
      </c>
      <c r="D83" s="25">
        <f>IFERROR('Raw Sheet CF Asian Paints'!F14,0)</f>
        <v>-153</v>
      </c>
      <c r="E83" s="25">
        <f>IFERROR('Raw Sheet CF Asian Paints'!G14,0)</f>
        <v>-320</v>
      </c>
      <c r="F83" s="25">
        <f>IFERROR('Raw Sheet CF Asian Paints'!H14,0)</f>
        <v>-573</v>
      </c>
      <c r="G83" s="25">
        <f>IFERROR('Raw Sheet CF Asian Paints'!I14,0)</f>
        <v>-25</v>
      </c>
      <c r="H83" s="25">
        <f>IFERROR('Raw Sheet CF Asian Paints'!J14,0)</f>
        <v>-140</v>
      </c>
      <c r="I83" s="25">
        <f>IFERROR('Raw Sheet CF Asian Paints'!K14,0)</f>
        <v>0</v>
      </c>
      <c r="J83" s="25">
        <f>IFERROR('Raw Sheet CF Asian Paints'!L14,0)</f>
        <v>-146</v>
      </c>
      <c r="K83" s="25">
        <f>IFERROR('Raw Sheet CF Asian Paints'!M14,0)</f>
        <v>-212</v>
      </c>
      <c r="L83" s="25">
        <f>IFERROR('Raw Sheet CF Asian Paints'!N14,0)</f>
        <v>-1</v>
      </c>
      <c r="N83" s="25"/>
    </row>
    <row r="84" spans="2:14" x14ac:dyDescent="0.3">
      <c r="B84" t="str">
        <f>'Raw Sheet CF Asian Paints'!B15</f>
        <v>Investments sold</v>
      </c>
      <c r="C84" s="25">
        <f>IFERROR('Raw Sheet CF Asian Paints'!E15,0)</f>
        <v>205</v>
      </c>
      <c r="D84" s="25">
        <f>IFERROR('Raw Sheet CF Asian Paints'!F15,0)</f>
        <v>357</v>
      </c>
      <c r="E84" s="25">
        <f>IFERROR('Raw Sheet CF Asian Paints'!G15,0)</f>
        <v>362</v>
      </c>
      <c r="F84" s="25">
        <f>IFERROR('Raw Sheet CF Asian Paints'!H15,0)</f>
        <v>733</v>
      </c>
      <c r="G84" s="25">
        <f>IFERROR('Raw Sheet CF Asian Paints'!I15,0)</f>
        <v>118</v>
      </c>
      <c r="H84" s="25">
        <f>IFERROR('Raw Sheet CF Asian Paints'!J15,0)</f>
        <v>272</v>
      </c>
      <c r="I84" s="25">
        <f>IFERROR('Raw Sheet CF Asian Paints'!K15,0)</f>
        <v>207</v>
      </c>
      <c r="J84" s="25">
        <f>IFERROR('Raw Sheet CF Asian Paints'!L15,0)</f>
        <v>446</v>
      </c>
      <c r="K84" s="25">
        <f>IFERROR('Raw Sheet CF Asian Paints'!M15,0)</f>
        <v>240</v>
      </c>
      <c r="L84" s="25">
        <f>IFERROR('Raw Sheet CF Asian Paints'!N15,0)</f>
        <v>421</v>
      </c>
      <c r="N84" s="25"/>
    </row>
    <row r="85" spans="2:14" x14ac:dyDescent="0.3">
      <c r="B85" t="str">
        <f>'Raw Sheet CF Asian Paints'!B16</f>
        <v>Interest received</v>
      </c>
      <c r="C85" s="25">
        <f>IFERROR('Raw Sheet CF Asian Paints'!E16,0)</f>
        <v>15</v>
      </c>
      <c r="D85" s="25">
        <f>IFERROR('Raw Sheet CF Asian Paints'!F16,0)</f>
        <v>32</v>
      </c>
      <c r="E85" s="25">
        <f>IFERROR('Raw Sheet CF Asian Paints'!G16,0)</f>
        <v>39</v>
      </c>
      <c r="F85" s="25">
        <f>IFERROR('Raw Sheet CF Asian Paints'!H16,0)</f>
        <v>40</v>
      </c>
      <c r="G85" s="25">
        <f>IFERROR('Raw Sheet CF Asian Paints'!I16,0)</f>
        <v>65</v>
      </c>
      <c r="H85" s="25">
        <f>IFERROR('Raw Sheet CF Asian Paints'!J16,0)</f>
        <v>73</v>
      </c>
      <c r="I85" s="25">
        <f>IFERROR('Raw Sheet CF Asian Paints'!K16,0)</f>
        <v>77</v>
      </c>
      <c r="J85" s="25">
        <f>IFERROR('Raw Sheet CF Asian Paints'!L16,0)</f>
        <v>87</v>
      </c>
      <c r="K85" s="25">
        <f>IFERROR('Raw Sheet CF Asian Paints'!M16,0)</f>
        <v>135</v>
      </c>
      <c r="L85" s="25">
        <f>IFERROR('Raw Sheet CF Asian Paints'!N16,0)</f>
        <v>155</v>
      </c>
      <c r="N85" s="25"/>
    </row>
    <row r="86" spans="2:14" x14ac:dyDescent="0.3">
      <c r="B86" t="str">
        <f>'Raw Sheet CF Asian Paints'!B17</f>
        <v>Dividends received</v>
      </c>
      <c r="C86" s="25">
        <f>IFERROR('Raw Sheet CF Asian Paints'!E17,0)</f>
        <v>69</v>
      </c>
      <c r="D86" s="25">
        <f>IFERROR('Raw Sheet CF Asian Paints'!F17,0)</f>
        <v>74</v>
      </c>
      <c r="E86" s="25">
        <f>IFERROR('Raw Sheet CF Asian Paints'!G17,0)</f>
        <v>38</v>
      </c>
      <c r="F86" s="25">
        <f>IFERROR('Raw Sheet CF Asian Paints'!H17,0)</f>
        <v>40</v>
      </c>
      <c r="G86" s="25">
        <f>IFERROR('Raw Sheet CF Asian Paints'!I17,0)</f>
        <v>27</v>
      </c>
      <c r="H86" s="25">
        <f>IFERROR('Raw Sheet CF Asian Paints'!J17,0)</f>
        <v>8</v>
      </c>
      <c r="I86" s="25">
        <f>IFERROR('Raw Sheet CF Asian Paints'!K17,0)</f>
        <v>15</v>
      </c>
      <c r="J86" s="25">
        <f>IFERROR('Raw Sheet CF Asian Paints'!L17,0)</f>
        <v>56</v>
      </c>
      <c r="K86" s="25">
        <f>IFERROR('Raw Sheet CF Asian Paints'!M17,0)</f>
        <v>129</v>
      </c>
      <c r="L86" s="25">
        <f>IFERROR('Raw Sheet CF Asian Paints'!N17,0)</f>
        <v>136</v>
      </c>
      <c r="N86" s="25"/>
    </row>
    <row r="87" spans="2:14" x14ac:dyDescent="0.3">
      <c r="B87" t="str">
        <f>'Raw Sheet CF Asian Paints'!B18</f>
        <v>Investment in group cos</v>
      </c>
      <c r="C87" s="25">
        <f>IFERROR('Raw Sheet CF Asian Paints'!E18,0)</f>
        <v>0</v>
      </c>
      <c r="D87" s="25">
        <f>IFERROR('Raw Sheet CF Asian Paints'!F18,0)</f>
        <v>0</v>
      </c>
      <c r="E87" s="25">
        <f>IFERROR('Raw Sheet CF Asian Paints'!G18,0)</f>
        <v>0</v>
      </c>
      <c r="F87" s="25">
        <f>IFERROR('Raw Sheet CF Asian Paints'!H18,0)</f>
        <v>0</v>
      </c>
      <c r="G87" s="25">
        <f>IFERROR('Raw Sheet CF Asian Paints'!I18,0)</f>
        <v>0</v>
      </c>
      <c r="H87" s="25">
        <f>IFERROR('Raw Sheet CF Asian Paints'!J18,0)</f>
        <v>0</v>
      </c>
      <c r="I87" s="25">
        <f>IFERROR('Raw Sheet CF Asian Paints'!K18,0)</f>
        <v>0</v>
      </c>
      <c r="J87" s="25">
        <f>IFERROR('Raw Sheet CF Asian Paints'!L18,0)</f>
        <v>-180</v>
      </c>
      <c r="K87" s="25">
        <f>IFERROR('Raw Sheet CF Asian Paints'!M18,0)</f>
        <v>0</v>
      </c>
      <c r="L87" s="25">
        <f>IFERROR('Raw Sheet CF Asian Paints'!N18,0)</f>
        <v>0</v>
      </c>
      <c r="N87" s="25"/>
    </row>
    <row r="88" spans="2:14" x14ac:dyDescent="0.3">
      <c r="B88" t="str">
        <f>'Raw Sheet CF Asian Paints'!B19</f>
        <v>Redemp n Canc of Shares</v>
      </c>
      <c r="C88" s="25">
        <f>IFERROR('Raw Sheet CF Asian Paints'!E19,0)</f>
        <v>0</v>
      </c>
      <c r="D88" s="25">
        <f>IFERROR('Raw Sheet CF Asian Paints'!F19,0)</f>
        <v>0</v>
      </c>
      <c r="E88" s="25">
        <f>IFERROR('Raw Sheet CF Asian Paints'!G19,0)</f>
        <v>141</v>
      </c>
      <c r="F88" s="25">
        <f>IFERROR('Raw Sheet CF Asian Paints'!H19,0)</f>
        <v>0</v>
      </c>
      <c r="G88" s="25">
        <f>IFERROR('Raw Sheet CF Asian Paints'!I19,0)</f>
        <v>17</v>
      </c>
      <c r="H88" s="25">
        <f>IFERROR('Raw Sheet CF Asian Paints'!J19,0)</f>
        <v>0</v>
      </c>
      <c r="I88" s="25">
        <f>IFERROR('Raw Sheet CF Asian Paints'!K19,0)</f>
        <v>0</v>
      </c>
      <c r="J88" s="25">
        <f>IFERROR('Raw Sheet CF Asian Paints'!L19,0)</f>
        <v>0</v>
      </c>
      <c r="K88" s="25">
        <f>IFERROR('Raw Sheet CF Asian Paints'!M19,0)</f>
        <v>0</v>
      </c>
      <c r="L88" s="25">
        <f>IFERROR('Raw Sheet CF Asian Paints'!N19,0)</f>
        <v>38</v>
      </c>
      <c r="N88" s="25"/>
    </row>
    <row r="89" spans="2:14" x14ac:dyDescent="0.3">
      <c r="B89" t="str">
        <f>'Raw Sheet CF Asian Paints'!B20</f>
        <v>Acquisition of companies</v>
      </c>
      <c r="C89" s="25">
        <f>IFERROR('Raw Sheet CF Asian Paints'!E20,0)</f>
        <v>0</v>
      </c>
      <c r="D89" s="25">
        <f>IFERROR('Raw Sheet CF Asian Paints'!F20,0)</f>
        <v>0</v>
      </c>
      <c r="E89" s="25">
        <f>IFERROR('Raw Sheet CF Asian Paints'!G20,0)</f>
        <v>-525</v>
      </c>
      <c r="F89" s="25">
        <f>IFERROR('Raw Sheet CF Asian Paints'!H20,0)</f>
        <v>0</v>
      </c>
      <c r="G89" s="25">
        <f>IFERROR('Raw Sheet CF Asian Paints'!I20,0)</f>
        <v>0</v>
      </c>
      <c r="H89" s="25">
        <f>IFERROR('Raw Sheet CF Asian Paints'!J20,0)</f>
        <v>0</v>
      </c>
      <c r="I89" s="25">
        <f>IFERROR('Raw Sheet CF Asian Paints'!K20,0)</f>
        <v>0</v>
      </c>
      <c r="J89" s="25">
        <f>IFERROR('Raw Sheet CF Asian Paints'!L20,0)</f>
        <v>0</v>
      </c>
      <c r="K89" s="25">
        <f>IFERROR('Raw Sheet CF Asian Paints'!M20,0)</f>
        <v>0</v>
      </c>
      <c r="L89" s="25">
        <f>IFERROR('Raw Sheet CF Asian Paints'!N20,0)</f>
        <v>0</v>
      </c>
      <c r="N89" s="25"/>
    </row>
    <row r="90" spans="2:14" x14ac:dyDescent="0.3">
      <c r="B90" t="str">
        <f>'Raw Sheet CF Asian Paints'!B21</f>
        <v>Other investing items</v>
      </c>
      <c r="C90" s="25">
        <f>IFERROR('Raw Sheet CF Asian Paints'!E21,0)</f>
        <v>-70</v>
      </c>
      <c r="D90" s="25">
        <f>IFERROR('Raw Sheet CF Asian Paints'!F21,0)</f>
        <v>-324</v>
      </c>
      <c r="E90" s="25">
        <f>IFERROR('Raw Sheet CF Asian Paints'!G21,0)</f>
        <v>118</v>
      </c>
      <c r="F90" s="25">
        <f>IFERROR('Raw Sheet CF Asian Paints'!H21,0)</f>
        <v>-24</v>
      </c>
      <c r="G90" s="25">
        <f>IFERROR('Raw Sheet CF Asian Paints'!I21,0)</f>
        <v>-343</v>
      </c>
      <c r="H90" s="25">
        <f>IFERROR('Raw Sheet CF Asian Paints'!J21,0)</f>
        <v>-493</v>
      </c>
      <c r="I90" s="25">
        <f>IFERROR('Raw Sheet CF Asian Paints'!K21,0)</f>
        <v>-105</v>
      </c>
      <c r="J90" s="25">
        <f>IFERROR('Raw Sheet CF Asian Paints'!L21,0)</f>
        <v>-126</v>
      </c>
      <c r="K90" s="25">
        <f>IFERROR('Raw Sheet CF Asian Paints'!M21,0)</f>
        <v>-350</v>
      </c>
      <c r="L90" s="25">
        <f>IFERROR('Raw Sheet CF Asian Paints'!N21,0)</f>
        <v>130</v>
      </c>
      <c r="N90" s="25"/>
    </row>
    <row r="91" spans="2:14" x14ac:dyDescent="0.3">
      <c r="B91" s="66" t="s">
        <v>84</v>
      </c>
      <c r="C91" s="67">
        <f t="shared" ref="C91:L91" si="26">IFERROR(SUM(C81:C90),0)</f>
        <v>-865</v>
      </c>
      <c r="D91" s="67">
        <f t="shared" si="26"/>
        <v>-681</v>
      </c>
      <c r="E91" s="67">
        <f t="shared" si="26"/>
        <v>-1556</v>
      </c>
      <c r="F91" s="67">
        <f t="shared" si="26"/>
        <v>-918</v>
      </c>
      <c r="G91" s="67">
        <f t="shared" si="26"/>
        <v>-518</v>
      </c>
      <c r="H91" s="67">
        <f t="shared" si="26"/>
        <v>-541</v>
      </c>
      <c r="I91" s="67">
        <f t="shared" si="26"/>
        <v>-317</v>
      </c>
      <c r="J91" s="67">
        <f t="shared" si="26"/>
        <v>-1283</v>
      </c>
      <c r="K91" s="67">
        <f t="shared" si="26"/>
        <v>-2549</v>
      </c>
      <c r="L91" s="67">
        <f t="shared" si="26"/>
        <v>-941</v>
      </c>
      <c r="N91" s="25"/>
    </row>
    <row r="92" spans="2:14" x14ac:dyDescent="0.3">
      <c r="N92" s="25"/>
    </row>
    <row r="93" spans="2:14" x14ac:dyDescent="0.3">
      <c r="B93" s="4" t="s">
        <v>85</v>
      </c>
      <c r="N93" s="25"/>
    </row>
    <row r="94" spans="2:14" x14ac:dyDescent="0.3">
      <c r="B94" t="str">
        <f>'Raw Sheet CF Asian Paints'!B23</f>
        <v>Proceeds from shares</v>
      </c>
      <c r="C94" s="25">
        <f>IFERROR('Raw Sheet CF Asian Paints'!E23,0)</f>
        <v>0</v>
      </c>
      <c r="D94" s="25">
        <f>IFERROR('Raw Sheet CF Asian Paints'!F23,0)</f>
        <v>0</v>
      </c>
      <c r="E94" s="25">
        <f>IFERROR('Raw Sheet CF Asian Paints'!G23,0)</f>
        <v>0</v>
      </c>
      <c r="F94" s="25">
        <f>IFERROR('Raw Sheet CF Asian Paints'!H23,0)</f>
        <v>0</v>
      </c>
      <c r="G94" s="25">
        <f>IFERROR('Raw Sheet CF Asian Paints'!I23,0)</f>
        <v>0</v>
      </c>
      <c r="H94" s="25">
        <f>IFERROR('Raw Sheet CF Asian Paints'!J23,0)</f>
        <v>0</v>
      </c>
      <c r="I94" s="25">
        <f>IFERROR('Raw Sheet CF Asian Paints'!K23,0)</f>
        <v>0</v>
      </c>
      <c r="J94" s="25">
        <f>IFERROR('Raw Sheet CF Asian Paints'!L23,0)</f>
        <v>0</v>
      </c>
      <c r="K94" s="25">
        <f>IFERROR('Raw Sheet CF Asian Paints'!M23,0)</f>
        <v>1</v>
      </c>
      <c r="L94" s="25">
        <f>IFERROR('Raw Sheet CF Asian Paints'!N23,0)</f>
        <v>0</v>
      </c>
      <c r="N94" s="25"/>
    </row>
    <row r="95" spans="2:14" x14ac:dyDescent="0.3">
      <c r="B95" t="str">
        <f>'Raw Sheet CF Asian Paints'!B24</f>
        <v>Proceeds from borrowings</v>
      </c>
      <c r="C95" s="25">
        <f>IFERROR('Raw Sheet CF Asian Paints'!E24,0)</f>
        <v>8</v>
      </c>
      <c r="D95" s="25">
        <f>IFERROR('Raw Sheet CF Asian Paints'!F24,0)</f>
        <v>271</v>
      </c>
      <c r="E95" s="25">
        <f>IFERROR('Raw Sheet CF Asian Paints'!G24,0)</f>
        <v>10</v>
      </c>
      <c r="F95" s="25">
        <f>IFERROR('Raw Sheet CF Asian Paints'!H24,0)</f>
        <v>243</v>
      </c>
      <c r="G95" s="25">
        <f>IFERROR('Raw Sheet CF Asian Paints'!I24,0)</f>
        <v>18</v>
      </c>
      <c r="H95" s="25">
        <f>IFERROR('Raw Sheet CF Asian Paints'!J24,0)</f>
        <v>155</v>
      </c>
      <c r="I95" s="25">
        <f>IFERROR('Raw Sheet CF Asian Paints'!K24,0)</f>
        <v>418</v>
      </c>
      <c r="J95" s="25">
        <f>IFERROR('Raw Sheet CF Asian Paints'!L24,0)</f>
        <v>254</v>
      </c>
      <c r="K95" s="25">
        <f>IFERROR('Raw Sheet CF Asian Paints'!M24,0)</f>
        <v>101</v>
      </c>
      <c r="L95" s="25">
        <f>IFERROR('Raw Sheet CF Asian Paints'!N24,0)</f>
        <v>415</v>
      </c>
      <c r="N95" s="25"/>
    </row>
    <row r="96" spans="2:14" x14ac:dyDescent="0.3">
      <c r="B96" t="str">
        <f>'Raw Sheet CF Asian Paints'!B25</f>
        <v>Repayment of borrowings</v>
      </c>
      <c r="C96" s="25">
        <f>IFERROR('Raw Sheet CF Asian Paints'!E25,0)</f>
        <v>-119</v>
      </c>
      <c r="D96" s="25">
        <f>IFERROR('Raw Sheet CF Asian Paints'!F25,0)</f>
        <v>-58</v>
      </c>
      <c r="E96" s="25">
        <f>IFERROR('Raw Sheet CF Asian Paints'!G25,0)</f>
        <v>-54</v>
      </c>
      <c r="F96" s="25">
        <f>IFERROR('Raw Sheet CF Asian Paints'!H25,0)</f>
        <v>-26</v>
      </c>
      <c r="G96" s="25">
        <f>IFERROR('Raw Sheet CF Asian Paints'!I25,0)</f>
        <v>-482</v>
      </c>
      <c r="H96" s="25">
        <f>IFERROR('Raw Sheet CF Asian Paints'!J25,0)</f>
        <v>-14</v>
      </c>
      <c r="I96" s="25">
        <f>IFERROR('Raw Sheet CF Asian Paints'!K25,0)</f>
        <v>-8</v>
      </c>
      <c r="J96" s="25">
        <f>IFERROR('Raw Sheet CF Asian Paints'!L25,0)</f>
        <v>-25</v>
      </c>
      <c r="K96" s="25">
        <f>IFERROR('Raw Sheet CF Asian Paints'!M25,0)</f>
        <v>-98</v>
      </c>
      <c r="L96" s="25">
        <f>IFERROR('Raw Sheet CF Asian Paints'!N25,0)</f>
        <v>-428</v>
      </c>
      <c r="N96" s="25"/>
    </row>
    <row r="97" spans="1:14" x14ac:dyDescent="0.3">
      <c r="B97" t="str">
        <f>'Raw Sheet CF Asian Paints'!B26</f>
        <v>Interest paid fin</v>
      </c>
      <c r="C97" s="25">
        <f>IFERROR('Raw Sheet CF Asian Paints'!E26,0)</f>
        <v>-40</v>
      </c>
      <c r="D97" s="25">
        <f>IFERROR('Raw Sheet CF Asian Paints'!F26,0)</f>
        <v>-36</v>
      </c>
      <c r="E97" s="25">
        <f>IFERROR('Raw Sheet CF Asian Paints'!G26,0)</f>
        <v>-35</v>
      </c>
      <c r="F97" s="25">
        <f>IFERROR('Raw Sheet CF Asian Paints'!H26,0)</f>
        <v>-106</v>
      </c>
      <c r="G97" s="25">
        <f>IFERROR('Raw Sheet CF Asian Paints'!I26,0)</f>
        <v>-101</v>
      </c>
      <c r="H97" s="25">
        <f>IFERROR('Raw Sheet CF Asian Paints'!J26,0)</f>
        <v>-89</v>
      </c>
      <c r="I97" s="25">
        <f>IFERROR('Raw Sheet CF Asian Paints'!K26,0)</f>
        <v>-94</v>
      </c>
      <c r="J97" s="25">
        <f>IFERROR('Raw Sheet CF Asian Paints'!L26,0)</f>
        <v>-142</v>
      </c>
      <c r="K97" s="25">
        <f>IFERROR('Raw Sheet CF Asian Paints'!M26,0)</f>
        <v>-191</v>
      </c>
      <c r="L97" s="25">
        <f>IFERROR('Raw Sheet CF Asian Paints'!N26,0)</f>
        <v>-203</v>
      </c>
      <c r="N97" s="25"/>
    </row>
    <row r="98" spans="1:14" x14ac:dyDescent="0.3">
      <c r="B98" t="str">
        <f>'Raw Sheet CF Asian Paints'!B27</f>
        <v>Dividends paid</v>
      </c>
      <c r="C98" s="25">
        <f>IFERROR('Raw Sheet CF Asian Paints'!E27,0)</f>
        <v>-764</v>
      </c>
      <c r="D98" s="25">
        <f>IFERROR('Raw Sheet CF Asian Paints'!F27,0)</f>
        <v>-947</v>
      </c>
      <c r="E98" s="25">
        <f>IFERROR('Raw Sheet CF Asian Paints'!G27,0)</f>
        <v>-1218</v>
      </c>
      <c r="F98" s="25">
        <f>IFERROR('Raw Sheet CF Asian Paints'!H27,0)</f>
        <v>-1049</v>
      </c>
      <c r="G98" s="25">
        <f>IFERROR('Raw Sheet CF Asian Paints'!I27,0)</f>
        <v>-2121</v>
      </c>
      <c r="H98" s="25">
        <f>IFERROR('Raw Sheet CF Asian Paints'!J27,0)</f>
        <v>-499</v>
      </c>
      <c r="I98" s="25">
        <f>IFERROR('Raw Sheet CF Asian Paints'!K27,0)</f>
        <v>-1763</v>
      </c>
      <c r="J98" s="25">
        <f>IFERROR('Raw Sheet CF Asian Paints'!L27,0)</f>
        <v>-1936</v>
      </c>
      <c r="K98" s="25">
        <f>IFERROR('Raw Sheet CF Asian Paints'!M27,0)</f>
        <v>-2551</v>
      </c>
      <c r="L98" s="25">
        <f>IFERROR('Raw Sheet CF Asian Paints'!N27,0)</f>
        <v>-3140</v>
      </c>
      <c r="N98" s="25"/>
    </row>
    <row r="99" spans="1:14" x14ac:dyDescent="0.3">
      <c r="B99" t="str">
        <f>'Raw Sheet CF Asian Paints'!B28</f>
        <v>Financial liabilities</v>
      </c>
      <c r="C99" s="25">
        <f>IFERROR('Raw Sheet CF Asian Paints'!E28,0)</f>
        <v>0</v>
      </c>
      <c r="D99" s="25">
        <f>IFERROR('Raw Sheet CF Asian Paints'!F28,0)</f>
        <v>0</v>
      </c>
      <c r="E99" s="25">
        <f>IFERROR('Raw Sheet CF Asian Paints'!G28,0)</f>
        <v>0</v>
      </c>
      <c r="F99" s="25">
        <f>IFERROR('Raw Sheet CF Asian Paints'!H28,0)</f>
        <v>-180</v>
      </c>
      <c r="G99" s="25">
        <f>IFERROR('Raw Sheet CF Asian Paints'!I28,0)</f>
        <v>-179</v>
      </c>
      <c r="H99" s="25">
        <f>IFERROR('Raw Sheet CF Asian Paints'!J28,0)</f>
        <v>-203</v>
      </c>
      <c r="I99" s="25">
        <f>IFERROR('Raw Sheet CF Asian Paints'!K28,0)</f>
        <v>-221</v>
      </c>
      <c r="J99" s="25">
        <f>IFERROR('Raw Sheet CF Asian Paints'!L28,0)</f>
        <v>-256</v>
      </c>
      <c r="K99" s="25">
        <f>IFERROR('Raw Sheet CF Asian Paints'!M28,0)</f>
        <v>-286</v>
      </c>
      <c r="L99" s="25">
        <f>IFERROR('Raw Sheet CF Asian Paints'!N28,0)</f>
        <v>-325</v>
      </c>
      <c r="N99" s="25"/>
    </row>
    <row r="100" spans="1:14" x14ac:dyDescent="0.3">
      <c r="B100" t="str">
        <f>'Raw Sheet CF Asian Paints'!B29</f>
        <v>Other financing items</v>
      </c>
      <c r="C100" s="25">
        <f>IFERROR('Raw Sheet CF Asian Paints'!E29,0)</f>
        <v>66</v>
      </c>
      <c r="D100" s="25">
        <f>IFERROR('Raw Sheet CF Asian Paints'!F29,0)</f>
        <v>13</v>
      </c>
      <c r="E100" s="25">
        <f>IFERROR('Raw Sheet CF Asian Paints'!G29,0)</f>
        <v>-82</v>
      </c>
      <c r="F100" s="25">
        <f>IFERROR('Raw Sheet CF Asian Paints'!H29,0)</f>
        <v>0</v>
      </c>
      <c r="G100" s="25">
        <f>IFERROR('Raw Sheet CF Asian Paints'!I29,0)</f>
        <v>-6</v>
      </c>
      <c r="H100" s="25">
        <f>IFERROR('Raw Sheet CF Asian Paints'!J29,0)</f>
        <v>0</v>
      </c>
      <c r="I100" s="25">
        <f>IFERROR('Raw Sheet CF Asian Paints'!K29,0)</f>
        <v>-140</v>
      </c>
      <c r="J100" s="25">
        <f>IFERROR('Raw Sheet CF Asian Paints'!L29,0)</f>
        <v>-36</v>
      </c>
      <c r="K100" s="25">
        <f>IFERROR('Raw Sheet CF Asian Paints'!M29,0)</f>
        <v>41</v>
      </c>
      <c r="L100" s="25">
        <f>IFERROR('Raw Sheet CF Asian Paints'!N29,0)</f>
        <v>-72</v>
      </c>
      <c r="N100" s="25"/>
    </row>
    <row r="101" spans="1:14" x14ac:dyDescent="0.3">
      <c r="B101" s="66" t="s">
        <v>87</v>
      </c>
      <c r="C101" s="67">
        <f t="shared" ref="C101:L101" si="27">IFERROR(SUM(C94:C100),0)</f>
        <v>-849</v>
      </c>
      <c r="D101" s="67">
        <f t="shared" si="27"/>
        <v>-757</v>
      </c>
      <c r="E101" s="67">
        <f t="shared" si="27"/>
        <v>-1379</v>
      </c>
      <c r="F101" s="67">
        <f t="shared" si="27"/>
        <v>-1118</v>
      </c>
      <c r="G101" s="67">
        <f t="shared" si="27"/>
        <v>-2871</v>
      </c>
      <c r="H101" s="67">
        <f t="shared" si="27"/>
        <v>-650</v>
      </c>
      <c r="I101" s="67">
        <f t="shared" si="27"/>
        <v>-1808</v>
      </c>
      <c r="J101" s="67">
        <f t="shared" si="27"/>
        <v>-2141</v>
      </c>
      <c r="K101" s="67">
        <f t="shared" si="27"/>
        <v>-2983</v>
      </c>
      <c r="L101" s="67">
        <f t="shared" si="27"/>
        <v>-3753</v>
      </c>
      <c r="N101" s="25"/>
    </row>
    <row r="102" spans="1:14" x14ac:dyDescent="0.3">
      <c r="N102" s="25"/>
    </row>
    <row r="103" spans="1:14" x14ac:dyDescent="0.3">
      <c r="B103" s="38" t="s">
        <v>88</v>
      </c>
      <c r="C103" s="33">
        <f t="shared" ref="C103:L103" si="28">IFERROR(SUM(C101,C91,C78),0)</f>
        <v>530</v>
      </c>
      <c r="D103" s="33">
        <f t="shared" si="28"/>
        <v>90</v>
      </c>
      <c r="E103" s="33">
        <f t="shared" si="28"/>
        <v>-822</v>
      </c>
      <c r="F103" s="33">
        <f t="shared" si="28"/>
        <v>433</v>
      </c>
      <c r="G103" s="33">
        <f t="shared" si="28"/>
        <v>-352</v>
      </c>
      <c r="H103" s="33">
        <f t="shared" si="28"/>
        <v>2492</v>
      </c>
      <c r="I103" s="33">
        <f t="shared" si="28"/>
        <v>-1138</v>
      </c>
      <c r="J103" s="33">
        <f t="shared" si="28"/>
        <v>770</v>
      </c>
      <c r="K103" s="33">
        <f t="shared" si="28"/>
        <v>572</v>
      </c>
      <c r="L103" s="33">
        <f t="shared" si="28"/>
        <v>-269</v>
      </c>
      <c r="N103" s="25"/>
    </row>
    <row r="104" spans="1:14" x14ac:dyDescent="0.3">
      <c r="N104" s="25"/>
    </row>
    <row r="105" spans="1:14" x14ac:dyDescent="0.3">
      <c r="B105" s="68" t="s">
        <v>138</v>
      </c>
      <c r="C105" s="2"/>
      <c r="D105" s="2"/>
      <c r="E105" s="5"/>
    </row>
    <row r="106" spans="1:14" ht="14.4" customHeight="1" x14ac:dyDescent="0.3">
      <c r="A106" s="4"/>
      <c r="B106" s="220" t="str">
        <f>" 1."</f>
        <v xml:space="preserve"> 1.</v>
      </c>
      <c r="C106" s="216" t="s">
        <v>139</v>
      </c>
      <c r="D106" s="216"/>
      <c r="E106" s="217"/>
    </row>
    <row r="107" spans="1:14" x14ac:dyDescent="0.3">
      <c r="B107" s="220"/>
      <c r="C107" s="216"/>
      <c r="D107" s="216"/>
      <c r="E107" s="217"/>
    </row>
    <row r="108" spans="1:14" x14ac:dyDescent="0.3">
      <c r="B108" s="221"/>
      <c r="C108" s="218"/>
      <c r="D108" s="218"/>
      <c r="E108" s="219"/>
    </row>
    <row r="109" spans="1:14" x14ac:dyDescent="0.3">
      <c r="C109" s="65"/>
      <c r="D109" s="65"/>
      <c r="E109" s="65"/>
    </row>
  </sheetData>
  <mergeCells count="3">
    <mergeCell ref="B2:M2"/>
    <mergeCell ref="C106:E108"/>
    <mergeCell ref="B106:B108"/>
  </mergeCells>
  <pageMargins left="0.7" right="0.7" top="0.75" bottom="0.75" header="0.3" footer="0.3"/>
  <ignoredErrors>
    <ignoredError sqref="M6 C15" formulaRang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4F987-BE78-48CA-BFB8-AD1E5EB1CDDC}">
  <sheetPr>
    <tabColor rgb="FFE84726"/>
  </sheetPr>
  <dimension ref="B2:O45"/>
  <sheetViews>
    <sheetView showGridLines="0" workbookViewId="0">
      <selection activeCell="B21" sqref="B21:L21"/>
    </sheetView>
  </sheetViews>
  <sheetFormatPr defaultRowHeight="14.4" x14ac:dyDescent="0.3"/>
  <cols>
    <col min="1" max="1" width="1.88671875" customWidth="1"/>
    <col min="2" max="2" width="18.21875" bestFit="1" customWidth="1"/>
  </cols>
  <sheetData>
    <row r="2" spans="2:15" x14ac:dyDescent="0.3">
      <c r="B2" s="233" t="str">
        <f>"Common Size Income Statement"&amp;" "&amp;"-"&amp;" "&amp;'Raw Data Asian Paints'!B1</f>
        <v xml:space="preserve">Common Size Income Statement -  ASIAN PAINTS LTD </v>
      </c>
      <c r="C2" s="233"/>
      <c r="D2" s="233"/>
      <c r="E2" s="233"/>
      <c r="F2" s="233"/>
      <c r="G2" s="233"/>
      <c r="H2" s="233"/>
      <c r="I2" s="233"/>
      <c r="J2" s="233"/>
      <c r="K2" s="233"/>
      <c r="L2" s="233"/>
    </row>
    <row r="3" spans="2:15" x14ac:dyDescent="0.3">
      <c r="B3" s="16" t="s">
        <v>0</v>
      </c>
      <c r="C3" s="17">
        <f>'Raw Data Asian Paints'!$B$16</f>
        <v>42460</v>
      </c>
      <c r="D3" s="17">
        <f>C3+365</f>
        <v>42825</v>
      </c>
      <c r="E3" s="17">
        <f t="shared" ref="E3:L3" si="0">D3+365</f>
        <v>43190</v>
      </c>
      <c r="F3" s="17">
        <f t="shared" si="0"/>
        <v>43555</v>
      </c>
      <c r="G3" s="17">
        <f t="shared" si="0"/>
        <v>43920</v>
      </c>
      <c r="H3" s="17">
        <f t="shared" si="0"/>
        <v>44285</v>
      </c>
      <c r="I3" s="17">
        <f t="shared" si="0"/>
        <v>44650</v>
      </c>
      <c r="J3" s="17">
        <f t="shared" si="0"/>
        <v>45015</v>
      </c>
      <c r="K3" s="17">
        <f t="shared" si="0"/>
        <v>45380</v>
      </c>
      <c r="L3" s="17">
        <f t="shared" si="0"/>
        <v>45745</v>
      </c>
      <c r="M3" s="15"/>
      <c r="N3" s="15"/>
      <c r="O3" s="15"/>
    </row>
    <row r="4" spans="2:15" x14ac:dyDescent="0.3">
      <c r="B4" s="18" t="str">
        <f>'Raw Data Asian Paints'!A17</f>
        <v xml:space="preserve"> Sales </v>
      </c>
      <c r="C4" s="10">
        <f>'Raw Data Asian Paints'!B17/'Raw Data Asian Paints'!B$17</f>
        <v>1</v>
      </c>
      <c r="D4" s="10">
        <f>'Raw Data Asian Paints'!C17/'Raw Data Asian Paints'!C$17</f>
        <v>1</v>
      </c>
      <c r="E4" s="10">
        <f>'Raw Data Asian Paints'!D17/'Raw Data Asian Paints'!D$17</f>
        <v>1</v>
      </c>
      <c r="F4" s="10">
        <f>'Raw Data Asian Paints'!E17/'Raw Data Asian Paints'!E$17</f>
        <v>1</v>
      </c>
      <c r="G4" s="10">
        <f>'Raw Data Asian Paints'!F17/'Raw Data Asian Paints'!F$17</f>
        <v>1</v>
      </c>
      <c r="H4" s="10">
        <f>'Raw Data Asian Paints'!G17/'Raw Data Asian Paints'!G$17</f>
        <v>1</v>
      </c>
      <c r="I4" s="10">
        <f>'Raw Data Asian Paints'!H17/'Raw Data Asian Paints'!H$17</f>
        <v>1</v>
      </c>
      <c r="J4" s="10">
        <f>'Raw Data Asian Paints'!I17/'Raw Data Asian Paints'!I$17</f>
        <v>1</v>
      </c>
      <c r="K4" s="10">
        <f>'Raw Data Asian Paints'!J17/'Raw Data Asian Paints'!J$17</f>
        <v>1</v>
      </c>
      <c r="L4" s="10">
        <f>'Raw Data Asian Paints'!K17/'Raw Data Asian Paints'!K$17</f>
        <v>1</v>
      </c>
    </row>
    <row r="5" spans="2:15" x14ac:dyDescent="0.3">
      <c r="B5" s="18" t="str">
        <f>'Raw Data Asian Paints'!A18</f>
        <v xml:space="preserve"> Raw Material Cost </v>
      </c>
      <c r="C5" s="1">
        <f>'Raw Data Asian Paints'!B18/'Raw Data Asian Paints'!B$17</f>
        <v>0.46034646697716919</v>
      </c>
      <c r="D5" s="1">
        <f>'Raw Data Asian Paints'!C18/'Raw Data Asian Paints'!C$17</f>
        <v>0.4947951764673858</v>
      </c>
      <c r="E5" s="1">
        <f>'Raw Data Asian Paints'!D18/'Raw Data Asian Paints'!D$17</f>
        <v>0.48311366425847946</v>
      </c>
      <c r="F5" s="1">
        <f>'Raw Data Asian Paints'!E18/'Raw Data Asian Paints'!E$17</f>
        <v>0.51841645560606919</v>
      </c>
      <c r="G5" s="1">
        <f>'Raw Data Asian Paints'!F18/'Raw Data Asian Paints'!F$17</f>
        <v>0.4938828622673016</v>
      </c>
      <c r="H5" s="1">
        <f>'Raw Data Asian Paints'!G18/'Raw Data Asian Paints'!G$17</f>
        <v>0.48015708713619937</v>
      </c>
      <c r="I5" s="1">
        <f>'Raw Data Asian Paints'!H18/'Raw Data Asian Paints'!H$17</f>
        <v>0.58840195345359381</v>
      </c>
      <c r="J5" s="1">
        <f>'Raw Data Asian Paints'!I18/'Raw Data Asian Paints'!I$17</f>
        <v>0.55048727709657019</v>
      </c>
      <c r="K5" s="1">
        <f>'Raw Data Asian Paints'!J18/'Raw Data Asian Paints'!J$17</f>
        <v>0.49051901507632256</v>
      </c>
      <c r="L5" s="1">
        <f>'Raw Data Asian Paints'!K18/'Raw Data Asian Paints'!K$17</f>
        <v>0.51627163874307558</v>
      </c>
    </row>
    <row r="6" spans="2:15" x14ac:dyDescent="0.3">
      <c r="B6" s="18" t="str">
        <f>'Raw Data Asian Paints'!A19</f>
        <v xml:space="preserve"> Change in Inventory </v>
      </c>
      <c r="C6" s="1">
        <f>'Raw Data Asian Paints'!B19/'Raw Data Asian Paints'!B$17</f>
        <v>-1.3967006948818941E-2</v>
      </c>
      <c r="D6" s="1">
        <f>'Raw Data Asian Paints'!C19/'Raw Data Asian Paints'!C$17</f>
        <v>3.5094964211236368E-2</v>
      </c>
      <c r="E6" s="1">
        <f>'Raw Data Asian Paints'!D19/'Raw Data Asian Paints'!D$17</f>
        <v>-8.4477742346749252E-3</v>
      </c>
      <c r="F6" s="1">
        <f>'Raw Data Asian Paints'!E19/'Raw Data Asian Paints'!E$17</f>
        <v>1.5242100755036478E-2</v>
      </c>
      <c r="G6" s="1">
        <f>'Raw Data Asian Paints'!F19/'Raw Data Asian Paints'!F$17</f>
        <v>1.1832519017873709E-2</v>
      </c>
      <c r="H6" s="1">
        <f>'Raw Data Asian Paints'!G19/'Raw Data Asian Paints'!G$17</f>
        <v>4.2578590775298802E-3</v>
      </c>
      <c r="I6" s="1">
        <f>'Raw Data Asian Paints'!H19/'Raw Data Asian Paints'!H$17</f>
        <v>4.5529612443164016E-2</v>
      </c>
      <c r="J6" s="1">
        <f>'Raw Data Asian Paints'!I19/'Raw Data Asian Paints'!I$17</f>
        <v>8.9806512820616927E-3</v>
      </c>
      <c r="K6" s="1">
        <f>'Raw Data Asian Paints'!J19/'Raw Data Asian Paints'!J$17</f>
        <v>-1.0249408855906214E-2</v>
      </c>
      <c r="L6" s="1">
        <f>'Raw Data Asian Paints'!K19/'Raw Data Asian Paints'!K$17</f>
        <v>6.0461952915180431E-3</v>
      </c>
    </row>
    <row r="7" spans="2:15" x14ac:dyDescent="0.3">
      <c r="B7" s="18" t="str">
        <f>'Raw Data Asian Paints'!A20</f>
        <v xml:space="preserve"> Power and Fuel </v>
      </c>
      <c r="C7" s="1">
        <f>'Raw Data Asian Paints'!B20/'Raw Data Asian Paints'!B$17</f>
        <v>8.021587094269764E-3</v>
      </c>
      <c r="D7" s="1">
        <f>'Raw Data Asian Paints'!C20/'Raw Data Asian Paints'!C$17</f>
        <v>7.0389105290867941E-3</v>
      </c>
      <c r="E7" s="1">
        <f>'Raw Data Asian Paints'!D20/'Raw Data Asian Paints'!D$17</f>
        <v>6.5558959972183504E-3</v>
      </c>
      <c r="F7" s="1">
        <f>'Raw Data Asian Paints'!E20/'Raw Data Asian Paints'!E$17</f>
        <v>6.2177334560629266E-3</v>
      </c>
      <c r="G7" s="1">
        <f>'Raw Data Asian Paints'!F20/'Raw Data Asian Paints'!F$17</f>
        <v>4.8383944585317588E-3</v>
      </c>
      <c r="H7" s="1">
        <f>'Raw Data Asian Paints'!G20/'Raw Data Asian Paints'!G$17</f>
        <v>3.9631019320870327E-3</v>
      </c>
      <c r="I7" s="1">
        <f>'Raw Data Asian Paints'!H20/'Raw Data Asian Paints'!H$17</f>
        <v>4.0283451449558234E-3</v>
      </c>
      <c r="J7" s="1">
        <f>'Raw Data Asian Paints'!I20/'Raw Data Asian Paints'!I$17</f>
        <v>4.0097319142359837E-3</v>
      </c>
      <c r="K7" s="1">
        <f>'Raw Data Asian Paints'!J20/'Raw Data Asian Paints'!J$17</f>
        <v>3.7540784223460775E-3</v>
      </c>
      <c r="L7" s="1">
        <f>'Raw Data Asian Paints'!K20/'Raw Data Asian Paints'!K$17</f>
        <v>4.3821643727500045E-3</v>
      </c>
    </row>
    <row r="8" spans="2:15" x14ac:dyDescent="0.3">
      <c r="B8" s="18" t="str">
        <f>'Raw Data Asian Paints'!A21</f>
        <v xml:space="preserve"> Other Mfr. Exp </v>
      </c>
      <c r="C8" s="1">
        <f>'Raw Data Asian Paints'!B21/'Raw Data Asian Paints'!B$17</f>
        <v>0.10757250994815538</v>
      </c>
      <c r="D8" s="1">
        <f>'Raw Data Asian Paints'!C21/'Raw Data Asian Paints'!C$17</f>
        <v>0.11039377930804628</v>
      </c>
      <c r="E8" s="1">
        <f>'Raw Data Asian Paints'!D21/'Raw Data Asian Paints'!D$17</f>
        <v>0.10054830589822611</v>
      </c>
      <c r="F8" s="1">
        <f>'Raw Data Asian Paints'!E21/'Raw Data Asian Paints'!E$17</f>
        <v>9.679508402490003E-2</v>
      </c>
      <c r="G8" s="1">
        <f>'Raw Data Asian Paints'!F21/'Raw Data Asian Paints'!F$17</f>
        <v>9.6288947986888487E-2</v>
      </c>
      <c r="H8" s="1">
        <f>'Raw Data Asian Paints'!G21/'Raw Data Asian Paints'!G$17</f>
        <v>9.5257679920452407E-2</v>
      </c>
      <c r="I8" s="1">
        <f>'Raw Data Asian Paints'!H21/'Raw Data Asian Paints'!H$17</f>
        <v>9.8980182315004703E-2</v>
      </c>
      <c r="J8" s="1">
        <f>'Raw Data Asian Paints'!I21/'Raw Data Asian Paints'!I$17</f>
        <v>8.455550081925646E-2</v>
      </c>
      <c r="K8" s="1">
        <f>'Raw Data Asian Paints'!J21/'Raw Data Asian Paints'!J$17</f>
        <v>7.796030565664254E-2</v>
      </c>
      <c r="L8" s="1">
        <f>'Raw Data Asian Paints'!K21/'Raw Data Asian Paints'!K$17</f>
        <v>7.9261196226466282E-2</v>
      </c>
    </row>
    <row r="9" spans="2:15" x14ac:dyDescent="0.3">
      <c r="B9" s="18" t="str">
        <f>'Raw Data Asian Paints'!A22</f>
        <v xml:space="preserve"> Employee Cost </v>
      </c>
      <c r="C9" s="1">
        <f>'Raw Data Asian Paints'!B22/'Raw Data Asian Paints'!B$17</f>
        <v>6.9718018230752368E-2</v>
      </c>
      <c r="D9" s="1">
        <f>'Raw Data Asian Paints'!C22/'Raw Data Asian Paints'!C$17</f>
        <v>6.9040677891832367E-2</v>
      </c>
      <c r="E9" s="1">
        <f>'Raw Data Asian Paints'!D22/'Raw Data Asian Paints'!D$17</f>
        <v>6.6681724028280112E-2</v>
      </c>
      <c r="F9" s="1">
        <f>'Raw Data Asian Paints'!E22/'Raw Data Asian Paints'!E$17</f>
        <v>6.4588440930492666E-2</v>
      </c>
      <c r="G9" s="1">
        <f>'Raw Data Asian Paints'!F22/'Raw Data Asian Paints'!F$17</f>
        <v>6.7846867462428101E-2</v>
      </c>
      <c r="H9" s="1">
        <f>'Raw Data Asian Paints'!G22/'Raw Data Asian Paints'!G$17</f>
        <v>7.1276422790438249E-2</v>
      </c>
      <c r="I9" s="1">
        <f>'Raw Data Asian Paints'!H22/'Raw Data Asian Paints'!H$17</f>
        <v>6.1667734202756716E-2</v>
      </c>
      <c r="J9" s="1">
        <f>'Raw Data Asian Paints'!I22/'Raw Data Asian Paints'!I$17</f>
        <v>5.9045904747048232E-2</v>
      </c>
      <c r="K9" s="1">
        <f>'Raw Data Asian Paints'!J22/'Raw Data Asian Paints'!J$17</f>
        <v>6.5782159774141119E-2</v>
      </c>
      <c r="L9" s="1">
        <f>'Raw Data Asian Paints'!K22/'Raw Data Asian Paints'!K$17</f>
        <v>7.6853925691375058E-2</v>
      </c>
    </row>
    <row r="10" spans="2:15" x14ac:dyDescent="0.3">
      <c r="B10" s="18" t="str">
        <f>'Raw Data Asian Paints'!A23</f>
        <v xml:space="preserve"> Selling and admin </v>
      </c>
      <c r="C10" s="1">
        <f>'Raw Data Asian Paints'!B23/'Raw Data Asian Paints'!B$17</f>
        <v>0.27413395517917194</v>
      </c>
      <c r="D10" s="1">
        <f>'Raw Data Asian Paints'!C23/'Raw Data Asian Paints'!C$17</f>
        <v>0.28973860691714709</v>
      </c>
      <c r="E10" s="1">
        <f>'Raw Data Asian Paints'!D23/'Raw Data Asian Paints'!D$17</f>
        <v>0.13402557572119314</v>
      </c>
      <c r="F10" s="1">
        <f>'Raw Data Asian Paints'!E23/'Raw Data Asian Paints'!E$17</f>
        <v>0.12301736006981241</v>
      </c>
      <c r="G10" s="1">
        <f>'Raw Data Asian Paints'!F23/'Raw Data Asian Paints'!F$17</f>
        <v>0.11436749335147506</v>
      </c>
      <c r="H10" s="1">
        <f>'Raw Data Asian Paints'!G23/'Raw Data Asian Paints'!G$17</f>
        <v>0.10342705842961683</v>
      </c>
      <c r="I10" s="1">
        <f>'Raw Data Asian Paints'!H23/'Raw Data Asian Paints'!H$17</f>
        <v>0.10109452230279906</v>
      </c>
      <c r="J10" s="1">
        <f>'Raw Data Asian Paints'!I23/'Raw Data Asian Paints'!I$17</f>
        <v>0.10150719411840266</v>
      </c>
      <c r="K10" s="1">
        <f>'Raw Data Asian Paints'!J23/'Raw Data Asian Paints'!J$17</f>
        <v>0.10739228048783579</v>
      </c>
      <c r="L10" s="1">
        <f>'Raw Data Asian Paints'!K23/'Raw Data Asian Paints'!K$17</f>
        <v>0.1142860682093411</v>
      </c>
    </row>
    <row r="11" spans="2:15" x14ac:dyDescent="0.3">
      <c r="B11" s="18" t="str">
        <f>'Raw Data Asian Paints'!A24</f>
        <v xml:space="preserve"> Other Expenses </v>
      </c>
      <c r="C11" s="1">
        <f>'Raw Data Asian Paints'!B24/'Raw Data Asian Paints'!B$17</f>
        <v>-0.12470246624564078</v>
      </c>
      <c r="D11" s="1">
        <f>'Raw Data Asian Paints'!C24/'Raw Data Asian Paints'!C$17</f>
        <v>-0.13467476741121193</v>
      </c>
      <c r="E11" s="1">
        <f>'Raw Data Asian Paints'!D24/'Raw Data Asian Paints'!D$17</f>
        <v>1.0190465718251008E-2</v>
      </c>
      <c r="F11" s="1">
        <f>'Raw Data Asian Paints'!E24/'Raw Data Asian Paints'!E$17</f>
        <v>1.0525396657922789E-2</v>
      </c>
      <c r="G11" s="1">
        <f>'Raw Data Asian Paints'!F24/'Raw Data Asian Paints'!F$17</f>
        <v>2.8694415239037666E-2</v>
      </c>
      <c r="H11" s="1">
        <f>'Raw Data Asian Paints'!G24/'Raw Data Asian Paints'!G$17</f>
        <v>2.6547947085565692E-2</v>
      </c>
      <c r="I11" s="1">
        <f>'Raw Data Asian Paints'!H24/'Raw Data Asian Paints'!H$17</f>
        <v>2.6291627034962038E-2</v>
      </c>
      <c r="J11" s="1">
        <f>'Raw Data Asian Paints'!I24/'Raw Data Asian Paints'!I$17</f>
        <v>2.7870376840572496E-2</v>
      </c>
      <c r="K11" s="1">
        <f>'Raw Data Asian Paints'!J24/'Raw Data Asian Paints'!J$17</f>
        <v>3.0649620380264902E-2</v>
      </c>
      <c r="L11" s="1">
        <f>'Raw Data Asian Paints'!K24/'Raw Data Asian Paints'!K$17</f>
        <v>3.784623316134611E-2</v>
      </c>
    </row>
    <row r="12" spans="2:15" x14ac:dyDescent="0.3">
      <c r="B12" s="18" t="str">
        <f>'Raw Data Asian Paints'!A25</f>
        <v xml:space="preserve"> Other Income </v>
      </c>
      <c r="C12" s="1">
        <f>'Raw Data Asian Paints'!B25/'Raw Data Asian Paints'!B$17</f>
        <v>1.4952187893485543E-2</v>
      </c>
      <c r="D12" s="1">
        <f>'Raw Data Asian Paints'!C25/'Raw Data Asian Paints'!C$17</f>
        <v>2.2433954610247383E-2</v>
      </c>
      <c r="E12" s="1">
        <f>'Raw Data Asian Paints'!D25/'Raw Data Asian Paints'!D$17</f>
        <v>1.9995185606747286E-2</v>
      </c>
      <c r="F12" s="1">
        <f>'Raw Data Asian Paints'!E25/'Raw Data Asian Paints'!E$17</f>
        <v>1.422911383654892E-2</v>
      </c>
      <c r="G12" s="1">
        <f>'Raw Data Asian Paints'!F25/'Raw Data Asian Paints'!F$17</f>
        <v>1.7322035994804873E-2</v>
      </c>
      <c r="H12" s="1">
        <f>'Raw Data Asian Paints'!G25/'Raw Data Asian Paints'!G$17</f>
        <v>1.5274407388456295E-2</v>
      </c>
      <c r="I12" s="1">
        <f>'Raw Data Asian Paints'!H25/'Raw Data Asian Paints'!H$17</f>
        <v>1.0167250375241226E-2</v>
      </c>
      <c r="J12" s="1">
        <f>'Raw Data Asian Paints'!I25/'Raw Data Asian Paints'!I$17</f>
        <v>1.2510224395952401E-2</v>
      </c>
      <c r="K12" s="1">
        <f>'Raw Data Asian Paints'!J25/'Raw Data Asian Paints'!J$17</f>
        <v>2.3129067329149988E-2</v>
      </c>
      <c r="L12" s="1">
        <f>'Raw Data Asian Paints'!K25/'Raw Data Asian Paints'!K$17</f>
        <v>1.0329261048758288E-2</v>
      </c>
    </row>
    <row r="13" spans="2:15" x14ac:dyDescent="0.3">
      <c r="B13" s="18" t="str">
        <f>'Raw Data Asian Paints'!A26</f>
        <v xml:space="preserve"> Depreciation </v>
      </c>
      <c r="C13" s="1">
        <f>'Raw Data Asian Paints'!B26/'Raw Data Asian Paints'!B$17</f>
        <v>1.9309826794539322E-2</v>
      </c>
      <c r="D13" s="1">
        <f>'Raw Data Asian Paints'!C26/'Raw Data Asian Paints'!C$17</f>
        <v>2.2227474590011016E-2</v>
      </c>
      <c r="E13" s="1">
        <f>'Raw Data Asian Paints'!D26/'Raw Data Asian Paints'!D$17</f>
        <v>2.1425238713665449E-2</v>
      </c>
      <c r="F13" s="1">
        <f>'Raw Data Asian Paints'!E26/'Raw Data Asian Paints'!E$17</f>
        <v>3.2335540352378074E-2</v>
      </c>
      <c r="G13" s="1">
        <f>'Raw Data Asian Paints'!F26/'Raw Data Asian Paints'!F$17</f>
        <v>3.8617106809326486E-2</v>
      </c>
      <c r="H13" s="1">
        <f>'Raw Data Asian Paints'!G26/'Raw Data Asian Paints'!G$17</f>
        <v>3.6442576011650275E-2</v>
      </c>
      <c r="I13" s="1">
        <f>'Raw Data Asian Paints'!H26/'Raw Data Asian Paints'!H$17</f>
        <v>2.8052374328551871E-2</v>
      </c>
      <c r="J13" s="1">
        <f>'Raw Data Asian Paints'!I26/'Raw Data Asian Paints'!I$17</f>
        <v>2.4878372818372688E-2</v>
      </c>
      <c r="K13" s="1">
        <f>'Raw Data Asian Paints'!J26/'Raw Data Asian Paints'!J$17</f>
        <v>2.4031736542297968E-2</v>
      </c>
      <c r="L13" s="1">
        <f>'Raw Data Asian Paints'!K26/'Raw Data Asian Paints'!K$17</f>
        <v>3.0270497929251843E-2</v>
      </c>
    </row>
    <row r="14" spans="2:15" x14ac:dyDescent="0.3">
      <c r="B14" s="18" t="str">
        <f>'Raw Data Asian Paints'!A27</f>
        <v xml:space="preserve"> Interest </v>
      </c>
      <c r="C14" s="1">
        <f>'Raw Data Asian Paints'!B27/'Raw Data Asian Paints'!B$17</f>
        <v>3.4334186549547386E-3</v>
      </c>
      <c r="D14" s="1">
        <f>'Raw Data Asian Paints'!C27/'Raw Data Asian Paints'!C$17</f>
        <v>2.4784241657310885E-3</v>
      </c>
      <c r="E14" s="1">
        <f>'Raw Data Asian Paints'!D27/'Raw Data Asian Paints'!D$17</f>
        <v>2.4648504714836358E-3</v>
      </c>
      <c r="F14" s="1">
        <f>'Raw Data Asian Paints'!E27/'Raw Data Asian Paints'!E$17</f>
        <v>5.7416451967840128E-3</v>
      </c>
      <c r="G14" s="1">
        <f>'Raw Data Asian Paints'!F27/'Raw Data Asian Paints'!F$17</f>
        <v>5.0630218319005502E-3</v>
      </c>
      <c r="H14" s="1">
        <f>'Raw Data Asian Paints'!G27/'Raw Data Asian Paints'!G$17</f>
        <v>4.2200933182700148E-3</v>
      </c>
      <c r="I14" s="1">
        <f>'Raw Data Asian Paints'!H27/'Raw Data Asian Paints'!H$17</f>
        <v>3.2785499469439143E-3</v>
      </c>
      <c r="J14" s="1">
        <f>'Raw Data Asian Paints'!I27/'Raw Data Asian Paints'!I$17</f>
        <v>4.1883417095335005E-3</v>
      </c>
      <c r="K14" s="1">
        <f>'Raw Data Asian Paints'!J27/'Raw Data Asian Paints'!J$17</f>
        <v>5.7802947085384216E-3</v>
      </c>
      <c r="L14" s="1">
        <f>'Raw Data Asian Paints'!K27/'Raw Data Asian Paints'!K$17</f>
        <v>6.6956451467337858E-3</v>
      </c>
    </row>
    <row r="15" spans="2:15" x14ac:dyDescent="0.3">
      <c r="B15" s="18" t="str">
        <f>'Raw Data Asian Paints'!A28</f>
        <v xml:space="preserve"> Profit before tax </v>
      </c>
      <c r="C15" s="1">
        <f>'Raw Data Asian Paints'!B28/'Raw Data Asian Paints'!B$17</f>
        <v>0.18315186431129477</v>
      </c>
      <c r="D15" s="1">
        <f>'Raw Data Asian Paints'!C28/'Raw Data Asian Paints'!C$17</f>
        <v>0.19649063636345529</v>
      </c>
      <c r="E15" s="1">
        <f>'Raw Data Asian Paints'!D28/'Raw Data Asian Paints'!D$17</f>
        <v>0.18654169056527517</v>
      </c>
      <c r="F15" s="1">
        <f>'Raw Data Asian Paints'!E28/'Raw Data Asian Paints'!E$17</f>
        <v>0.17183355829716326</v>
      </c>
      <c r="G15" s="1">
        <f>'Raw Data Asian Paints'!F28/'Raw Data Asian Paints'!F$17</f>
        <v>0.17955544560578884</v>
      </c>
      <c r="H15" s="1">
        <f>'Raw Data Asian Paints'!G28/'Raw Data Asian Paints'!G$17</f>
        <v>0.19824029984170621</v>
      </c>
      <c r="I15" s="1">
        <f>'Raw Data Asian Paints'!H28/'Raw Data Asian Paints'!H$17</f>
        <v>0.14390157408883733</v>
      </c>
      <c r="J15" s="1">
        <f>'Raw Data Asian Paints'!I28/'Raw Data Asian Paints'!I$17</f>
        <v>0.16494817561402192</v>
      </c>
      <c r="K15" s="1">
        <f>'Raw Data Asian Paints'!J28/'Raw Data Asian Paints'!J$17</f>
        <v>0.20701016742485434</v>
      </c>
      <c r="L15" s="1">
        <f>'Raw Data Asian Paints'!K28/'Raw Data Asian Paints'!K$17</f>
        <v>0.15050808685993647</v>
      </c>
    </row>
    <row r="16" spans="2:15" x14ac:dyDescent="0.3">
      <c r="B16" s="18" t="str">
        <f>'Raw Data Asian Paints'!A29</f>
        <v xml:space="preserve"> Tax </v>
      </c>
      <c r="C16" s="1">
        <f>'Raw Data Asian Paints'!B29/'Raw Data Asian Paints'!B$17</f>
        <v>5.9173218773933209E-2</v>
      </c>
      <c r="D16" s="1">
        <f>'Raw Data Asian Paints'!C29/'Raw Data Asian Paints'!C$17</f>
        <v>6.2627182729506528E-2</v>
      </c>
      <c r="E16" s="1">
        <f>'Raw Data Asian Paints'!D29/'Raw Data Asian Paints'!D$17</f>
        <v>6.1871491362324706E-2</v>
      </c>
      <c r="F16" s="1">
        <f>'Raw Data Asian Paints'!E29/'Raw Data Asian Paints'!E$17</f>
        <v>5.7071339954563712E-2</v>
      </c>
      <c r="G16" s="1">
        <f>'Raw Data Asian Paints'!F29/'Raw Data Asian Paints'!F$17</f>
        <v>4.2295751128703075E-2</v>
      </c>
      <c r="H16" s="1">
        <f>'Raw Data Asian Paints'!G29/'Raw Data Asian Paints'!G$17</f>
        <v>5.05508504434483E-2</v>
      </c>
      <c r="I16" s="1">
        <f>'Raw Data Asian Paints'!H29/'Raw Data Asian Paints'!H$17</f>
        <v>3.7899020249281136E-2</v>
      </c>
      <c r="J16" s="1">
        <f>'Raw Data Asian Paints'!I29/'Raw Data Asian Paints'!I$17</f>
        <v>4.3304176830656176E-2</v>
      </c>
      <c r="K16" s="1">
        <f>'Raw Data Asian Paints'!J29/'Raw Data Asian Paints'!J$17</f>
        <v>5.0432275439198995E-2</v>
      </c>
      <c r="L16" s="1">
        <f>'Raw Data Asian Paints'!K29/'Raw Data Asian Paints'!K$17</f>
        <v>4.1095252055558924E-2</v>
      </c>
    </row>
    <row r="17" spans="2:12" x14ac:dyDescent="0.3">
      <c r="B17" s="18" t="str">
        <f>'Raw Data Asian Paints'!A30</f>
        <v xml:space="preserve"> Net profit </v>
      </c>
      <c r="C17" s="1">
        <f>'Raw Data Asian Paints'!B30/'Raw Data Asian Paints'!B$17</f>
        <v>0.12228295714042473</v>
      </c>
      <c r="D17" s="1">
        <f>'Raw Data Asian Paints'!C30/'Raw Data Asian Paints'!C$17</f>
        <v>0.12876319795724203</v>
      </c>
      <c r="E17" s="1">
        <f>'Raw Data Asian Paints'!D30/'Raw Data Asian Paints'!D$17</f>
        <v>0.12118778808348515</v>
      </c>
      <c r="F17" s="1">
        <f>'Raw Data Asian Paints'!E30/'Raw Data Asian Paints'!E$17</f>
        <v>0.11205329693718286</v>
      </c>
      <c r="G17" s="1">
        <f>'Raw Data Asian Paints'!F30/'Raw Data Asian Paints'!F$17</f>
        <v>0.13384476467313997</v>
      </c>
      <c r="H17" s="1">
        <f>'Raw Data Asian Paints'!G30/'Raw Data Asian Paints'!G$17</f>
        <v>0.14458252486207437</v>
      </c>
      <c r="I17" s="1">
        <f>'Raw Data Asian Paints'!H30/'Raw Data Asian Paints'!H$17</f>
        <v>0.10413871829692715</v>
      </c>
      <c r="J17" s="1">
        <f>'Raw Data Asian Paints'!I30/'Raw Data Asian Paints'!I$17</f>
        <v>0.11906691459407301</v>
      </c>
      <c r="K17" s="1">
        <f>'Raw Data Asian Paints'!J30/'Raw Data Asian Paints'!J$17</f>
        <v>0.15383213226301479</v>
      </c>
      <c r="L17" s="1">
        <f>'Raw Data Asian Paints'!K30/'Raw Data Asian Paints'!K$17</f>
        <v>0.10815994516543274</v>
      </c>
    </row>
    <row r="18" spans="2:12" x14ac:dyDescent="0.3">
      <c r="B18" s="18" t="str">
        <f>'Raw Data Asian Paints'!A31</f>
        <v xml:space="preserve"> Dividend Amount </v>
      </c>
      <c r="C18" s="1">
        <f>'Raw Data Asian Paints'!B31/'Raw Data Asian Paints'!B$17</f>
        <v>5.0408191436213036E-2</v>
      </c>
      <c r="D18" s="1">
        <f>'Raw Data Asian Paints'!C31/'Raw Data Asian Paints'!C$17</f>
        <v>6.559425414570054E-2</v>
      </c>
      <c r="E18" s="1">
        <f>'Raw Data Asian Paints'!D31/'Raw Data Asian Paints'!D$17</f>
        <v>4.9600137893732674E-2</v>
      </c>
      <c r="F18" s="1">
        <f>'Raw Data Asian Paints'!E31/'Raw Data Asian Paints'!E$17</f>
        <v>5.2346839652330827E-2</v>
      </c>
      <c r="G18" s="1">
        <f>'Raw Data Asian Paints'!F31/'Raw Data Asian Paints'!F$17</f>
        <v>5.6950460758241075E-2</v>
      </c>
      <c r="H18" s="1">
        <f>'Raw Data Asian Paints'!G31/'Raw Data Asian Paints'!G$17</f>
        <v>7.8855365892637475E-2</v>
      </c>
      <c r="I18" s="1">
        <f>'Raw Data Asian Paints'!H31/'Raw Data Asian Paints'!H$17</f>
        <v>6.3119904004222488E-2</v>
      </c>
      <c r="J18" s="1">
        <f>'Raw Data Asian Paints'!I31/'Raw Data Asian Paints'!I$17</f>
        <v>7.1338086016273797E-2</v>
      </c>
      <c r="K18" s="1">
        <f>'Raw Data Asian Paints'!J31/'Raw Data Asian Paints'!J$17</f>
        <v>8.998913359814259E-2</v>
      </c>
      <c r="L18" s="1">
        <f>'Raw Data Asian Paints'!K31/'Raw Data Asian Paints'!K$17</f>
        <v>7.0160050162775378E-2</v>
      </c>
    </row>
    <row r="19" spans="2:12" x14ac:dyDescent="0.3">
      <c r="B19" s="18" t="str">
        <f>'Raw Data Asian Paints'!A34</f>
        <v>EBITDA</v>
      </c>
      <c r="C19" s="1">
        <f>'Raw Data Asian Paints'!B34/'Raw Data Asian Paints'!B$17</f>
        <v>0.204199421363852</v>
      </c>
      <c r="D19" s="1">
        <f>'Raw Data Asian Paints'!C34/'Raw Data Asian Paints'!C$17</f>
        <v>0.21609627944249069</v>
      </c>
      <c r="E19" s="1">
        <f>'Raw Data Asian Paints'!D34/'Raw Data Asian Paints'!D$17</f>
        <v>0.20694936863095892</v>
      </c>
      <c r="F19" s="1">
        <f>'Raw Data Asian Paints'!E34/'Raw Data Asian Paints'!E$17</f>
        <v>0.20720182244090862</v>
      </c>
      <c r="G19" s="1">
        <f>'Raw Data Asian Paints'!F34/'Raw Data Asian Paints'!F$17</f>
        <v>0.21982064444307009</v>
      </c>
      <c r="H19" s="1">
        <f>'Raw Data Asian Paints'!G34/'Raw Data Asian Paints'!G$17</f>
        <v>0.23579604463544293</v>
      </c>
      <c r="I19" s="1">
        <f>'Raw Data Asian Paints'!H34/'Raw Data Asian Paints'!H$17</f>
        <v>0.17336866282170407</v>
      </c>
      <c r="J19" s="1">
        <f>'Raw Data Asian Paints'!I34/'Raw Data Asian Paints'!I$17</f>
        <v>0.19143780595263538</v>
      </c>
      <c r="K19" s="1">
        <f>'Raw Data Asian Paints'!J34/'Raw Data Asian Paints'!J$17</f>
        <v>0.23407643895305019</v>
      </c>
      <c r="L19" s="1">
        <f>'Raw Data Asian Paints'!K34/'Raw Data Asian Paints'!K$17</f>
        <v>0.18622134029697732</v>
      </c>
    </row>
    <row r="20" spans="2:12" x14ac:dyDescent="0.3">
      <c r="B20" s="18"/>
    </row>
    <row r="21" spans="2:12" x14ac:dyDescent="0.3">
      <c r="B21" s="233" t="str">
        <f>"Common Size Balance Sheet"&amp;" "&amp;"-"&amp;" "&amp;'Raw Data Asian Paints'!B1</f>
        <v xml:space="preserve">Common Size Balance Sheet -  ASIAN PAINTS LTD </v>
      </c>
      <c r="C21" s="233"/>
      <c r="D21" s="233"/>
      <c r="E21" s="233"/>
      <c r="F21" s="233"/>
      <c r="G21" s="233"/>
      <c r="H21" s="233"/>
      <c r="I21" s="233"/>
      <c r="J21" s="233"/>
      <c r="K21" s="233"/>
      <c r="L21" s="233"/>
    </row>
    <row r="22" spans="2:12" x14ac:dyDescent="0.3">
      <c r="B22" s="16" t="s">
        <v>0</v>
      </c>
      <c r="C22" s="17">
        <f>'Raw Data Asian Paints'!$B$16</f>
        <v>42460</v>
      </c>
      <c r="D22" s="17">
        <f t="shared" ref="D22:L22" si="1">C22+365</f>
        <v>42825</v>
      </c>
      <c r="E22" s="17">
        <f t="shared" si="1"/>
        <v>43190</v>
      </c>
      <c r="F22" s="17">
        <f t="shared" si="1"/>
        <v>43555</v>
      </c>
      <c r="G22" s="17">
        <f t="shared" si="1"/>
        <v>43920</v>
      </c>
      <c r="H22" s="17">
        <f t="shared" si="1"/>
        <v>44285</v>
      </c>
      <c r="I22" s="17">
        <f t="shared" si="1"/>
        <v>44650</v>
      </c>
      <c r="J22" s="17">
        <f t="shared" si="1"/>
        <v>45015</v>
      </c>
      <c r="K22" s="17">
        <f t="shared" si="1"/>
        <v>45380</v>
      </c>
      <c r="L22" s="17">
        <f t="shared" si="1"/>
        <v>45745</v>
      </c>
    </row>
    <row r="23" spans="2:12" x14ac:dyDescent="0.3">
      <c r="B23" s="4" t="s">
        <v>46</v>
      </c>
      <c r="C23" s="19">
        <f>'Raw Data Asian Paints'!B61/'Raw Data Asian Paints'!B$61</f>
        <v>1</v>
      </c>
      <c r="D23" s="19">
        <f>'Raw Data Asian Paints'!C61/'Raw Data Asian Paints'!C$61</f>
        <v>1</v>
      </c>
      <c r="E23" s="19">
        <f>'Raw Data Asian Paints'!D61/'Raw Data Asian Paints'!D$61</f>
        <v>1</v>
      </c>
      <c r="F23" s="19">
        <f>'Raw Data Asian Paints'!E61/'Raw Data Asian Paints'!E$61</f>
        <v>1</v>
      </c>
      <c r="G23" s="19">
        <f>'Raw Data Asian Paints'!F61/'Raw Data Asian Paints'!F$61</f>
        <v>1</v>
      </c>
      <c r="H23" s="19">
        <f>'Raw Data Asian Paints'!G61/'Raw Data Asian Paints'!G$61</f>
        <v>1</v>
      </c>
      <c r="I23" s="19">
        <f>'Raw Data Asian Paints'!H61/'Raw Data Asian Paints'!H$61</f>
        <v>1</v>
      </c>
      <c r="J23" s="19">
        <f>'Raw Data Asian Paints'!I61/'Raw Data Asian Paints'!I$61</f>
        <v>1</v>
      </c>
      <c r="K23" s="19">
        <f>'Raw Data Asian Paints'!J61/'Raw Data Asian Paints'!J$61</f>
        <v>1</v>
      </c>
      <c r="L23" s="19">
        <f>'Raw Data Asian Paints'!K61/'Raw Data Asian Paints'!K$61</f>
        <v>1</v>
      </c>
    </row>
    <row r="24" spans="2:12" x14ac:dyDescent="0.3">
      <c r="B24" s="18" t="str">
        <f>'Raw Data Asian Paints'!A57</f>
        <v xml:space="preserve"> Equity Share Capital </v>
      </c>
      <c r="C24" s="20">
        <f>'Raw Data Asian Paints'!B57/'Raw Data Asian Paints'!B$61</f>
        <v>9.0841677691984955E-3</v>
      </c>
      <c r="D24" s="20">
        <f>'Raw Data Asian Paints'!C57/'Raw Data Asian Paints'!C$61</f>
        <v>7.732247551226543E-3</v>
      </c>
      <c r="E24" s="20">
        <f>'Raw Data Asian Paints'!D57/'Raw Data Asian Paints'!D$61</f>
        <v>6.969167681429406E-3</v>
      </c>
      <c r="F24" s="20">
        <f>'Raw Data Asian Paints'!E57/'Raw Data Asian Paints'!E$61</f>
        <v>5.9031906277617358E-3</v>
      </c>
      <c r="G24" s="20">
        <f>'Raw Data Asian Paints'!F57/'Raw Data Asian Paints'!F$61</f>
        <v>5.9437463324073601E-3</v>
      </c>
      <c r="H24" s="20">
        <f>'Raw Data Asian Paints'!G57/'Raw Data Asian Paints'!G$61</f>
        <v>4.712276974985434E-3</v>
      </c>
      <c r="I24" s="20">
        <f>'Raw Data Asian Paints'!H57/'Raw Data Asian Paints'!H$61</f>
        <v>4.1779860382439044E-3</v>
      </c>
      <c r="J24" s="20">
        <f>'Raw Data Asian Paints'!I57/'Raw Data Asian Paints'!I$61</f>
        <v>3.7208104322338864E-3</v>
      </c>
      <c r="K24" s="20">
        <f>'Raw Data Asian Paints'!J57/'Raw Data Asian Paints'!J$61</f>
        <v>3.2079441432444717E-3</v>
      </c>
      <c r="L24" s="20">
        <f>'Raw Data Asian Paints'!K57/'Raw Data Asian Paints'!K$61</f>
        <v>3.1599146770328033E-3</v>
      </c>
    </row>
    <row r="25" spans="2:12" x14ac:dyDescent="0.3">
      <c r="B25" s="18" t="str">
        <f>'Raw Data Asian Paints'!A58</f>
        <v xml:space="preserve"> Reserves </v>
      </c>
      <c r="C25" s="20">
        <f>'Raw Data Asian Paints'!B58/'Raw Data Asian Paints'!B$61</f>
        <v>0.60885327534820899</v>
      </c>
      <c r="D25" s="20">
        <f>'Raw Data Asian Paints'!C58/'Raw Data Asian Paints'!C$61</f>
        <v>0.60522813435344402</v>
      </c>
      <c r="E25" s="20">
        <f>'Raw Data Asian Paints'!D58/'Raw Data Asian Paints'!D$61</f>
        <v>0.60408486807115636</v>
      </c>
      <c r="F25" s="20">
        <f>'Raw Data Asian Paints'!E58/'Raw Data Asian Paints'!E$61</f>
        <v>0.57694149243884485</v>
      </c>
      <c r="G25" s="20">
        <f>'Raw Data Asian Paints'!F58/'Raw Data Asian Paints'!F$61</f>
        <v>0.62177832775745645</v>
      </c>
      <c r="H25" s="20">
        <f>'Raw Data Asian Paints'!G58/'Raw Data Asian Paints'!G$61</f>
        <v>0.62442435252862394</v>
      </c>
      <c r="I25" s="20">
        <f>'Raw Data Asian Paints'!H58/'Raw Data Asian Paints'!H$61</f>
        <v>0.59741193104232293</v>
      </c>
      <c r="J25" s="20">
        <f>'Raw Data Asian Paints'!I58/'Raw Data Asian Paints'!I$61</f>
        <v>0.61663006757739625</v>
      </c>
      <c r="K25" s="20">
        <f>'Raw Data Asian Paints'!J58/'Raw Data Asian Paints'!J$61</f>
        <v>0.62314047430885566</v>
      </c>
      <c r="L25" s="20">
        <f>'Raw Data Asian Paints'!K58/'Raw Data Asian Paints'!K$61</f>
        <v>0.63593249932054585</v>
      </c>
    </row>
    <row r="26" spans="2:12" x14ac:dyDescent="0.3">
      <c r="B26" s="18" t="str">
        <f>'Raw Data Asian Paints'!A59</f>
        <v xml:space="preserve"> Borrowings </v>
      </c>
      <c r="C26" s="20">
        <f>'Raw Data Asian Paints'!B59/'Raw Data Asian Paints'!B$61</f>
        <v>3.0617395726690803E-2</v>
      </c>
      <c r="D26" s="20">
        <f>'Raw Data Asian Paints'!C59/'Raw Data Asian Paints'!C$61</f>
        <v>4.5169803928839465E-2</v>
      </c>
      <c r="E26" s="20">
        <f>'Raw Data Asian Paints'!D59/'Raw Data Asian Paints'!D$61</f>
        <v>3.8756913222528021E-2</v>
      </c>
      <c r="F26" s="20">
        <f>'Raw Data Asian Paints'!E59/'Raw Data Asian Paints'!E$61</f>
        <v>8.1211951130049892E-2</v>
      </c>
      <c r="G26" s="20">
        <f>'Raw Data Asian Paints'!F59/'Raw Data Asian Paints'!F$61</f>
        <v>6.9308593336088742E-2</v>
      </c>
      <c r="H26" s="20">
        <f>'Raw Data Asian Paints'!G59/'Raw Data Asian Paints'!G$61</f>
        <v>5.3701878720768106E-2</v>
      </c>
      <c r="I26" s="20">
        <f>'Raw Data Asian Paints'!H59/'Raw Data Asian Paints'!H$61</f>
        <v>6.9119708969646448E-2</v>
      </c>
      <c r="J26" s="20">
        <f>'Raw Data Asian Paints'!I59/'Raw Data Asian Paints'!I$61</f>
        <v>7.4967813360548932E-2</v>
      </c>
      <c r="K26" s="20">
        <f>'Raw Data Asian Paints'!J59/'Raw Data Asian Paints'!J$61</f>
        <v>8.2753052847802919E-2</v>
      </c>
      <c r="L26" s="20">
        <f>'Raw Data Asian Paints'!K59/'Raw Data Asian Paints'!K$61</f>
        <v>7.5449551560273762E-2</v>
      </c>
    </row>
    <row r="27" spans="2:12" x14ac:dyDescent="0.3">
      <c r="B27" s="18" t="str">
        <f>'Raw Data Asian Paints'!A60</f>
        <v xml:space="preserve"> Other Liabilities </v>
      </c>
      <c r="C27" s="20">
        <f>'Raw Data Asian Paints'!B60/'Raw Data Asian Paints'!B$61</f>
        <v>0.35144516115590163</v>
      </c>
      <c r="D27" s="20">
        <f>'Raw Data Asian Paints'!C60/'Raw Data Asian Paints'!C$61</f>
        <v>0.34186981416648998</v>
      </c>
      <c r="E27" s="20">
        <f>'Raw Data Asian Paints'!D60/'Raw Data Asian Paints'!D$61</f>
        <v>0.35018905102488612</v>
      </c>
      <c r="F27" s="20">
        <f>'Raw Data Asian Paints'!E60/'Raw Data Asian Paints'!E$61</f>
        <v>0.3359433658033435</v>
      </c>
      <c r="G27" s="20">
        <f>'Raw Data Asian Paints'!F60/'Raw Data Asian Paints'!F$61</f>
        <v>0.30296933257404746</v>
      </c>
      <c r="H27" s="20">
        <f>'Raw Data Asian Paints'!G60/'Raw Data Asian Paints'!G$61</f>
        <v>0.31716149177562253</v>
      </c>
      <c r="I27" s="20">
        <f>'Raw Data Asian Paints'!H60/'Raw Data Asian Paints'!H$61</f>
        <v>0.32929037394978661</v>
      </c>
      <c r="J27" s="20">
        <f>'Raw Data Asian Paints'!I60/'Raw Data Asian Paints'!I$61</f>
        <v>0.30468130862982085</v>
      </c>
      <c r="K27" s="20">
        <f>'Raw Data Asian Paints'!J60/'Raw Data Asian Paints'!J$61</f>
        <v>0.29089852870009703</v>
      </c>
      <c r="L27" s="20">
        <f>'Raw Data Asian Paints'!K60/'Raw Data Asian Paints'!K$61</f>
        <v>0.28545803444214757</v>
      </c>
    </row>
    <row r="28" spans="2:12" x14ac:dyDescent="0.3">
      <c r="B28" s="18"/>
      <c r="C28" s="3"/>
    </row>
    <row r="29" spans="2:12" x14ac:dyDescent="0.3">
      <c r="B29" s="21" t="s">
        <v>42</v>
      </c>
      <c r="C29" s="19">
        <f>'Raw Data Asian Paints'!B77/'Raw Data Asian Paints'!B$77</f>
        <v>1</v>
      </c>
      <c r="D29" s="19">
        <f>'Raw Data Asian Paints'!C77/'Raw Data Asian Paints'!C$77</f>
        <v>1</v>
      </c>
      <c r="E29" s="19">
        <f>'Raw Data Asian Paints'!D77/'Raw Data Asian Paints'!D$77</f>
        <v>1</v>
      </c>
      <c r="F29" s="19">
        <f>'Raw Data Asian Paints'!E77/'Raw Data Asian Paints'!E$77</f>
        <v>1</v>
      </c>
      <c r="G29" s="19">
        <f>'Raw Data Asian Paints'!F77/'Raw Data Asian Paints'!F$77</f>
        <v>1</v>
      </c>
      <c r="H29" s="19">
        <f>'Raw Data Asian Paints'!G77/'Raw Data Asian Paints'!G$77</f>
        <v>1</v>
      </c>
      <c r="I29" s="19">
        <f>'Raw Data Asian Paints'!H77/'Raw Data Asian Paints'!H$77</f>
        <v>1</v>
      </c>
      <c r="J29" s="19">
        <f>'Raw Data Asian Paints'!I77/'Raw Data Asian Paints'!I$77</f>
        <v>1</v>
      </c>
      <c r="K29" s="19">
        <f>'Raw Data Asian Paints'!J77/'Raw Data Asian Paints'!J$77</f>
        <v>1</v>
      </c>
      <c r="L29" s="19">
        <f>'Raw Data Asian Paints'!K77/'Raw Data Asian Paints'!K$77</f>
        <v>1</v>
      </c>
    </row>
    <row r="30" spans="2:12" x14ac:dyDescent="0.3">
      <c r="B30" s="18" t="str">
        <f>'Raw Data Asian Paints'!A62</f>
        <v xml:space="preserve"> Net Block </v>
      </c>
      <c r="C30" s="20">
        <f>'Raw Data Asian Paints'!B62/'Raw Data Asian Paints'!B$77</f>
        <v>0.32354771224250711</v>
      </c>
      <c r="D30" s="20">
        <f>'Raw Data Asian Paints'!C62/'Raw Data Asian Paints'!C$77</f>
        <v>0.26631917769901142</v>
      </c>
      <c r="E30" s="20">
        <f>'Raw Data Asian Paints'!D62/'Raw Data Asian Paints'!D$77</f>
        <v>0.2711697913609058</v>
      </c>
      <c r="F30" s="20">
        <f>'Raw Data Asian Paints'!E62/'Raw Data Asian Paints'!E$77</f>
        <v>0.39981684846425963</v>
      </c>
      <c r="G30" s="20">
        <f>'Raw Data Asian Paints'!F62/'Raw Data Asian Paints'!F$77</f>
        <v>0.38866784360114692</v>
      </c>
      <c r="H30" s="20">
        <f>'Raw Data Asian Paints'!G62/'Raw Data Asian Paints'!G$77</f>
        <v>0.28781243644173965</v>
      </c>
      <c r="I30" s="20">
        <f>'Raw Data Asian Paints'!H62/'Raw Data Asian Paints'!H$77</f>
        <v>0.240393615765538</v>
      </c>
      <c r="J30" s="20">
        <f>'Raw Data Asian Paints'!I62/'Raw Data Asian Paints'!I$77</f>
        <v>0.22384057304825222</v>
      </c>
      <c r="K30" s="20">
        <f>'Raw Data Asian Paints'!J62/'Raw Data Asian Paints'!J$77</f>
        <v>0.23901123616549005</v>
      </c>
      <c r="L30" s="20">
        <f>'Raw Data Asian Paints'!K62/'Raw Data Asian Paints'!K$77</f>
        <v>0.30373988025135684</v>
      </c>
    </row>
    <row r="31" spans="2:12" x14ac:dyDescent="0.3">
      <c r="B31" s="18" t="str">
        <f>'Raw Data Asian Paints'!A63</f>
        <v xml:space="preserve"> Capital Work in Progress </v>
      </c>
      <c r="C31" s="20">
        <f>'Raw Data Asian Paints'!B63/'Raw Data Asian Paints'!B$77</f>
        <v>1.0094677257285944E-2</v>
      </c>
      <c r="D31" s="20">
        <f>'Raw Data Asian Paints'!C63/'Raw Data Asian Paints'!C$77</f>
        <v>2.0760665495651417E-2</v>
      </c>
      <c r="E31" s="20">
        <f>'Raw Data Asian Paints'!D63/'Raw Data Asian Paints'!D$77</f>
        <v>0.10208973311982143</v>
      </c>
      <c r="F31" s="20">
        <f>'Raw Data Asian Paints'!E63/'Raw Data Asian Paints'!E$77</f>
        <v>1.2903690355742316E-2</v>
      </c>
      <c r="G31" s="20">
        <f>'Raw Data Asian Paints'!F63/'Raw Data Asian Paints'!F$77</f>
        <v>8.6900644876648069E-3</v>
      </c>
      <c r="H31" s="20">
        <f>'Raw Data Asian Paints'!G63/'Raw Data Asian Paints'!G$77</f>
        <v>8.9892873319728384E-3</v>
      </c>
      <c r="I31" s="20">
        <f>'Raw Data Asian Paints'!H63/'Raw Data Asian Paints'!H$77</f>
        <v>1.8574005278235488E-2</v>
      </c>
      <c r="J31" s="20">
        <f>'Raw Data Asian Paints'!I63/'Raw Data Asian Paints'!I$77</f>
        <v>3.9550678780247588E-2</v>
      </c>
      <c r="K31" s="20">
        <f>'Raw Data Asian Paints'!J63/'Raw Data Asian Paints'!J$77</f>
        <v>9.0244164280719186E-2</v>
      </c>
      <c r="L31" s="20">
        <f>'Raw Data Asian Paints'!K63/'Raw Data Asian Paints'!K$77</f>
        <v>4.1326953327678079E-2</v>
      </c>
    </row>
    <row r="32" spans="2:12" x14ac:dyDescent="0.3">
      <c r="B32" s="18" t="str">
        <f>'Raw Data Asian Paints'!A64</f>
        <v xml:space="preserve"> Investments </v>
      </c>
      <c r="C32" s="20">
        <f>'Raw Data Asian Paints'!B64/'Raw Data Asian Paints'!B$77</f>
        <v>0.25685408602873561</v>
      </c>
      <c r="D32" s="20">
        <f>'Raw Data Asian Paints'!C64/'Raw Data Asian Paints'!C$77</f>
        <v>0.21378068372995493</v>
      </c>
      <c r="E32" s="20">
        <f>'Raw Data Asian Paints'!D64/'Raw Data Asian Paints'!D$77</f>
        <v>0.15553479207293502</v>
      </c>
      <c r="F32" s="20">
        <f>'Raw Data Asian Paints'!E64/'Raw Data Asian Paints'!E$77</f>
        <v>0.15807774585755044</v>
      </c>
      <c r="G32" s="20">
        <f>'Raw Data Asian Paints'!F64/'Raw Data Asian Paints'!F$77</f>
        <v>0.12509937743099039</v>
      </c>
      <c r="H32" s="20">
        <f>'Raw Data Asian Paints'!G64/'Raw Data Asian Paints'!G$77</f>
        <v>0.23270552100824649</v>
      </c>
      <c r="I32" s="20">
        <f>'Raw Data Asian Paints'!H64/'Raw Data Asian Paints'!H$77</f>
        <v>0.14145261675123255</v>
      </c>
      <c r="J32" s="20">
        <f>'Raw Data Asian Paints'!I64/'Raw Data Asian Paints'!I$77</f>
        <v>0.16531500236817637</v>
      </c>
      <c r="K32" s="20">
        <f>'Raw Data Asian Paints'!J64/'Raw Data Asian Paints'!J$77</f>
        <v>0.15343818904998099</v>
      </c>
      <c r="L32" s="20">
        <f>'Raw Data Asian Paints'!K64/'Raw Data Asian Paints'!K$77</f>
        <v>0.1556485286729643</v>
      </c>
    </row>
    <row r="33" spans="2:12" x14ac:dyDescent="0.3">
      <c r="B33" s="18" t="str">
        <f>'Raw Data Asian Paints'!A65</f>
        <v xml:space="preserve"> Other Assets </v>
      </c>
      <c r="C33" s="20">
        <f>'Raw Data Asian Paints'!B75/'Raw Data Asian Paints'!B$77</f>
        <v>6.7684247511371809E-2</v>
      </c>
      <c r="D33" s="20">
        <f>'Raw Data Asian Paints'!C75/'Raw Data Asian Paints'!C$77</f>
        <v>0.10617894607015289</v>
      </c>
      <c r="E33" s="20">
        <f>'Raw Data Asian Paints'!D75/'Raw Data Asian Paints'!D$77</f>
        <v>0.12292240043942376</v>
      </c>
      <c r="F33" s="20">
        <f>'Raw Data Asian Paints'!E75/'Raw Data Asian Paints'!E$77</f>
        <v>9.0588620479984977E-2</v>
      </c>
      <c r="G33" s="20">
        <f>'Raw Data Asian Paints'!F75/'Raw Data Asian Paints'!F$77</f>
        <v>0.10774031678085906</v>
      </c>
      <c r="H33" s="20">
        <f>'Raw Data Asian Paints'!G75/'Raw Data Asian Paints'!G$77</f>
        <v>0.1260367058472126</v>
      </c>
      <c r="I33" s="20">
        <f>'Raw Data Asian Paints'!H75/'Raw Data Asian Paints'!H$77</f>
        <v>0.12529863758105408</v>
      </c>
      <c r="J33" s="20">
        <f>'Raw Data Asian Paints'!I75/'Raw Data Asian Paints'!I$77</f>
        <v>0.11777536499203044</v>
      </c>
      <c r="K33" s="20">
        <f>'Raw Data Asian Paints'!J75/'Raw Data Asian Paints'!J$77</f>
        <v>0.11944140568955251</v>
      </c>
      <c r="L33" s="20">
        <f>'Raw Data Asian Paints'!K75/'Raw Data Asian Paints'!K$77</f>
        <v>0.11006366279309181</v>
      </c>
    </row>
    <row r="34" spans="2:12" x14ac:dyDescent="0.3">
      <c r="B34" s="18" t="str">
        <f>'Raw Data Asian Paints'!A67</f>
        <v xml:space="preserve"> Receivables </v>
      </c>
      <c r="C34" s="20">
        <f>'Raw Data Asian Paints'!B67/'Raw Data Asian Paints'!B$77</f>
        <v>0.11240047618010365</v>
      </c>
      <c r="D34" s="20">
        <f>'Raw Data Asian Paints'!C67/'Raw Data Asian Paints'!C$77</f>
        <v>0.11661248235617511</v>
      </c>
      <c r="E34" s="20">
        <f>'Raw Data Asian Paints'!D67/'Raw Data Asian Paints'!D$77</f>
        <v>0.12574072836230374</v>
      </c>
      <c r="F34" s="20">
        <f>'Raw Data Asian Paints'!E67/'Raw Data Asian Paints'!E$77</f>
        <v>0.11738253315313585</v>
      </c>
      <c r="G34" s="20">
        <f>'Raw Data Asian Paints'!F67/'Raw Data Asian Paints'!F$77</f>
        <v>0.111241996360137</v>
      </c>
      <c r="H34" s="20">
        <f>'Raw Data Asian Paints'!G67/'Raw Data Asian Paints'!G$77</f>
        <v>0.12783721618012767</v>
      </c>
      <c r="I34" s="20">
        <f>'Raw Data Asian Paints'!H67/'Raw Data Asian Paints'!H$77</f>
        <v>0.168628255503534</v>
      </c>
      <c r="J34" s="20">
        <f>'Raw Data Asian Paints'!I67/'Raw Data Asian Paints'!I$77</f>
        <v>0.17987046211053581</v>
      </c>
      <c r="K34" s="20">
        <f>'Raw Data Asian Paints'!J67/'Raw Data Asian Paints'!J$77</f>
        <v>0.16350916715522712</v>
      </c>
      <c r="L34" s="20">
        <f>'Raw Data Asian Paints'!K67/'Raw Data Asian Paints'!K$77</f>
        <v>0.14210556658238688</v>
      </c>
    </row>
    <row r="35" spans="2:12" x14ac:dyDescent="0.3">
      <c r="B35" s="18" t="str">
        <f>'Raw Data Asian Paints'!A68</f>
        <v xml:space="preserve"> Inventory </v>
      </c>
      <c r="C35" s="20">
        <f>'Raw Data Asian Paints'!B68/'Raw Data Asian Paints'!B$77</f>
        <v>0.18924465599586324</v>
      </c>
      <c r="D35" s="20">
        <f>'Raw Data Asian Paints'!C68/'Raw Data Asian Paints'!C$77</f>
        <v>0.21176136762113276</v>
      </c>
      <c r="E35" s="20">
        <f>'Raw Data Asian Paints'!D68/'Raw Data Asian Paints'!D$77</f>
        <v>0.19314228668912223</v>
      </c>
      <c r="F35" s="20">
        <f>'Raw Data Asian Paints'!E68/'Raw Data Asian Paints'!E$77</f>
        <v>0.19385137646748937</v>
      </c>
      <c r="G35" s="20">
        <f>'Raw Data Asian Paints'!F68/'Raw Data Asian Paints'!F$77</f>
        <v>0.21005182188342153</v>
      </c>
      <c r="H35" s="20">
        <f>'Raw Data Asian Paints'!G68/'Raw Data Asian Paints'!G$77</f>
        <v>0.18661442157193148</v>
      </c>
      <c r="I35" s="20">
        <f>'Raw Data Asian Paints'!H68/'Raw Data Asian Paints'!H$77</f>
        <v>0.26800525994155522</v>
      </c>
      <c r="J35" s="20">
        <f>'Raw Data Asian Paints'!I68/'Raw Data Asian Paints'!I$77</f>
        <v>0.24091549314896857</v>
      </c>
      <c r="K35" s="20">
        <f>'Raw Data Asian Paints'!J68/'Raw Data Asian Paints'!J$77</f>
        <v>0.19810225622952185</v>
      </c>
      <c r="L35" s="20">
        <f>'Raw Data Asian Paints'!K68/'Raw Data Asian Paints'!K$77</f>
        <v>0.22135446092521063</v>
      </c>
    </row>
    <row r="36" spans="2:12" x14ac:dyDescent="0.3">
      <c r="B36" s="18" t="str">
        <f>'Raw Data Asian Paints'!A69</f>
        <v xml:space="preserve"> Cash &amp; Bank </v>
      </c>
      <c r="C36" s="20">
        <f>'Raw Data Asian Paints'!B69/'Raw Data Asian Paints'!B$77</f>
        <v>4.0174144784132629E-2</v>
      </c>
      <c r="D36" s="20">
        <f>'Raw Data Asian Paints'!C69/'Raw Data Asian Paints'!C$77</f>
        <v>6.4586677027921383E-2</v>
      </c>
      <c r="E36" s="20">
        <f>'Raw Data Asian Paints'!D69/'Raw Data Asian Paints'!D$77</f>
        <v>2.9400267955488002E-2</v>
      </c>
      <c r="F36" s="20">
        <f>'Raw Data Asian Paints'!E69/'Raw Data Asian Paints'!E$77</f>
        <v>2.7379185221837375E-2</v>
      </c>
      <c r="G36" s="20">
        <f>'Raw Data Asian Paints'!F69/'Raw Data Asian Paints'!F$77</f>
        <v>4.8508579455780382E-2</v>
      </c>
      <c r="H36" s="20">
        <f>'Raw Data Asian Paints'!G69/'Raw Data Asian Paints'!G$77</f>
        <v>3.0004411618769326E-2</v>
      </c>
      <c r="I36" s="20">
        <f>'Raw Data Asian Paints'!H69/'Raw Data Asian Paints'!H$77</f>
        <v>3.7647609178850648E-2</v>
      </c>
      <c r="J36" s="20">
        <f>'Raw Data Asian Paints'!I69/'Raw Data Asian Paints'!I$77</f>
        <v>3.2732425551788971E-2</v>
      </c>
      <c r="K36" s="20">
        <f>'Raw Data Asian Paints'!J69/'Raw Data Asian Paints'!J$77</f>
        <v>3.6253581429508339E-2</v>
      </c>
      <c r="L36" s="20">
        <f>'Raw Data Asian Paints'!K69/'Raw Data Asian Paints'!K$77</f>
        <v>2.576094744731142E-2</v>
      </c>
    </row>
    <row r="37" spans="2:12" x14ac:dyDescent="0.3">
      <c r="B37" s="18"/>
      <c r="C37" s="3"/>
    </row>
    <row r="38" spans="2:12" x14ac:dyDescent="0.3">
      <c r="B38" s="18"/>
    </row>
    <row r="39" spans="2:12" x14ac:dyDescent="0.3">
      <c r="B39" s="18"/>
    </row>
    <row r="40" spans="2:12" x14ac:dyDescent="0.3">
      <c r="B40" s="18"/>
    </row>
    <row r="41" spans="2:12" x14ac:dyDescent="0.3">
      <c r="B41" s="18"/>
    </row>
    <row r="42" spans="2:12" x14ac:dyDescent="0.3">
      <c r="B42" s="18"/>
    </row>
    <row r="43" spans="2:12" x14ac:dyDescent="0.3">
      <c r="B43" s="18"/>
    </row>
    <row r="44" spans="2:12" x14ac:dyDescent="0.3">
      <c r="B44" s="18"/>
    </row>
    <row r="45" spans="2:12" x14ac:dyDescent="0.3">
      <c r="B45" s="18"/>
    </row>
  </sheetData>
  <mergeCells count="2">
    <mergeCell ref="B2:L2"/>
    <mergeCell ref="B21:L2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42B74-A434-4062-9BB9-7214986A5EF6}">
  <sheetPr>
    <tabColor rgb="FFE84726"/>
  </sheetPr>
  <dimension ref="B2:AB41"/>
  <sheetViews>
    <sheetView showGridLines="0" workbookViewId="0">
      <pane xSplit="1" ySplit="3" topLeftCell="B4" activePane="bottomRight" state="frozen"/>
      <selection pane="topRight" activeCell="B1" sqref="B1"/>
      <selection pane="bottomLeft" activeCell="A4" sqref="A4"/>
      <selection pane="bottomRight" activeCell="N3" sqref="N3:O3"/>
    </sheetView>
  </sheetViews>
  <sheetFormatPr defaultRowHeight="14.4" x14ac:dyDescent="0.3"/>
  <cols>
    <col min="1" max="1" width="1.88671875" customWidth="1"/>
    <col min="2" max="2" width="23.88671875" bestFit="1" customWidth="1"/>
    <col min="3" max="10" width="9" bestFit="1" customWidth="1"/>
    <col min="11" max="12" width="9.6640625" bestFit="1" customWidth="1"/>
    <col min="13" max="13" width="9.6640625" customWidth="1"/>
    <col min="14" max="15" width="10.6640625" bestFit="1" customWidth="1"/>
  </cols>
  <sheetData>
    <row r="2" spans="2:15" x14ac:dyDescent="0.3">
      <c r="B2" s="236" t="str">
        <f>"Ratio Analysis of - "&amp;'Raw Data Asian Paints'!B1</f>
        <v xml:space="preserve">Ratio Analysis of -  ASIAN PAINTS LTD </v>
      </c>
      <c r="C2" s="236"/>
      <c r="D2" s="236"/>
      <c r="E2" s="236"/>
      <c r="F2" s="236"/>
      <c r="G2" s="236"/>
      <c r="H2" s="236"/>
      <c r="I2" s="236"/>
      <c r="J2" s="236"/>
      <c r="K2" s="236"/>
      <c r="L2" s="236"/>
      <c r="M2" s="240"/>
      <c r="N2" s="241"/>
      <c r="O2" s="241"/>
    </row>
    <row r="3" spans="2:15" x14ac:dyDescent="0.3">
      <c r="B3" s="242" t="s">
        <v>47</v>
      </c>
      <c r="C3" s="243">
        <f>'Raw Data Asian Paints'!B16</f>
        <v>42460</v>
      </c>
      <c r="D3" s="243">
        <f>C3+365</f>
        <v>42825</v>
      </c>
      <c r="E3" s="243">
        <f t="shared" ref="E3:L3" si="0">D3+365</f>
        <v>43190</v>
      </c>
      <c r="F3" s="243">
        <f t="shared" si="0"/>
        <v>43555</v>
      </c>
      <c r="G3" s="243">
        <f t="shared" si="0"/>
        <v>43920</v>
      </c>
      <c r="H3" s="243">
        <f t="shared" si="0"/>
        <v>44285</v>
      </c>
      <c r="I3" s="243">
        <f t="shared" si="0"/>
        <v>44650</v>
      </c>
      <c r="J3" s="243">
        <f t="shared" si="0"/>
        <v>45015</v>
      </c>
      <c r="K3" s="243">
        <f t="shared" si="0"/>
        <v>45380</v>
      </c>
      <c r="L3" s="243">
        <f t="shared" si="0"/>
        <v>45745</v>
      </c>
      <c r="M3" s="39" t="s">
        <v>92</v>
      </c>
      <c r="N3" s="244" t="s">
        <v>45</v>
      </c>
      <c r="O3" s="244" t="s">
        <v>93</v>
      </c>
    </row>
    <row r="4" spans="2:15" x14ac:dyDescent="0.3">
      <c r="B4" s="9"/>
      <c r="C4" s="9"/>
      <c r="D4" s="9"/>
      <c r="E4" s="9"/>
      <c r="F4" s="9"/>
      <c r="G4" s="9"/>
      <c r="H4" s="9"/>
      <c r="I4" s="9"/>
      <c r="J4" s="9"/>
      <c r="K4" s="9"/>
      <c r="L4" s="9"/>
      <c r="M4" s="9"/>
      <c r="N4" s="9"/>
      <c r="O4" s="9"/>
    </row>
    <row r="5" spans="2:15" x14ac:dyDescent="0.3">
      <c r="B5" s="40" t="s">
        <v>94</v>
      </c>
      <c r="C5" s="40"/>
      <c r="D5" s="41">
        <f>IFERROR('Historical IFS Asian Paints'!D7,0)</f>
        <v>5.5390151974320734E-2</v>
      </c>
      <c r="E5" s="41">
        <f>IFERROR('Historical IFS Asian Paints'!E7,0)</f>
        <v>0.11702039371955486</v>
      </c>
      <c r="F5" s="41">
        <f>IFERROR('Historical IFS Asian Paints'!F7,0)</f>
        <v>0.14357471670861943</v>
      </c>
      <c r="G5" s="41">
        <f>IFERROR('Historical IFS Asian Paints'!G7,0)</f>
        <v>5.0473671435691925E-2</v>
      </c>
      <c r="H5" s="41">
        <f>IFERROR('Historical IFS Asian Paints'!H7,0)</f>
        <v>7.4292287711052118E-2</v>
      </c>
      <c r="I5" s="41">
        <f>IFERROR('Historical IFS Asian Paints'!I7,0)</f>
        <v>0.34028284711453471</v>
      </c>
      <c r="J5" s="41">
        <f>IFERROR('Historical IFS Asian Paints'!J7,0)</f>
        <v>0.18512278497715551</v>
      </c>
      <c r="K5" s="41">
        <f>IFERROR('Historical IFS Asian Paints'!K7,0)</f>
        <v>2.9173126532572313E-2</v>
      </c>
      <c r="L5" s="41">
        <f>IFERROR('Historical IFS Asian Paints'!L7,0)</f>
        <v>-4.4770308155605121E-2</v>
      </c>
      <c r="M5" s="41"/>
      <c r="N5" s="42">
        <f>IFERROR(AVERAGE(D5:L5),0)</f>
        <v>0.10561774133532183</v>
      </c>
      <c r="O5" s="42">
        <f>IFERROR(MEDIAN(D5:L5),0)</f>
        <v>7.4292287711052118E-2</v>
      </c>
    </row>
    <row r="6" spans="2:15" x14ac:dyDescent="0.3">
      <c r="B6" t="s">
        <v>95</v>
      </c>
      <c r="D6" s="43">
        <f>IFERROR(('Historical IFS Asian Paints'!D18/'Historical IFS Asian Paints'!C18)-1,0)</f>
        <v>9.861139652995865E-2</v>
      </c>
      <c r="E6" s="43">
        <f>IFERROR(('Historical IFS Asian Paints'!E18/'Historical IFS Asian Paints'!D18)-1,0)</f>
        <v>7.0229410507188561E-2</v>
      </c>
      <c r="F6" s="43">
        <f>IFERROR(('Historical IFS Asian Paints'!F18/'Historical IFS Asian Paints'!E18)-1,0)</f>
        <v>0.17507123885381137</v>
      </c>
      <c r="G6" s="43">
        <f>IFERROR(('Historical IFS Asian Paints'!G18/'Historical IFS Asian Paints'!F18)-1,0)</f>
        <v>0.10540141409955961</v>
      </c>
      <c r="H6" s="43">
        <f>IFERROR(('Historical IFS Asian Paints'!H18/'Historical IFS Asian Paints'!G18)-1,0)</f>
        <v>0.16671512361327179</v>
      </c>
      <c r="I6" s="43">
        <f>IFERROR(('Historical IFS Asian Paints'!I18/'Historical IFS Asian Paints'!H18)-1,0)</f>
        <v>-1.0707224647830249E-2</v>
      </c>
      <c r="J6" s="43">
        <f>IFERROR(('Historical IFS Asian Paints'!J18/'Historical IFS Asian Paints'!I18)-1,0)</f>
        <v>0.3031532534906034</v>
      </c>
      <c r="K6" s="43">
        <f>IFERROR(('Historical IFS Asian Paints'!K18/'Historical IFS Asian Paints'!J18)-1,0)</f>
        <v>0.21168911665473988</v>
      </c>
      <c r="L6" s="43">
        <f>IFERROR(('Historical IFS Asian Paints'!L18/'Historical IFS Asian Paints'!K18)-1,0)</f>
        <v>-0.20814425351154509</v>
      </c>
      <c r="M6" s="43"/>
      <c r="N6" s="3">
        <f t="shared" ref="N6:N9" si="1">IFERROR(AVERAGE(D6:L6),0)</f>
        <v>0.10133549728775089</v>
      </c>
      <c r="O6" s="3">
        <f t="shared" ref="O6:O9" si="2">IFERROR(MEDIAN(D6:L6),0)</f>
        <v>0.10540141409955961</v>
      </c>
    </row>
    <row r="7" spans="2:15" x14ac:dyDescent="0.3">
      <c r="B7" t="s">
        <v>96</v>
      </c>
      <c r="D7" s="43">
        <f>IFERROR(('Historical IFS Asian Paints'!D27/'Historical IFS Asian Paints'!C27)-1,0)</f>
        <v>9.2140673037667264E-2</v>
      </c>
      <c r="E7" s="43">
        <f>IFERROR(('Historical IFS Asian Paints'!E27/'Historical IFS Asian Paints'!D27)-1,0)</f>
        <v>6.8823331960147449E-2</v>
      </c>
      <c r="F7" s="43">
        <f>IFERROR(('Historical IFS Asian Paints'!F27/'Historical IFS Asian Paints'!E27)-1,0)</f>
        <v>8.2174963509120014E-2</v>
      </c>
      <c r="G7" s="43">
        <f>IFERROR(('Historical IFS Asian Paints'!G27/'Historical IFS Asian Paints'!F27)-1,0)</f>
        <v>8.1326900436296867E-2</v>
      </c>
      <c r="H7" s="43">
        <f>IFERROR(('Historical IFS Asian Paints'!H27/'Historical IFS Asian Paints'!G27)-1,0)</f>
        <v>0.21158057177014689</v>
      </c>
      <c r="I7" s="43">
        <f>IFERROR(('Historical IFS Asian Paints'!I27/'Historical IFS Asian Paints'!H27)-1,0)</f>
        <v>-2.0353915473104944E-2</v>
      </c>
      <c r="J7" s="43">
        <f>IFERROR(('Historical IFS Asian Paints'!J27/'Historical IFS Asian Paints'!I27)-1,0)</f>
        <v>0.35087002548922808</v>
      </c>
      <c r="K7" s="43">
        <f>IFERROR(('Historical IFS Asian Paints'!K27/'Historical IFS Asian Paints'!J27)-1,0)</f>
        <v>0.24145913260813057</v>
      </c>
      <c r="L7" s="43">
        <f>IFERROR(('Historical IFS Asian Paints'!L27/'Historical IFS Asian Paints'!K27)-1,0)</f>
        <v>-0.2717958696514835</v>
      </c>
      <c r="M7" s="43"/>
      <c r="N7" s="3">
        <f t="shared" si="1"/>
        <v>9.2913979298460958E-2</v>
      </c>
      <c r="O7" s="3">
        <f t="shared" si="2"/>
        <v>8.2174963509120014E-2</v>
      </c>
    </row>
    <row r="8" spans="2:15" x14ac:dyDescent="0.3">
      <c r="B8" t="s">
        <v>97</v>
      </c>
      <c r="D8" s="43">
        <f>IFERROR(('Historical IFS Asian Paints'!D33/'Historical IFS Asian Paints'!C33)-1,0)</f>
        <v>7.8651902028958665E-2</v>
      </c>
      <c r="E8" s="43">
        <f>IFERROR(('Historical IFS Asian Paints'!E33/'Historical IFS Asian Paints'!D33)-1,0)</f>
        <v>4.9310334554771407E-2</v>
      </c>
      <c r="F8" s="43">
        <f>IFERROR(('Historical IFS Asian Paints'!F33/'Historical IFS Asian Paints'!E33)-1,0)</f>
        <v>9.8324352255112046E-2</v>
      </c>
      <c r="G8" s="43">
        <f>IFERROR(('Historical IFS Asian Paints'!G33/'Historical IFS Asian Paints'!F33)-1,0)</f>
        <v>0.25323248564057566</v>
      </c>
      <c r="H8" s="43">
        <f>IFERROR(('Historical IFS Asian Paints'!H33/'Historical IFS Asian Paints'!G33)-1,0)</f>
        <v>0.1860533231026924</v>
      </c>
      <c r="I8" s="43">
        <f>IFERROR(('Historical IFS Asian Paints'!I33/'Historical IFS Asian Paints'!H33)-1,0)</f>
        <v>-2.9971131438908061E-2</v>
      </c>
      <c r="J8" s="43">
        <f>IFERROR(('Historical IFS Asian Paints'!J33/'Historical IFS Asian Paints'!I33)-1,0)</f>
        <v>0.34957492658474654</v>
      </c>
      <c r="K8" s="43">
        <f>IFERROR(('Historical IFS Asian Paints'!K33/'Historical IFS Asian Paints'!J33)-1,0)</f>
        <v>0.25847332665581102</v>
      </c>
      <c r="L8" s="43">
        <f>IFERROR(('Historical IFS Asian Paints'!L33/'Historical IFS Asian Paints'!K33)-1,0)</f>
        <v>-0.29075754792863395</v>
      </c>
      <c r="M8" s="43"/>
      <c r="N8" s="3">
        <f t="shared" si="1"/>
        <v>0.10587688571723618</v>
      </c>
      <c r="O8" s="3">
        <f t="shared" si="2"/>
        <v>9.8324352255112046E-2</v>
      </c>
    </row>
    <row r="9" spans="2:15" x14ac:dyDescent="0.3">
      <c r="B9" s="44" t="s">
        <v>98</v>
      </c>
      <c r="C9" s="44"/>
      <c r="D9" s="45">
        <f>IFERROR(('Historical IFS Asian Paints'!D41/'Historical IFS Asian Paints'!C41)-1,0)</f>
        <v>0.37333889352237981</v>
      </c>
      <c r="E9" s="45">
        <f>IFERROR(('Historical IFS Asian Paints'!E41/'Historical IFS Asian Paints'!D41)-1,0)</f>
        <v>-0.15534727423632066</v>
      </c>
      <c r="F9" s="45">
        <f>IFERROR(('Historical IFS Asian Paints'!F41/'Historical IFS Asian Paints'!E41)-1,0)</f>
        <v>0.20690233672858005</v>
      </c>
      <c r="G9" s="45">
        <f>IFERROR(('Historical IFS Asian Paints'!G41/'Historical IFS Asian Paints'!F41)-1,0)</f>
        <v>0.14285714285714279</v>
      </c>
      <c r="H9" s="45">
        <f>IFERROR(('Historical IFS Asian Paints'!H41/'Historical IFS Asian Paints'!G41)-1,0)</f>
        <v>0.48749826244092298</v>
      </c>
      <c r="I9" s="45">
        <f>IFERROR(('Historical IFS Asian Paints'!I41/'Historical IFS Asian Paints'!H41)-1,0)</f>
        <v>7.2831552941588606E-2</v>
      </c>
      <c r="J9" s="45">
        <f>IFERROR(('Historical IFS Asian Paints'!J41/'Historical IFS Asian Paints'!I41)-1,0)</f>
        <v>0.33942521789783719</v>
      </c>
      <c r="K9" s="45">
        <f>IFERROR(('Historical IFS Asian Paints'!K41/'Historical IFS Asian Paints'!J41)-1,0)</f>
        <v>0.2982461844859472</v>
      </c>
      <c r="L9" s="45">
        <f>IFERROR(('Historical IFS Asian Paints'!L41/'Historical IFS Asian Paints'!K41)-1,0)</f>
        <v>-0.25525493560081891</v>
      </c>
      <c r="M9" s="45"/>
      <c r="N9" s="46">
        <f t="shared" si="1"/>
        <v>0.16783304233747323</v>
      </c>
      <c r="O9" s="46">
        <f t="shared" si="2"/>
        <v>0.20690233672858005</v>
      </c>
    </row>
    <row r="10" spans="2:15" x14ac:dyDescent="0.3">
      <c r="B10" s="222"/>
      <c r="C10" s="222"/>
      <c r="D10" s="222"/>
      <c r="E10" s="222"/>
      <c r="F10" s="222"/>
      <c r="G10" s="222"/>
      <c r="H10" s="222"/>
      <c r="I10" s="222"/>
      <c r="J10" s="222"/>
      <c r="K10" s="222"/>
      <c r="L10" s="222"/>
      <c r="M10" s="222"/>
      <c r="N10" s="222"/>
      <c r="O10" s="222"/>
    </row>
    <row r="11" spans="2:15" x14ac:dyDescent="0.3">
      <c r="B11" s="40" t="s">
        <v>99</v>
      </c>
      <c r="C11" s="41">
        <f>IFERROR('Historical IFS Asian Paints'!C13,0)</f>
        <v>0.34037441080083447</v>
      </c>
      <c r="D11" s="41">
        <f>IFERROR('Historical IFS Asian Paints'!D13,0)</f>
        <v>0.35382642001488518</v>
      </c>
      <c r="E11" s="41">
        <f>IFERROR('Historical IFS Asian Paints'!E13,0)</f>
        <v>0.33465263558312119</v>
      </c>
      <c r="F11" s="41">
        <f>IFERROR('Historical IFS Asian Paints'!F13,0)</f>
        <v>0.3292243867375117</v>
      </c>
      <c r="G11" s="41">
        <f>IFERROR('Historical IFS Asian Paints'!G13,0)</f>
        <v>0.34897544684272364</v>
      </c>
      <c r="H11" s="41">
        <f>IFERROR('Historical IFS Asian Paints'!H13,0)</f>
        <v>0.35360356729835285</v>
      </c>
      <c r="I11" s="41">
        <f>IFERROR('Historical IFS Asian Paints'!I13,0)</f>
        <v>0.29245139732685294</v>
      </c>
      <c r="J11" s="41">
        <f>IFERROR('Historical IFS Asian Paints'!J13,0)</f>
        <v>0.31088223670495074</v>
      </c>
      <c r="K11" s="41">
        <f>IFERROR('Historical IFS Asian Paints'!K13,0)</f>
        <v>0.35173503221464147</v>
      </c>
      <c r="L11" s="41">
        <f>IFERROR('Historical IFS Asian Paints'!L13,0)</f>
        <v>0.32927727025785108</v>
      </c>
      <c r="M11" s="41"/>
      <c r="N11" s="42">
        <f>IFERROR(AVERAGE(C11:L11),0)</f>
        <v>0.33450028037817253</v>
      </c>
      <c r="O11" s="42">
        <f>IFERROR(AVERAGE(D11:M11),0)</f>
        <v>0.33384759922009893</v>
      </c>
    </row>
    <row r="12" spans="2:15" x14ac:dyDescent="0.3">
      <c r="B12" t="s">
        <v>100</v>
      </c>
      <c r="C12" s="43">
        <f>IFERROR('Historical IFS Asian Paints'!C19,0)</f>
        <v>0.19094292186730338</v>
      </c>
      <c r="D12" s="43">
        <f>IFERROR('Historical IFS Asian Paints'!D19,0)</f>
        <v>0.19876258050895004</v>
      </c>
      <c r="E12" s="43">
        <f>IFERROR('Historical IFS Asian Paints'!E19,0)</f>
        <v>0.19043659414367703</v>
      </c>
      <c r="F12" s="43">
        <f>IFERROR('Historical IFS Asian Paints'!F19,0)</f>
        <v>0.19568163000977651</v>
      </c>
      <c r="G12" s="43">
        <f>IFERROR('Historical IFS Asian Paints'!G19,0)</f>
        <v>0.2059135382522109</v>
      </c>
      <c r="H12" s="43">
        <f>IFERROR('Historical IFS Asian Paints'!H19,0)</f>
        <v>0.22362856178317034</v>
      </c>
      <c r="I12" s="43">
        <f>IFERROR('Historical IFS Asian Paints'!I19,0)</f>
        <v>0.16506524798909186</v>
      </c>
      <c r="J12" s="43">
        <f>IFERROR('Historical IFS Asian Paints'!J19,0)</f>
        <v>0.1815046657459756</v>
      </c>
      <c r="K12" s="43">
        <f>IFERROR('Historical IFS Asian Paints'!K19,0)</f>
        <v>0.21369313134654075</v>
      </c>
      <c r="L12" s="43">
        <f>IFERROR('Historical IFS Asian Paints'!L19,0)</f>
        <v>0.17714496888716388</v>
      </c>
      <c r="M12" s="43"/>
      <c r="N12" s="3">
        <f t="shared" ref="N12:O25" si="3">IFERROR(AVERAGE(C12:L12),0)</f>
        <v>0.19427738405338602</v>
      </c>
      <c r="O12" s="3">
        <f t="shared" si="3"/>
        <v>0.19464787985183965</v>
      </c>
    </row>
    <row r="13" spans="2:15" x14ac:dyDescent="0.3">
      <c r="B13" t="s">
        <v>101</v>
      </c>
      <c r="C13" s="43">
        <f>IFERROR(('Historical IFS Asian Paints'!C27+'Historical IFS Asian Paints'!C21)/'Historical IFS Asian Paints'!C6,0)</f>
        <v>0.17163309507276406</v>
      </c>
      <c r="D13" s="43">
        <f>IFERROR(('Historical IFS Asian Paints'!D27+'Historical IFS Asian Paints'!D21)/'Historical IFS Asian Paints'!D6,0)</f>
        <v>0.17653510591893901</v>
      </c>
      <c r="E13" s="43">
        <f>IFERROR(('Historical IFS Asian Paints'!E27+'Historical IFS Asian Paints'!E21)/'Historical IFS Asian Paints'!E6,0)</f>
        <v>0.16901135543001156</v>
      </c>
      <c r="F13" s="43">
        <f>IFERROR(('Historical IFS Asian Paints'!F27+'Historical IFS Asian Paints'!F21)/'Historical IFS Asian Paints'!F6,0)</f>
        <v>0.16334608965739841</v>
      </c>
      <c r="G13" s="43">
        <f>IFERROR(('Historical IFS Asian Paints'!G27+'Historical IFS Asian Paints'!G21)/'Historical IFS Asian Paints'!G6,0)</f>
        <v>0.16729643144288442</v>
      </c>
      <c r="H13" s="43">
        <f>IFERROR(('Historical IFS Asian Paints'!H27+'Historical IFS Asian Paints'!H21)/'Historical IFS Asian Paints'!H6,0)</f>
        <v>0.18718598577152007</v>
      </c>
      <c r="I13" s="43">
        <f>IFERROR(('Historical IFS Asian Paints'!I27+'Historical IFS Asian Paints'!I21)/'Historical IFS Asian Paints'!I6,0)</f>
        <v>0.13701287366053996</v>
      </c>
      <c r="J13" s="43">
        <f>IFERROR(('Historical IFS Asian Paints'!J27+'Historical IFS Asian Paints'!J21)/'Historical IFS Asian Paints'!J6,0)</f>
        <v>0.15662629292760288</v>
      </c>
      <c r="K13" s="43">
        <f>IFERROR(('Historical IFS Asian Paints'!K27+'Historical IFS Asian Paints'!K21)/'Historical IFS Asian Paints'!K6,0)</f>
        <v>0.18966139480424279</v>
      </c>
      <c r="L13" s="43">
        <f>IFERROR(('Historical IFS Asian Paints'!L27+'Historical IFS Asian Paints'!L21)/'Historical IFS Asian Paints'!L6,0)</f>
        <v>0.14687447095791206</v>
      </c>
      <c r="M13" s="43"/>
      <c r="N13" s="3">
        <f t="shared" si="3"/>
        <v>0.16651830956438154</v>
      </c>
      <c r="O13" s="3">
        <f t="shared" si="3"/>
        <v>0.16595000006345012</v>
      </c>
    </row>
    <row r="14" spans="2:15" x14ac:dyDescent="0.3">
      <c r="B14" t="s">
        <v>102</v>
      </c>
      <c r="C14" s="43">
        <f>IFERROR('Historical IFS Asian Paints'!C28,0)</f>
        <v>0.16819967641780931</v>
      </c>
      <c r="D14" s="43">
        <f>IFERROR('Historical IFS Asian Paints'!D28,0)</f>
        <v>0.17405668175320793</v>
      </c>
      <c r="E14" s="43">
        <f>IFERROR('Historical IFS Asian Paints'!E28,0)</f>
        <v>0.16654650495852794</v>
      </c>
      <c r="F14" s="43">
        <f>IFERROR('Historical IFS Asian Paints'!F28,0)</f>
        <v>0.15760444446061442</v>
      </c>
      <c r="G14" s="43">
        <f>IFERROR('Historical IFS Asian Paints'!G28,0)</f>
        <v>0.16223340961098387</v>
      </c>
      <c r="H14" s="43">
        <f>IFERROR('Historical IFS Asian Paints'!H28,0)</f>
        <v>0.18296589245325004</v>
      </c>
      <c r="I14" s="43">
        <f>IFERROR('Historical IFS Asian Paints'!I28,0)</f>
        <v>0.13373432371359606</v>
      </c>
      <c r="J14" s="43">
        <f>IFERROR('Historical IFS Asian Paints'!J28,0)</f>
        <v>0.15243795121806938</v>
      </c>
      <c r="K14" s="43">
        <f>IFERROR('Historical IFS Asian Paints'!K28,0)</f>
        <v>0.18388110009570438</v>
      </c>
      <c r="L14" s="43">
        <f>IFERROR('Historical IFS Asian Paints'!L28,0)</f>
        <v>0.14017882581117827</v>
      </c>
      <c r="M14" s="43"/>
      <c r="N14" s="3">
        <f t="shared" si="3"/>
        <v>0.16218388104929415</v>
      </c>
      <c r="O14" s="3">
        <f t="shared" si="3"/>
        <v>0.16151545934168135</v>
      </c>
    </row>
    <row r="15" spans="2:15" x14ac:dyDescent="0.3">
      <c r="B15" s="44" t="s">
        <v>103</v>
      </c>
      <c r="C15" s="45">
        <f>IFERROR('Historical IFS Asian Paints'!C34,0)</f>
        <v>0.10902645764387611</v>
      </c>
      <c r="D15" s="45">
        <f>IFERROR('Historical IFS Asian Paints'!D34,0)</f>
        <v>0.1114294990237014</v>
      </c>
      <c r="E15" s="45">
        <f>IFERROR('Historical IFS Asian Paints'!E34,0)</f>
        <v>0.10467501359620324</v>
      </c>
      <c r="F15" s="45">
        <f>IFERROR('Historical IFS Asian Paints'!F34,0)</f>
        <v>0.1005331045060507</v>
      </c>
      <c r="G15" s="45">
        <f>IFERROR('Historical IFS Asian Paints'!G34,0)</f>
        <v>0.1199376584822808</v>
      </c>
      <c r="H15" s="45">
        <f>IFERROR('Historical IFS Asian Paints'!H34,0)</f>
        <v>0.13241504200980173</v>
      </c>
      <c r="I15" s="45">
        <f>IFERROR('Historical IFS Asian Paints'!I34,0)</f>
        <v>9.5835303464314917E-2</v>
      </c>
      <c r="J15" s="45">
        <f>IFERROR('Historical IFS Asian Paints'!J34,0)</f>
        <v>0.10913377438741322</v>
      </c>
      <c r="K15" s="45">
        <f>IFERROR('Historical IFS Asian Paints'!K34,0)</f>
        <v>0.13344882465650537</v>
      </c>
      <c r="L15" s="45">
        <f>IFERROR('Historical IFS Asian Paints'!L34,0)</f>
        <v>9.9083573755619339E-2</v>
      </c>
      <c r="M15" s="45"/>
      <c r="N15" s="46">
        <f t="shared" si="3"/>
        <v>0.11155182515257667</v>
      </c>
      <c r="O15" s="46">
        <f t="shared" si="3"/>
        <v>0.11183242154243229</v>
      </c>
    </row>
    <row r="16" spans="2:15" x14ac:dyDescent="0.3">
      <c r="B16" s="9"/>
      <c r="C16" s="9"/>
      <c r="D16" s="9"/>
      <c r="E16" s="9"/>
      <c r="F16" s="9"/>
      <c r="G16" s="9"/>
      <c r="H16" s="9"/>
      <c r="I16" s="9"/>
      <c r="J16" s="9"/>
      <c r="K16" s="9"/>
      <c r="L16" s="9"/>
      <c r="M16" s="9"/>
      <c r="N16" s="55"/>
      <c r="O16" s="55"/>
    </row>
    <row r="17" spans="2:28" x14ac:dyDescent="0.3">
      <c r="B17" s="40" t="s">
        <v>104</v>
      </c>
      <c r="C17" s="41">
        <f>IFERROR('Historical IFS Asian Paints'!C16,0)</f>
        <v>0.14943148893353111</v>
      </c>
      <c r="D17" s="41">
        <f>IFERROR('Historical IFS Asian Paints'!D16,0)</f>
        <v>0.15506383950593511</v>
      </c>
      <c r="E17" s="41">
        <f>IFERROR('Historical IFS Asian Paints'!E16,0)</f>
        <v>0.14421604143944414</v>
      </c>
      <c r="F17" s="41">
        <f>IFERROR('Historical IFS Asian Paints'!F16,0)</f>
        <v>0.13354275672773522</v>
      </c>
      <c r="G17" s="41">
        <f>IFERROR('Historical IFS Asian Paints'!G16,0)</f>
        <v>0.14306190859051271</v>
      </c>
      <c r="H17" s="41">
        <f>IFERROR('Historical IFS Asian Paints'!H16,0)</f>
        <v>0.12997500551518251</v>
      </c>
      <c r="I17" s="41">
        <f>IFERROR('Historical IFS Asian Paints'!I16,0)</f>
        <v>0.1273861493377611</v>
      </c>
      <c r="J17" s="41">
        <f>IFERROR('Historical IFS Asian Paints'!J16,0)</f>
        <v>0.12937757095897515</v>
      </c>
      <c r="K17" s="41">
        <f>IFERROR('Historical IFS Asian Paints'!K16,0)</f>
        <v>0.1380419008681007</v>
      </c>
      <c r="L17" s="41">
        <f>IFERROR('Historical IFS Asian Paints'!L16,0)</f>
        <v>0.15213230137068723</v>
      </c>
      <c r="M17" s="41"/>
      <c r="N17" s="42">
        <f t="shared" si="3"/>
        <v>0.14022289632478649</v>
      </c>
      <c r="O17" s="42">
        <f t="shared" si="3"/>
        <v>0.13919971936825934</v>
      </c>
    </row>
    <row r="18" spans="2:28" x14ac:dyDescent="0.3">
      <c r="B18" t="s">
        <v>105</v>
      </c>
      <c r="C18" s="43">
        <f>IFERROR('Historical IFS Asian Paints'!C25,0)</f>
        <v>1.9309826794539322E-2</v>
      </c>
      <c r="D18" s="43">
        <f>IFERROR('Historical IFS Asian Paints'!D25,0)</f>
        <v>2.2227474590011016E-2</v>
      </c>
      <c r="E18" s="43">
        <f>IFERROR('Historical IFS Asian Paints'!E25,0)</f>
        <v>2.1425238713665449E-2</v>
      </c>
      <c r="F18" s="43">
        <f>IFERROR('Historical IFS Asian Paints'!F25,0)</f>
        <v>3.2335540352378074E-2</v>
      </c>
      <c r="G18" s="43">
        <f>IFERROR('Historical IFS Asian Paints'!G25,0)</f>
        <v>3.8617106809326486E-2</v>
      </c>
      <c r="H18" s="43">
        <f>IFERROR('Historical IFS Asian Paints'!H25,0)</f>
        <v>3.6442576011650275E-2</v>
      </c>
      <c r="I18" s="43">
        <f>IFERROR('Historical IFS Asian Paints'!I25,0)</f>
        <v>2.8052374328551871E-2</v>
      </c>
      <c r="J18" s="43">
        <f>IFERROR('Historical IFS Asian Paints'!J25,0)</f>
        <v>2.4878372818372688E-2</v>
      </c>
      <c r="K18" s="43">
        <f>IFERROR('Historical IFS Asian Paints'!K25,0)</f>
        <v>2.4031736542297968E-2</v>
      </c>
      <c r="L18" s="43">
        <f>IFERROR('Historical IFS Asian Paints'!L25,0)</f>
        <v>3.0270497929251843E-2</v>
      </c>
      <c r="M18" s="43"/>
      <c r="N18" s="3">
        <f t="shared" si="3"/>
        <v>2.7759074489004498E-2</v>
      </c>
      <c r="O18" s="3">
        <f t="shared" si="3"/>
        <v>2.8697879788389519E-2</v>
      </c>
    </row>
    <row r="19" spans="2:28" x14ac:dyDescent="0.3">
      <c r="B19" s="44" t="s">
        <v>106</v>
      </c>
      <c r="C19" s="45">
        <f>C13</f>
        <v>0.17163309507276406</v>
      </c>
      <c r="D19" s="45">
        <f t="shared" ref="D19:L19" si="4">D13</f>
        <v>0.17653510591893901</v>
      </c>
      <c r="E19" s="45">
        <f t="shared" si="4"/>
        <v>0.16901135543001156</v>
      </c>
      <c r="F19" s="45">
        <f t="shared" si="4"/>
        <v>0.16334608965739841</v>
      </c>
      <c r="G19" s="45">
        <f t="shared" si="4"/>
        <v>0.16729643144288442</v>
      </c>
      <c r="H19" s="45">
        <f t="shared" si="4"/>
        <v>0.18718598577152007</v>
      </c>
      <c r="I19" s="45">
        <f t="shared" si="4"/>
        <v>0.13701287366053996</v>
      </c>
      <c r="J19" s="45">
        <f t="shared" si="4"/>
        <v>0.15662629292760288</v>
      </c>
      <c r="K19" s="45">
        <f t="shared" si="4"/>
        <v>0.18966139480424279</v>
      </c>
      <c r="L19" s="45">
        <f t="shared" si="4"/>
        <v>0.14687447095791206</v>
      </c>
      <c r="M19" s="45"/>
      <c r="N19" s="46">
        <f t="shared" si="3"/>
        <v>0.16651830956438154</v>
      </c>
      <c r="O19" s="46">
        <f t="shared" si="3"/>
        <v>0.16595000006345012</v>
      </c>
    </row>
    <row r="20" spans="2:28" x14ac:dyDescent="0.3">
      <c r="B20" s="9"/>
      <c r="C20" s="9"/>
      <c r="D20" s="9"/>
      <c r="E20" s="9"/>
      <c r="F20" s="9"/>
      <c r="G20" s="9"/>
      <c r="H20" s="9"/>
      <c r="I20" s="9"/>
      <c r="J20" s="9"/>
      <c r="K20" s="9"/>
      <c r="L20" s="9"/>
      <c r="M20" s="9"/>
      <c r="N20" s="55"/>
      <c r="O20" s="55"/>
    </row>
    <row r="21" spans="2:28" x14ac:dyDescent="0.3">
      <c r="B21" s="40" t="s">
        <v>107</v>
      </c>
      <c r="C21" s="41">
        <f>IFERROR(('Historical IFS Asian Paints'!C27+'Historical IFS Asian Paints'!C21)/SUM('Historical IFS Asian Paints'!C47:C49),0)</f>
        <v>0.35768409093896003</v>
      </c>
      <c r="D21" s="41">
        <f>IFERROR(('Historical IFS Asian Paints'!D27+'Historical IFS Asian Paints'!D21)/SUM('Historical IFS Asian Paints'!D47:D49),0)</f>
        <v>0.32568533713528403</v>
      </c>
      <c r="E21" s="41">
        <f>IFERROR(('Historical IFS Asian Paints'!E27+'Historical IFS Asian Paints'!E21)/SUM('Historical IFS Asian Paints'!E47:E49),0)</f>
        <v>0.31793918820706524</v>
      </c>
      <c r="F21" s="41">
        <f>IFERROR(('Historical IFS Asian Paints'!F27+'Historical IFS Asian Paints'!F21)/SUM('Historical IFS Asian Paints'!F47:F49),0)</f>
        <v>0.29126564505590757</v>
      </c>
      <c r="G21" s="41">
        <f>IFERROR(('Historical IFS Asian Paints'!G27+'Historical IFS Asian Paints'!G21)/SUM('Historical IFS Asian Paints'!G47:G49),0)</f>
        <v>0.3005931373159112</v>
      </c>
      <c r="H21" s="41">
        <f>IFERROR(('Historical IFS Asian Paints'!H27+'Historical IFS Asian Paints'!H21)/SUM('Historical IFS Asian Paints'!H47:H49),0)</f>
        <v>0.29241025338485616</v>
      </c>
      <c r="I21" s="41">
        <f>IFERROR(('Historical IFS Asian Paints'!I27+'Historical IFS Asian Paints'!I21)/SUM('Historical IFS Asian Paints'!I47:I49),0)</f>
        <v>0.2589385678029722</v>
      </c>
      <c r="J21" s="41">
        <f>IFERROR(('Historical IFS Asian Paints'!J27+'Historical IFS Asian Paints'!J21)/SUM('Historical IFS Asian Paints'!J47:J49),0)</f>
        <v>0.30135928613070656</v>
      </c>
      <c r="K21" s="41">
        <f>IFERROR(('Historical IFS Asian Paints'!K27+'Historical IFS Asian Paints'!K21)/SUM('Historical IFS Asian Paints'!K47:K49),0)</f>
        <v>0.31750608885291864</v>
      </c>
      <c r="L21" s="41">
        <f>IFERROR(('Historical IFS Asian Paints'!L27+'Historical IFS Asian Paints'!L21)/SUM('Historical IFS Asian Paints'!L47:L49),0)</f>
        <v>0.22959184143918207</v>
      </c>
      <c r="M21" s="41"/>
      <c r="N21" s="42">
        <f t="shared" si="3"/>
        <v>0.29929734362637633</v>
      </c>
      <c r="O21" s="42">
        <f t="shared" si="3"/>
        <v>0.29280992725831151</v>
      </c>
      <c r="Q21" t="s">
        <v>108</v>
      </c>
    </row>
    <row r="22" spans="2:28" x14ac:dyDescent="0.3">
      <c r="B22" t="s">
        <v>109</v>
      </c>
      <c r="C22" s="43">
        <f>IFERROR('Historical IFS Asian Paints'!C44,0)</f>
        <v>0.53765175421119982</v>
      </c>
      <c r="D22" s="43">
        <f>IFERROR('Historical IFS Asian Paints'!D44,0)</f>
        <v>0.4113385169958591</v>
      </c>
      <c r="E22" s="43">
        <f>IFERROR('Historical IFS Asian Paints'!E44,0)</f>
        <v>0.52615112060007641</v>
      </c>
      <c r="F22" s="43">
        <f>IFERROR('Historical IFS Asian Paints'!F44,0)</f>
        <v>0.47930743898214867</v>
      </c>
      <c r="G22" s="43">
        <f>IFERROR('Historical IFS Asian Paints'!G44,0)</f>
        <v>0.52516614482135515</v>
      </c>
      <c r="H22" s="43">
        <f>IFERROR('Historical IFS Asian Paints'!H44,0)</f>
        <v>0.40448332231922424</v>
      </c>
      <c r="I22" s="43">
        <f>IFERROR('Historical IFS Asian Paints'!I44,0)</f>
        <v>0.34137106345444268</v>
      </c>
      <c r="J22" s="43">
        <f>IFERROR('Historical IFS Asian Paints'!J44,0)</f>
        <v>0.34632439483829069</v>
      </c>
      <c r="K22" s="43">
        <f>IFERROR('Historical IFS Asian Paints'!K44,0)</f>
        <v>0.32566559630800174</v>
      </c>
      <c r="L22" s="43">
        <f>IFERROR('Historical IFS Asian Paints'!L44,0)</f>
        <v>0.29191037925399443</v>
      </c>
      <c r="M22" s="43"/>
      <c r="N22" s="3">
        <f t="shared" si="3"/>
        <v>0.41893697317845924</v>
      </c>
      <c r="O22" s="3">
        <f t="shared" si="3"/>
        <v>0.40574644195259923</v>
      </c>
    </row>
    <row r="23" spans="2:28" x14ac:dyDescent="0.3">
      <c r="B23" t="s">
        <v>110</v>
      </c>
      <c r="C23" s="43">
        <f>IFERROR('Historical IFS Asian Paints'!C33/SUM('Historical IFS Asian Paints'!C47:C48),0)</f>
        <v>0.23846941371562763</v>
      </c>
      <c r="D23" s="43">
        <f>IFERROR('Historical IFS Asian Paints'!D33/SUM('Historical IFS Asian Paints'!D47:D48),0)</f>
        <v>0.22072255122049375</v>
      </c>
      <c r="E23" s="43">
        <f>IFERROR('Historical IFS Asian Paints'!E33/SUM('Historical IFS Asian Paints'!E47:E48),0)</f>
        <v>0.20940093196024379</v>
      </c>
      <c r="F23" s="43">
        <f>IFERROR('Historical IFS Asian Paints'!F33/SUM('Historical IFS Asian Paints'!F47:F48),0)</f>
        <v>0.20424051401449772</v>
      </c>
      <c r="G23" s="43">
        <f>IFERROR('Historical IFS Asian Paints'!G33/SUM('Historical IFS Asian Paints'!G47:G48),0)</f>
        <v>0.23929434480797915</v>
      </c>
      <c r="H23" s="43">
        <f>IFERROR('Historical IFS Asian Paints'!H33/SUM('Historical IFS Asian Paints'!H47:H48),0)</f>
        <v>0.22450686342414569</v>
      </c>
      <c r="I23" s="43">
        <f>IFERROR('Historical IFS Asian Paints'!I33/SUM('Historical IFS Asian Paints'!I47:I48),0)</f>
        <v>0.20192722617865025</v>
      </c>
      <c r="J23" s="43">
        <f>IFERROR('Historical IFS Asian Paints'!J33/SUM('Historical IFS Asian Paints'!J47:J48),0)</f>
        <v>0.23535616983997826</v>
      </c>
      <c r="K23" s="43">
        <f>IFERROR('Historical IFS Asian Paints'!K33/SUM('Historical IFS Asian Paints'!K47:K48),0)</f>
        <v>0.25291831079168969</v>
      </c>
      <c r="L23" s="43">
        <f>IFERROR('Historical IFS Asian Paints'!L33/SUM('Historical IFS Asian Paints'!L47:L48),0)</f>
        <v>0.17317128363628317</v>
      </c>
      <c r="M23" s="43"/>
      <c r="N23" s="3">
        <f t="shared" si="3"/>
        <v>0.22000076095895887</v>
      </c>
      <c r="O23" s="3">
        <f t="shared" si="3"/>
        <v>0.21794868843044013</v>
      </c>
    </row>
    <row r="24" spans="2:28" x14ac:dyDescent="0.3">
      <c r="B24" t="s">
        <v>111</v>
      </c>
      <c r="C24" s="43">
        <f>IFERROR(C22*C23,0)</f>
        <v>0.12821349860992354</v>
      </c>
      <c r="D24" s="43">
        <f t="shared" ref="D24:L24" si="5">IFERROR(D22*D23,0)</f>
        <v>9.0791686886580444E-2</v>
      </c>
      <c r="E24" s="43">
        <f t="shared" si="5"/>
        <v>0.11017653500558262</v>
      </c>
      <c r="F24" s="43">
        <f t="shared" si="5"/>
        <v>9.789399770868655E-2</v>
      </c>
      <c r="G24" s="43">
        <f t="shared" si="5"/>
        <v>0.12566928854035847</v>
      </c>
      <c r="H24" s="43">
        <f t="shared" si="5"/>
        <v>9.0809282001266783E-2</v>
      </c>
      <c r="I24" s="43">
        <f t="shared" si="5"/>
        <v>6.893211194101162E-2</v>
      </c>
      <c r="J24" s="43">
        <f t="shared" si="5"/>
        <v>8.1509583091288432E-2</v>
      </c>
      <c r="K24" s="43">
        <f t="shared" si="5"/>
        <v>8.2366792501188141E-2</v>
      </c>
      <c r="L24" s="43">
        <f t="shared" si="5"/>
        <v>5.055049508216846E-2</v>
      </c>
      <c r="M24" s="43"/>
      <c r="N24" s="3">
        <f t="shared" si="3"/>
        <v>9.2691327136805529E-2</v>
      </c>
      <c r="O24" s="3">
        <f t="shared" si="3"/>
        <v>8.8744419195347951E-2</v>
      </c>
      <c r="Q24" t="s">
        <v>112</v>
      </c>
      <c r="R24" t="s">
        <v>113</v>
      </c>
      <c r="AB24" t="s">
        <v>114</v>
      </c>
    </row>
    <row r="25" spans="2:28" x14ac:dyDescent="0.3">
      <c r="B25" s="44" t="s">
        <v>115</v>
      </c>
      <c r="C25" s="47">
        <f>IFERROR(('Historical IFS Asian Paints'!C27+'Historical IFS Asian Paints'!C21)/'Historical IFS Asian Paints'!C21,0)</f>
        <v>49.988979591836767</v>
      </c>
      <c r="D25" s="47">
        <f>IFERROR(('Historical IFS Asian Paints'!D27+'Historical IFS Asian Paints'!D21)/'Historical IFS Asian Paints'!D21,0)</f>
        <v>71.228770425930904</v>
      </c>
      <c r="E25" s="47">
        <f>IFERROR(('Historical IFS Asian Paints'!E27+'Historical IFS Asian Paints'!E21)/'Historical IFS Asian Paints'!E21,0)</f>
        <v>68.568603809983145</v>
      </c>
      <c r="F25" s="47">
        <f>IFERROR(('Historical IFS Asian Paints'!F27+'Historical IFS Asian Paints'!F21)/'Historical IFS Asian Paints'!F21,0)</f>
        <v>28.449352765456695</v>
      </c>
      <c r="G25" s="47">
        <f>IFERROR(('Historical IFS Asian Paints'!G27+'Historical IFS Asian Paints'!G21)/'Historical IFS Asian Paints'!G21,0)</f>
        <v>33.04280269715624</v>
      </c>
      <c r="H25" s="47">
        <f>IFERROR(('Historical IFS Asian Paints'!H27+'Historical IFS Asian Paints'!H21)/'Historical IFS Asian Paints'!H21,0)</f>
        <v>44.355887809669362</v>
      </c>
      <c r="I25" s="47">
        <f>IFERROR(('Historical IFS Asian Paints'!I27+'Historical IFS Asian Paints'!I21)/'Historical IFS Asian Paints'!I21,0)</f>
        <v>41.790692799496895</v>
      </c>
      <c r="J25" s="47">
        <f>IFERROR(('Historical IFS Asian Paints'!J27+'Historical IFS Asian Paints'!J21)/'Historical IFS Asian Paints'!J21,0)</f>
        <v>37.395777085496682</v>
      </c>
      <c r="K25" s="47">
        <f>IFERROR(('Historical IFS Asian Paints'!K27+'Historical IFS Asian Paints'!K21)/'Historical IFS Asian Paints'!K21,0)</f>
        <v>32.811717112638306</v>
      </c>
      <c r="L25" s="47">
        <f>IFERROR(('Historical IFS Asian Paints'!L27+'Historical IFS Asian Paints'!L21)/'Historical IFS Asian Paints'!L21,0)</f>
        <v>21.9358206325434</v>
      </c>
      <c r="M25" s="45"/>
      <c r="N25" s="47">
        <f t="shared" si="3"/>
        <v>42.95684047302084</v>
      </c>
      <c r="O25" s="47">
        <f t="shared" si="3"/>
        <v>42.17549168204129</v>
      </c>
      <c r="R25" t="s">
        <v>116</v>
      </c>
      <c r="W25" t="s">
        <v>117</v>
      </c>
    </row>
    <row r="26" spans="2:28" x14ac:dyDescent="0.3">
      <c r="B26" s="9"/>
      <c r="C26" s="9"/>
      <c r="D26" s="9"/>
      <c r="E26" s="9"/>
      <c r="F26" s="9"/>
      <c r="G26" s="9"/>
      <c r="H26" s="9"/>
      <c r="I26" s="9"/>
      <c r="J26" s="9"/>
      <c r="K26" s="9"/>
      <c r="L26" s="9"/>
      <c r="M26" s="9"/>
      <c r="N26" s="55"/>
      <c r="O26" s="55"/>
    </row>
    <row r="27" spans="2:28" x14ac:dyDescent="0.3">
      <c r="B27" s="40" t="s">
        <v>118</v>
      </c>
      <c r="C27" s="48">
        <f>IFERROR('Historical IFS Asian Paints'!C6/'Historical IFS Asian Paints'!C59,0)</f>
        <v>12.024780088301709</v>
      </c>
      <c r="D27" s="48">
        <f>IFERROR('Historical IFS Asian Paints'!D6/'Historical IFS Asian Paints'!D59,0)</f>
        <v>10.41199364025992</v>
      </c>
      <c r="E27" s="48">
        <f>IFERROR('Historical IFS Asian Paints'!E6/'Historical IFS Asian Paints'!E59,0)</f>
        <v>9.7216331624899599</v>
      </c>
      <c r="F27" s="48">
        <f>IFERROR('Historical IFS Asian Paints'!F6/'Historical IFS Asian Paints'!F59,0)</f>
        <v>10.08746782150965</v>
      </c>
      <c r="G27" s="48">
        <f>IFERROR('Historical IFS Asian Paints'!G6/'Historical IFS Asian Paints'!G59,0)</f>
        <v>11.258369447755706</v>
      </c>
      <c r="H27" s="48">
        <f>IFERROR('Historical IFS Asian Paints'!H6/'Historical IFS Asian Paints'!H59,0)</f>
        <v>8.3441089552181449</v>
      </c>
      <c r="I27" s="48">
        <f>IFERROR('Historical IFS Asian Paints'!I6/'Historical IFS Asian Paints'!I59,0)</f>
        <v>7.5169136032070751</v>
      </c>
      <c r="J27" s="48">
        <f>IFERROR('Historical IFS Asian Paints'!J6/'Historical IFS Asian Paints'!J59,0)</f>
        <v>7.4377908707035241</v>
      </c>
      <c r="K27" s="48">
        <f>IFERROR('Historical IFS Asian Paints'!K6/'Historical IFS Asian Paints'!K59,0)</f>
        <v>7.2600464302880932</v>
      </c>
      <c r="L27" s="48">
        <f>IFERROR('Historical IFS Asian Paints'!L6/'Historical IFS Asian Paints'!L59,0)</f>
        <v>7.8600767331610131</v>
      </c>
      <c r="M27" s="41"/>
      <c r="N27" s="48">
        <f t="shared" ref="N27:O31" si="6">IFERROR(AVERAGE(C27:L27),0)</f>
        <v>9.1923180752894798</v>
      </c>
      <c r="O27" s="48">
        <f t="shared" si="6"/>
        <v>8.8776000738436753</v>
      </c>
    </row>
    <row r="28" spans="2:28" x14ac:dyDescent="0.3">
      <c r="B28" t="s">
        <v>119</v>
      </c>
      <c r="C28" s="49">
        <f>IFERROR('Historical IFS Asian Paints'!C6/'Historical IFS Asian Paints'!C50,0)</f>
        <v>3.8458091254998759</v>
      </c>
      <c r="D28" s="49">
        <f>IFERROR('Historical IFS Asian Paints'!D6/'Historical IFS Asian Paints'!D50,0)</f>
        <v>3.5515520070927336</v>
      </c>
      <c r="E28" s="49">
        <f>IFERROR('Historical IFS Asian Paints'!E6/'Historical IFS Asian Paints'!E50,0)</f>
        <v>3.4907008975438916</v>
      </c>
      <c r="F28" s="49">
        <f>IFERROR('Historical IFS Asian Paints'!F6/'Historical IFS Asian Paints'!F50,0)</f>
        <v>3.5246789980746303</v>
      </c>
      <c r="G28" s="49">
        <f>IFERROR('Historical IFS Asian Paints'!G6/'Historical IFS Asian Paints'!G50,0)</f>
        <v>4.1337632508472559</v>
      </c>
      <c r="H28" s="49">
        <f>IFERROR('Historical IFS Asian Paints'!H6/'Historical IFS Asian Paints'!H50,0)</f>
        <v>3.3632319433451108</v>
      </c>
      <c r="I28" s="49">
        <f>IFERROR('Historical IFS Asian Paints'!I6/'Historical IFS Asian Paints'!I50,0)</f>
        <v>3.8493807531491444</v>
      </c>
      <c r="J28" s="49">
        <f>IFERROR('Historical IFS Asian Paints'!J6/'Historical IFS Asian Paints'!J50,0)</f>
        <v>4.3909450402827428</v>
      </c>
      <c r="K28" s="49">
        <f>IFERROR('Historical IFS Asian Paints'!K6/'Historical IFS Asian Paints'!K50,0)</f>
        <v>4.0807499117622381</v>
      </c>
      <c r="L28" s="49">
        <f>IFERROR('Historical IFS Asian Paints'!L6/'Historical IFS Asian Paints'!L50,0)</f>
        <v>3.9128716756201571</v>
      </c>
      <c r="M28" s="43"/>
      <c r="N28" s="49">
        <f t="shared" si="6"/>
        <v>3.8143683603217786</v>
      </c>
      <c r="O28" s="49">
        <f t="shared" si="6"/>
        <v>3.8108749419686569</v>
      </c>
    </row>
    <row r="29" spans="2:28" x14ac:dyDescent="0.3">
      <c r="B29" t="s">
        <v>120</v>
      </c>
      <c r="C29" s="49">
        <f>IFERROR('Historical IFS Asian Paints'!C6/'Historical IFS Asian Paints'!C60,0)</f>
        <v>7.142029986388021</v>
      </c>
      <c r="D29" s="49">
        <f>IFERROR('Historical IFS Asian Paints'!D6/'Historical IFS Asian Paints'!D60,0)</f>
        <v>5.7336635020213631</v>
      </c>
      <c r="E29" s="49">
        <f>IFERROR('Historical IFS Asian Paints'!E6/'Historical IFS Asian Paints'!E60,0)</f>
        <v>6.3290398787199385</v>
      </c>
      <c r="F29" s="49">
        <f>IFERROR('Historical IFS Asian Paints'!F6/'Historical IFS Asian Paints'!F60,0)</f>
        <v>6.1082492555224679</v>
      </c>
      <c r="G29" s="49">
        <f>IFERROR('Historical IFS Asian Paints'!G6/'Historical IFS Asian Paints'!G60,0)</f>
        <v>5.9623548222466747</v>
      </c>
      <c r="H29" s="49">
        <f>IFERROR('Historical IFS Asian Paints'!H6/'Historical IFS Asian Paints'!H60,0)</f>
        <v>5.7159979992628864</v>
      </c>
      <c r="I29" s="49">
        <f>IFERROR('Historical IFS Asian Paints'!I6/'Historical IFS Asian Paints'!I60,0)</f>
        <v>4.7296236945350056</v>
      </c>
      <c r="J29" s="49">
        <f>IFERROR('Historical IFS Asian Paints'!J6/'Historical IFS Asian Paints'!J60,0)</f>
        <v>5.5531458915667296</v>
      </c>
      <c r="K29" s="49">
        <f>IFERROR('Historical IFS Asian Paints'!K6/'Historical IFS Asian Paints'!K60,0)</f>
        <v>5.9922797847861293</v>
      </c>
      <c r="L29" s="49">
        <f>IFERROR('Historical IFS Asian Paints'!L6/'Historical IFS Asian Paints'!L60,0)</f>
        <v>5.0460273214203326</v>
      </c>
      <c r="M29" s="43"/>
      <c r="N29" s="49">
        <f t="shared" si="6"/>
        <v>5.8312412136469547</v>
      </c>
      <c r="O29" s="49">
        <f t="shared" si="6"/>
        <v>5.6855980166757245</v>
      </c>
    </row>
    <row r="30" spans="2:28" x14ac:dyDescent="0.3">
      <c r="B30" t="s">
        <v>121</v>
      </c>
      <c r="C30" s="49">
        <f>IFERROR('Historical IFS Asian Paints'!C6/'Historical IFS Asian Paints'!C53,0)</f>
        <v>4.1774086378737545</v>
      </c>
      <c r="D30" s="49">
        <f>IFERROR('Historical IFS Asian Paints'!D6/'Historical IFS Asian Paints'!D53,0)</f>
        <v>4.5590724451682032</v>
      </c>
      <c r="E30" s="49">
        <f>IFERROR('Historical IFS Asian Paints'!E6/'Historical IFS Asian Paints'!E53,0)</f>
        <v>4.50789606241828</v>
      </c>
      <c r="F30" s="49">
        <f>IFERROR('Historical IFS Asian Paints'!F6/'Historical IFS Asian Paints'!F53,0)</f>
        <v>2.9615873631583485</v>
      </c>
      <c r="G30" s="49">
        <f>IFERROR('Historical IFS Asian Paints'!G6/'Historical IFS Asian Paints'!G53,0)</f>
        <v>3.2222976861794139</v>
      </c>
      <c r="H30" s="49">
        <f>IFERROR('Historical IFS Asian Paints'!H6/'Historical IFS Asian Paints'!H53,0)</f>
        <v>3.7061903006220001</v>
      </c>
      <c r="I30" s="49">
        <f>IFERROR('Historical IFS Asian Paints'!I6/'Historical IFS Asian Paints'!I53,0)</f>
        <v>5.2728689305787571</v>
      </c>
      <c r="J30" s="49">
        <f>IFERROR('Historical IFS Asian Paints'!J6/'Historical IFS Asian Paints'!J53,0)</f>
        <v>5.9767488207179316</v>
      </c>
      <c r="K30" s="49">
        <f>IFERROR('Historical IFS Asian Paints'!K6/'Historical IFS Asian Paints'!K53,0)</f>
        <v>4.9666457710078333</v>
      </c>
      <c r="L30" s="49">
        <f>IFERROR('Historical IFS Asian Paints'!L6/'Historical IFS Asian Paints'!L53,0)</f>
        <v>3.6773592477305019</v>
      </c>
      <c r="M30" s="43"/>
      <c r="N30" s="49">
        <f t="shared" si="6"/>
        <v>4.3028075265455019</v>
      </c>
      <c r="O30" s="49">
        <f t="shared" si="6"/>
        <v>4.3167407363979189</v>
      </c>
    </row>
    <row r="31" spans="2:28" x14ac:dyDescent="0.3">
      <c r="B31" s="44" t="s">
        <v>122</v>
      </c>
      <c r="C31" s="47">
        <f>IFERROR('Historical IFS Asian Paints'!C6/SUM('Historical IFS Asian Paints'!C47:C48),0)</f>
        <v>2.1872618708255556</v>
      </c>
      <c r="D31" s="47">
        <f>IFERROR('Historical IFS Asian Paints'!D6/SUM('Historical IFS Asian Paints'!D47:D48),0)</f>
        <v>1.9808269188533763</v>
      </c>
      <c r="E31" s="47">
        <f>IFERROR('Historical IFS Asian Paints'!E6/SUM('Historical IFS Asian Paints'!E47:E48),0)</f>
        <v>2.0004863125027494</v>
      </c>
      <c r="F31" s="47">
        <f>IFERROR('Historical IFS Asian Paints'!F6/SUM('Historical IFS Asian Paints'!F47:F48),0)</f>
        <v>2.0315747237488848</v>
      </c>
      <c r="G31" s="47">
        <f>IFERROR('Historical IFS Asian Paints'!G6/SUM('Historical IFS Asian Paints'!G47:G48),0)</f>
        <v>1.995156048867935</v>
      </c>
      <c r="H31" s="47">
        <f>IFERROR('Historical IFS Asian Paints'!H6/SUM('Historical IFS Asian Paints'!H47:H48),0)</f>
        <v>1.6954785499937921</v>
      </c>
      <c r="I31" s="47">
        <f>IFERROR('Historical IFS Asian Paints'!I6/SUM('Historical IFS Asian Paints'!I47:I48),0)</f>
        <v>2.1070233919991659</v>
      </c>
      <c r="J31" s="47">
        <f>IFERROR('Historical IFS Asian Paints'!J6/SUM('Historical IFS Asian Paints'!J47:J48),0)</f>
        <v>2.1565841661857039</v>
      </c>
      <c r="K31" s="47">
        <f>IFERROR('Historical IFS Asian Paints'!K6/SUM('Historical IFS Asian Paints'!K47:K48),0)</f>
        <v>1.8952456976874572</v>
      </c>
      <c r="L31" s="47">
        <f>IFERROR('Historical IFS Asian Paints'!L6/SUM('Historical IFS Asian Paints'!L47:L48),0)</f>
        <v>1.7477294880723062</v>
      </c>
      <c r="M31" s="45"/>
      <c r="N31" s="47">
        <f t="shared" si="6"/>
        <v>1.9797367168736926</v>
      </c>
      <c r="O31" s="47">
        <f t="shared" si="6"/>
        <v>1.9566783664345968</v>
      </c>
    </row>
    <row r="32" spans="2:28" x14ac:dyDescent="0.3">
      <c r="B32" s="9"/>
      <c r="C32" s="9"/>
      <c r="D32" s="9"/>
      <c r="E32" s="9"/>
      <c r="F32" s="9"/>
      <c r="G32" s="9"/>
      <c r="H32" s="9"/>
      <c r="I32" s="9"/>
      <c r="J32" s="9"/>
      <c r="K32" s="9"/>
      <c r="L32" s="9"/>
      <c r="M32" s="9"/>
      <c r="N32" s="55"/>
      <c r="O32" s="55"/>
    </row>
    <row r="33" spans="2:17" x14ac:dyDescent="0.3">
      <c r="B33" s="40" t="s">
        <v>123</v>
      </c>
      <c r="C33" s="50">
        <f>IFERROR(365/C27,0)</f>
        <v>30.353985463325834</v>
      </c>
      <c r="D33" s="50">
        <f t="shared" ref="D33:L35" si="7">IFERROR(365/D27,0)</f>
        <v>35.055726368162503</v>
      </c>
      <c r="E33" s="50">
        <f t="shared" si="7"/>
        <v>37.545131964896534</v>
      </c>
      <c r="F33" s="50">
        <f t="shared" si="7"/>
        <v>36.183510714324697</v>
      </c>
      <c r="G33" s="50">
        <f t="shared" si="7"/>
        <v>32.420325313872226</v>
      </c>
      <c r="H33" s="50">
        <f t="shared" si="7"/>
        <v>43.743436472235949</v>
      </c>
      <c r="I33" s="50">
        <f t="shared" si="7"/>
        <v>48.557163121347244</v>
      </c>
      <c r="J33" s="50">
        <f t="shared" si="7"/>
        <v>49.073711044725229</v>
      </c>
      <c r="K33" s="50">
        <f t="shared" si="7"/>
        <v>50.275160566089667</v>
      </c>
      <c r="L33" s="50">
        <f t="shared" si="7"/>
        <v>46.437205690384069</v>
      </c>
      <c r="M33" s="41"/>
      <c r="N33" s="50">
        <f t="shared" ref="N33:O36" si="8">IFERROR(AVERAGE(C33:L33),0)</f>
        <v>40.964535671936389</v>
      </c>
      <c r="O33" s="50">
        <f t="shared" si="8"/>
        <v>42.143485695115345</v>
      </c>
    </row>
    <row r="34" spans="2:17" x14ac:dyDescent="0.3">
      <c r="B34" t="s">
        <v>124</v>
      </c>
      <c r="C34" s="51">
        <f>IFERROR(365/C28,0)</f>
        <v>94.908506399822301</v>
      </c>
      <c r="D34" s="51">
        <f t="shared" si="7"/>
        <v>102.77197103437196</v>
      </c>
      <c r="E34" s="51">
        <f t="shared" si="7"/>
        <v>104.56352770207822</v>
      </c>
      <c r="F34" s="51">
        <f t="shared" si="7"/>
        <v>103.55552951045547</v>
      </c>
      <c r="G34" s="51">
        <f t="shared" si="7"/>
        <v>88.297267610860303</v>
      </c>
      <c r="H34" s="51">
        <f t="shared" si="7"/>
        <v>108.52656199410578</v>
      </c>
      <c r="I34" s="51">
        <f t="shared" si="7"/>
        <v>94.820446042235943</v>
      </c>
      <c r="J34" s="51">
        <f t="shared" si="7"/>
        <v>83.125613427513272</v>
      </c>
      <c r="K34" s="51">
        <f t="shared" si="7"/>
        <v>89.444344273079395</v>
      </c>
      <c r="L34" s="51">
        <f t="shared" si="7"/>
        <v>93.281873329554202</v>
      </c>
      <c r="M34" s="43"/>
      <c r="N34" s="51">
        <f t="shared" si="8"/>
        <v>96.329564132407683</v>
      </c>
      <c r="O34" s="51">
        <f t="shared" si="8"/>
        <v>96.487459436028288</v>
      </c>
    </row>
    <row r="35" spans="2:17" x14ac:dyDescent="0.3">
      <c r="B35" t="s">
        <v>125</v>
      </c>
      <c r="C35" s="51">
        <f>IFERROR(365/C29,0)</f>
        <v>51.105918162714616</v>
      </c>
      <c r="D35" s="51">
        <f t="shared" si="7"/>
        <v>63.659124723891068</v>
      </c>
      <c r="E35" s="51">
        <f t="shared" si="7"/>
        <v>57.670674698580349</v>
      </c>
      <c r="F35" s="51">
        <f t="shared" si="7"/>
        <v>59.755256331428114</v>
      </c>
      <c r="G35" s="51">
        <f t="shared" si="7"/>
        <v>61.217423464654587</v>
      </c>
      <c r="H35" s="51">
        <f t="shared" si="7"/>
        <v>63.855865598110604</v>
      </c>
      <c r="I35" s="51">
        <f t="shared" si="7"/>
        <v>77.173158706421162</v>
      </c>
      <c r="J35" s="51">
        <f t="shared" si="7"/>
        <v>65.728509051834251</v>
      </c>
      <c r="K35" s="51">
        <f t="shared" si="7"/>
        <v>60.911708583217838</v>
      </c>
      <c r="L35" s="51">
        <f t="shared" si="7"/>
        <v>72.334130742926988</v>
      </c>
      <c r="M35" s="43"/>
      <c r="N35" s="51">
        <f t="shared" si="8"/>
        <v>63.341177006377947</v>
      </c>
      <c r="O35" s="51">
        <f t="shared" si="8"/>
        <v>64.70065021122943</v>
      </c>
      <c r="Q35" t="s">
        <v>126</v>
      </c>
    </row>
    <row r="36" spans="2:17" x14ac:dyDescent="0.3">
      <c r="B36" s="44" t="s">
        <v>127</v>
      </c>
      <c r="C36" s="52">
        <f>IFERROR(SUM(C33,C35)-C34,0)</f>
        <v>-13.448602773781857</v>
      </c>
      <c r="D36" s="52">
        <f t="shared" ref="D36:L36" si="9">IFERROR(SUM(D33,D35)-D34,0)</f>
        <v>-4.0571199423183799</v>
      </c>
      <c r="E36" s="52">
        <f t="shared" si="9"/>
        <v>-9.3477210386013354</v>
      </c>
      <c r="F36" s="52">
        <f t="shared" si="9"/>
        <v>-7.6167624647026599</v>
      </c>
      <c r="G36" s="52">
        <f t="shared" si="9"/>
        <v>5.3404811676665105</v>
      </c>
      <c r="H36" s="52">
        <f t="shared" si="9"/>
        <v>-0.92725992375922317</v>
      </c>
      <c r="I36" s="52">
        <f t="shared" si="9"/>
        <v>30.909875785532464</v>
      </c>
      <c r="J36" s="52">
        <f t="shared" si="9"/>
        <v>31.676606669046208</v>
      </c>
      <c r="K36" s="52">
        <f t="shared" si="9"/>
        <v>21.742524876228117</v>
      </c>
      <c r="L36" s="52">
        <f t="shared" si="9"/>
        <v>25.489463103756862</v>
      </c>
      <c r="M36" s="45"/>
      <c r="N36" s="52">
        <f t="shared" si="8"/>
        <v>7.9761485459066703</v>
      </c>
      <c r="O36" s="52">
        <f t="shared" si="8"/>
        <v>10.356676470316508</v>
      </c>
    </row>
    <row r="37" spans="2:17" x14ac:dyDescent="0.3">
      <c r="B37" s="9"/>
      <c r="C37" s="9"/>
      <c r="D37" s="9"/>
      <c r="E37" s="9"/>
      <c r="F37" s="9"/>
      <c r="G37" s="9"/>
      <c r="H37" s="9"/>
      <c r="I37" s="9"/>
      <c r="J37" s="9"/>
      <c r="K37" s="9"/>
      <c r="L37" s="9"/>
      <c r="M37" s="9"/>
      <c r="N37" s="55"/>
      <c r="O37" s="55"/>
    </row>
    <row r="38" spans="2:17" x14ac:dyDescent="0.3">
      <c r="B38" s="40" t="s">
        <v>128</v>
      </c>
      <c r="C38" s="41">
        <f>IFERROR('Historical IFS Asian Paints'!C78/'Historical IFS Asian Paints'!C6,0)</f>
        <v>0.15723656044323334</v>
      </c>
      <c r="D38" s="41">
        <f>IFERROR('Historical IFS Asian Paints'!D78/'Historical IFS Asian Paints'!D6,0)</f>
        <v>0.101447418302628</v>
      </c>
      <c r="E38" s="41">
        <f>IFERROR('Historical IFS Asian Paints'!E78/'Historical IFS Asian Paints'!E6,0)</f>
        <v>0.12559028324680305</v>
      </c>
      <c r="F38" s="41">
        <f>IFERROR('Historical IFS Asian Paints'!F78/'Historical IFS Asian Paints'!F6,0)</f>
        <v>0.12832553626196913</v>
      </c>
      <c r="G38" s="41">
        <f>IFERROR('Historical IFS Asian Paints'!G78/'Historical IFS Asian Paints'!G6,0)</f>
        <v>0.15026284866101799</v>
      </c>
      <c r="H38" s="41">
        <f>IFERROR('Historical IFS Asian Paints'!H78/'Historical IFS Asian Paints'!H6,0)</f>
        <v>0.16962352604156353</v>
      </c>
      <c r="I38" s="41">
        <f>IFERROR('Historical IFS Asian Paints'!I78/'Historical IFS Asian Paints'!I6,0)</f>
        <v>3.3916033933902565E-2</v>
      </c>
      <c r="J38" s="41">
        <f>IFERROR('Historical IFS Asian Paints'!J78/'Historical IFS Asian Paints'!J6,0)</f>
        <v>0.12160543530483561</v>
      </c>
      <c r="K38" s="41">
        <f>IFERROR('Historical IFS Asian Paints'!K78/'Historical IFS Asian Paints'!K6,0)</f>
        <v>0.171969190919328</v>
      </c>
      <c r="L38" s="41">
        <f>IFERROR('Historical IFS Asian Paints'!L78/'Historical IFS Asian Paints'!L6,0)</f>
        <v>0.13050933739008458</v>
      </c>
      <c r="M38" s="41"/>
      <c r="N38" s="42">
        <f t="shared" ref="N38:O40" si="10">IFERROR(AVERAGE(C38:L38),0)</f>
        <v>0.12904861705053655</v>
      </c>
      <c r="O38" s="42">
        <f t="shared" si="10"/>
        <v>0.12591662334023693</v>
      </c>
    </row>
    <row r="39" spans="2:17" x14ac:dyDescent="0.3">
      <c r="B39" t="s">
        <v>129</v>
      </c>
      <c r="C39" s="43">
        <f>IFERROR('Historical IFS Asian Paints'!C78/'Historical IFS Asian Paints'!C64,0)</f>
        <v>0.21251952120601988</v>
      </c>
      <c r="D39" s="43">
        <f>IFERROR('Historical IFS Asian Paints'!D78/'Historical IFS Asian Paints'!D64,0)</f>
        <v>0.12317425206707838</v>
      </c>
      <c r="E39" s="43">
        <f>IFERROR('Historical IFS Asian Paints'!E78/'Historical IFS Asian Paints'!E64,0)</f>
        <v>0.15352221967118782</v>
      </c>
      <c r="F39" s="43">
        <f>IFERROR('Historical IFS Asian Paints'!F78/'Historical IFS Asian Paints'!F64,0)</f>
        <v>0.15194930838139831</v>
      </c>
      <c r="G39" s="43">
        <f>IFERROR('Historical IFS Asian Paints'!G78/'Historical IFS Asian Paints'!G64,0)</f>
        <v>0.1881897165504707</v>
      </c>
      <c r="H39" s="43">
        <f>IFERROR('Historical IFS Asian Paints'!H78/'Historical IFS Asian Paints'!H64,0)</f>
        <v>0.18093532213168634</v>
      </c>
      <c r="I39" s="43">
        <f>IFERROR('Historical IFS Asian Paints'!I78/'Historical IFS Asian Paints'!I64,0)</f>
        <v>4.2990744576175285E-2</v>
      </c>
      <c r="J39" s="43">
        <f>IFERROR('Historical IFS Asian Paints'!J78/'Historical IFS Asian Paints'!J64,0)</f>
        <v>0.16268847949112719</v>
      </c>
      <c r="K39" s="43">
        <f>IFERROR('Historical IFS Asian Paints'!K78/'Historical IFS Asian Paints'!K64,0)</f>
        <v>0.20414190002464816</v>
      </c>
      <c r="L39" s="43">
        <f>IFERROR('Historical IFS Asian Paints'!L78/'Historical IFS Asian Paints'!L64,0)</f>
        <v>0.1457737953072368</v>
      </c>
      <c r="M39" s="43"/>
      <c r="N39" s="3">
        <f t="shared" si="10"/>
        <v>0.15658852594070288</v>
      </c>
      <c r="O39" s="3">
        <f t="shared" si="10"/>
        <v>0.15037397091122323</v>
      </c>
    </row>
    <row r="40" spans="2:17" x14ac:dyDescent="0.3">
      <c r="B40" s="44" t="s">
        <v>130</v>
      </c>
      <c r="C40" s="45">
        <f>IFERROR('Historical IFS Asian Paints'!C78/'Historical IFS Asian Paints'!C49,0)</f>
        <v>6.9411364409663143</v>
      </c>
      <c r="D40" s="45">
        <f>IFERROR('Historical IFS Asian Paints'!D78/'Historical IFS Asian Paints'!D49,0)</f>
        <v>2.7269158011207479</v>
      </c>
      <c r="E40" s="45">
        <f>IFERROR('Historical IFS Asian Paints'!E78/'Historical IFS Asian Paints'!E49,0)</f>
        <v>3.9611570402864484</v>
      </c>
      <c r="F40" s="45">
        <f>IFERROR('Historical IFS Asian Paints'!F78/'Historical IFS Asian Paints'!F49,0)</f>
        <v>1.8710215216732344</v>
      </c>
      <c r="G40" s="45">
        <f>IFERROR('Historical IFS Asian Paints'!G78/'Historical IFS Asian Paints'!G49,0)</f>
        <v>2.7152436298614218</v>
      </c>
      <c r="H40" s="45">
        <f>IFERROR('Historical IFS Asian Paints'!H78/'Historical IFS Asian Paints'!H49,0)</f>
        <v>3.3692549765807964</v>
      </c>
      <c r="I40" s="45">
        <f>IFERROR('Historical IFS Asian Paints'!I78/'Historical IFS Asian Paints'!I49,0)</f>
        <v>0.62197519661222012</v>
      </c>
      <c r="J40" s="45">
        <f>IFERROR('Historical IFS Asian Paints'!J78/'Historical IFS Asian Paints'!J49,0)</f>
        <v>2.1701110409702893</v>
      </c>
      <c r="K40" s="45">
        <f>IFERROR('Historical IFS Asian Paints'!K78/'Historical IFS Asian Paints'!K49,0)</f>
        <v>2.4668805923099928</v>
      </c>
      <c r="L40" s="45">
        <f>IFERROR('Historical IFS Asian Paints'!L78/'Historical IFS Asian Paints'!L49,0)</f>
        <v>1.9320697378934546</v>
      </c>
      <c r="M40" s="45"/>
      <c r="N40" s="46">
        <f t="shared" si="10"/>
        <v>2.8775765978274914</v>
      </c>
      <c r="O40" s="46">
        <f t="shared" si="10"/>
        <v>2.4260699485898449</v>
      </c>
    </row>
    <row r="41" spans="2:17" x14ac:dyDescent="0.3">
      <c r="B41" s="9"/>
      <c r="C41" s="9"/>
      <c r="D41" s="9"/>
      <c r="E41" s="9"/>
      <c r="F41" s="9"/>
      <c r="G41" s="9"/>
      <c r="H41" s="9"/>
      <c r="I41" s="9"/>
      <c r="J41" s="9"/>
      <c r="K41" s="9"/>
      <c r="L41" s="9"/>
      <c r="M41" s="9"/>
      <c r="N41" s="9"/>
      <c r="O41" s="9"/>
    </row>
  </sheetData>
  <mergeCells count="2">
    <mergeCell ref="B2:L2"/>
    <mergeCell ref="B10:O10"/>
  </mergeCells>
  <pageMargins left="0.7" right="0.7" top="0.75" bottom="0.75" header="0.3" footer="0.3"/>
  <extLst>
    <ext xmlns:x14="http://schemas.microsoft.com/office/spreadsheetml/2009/9/main" uri="{05C60535-1F16-4fd2-B633-F4F36F0B64E0}">
      <x14:sparklineGroups xmlns:xm="http://schemas.microsoft.com/office/excel/2006/main">
        <x14:sparklineGroup displayEmptyCellsAs="gap" markers="1" xr2:uid="{D9F17A2C-34AA-4F10-B87E-D95E8DE18003}">
          <x14:colorSeries rgb="FFFF0000"/>
          <x14:colorNegative rgb="FFD00000"/>
          <x14:colorAxis rgb="FF000000"/>
          <x14:colorMarkers rgb="FFD00000"/>
          <x14:colorFirst rgb="FFD00000"/>
          <x14:colorLast rgb="FFD00000"/>
          <x14:colorHigh rgb="FFD00000"/>
          <x14:colorLow rgb="FFD00000"/>
          <x14:sparklines>
            <x14:sparkline>
              <xm:f>'Ratio Analysis Asian Paints'!C36:L36</xm:f>
              <xm:sqref>M36</xm:sqref>
            </x14:sparkline>
          </x14:sparklines>
        </x14:sparklineGroup>
        <x14:sparklineGroup displayEmptyCellsAs="gap" markers="1" xr2:uid="{25D1A99A-AA2F-4505-943A-AB4962DC59DA}">
          <x14:colorSeries rgb="FFFF0000"/>
          <x14:colorNegative rgb="FFD00000"/>
          <x14:colorAxis rgb="FF000000"/>
          <x14:colorMarkers rgb="FFD00000"/>
          <x14:colorFirst rgb="FFD00000"/>
          <x14:colorLast rgb="FFD00000"/>
          <x14:colorHigh rgb="FFD00000"/>
          <x14:colorLow rgb="FFD00000"/>
          <x14:sparklines>
            <x14:sparkline>
              <xm:f>'Ratio Analysis Asian Paints'!C38:L38</xm:f>
              <xm:sqref>M38</xm:sqref>
            </x14:sparkline>
          </x14:sparklines>
        </x14:sparklineGroup>
        <x14:sparklineGroup displayEmptyCellsAs="gap" markers="1" xr2:uid="{564259FE-AAC0-4464-915D-DCB9F6442BBB}">
          <x14:colorSeries rgb="FFFF0000"/>
          <x14:colorNegative rgb="FFD00000"/>
          <x14:colorAxis rgb="FF000000"/>
          <x14:colorMarkers rgb="FFD00000"/>
          <x14:colorFirst rgb="FFD00000"/>
          <x14:colorLast rgb="FFD00000"/>
          <x14:colorHigh rgb="FFD00000"/>
          <x14:colorLow rgb="FFD00000"/>
          <x14:sparklines>
            <x14:sparkline>
              <xm:f>'Ratio Analysis Asian Paints'!C39:L39</xm:f>
              <xm:sqref>M39</xm:sqref>
            </x14:sparkline>
          </x14:sparklines>
        </x14:sparklineGroup>
        <x14:sparklineGroup displayEmptyCellsAs="gap" markers="1" xr2:uid="{7C8679AB-7BF4-4AB5-958C-05E8F3D127BE}">
          <x14:colorSeries rgb="FFFF0000"/>
          <x14:colorNegative rgb="FFD00000"/>
          <x14:colorAxis rgb="FF000000"/>
          <x14:colorMarkers rgb="FFD00000"/>
          <x14:colorFirst rgb="FFD00000"/>
          <x14:colorLast rgb="FFD00000"/>
          <x14:colorHigh rgb="FFD00000"/>
          <x14:colorLow rgb="FFD00000"/>
          <x14:sparklines>
            <x14:sparkline>
              <xm:f>'Ratio Analysis Asian Paints'!C40:L40</xm:f>
              <xm:sqref>M40</xm:sqref>
            </x14:sparkline>
          </x14:sparklines>
        </x14:sparklineGroup>
        <x14:sparklineGroup displayEmptyCellsAs="gap" markers="1" xr2:uid="{027BF44B-DA93-451E-86A4-96AA4CB55873}">
          <x14:colorSeries rgb="FFFF0000"/>
          <x14:colorNegative rgb="FFD00000"/>
          <x14:colorAxis rgb="FF000000"/>
          <x14:colorMarkers rgb="FFD00000"/>
          <x14:colorFirst rgb="FFD00000"/>
          <x14:colorLast rgb="FFD00000"/>
          <x14:colorHigh rgb="FFD00000"/>
          <x14:colorLow rgb="FFD00000"/>
          <x14:sparklines>
            <x14:sparkline>
              <xm:f>'Ratio Analysis Asian Paints'!C35:L35</xm:f>
              <xm:sqref>M35</xm:sqref>
            </x14:sparkline>
          </x14:sparklines>
        </x14:sparklineGroup>
        <x14:sparklineGroup displayEmptyCellsAs="gap" markers="1" xr2:uid="{72B32B8C-4C23-4995-864D-1E8B277EE2FC}">
          <x14:colorSeries rgb="FFFF0000"/>
          <x14:colorNegative rgb="FFD00000"/>
          <x14:colorAxis rgb="FF000000"/>
          <x14:colorMarkers rgb="FFD00000"/>
          <x14:colorFirst rgb="FFD00000"/>
          <x14:colorLast rgb="FFD00000"/>
          <x14:colorHigh rgb="FFD00000"/>
          <x14:colorLow rgb="FFD00000"/>
          <x14:sparklines>
            <x14:sparkline>
              <xm:f>'Ratio Analysis Asian Paints'!C34:L34</xm:f>
              <xm:sqref>M34</xm:sqref>
            </x14:sparkline>
          </x14:sparklines>
        </x14:sparklineGroup>
        <x14:sparklineGroup displayEmptyCellsAs="gap" markers="1" xr2:uid="{A859F632-BB10-4FFB-9E4D-E4C7C812A483}">
          <x14:colorSeries rgb="FFFF0000"/>
          <x14:colorNegative rgb="FFD00000"/>
          <x14:colorAxis rgb="FF000000"/>
          <x14:colorMarkers rgb="FFD00000"/>
          <x14:colorFirst rgb="FFD00000"/>
          <x14:colorLast rgb="FFD00000"/>
          <x14:colorHigh rgb="FFD00000"/>
          <x14:colorLow rgb="FFD00000"/>
          <x14:sparklines>
            <x14:sparkline>
              <xm:f>'Ratio Analysis Asian Paints'!C33:L33</xm:f>
              <xm:sqref>M33</xm:sqref>
            </x14:sparkline>
          </x14:sparklines>
        </x14:sparklineGroup>
        <x14:sparklineGroup displayEmptyCellsAs="gap" markers="1" xr2:uid="{0398B93C-0840-4FF5-895F-5BDFDC304203}">
          <x14:colorSeries rgb="FFFF0000"/>
          <x14:colorNegative rgb="FFD00000"/>
          <x14:colorAxis rgb="FF000000"/>
          <x14:colorMarkers rgb="FFD00000"/>
          <x14:colorFirst rgb="FFD00000"/>
          <x14:colorLast rgb="FFD00000"/>
          <x14:colorHigh rgb="FFD00000"/>
          <x14:colorLow rgb="FFD00000"/>
          <x14:sparklines>
            <x14:sparkline>
              <xm:f>'Ratio Analysis Asian Paints'!C31:L31</xm:f>
              <xm:sqref>M31</xm:sqref>
            </x14:sparkline>
          </x14:sparklines>
        </x14:sparklineGroup>
        <x14:sparklineGroup displayEmptyCellsAs="gap" markers="1" xr2:uid="{3A67298D-5322-45A1-9D9B-0832B9217B89}">
          <x14:colorSeries rgb="FFFF0000"/>
          <x14:colorNegative rgb="FFD00000"/>
          <x14:colorAxis rgb="FF000000"/>
          <x14:colorMarkers rgb="FFD00000"/>
          <x14:colorFirst rgb="FFD00000"/>
          <x14:colorLast rgb="FFD00000"/>
          <x14:colorHigh rgb="FFD00000"/>
          <x14:colorLow rgb="FFD00000"/>
          <x14:sparklines>
            <x14:sparkline>
              <xm:f>'Ratio Analysis Asian Paints'!C30:L30</xm:f>
              <xm:sqref>M30</xm:sqref>
            </x14:sparkline>
          </x14:sparklines>
        </x14:sparklineGroup>
        <x14:sparklineGroup displayEmptyCellsAs="gap" markers="1" xr2:uid="{B9EFBD09-BAD2-4FF6-957E-7FEB407E6E0F}">
          <x14:colorSeries rgb="FFFF0000"/>
          <x14:colorNegative rgb="FFD00000"/>
          <x14:colorAxis rgb="FF000000"/>
          <x14:colorMarkers rgb="FFD00000"/>
          <x14:colorFirst rgb="FFD00000"/>
          <x14:colorLast rgb="FFD00000"/>
          <x14:colorHigh rgb="FFD00000"/>
          <x14:colorLow rgb="FFD00000"/>
          <x14:sparklines>
            <x14:sparkline>
              <xm:f>'Ratio Analysis Asian Paints'!C29:L29</xm:f>
              <xm:sqref>M29</xm:sqref>
            </x14:sparkline>
          </x14:sparklines>
        </x14:sparklineGroup>
        <x14:sparklineGroup displayEmptyCellsAs="gap" markers="1" xr2:uid="{56EA8E9A-A8C5-4191-9D18-09EF950F2170}">
          <x14:colorSeries rgb="FFFF0000"/>
          <x14:colorNegative rgb="FFD00000"/>
          <x14:colorAxis rgb="FF000000"/>
          <x14:colorMarkers rgb="FFD00000"/>
          <x14:colorFirst rgb="FFD00000"/>
          <x14:colorLast rgb="FFD00000"/>
          <x14:colorHigh rgb="FFD00000"/>
          <x14:colorLow rgb="FFD00000"/>
          <x14:sparklines>
            <x14:sparkline>
              <xm:f>'Ratio Analysis Asian Paints'!C28:L28</xm:f>
              <xm:sqref>M28</xm:sqref>
            </x14:sparkline>
          </x14:sparklines>
        </x14:sparklineGroup>
        <x14:sparklineGroup displayEmptyCellsAs="gap" markers="1" xr2:uid="{4581855E-D5D3-4898-B92E-C2C40DAB4E94}">
          <x14:colorSeries rgb="FFFF0000"/>
          <x14:colorNegative rgb="FFD00000"/>
          <x14:colorAxis rgb="FF000000"/>
          <x14:colorMarkers rgb="FFD00000"/>
          <x14:colorFirst rgb="FFD00000"/>
          <x14:colorLast rgb="FFD00000"/>
          <x14:colorHigh rgb="FFD00000"/>
          <x14:colorLow rgb="FFD00000"/>
          <x14:sparklines>
            <x14:sparkline>
              <xm:f>'Ratio Analysis Asian Paints'!C27:L27</xm:f>
              <xm:sqref>M27</xm:sqref>
            </x14:sparkline>
          </x14:sparklines>
        </x14:sparklineGroup>
        <x14:sparklineGroup displayEmptyCellsAs="gap" markers="1" xr2:uid="{489C5F6F-4EEF-4638-9914-65E6E45F47B7}">
          <x14:colorSeries rgb="FFFF0000"/>
          <x14:colorNegative rgb="FFD00000"/>
          <x14:colorAxis rgb="FF000000"/>
          <x14:colorMarkers rgb="FFD00000"/>
          <x14:colorFirst rgb="FFD00000"/>
          <x14:colorLast rgb="FFD00000"/>
          <x14:colorHigh rgb="FFD00000"/>
          <x14:colorLow rgb="FFD00000"/>
          <x14:sparklines>
            <x14:sparkline>
              <xm:f>'Ratio Analysis Asian Paints'!C25:L25</xm:f>
              <xm:sqref>M25</xm:sqref>
            </x14:sparkline>
          </x14:sparklines>
        </x14:sparklineGroup>
        <x14:sparklineGroup displayEmptyCellsAs="gap" markers="1" xr2:uid="{B7514C59-FE70-498F-8C21-9A7B9BA6CC36}">
          <x14:colorSeries rgb="FFFF0000"/>
          <x14:colorNegative rgb="FFD00000"/>
          <x14:colorAxis rgb="FF000000"/>
          <x14:colorMarkers rgb="FFD00000"/>
          <x14:colorFirst rgb="FFD00000"/>
          <x14:colorLast rgb="FFD00000"/>
          <x14:colorHigh rgb="FFD00000"/>
          <x14:colorLow rgb="FFD00000"/>
          <x14:sparklines>
            <x14:sparkline>
              <xm:f>'Ratio Analysis Asian Paints'!C24:L24</xm:f>
              <xm:sqref>M24</xm:sqref>
            </x14:sparkline>
          </x14:sparklines>
        </x14:sparklineGroup>
        <x14:sparklineGroup displayEmptyCellsAs="gap" markers="1" xr2:uid="{5FEEF8CB-1F86-42A1-844B-0B7161C36FAD}">
          <x14:colorSeries rgb="FFFF0000"/>
          <x14:colorNegative rgb="FFD00000"/>
          <x14:colorAxis rgb="FF000000"/>
          <x14:colorMarkers rgb="FFD00000"/>
          <x14:colorFirst rgb="FFD00000"/>
          <x14:colorLast rgb="FFD00000"/>
          <x14:colorHigh rgb="FFD00000"/>
          <x14:colorLow rgb="FFD00000"/>
          <x14:sparklines>
            <x14:sparkline>
              <xm:f>'Ratio Analysis Asian Paints'!C23:L23</xm:f>
              <xm:sqref>M23</xm:sqref>
            </x14:sparkline>
          </x14:sparklines>
        </x14:sparklineGroup>
        <x14:sparklineGroup displayEmptyCellsAs="gap" markers="1" xr2:uid="{A0450336-4714-4D4B-BAB8-2F7574257138}">
          <x14:colorSeries rgb="FFFF0000"/>
          <x14:colorNegative rgb="FFD00000"/>
          <x14:colorAxis rgb="FF000000"/>
          <x14:colorMarkers rgb="FFD00000"/>
          <x14:colorFirst rgb="FFD00000"/>
          <x14:colorLast rgb="FFD00000"/>
          <x14:colorHigh rgb="FFD00000"/>
          <x14:colorLow rgb="FFD00000"/>
          <x14:sparklines>
            <x14:sparkline>
              <xm:f>'Ratio Analysis Asian Paints'!C22:L22</xm:f>
              <xm:sqref>M22</xm:sqref>
            </x14:sparkline>
          </x14:sparklines>
        </x14:sparklineGroup>
        <x14:sparklineGroup displayEmptyCellsAs="gap" markers="1" xr2:uid="{62AFE766-8D0E-4FB6-AD47-0C1BDE937B07}">
          <x14:colorSeries rgb="FFFF0000"/>
          <x14:colorNegative rgb="FFD00000"/>
          <x14:colorAxis rgb="FF000000"/>
          <x14:colorMarkers rgb="FFD00000"/>
          <x14:colorFirst rgb="FFD00000"/>
          <x14:colorLast rgb="FFD00000"/>
          <x14:colorHigh rgb="FFD00000"/>
          <x14:colorLow rgb="FFD00000"/>
          <x14:sparklines>
            <x14:sparkline>
              <xm:f>'Ratio Analysis Asian Paints'!C21:L21</xm:f>
              <xm:sqref>M21</xm:sqref>
            </x14:sparkline>
          </x14:sparklines>
        </x14:sparklineGroup>
        <x14:sparklineGroup displayEmptyCellsAs="gap" markers="1" xr2:uid="{C767A9E1-F365-40D5-92E0-CD5C38848AFA}">
          <x14:colorSeries rgb="FFFF0000"/>
          <x14:colorNegative rgb="FFD00000"/>
          <x14:colorAxis rgb="FF000000"/>
          <x14:colorMarkers rgb="FFD00000"/>
          <x14:colorFirst rgb="FFD00000"/>
          <x14:colorLast rgb="FFD00000"/>
          <x14:colorHigh rgb="FFD00000"/>
          <x14:colorLow rgb="FFD00000"/>
          <x14:sparklines>
            <x14:sparkline>
              <xm:f>'Ratio Analysis Asian Paints'!C19:L19</xm:f>
              <xm:sqref>M19</xm:sqref>
            </x14:sparkline>
          </x14:sparklines>
        </x14:sparklineGroup>
        <x14:sparklineGroup displayEmptyCellsAs="gap" markers="1" xr2:uid="{A81F320D-8C8D-435E-B433-7C73A8101193}">
          <x14:colorSeries rgb="FFFF0000"/>
          <x14:colorNegative rgb="FFD00000"/>
          <x14:colorAxis rgb="FF000000"/>
          <x14:colorMarkers rgb="FFD00000"/>
          <x14:colorFirst rgb="FFD00000"/>
          <x14:colorLast rgb="FFD00000"/>
          <x14:colorHigh rgb="FFD00000"/>
          <x14:colorLow rgb="FFD00000"/>
          <x14:sparklines>
            <x14:sparkline>
              <xm:f>'Ratio Analysis Asian Paints'!C18:L18</xm:f>
              <xm:sqref>M18</xm:sqref>
            </x14:sparkline>
          </x14:sparklines>
        </x14:sparklineGroup>
        <x14:sparklineGroup displayEmptyCellsAs="gap" markers="1" xr2:uid="{19BC6D8D-DDEE-47F5-AC21-FC5C4FFA3D24}">
          <x14:colorSeries rgb="FFFF0000"/>
          <x14:colorNegative rgb="FFD00000"/>
          <x14:colorAxis rgb="FF000000"/>
          <x14:colorMarkers rgb="FFD00000"/>
          <x14:colorFirst rgb="FFD00000"/>
          <x14:colorLast rgb="FFD00000"/>
          <x14:colorHigh rgb="FFD00000"/>
          <x14:colorLow rgb="FFD00000"/>
          <x14:sparklines>
            <x14:sparkline>
              <xm:f>'Ratio Analysis Asian Paints'!C17:L17</xm:f>
              <xm:sqref>M17</xm:sqref>
            </x14:sparkline>
          </x14:sparklines>
        </x14:sparklineGroup>
        <x14:sparklineGroup displayEmptyCellsAs="gap" markers="1" xr2:uid="{83D66E7D-A4FC-42DE-AC14-A38C8EF8355C}">
          <x14:colorSeries rgb="FFFF0000"/>
          <x14:colorNegative rgb="FFD00000"/>
          <x14:colorAxis rgb="FF000000"/>
          <x14:colorMarkers rgb="FFD00000"/>
          <x14:colorFirst rgb="FFD00000"/>
          <x14:colorLast rgb="FFD00000"/>
          <x14:colorHigh rgb="FFD00000"/>
          <x14:colorLow rgb="FFD00000"/>
          <x14:sparklines>
            <x14:sparkline>
              <xm:f>'Ratio Analysis Asian Paints'!C15:L15</xm:f>
              <xm:sqref>M15</xm:sqref>
            </x14:sparkline>
          </x14:sparklines>
        </x14:sparklineGroup>
        <x14:sparklineGroup displayEmptyCellsAs="gap" markers="1" xr2:uid="{FFA5A38B-F246-482B-8DDC-E0EBA37CE18E}">
          <x14:colorSeries rgb="FFFF0000"/>
          <x14:colorNegative rgb="FFD00000"/>
          <x14:colorAxis rgb="FF000000"/>
          <x14:colorMarkers rgb="FFD00000"/>
          <x14:colorFirst rgb="FFD00000"/>
          <x14:colorLast rgb="FFD00000"/>
          <x14:colorHigh rgb="FFD00000"/>
          <x14:colorLow rgb="FFD00000"/>
          <x14:sparklines>
            <x14:sparkline>
              <xm:f>'Ratio Analysis Asian Paints'!C14:L14</xm:f>
              <xm:sqref>M14</xm:sqref>
            </x14:sparkline>
          </x14:sparklines>
        </x14:sparklineGroup>
        <x14:sparklineGroup displayEmptyCellsAs="gap" markers="1" xr2:uid="{78BAC314-CA05-4E6E-97BB-DB9A0636FEC5}">
          <x14:colorSeries rgb="FFFF0000"/>
          <x14:colorNegative rgb="FFD00000"/>
          <x14:colorAxis rgb="FF000000"/>
          <x14:colorMarkers rgb="FFD00000"/>
          <x14:colorFirst rgb="FFD00000"/>
          <x14:colorLast rgb="FFD00000"/>
          <x14:colorHigh rgb="FFD00000"/>
          <x14:colorLow rgb="FFD00000"/>
          <x14:sparklines>
            <x14:sparkline>
              <xm:f>'Ratio Analysis Asian Paints'!C13:L13</xm:f>
              <xm:sqref>M13</xm:sqref>
            </x14:sparkline>
          </x14:sparklines>
        </x14:sparklineGroup>
        <x14:sparklineGroup displayEmptyCellsAs="gap" markers="1" xr2:uid="{DAA6CB73-4F07-4CA7-9A43-387F9892D961}">
          <x14:colorSeries rgb="FFFF0000"/>
          <x14:colorNegative rgb="FFD00000"/>
          <x14:colorAxis rgb="FF000000"/>
          <x14:colorMarkers rgb="FFD00000"/>
          <x14:colorFirst rgb="FFD00000"/>
          <x14:colorLast rgb="FFD00000"/>
          <x14:colorHigh rgb="FFD00000"/>
          <x14:colorLow rgb="FFD00000"/>
          <x14:sparklines>
            <x14:sparkline>
              <xm:f>'Ratio Analysis Asian Paints'!C12:L12</xm:f>
              <xm:sqref>M12</xm:sqref>
            </x14:sparkline>
          </x14:sparklines>
        </x14:sparklineGroup>
        <x14:sparklineGroup displayEmptyCellsAs="gap" markers="1" xr2:uid="{95B602B6-7D19-4C53-A01C-5B29C2A29441}">
          <x14:colorSeries rgb="FFFF0000"/>
          <x14:colorNegative rgb="FFD00000"/>
          <x14:colorAxis rgb="FF000000"/>
          <x14:colorMarkers rgb="FFD00000"/>
          <x14:colorFirst rgb="FFD00000"/>
          <x14:colorLast rgb="FFD00000"/>
          <x14:colorHigh rgb="FFD00000"/>
          <x14:colorLow rgb="FFD00000"/>
          <x14:sparklines>
            <x14:sparkline>
              <xm:f>'Ratio Analysis Asian Paints'!D5:L5</xm:f>
              <xm:sqref>M5</xm:sqref>
            </x14:sparkline>
            <x14:sparkline>
              <xm:f>'Ratio Analysis Asian Paints'!D6:L6</xm:f>
              <xm:sqref>M6</xm:sqref>
            </x14:sparkline>
            <x14:sparkline>
              <xm:f>'Ratio Analysis Asian Paints'!D7:L7</xm:f>
              <xm:sqref>M7</xm:sqref>
            </x14:sparkline>
            <x14:sparkline>
              <xm:f>'Ratio Analysis Asian Paints'!D8:L8</xm:f>
              <xm:sqref>M8</xm:sqref>
            </x14:sparkline>
            <x14:sparkline>
              <xm:f>'Ratio Analysis Asian Paints'!D9:L9</xm:f>
              <xm:sqref>M9</xm:sqref>
            </x14:sparkline>
          </x14:sparklines>
        </x14:sparklineGroup>
        <x14:sparklineGroup displayEmptyCellsAs="gap" markers="1" xr2:uid="{D51CA142-1E71-4C72-8CB3-35D3F922B9EF}">
          <x14:colorSeries rgb="FFFF0000"/>
          <x14:colorNegative rgb="FFD00000"/>
          <x14:colorAxis rgb="FF000000"/>
          <x14:colorMarkers rgb="FFD00000"/>
          <x14:colorFirst rgb="FFD00000"/>
          <x14:colorLast rgb="FFD00000"/>
          <x14:colorHigh rgb="FFD00000"/>
          <x14:colorLow rgb="FFD00000"/>
          <x14:sparklines>
            <x14:sparkline>
              <xm:f>'Ratio Analysis Asian Paints'!C11:L11</xm:f>
              <xm:sqref>M11</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C4DF3-354D-44BD-BD7B-DB4F2D97E85D}">
  <sheetPr>
    <tabColor rgb="FFE84726"/>
  </sheetPr>
  <dimension ref="B1:K119"/>
  <sheetViews>
    <sheetView showGridLines="0" view="pageLayout" zoomScaleNormal="100" workbookViewId="0">
      <selection activeCell="B5" sqref="B5"/>
    </sheetView>
  </sheetViews>
  <sheetFormatPr defaultRowHeight="14.4" x14ac:dyDescent="0.3"/>
  <cols>
    <col min="1" max="1" width="1.88671875" customWidth="1"/>
    <col min="2" max="2" width="29.6640625" customWidth="1"/>
    <col min="3" max="6" width="9" bestFit="1" customWidth="1"/>
    <col min="7" max="8" width="9.5546875" bestFit="1" customWidth="1"/>
    <col min="9" max="9" width="9.44140625" customWidth="1"/>
  </cols>
  <sheetData>
    <row r="1" spans="2:11" x14ac:dyDescent="0.3">
      <c r="B1" s="223"/>
      <c r="C1" s="223"/>
      <c r="D1" s="223"/>
      <c r="E1" s="223"/>
      <c r="F1" s="223"/>
      <c r="G1" s="223"/>
      <c r="H1" s="223"/>
      <c r="I1" s="223"/>
      <c r="J1" s="223"/>
      <c r="K1" s="223"/>
    </row>
    <row r="2" spans="2:11" ht="33.6" customHeight="1" x14ac:dyDescent="0.55000000000000004">
      <c r="B2" s="168" t="str">
        <f>'Raw Data Asian Paints'!B1</f>
        <v xml:space="preserve"> ASIAN PAINTS LTD </v>
      </c>
    </row>
    <row r="3" spans="2:11" x14ac:dyDescent="0.3">
      <c r="B3" t="s">
        <v>307</v>
      </c>
    </row>
    <row r="4" spans="2:11" ht="18" x14ac:dyDescent="0.35">
      <c r="B4" s="169" t="s">
        <v>306</v>
      </c>
    </row>
    <row r="5" spans="2:11" x14ac:dyDescent="0.3">
      <c r="B5" t="s">
        <v>140</v>
      </c>
    </row>
    <row r="6" spans="2:11" ht="6" customHeight="1" thickBot="1" x14ac:dyDescent="0.35">
      <c r="B6" s="224" t="s">
        <v>141</v>
      </c>
      <c r="C6" s="224"/>
      <c r="D6" s="224"/>
      <c r="E6" s="224"/>
      <c r="F6" s="224"/>
      <c r="G6" s="224"/>
      <c r="H6" s="224"/>
      <c r="I6" s="224"/>
      <c r="J6" s="224"/>
      <c r="K6" s="224"/>
    </row>
    <row r="7" spans="2:11" x14ac:dyDescent="0.3">
      <c r="B7" s="170" t="s">
        <v>142</v>
      </c>
    </row>
    <row r="8" spans="2:11" ht="33" customHeight="1" x14ac:dyDescent="0.3">
      <c r="B8" s="225" t="s">
        <v>308</v>
      </c>
      <c r="C8" s="225"/>
      <c r="D8" s="225"/>
      <c r="E8" s="225"/>
      <c r="F8" s="225"/>
      <c r="G8" s="225"/>
      <c r="H8" s="225"/>
      <c r="I8" s="225"/>
      <c r="J8" s="225"/>
      <c r="K8" s="225"/>
    </row>
    <row r="9" spans="2:11" ht="37.200000000000003" customHeight="1" x14ac:dyDescent="0.3">
      <c r="B9" s="225"/>
      <c r="C9" s="225"/>
      <c r="D9" s="225"/>
      <c r="E9" s="225"/>
      <c r="F9" s="225"/>
      <c r="G9" s="225"/>
      <c r="H9" s="225"/>
      <c r="I9" s="225"/>
      <c r="J9" s="225"/>
      <c r="K9" s="225"/>
    </row>
    <row r="10" spans="2:11" ht="40.200000000000003" customHeight="1" x14ac:dyDescent="0.3">
      <c r="B10" s="225"/>
      <c r="C10" s="225"/>
      <c r="D10" s="225"/>
      <c r="E10" s="225"/>
      <c r="F10" s="225"/>
      <c r="G10" s="225"/>
      <c r="H10" s="225"/>
      <c r="I10" s="225"/>
      <c r="J10" s="225"/>
      <c r="K10" s="225"/>
    </row>
    <row r="11" spans="2:11" ht="30.6" customHeight="1" x14ac:dyDescent="0.3">
      <c r="B11" s="225"/>
      <c r="C11" s="225"/>
      <c r="D11" s="225"/>
      <c r="E11" s="225"/>
      <c r="F11" s="225"/>
      <c r="G11" s="225"/>
      <c r="H11" s="225"/>
      <c r="I11" s="225"/>
      <c r="J11" s="225"/>
      <c r="K11" s="225"/>
    </row>
    <row r="12" spans="2:11" ht="5.4" customHeight="1" x14ac:dyDescent="0.3">
      <c r="B12" s="226"/>
      <c r="C12" s="226"/>
      <c r="D12" s="226"/>
      <c r="E12" s="226"/>
      <c r="F12" s="226"/>
      <c r="G12" s="226"/>
      <c r="H12" s="226"/>
      <c r="I12" s="226"/>
    </row>
    <row r="13" spans="2:11" x14ac:dyDescent="0.3">
      <c r="B13" s="170" t="s">
        <v>143</v>
      </c>
    </row>
    <row r="14" spans="2:11" x14ac:dyDescent="0.3">
      <c r="B14" s="4"/>
    </row>
    <row r="15" spans="2:11" x14ac:dyDescent="0.3">
      <c r="B15" s="4"/>
    </row>
    <row r="16" spans="2:11" x14ac:dyDescent="0.3">
      <c r="B16" s="4"/>
    </row>
    <row r="17" spans="2:4" x14ac:dyDescent="0.3">
      <c r="B17" s="4"/>
    </row>
    <row r="18" spans="2:4" x14ac:dyDescent="0.3">
      <c r="B18" s="4"/>
    </row>
    <row r="19" spans="2:4" x14ac:dyDescent="0.3">
      <c r="B19" s="4"/>
    </row>
    <row r="20" spans="2:4" x14ac:dyDescent="0.3">
      <c r="B20" s="4"/>
    </row>
    <row r="21" spans="2:4" x14ac:dyDescent="0.3">
      <c r="B21" s="4"/>
      <c r="D21" t="s">
        <v>144</v>
      </c>
    </row>
    <row r="22" spans="2:4" x14ac:dyDescent="0.3">
      <c r="B22" s="4"/>
    </row>
    <row r="23" spans="2:4" x14ac:dyDescent="0.3">
      <c r="B23" s="4"/>
    </row>
    <row r="24" spans="2:4" x14ac:dyDescent="0.3">
      <c r="B24" s="4"/>
    </row>
    <row r="25" spans="2:4" x14ac:dyDescent="0.3">
      <c r="B25" s="4"/>
    </row>
    <row r="26" spans="2:4" x14ac:dyDescent="0.3">
      <c r="B26" s="4"/>
    </row>
    <row r="27" spans="2:4" x14ac:dyDescent="0.3">
      <c r="B27" s="4"/>
    </row>
    <row r="57" spans="2:11" x14ac:dyDescent="0.3">
      <c r="B57" s="223"/>
      <c r="C57" s="223"/>
      <c r="D57" s="223"/>
      <c r="E57" s="223"/>
      <c r="F57" s="223"/>
      <c r="G57" s="223"/>
      <c r="H57" s="223"/>
      <c r="I57" s="223"/>
      <c r="J57" s="223"/>
      <c r="K57" s="223"/>
    </row>
    <row r="58" spans="2:11" x14ac:dyDescent="0.3">
      <c r="B58" s="228"/>
      <c r="C58" s="228"/>
      <c r="D58" s="228"/>
      <c r="E58" s="228"/>
      <c r="F58" s="228"/>
      <c r="G58" s="228"/>
      <c r="H58" s="228"/>
      <c r="I58" s="228"/>
      <c r="J58" s="228"/>
      <c r="K58" s="228"/>
    </row>
    <row r="65" spans="2:11" ht="15.6" x14ac:dyDescent="0.3">
      <c r="B65" s="227" t="s">
        <v>145</v>
      </c>
      <c r="C65" s="227"/>
      <c r="D65" s="227"/>
      <c r="E65" s="227"/>
      <c r="F65" s="227"/>
      <c r="G65" s="227"/>
      <c r="H65" s="227"/>
      <c r="I65" s="227"/>
      <c r="J65" s="227"/>
      <c r="K65" s="227"/>
    </row>
    <row r="66" spans="2:11" x14ac:dyDescent="0.3">
      <c r="B66" s="15"/>
      <c r="C66" s="70">
        <f>'Raw Data Asian Paints'!C56</f>
        <v>42825</v>
      </c>
      <c r="D66" s="70">
        <f>'Raw Data Asian Paints'!D56</f>
        <v>43190</v>
      </c>
      <c r="E66" s="70">
        <f>'Raw Data Asian Paints'!E56</f>
        <v>43555</v>
      </c>
      <c r="F66" s="70">
        <f>'Raw Data Asian Paints'!F56</f>
        <v>43921</v>
      </c>
      <c r="G66" s="70">
        <f>'Raw Data Asian Paints'!G56</f>
        <v>44286</v>
      </c>
      <c r="H66" s="70">
        <f>'Raw Data Asian Paints'!H56</f>
        <v>44651</v>
      </c>
      <c r="I66" s="70">
        <f>'Raw Data Asian Paints'!I56</f>
        <v>45016</v>
      </c>
      <c r="J66" s="70">
        <f>'Raw Data Asian Paints'!J56</f>
        <v>45382</v>
      </c>
      <c r="K66" s="70">
        <f>'Raw Data Asian Paints'!K56</f>
        <v>45747</v>
      </c>
    </row>
    <row r="67" spans="2:11" x14ac:dyDescent="0.3">
      <c r="B67" t="s">
        <v>44</v>
      </c>
      <c r="C67" s="71">
        <f>'Raw Data Asian Paints'!C30</f>
        <v>1939.43</v>
      </c>
      <c r="D67" s="71">
        <f>'Raw Data Asian Paints'!D30</f>
        <v>2038.93</v>
      </c>
      <c r="E67" s="71">
        <f>'Raw Data Asian Paints'!E30</f>
        <v>2155.92</v>
      </c>
      <c r="F67" s="71">
        <f>'Raw Data Asian Paints'!F30</f>
        <v>2705.17</v>
      </c>
      <c r="G67" s="71">
        <f>'Raw Data Asian Paints'!G30</f>
        <v>3139.29</v>
      </c>
      <c r="H67" s="71">
        <f>'Raw Data Asian Paints'!H30</f>
        <v>3030.57</v>
      </c>
      <c r="I67" s="71">
        <f>'Raw Data Asian Paints'!I30</f>
        <v>4106.45</v>
      </c>
      <c r="J67" s="71">
        <f>'Raw Data Asian Paints'!J30</f>
        <v>5460.23</v>
      </c>
      <c r="K67" s="71">
        <f>'Raw Data Asian Paints'!K30</f>
        <v>3667.23</v>
      </c>
    </row>
    <row r="68" spans="2:11" x14ac:dyDescent="0.3">
      <c r="B68" t="s">
        <v>146</v>
      </c>
      <c r="C68" s="71">
        <f>(('Raw Data Asian Paints'!B57+'Raw Data Asian Paints'!B58)+('Raw Data Asian Paints'!C57+'Raw Data Asian Paints'!C58))/2</f>
        <v>7064.3549999999996</v>
      </c>
      <c r="D68" s="71">
        <f>(('Raw Data Asian Paints'!C57+'Raw Data Asian Paints'!C58)+('Raw Data Asian Paints'!D57+'Raw Data Asian Paints'!D58))/2</f>
        <v>8007.0599999999995</v>
      </c>
      <c r="E68" s="71">
        <f>(('Raw Data Asian Paints'!D57+'Raw Data Asian Paints'!D58)+('Raw Data Asian Paints'!E57+'Raw Data Asian Paints'!E58))/2</f>
        <v>8940.39</v>
      </c>
      <c r="F68" s="71">
        <f>(('Raw Data Asian Paints'!E57+'Raw Data Asian Paints'!E58)+('Raw Data Asian Paints'!F57+'Raw Data Asian Paints'!F58))/2</f>
        <v>9800.3549999999996</v>
      </c>
      <c r="G68" s="71">
        <f>(('Raw Data Asian Paints'!F57+'Raw Data Asian Paints'!F58)+('Raw Data Asian Paints'!G57+'Raw Data Asian Paints'!G58))/2</f>
        <v>11468.225</v>
      </c>
      <c r="H68" s="71">
        <f>(('Raw Data Asian Paints'!G57+'Raw Data Asian Paints'!G58)+('Raw Data Asian Paints'!H57+'Raw Data Asian Paints'!H58))/2</f>
        <v>13308.924999999999</v>
      </c>
      <c r="I68" s="71">
        <f>(('Raw Data Asian Paints'!H57+'Raw Data Asian Paints'!H58)+('Raw Data Asian Paints'!I57+'Raw Data Asian Paints'!I58))/2</f>
        <v>14901.895</v>
      </c>
      <c r="J68" s="71">
        <f>(('Raw Data Asian Paints'!I57+'Raw Data Asian Paints'!I58)+('Raw Data Asian Paints'!J57+'Raw Data Asian Paints'!J58))/2</f>
        <v>17360.264999999999</v>
      </c>
      <c r="K68" s="71">
        <f>(('Raw Data Asian Paints'!J57+'Raw Data Asian Paints'!J58)+('Raw Data Asian Paints'!K57+'Raw Data Asian Paints'!K58))/2</f>
        <v>19064.055</v>
      </c>
    </row>
    <row r="69" spans="2:11" x14ac:dyDescent="0.3">
      <c r="B69" s="171" t="s">
        <v>147</v>
      </c>
      <c r="C69" s="173">
        <f t="shared" ref="C69:K69" si="0">C67/C68</f>
        <v>0.27453744892491955</v>
      </c>
      <c r="D69" s="173">
        <f t="shared" si="0"/>
        <v>0.25464152885078922</v>
      </c>
      <c r="E69" s="173">
        <f t="shared" si="0"/>
        <v>0.24114384271827069</v>
      </c>
      <c r="F69" s="173">
        <f t="shared" si="0"/>
        <v>0.27602775613740527</v>
      </c>
      <c r="G69" s="173">
        <f t="shared" si="0"/>
        <v>0.27373808937302851</v>
      </c>
      <c r="H69" s="173">
        <f t="shared" si="0"/>
        <v>0.22770960088812586</v>
      </c>
      <c r="I69" s="173">
        <f t="shared" si="0"/>
        <v>0.27556562437193388</v>
      </c>
      <c r="J69" s="173">
        <f t="shared" si="0"/>
        <v>0.31452457666976857</v>
      </c>
      <c r="K69" s="173">
        <f t="shared" si="0"/>
        <v>0.19236358686543864</v>
      </c>
    </row>
    <row r="71" spans="2:11" ht="15.6" x14ac:dyDescent="0.3">
      <c r="B71" s="227" t="s">
        <v>148</v>
      </c>
      <c r="C71" s="227"/>
      <c r="D71" s="227"/>
      <c r="E71" s="227"/>
      <c r="F71" s="227"/>
      <c r="G71" s="227"/>
      <c r="H71" s="227"/>
      <c r="I71" s="227"/>
      <c r="J71" s="227"/>
      <c r="K71" s="227"/>
    </row>
    <row r="72" spans="2:11" x14ac:dyDescent="0.3">
      <c r="B72" s="15"/>
      <c r="C72" s="70">
        <f t="shared" ref="C72:K73" si="1">C66</f>
        <v>42825</v>
      </c>
      <c r="D72" s="70">
        <f t="shared" si="1"/>
        <v>43190</v>
      </c>
      <c r="E72" s="70">
        <f t="shared" si="1"/>
        <v>43555</v>
      </c>
      <c r="F72" s="70">
        <f t="shared" si="1"/>
        <v>43921</v>
      </c>
      <c r="G72" s="70">
        <f t="shared" si="1"/>
        <v>44286</v>
      </c>
      <c r="H72" s="70">
        <f t="shared" si="1"/>
        <v>44651</v>
      </c>
      <c r="I72" s="70">
        <f t="shared" si="1"/>
        <v>45016</v>
      </c>
      <c r="J72" s="70">
        <f t="shared" si="1"/>
        <v>45382</v>
      </c>
      <c r="K72" s="70">
        <f t="shared" si="1"/>
        <v>45747</v>
      </c>
    </row>
    <row r="73" spans="2:11" x14ac:dyDescent="0.3">
      <c r="B73" t="str">
        <f>B67</f>
        <v xml:space="preserve">Net Profit </v>
      </c>
      <c r="C73" s="71">
        <f t="shared" si="1"/>
        <v>1939.43</v>
      </c>
      <c r="D73" s="71">
        <f t="shared" ref="D73:K73" si="2">D67</f>
        <v>2038.93</v>
      </c>
      <c r="E73" s="71">
        <f t="shared" si="2"/>
        <v>2155.92</v>
      </c>
      <c r="F73" s="71">
        <f t="shared" si="2"/>
        <v>2705.17</v>
      </c>
      <c r="G73" s="71">
        <f t="shared" si="2"/>
        <v>3139.29</v>
      </c>
      <c r="H73" s="71">
        <f t="shared" si="2"/>
        <v>3030.57</v>
      </c>
      <c r="I73" s="71">
        <f t="shared" si="2"/>
        <v>4106.45</v>
      </c>
      <c r="J73" s="71">
        <f t="shared" si="2"/>
        <v>5460.23</v>
      </c>
      <c r="K73" s="71">
        <f t="shared" si="2"/>
        <v>3667.23</v>
      </c>
    </row>
    <row r="74" spans="2:11" x14ac:dyDescent="0.3">
      <c r="B74" t="s">
        <v>149</v>
      </c>
      <c r="C74" s="71">
        <f>'Raw Data Asian Paints'!C17</f>
        <v>15061.99</v>
      </c>
      <c r="D74" s="71">
        <f>'Raw Data Asian Paints'!D17</f>
        <v>16824.55</v>
      </c>
      <c r="E74" s="71">
        <f>'Raw Data Asian Paints'!E17</f>
        <v>19240.13</v>
      </c>
      <c r="F74" s="71">
        <f>'Raw Data Asian Paints'!F17</f>
        <v>20211.25</v>
      </c>
      <c r="G74" s="71">
        <f>'Raw Data Asian Paints'!G17</f>
        <v>21712.79</v>
      </c>
      <c r="H74" s="71">
        <f>'Raw Data Asian Paints'!H17</f>
        <v>29101.279999999999</v>
      </c>
      <c r="I74" s="71">
        <f>'Raw Data Asian Paints'!I17</f>
        <v>34488.589999999997</v>
      </c>
      <c r="J74" s="71">
        <f>'Raw Data Asian Paints'!J17</f>
        <v>35494.730000000003</v>
      </c>
      <c r="K74" s="71">
        <f>'Raw Data Asian Paints'!K17</f>
        <v>33905.620000000003</v>
      </c>
    </row>
    <row r="75" spans="2:11" x14ac:dyDescent="0.3">
      <c r="B75" s="171" t="s">
        <v>150</v>
      </c>
      <c r="C75" s="173">
        <f t="shared" ref="C75:K75" si="3">C73/C74</f>
        <v>0.12876319795724203</v>
      </c>
      <c r="D75" s="173">
        <f t="shared" si="3"/>
        <v>0.12118778808348515</v>
      </c>
      <c r="E75" s="173">
        <f t="shared" si="3"/>
        <v>0.11205329693718286</v>
      </c>
      <c r="F75" s="173">
        <f t="shared" si="3"/>
        <v>0.13384476467313997</v>
      </c>
      <c r="G75" s="173">
        <f t="shared" si="3"/>
        <v>0.14458252486207437</v>
      </c>
      <c r="H75" s="173">
        <f t="shared" si="3"/>
        <v>0.10413871829692715</v>
      </c>
      <c r="I75" s="173">
        <f t="shared" si="3"/>
        <v>0.11906691459407301</v>
      </c>
      <c r="J75" s="173">
        <f t="shared" si="3"/>
        <v>0.15383213226301479</v>
      </c>
      <c r="K75" s="173">
        <f t="shared" si="3"/>
        <v>0.10815994516543274</v>
      </c>
    </row>
    <row r="77" spans="2:11" x14ac:dyDescent="0.3">
      <c r="B77" t="s">
        <v>151</v>
      </c>
      <c r="C77" s="71">
        <f t="shared" ref="C77" si="4">C74</f>
        <v>15061.99</v>
      </c>
      <c r="D77" s="71">
        <f t="shared" ref="D77:K77" si="5">D74</f>
        <v>16824.55</v>
      </c>
      <c r="E77" s="71">
        <f t="shared" si="5"/>
        <v>19240.13</v>
      </c>
      <c r="F77" s="71">
        <f t="shared" si="5"/>
        <v>20211.25</v>
      </c>
      <c r="G77" s="71">
        <f t="shared" si="5"/>
        <v>21712.79</v>
      </c>
      <c r="H77" s="71">
        <f t="shared" si="5"/>
        <v>29101.279999999999</v>
      </c>
      <c r="I77" s="71">
        <f t="shared" si="5"/>
        <v>34488.589999999997</v>
      </c>
      <c r="J77" s="71">
        <f t="shared" si="5"/>
        <v>35494.730000000003</v>
      </c>
      <c r="K77" s="71">
        <f t="shared" si="5"/>
        <v>33905.620000000003</v>
      </c>
    </row>
    <row r="78" spans="2:11" x14ac:dyDescent="0.3">
      <c r="B78" t="s">
        <v>152</v>
      </c>
      <c r="C78" s="71">
        <f>('Raw Data Asian Paints'!B77+'Raw Data Asian Paints'!C77)/2</f>
        <v>11482.11</v>
      </c>
      <c r="D78" s="71">
        <f>('Raw Data Asian Paints'!C77+'Raw Data Asian Paints'!D77)/2</f>
        <v>13084.334999999999</v>
      </c>
      <c r="E78" s="71">
        <f>('Raw Data Asian Paints'!D77+'Raw Data Asian Paints'!E77)/2</f>
        <v>15006.16</v>
      </c>
      <c r="F78" s="71">
        <f>('Raw Data Asian Paints'!E77+'Raw Data Asian Paints'!F77)/2</f>
        <v>16193.404999999999</v>
      </c>
      <c r="G78" s="71">
        <f>('Raw Data Asian Paints'!F77+'Raw Data Asian Paints'!G77)/2</f>
        <v>18246.654999999999</v>
      </c>
      <c r="H78" s="71">
        <f>('Raw Data Asian Paints'!G77+'Raw Data Asian Paints'!H77)/2</f>
        <v>21656.885000000002</v>
      </c>
      <c r="I78" s="71">
        <f>('Raw Data Asian Paints'!H77+'Raw Data Asian Paints'!I77)/2</f>
        <v>24368.880000000001</v>
      </c>
      <c r="J78" s="71">
        <f>('Raw Data Asian Paints'!I77+'Raw Data Asian Paints'!J77)/2</f>
        <v>27840.050000000003</v>
      </c>
      <c r="K78" s="71">
        <f>('Raw Data Asian Paints'!J77+'Raw Data Asian Paints'!K77)/2</f>
        <v>30128.010000000002</v>
      </c>
    </row>
    <row r="79" spans="2:11" x14ac:dyDescent="0.3">
      <c r="B79" s="171" t="s">
        <v>153</v>
      </c>
      <c r="C79" s="172">
        <f t="shared" ref="C79:K79" si="6">C77/C78</f>
        <v>1.3117789326177853</v>
      </c>
      <c r="D79" s="172">
        <f t="shared" si="6"/>
        <v>1.2858544205723867</v>
      </c>
      <c r="E79" s="172">
        <f t="shared" si="6"/>
        <v>1.2821487975604686</v>
      </c>
      <c r="F79" s="172">
        <f t="shared" si="6"/>
        <v>1.2481161312274967</v>
      </c>
      <c r="G79" s="172">
        <f t="shared" si="6"/>
        <v>1.1899600228096603</v>
      </c>
      <c r="H79" s="172">
        <f t="shared" si="6"/>
        <v>1.343742648123218</v>
      </c>
      <c r="I79" s="172">
        <f t="shared" si="6"/>
        <v>1.415271854923164</v>
      </c>
      <c r="J79" s="172">
        <f t="shared" si="6"/>
        <v>1.2749520923992592</v>
      </c>
      <c r="K79" s="172">
        <f t="shared" si="6"/>
        <v>1.125385314197652</v>
      </c>
    </row>
    <row r="81" spans="2:11" x14ac:dyDescent="0.3">
      <c r="B81" t="s">
        <v>152</v>
      </c>
      <c r="C81" s="71">
        <f t="shared" ref="C81:K81" si="7">C78</f>
        <v>11482.11</v>
      </c>
      <c r="D81" s="71">
        <f t="shared" si="7"/>
        <v>13084.334999999999</v>
      </c>
      <c r="E81" s="71">
        <f t="shared" si="7"/>
        <v>15006.16</v>
      </c>
      <c r="F81" s="71">
        <f t="shared" si="7"/>
        <v>16193.404999999999</v>
      </c>
      <c r="G81" s="71">
        <f t="shared" si="7"/>
        <v>18246.654999999999</v>
      </c>
      <c r="H81" s="71">
        <f t="shared" si="7"/>
        <v>21656.885000000002</v>
      </c>
      <c r="I81" s="71">
        <f t="shared" si="7"/>
        <v>24368.880000000001</v>
      </c>
      <c r="J81" s="71">
        <f t="shared" si="7"/>
        <v>27840.050000000003</v>
      </c>
      <c r="K81" s="71">
        <f t="shared" si="7"/>
        <v>30128.010000000002</v>
      </c>
    </row>
    <row r="82" spans="2:11" x14ac:dyDescent="0.3">
      <c r="B82" t="s">
        <v>146</v>
      </c>
      <c r="C82" s="71">
        <f t="shared" ref="C82:K82" si="8">C68</f>
        <v>7064.3549999999996</v>
      </c>
      <c r="D82" s="71">
        <f t="shared" si="8"/>
        <v>8007.0599999999995</v>
      </c>
      <c r="E82" s="71">
        <f t="shared" si="8"/>
        <v>8940.39</v>
      </c>
      <c r="F82" s="71">
        <f t="shared" si="8"/>
        <v>9800.3549999999996</v>
      </c>
      <c r="G82" s="71">
        <f t="shared" si="8"/>
        <v>11468.225</v>
      </c>
      <c r="H82" s="71">
        <f t="shared" si="8"/>
        <v>13308.924999999999</v>
      </c>
      <c r="I82" s="71">
        <f t="shared" si="8"/>
        <v>14901.895</v>
      </c>
      <c r="J82" s="71">
        <f t="shared" si="8"/>
        <v>17360.264999999999</v>
      </c>
      <c r="K82" s="71">
        <f t="shared" si="8"/>
        <v>19064.055</v>
      </c>
    </row>
    <row r="83" spans="2:11" x14ac:dyDescent="0.3">
      <c r="B83" s="171" t="s">
        <v>154</v>
      </c>
      <c r="C83" s="172">
        <f t="shared" ref="C83:K83" si="9">C81/C82</f>
        <v>1.6253585783840141</v>
      </c>
      <c r="D83" s="172">
        <f t="shared" si="9"/>
        <v>1.6340997819424359</v>
      </c>
      <c r="E83" s="172">
        <f t="shared" si="9"/>
        <v>1.6784681652590101</v>
      </c>
      <c r="F83" s="172">
        <f t="shared" si="9"/>
        <v>1.6523284105524749</v>
      </c>
      <c r="G83" s="172">
        <f t="shared" si="9"/>
        <v>1.5910618251734683</v>
      </c>
      <c r="H83" s="172">
        <f t="shared" si="9"/>
        <v>1.6272452508373143</v>
      </c>
      <c r="I83" s="172">
        <f t="shared" si="9"/>
        <v>1.6352873241960166</v>
      </c>
      <c r="J83" s="172">
        <f t="shared" si="9"/>
        <v>1.6036650362192053</v>
      </c>
      <c r="K83" s="172">
        <f t="shared" si="9"/>
        <v>1.5803568548244327</v>
      </c>
    </row>
    <row r="85" spans="2:11" x14ac:dyDescent="0.3">
      <c r="B85" s="171" t="s">
        <v>155</v>
      </c>
      <c r="C85" s="173">
        <f t="shared" ref="C85:K85" si="10">C83*C79*C75</f>
        <v>0.27453744892491955</v>
      </c>
      <c r="D85" s="173">
        <f t="shared" si="10"/>
        <v>0.25464152885078922</v>
      </c>
      <c r="E85" s="173">
        <f t="shared" si="10"/>
        <v>0.24114384271827072</v>
      </c>
      <c r="F85" s="173">
        <f t="shared" si="10"/>
        <v>0.27602775613740521</v>
      </c>
      <c r="G85" s="173">
        <f t="shared" si="10"/>
        <v>0.27373808937302851</v>
      </c>
      <c r="H85" s="173">
        <f t="shared" si="10"/>
        <v>0.22770960088812586</v>
      </c>
      <c r="I85" s="173">
        <f t="shared" si="10"/>
        <v>0.27556562437193388</v>
      </c>
      <c r="J85" s="173">
        <f t="shared" si="10"/>
        <v>0.31452457666976852</v>
      </c>
      <c r="K85" s="173">
        <f t="shared" si="10"/>
        <v>0.19236358686543864</v>
      </c>
    </row>
    <row r="87" spans="2:11" ht="15.6" x14ac:dyDescent="0.3">
      <c r="B87" s="227" t="s">
        <v>156</v>
      </c>
      <c r="C87" s="227"/>
      <c r="D87" s="227"/>
      <c r="E87" s="227"/>
      <c r="F87" s="227"/>
      <c r="G87" s="227"/>
      <c r="H87" s="227"/>
      <c r="I87" s="227"/>
      <c r="J87" s="227"/>
      <c r="K87" s="227"/>
    </row>
    <row r="88" spans="2:11" x14ac:dyDescent="0.3">
      <c r="B88" s="15"/>
      <c r="C88" s="70">
        <f t="shared" ref="C88:K88" si="11">C66</f>
        <v>42825</v>
      </c>
      <c r="D88" s="70">
        <f t="shared" si="11"/>
        <v>43190</v>
      </c>
      <c r="E88" s="70">
        <f t="shared" si="11"/>
        <v>43555</v>
      </c>
      <c r="F88" s="70">
        <f t="shared" si="11"/>
        <v>43921</v>
      </c>
      <c r="G88" s="70">
        <f t="shared" si="11"/>
        <v>44286</v>
      </c>
      <c r="H88" s="70">
        <f t="shared" si="11"/>
        <v>44651</v>
      </c>
      <c r="I88" s="70">
        <f t="shared" si="11"/>
        <v>45016</v>
      </c>
      <c r="J88" s="70">
        <f t="shared" si="11"/>
        <v>45382</v>
      </c>
      <c r="K88" s="70">
        <f t="shared" si="11"/>
        <v>45747</v>
      </c>
    </row>
    <row r="89" spans="2:11" x14ac:dyDescent="0.3">
      <c r="B89" t="s">
        <v>44</v>
      </c>
      <c r="C89" s="71">
        <f t="shared" ref="C89:K89" si="12">C73</f>
        <v>1939.43</v>
      </c>
      <c r="D89" s="71">
        <f t="shared" si="12"/>
        <v>2038.93</v>
      </c>
      <c r="E89" s="71">
        <f t="shared" si="12"/>
        <v>2155.92</v>
      </c>
      <c r="F89" s="71">
        <f t="shared" si="12"/>
        <v>2705.17</v>
      </c>
      <c r="G89" s="71">
        <f t="shared" si="12"/>
        <v>3139.29</v>
      </c>
      <c r="H89" s="71">
        <f t="shared" si="12"/>
        <v>3030.57</v>
      </c>
      <c r="I89" s="71">
        <f t="shared" si="12"/>
        <v>4106.45</v>
      </c>
      <c r="J89" s="71">
        <f t="shared" si="12"/>
        <v>5460.23</v>
      </c>
      <c r="K89" s="71">
        <f t="shared" si="12"/>
        <v>3667.23</v>
      </c>
    </row>
    <row r="90" spans="2:11" x14ac:dyDescent="0.3">
      <c r="B90" t="s">
        <v>157</v>
      </c>
      <c r="C90" s="71">
        <f t="shared" ref="C90:K90" si="13">C78</f>
        <v>11482.11</v>
      </c>
      <c r="D90" s="71">
        <f t="shared" si="13"/>
        <v>13084.334999999999</v>
      </c>
      <c r="E90" s="71">
        <f t="shared" si="13"/>
        <v>15006.16</v>
      </c>
      <c r="F90" s="71">
        <f t="shared" si="13"/>
        <v>16193.404999999999</v>
      </c>
      <c r="G90" s="71">
        <f t="shared" si="13"/>
        <v>18246.654999999999</v>
      </c>
      <c r="H90" s="71">
        <f t="shared" si="13"/>
        <v>21656.885000000002</v>
      </c>
      <c r="I90" s="71">
        <f t="shared" si="13"/>
        <v>24368.880000000001</v>
      </c>
      <c r="J90" s="71">
        <f t="shared" si="13"/>
        <v>27840.050000000003</v>
      </c>
      <c r="K90" s="71">
        <f t="shared" si="13"/>
        <v>30128.010000000002</v>
      </c>
    </row>
    <row r="91" spans="2:11" x14ac:dyDescent="0.3">
      <c r="B91" s="171" t="s">
        <v>147</v>
      </c>
      <c r="C91" s="173">
        <f t="shared" ref="C91:K91" si="14">C89/C90</f>
        <v>0.16890885037680356</v>
      </c>
      <c r="D91" s="173">
        <f t="shared" si="14"/>
        <v>0.15582985302653901</v>
      </c>
      <c r="E91" s="173">
        <f t="shared" si="14"/>
        <v>0.14366899993069512</v>
      </c>
      <c r="F91" s="173">
        <f t="shared" si="14"/>
        <v>0.16705380986889418</v>
      </c>
      <c r="G91" s="173">
        <f t="shared" si="14"/>
        <v>0.1720474245827523</v>
      </c>
      <c r="H91" s="173">
        <f t="shared" si="14"/>
        <v>0.13993563709647069</v>
      </c>
      <c r="I91" s="173">
        <f t="shared" si="14"/>
        <v>0.16851205307753167</v>
      </c>
      <c r="J91" s="173">
        <f t="shared" si="14"/>
        <v>0.19612859890697032</v>
      </c>
      <c r="K91" s="173">
        <f t="shared" si="14"/>
        <v>0.12172161387360134</v>
      </c>
    </row>
    <row r="93" spans="2:11" ht="15.6" x14ac:dyDescent="0.3">
      <c r="B93" s="227" t="s">
        <v>158</v>
      </c>
      <c r="C93" s="227"/>
      <c r="D93" s="227"/>
      <c r="E93" s="227"/>
      <c r="F93" s="227"/>
      <c r="G93" s="227"/>
      <c r="H93" s="227"/>
      <c r="I93" s="227"/>
      <c r="J93" s="227"/>
      <c r="K93" s="227"/>
    </row>
    <row r="94" spans="2:11" x14ac:dyDescent="0.3">
      <c r="B94" s="15"/>
      <c r="C94" s="70">
        <f t="shared" ref="C94:K94" si="15">C88</f>
        <v>42825</v>
      </c>
      <c r="D94" s="70">
        <f t="shared" si="15"/>
        <v>43190</v>
      </c>
      <c r="E94" s="70">
        <f t="shared" si="15"/>
        <v>43555</v>
      </c>
      <c r="F94" s="70">
        <f t="shared" si="15"/>
        <v>43921</v>
      </c>
      <c r="G94" s="70">
        <f t="shared" si="15"/>
        <v>44286</v>
      </c>
      <c r="H94" s="70">
        <f t="shared" si="15"/>
        <v>44651</v>
      </c>
      <c r="I94" s="70">
        <f t="shared" si="15"/>
        <v>45016</v>
      </c>
      <c r="J94" s="70">
        <f t="shared" si="15"/>
        <v>45382</v>
      </c>
      <c r="K94" s="70">
        <f t="shared" si="15"/>
        <v>45747</v>
      </c>
    </row>
    <row r="95" spans="2:11" x14ac:dyDescent="0.3">
      <c r="B95" t="str">
        <f>B89</f>
        <v xml:space="preserve">Net Profit </v>
      </c>
      <c r="C95" s="71">
        <f t="shared" ref="C95:K96" si="16">C73</f>
        <v>1939.43</v>
      </c>
      <c r="D95" s="71">
        <f t="shared" si="16"/>
        <v>2038.93</v>
      </c>
      <c r="E95" s="71">
        <f t="shared" si="16"/>
        <v>2155.92</v>
      </c>
      <c r="F95" s="71">
        <f t="shared" si="16"/>
        <v>2705.17</v>
      </c>
      <c r="G95" s="71">
        <f t="shared" si="16"/>
        <v>3139.29</v>
      </c>
      <c r="H95" s="71">
        <f t="shared" si="16"/>
        <v>3030.57</v>
      </c>
      <c r="I95" s="71">
        <f t="shared" si="16"/>
        <v>4106.45</v>
      </c>
      <c r="J95" s="71">
        <f t="shared" si="16"/>
        <v>5460.23</v>
      </c>
      <c r="K95" s="71">
        <f t="shared" si="16"/>
        <v>3667.23</v>
      </c>
    </row>
    <row r="96" spans="2:11" x14ac:dyDescent="0.3">
      <c r="B96" t="s">
        <v>149</v>
      </c>
      <c r="C96" s="71">
        <f t="shared" si="16"/>
        <v>15061.99</v>
      </c>
      <c r="D96" s="71">
        <f t="shared" si="16"/>
        <v>16824.55</v>
      </c>
      <c r="E96" s="71">
        <f t="shared" si="16"/>
        <v>19240.13</v>
      </c>
      <c r="F96" s="71">
        <f t="shared" si="16"/>
        <v>20211.25</v>
      </c>
      <c r="G96" s="71">
        <f t="shared" si="16"/>
        <v>21712.79</v>
      </c>
      <c r="H96" s="71">
        <f t="shared" si="16"/>
        <v>29101.279999999999</v>
      </c>
      <c r="I96" s="71">
        <f t="shared" si="16"/>
        <v>34488.589999999997</v>
      </c>
      <c r="J96" s="71">
        <f t="shared" si="16"/>
        <v>35494.730000000003</v>
      </c>
      <c r="K96" s="71">
        <f t="shared" si="16"/>
        <v>33905.620000000003</v>
      </c>
    </row>
    <row r="97" spans="2:11" x14ac:dyDescent="0.3">
      <c r="B97" s="171" t="s">
        <v>150</v>
      </c>
      <c r="C97" s="173">
        <f t="shared" ref="C97:K97" si="17">C95/C96</f>
        <v>0.12876319795724203</v>
      </c>
      <c r="D97" s="173">
        <f t="shared" si="17"/>
        <v>0.12118778808348515</v>
      </c>
      <c r="E97" s="173">
        <f t="shared" si="17"/>
        <v>0.11205329693718286</v>
      </c>
      <c r="F97" s="173">
        <f t="shared" si="17"/>
        <v>0.13384476467313997</v>
      </c>
      <c r="G97" s="173">
        <f t="shared" si="17"/>
        <v>0.14458252486207437</v>
      </c>
      <c r="H97" s="173">
        <f t="shared" si="17"/>
        <v>0.10413871829692715</v>
      </c>
      <c r="I97" s="173">
        <f t="shared" si="17"/>
        <v>0.11906691459407301</v>
      </c>
      <c r="J97" s="173">
        <f t="shared" si="17"/>
        <v>0.15383213226301479</v>
      </c>
      <c r="K97" s="173">
        <f t="shared" si="17"/>
        <v>0.10815994516543274</v>
      </c>
    </row>
    <row r="99" spans="2:11" x14ac:dyDescent="0.3">
      <c r="B99" t="s">
        <v>151</v>
      </c>
      <c r="C99" s="71">
        <f t="shared" ref="C99:K100" si="18">C77</f>
        <v>15061.99</v>
      </c>
      <c r="D99" s="71">
        <f t="shared" si="18"/>
        <v>16824.55</v>
      </c>
      <c r="E99" s="71">
        <f t="shared" si="18"/>
        <v>19240.13</v>
      </c>
      <c r="F99" s="71">
        <f t="shared" si="18"/>
        <v>20211.25</v>
      </c>
      <c r="G99" s="71">
        <f t="shared" si="18"/>
        <v>21712.79</v>
      </c>
      <c r="H99" s="71">
        <f t="shared" si="18"/>
        <v>29101.279999999999</v>
      </c>
      <c r="I99" s="71">
        <f t="shared" si="18"/>
        <v>34488.589999999997</v>
      </c>
      <c r="J99" s="71">
        <f t="shared" si="18"/>
        <v>35494.730000000003</v>
      </c>
      <c r="K99" s="71">
        <f t="shared" si="18"/>
        <v>33905.620000000003</v>
      </c>
    </row>
    <row r="100" spans="2:11" x14ac:dyDescent="0.3">
      <c r="B100" t="s">
        <v>152</v>
      </c>
      <c r="C100" s="71">
        <f t="shared" si="18"/>
        <v>11482.11</v>
      </c>
      <c r="D100" s="71">
        <f t="shared" si="18"/>
        <v>13084.334999999999</v>
      </c>
      <c r="E100" s="71">
        <f t="shared" si="18"/>
        <v>15006.16</v>
      </c>
      <c r="F100" s="71">
        <f t="shared" si="18"/>
        <v>16193.404999999999</v>
      </c>
      <c r="G100" s="71">
        <f t="shared" si="18"/>
        <v>18246.654999999999</v>
      </c>
      <c r="H100" s="71">
        <f t="shared" si="18"/>
        <v>21656.885000000002</v>
      </c>
      <c r="I100" s="71">
        <f t="shared" si="18"/>
        <v>24368.880000000001</v>
      </c>
      <c r="J100" s="71">
        <f t="shared" si="18"/>
        <v>27840.050000000003</v>
      </c>
      <c r="K100" s="71">
        <f t="shared" si="18"/>
        <v>30128.010000000002</v>
      </c>
    </row>
    <row r="101" spans="2:11" x14ac:dyDescent="0.3">
      <c r="B101" s="171" t="s">
        <v>153</v>
      </c>
      <c r="C101" s="172">
        <f t="shared" ref="C101:K101" si="19">C99/C100</f>
        <v>1.3117789326177853</v>
      </c>
      <c r="D101" s="172">
        <f t="shared" si="19"/>
        <v>1.2858544205723867</v>
      </c>
      <c r="E101" s="172">
        <f t="shared" si="19"/>
        <v>1.2821487975604686</v>
      </c>
      <c r="F101" s="172">
        <f t="shared" si="19"/>
        <v>1.2481161312274967</v>
      </c>
      <c r="G101" s="172">
        <f t="shared" si="19"/>
        <v>1.1899600228096603</v>
      </c>
      <c r="H101" s="172">
        <f t="shared" si="19"/>
        <v>1.343742648123218</v>
      </c>
      <c r="I101" s="172">
        <f t="shared" si="19"/>
        <v>1.415271854923164</v>
      </c>
      <c r="J101" s="172">
        <f t="shared" si="19"/>
        <v>1.2749520923992592</v>
      </c>
      <c r="K101" s="172">
        <f t="shared" si="19"/>
        <v>1.125385314197652</v>
      </c>
    </row>
    <row r="103" spans="2:11" x14ac:dyDescent="0.3">
      <c r="B103" s="171" t="s">
        <v>159</v>
      </c>
      <c r="C103" s="173">
        <f t="shared" ref="C103:K103" si="20">C97*C101</f>
        <v>0.16890885037680356</v>
      </c>
      <c r="D103" s="173">
        <f t="shared" si="20"/>
        <v>0.15582985302653901</v>
      </c>
      <c r="E103" s="173">
        <f t="shared" si="20"/>
        <v>0.14366899993069515</v>
      </c>
      <c r="F103" s="173">
        <f t="shared" si="20"/>
        <v>0.16705380986889418</v>
      </c>
      <c r="G103" s="173">
        <f t="shared" si="20"/>
        <v>0.1720474245827523</v>
      </c>
      <c r="H103" s="173">
        <f t="shared" si="20"/>
        <v>0.13993563709647069</v>
      </c>
      <c r="I103" s="173">
        <f t="shared" si="20"/>
        <v>0.16851205307753164</v>
      </c>
      <c r="J103" s="173">
        <f t="shared" si="20"/>
        <v>0.19612859890697029</v>
      </c>
      <c r="K103" s="173">
        <f t="shared" si="20"/>
        <v>0.12172161387360134</v>
      </c>
    </row>
    <row r="118" spans="2:11" ht="15.6" customHeight="1" x14ac:dyDescent="0.3"/>
    <row r="119" spans="2:11" x14ac:dyDescent="0.3">
      <c r="B119" s="223"/>
      <c r="C119" s="223"/>
      <c r="D119" s="223"/>
      <c r="E119" s="223"/>
      <c r="F119" s="223"/>
      <c r="G119" s="223"/>
      <c r="H119" s="223"/>
      <c r="I119" s="223"/>
      <c r="J119" s="223"/>
      <c r="K119" s="223"/>
    </row>
  </sheetData>
  <mergeCells count="11">
    <mergeCell ref="B71:K71"/>
    <mergeCell ref="B87:K87"/>
    <mergeCell ref="B93:K93"/>
    <mergeCell ref="B119:K119"/>
    <mergeCell ref="B58:K58"/>
    <mergeCell ref="B65:K65"/>
    <mergeCell ref="B1:K1"/>
    <mergeCell ref="B6:K6"/>
    <mergeCell ref="B8:K11"/>
    <mergeCell ref="B12:I12"/>
    <mergeCell ref="B57:K57"/>
  </mergeCells>
  <pageMargins left="0.7" right="0.7" top="0.75" bottom="0.75" header="0.3" footer="0.3"/>
  <pageSetup paperSize="9" scale="76" orientation="portrait" r:id="rId1"/>
  <rowBreaks count="1" manualBreakCount="1">
    <brk id="57"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9D5B7-955C-4AD0-84FF-7B0D192FA066}">
  <sheetPr>
    <tabColor rgb="FFE84726"/>
  </sheetPr>
  <dimension ref="A2:N10003"/>
  <sheetViews>
    <sheetView showGridLines="0" workbookViewId="0">
      <selection activeCell="R39" sqref="R39"/>
    </sheetView>
  </sheetViews>
  <sheetFormatPr defaultRowHeight="14.4" x14ac:dyDescent="0.3"/>
  <cols>
    <col min="1" max="1" width="2" bestFit="1" customWidth="1"/>
    <col min="2" max="2" width="10.33203125" bestFit="1" customWidth="1"/>
    <col min="3" max="3" width="8.77734375" bestFit="1" customWidth="1"/>
    <col min="4" max="4" width="12.5546875" bestFit="1" customWidth="1"/>
    <col min="5" max="5" width="13.5546875" bestFit="1" customWidth="1"/>
    <col min="6" max="6" width="1.21875" customWidth="1"/>
    <col min="7" max="7" width="10.5546875" bestFit="1" customWidth="1"/>
    <col min="8" max="8" width="16.21875" bestFit="1" customWidth="1"/>
    <col min="9" max="9" width="2.21875" customWidth="1"/>
    <col min="10" max="10" width="42.33203125" bestFit="1" customWidth="1"/>
    <col min="11" max="11" width="10.5546875" bestFit="1" customWidth="1"/>
    <col min="12" max="12" width="8.6640625" bestFit="1" customWidth="1"/>
    <col min="13" max="13" width="10.6640625" bestFit="1" customWidth="1"/>
    <col min="14" max="14" width="9.77734375" bestFit="1" customWidth="1"/>
  </cols>
  <sheetData>
    <row r="2" spans="1:14" x14ac:dyDescent="0.3">
      <c r="A2" t="s">
        <v>27</v>
      </c>
      <c r="B2" s="237" t="s">
        <v>160</v>
      </c>
      <c r="C2" s="238" t="s">
        <v>161</v>
      </c>
      <c r="D2" s="239" t="s">
        <v>162</v>
      </c>
      <c r="E2" s="237" t="s">
        <v>163</v>
      </c>
      <c r="F2" s="237"/>
      <c r="G2" s="237" t="s">
        <v>164</v>
      </c>
      <c r="H2" s="237" t="s">
        <v>165</v>
      </c>
      <c r="I2" s="237"/>
      <c r="J2" s="233" t="str">
        <f>"Calculation of VAR - "&amp;'Raw Data Asian Paints'!B1&amp;" (Historical Approach)"</f>
        <v>Calculation of VAR -  ASIAN PAINTS LTD  (Historical Approach)</v>
      </c>
      <c r="K2" s="233"/>
      <c r="L2" s="233"/>
      <c r="M2" s="233"/>
      <c r="N2" s="233"/>
    </row>
    <row r="3" spans="1:14" ht="15" thickBot="1" x14ac:dyDescent="0.35">
      <c r="B3" s="72">
        <v>43910</v>
      </c>
      <c r="C3" s="73">
        <v>1663.9749999999999</v>
      </c>
      <c r="D3" s="74">
        <f t="shared" ref="D3:D66" si="0">(C3-C4)/C4</f>
        <v>-5.3981835496112712E-2</v>
      </c>
      <c r="E3" s="1">
        <v>7.8699577005980167E-2</v>
      </c>
      <c r="G3" s="75">
        <v>1</v>
      </c>
      <c r="H3" s="1">
        <f ca="1">_xlfn.NORM.INV(RAND(),$N$4,$N$5)</f>
        <v>-1.2566101939786647E-3</v>
      </c>
      <c r="J3" s="76" t="s">
        <v>166</v>
      </c>
      <c r="K3" s="76"/>
      <c r="L3" s="77"/>
      <c r="M3" s="77"/>
      <c r="N3" s="77"/>
    </row>
    <row r="4" spans="1:14" ht="15" thickTop="1" x14ac:dyDescent="0.3">
      <c r="B4" s="72">
        <v>43731</v>
      </c>
      <c r="C4" s="73">
        <v>1758.925</v>
      </c>
      <c r="D4" s="74">
        <f t="shared" si="0"/>
        <v>-0.40689067979498245</v>
      </c>
      <c r="E4" s="1">
        <v>7.6667635851684082E-2</v>
      </c>
      <c r="G4" s="75">
        <v>2</v>
      </c>
      <c r="H4" s="1">
        <f t="shared" ref="H4:H67" ca="1" si="1">_xlfn.NORM.INV(RAND(),$N$4,$N$5)</f>
        <v>8.4209101769547219E-3</v>
      </c>
      <c r="J4" s="78" t="s">
        <v>45</v>
      </c>
      <c r="K4" s="78"/>
      <c r="L4" s="78"/>
      <c r="M4" s="78"/>
      <c r="N4" s="79">
        <f>AVERAGE(E3:E2073)</f>
        <v>4.8341941347584429E-4</v>
      </c>
    </row>
    <row r="5" spans="1:14" x14ac:dyDescent="0.3">
      <c r="B5" s="72">
        <v>44630</v>
      </c>
      <c r="C5" s="73">
        <v>2965.6</v>
      </c>
      <c r="D5" s="74">
        <f t="shared" si="0"/>
        <v>9.0935844614479039E-2</v>
      </c>
      <c r="E5" s="1">
        <v>6.7713161897732632E-2</v>
      </c>
      <c r="G5" s="75">
        <v>3</v>
      </c>
      <c r="H5" s="1">
        <f t="shared" ca="1" si="1"/>
        <v>3.0867620063236736E-3</v>
      </c>
      <c r="J5" s="78" t="s">
        <v>167</v>
      </c>
      <c r="K5" s="78"/>
      <c r="L5" s="78"/>
      <c r="M5" s="78"/>
      <c r="N5" s="79">
        <f>_xlfn.STDEV.S(E3:E2073)</f>
        <v>1.3188036166249558E-2</v>
      </c>
    </row>
    <row r="6" spans="1:14" x14ac:dyDescent="0.3">
      <c r="B6" s="72">
        <v>44330</v>
      </c>
      <c r="C6" s="73">
        <v>2718.4</v>
      </c>
      <c r="D6" s="74">
        <f t="shared" si="0"/>
        <v>0.68635235732009936</v>
      </c>
      <c r="E6" s="1">
        <v>6.2092812002461514E-2</v>
      </c>
      <c r="G6" s="75">
        <v>4</v>
      </c>
      <c r="H6" s="1">
        <f t="shared" ca="1" si="1"/>
        <v>1.7000417277834617E-2</v>
      </c>
      <c r="J6" s="78" t="s">
        <v>168</v>
      </c>
      <c r="K6" s="78"/>
      <c r="L6" s="78"/>
      <c r="M6" s="78"/>
      <c r="N6" s="79">
        <f>MIN(E3:E2073)</f>
        <v>-0.10774770920241018</v>
      </c>
    </row>
    <row r="7" spans="1:14" x14ac:dyDescent="0.3">
      <c r="B7" s="72">
        <v>43916</v>
      </c>
      <c r="C7" s="73">
        <v>1612</v>
      </c>
      <c r="D7" s="74">
        <f t="shared" si="0"/>
        <v>-0.29639248379563959</v>
      </c>
      <c r="E7" s="1">
        <v>5.6581513100758714E-2</v>
      </c>
      <c r="G7" s="75">
        <v>5</v>
      </c>
      <c r="H7" s="1">
        <f t="shared" ca="1" si="1"/>
        <v>8.8023864125661884E-3</v>
      </c>
      <c r="J7" s="78" t="s">
        <v>169</v>
      </c>
      <c r="K7" s="78"/>
      <c r="L7" s="78"/>
      <c r="M7" s="78"/>
      <c r="N7" s="79">
        <f>MAX(E3:E2073)</f>
        <v>7.8699577005980167E-2</v>
      </c>
    </row>
    <row r="8" spans="1:14" x14ac:dyDescent="0.3">
      <c r="B8" s="72">
        <v>46120</v>
      </c>
      <c r="C8" s="73">
        <v>2291.0500000000002</v>
      </c>
      <c r="D8" s="74">
        <f t="shared" si="0"/>
        <v>0.402390316311384</v>
      </c>
      <c r="E8" s="1">
        <v>5.4884084996661961E-2</v>
      </c>
      <c r="G8" s="75">
        <v>6</v>
      </c>
      <c r="H8" s="1">
        <f t="shared" ca="1" si="1"/>
        <v>3.2361845731830215E-3</v>
      </c>
      <c r="J8" s="78" t="s">
        <v>170</v>
      </c>
      <c r="K8" s="78"/>
      <c r="L8" s="78"/>
      <c r="M8" s="78"/>
      <c r="N8" s="80">
        <v>2605.6</v>
      </c>
    </row>
    <row r="9" spans="1:14" x14ac:dyDescent="0.3">
      <c r="B9" s="72">
        <v>43728</v>
      </c>
      <c r="C9" s="73">
        <v>1633.675</v>
      </c>
      <c r="D9" s="74">
        <f t="shared" si="0"/>
        <v>-0.31588149078726968</v>
      </c>
      <c r="E9" s="1">
        <v>5.1101817596911667E-2</v>
      </c>
      <c r="G9" s="75">
        <v>7</v>
      </c>
      <c r="H9" s="1">
        <f t="shared" ca="1" si="1"/>
        <v>3.4809143935096314E-2</v>
      </c>
      <c r="J9" s="81"/>
      <c r="K9" s="81"/>
      <c r="L9" s="82"/>
      <c r="M9" s="82"/>
      <c r="N9" s="81"/>
    </row>
    <row r="10" spans="1:14" ht="15" thickBot="1" x14ac:dyDescent="0.35">
      <c r="B10" s="72">
        <v>45755</v>
      </c>
      <c r="C10" s="73">
        <v>2388</v>
      </c>
      <c r="D10" s="74">
        <f t="shared" si="0"/>
        <v>0.36544921735401331</v>
      </c>
      <c r="E10" s="1">
        <v>5.1056338028169015E-2</v>
      </c>
      <c r="G10" s="75">
        <v>8</v>
      </c>
      <c r="H10" s="1">
        <f t="shared" ca="1" si="1"/>
        <v>-2.0079606244690879E-2</v>
      </c>
      <c r="J10" s="77" t="s">
        <v>171</v>
      </c>
      <c r="K10" s="83" t="s">
        <v>172</v>
      </c>
      <c r="L10" s="84" t="s">
        <v>173</v>
      </c>
      <c r="M10" s="83" t="s">
        <v>174</v>
      </c>
      <c r="N10" s="83" t="s">
        <v>175</v>
      </c>
    </row>
    <row r="11" spans="1:14" ht="15" thickTop="1" x14ac:dyDescent="0.3">
      <c r="B11" s="72">
        <v>44006</v>
      </c>
      <c r="C11" s="73">
        <v>1748.875</v>
      </c>
      <c r="D11" s="74">
        <f t="shared" si="0"/>
        <v>-0.39032786599501496</v>
      </c>
      <c r="E11" s="1">
        <v>5.0375375375375377E-2</v>
      </c>
      <c r="G11" s="75">
        <v>9</v>
      </c>
      <c r="H11" s="1">
        <f t="shared" ca="1" si="1"/>
        <v>1.0642982328509826E-3</v>
      </c>
      <c r="J11" s="85">
        <v>0.05</v>
      </c>
      <c r="K11" s="86">
        <f>100%-J11</f>
        <v>0.95</v>
      </c>
      <c r="L11" s="86">
        <f>_xlfn.PERCENTILE.INC($E$3:$E$2073,J11)</f>
        <v>-1.8458385796069256E-2</v>
      </c>
      <c r="M11" s="87">
        <f>$N$8*(1+L11)</f>
        <v>2557.5048299697619</v>
      </c>
      <c r="N11" s="87">
        <f>M11-$N$8</f>
        <v>-48.095170030238023</v>
      </c>
    </row>
    <row r="12" spans="1:14" x14ac:dyDescent="0.3">
      <c r="B12" s="72">
        <v>45974</v>
      </c>
      <c r="C12" s="73">
        <v>2868.55</v>
      </c>
      <c r="D12" s="74">
        <f t="shared" si="0"/>
        <v>-7.0794596870849574E-2</v>
      </c>
      <c r="E12" s="1">
        <v>4.6763246241424812E-2</v>
      </c>
      <c r="G12" s="75">
        <v>10</v>
      </c>
      <c r="H12" s="1">
        <f t="shared" ca="1" si="1"/>
        <v>1.1476619951288337E-2</v>
      </c>
      <c r="J12" s="88">
        <v>0.01</v>
      </c>
      <c r="K12" s="89">
        <f>100%-J12</f>
        <v>0.99</v>
      </c>
      <c r="L12" s="86">
        <f>_xlfn.PERCENTILE.INC($E$3:$E$2073,J12)</f>
        <v>-3.2756272941227481E-2</v>
      </c>
      <c r="M12" s="90">
        <f>$N$8*(1+L12)</f>
        <v>2520.2502552243377</v>
      </c>
      <c r="N12" s="90">
        <f>M12-$N$8</f>
        <v>-85.349744775662202</v>
      </c>
    </row>
    <row r="13" spans="1:14" x14ac:dyDescent="0.3">
      <c r="B13" s="72">
        <v>44496</v>
      </c>
      <c r="C13" s="73">
        <v>3087.1</v>
      </c>
      <c r="D13" s="74">
        <f t="shared" si="0"/>
        <v>0.28441855627210316</v>
      </c>
      <c r="E13" s="1">
        <v>4.2586963863559577E-2</v>
      </c>
      <c r="G13" s="75">
        <v>11</v>
      </c>
      <c r="H13" s="1">
        <f t="shared" ca="1" si="1"/>
        <v>1.5443273475564047E-2</v>
      </c>
      <c r="J13" s="88">
        <v>5.0000000000000001E-3</v>
      </c>
      <c r="K13" s="89">
        <f>100%-J13</f>
        <v>0.995</v>
      </c>
      <c r="L13" s="86">
        <f>_xlfn.PERCENTILE.INC($E$3:$E$2073,J13)</f>
        <v>-4.2429078784786502E-2</v>
      </c>
      <c r="M13" s="90">
        <f>$N$8*(1+L13)</f>
        <v>2495.0467923183601</v>
      </c>
      <c r="N13" s="90">
        <f>M13-$N$8</f>
        <v>-110.55320768163983</v>
      </c>
    </row>
    <row r="14" spans="1:14" x14ac:dyDescent="0.3">
      <c r="B14" s="72">
        <v>46127</v>
      </c>
      <c r="C14" s="73">
        <v>2403.5</v>
      </c>
      <c r="D14" s="74">
        <f t="shared" si="0"/>
        <v>-0.18412030279371333</v>
      </c>
      <c r="E14" s="1">
        <v>3.9463725808195481E-2</v>
      </c>
      <c r="G14" s="75">
        <v>12</v>
      </c>
      <c r="H14" s="1">
        <f t="shared" ca="1" si="1"/>
        <v>1.2098586034050972E-2</v>
      </c>
      <c r="J14" s="88">
        <v>0.1</v>
      </c>
      <c r="K14" s="89">
        <f>100%-J14</f>
        <v>0.9</v>
      </c>
      <c r="L14" s="86">
        <f>_xlfn.PERCENTILE.INC($E$3:$E$2073,J14)</f>
        <v>-1.4017751989199488E-2</v>
      </c>
      <c r="M14" s="90">
        <f>$N$8*(1+L14)</f>
        <v>2569.0753454169417</v>
      </c>
      <c r="N14" s="90">
        <f>M14-$N$8</f>
        <v>-36.524654583058236</v>
      </c>
    </row>
    <row r="15" spans="1:14" x14ac:dyDescent="0.3">
      <c r="B15" s="72">
        <v>45448</v>
      </c>
      <c r="C15" s="73">
        <v>2945.9</v>
      </c>
      <c r="D15" s="74">
        <f t="shared" si="0"/>
        <v>0.24349422764399226</v>
      </c>
      <c r="E15" s="1">
        <v>3.8614428628090468E-2</v>
      </c>
      <c r="G15" s="75">
        <v>13</v>
      </c>
      <c r="H15" s="1">
        <f t="shared" ca="1" si="1"/>
        <v>1.1736028904103208E-2</v>
      </c>
      <c r="J15" s="8"/>
      <c r="K15" s="8"/>
      <c r="L15" s="8"/>
      <c r="M15" s="8"/>
      <c r="N15" s="8"/>
    </row>
    <row r="16" spans="1:14" x14ac:dyDescent="0.3">
      <c r="B16" s="72">
        <v>44168</v>
      </c>
      <c r="C16" s="73">
        <v>2369.0500000000002</v>
      </c>
      <c r="D16" s="74">
        <f t="shared" si="0"/>
        <v>-8.7264741576929733E-2</v>
      </c>
      <c r="E16" s="1">
        <v>3.8612873880687106E-2</v>
      </c>
      <c r="G16" s="75">
        <v>14</v>
      </c>
      <c r="H16" s="1">
        <f t="shared" ca="1" si="1"/>
        <v>-2.6103739009064906E-2</v>
      </c>
    </row>
    <row r="17" spans="2:14" x14ac:dyDescent="0.3">
      <c r="B17" s="72">
        <v>45967</v>
      </c>
      <c r="C17" s="73">
        <v>2595.5500000000002</v>
      </c>
      <c r="D17" s="74">
        <f t="shared" si="0"/>
        <v>0.13922356091030802</v>
      </c>
      <c r="E17" s="1">
        <v>3.8074669546263637E-2</v>
      </c>
      <c r="G17" s="75">
        <v>15</v>
      </c>
      <c r="H17" s="1">
        <f t="shared" ca="1" si="1"/>
        <v>-2.185679711857875E-3</v>
      </c>
      <c r="J17" s="233" t="str">
        <f>"Calculation of VAR - "&amp;'[1]Data Sheet Trent Ltd'!$B$1&amp;" (Monte Carlo Approach)"</f>
        <v>Calculation of VAR - TRENT LTD (Monte Carlo Approach)</v>
      </c>
      <c r="K17" s="233"/>
      <c r="L17" s="233"/>
      <c r="M17" s="233"/>
      <c r="N17" s="233"/>
    </row>
    <row r="18" spans="2:14" ht="15" thickBot="1" x14ac:dyDescent="0.35">
      <c r="B18" s="72">
        <v>46091</v>
      </c>
      <c r="C18" s="73">
        <v>2278.35</v>
      </c>
      <c r="D18" s="74">
        <f t="shared" si="0"/>
        <v>-0.30410812461820408</v>
      </c>
      <c r="E18" s="1">
        <v>3.7358284387378649E-2</v>
      </c>
      <c r="G18" s="75">
        <v>16</v>
      </c>
      <c r="H18" s="1">
        <f t="shared" ca="1" si="1"/>
        <v>1.2145054225520611E-2</v>
      </c>
      <c r="J18" s="76" t="s">
        <v>176</v>
      </c>
      <c r="K18" s="76"/>
      <c r="L18" s="76"/>
      <c r="M18" s="76"/>
      <c r="N18" s="76"/>
    </row>
    <row r="19" spans="2:14" ht="15" thickTop="1" x14ac:dyDescent="0.3">
      <c r="B19" s="72">
        <v>44440</v>
      </c>
      <c r="C19" s="73">
        <v>3274</v>
      </c>
      <c r="D19" s="74">
        <f t="shared" si="0"/>
        <v>0.31883182275931521</v>
      </c>
      <c r="E19" s="1">
        <v>3.7216559349284389E-2</v>
      </c>
      <c r="G19" s="75">
        <v>17</v>
      </c>
      <c r="H19" s="1">
        <f t="shared" ca="1" si="1"/>
        <v>4.1846436632920179E-4</v>
      </c>
      <c r="J19" s="78" t="s">
        <v>45</v>
      </c>
      <c r="K19" s="78"/>
      <c r="L19" s="78"/>
      <c r="M19" s="78"/>
      <c r="N19" s="79">
        <f ca="1">AVERAGE($H$3:$H$2120)</f>
        <v>4.9045832089747942E-4</v>
      </c>
    </row>
    <row r="20" spans="2:14" x14ac:dyDescent="0.3">
      <c r="B20" s="72">
        <v>45947</v>
      </c>
      <c r="C20" s="73">
        <v>2482.5</v>
      </c>
      <c r="D20" s="74">
        <f t="shared" si="0"/>
        <v>-2.7414568213204794E-2</v>
      </c>
      <c r="E20" s="1">
        <v>3.7032395513503194E-2</v>
      </c>
      <c r="G20" s="75">
        <v>18</v>
      </c>
      <c r="H20" s="1">
        <f t="shared" ca="1" si="1"/>
        <v>2.051570068550148E-2</v>
      </c>
      <c r="J20" s="78" t="s">
        <v>167</v>
      </c>
      <c r="K20" s="78"/>
      <c r="L20" s="78"/>
      <c r="M20" s="78"/>
      <c r="N20" s="79">
        <f ca="1">_xlfn.STDEV.S($H$3:$H$2120)</f>
        <v>1.3279297920971621E-2</v>
      </c>
    </row>
    <row r="21" spans="2:14" x14ac:dyDescent="0.3">
      <c r="B21" s="72">
        <v>44285</v>
      </c>
      <c r="C21" s="73">
        <v>2552.4749999999999</v>
      </c>
      <c r="D21" s="74">
        <f t="shared" si="0"/>
        <v>1.0421025261515686</v>
      </c>
      <c r="E21" s="1">
        <v>3.6948639562872726E-2</v>
      </c>
      <c r="G21" s="75">
        <v>19</v>
      </c>
      <c r="H21" s="1">
        <f t="shared" ca="1" si="1"/>
        <v>-5.9235183403981168E-3</v>
      </c>
      <c r="J21" s="78" t="s">
        <v>168</v>
      </c>
      <c r="K21" s="78"/>
      <c r="L21" s="78"/>
      <c r="M21" s="78"/>
      <c r="N21" s="79">
        <f ca="1">MIN($H$3:$H$2120)</f>
        <v>-4.2990495124762711E-2</v>
      </c>
    </row>
    <row r="22" spans="2:14" x14ac:dyDescent="0.3">
      <c r="B22" s="72">
        <v>43385</v>
      </c>
      <c r="C22" s="73">
        <v>1249.9250000000002</v>
      </c>
      <c r="D22" s="74">
        <f t="shared" si="0"/>
        <v>-0.23965873836608059</v>
      </c>
      <c r="E22" s="1">
        <v>3.6443541532784902E-2</v>
      </c>
      <c r="G22" s="75">
        <v>20</v>
      </c>
      <c r="H22" s="1">
        <f t="shared" ca="1" si="1"/>
        <v>-2.523519372147601E-2</v>
      </c>
      <c r="J22" s="78" t="s">
        <v>169</v>
      </c>
      <c r="K22" s="78"/>
      <c r="L22" s="78"/>
      <c r="M22" s="78"/>
      <c r="N22" s="79">
        <f ca="1">MAX($H$3:$H$2120)</f>
        <v>4.9085211816572112E-2</v>
      </c>
    </row>
    <row r="23" spans="2:14" x14ac:dyDescent="0.3">
      <c r="B23" s="72">
        <v>43929</v>
      </c>
      <c r="C23" s="73">
        <v>1643.9</v>
      </c>
      <c r="D23" s="74">
        <f t="shared" si="0"/>
        <v>-1.2151406525305304E-3</v>
      </c>
      <c r="E23" s="1">
        <v>3.6180271036873678E-2</v>
      </c>
      <c r="G23" s="75">
        <v>21</v>
      </c>
      <c r="H23" s="1">
        <f t="shared" ca="1" si="1"/>
        <v>1.0452671769863057E-2</v>
      </c>
      <c r="J23" s="78" t="s">
        <v>170</v>
      </c>
      <c r="K23" s="78"/>
      <c r="L23" s="78"/>
      <c r="M23" s="78"/>
      <c r="N23" s="90">
        <f>N8</f>
        <v>2605.6</v>
      </c>
    </row>
    <row r="24" spans="2:14" x14ac:dyDescent="0.3">
      <c r="B24" s="72">
        <v>43921</v>
      </c>
      <c r="C24" s="73">
        <v>1645.9</v>
      </c>
      <c r="D24" s="74">
        <f t="shared" si="0"/>
        <v>-0.26161369193154038</v>
      </c>
      <c r="E24" s="1">
        <v>3.5629453681710214E-2</v>
      </c>
      <c r="G24" s="75">
        <v>22</v>
      </c>
      <c r="H24" s="1">
        <f t="shared" ca="1" si="1"/>
        <v>-7.7310540690853878E-3</v>
      </c>
      <c r="J24" s="81"/>
      <c r="K24" s="81"/>
      <c r="L24" s="81"/>
      <c r="M24" s="81"/>
      <c r="N24" s="81"/>
    </row>
    <row r="25" spans="2:14" ht="15" thickBot="1" x14ac:dyDescent="0.35">
      <c r="B25" s="72">
        <v>45722</v>
      </c>
      <c r="C25" s="73">
        <v>2229.0500000000002</v>
      </c>
      <c r="D25" s="74">
        <f t="shared" si="0"/>
        <v>0.30332841209746975</v>
      </c>
      <c r="E25" s="1">
        <v>3.4950261749718561E-2</v>
      </c>
      <c r="G25" s="75">
        <v>23</v>
      </c>
      <c r="H25" s="1">
        <f t="shared" ca="1" si="1"/>
        <v>8.2694169337318973E-3</v>
      </c>
      <c r="J25" s="77" t="s">
        <v>171</v>
      </c>
      <c r="K25" s="83" t="s">
        <v>172</v>
      </c>
      <c r="L25" s="84" t="s">
        <v>173</v>
      </c>
      <c r="M25" s="83" t="s">
        <v>174</v>
      </c>
      <c r="N25" s="83" t="s">
        <v>175</v>
      </c>
    </row>
    <row r="26" spans="2:14" ht="15" thickTop="1" x14ac:dyDescent="0.3">
      <c r="B26" s="72">
        <v>43936</v>
      </c>
      <c r="C26" s="73">
        <v>1710.2750000000001</v>
      </c>
      <c r="D26" s="74">
        <f t="shared" si="0"/>
        <v>-0.37590315282440506</v>
      </c>
      <c r="E26" s="1">
        <v>3.4492665960985991E-2</v>
      </c>
      <c r="G26" s="75">
        <v>24</v>
      </c>
      <c r="H26" s="1">
        <f t="shared" ca="1" si="1"/>
        <v>-1.935018235035835E-2</v>
      </c>
      <c r="J26" s="85">
        <v>0.05</v>
      </c>
      <c r="K26" s="86">
        <f>100%-J26</f>
        <v>0.95</v>
      </c>
      <c r="L26" s="86">
        <f ca="1">_xlfn.PERCENTILE.INC($H$3:$H$2120,J26)</f>
        <v>-2.1510499262962474E-2</v>
      </c>
      <c r="M26" s="87">
        <f ca="1">$N$8*(1+L26)</f>
        <v>2549.5522431204249</v>
      </c>
      <c r="N26" s="87">
        <f ca="1">M26-$N$8</f>
        <v>-56.04775687957499</v>
      </c>
    </row>
    <row r="27" spans="2:14" x14ac:dyDescent="0.3">
      <c r="B27" s="72">
        <v>45973</v>
      </c>
      <c r="C27" s="73">
        <v>2740.3999999999996</v>
      </c>
      <c r="D27" s="74">
        <f t="shared" si="0"/>
        <v>-2.9792356304544278E-2</v>
      </c>
      <c r="E27" s="1">
        <v>3.4445010663797647E-2</v>
      </c>
      <c r="G27" s="75">
        <v>25</v>
      </c>
      <c r="H27" s="1">
        <f t="shared" ca="1" si="1"/>
        <v>3.7188481926471641E-3</v>
      </c>
      <c r="J27" s="88">
        <v>0.01</v>
      </c>
      <c r="K27" s="89">
        <f>100%-J27</f>
        <v>0.99</v>
      </c>
      <c r="L27" s="86">
        <f t="shared" ref="L27:L29" ca="1" si="2">_xlfn.PERCENTILE.INC($H$3:$H$2120,J27)</f>
        <v>-3.0126148746972937E-2</v>
      </c>
      <c r="M27" s="90">
        <f ca="1">$N$8*(1+L27)</f>
        <v>2527.1033068248871</v>
      </c>
      <c r="N27" s="90">
        <f ca="1">M27-$N$8</f>
        <v>-78.496693175112796</v>
      </c>
    </row>
    <row r="28" spans="2:14" x14ac:dyDescent="0.3">
      <c r="B28" s="72">
        <v>45425</v>
      </c>
      <c r="C28" s="73">
        <v>2824.55</v>
      </c>
      <c r="D28" s="74">
        <f t="shared" si="0"/>
        <v>1.6930540679201838E-2</v>
      </c>
      <c r="E28" s="1">
        <v>3.4122320464239395E-2</v>
      </c>
      <c r="G28" s="75">
        <v>26</v>
      </c>
      <c r="H28" s="1">
        <f t="shared" ca="1" si="1"/>
        <v>-1.7449370265846052E-2</v>
      </c>
      <c r="J28" s="88">
        <v>5.0000000000000001E-3</v>
      </c>
      <c r="K28" s="89">
        <f>100%-J28</f>
        <v>0.995</v>
      </c>
      <c r="L28" s="86">
        <f t="shared" ca="1" si="2"/>
        <v>-3.5301246963120286E-2</v>
      </c>
      <c r="M28" s="90">
        <f ca="1">$N$8*(1+L28)</f>
        <v>2513.6190709128937</v>
      </c>
      <c r="N28" s="90">
        <f ca="1">M28-$N$8</f>
        <v>-91.980929087106233</v>
      </c>
    </row>
    <row r="29" spans="2:14" x14ac:dyDescent="0.3">
      <c r="B29" s="72">
        <v>44629</v>
      </c>
      <c r="C29" s="73">
        <v>2777.5250000000001</v>
      </c>
      <c r="D29" s="74">
        <f t="shared" si="0"/>
        <v>1.0005221838087006</v>
      </c>
      <c r="E29" s="1">
        <v>3.3507288439892535E-2</v>
      </c>
      <c r="G29" s="75">
        <v>27</v>
      </c>
      <c r="H29" s="1">
        <f t="shared" ca="1" si="1"/>
        <v>-1.3005846518708552E-2</v>
      </c>
      <c r="J29" s="88">
        <v>0.1</v>
      </c>
      <c r="K29" s="89">
        <f>100%-J29</f>
        <v>0.9</v>
      </c>
      <c r="L29" s="86">
        <f t="shared" ca="1" si="2"/>
        <v>-1.6629681153733842E-2</v>
      </c>
      <c r="M29" s="90">
        <f ca="1">$N$8*(1+L29)</f>
        <v>2562.2697027858308</v>
      </c>
      <c r="N29" s="90">
        <f ca="1">M29-$N$8</f>
        <v>-43.33029721416915</v>
      </c>
    </row>
    <row r="30" spans="2:14" x14ac:dyDescent="0.3">
      <c r="B30" s="72">
        <v>43453</v>
      </c>
      <c r="C30" s="73">
        <v>1388.4</v>
      </c>
      <c r="D30" s="74">
        <f t="shared" si="0"/>
        <v>-0.54915124897508538</v>
      </c>
      <c r="E30" s="1">
        <v>3.2824384891484253E-2</v>
      </c>
      <c r="G30" s="75">
        <v>28</v>
      </c>
      <c r="H30" s="1">
        <f t="shared" ca="1" si="1"/>
        <v>-8.8987931884331375E-3</v>
      </c>
    </row>
    <row r="31" spans="2:14" x14ac:dyDescent="0.3">
      <c r="B31" s="72">
        <v>44397</v>
      </c>
      <c r="C31" s="73">
        <v>3079.5250000000001</v>
      </c>
      <c r="D31" s="74">
        <f t="shared" si="0"/>
        <v>0.68905373719645147</v>
      </c>
      <c r="E31" s="1">
        <v>3.2583365466829911E-2</v>
      </c>
      <c r="G31" s="75">
        <v>29</v>
      </c>
      <c r="H31" s="1">
        <f t="shared" ca="1" si="1"/>
        <v>-9.5524429680729443E-3</v>
      </c>
    </row>
    <row r="32" spans="2:14" x14ac:dyDescent="0.3">
      <c r="B32" s="72">
        <v>43944</v>
      </c>
      <c r="C32" s="73">
        <v>1823.2249999999999</v>
      </c>
      <c r="D32" s="74">
        <f t="shared" si="0"/>
        <v>-0.41754186999337117</v>
      </c>
      <c r="E32" s="1">
        <v>3.1746480865813061E-2</v>
      </c>
      <c r="G32" s="75">
        <v>30</v>
      </c>
      <c r="H32" s="1">
        <f t="shared" ca="1" si="1"/>
        <v>8.7593140432287303E-3</v>
      </c>
    </row>
    <row r="33" spans="2:8" x14ac:dyDescent="0.3">
      <c r="B33" s="72">
        <v>44672</v>
      </c>
      <c r="C33" s="73">
        <v>3130.2250000000004</v>
      </c>
      <c r="D33" s="74">
        <f t="shared" si="0"/>
        <v>0.66865238019084183</v>
      </c>
      <c r="E33" s="1">
        <v>3.1460581596507248E-2</v>
      </c>
      <c r="G33" s="75">
        <v>31</v>
      </c>
      <c r="H33" s="1">
        <f t="shared" ca="1" si="1"/>
        <v>-1.2897971392907468E-2</v>
      </c>
    </row>
    <row r="34" spans="2:8" x14ac:dyDescent="0.3">
      <c r="B34" s="72">
        <v>43865</v>
      </c>
      <c r="C34" s="73">
        <v>1875.9</v>
      </c>
      <c r="D34" s="74">
        <f t="shared" si="0"/>
        <v>-2.6517903476907061E-2</v>
      </c>
      <c r="E34" s="1">
        <v>3.1309271832650733E-2</v>
      </c>
      <c r="G34" s="75">
        <v>32</v>
      </c>
      <c r="H34" s="1">
        <f t="shared" ca="1" si="1"/>
        <v>-4.0030527845641367E-3</v>
      </c>
    </row>
    <row r="35" spans="2:8" x14ac:dyDescent="0.3">
      <c r="B35" s="72">
        <v>44064</v>
      </c>
      <c r="C35" s="73">
        <v>1927</v>
      </c>
      <c r="D35" s="74">
        <f t="shared" si="0"/>
        <v>0.5283037573113909</v>
      </c>
      <c r="E35" s="1">
        <v>3.1294737827965859E-2</v>
      </c>
      <c r="G35" s="75">
        <v>33</v>
      </c>
      <c r="H35" s="1">
        <f t="shared" ca="1" si="1"/>
        <v>2.3228536118180734E-3</v>
      </c>
    </row>
    <row r="36" spans="2:8" x14ac:dyDescent="0.3">
      <c r="B36" s="72">
        <v>43231</v>
      </c>
      <c r="C36" s="73">
        <v>1260.875</v>
      </c>
      <c r="D36" s="74">
        <f t="shared" si="0"/>
        <v>-0.20709659162369515</v>
      </c>
      <c r="E36" s="1">
        <v>3.1179717849110611E-2</v>
      </c>
      <c r="G36" s="75">
        <v>34</v>
      </c>
      <c r="H36" s="1">
        <f t="shared" ca="1" si="1"/>
        <v>1.301856321136161E-3</v>
      </c>
    </row>
    <row r="37" spans="2:8" x14ac:dyDescent="0.3">
      <c r="B37" s="72">
        <v>43973</v>
      </c>
      <c r="C37" s="73">
        <v>1590.2</v>
      </c>
      <c r="D37" s="74">
        <f t="shared" si="0"/>
        <v>0.17210879339573965</v>
      </c>
      <c r="E37" s="1">
        <v>3.1090938563786703E-2</v>
      </c>
      <c r="G37" s="75">
        <v>35</v>
      </c>
      <c r="H37" s="1">
        <f t="shared" ca="1" si="1"/>
        <v>7.9730345406555363E-3</v>
      </c>
    </row>
    <row r="38" spans="2:8" x14ac:dyDescent="0.3">
      <c r="B38" s="72">
        <v>43605</v>
      </c>
      <c r="C38" s="73">
        <v>1356.7</v>
      </c>
      <c r="D38" s="74">
        <f t="shared" si="0"/>
        <v>-0.45251306470813746</v>
      </c>
      <c r="E38" s="1">
        <v>3.1024983376080589E-2</v>
      </c>
      <c r="G38" s="75">
        <v>36</v>
      </c>
      <c r="H38" s="1">
        <f t="shared" ca="1" si="1"/>
        <v>1.6237550481647989E-2</v>
      </c>
    </row>
    <row r="39" spans="2:8" x14ac:dyDescent="0.3">
      <c r="B39" s="72">
        <v>44236</v>
      </c>
      <c r="C39" s="73">
        <v>2478.0500000000002</v>
      </c>
      <c r="D39" s="74">
        <f t="shared" si="0"/>
        <v>0.71198120865645376</v>
      </c>
      <c r="E39" s="1">
        <v>3.0738514651748056E-2</v>
      </c>
      <c r="G39" s="75">
        <v>37</v>
      </c>
      <c r="H39" s="1">
        <f t="shared" ca="1" si="1"/>
        <v>1.0220682687024148E-2</v>
      </c>
    </row>
    <row r="40" spans="2:8" x14ac:dyDescent="0.3">
      <c r="B40" s="72">
        <v>43619</v>
      </c>
      <c r="C40" s="73">
        <v>1447.4749999999999</v>
      </c>
      <c r="D40" s="74">
        <f t="shared" si="0"/>
        <v>-0.3583460779750427</v>
      </c>
      <c r="E40" s="1">
        <v>3.0598077607689504E-2</v>
      </c>
      <c r="G40" s="75">
        <v>38</v>
      </c>
      <c r="H40" s="1">
        <f t="shared" ca="1" si="1"/>
        <v>2.447357203279554E-2</v>
      </c>
    </row>
    <row r="41" spans="2:8" x14ac:dyDescent="0.3">
      <c r="B41" s="72">
        <v>46106</v>
      </c>
      <c r="C41" s="73">
        <v>2255.85</v>
      </c>
      <c r="D41" s="74">
        <f t="shared" si="0"/>
        <v>0.37679854742977464</v>
      </c>
      <c r="E41" s="1">
        <v>3.0586139156653942E-2</v>
      </c>
      <c r="G41" s="75">
        <v>39</v>
      </c>
      <c r="H41" s="1">
        <f t="shared" ca="1" si="1"/>
        <v>-5.7555038614852186E-3</v>
      </c>
    </row>
    <row r="42" spans="2:8" x14ac:dyDescent="0.3">
      <c r="B42" s="72">
        <v>43977</v>
      </c>
      <c r="C42" s="73">
        <v>1638.4749999999999</v>
      </c>
      <c r="D42" s="74">
        <f t="shared" si="0"/>
        <v>0.29380527479469343</v>
      </c>
      <c r="E42" s="1">
        <v>3.0357816626839305E-2</v>
      </c>
      <c r="G42" s="75">
        <v>40</v>
      </c>
      <c r="H42" s="1">
        <f t="shared" ca="1" si="1"/>
        <v>6.3784157043923597E-3</v>
      </c>
    </row>
    <row r="43" spans="2:8" x14ac:dyDescent="0.3">
      <c r="B43" s="72">
        <v>43406</v>
      </c>
      <c r="C43" s="73">
        <v>1266.4000000000001</v>
      </c>
      <c r="D43" s="74">
        <f t="shared" si="0"/>
        <v>-0.60658589624106862</v>
      </c>
      <c r="E43" s="1">
        <v>3.0179777108923889E-2</v>
      </c>
      <c r="G43" s="75">
        <v>41</v>
      </c>
      <c r="H43" s="1">
        <f t="shared" ca="1" si="1"/>
        <v>-1.5508661152532849E-3</v>
      </c>
    </row>
    <row r="44" spans="2:8" x14ac:dyDescent="0.3">
      <c r="B44" s="72">
        <v>44679</v>
      </c>
      <c r="C44" s="73">
        <v>3219</v>
      </c>
      <c r="D44" s="74">
        <f t="shared" si="0"/>
        <v>0.16800769237747082</v>
      </c>
      <c r="E44" s="1">
        <v>3.0088240705925678E-2</v>
      </c>
      <c r="G44" s="75">
        <v>42</v>
      </c>
      <c r="H44" s="1">
        <f t="shared" ca="1" si="1"/>
        <v>1.0412765318218904E-2</v>
      </c>
    </row>
    <row r="45" spans="2:8" x14ac:dyDescent="0.3">
      <c r="B45" s="72">
        <v>44217</v>
      </c>
      <c r="C45" s="73">
        <v>2755.9749999999999</v>
      </c>
      <c r="D45" s="74">
        <f t="shared" si="0"/>
        <v>0.17920330316838876</v>
      </c>
      <c r="E45" s="1">
        <v>2.9847539329621291E-2</v>
      </c>
      <c r="G45" s="75">
        <v>43</v>
      </c>
      <c r="H45" s="1">
        <f t="shared" ca="1" si="1"/>
        <v>-6.264048230406721E-3</v>
      </c>
    </row>
    <row r="46" spans="2:8" x14ac:dyDescent="0.3">
      <c r="B46" s="72">
        <v>45689</v>
      </c>
      <c r="C46" s="73">
        <v>2337.15</v>
      </c>
      <c r="D46" s="74">
        <f t="shared" si="0"/>
        <v>-0.25088945158498671</v>
      </c>
      <c r="E46" s="1">
        <v>2.9615515931143057E-2</v>
      </c>
      <c r="G46" s="75">
        <v>44</v>
      </c>
      <c r="H46" s="1">
        <f t="shared" ca="1" si="1"/>
        <v>-1.0835816743485549E-2</v>
      </c>
    </row>
    <row r="47" spans="2:8" x14ac:dyDescent="0.3">
      <c r="B47" s="72">
        <v>44637</v>
      </c>
      <c r="C47" s="73">
        <v>3119.9</v>
      </c>
      <c r="D47" s="74">
        <f t="shared" si="0"/>
        <v>1.4319594660430675</v>
      </c>
      <c r="E47" s="1">
        <v>2.9542548364476375E-2</v>
      </c>
      <c r="G47" s="75">
        <v>45</v>
      </c>
      <c r="H47" s="1">
        <f t="shared" ca="1" si="1"/>
        <v>-9.2857693041752606E-3</v>
      </c>
    </row>
    <row r="48" spans="2:8" x14ac:dyDescent="0.3">
      <c r="B48" s="72">
        <v>43413</v>
      </c>
      <c r="C48" s="73">
        <v>1282.875</v>
      </c>
      <c r="D48" s="74">
        <f t="shared" si="0"/>
        <v>-0.51165778454510846</v>
      </c>
      <c r="E48" s="1">
        <v>2.909914968714912E-2</v>
      </c>
      <c r="G48" s="75">
        <v>46</v>
      </c>
      <c r="H48" s="1">
        <f t="shared" ca="1" si="1"/>
        <v>2.7416080681684302E-2</v>
      </c>
    </row>
    <row r="49" spans="2:8" x14ac:dyDescent="0.3">
      <c r="B49" s="72">
        <v>44188</v>
      </c>
      <c r="C49" s="73">
        <v>2627</v>
      </c>
      <c r="D49" s="74">
        <f t="shared" si="0"/>
        <v>0.49891589638251749</v>
      </c>
      <c r="E49" s="1">
        <v>2.8220282594230841E-2</v>
      </c>
      <c r="G49" s="75">
        <v>47</v>
      </c>
      <c r="H49" s="1">
        <f t="shared" ca="1" si="1"/>
        <v>1.6733668880328439E-2</v>
      </c>
    </row>
    <row r="50" spans="2:8" x14ac:dyDescent="0.3">
      <c r="B50" s="72">
        <v>44039</v>
      </c>
      <c r="C50" s="73">
        <v>1752.6</v>
      </c>
      <c r="D50" s="74">
        <f t="shared" si="0"/>
        <v>-0.33553230209281165</v>
      </c>
      <c r="E50" s="1">
        <v>2.8219419184511534E-2</v>
      </c>
      <c r="G50" s="75">
        <v>48</v>
      </c>
      <c r="H50" s="1">
        <f t="shared" ca="1" si="1"/>
        <v>2.2598181386014674E-3</v>
      </c>
    </row>
    <row r="51" spans="2:8" x14ac:dyDescent="0.3">
      <c r="B51" s="72">
        <v>44302</v>
      </c>
      <c r="C51" s="73">
        <v>2637.6</v>
      </c>
      <c r="D51" s="74">
        <f t="shared" si="0"/>
        <v>-0.18475589967082387</v>
      </c>
      <c r="E51" s="1">
        <v>2.819385835826561E-2</v>
      </c>
      <c r="G51" s="75">
        <v>49</v>
      </c>
      <c r="H51" s="1">
        <f t="shared" ca="1" si="1"/>
        <v>-3.1062061530812203E-3</v>
      </c>
    </row>
    <row r="52" spans="2:8" x14ac:dyDescent="0.3">
      <c r="B52" s="72">
        <v>44540</v>
      </c>
      <c r="C52" s="73">
        <v>3235.35</v>
      </c>
      <c r="D52" s="74">
        <f t="shared" si="0"/>
        <v>0.22826798781355889</v>
      </c>
      <c r="E52" s="1">
        <v>2.8066189496429108E-2</v>
      </c>
      <c r="G52" s="75">
        <v>50</v>
      </c>
      <c r="H52" s="1">
        <f t="shared" ca="1" si="1"/>
        <v>2.2213990649485888E-2</v>
      </c>
    </row>
    <row r="53" spans="2:8" x14ac:dyDescent="0.3">
      <c r="B53" s="72">
        <v>44293</v>
      </c>
      <c r="C53" s="73">
        <v>2634.0749999999998</v>
      </c>
      <c r="D53" s="74">
        <f t="shared" si="0"/>
        <v>7.7463492453061736E-2</v>
      </c>
      <c r="E53" s="1">
        <v>2.8032003122255757E-2</v>
      </c>
      <c r="G53" s="75">
        <v>51</v>
      </c>
      <c r="H53" s="1">
        <f t="shared" ca="1" si="1"/>
        <v>1.7125304262083856E-2</v>
      </c>
    </row>
    <row r="54" spans="2:8" x14ac:dyDescent="0.3">
      <c r="B54" s="72">
        <v>45841</v>
      </c>
      <c r="C54" s="73">
        <v>2444.6999999999998</v>
      </c>
      <c r="D54" s="74">
        <f t="shared" si="0"/>
        <v>-5.9079362635670853E-2</v>
      </c>
      <c r="E54" s="1">
        <v>2.7832667647677032E-2</v>
      </c>
      <c r="G54" s="75">
        <v>52</v>
      </c>
      <c r="H54" s="1">
        <f t="shared" ca="1" si="1"/>
        <v>9.355622740853128E-3</v>
      </c>
    </row>
    <row r="55" spans="2:8" x14ac:dyDescent="0.3">
      <c r="B55" s="72">
        <v>46155</v>
      </c>
      <c r="C55" s="73">
        <v>2598.1999999999998</v>
      </c>
      <c r="D55" s="74">
        <f t="shared" si="0"/>
        <v>0.82598917703282004</v>
      </c>
      <c r="E55" s="1">
        <v>2.7829974088652377E-2</v>
      </c>
      <c r="G55" s="75">
        <v>53</v>
      </c>
      <c r="H55" s="1">
        <f t="shared" ca="1" si="1"/>
        <v>2.0014178636736098E-2</v>
      </c>
    </row>
    <row r="56" spans="2:8" x14ac:dyDescent="0.3">
      <c r="B56" s="72">
        <v>43669</v>
      </c>
      <c r="C56" s="73">
        <v>1422.9</v>
      </c>
      <c r="D56" s="74">
        <f t="shared" si="0"/>
        <v>-0.55961002785515312</v>
      </c>
      <c r="E56" s="1">
        <v>2.7717087087629329E-2</v>
      </c>
      <c r="G56" s="75">
        <v>54</v>
      </c>
      <c r="H56" s="1">
        <f t="shared" ca="1" si="1"/>
        <v>-8.0523560655973488E-3</v>
      </c>
    </row>
    <row r="57" spans="2:8" x14ac:dyDescent="0.3">
      <c r="B57" s="72">
        <v>44770</v>
      </c>
      <c r="C57" s="73">
        <v>3231</v>
      </c>
      <c r="D57" s="74">
        <f t="shared" si="0"/>
        <v>0.88272998761745214</v>
      </c>
      <c r="E57" s="1">
        <v>2.7508347909047545E-2</v>
      </c>
      <c r="G57" s="75">
        <v>55</v>
      </c>
      <c r="H57" s="1">
        <f t="shared" ca="1" si="1"/>
        <v>1.4744543168378589E-2</v>
      </c>
    </row>
    <row r="58" spans="2:8" x14ac:dyDescent="0.3">
      <c r="B58" s="72">
        <v>44029</v>
      </c>
      <c r="C58" s="73">
        <v>1716.125</v>
      </c>
      <c r="D58" s="74">
        <f t="shared" si="0"/>
        <v>0.19966794826983572</v>
      </c>
      <c r="E58" s="1">
        <v>2.6943330740231041E-2</v>
      </c>
      <c r="G58" s="75">
        <v>56</v>
      </c>
      <c r="H58" s="1">
        <f t="shared" ca="1" si="1"/>
        <v>-5.2663168133367218E-3</v>
      </c>
    </row>
    <row r="59" spans="2:8" x14ac:dyDescent="0.3">
      <c r="B59" s="72">
        <v>43304</v>
      </c>
      <c r="C59" s="73">
        <v>1430.5</v>
      </c>
      <c r="D59" s="74">
        <f t="shared" si="0"/>
        <v>-0.39121183104585594</v>
      </c>
      <c r="E59" s="1">
        <v>2.6828174069089279E-2</v>
      </c>
      <c r="G59" s="75">
        <v>57</v>
      </c>
      <c r="H59" s="1">
        <f t="shared" ca="1" si="1"/>
        <v>-1.4006598821761839E-2</v>
      </c>
    </row>
    <row r="60" spans="2:8" x14ac:dyDescent="0.3">
      <c r="B60" s="72">
        <v>45789</v>
      </c>
      <c r="C60" s="73">
        <v>2349.75</v>
      </c>
      <c r="D60" s="74">
        <f t="shared" si="0"/>
        <v>6.5742924528301799E-2</v>
      </c>
      <c r="E60" s="1">
        <v>2.6809124278972168E-2</v>
      </c>
      <c r="G60" s="75">
        <v>58</v>
      </c>
      <c r="H60" s="1">
        <f t="shared" ca="1" si="1"/>
        <v>-6.9075637939979301E-3</v>
      </c>
    </row>
    <row r="61" spans="2:8" x14ac:dyDescent="0.3">
      <c r="B61" s="72">
        <v>44162</v>
      </c>
      <c r="C61" s="73">
        <v>2204.8000000000002</v>
      </c>
      <c r="D61" s="74">
        <f t="shared" si="0"/>
        <v>-0.28586582452730874</v>
      </c>
      <c r="E61" s="1">
        <v>2.6777813998975455E-2</v>
      </c>
      <c r="G61" s="75">
        <v>59</v>
      </c>
      <c r="H61" s="1">
        <f t="shared" ca="1" si="1"/>
        <v>-1.6799048420534854E-2</v>
      </c>
    </row>
    <row r="62" spans="2:8" x14ac:dyDescent="0.3">
      <c r="B62" s="72">
        <v>44691</v>
      </c>
      <c r="C62" s="73">
        <v>3087.375</v>
      </c>
      <c r="D62" s="74">
        <f t="shared" si="0"/>
        <v>-5.3953638021112575E-2</v>
      </c>
      <c r="E62" s="1">
        <v>2.6763444078619143E-2</v>
      </c>
      <c r="G62" s="75">
        <v>60</v>
      </c>
      <c r="H62" s="1">
        <f t="shared" ca="1" si="1"/>
        <v>3.4577875251496121E-3</v>
      </c>
    </row>
    <row r="63" spans="2:8" x14ac:dyDescent="0.3">
      <c r="B63" s="72">
        <v>44615</v>
      </c>
      <c r="C63" s="73">
        <v>3263.45</v>
      </c>
      <c r="D63" s="74">
        <f t="shared" si="0"/>
        <v>1.4723574310119509</v>
      </c>
      <c r="E63" s="1">
        <v>2.6758746539139101E-2</v>
      </c>
      <c r="G63" s="75">
        <v>61</v>
      </c>
      <c r="H63" s="1">
        <f t="shared" ca="1" si="1"/>
        <v>9.8997577763316625E-3</v>
      </c>
    </row>
    <row r="64" spans="2:8" x14ac:dyDescent="0.3">
      <c r="B64" s="72">
        <v>43418</v>
      </c>
      <c r="C64" s="73">
        <v>1319.9749999999999</v>
      </c>
      <c r="D64" s="74">
        <f t="shared" si="0"/>
        <v>-0.60854833926453145</v>
      </c>
      <c r="E64" s="1">
        <v>2.6000272050679011E-2</v>
      </c>
      <c r="G64" s="75">
        <v>62</v>
      </c>
      <c r="H64" s="1">
        <f t="shared" ca="1" si="1"/>
        <v>-8.8666790829839883E-3</v>
      </c>
    </row>
    <row r="65" spans="2:8" x14ac:dyDescent="0.3">
      <c r="B65" s="72">
        <v>44824</v>
      </c>
      <c r="C65" s="73">
        <v>3372</v>
      </c>
      <c r="D65" s="74">
        <f t="shared" si="0"/>
        <v>1.7294304871518267E-2</v>
      </c>
      <c r="E65" s="1">
        <v>2.5953083640125409E-2</v>
      </c>
      <c r="G65" s="75">
        <v>63</v>
      </c>
      <c r="H65" s="1">
        <f t="shared" ca="1" si="1"/>
        <v>7.4929071272454798E-3</v>
      </c>
    </row>
    <row r="66" spans="2:8" x14ac:dyDescent="0.3">
      <c r="B66" s="72">
        <v>44771</v>
      </c>
      <c r="C66" s="73">
        <v>3314.6750000000002</v>
      </c>
      <c r="D66" s="74">
        <f t="shared" si="0"/>
        <v>1.149246231155779</v>
      </c>
      <c r="E66" s="1">
        <v>2.5897554936552207E-2</v>
      </c>
      <c r="G66" s="75">
        <v>64</v>
      </c>
      <c r="H66" s="1">
        <f t="shared" ca="1" si="1"/>
        <v>-2.3429526314635855E-2</v>
      </c>
    </row>
    <row r="67" spans="2:8" x14ac:dyDescent="0.3">
      <c r="B67" s="72">
        <v>43972</v>
      </c>
      <c r="C67" s="73">
        <v>1542.25</v>
      </c>
      <c r="D67" s="74">
        <f t="shared" ref="D67:D130" si="3">(C67-C68)/C68</f>
        <v>4.1040872118532648E-2</v>
      </c>
      <c r="E67" s="1">
        <v>2.5892604726190246E-2</v>
      </c>
      <c r="G67" s="75">
        <v>65</v>
      </c>
      <c r="H67" s="1">
        <f t="shared" ca="1" si="1"/>
        <v>-7.2512297134800108E-3</v>
      </c>
    </row>
    <row r="68" spans="2:8" x14ac:dyDescent="0.3">
      <c r="B68" s="72">
        <v>43671</v>
      </c>
      <c r="C68" s="73">
        <v>1481.4499999999998</v>
      </c>
      <c r="D68" s="74">
        <f t="shared" si="3"/>
        <v>-0.56592951793549529</v>
      </c>
      <c r="E68" s="1">
        <v>2.5704048604019019E-2</v>
      </c>
      <c r="G68" s="75">
        <v>66</v>
      </c>
      <c r="H68" s="1">
        <f t="shared" ref="H68:H131" ca="1" si="4">_xlfn.NORM.INV(RAND(),$N$4,$N$5)</f>
        <v>8.5204199473767602E-4</v>
      </c>
    </row>
    <row r="69" spans="2:8" x14ac:dyDescent="0.3">
      <c r="B69" s="72">
        <v>44463</v>
      </c>
      <c r="C69" s="73">
        <v>3412.9250000000002</v>
      </c>
      <c r="D69" s="74">
        <f t="shared" si="3"/>
        <v>1.3718574630366418</v>
      </c>
      <c r="E69" s="1">
        <v>2.5672426746806965E-2</v>
      </c>
      <c r="G69" s="75">
        <v>67</v>
      </c>
      <c r="H69" s="1">
        <f t="shared" ca="1" si="4"/>
        <v>-1.0111692636720579E-2</v>
      </c>
    </row>
    <row r="70" spans="2:8" x14ac:dyDescent="0.3">
      <c r="B70" s="72">
        <v>43497</v>
      </c>
      <c r="C70" s="73">
        <v>1438.9250000000002</v>
      </c>
      <c r="D70" s="74">
        <f t="shared" si="3"/>
        <v>-0.32953976260090623</v>
      </c>
      <c r="E70" s="1">
        <v>2.5587569715436354E-2</v>
      </c>
      <c r="G70" s="75">
        <v>68</v>
      </c>
      <c r="H70" s="1">
        <f t="shared" ca="1" si="4"/>
        <v>-1.1131461554983046E-2</v>
      </c>
    </row>
    <row r="71" spans="2:8" x14ac:dyDescent="0.3">
      <c r="B71" s="72">
        <v>44131</v>
      </c>
      <c r="C71" s="73">
        <v>2146.1750000000002</v>
      </c>
      <c r="D71" s="74">
        <f t="shared" si="3"/>
        <v>5.9656355691608993E-2</v>
      </c>
      <c r="E71" s="1">
        <v>2.530814064590119E-2</v>
      </c>
      <c r="G71" s="75">
        <v>69</v>
      </c>
      <c r="H71" s="1">
        <f t="shared" ca="1" si="4"/>
        <v>-7.9036532952133625E-3</v>
      </c>
    </row>
    <row r="72" spans="2:8" x14ac:dyDescent="0.3">
      <c r="B72" s="72">
        <v>44084</v>
      </c>
      <c r="C72" s="73">
        <v>2025.35</v>
      </c>
      <c r="D72" s="74">
        <f t="shared" si="3"/>
        <v>-0.27299322474985421</v>
      </c>
      <c r="E72" s="1">
        <v>2.5000632607100313E-2</v>
      </c>
      <c r="G72" s="75">
        <v>70</v>
      </c>
      <c r="H72" s="1">
        <f t="shared" ca="1" si="4"/>
        <v>5.4850562190264874E-3</v>
      </c>
    </row>
    <row r="73" spans="2:8" x14ac:dyDescent="0.3">
      <c r="B73" s="72">
        <v>44333</v>
      </c>
      <c r="C73" s="73">
        <v>2785.875</v>
      </c>
      <c r="D73" s="74">
        <f t="shared" si="3"/>
        <v>0.58468430034129693</v>
      </c>
      <c r="E73" s="1">
        <v>2.4821586227192431E-2</v>
      </c>
      <c r="G73" s="75">
        <v>71</v>
      </c>
      <c r="H73" s="1">
        <f t="shared" ca="1" si="4"/>
        <v>5.8341026572912682E-3</v>
      </c>
    </row>
    <row r="74" spans="2:8" x14ac:dyDescent="0.3">
      <c r="B74" s="72">
        <v>43839</v>
      </c>
      <c r="C74" s="73">
        <v>1758</v>
      </c>
      <c r="D74" s="74">
        <f t="shared" si="3"/>
        <v>-0.42873854552544355</v>
      </c>
      <c r="E74" s="1">
        <v>2.4774118332847567E-2</v>
      </c>
      <c r="G74" s="75">
        <v>72</v>
      </c>
      <c r="H74" s="1">
        <f t="shared" ca="1" si="4"/>
        <v>-3.6544154086655461E-3</v>
      </c>
    </row>
    <row r="75" spans="2:8" x14ac:dyDescent="0.3">
      <c r="B75" s="72">
        <v>44699</v>
      </c>
      <c r="C75" s="73">
        <v>3077.4</v>
      </c>
      <c r="D75" s="74">
        <f t="shared" si="3"/>
        <v>-2.5067122864542494E-2</v>
      </c>
      <c r="E75" s="1">
        <v>2.450229709035219E-2</v>
      </c>
      <c r="G75" s="75">
        <v>73</v>
      </c>
      <c r="H75" s="1">
        <f t="shared" ca="1" si="4"/>
        <v>-2.4496797248842527E-2</v>
      </c>
    </row>
    <row r="76" spans="2:8" x14ac:dyDescent="0.3">
      <c r="B76" s="72">
        <v>44439</v>
      </c>
      <c r="C76" s="73">
        <v>3156.5250000000001</v>
      </c>
      <c r="D76" s="74">
        <f t="shared" si="3"/>
        <v>0.28418429617575269</v>
      </c>
      <c r="E76" s="1">
        <v>2.4463268584781657E-2</v>
      </c>
      <c r="G76" s="75">
        <v>74</v>
      </c>
      <c r="H76" s="1">
        <f t="shared" ca="1" si="4"/>
        <v>2.7581681694142667E-2</v>
      </c>
    </row>
    <row r="77" spans="2:8" x14ac:dyDescent="0.3">
      <c r="B77" s="72">
        <v>46056</v>
      </c>
      <c r="C77" s="73">
        <v>2458</v>
      </c>
      <c r="D77" s="74">
        <f t="shared" si="3"/>
        <v>0.49082638362395753</v>
      </c>
      <c r="E77" s="1">
        <v>2.3846714568364052E-2</v>
      </c>
      <c r="G77" s="75">
        <v>75</v>
      </c>
      <c r="H77" s="1">
        <f t="shared" ca="1" si="4"/>
        <v>-1.6073170406544691E-2</v>
      </c>
    </row>
    <row r="78" spans="2:8" x14ac:dyDescent="0.3">
      <c r="B78" s="72">
        <v>44004</v>
      </c>
      <c r="C78" s="73">
        <v>1648.75</v>
      </c>
      <c r="D78" s="74">
        <f t="shared" si="3"/>
        <v>-0.43232681448836252</v>
      </c>
      <c r="E78" s="1">
        <v>2.3734496515111475E-2</v>
      </c>
      <c r="G78" s="75">
        <v>76</v>
      </c>
      <c r="H78" s="1">
        <f t="shared" ca="1" si="4"/>
        <v>2.4488217260659788E-4</v>
      </c>
    </row>
    <row r="79" spans="2:8" x14ac:dyDescent="0.3">
      <c r="B79" s="72">
        <v>44749</v>
      </c>
      <c r="C79" s="73">
        <v>2904.4</v>
      </c>
      <c r="D79" s="74">
        <f t="shared" si="3"/>
        <v>-0.13825612876905385</v>
      </c>
      <c r="E79" s="1">
        <v>2.3730426583717483E-2</v>
      </c>
      <c r="G79" s="75">
        <v>77</v>
      </c>
      <c r="H79" s="1">
        <f t="shared" ca="1" si="4"/>
        <v>-2.7750375197947239E-2</v>
      </c>
    </row>
    <row r="80" spans="2:8" x14ac:dyDescent="0.3">
      <c r="B80" s="72">
        <v>44803</v>
      </c>
      <c r="C80" s="73">
        <v>3370.375</v>
      </c>
      <c r="D80" s="74">
        <f t="shared" si="3"/>
        <v>1.5445914573148862</v>
      </c>
      <c r="E80" s="1">
        <v>2.3644467392047251E-2</v>
      </c>
      <c r="G80" s="75">
        <v>78</v>
      </c>
      <c r="H80" s="1">
        <f t="shared" ca="1" si="4"/>
        <v>-1.0341677686535494E-2</v>
      </c>
    </row>
    <row r="81" spans="2:8" x14ac:dyDescent="0.3">
      <c r="B81" s="72">
        <v>43446</v>
      </c>
      <c r="C81" s="73">
        <v>1324.5250000000001</v>
      </c>
      <c r="D81" s="74">
        <f t="shared" si="3"/>
        <v>-0.25046332319445419</v>
      </c>
      <c r="E81" s="1">
        <v>2.3352391253959597E-2</v>
      </c>
      <c r="G81" s="75">
        <v>79</v>
      </c>
      <c r="H81" s="1">
        <f t="shared" ca="1" si="4"/>
        <v>5.5210194037702163E-4</v>
      </c>
    </row>
    <row r="82" spans="2:8" x14ac:dyDescent="0.3">
      <c r="B82" s="72">
        <v>43943</v>
      </c>
      <c r="C82" s="73">
        <v>1767.125</v>
      </c>
      <c r="D82" s="74">
        <f t="shared" si="3"/>
        <v>-0.3064250250210962</v>
      </c>
      <c r="E82" s="1">
        <v>2.3248744191433052E-2</v>
      </c>
      <c r="G82" s="75">
        <v>80</v>
      </c>
      <c r="H82" s="1">
        <f t="shared" ca="1" si="4"/>
        <v>-2.9366522925228091E-2</v>
      </c>
    </row>
    <row r="83" spans="2:8" x14ac:dyDescent="0.3">
      <c r="B83" s="72">
        <v>46133</v>
      </c>
      <c r="C83" s="73">
        <v>2547.85</v>
      </c>
      <c r="D83" s="74">
        <f t="shared" si="3"/>
        <v>0.81406194375222496</v>
      </c>
      <c r="E83" s="1">
        <v>2.3171294901913466E-2</v>
      </c>
      <c r="G83" s="75">
        <v>81</v>
      </c>
      <c r="H83" s="1">
        <f t="shared" ca="1" si="4"/>
        <v>-1.9488502805271282E-2</v>
      </c>
    </row>
    <row r="84" spans="2:8" x14ac:dyDescent="0.3">
      <c r="B84" s="72">
        <v>43616</v>
      </c>
      <c r="C84" s="73">
        <v>1404.5</v>
      </c>
      <c r="D84" s="74">
        <f t="shared" si="3"/>
        <v>-0.55370548375052631</v>
      </c>
      <c r="E84" s="1">
        <v>2.2979715211770241E-2</v>
      </c>
      <c r="G84" s="75">
        <v>82</v>
      </c>
      <c r="H84" s="1">
        <f t="shared" ca="1" si="4"/>
        <v>2.1885481171569584E-4</v>
      </c>
    </row>
    <row r="85" spans="2:8" x14ac:dyDescent="0.3">
      <c r="B85" s="72">
        <v>44539</v>
      </c>
      <c r="C85" s="73">
        <v>3147.0250000000001</v>
      </c>
      <c r="D85" s="74">
        <f t="shared" si="3"/>
        <v>0.35513284244068372</v>
      </c>
      <c r="E85" s="1">
        <v>2.2757556061098503E-2</v>
      </c>
      <c r="G85" s="75">
        <v>83</v>
      </c>
      <c r="H85" s="1">
        <f t="shared" ca="1" si="4"/>
        <v>1.0376658610241786E-2</v>
      </c>
    </row>
    <row r="86" spans="2:8" x14ac:dyDescent="0.3">
      <c r="B86" s="72">
        <v>46122</v>
      </c>
      <c r="C86" s="73">
        <v>2322.3000000000002</v>
      </c>
      <c r="D86" s="74">
        <f t="shared" si="3"/>
        <v>-6.1564261612753281E-2</v>
      </c>
      <c r="E86" s="1">
        <v>2.2679231988726439E-2</v>
      </c>
      <c r="G86" s="75">
        <v>84</v>
      </c>
      <c r="H86" s="1">
        <f t="shared" ca="1" si="4"/>
        <v>4.3235139998846206E-3</v>
      </c>
    </row>
    <row r="87" spans="2:8" x14ac:dyDescent="0.3">
      <c r="B87" s="72">
        <v>46146</v>
      </c>
      <c r="C87" s="73">
        <v>2474.65</v>
      </c>
      <c r="D87" s="74">
        <f t="shared" si="3"/>
        <v>0.78009962774470853</v>
      </c>
      <c r="E87" s="1">
        <v>2.2286941793696152E-2</v>
      </c>
      <c r="G87" s="75">
        <v>85</v>
      </c>
      <c r="H87" s="1">
        <f t="shared" ca="1" si="4"/>
        <v>1.7042468518515309E-2</v>
      </c>
    </row>
    <row r="88" spans="2:8" x14ac:dyDescent="0.3">
      <c r="B88" s="72">
        <v>43663</v>
      </c>
      <c r="C88" s="73">
        <v>1390.175</v>
      </c>
      <c r="D88" s="74">
        <f t="shared" si="3"/>
        <v>-0.32890417571807873</v>
      </c>
      <c r="E88" s="1">
        <v>2.2187499999999968E-2</v>
      </c>
      <c r="G88" s="75">
        <v>86</v>
      </c>
      <c r="H88" s="1">
        <f t="shared" ca="1" si="4"/>
        <v>1.8388998951951781E-2</v>
      </c>
    </row>
    <row r="89" spans="2:8" x14ac:dyDescent="0.3">
      <c r="B89" s="72">
        <v>44110</v>
      </c>
      <c r="C89" s="73">
        <v>2071.5</v>
      </c>
      <c r="D89" s="74">
        <f t="shared" si="3"/>
        <v>-0.37340723992165697</v>
      </c>
      <c r="E89" s="1">
        <v>2.2029257221797417E-2</v>
      </c>
      <c r="G89" s="75">
        <v>87</v>
      </c>
      <c r="H89" s="1">
        <f t="shared" ca="1" si="4"/>
        <v>1.506168179868839E-2</v>
      </c>
    </row>
    <row r="90" spans="2:8" x14ac:dyDescent="0.3">
      <c r="B90" s="72">
        <v>44543</v>
      </c>
      <c r="C90" s="73">
        <v>3305.9749999999999</v>
      </c>
      <c r="D90" s="74">
        <f t="shared" si="3"/>
        <v>3.7347620765936111E-2</v>
      </c>
      <c r="E90" s="1">
        <v>2.1829168405273002E-2</v>
      </c>
      <c r="G90" s="75">
        <v>88</v>
      </c>
      <c r="H90" s="1">
        <f t="shared" ca="1" si="4"/>
        <v>-5.0510960206090333E-3</v>
      </c>
    </row>
    <row r="91" spans="2:8" x14ac:dyDescent="0.3">
      <c r="B91" s="72">
        <v>45247</v>
      </c>
      <c r="C91" s="73">
        <v>3186.95</v>
      </c>
      <c r="D91" s="74">
        <f t="shared" si="3"/>
        <v>-8.4834344377041584E-2</v>
      </c>
      <c r="E91" s="1">
        <v>2.1703935240843093E-2</v>
      </c>
      <c r="G91" s="75">
        <v>89</v>
      </c>
      <c r="H91" s="1">
        <f t="shared" ca="1" si="4"/>
        <v>3.9923415774776559E-3</v>
      </c>
    </row>
    <row r="92" spans="2:8" x14ac:dyDescent="0.3">
      <c r="B92" s="72">
        <v>44789</v>
      </c>
      <c r="C92" s="73">
        <v>3482.375</v>
      </c>
      <c r="D92" s="74">
        <f t="shared" si="3"/>
        <v>0.98380710949071426</v>
      </c>
      <c r="E92" s="1">
        <v>2.155387368359292E-2</v>
      </c>
      <c r="G92" s="75">
        <v>90</v>
      </c>
      <c r="H92" s="1">
        <f t="shared" ca="1" si="4"/>
        <v>-1.1217831217678548E-3</v>
      </c>
    </row>
    <row r="93" spans="2:8" x14ac:dyDescent="0.3">
      <c r="B93" s="72">
        <v>43938</v>
      </c>
      <c r="C93" s="73">
        <v>1755.4</v>
      </c>
      <c r="D93" s="74">
        <f t="shared" si="3"/>
        <v>-4.1157995357094038E-2</v>
      </c>
      <c r="E93" s="1">
        <v>2.1457354417305539E-2</v>
      </c>
      <c r="G93" s="75">
        <v>91</v>
      </c>
      <c r="H93" s="1">
        <f t="shared" ca="1" si="4"/>
        <v>-2.4548741137558519E-2</v>
      </c>
    </row>
    <row r="94" spans="2:8" x14ac:dyDescent="0.3">
      <c r="B94" s="72">
        <v>43894</v>
      </c>
      <c r="C94" s="73">
        <v>1830.75</v>
      </c>
      <c r="D94" s="74">
        <f t="shared" si="3"/>
        <v>-6.9740853658536592E-2</v>
      </c>
      <c r="E94" s="1">
        <v>2.1338912133891212E-2</v>
      </c>
      <c r="G94" s="75">
        <v>92</v>
      </c>
      <c r="H94" s="1">
        <f t="shared" ca="1" si="4"/>
        <v>7.1853222350693677E-3</v>
      </c>
    </row>
    <row r="95" spans="2:8" x14ac:dyDescent="0.3">
      <c r="B95" s="72">
        <v>44067</v>
      </c>
      <c r="C95" s="73">
        <v>1968</v>
      </c>
      <c r="D95" s="74">
        <f t="shared" si="3"/>
        <v>-0.34519501909016043</v>
      </c>
      <c r="E95" s="1">
        <v>2.1276595744680851E-2</v>
      </c>
      <c r="G95" s="75">
        <v>93</v>
      </c>
      <c r="H95" s="1">
        <f t="shared" ca="1" si="4"/>
        <v>6.1291169662996111E-3</v>
      </c>
    </row>
    <row r="96" spans="2:8" x14ac:dyDescent="0.3">
      <c r="B96" s="72">
        <v>44362</v>
      </c>
      <c r="C96" s="73">
        <v>3005.4749999999999</v>
      </c>
      <c r="D96" s="74">
        <f t="shared" si="3"/>
        <v>-9.5825812274368261E-2</v>
      </c>
      <c r="E96" s="1">
        <v>2.1141595175401311E-2</v>
      </c>
      <c r="G96" s="75">
        <v>94</v>
      </c>
      <c r="H96" s="1">
        <f t="shared" ca="1" si="4"/>
        <v>6.195481605169177E-3</v>
      </c>
    </row>
    <row r="97" spans="2:8" x14ac:dyDescent="0.3">
      <c r="B97" s="72">
        <v>44558</v>
      </c>
      <c r="C97" s="73">
        <v>3324</v>
      </c>
      <c r="D97" s="74">
        <f t="shared" si="3"/>
        <v>0.49561304836895387</v>
      </c>
      <c r="E97" s="1">
        <v>2.1049155653168922E-2</v>
      </c>
      <c r="G97" s="75">
        <v>95</v>
      </c>
      <c r="H97" s="1">
        <f t="shared" ca="1" si="4"/>
        <v>-3.2266825396015386E-3</v>
      </c>
    </row>
    <row r="98" spans="2:8" x14ac:dyDescent="0.3">
      <c r="B98" s="72">
        <v>46113</v>
      </c>
      <c r="C98" s="73">
        <v>2222.5</v>
      </c>
      <c r="D98" s="74">
        <f t="shared" si="3"/>
        <v>0.55064450297395817</v>
      </c>
      <c r="E98" s="1">
        <v>2.0923769494016944E-2</v>
      </c>
      <c r="G98" s="75">
        <v>96</v>
      </c>
      <c r="H98" s="1">
        <f t="shared" ca="1" si="4"/>
        <v>-2.2663381256005179E-2</v>
      </c>
    </row>
    <row r="99" spans="2:8" x14ac:dyDescent="0.3">
      <c r="B99" s="72">
        <v>43536</v>
      </c>
      <c r="C99" s="73">
        <v>1433.2750000000001</v>
      </c>
      <c r="D99" s="74">
        <f t="shared" si="3"/>
        <v>-0.42987131804530709</v>
      </c>
      <c r="E99" s="1">
        <v>2.0851139601139667E-2</v>
      </c>
      <c r="G99" s="75">
        <v>97</v>
      </c>
      <c r="H99" s="1">
        <f t="shared" ca="1" si="4"/>
        <v>4.6188081520034101E-3</v>
      </c>
    </row>
    <row r="100" spans="2:8" x14ac:dyDescent="0.3">
      <c r="B100" s="72">
        <v>45847</v>
      </c>
      <c r="C100" s="73">
        <v>2513.9499999999998</v>
      </c>
      <c r="D100" s="74">
        <f t="shared" si="3"/>
        <v>1.6743847444945354E-2</v>
      </c>
      <c r="E100" s="1">
        <v>2.0831218402939812E-2</v>
      </c>
      <c r="G100" s="75">
        <v>98</v>
      </c>
      <c r="H100" s="1">
        <f t="shared" ca="1" si="4"/>
        <v>1.5547837400229149E-2</v>
      </c>
    </row>
    <row r="101" spans="2:8" x14ac:dyDescent="0.3">
      <c r="B101" s="72">
        <v>44229</v>
      </c>
      <c r="C101" s="73">
        <v>2472.5500000000002</v>
      </c>
      <c r="D101" s="74">
        <f t="shared" si="3"/>
        <v>0.92147186820018667</v>
      </c>
      <c r="E101" s="1">
        <v>2.0734211965776832E-2</v>
      </c>
      <c r="G101" s="75">
        <v>99</v>
      </c>
      <c r="H101" s="1">
        <f t="shared" ca="1" si="4"/>
        <v>-1.5190088564199103E-3</v>
      </c>
    </row>
    <row r="102" spans="2:8" x14ac:dyDescent="0.3">
      <c r="B102" s="72">
        <v>43234</v>
      </c>
      <c r="C102" s="73">
        <v>1286.8</v>
      </c>
      <c r="D102" s="74">
        <f t="shared" si="3"/>
        <v>-0.29255889386734107</v>
      </c>
      <c r="E102" s="1">
        <v>2.05611182710419E-2</v>
      </c>
      <c r="G102" s="75">
        <v>100</v>
      </c>
      <c r="H102" s="1">
        <f t="shared" ca="1" si="4"/>
        <v>7.4606677745374028E-3</v>
      </c>
    </row>
    <row r="103" spans="2:8" x14ac:dyDescent="0.3">
      <c r="B103" s="72">
        <v>43864</v>
      </c>
      <c r="C103" s="73">
        <v>1818.95</v>
      </c>
      <c r="D103" s="74">
        <f t="shared" si="3"/>
        <v>-0.26793979152412761</v>
      </c>
      <c r="E103" s="1">
        <v>2.0506059245960478E-2</v>
      </c>
      <c r="G103" s="75">
        <v>101</v>
      </c>
      <c r="H103" s="1">
        <f t="shared" ca="1" si="4"/>
        <v>1.0845050035071781E-2</v>
      </c>
    </row>
    <row r="104" spans="2:8" x14ac:dyDescent="0.3">
      <c r="B104" s="72">
        <v>46148</v>
      </c>
      <c r="C104" s="73">
        <v>2484.6999999999998</v>
      </c>
      <c r="D104" s="74">
        <f t="shared" si="3"/>
        <v>-8.6994065663524967E-2</v>
      </c>
      <c r="E104" s="1">
        <v>2.0431631039651739E-2</v>
      </c>
      <c r="G104" s="75">
        <v>102</v>
      </c>
      <c r="H104" s="1">
        <f t="shared" ca="1" si="4"/>
        <v>2.9377632344525468E-2</v>
      </c>
    </row>
    <row r="105" spans="2:8" x14ac:dyDescent="0.3">
      <c r="B105" s="72">
        <v>44735</v>
      </c>
      <c r="C105" s="73">
        <v>2721.45</v>
      </c>
      <c r="D105" s="74">
        <f t="shared" si="3"/>
        <v>0.53641393326934994</v>
      </c>
      <c r="E105" s="1">
        <v>2.0358809965693787E-2</v>
      </c>
      <c r="G105" s="75">
        <v>103</v>
      </c>
      <c r="H105" s="1">
        <f t="shared" ca="1" si="4"/>
        <v>2.4171706556515532E-3</v>
      </c>
    </row>
    <row r="106" spans="2:8" x14ac:dyDescent="0.3">
      <c r="B106" s="72">
        <v>44050</v>
      </c>
      <c r="C106" s="73">
        <v>1771.3000000000002</v>
      </c>
      <c r="D106" s="74">
        <f t="shared" si="3"/>
        <v>-0.42815173527037925</v>
      </c>
      <c r="E106" s="1">
        <v>2.0275329762110637E-2</v>
      </c>
      <c r="G106" s="75">
        <v>104</v>
      </c>
      <c r="H106" s="1">
        <f t="shared" ca="1" si="4"/>
        <v>-9.0294658735036604E-3</v>
      </c>
    </row>
    <row r="107" spans="2:8" x14ac:dyDescent="0.3">
      <c r="B107" s="72">
        <v>44701</v>
      </c>
      <c r="C107" s="73">
        <v>3097.5</v>
      </c>
      <c r="D107" s="74">
        <f t="shared" si="3"/>
        <v>0.53288464393527013</v>
      </c>
      <c r="E107" s="1">
        <v>2.0231713643437722E-2</v>
      </c>
      <c r="G107" s="75">
        <v>105</v>
      </c>
      <c r="H107" s="1">
        <f t="shared" ca="1" si="4"/>
        <v>-9.8274355842549524E-3</v>
      </c>
    </row>
    <row r="108" spans="2:8" x14ac:dyDescent="0.3">
      <c r="B108" s="72">
        <v>44105</v>
      </c>
      <c r="C108" s="73">
        <v>2020.6999999999998</v>
      </c>
      <c r="D108" s="74">
        <f t="shared" si="3"/>
        <v>-8.6069651741293621E-2</v>
      </c>
      <c r="E108" s="1">
        <v>2.0001766717564842E-2</v>
      </c>
      <c r="G108" s="75">
        <v>106</v>
      </c>
      <c r="H108" s="1">
        <f t="shared" ca="1" si="4"/>
        <v>1.3904267003554988E-2</v>
      </c>
    </row>
    <row r="109" spans="2:8" x14ac:dyDescent="0.3">
      <c r="B109" s="72">
        <v>44159</v>
      </c>
      <c r="C109" s="73">
        <v>2211</v>
      </c>
      <c r="D109" s="74">
        <f t="shared" si="3"/>
        <v>-0.10045160502868306</v>
      </c>
      <c r="E109" s="1">
        <v>1.9892752119010551E-2</v>
      </c>
      <c r="G109" s="75">
        <v>107</v>
      </c>
      <c r="H109" s="1">
        <f t="shared" ca="1" si="4"/>
        <v>-1.8078304349004294E-2</v>
      </c>
    </row>
    <row r="110" spans="2:8" x14ac:dyDescent="0.3">
      <c r="B110" s="72">
        <v>44172</v>
      </c>
      <c r="C110" s="73">
        <v>2457.9</v>
      </c>
      <c r="D110" s="74">
        <f t="shared" si="3"/>
        <v>-0.22194347939633272</v>
      </c>
      <c r="E110" s="1">
        <v>1.9875518672199208E-2</v>
      </c>
      <c r="G110" s="75">
        <v>108</v>
      </c>
      <c r="H110" s="1">
        <f t="shared" ca="1" si="4"/>
        <v>6.6729618207931806E-3</v>
      </c>
    </row>
    <row r="111" spans="2:8" x14ac:dyDescent="0.3">
      <c r="B111" s="72">
        <v>44704</v>
      </c>
      <c r="C111" s="73">
        <v>3159.0250000000001</v>
      </c>
      <c r="D111" s="74">
        <f t="shared" si="3"/>
        <v>0.69198735973862524</v>
      </c>
      <c r="E111" s="1">
        <v>1.986279257465701E-2</v>
      </c>
      <c r="G111" s="75">
        <v>109</v>
      </c>
      <c r="H111" s="1">
        <f t="shared" ca="1" si="4"/>
        <v>6.3649205648035343E-3</v>
      </c>
    </row>
    <row r="112" spans="2:8" x14ac:dyDescent="0.3">
      <c r="B112" s="72">
        <v>43895</v>
      </c>
      <c r="C112" s="73">
        <v>1867.05</v>
      </c>
      <c r="D112" s="74">
        <f t="shared" si="3"/>
        <v>-0.36945288753799393</v>
      </c>
      <c r="E112" s="1">
        <v>1.9827939369110995E-2</v>
      </c>
      <c r="G112" s="75">
        <v>110</v>
      </c>
      <c r="H112" s="1">
        <f t="shared" ca="1" si="4"/>
        <v>-9.2562197965678718E-4</v>
      </c>
    </row>
    <row r="113" spans="2:8" x14ac:dyDescent="0.3">
      <c r="B113" s="72">
        <v>44495</v>
      </c>
      <c r="C113" s="73">
        <v>2961</v>
      </c>
      <c r="D113" s="74">
        <f t="shared" si="3"/>
        <v>0.1540260347649855</v>
      </c>
      <c r="E113" s="1">
        <v>1.9759783029833399E-2</v>
      </c>
      <c r="G113" s="75">
        <v>111</v>
      </c>
      <c r="H113" s="1">
        <f t="shared" ca="1" si="4"/>
        <v>1.663578944900369E-2</v>
      </c>
    </row>
    <row r="114" spans="2:8" x14ac:dyDescent="0.3">
      <c r="B114" s="72">
        <v>45887</v>
      </c>
      <c r="C114" s="73">
        <v>2565.8000000000002</v>
      </c>
      <c r="D114" s="74">
        <f t="shared" si="3"/>
        <v>1.2729174478498549E-2</v>
      </c>
      <c r="E114" s="1">
        <v>1.9671740253546875E-2</v>
      </c>
      <c r="G114" s="75">
        <v>112</v>
      </c>
      <c r="H114" s="1">
        <f t="shared" ca="1" si="4"/>
        <v>-3.9436979148499106E-3</v>
      </c>
    </row>
    <row r="115" spans="2:8" x14ac:dyDescent="0.3">
      <c r="B115" s="72">
        <v>46149</v>
      </c>
      <c r="C115" s="73">
        <v>2533.5500000000002</v>
      </c>
      <c r="D115" s="74">
        <f t="shared" si="3"/>
        <v>-0.13505624498574667</v>
      </c>
      <c r="E115" s="1">
        <v>1.966032116553321E-2</v>
      </c>
      <c r="G115" s="75">
        <v>113</v>
      </c>
      <c r="H115" s="1">
        <f t="shared" ca="1" si="4"/>
        <v>2.054110667025932E-2</v>
      </c>
    </row>
    <row r="116" spans="2:8" x14ac:dyDescent="0.3">
      <c r="B116" s="72">
        <v>44342</v>
      </c>
      <c r="C116" s="73">
        <v>2929.15</v>
      </c>
      <c r="D116" s="74">
        <f t="shared" si="3"/>
        <v>0.23033465993216493</v>
      </c>
      <c r="E116" s="1">
        <v>1.9650503011104631E-2</v>
      </c>
      <c r="G116" s="75">
        <v>114</v>
      </c>
      <c r="H116" s="1">
        <f t="shared" ca="1" si="4"/>
        <v>1.4857536115768285E-2</v>
      </c>
    </row>
    <row r="117" spans="2:8" x14ac:dyDescent="0.3">
      <c r="B117" s="72">
        <v>44257</v>
      </c>
      <c r="C117" s="73">
        <v>2380.7750000000001</v>
      </c>
      <c r="D117" s="74">
        <f t="shared" si="3"/>
        <v>0.80765726434076168</v>
      </c>
      <c r="E117" s="1">
        <v>1.9625687916229588E-2</v>
      </c>
      <c r="G117" s="75">
        <v>115</v>
      </c>
      <c r="H117" s="1">
        <f t="shared" ca="1" si="4"/>
        <v>9.4284894158997677E-3</v>
      </c>
    </row>
    <row r="118" spans="2:8" x14ac:dyDescent="0.3">
      <c r="B118" s="72">
        <v>43357</v>
      </c>
      <c r="C118" s="73">
        <v>1317.05</v>
      </c>
      <c r="D118" s="74">
        <f t="shared" si="3"/>
        <v>-0.59332422438881294</v>
      </c>
      <c r="E118" s="1">
        <v>1.9585833172053382E-2</v>
      </c>
      <c r="G118" s="75">
        <v>116</v>
      </c>
      <c r="H118" s="1">
        <f t="shared" ca="1" si="4"/>
        <v>1.2667064328808335E-2</v>
      </c>
    </row>
    <row r="119" spans="2:8" x14ac:dyDescent="0.3">
      <c r="B119" s="72">
        <v>45090</v>
      </c>
      <c r="C119" s="73">
        <v>3238.5749999999998</v>
      </c>
      <c r="D119" s="74">
        <f t="shared" si="3"/>
        <v>0.74351278600269166</v>
      </c>
      <c r="E119" s="1">
        <v>1.9461714015896692E-2</v>
      </c>
      <c r="G119" s="75">
        <v>117</v>
      </c>
      <c r="H119" s="1">
        <f t="shared" ca="1" si="4"/>
        <v>-3.1560611006507062E-4</v>
      </c>
    </row>
    <row r="120" spans="2:8" x14ac:dyDescent="0.3">
      <c r="B120" s="72">
        <v>44061</v>
      </c>
      <c r="C120" s="73">
        <v>1857.5</v>
      </c>
      <c r="D120" s="74">
        <f t="shared" si="3"/>
        <v>-0.15140024669925536</v>
      </c>
      <c r="E120" s="1">
        <v>1.9386173117291176E-2</v>
      </c>
      <c r="G120" s="75">
        <v>118</v>
      </c>
      <c r="H120" s="1">
        <f t="shared" ca="1" si="4"/>
        <v>-4.4051938292116765E-4</v>
      </c>
    </row>
    <row r="121" spans="2:8" x14ac:dyDescent="0.3">
      <c r="B121" s="72">
        <v>46105</v>
      </c>
      <c r="C121" s="73">
        <v>2188.9</v>
      </c>
      <c r="D121" s="74">
        <f t="shared" si="3"/>
        <v>0.22168889881118509</v>
      </c>
      <c r="E121" s="1">
        <v>1.9278230500582114E-2</v>
      </c>
      <c r="G121" s="75">
        <v>119</v>
      </c>
      <c r="H121" s="1">
        <f t="shared" ca="1" si="4"/>
        <v>1.8785520174211638E-2</v>
      </c>
    </row>
    <row r="122" spans="2:8" x14ac:dyDescent="0.3">
      <c r="B122" s="72">
        <v>43818</v>
      </c>
      <c r="C122" s="73">
        <v>1791.6999999999998</v>
      </c>
      <c r="D122" s="74">
        <f t="shared" si="3"/>
        <v>0.56761013167680108</v>
      </c>
      <c r="E122" s="1">
        <v>1.9270974073073127E-2</v>
      </c>
      <c r="G122" s="75">
        <v>120</v>
      </c>
      <c r="H122" s="1">
        <f t="shared" ca="1" si="4"/>
        <v>2.4457947967826119E-3</v>
      </c>
    </row>
    <row r="123" spans="2:8" x14ac:dyDescent="0.3">
      <c r="B123" s="72">
        <v>43143</v>
      </c>
      <c r="C123" s="73">
        <v>1142.95</v>
      </c>
      <c r="D123" s="74">
        <f t="shared" si="3"/>
        <v>-0.59409043691346075</v>
      </c>
      <c r="E123" s="1">
        <v>1.9012593335562284E-2</v>
      </c>
      <c r="G123" s="75">
        <v>121</v>
      </c>
      <c r="H123" s="1">
        <f t="shared" ca="1" si="4"/>
        <v>-1.4112856847411878E-3</v>
      </c>
    </row>
    <row r="124" spans="2:8" x14ac:dyDescent="0.3">
      <c r="B124" s="72">
        <v>45000</v>
      </c>
      <c r="C124" s="73">
        <v>2815.7749999999996</v>
      </c>
      <c r="D124" s="74">
        <f t="shared" si="3"/>
        <v>0.16068962674416201</v>
      </c>
      <c r="E124" s="1">
        <v>1.8916229419214631E-2</v>
      </c>
      <c r="G124" s="75">
        <v>122</v>
      </c>
      <c r="H124" s="1">
        <f t="shared" ca="1" si="4"/>
        <v>1.3362373406076383E-2</v>
      </c>
    </row>
    <row r="125" spans="2:8" x14ac:dyDescent="0.3">
      <c r="B125" s="72">
        <v>46070</v>
      </c>
      <c r="C125" s="73">
        <v>2425.9499999999998</v>
      </c>
      <c r="D125" s="74">
        <f t="shared" si="3"/>
        <v>-0.19925072616847112</v>
      </c>
      <c r="E125" s="1">
        <v>1.8900018900018901E-2</v>
      </c>
      <c r="G125" s="75">
        <v>123</v>
      </c>
      <c r="H125" s="1">
        <f t="shared" ca="1" si="4"/>
        <v>-2.2666215183391136E-2</v>
      </c>
    </row>
    <row r="126" spans="2:8" x14ac:dyDescent="0.3">
      <c r="B126" s="72">
        <v>44411</v>
      </c>
      <c r="C126" s="73">
        <v>3029.6</v>
      </c>
      <c r="D126" s="74">
        <f t="shared" si="3"/>
        <v>0.9463244623612741</v>
      </c>
      <c r="E126" s="1">
        <v>1.878956527587438E-2</v>
      </c>
      <c r="G126" s="75">
        <v>124</v>
      </c>
      <c r="H126" s="1">
        <f t="shared" ca="1" si="4"/>
        <v>9.6275242571937265E-3</v>
      </c>
    </row>
    <row r="127" spans="2:8" x14ac:dyDescent="0.3">
      <c r="B127" s="72">
        <v>43964</v>
      </c>
      <c r="C127" s="73">
        <v>1556.5749999999998</v>
      </c>
      <c r="D127" s="74">
        <f t="shared" si="3"/>
        <v>-0.5144125033145639</v>
      </c>
      <c r="E127" s="1">
        <v>1.8784259183506385E-2</v>
      </c>
      <c r="G127" s="75">
        <v>125</v>
      </c>
      <c r="H127" s="1">
        <f t="shared" ca="1" si="4"/>
        <v>7.341411525218642E-3</v>
      </c>
    </row>
    <row r="128" spans="2:8" x14ac:dyDescent="0.3">
      <c r="B128" s="72">
        <v>44902</v>
      </c>
      <c r="C128" s="73">
        <v>3205.55</v>
      </c>
      <c r="D128" s="74">
        <f t="shared" si="3"/>
        <v>0.13083510455343203</v>
      </c>
      <c r="E128" s="1">
        <v>1.8605020654591731E-2</v>
      </c>
      <c r="G128" s="75">
        <v>126</v>
      </c>
      <c r="H128" s="1">
        <f t="shared" ca="1" si="4"/>
        <v>3.9613503235344565E-2</v>
      </c>
    </row>
    <row r="129" spans="2:8" x14ac:dyDescent="0.3">
      <c r="B129" s="72">
        <v>44986</v>
      </c>
      <c r="C129" s="73">
        <v>2834.6750000000002</v>
      </c>
      <c r="D129" s="74">
        <f t="shared" si="3"/>
        <v>1.1050999758646938</v>
      </c>
      <c r="E129" s="1">
        <v>1.848574944533779E-2</v>
      </c>
      <c r="G129" s="75">
        <v>127</v>
      </c>
      <c r="H129" s="1">
        <f t="shared" ca="1" si="4"/>
        <v>-7.0012376731354957E-3</v>
      </c>
    </row>
    <row r="130" spans="2:8" x14ac:dyDescent="0.3">
      <c r="B130" s="72">
        <v>43290</v>
      </c>
      <c r="C130" s="73">
        <v>1346.575</v>
      </c>
      <c r="D130" s="74">
        <f t="shared" si="3"/>
        <v>-0.20635645665114632</v>
      </c>
      <c r="E130" s="1">
        <v>1.8415927697630993E-2</v>
      </c>
      <c r="G130" s="75">
        <v>128</v>
      </c>
      <c r="H130" s="1">
        <f t="shared" ca="1" si="4"/>
        <v>1.5095358974455773E-2</v>
      </c>
    </row>
    <row r="131" spans="2:8" x14ac:dyDescent="0.3">
      <c r="B131" s="72">
        <v>43983</v>
      </c>
      <c r="C131" s="73">
        <v>1696.7</v>
      </c>
      <c r="D131" s="74">
        <f t="shared" ref="D131:D194" si="5">(C131-C132)/C132</f>
        <v>-0.43424474824941645</v>
      </c>
      <c r="E131" s="1">
        <v>1.8396806818522907E-2</v>
      </c>
      <c r="G131" s="75">
        <v>129</v>
      </c>
      <c r="H131" s="1">
        <f t="shared" ca="1" si="4"/>
        <v>-5.0506776277026817E-4</v>
      </c>
    </row>
    <row r="132" spans="2:8" x14ac:dyDescent="0.3">
      <c r="B132" s="72">
        <v>44635</v>
      </c>
      <c r="C132" s="73">
        <v>2999</v>
      </c>
      <c r="D132" s="74">
        <f t="shared" si="5"/>
        <v>-3.0649762025971031E-2</v>
      </c>
      <c r="E132" s="1">
        <v>1.8396678919800052E-2</v>
      </c>
      <c r="G132" s="75">
        <v>130</v>
      </c>
      <c r="H132" s="1">
        <f t="shared" ref="H132:H195" ca="1" si="6">_xlfn.NORM.INV(RAND(),$N$4,$N$5)</f>
        <v>1.7301669718927042E-2</v>
      </c>
    </row>
    <row r="133" spans="2:8" x14ac:dyDescent="0.3">
      <c r="B133" s="72">
        <v>45057</v>
      </c>
      <c r="C133" s="73">
        <v>3093.8249999999998</v>
      </c>
      <c r="D133" s="74">
        <f t="shared" si="5"/>
        <v>-0.10505496094879958</v>
      </c>
      <c r="E133" s="1">
        <v>1.8392336937737619E-2</v>
      </c>
      <c r="G133" s="75">
        <v>131</v>
      </c>
      <c r="H133" s="1">
        <f t="shared" ca="1" si="6"/>
        <v>-1.3248204512768907E-2</v>
      </c>
    </row>
    <row r="134" spans="2:8" x14ac:dyDescent="0.3">
      <c r="B134" s="72">
        <v>44806</v>
      </c>
      <c r="C134" s="73">
        <v>3457</v>
      </c>
      <c r="D134" s="74">
        <f t="shared" si="5"/>
        <v>1.0749677380630833</v>
      </c>
      <c r="E134" s="1">
        <v>1.8352137154976932E-2</v>
      </c>
      <c r="G134" s="75">
        <v>132</v>
      </c>
      <c r="H134" s="1">
        <f t="shared" ca="1" si="6"/>
        <v>8.2042494359371634E-3</v>
      </c>
    </row>
    <row r="135" spans="2:8" x14ac:dyDescent="0.3">
      <c r="B135" s="72">
        <v>43980</v>
      </c>
      <c r="C135" s="73">
        <v>1666.05</v>
      </c>
      <c r="D135" s="74">
        <f t="shared" si="5"/>
        <v>-0.41275785800516374</v>
      </c>
      <c r="E135" s="1">
        <v>1.8305727033799919E-2</v>
      </c>
      <c r="G135" s="75">
        <v>133</v>
      </c>
      <c r="H135" s="1">
        <f t="shared" ca="1" si="6"/>
        <v>1.5365219021156305E-2</v>
      </c>
    </row>
    <row r="136" spans="2:8" x14ac:dyDescent="0.3">
      <c r="B136" s="72">
        <v>44748</v>
      </c>
      <c r="C136" s="73">
        <v>2837.0749999999998</v>
      </c>
      <c r="D136" s="74">
        <f t="shared" si="5"/>
        <v>-3.9720080895605865E-2</v>
      </c>
      <c r="E136" s="1">
        <v>1.8277910378120248E-2</v>
      </c>
      <c r="G136" s="75">
        <v>134</v>
      </c>
      <c r="H136" s="1">
        <f t="shared" ca="1" si="6"/>
        <v>-3.5626077383036974E-3</v>
      </c>
    </row>
    <row r="137" spans="2:8" x14ac:dyDescent="0.3">
      <c r="B137" s="72">
        <v>45483</v>
      </c>
      <c r="C137" s="73">
        <v>2954.4250000000002</v>
      </c>
      <c r="D137" s="74">
        <f t="shared" si="5"/>
        <v>3.3196363000524629E-2</v>
      </c>
      <c r="E137" s="1">
        <v>1.8205472842569712E-2</v>
      </c>
      <c r="G137" s="75">
        <v>135</v>
      </c>
      <c r="H137" s="1">
        <f t="shared" ca="1" si="6"/>
        <v>1.4314541771965263E-2</v>
      </c>
    </row>
    <row r="138" spans="2:8" x14ac:dyDescent="0.3">
      <c r="B138" s="72">
        <v>45358</v>
      </c>
      <c r="C138" s="73">
        <v>2859.5</v>
      </c>
      <c r="D138" s="74">
        <f t="shared" si="5"/>
        <v>0.89596870441586018</v>
      </c>
      <c r="E138" s="1">
        <v>1.8204477678372723E-2</v>
      </c>
      <c r="G138" s="75">
        <v>136</v>
      </c>
      <c r="H138" s="1">
        <f t="shared" ca="1" si="6"/>
        <v>-2.7391214722827267E-2</v>
      </c>
    </row>
    <row r="139" spans="2:8" x14ac:dyDescent="0.3">
      <c r="B139" s="72">
        <v>43672</v>
      </c>
      <c r="C139" s="73">
        <v>1508.1999999999998</v>
      </c>
      <c r="D139" s="74">
        <f t="shared" si="5"/>
        <v>-0.33879152555376546</v>
      </c>
      <c r="E139" s="1">
        <v>1.8056633703466201E-2</v>
      </c>
      <c r="G139" s="75">
        <v>137</v>
      </c>
      <c r="H139" s="1">
        <f t="shared" ca="1" si="6"/>
        <v>1.0841608854323252E-2</v>
      </c>
    </row>
    <row r="140" spans="2:8" x14ac:dyDescent="0.3">
      <c r="B140" s="72">
        <v>44167</v>
      </c>
      <c r="C140" s="73">
        <v>2280.9749999999999</v>
      </c>
      <c r="D140" s="74">
        <f t="shared" si="5"/>
        <v>0.94195772939148192</v>
      </c>
      <c r="E140" s="1">
        <v>1.8019726858877087E-2</v>
      </c>
      <c r="G140" s="75">
        <v>138</v>
      </c>
      <c r="H140" s="1">
        <f t="shared" ca="1" si="6"/>
        <v>3.4371699947846477E-4</v>
      </c>
    </row>
    <row r="141" spans="2:8" x14ac:dyDescent="0.3">
      <c r="B141" s="72">
        <v>43397</v>
      </c>
      <c r="C141" s="73">
        <v>1174.575</v>
      </c>
      <c r="D141" s="74">
        <f t="shared" si="5"/>
        <v>-0.46227710760638185</v>
      </c>
      <c r="E141" s="1">
        <v>1.7829289428076295E-2</v>
      </c>
      <c r="G141" s="75">
        <v>139</v>
      </c>
      <c r="H141" s="1">
        <f t="shared" ca="1" si="6"/>
        <v>-2.2398290800720484E-2</v>
      </c>
    </row>
    <row r="142" spans="2:8" x14ac:dyDescent="0.3">
      <c r="B142" s="72">
        <v>44132</v>
      </c>
      <c r="C142" s="73">
        <v>2184.3500000000004</v>
      </c>
      <c r="D142" s="74">
        <f t="shared" si="5"/>
        <v>-0.34775565658149121</v>
      </c>
      <c r="E142" s="1">
        <v>1.7787459084184738E-2</v>
      </c>
      <c r="G142" s="75">
        <v>140</v>
      </c>
      <c r="H142" s="1">
        <f t="shared" ca="1" si="6"/>
        <v>-1.3438850113214384E-2</v>
      </c>
    </row>
    <row r="143" spans="2:8" x14ac:dyDescent="0.3">
      <c r="B143" s="72">
        <v>45546</v>
      </c>
      <c r="C143" s="73">
        <v>3348.9749999999999</v>
      </c>
      <c r="D143" s="74">
        <f t="shared" si="5"/>
        <v>0.37949890327164865</v>
      </c>
      <c r="E143" s="1">
        <v>1.7786321019921315E-2</v>
      </c>
      <c r="G143" s="75">
        <v>141</v>
      </c>
      <c r="H143" s="1">
        <f t="shared" ca="1" si="6"/>
        <v>-1.1476292964519805E-2</v>
      </c>
    </row>
    <row r="144" spans="2:8" x14ac:dyDescent="0.3">
      <c r="B144" s="72">
        <v>44271</v>
      </c>
      <c r="C144" s="73">
        <v>2427.6750000000002</v>
      </c>
      <c r="D144" s="74">
        <f t="shared" si="5"/>
        <v>0.80161410018552892</v>
      </c>
      <c r="E144" s="1">
        <v>1.7765060998616525E-2</v>
      </c>
      <c r="G144" s="75">
        <v>142</v>
      </c>
      <c r="H144" s="1">
        <f t="shared" ca="1" si="6"/>
        <v>-1.512625157530487E-2</v>
      </c>
    </row>
    <row r="145" spans="2:8" x14ac:dyDescent="0.3">
      <c r="B145" s="72">
        <v>43658</v>
      </c>
      <c r="C145" s="73">
        <v>1347.5</v>
      </c>
      <c r="D145" s="74">
        <f t="shared" si="5"/>
        <v>-0.48828466183116248</v>
      </c>
      <c r="E145" s="1">
        <v>1.7730027756273414E-2</v>
      </c>
      <c r="G145" s="75">
        <v>143</v>
      </c>
      <c r="H145" s="1">
        <f t="shared" ca="1" si="6"/>
        <v>6.3505848462563333E-5</v>
      </c>
    </row>
    <row r="146" spans="2:8" x14ac:dyDescent="0.3">
      <c r="B146" s="72">
        <v>44215</v>
      </c>
      <c r="C146" s="73">
        <v>2633.3</v>
      </c>
      <c r="D146" s="74">
        <f t="shared" si="5"/>
        <v>0.16704891695750937</v>
      </c>
      <c r="E146" s="1">
        <v>1.7651321192213007E-2</v>
      </c>
      <c r="G146" s="75">
        <v>144</v>
      </c>
      <c r="H146" s="1">
        <f t="shared" ca="1" si="6"/>
        <v>9.5580311039846957E-3</v>
      </c>
    </row>
    <row r="147" spans="2:8" x14ac:dyDescent="0.3">
      <c r="B147" s="72">
        <v>45734</v>
      </c>
      <c r="C147" s="73">
        <v>2256.375</v>
      </c>
      <c r="D147" s="74">
        <f t="shared" si="5"/>
        <v>-0.13040755371423066</v>
      </c>
      <c r="E147" s="1">
        <v>1.7462178432124054E-2</v>
      </c>
      <c r="G147" s="75">
        <v>145</v>
      </c>
      <c r="H147" s="1">
        <f t="shared" ca="1" si="6"/>
        <v>9.2912575520569651E-3</v>
      </c>
    </row>
    <row r="148" spans="2:8" x14ac:dyDescent="0.3">
      <c r="B148" s="72">
        <v>44320</v>
      </c>
      <c r="C148" s="73">
        <v>2594.75</v>
      </c>
      <c r="D148" s="74">
        <f t="shared" si="5"/>
        <v>1.2330995309608845</v>
      </c>
      <c r="E148" s="1">
        <v>1.7409375183798339E-2</v>
      </c>
      <c r="G148" s="75">
        <v>146</v>
      </c>
      <c r="H148" s="1">
        <f t="shared" ca="1" si="6"/>
        <v>1.2026638122616199E-2</v>
      </c>
    </row>
    <row r="149" spans="2:8" x14ac:dyDescent="0.3">
      <c r="B149" s="72">
        <v>43104</v>
      </c>
      <c r="C149" s="73">
        <v>1161.95</v>
      </c>
      <c r="D149" s="74">
        <f t="shared" si="5"/>
        <v>-0.51786307053941905</v>
      </c>
      <c r="E149" s="1">
        <v>1.7335726480759928E-2</v>
      </c>
      <c r="G149" s="75">
        <v>147</v>
      </c>
      <c r="H149" s="1">
        <f t="shared" ca="1" si="6"/>
        <v>8.5007348633475352E-3</v>
      </c>
    </row>
    <row r="150" spans="2:8" x14ac:dyDescent="0.3">
      <c r="B150" s="72">
        <v>44169</v>
      </c>
      <c r="C150" s="73">
        <v>2410</v>
      </c>
      <c r="D150" s="74">
        <f t="shared" si="5"/>
        <v>-0.15862237505891386</v>
      </c>
      <c r="E150" s="1">
        <v>1.7285409763407193E-2</v>
      </c>
      <c r="G150" s="75">
        <v>148</v>
      </c>
      <c r="H150" s="1">
        <f t="shared" ca="1" si="6"/>
        <v>1.013860293666793E-4</v>
      </c>
    </row>
    <row r="151" spans="2:8" x14ac:dyDescent="0.3">
      <c r="B151" s="72">
        <v>45001</v>
      </c>
      <c r="C151" s="73">
        <v>2864.35</v>
      </c>
      <c r="D151" s="74">
        <f t="shared" si="5"/>
        <v>-4.5662024388618702E-2</v>
      </c>
      <c r="E151" s="1">
        <v>1.725102325292336E-2</v>
      </c>
      <c r="G151" s="75">
        <v>149</v>
      </c>
      <c r="H151" s="1">
        <f t="shared" ca="1" si="6"/>
        <v>-3.7408855029956948E-3</v>
      </c>
    </row>
    <row r="152" spans="2:8" x14ac:dyDescent="0.3">
      <c r="B152" s="72">
        <v>45503</v>
      </c>
      <c r="C152" s="73">
        <v>3001.4</v>
      </c>
      <c r="D152" s="74">
        <f t="shared" si="5"/>
        <v>0.3402996405206869</v>
      </c>
      <c r="E152" s="1">
        <v>1.7234075002965518E-2</v>
      </c>
      <c r="G152" s="75">
        <v>150</v>
      </c>
      <c r="H152" s="1">
        <f t="shared" ca="1" si="6"/>
        <v>3.7016861042557967E-3</v>
      </c>
    </row>
    <row r="153" spans="2:8" x14ac:dyDescent="0.3">
      <c r="B153" s="72">
        <v>46098</v>
      </c>
      <c r="C153" s="73">
        <v>2239.35</v>
      </c>
      <c r="D153" s="74">
        <f t="shared" si="5"/>
        <v>-0.27118133812844275</v>
      </c>
      <c r="E153" s="1">
        <v>1.7215925867042219E-2</v>
      </c>
      <c r="G153" s="75">
        <v>151</v>
      </c>
      <c r="H153" s="1">
        <f t="shared" ca="1" si="6"/>
        <v>9.1121434745798191E-4</v>
      </c>
    </row>
    <row r="154" spans="2:8" x14ac:dyDescent="0.3">
      <c r="B154" s="72">
        <v>45238</v>
      </c>
      <c r="C154" s="73">
        <v>3072.5749999999998</v>
      </c>
      <c r="D154" s="74">
        <f t="shared" si="5"/>
        <v>-9.5416841469967054E-2</v>
      </c>
      <c r="E154" s="1">
        <v>1.7215265305446811E-2</v>
      </c>
      <c r="G154" s="75">
        <v>152</v>
      </c>
      <c r="H154" s="1">
        <f t="shared" ca="1" si="6"/>
        <v>-4.1252125494145031E-2</v>
      </c>
    </row>
    <row r="155" spans="2:8" x14ac:dyDescent="0.3">
      <c r="B155" s="72">
        <v>45107</v>
      </c>
      <c r="C155" s="73">
        <v>3396.6750000000002</v>
      </c>
      <c r="D155" s="74">
        <f t="shared" si="5"/>
        <v>0.15195218110136086</v>
      </c>
      <c r="E155" s="1">
        <v>1.7158899494665973E-2</v>
      </c>
      <c r="G155" s="75">
        <v>153</v>
      </c>
      <c r="H155" s="1">
        <f t="shared" ca="1" si="6"/>
        <v>1.2266105899357822E-2</v>
      </c>
    </row>
    <row r="156" spans="2:8" x14ac:dyDescent="0.3">
      <c r="B156" s="72">
        <v>45492</v>
      </c>
      <c r="C156" s="73">
        <v>2948.625</v>
      </c>
      <c r="D156" s="74">
        <f t="shared" si="5"/>
        <v>0.10228971962616823</v>
      </c>
      <c r="E156" s="1">
        <v>1.6784772151244052E-2</v>
      </c>
      <c r="G156" s="75">
        <v>154</v>
      </c>
      <c r="H156" s="1">
        <f t="shared" ca="1" si="6"/>
        <v>-1.447238579131838E-2</v>
      </c>
    </row>
    <row r="157" spans="2:8" x14ac:dyDescent="0.3">
      <c r="B157" s="72">
        <v>44733</v>
      </c>
      <c r="C157" s="73">
        <v>2675</v>
      </c>
      <c r="D157" s="74">
        <f t="shared" si="5"/>
        <v>4.3800604819042042E-2</v>
      </c>
      <c r="E157" s="1">
        <v>1.6781648516639144E-2</v>
      </c>
      <c r="G157" s="75">
        <v>155</v>
      </c>
      <c r="H157" s="1">
        <f t="shared" ca="1" si="6"/>
        <v>-6.8834850376228189E-3</v>
      </c>
    </row>
    <row r="158" spans="2:8" x14ac:dyDescent="0.3">
      <c r="B158" s="72">
        <v>44181</v>
      </c>
      <c r="C158" s="73">
        <v>2562.75</v>
      </c>
      <c r="D158" s="74">
        <f t="shared" si="5"/>
        <v>7.0555799235540909E-2</v>
      </c>
      <c r="E158" s="1">
        <v>1.6742377655670316E-2</v>
      </c>
      <c r="G158" s="75">
        <v>156</v>
      </c>
      <c r="H158" s="1">
        <f t="shared" ca="1" si="6"/>
        <v>4.9122437929590623E-3</v>
      </c>
    </row>
    <row r="159" spans="2:8" x14ac:dyDescent="0.3">
      <c r="B159" s="72">
        <v>45946</v>
      </c>
      <c r="C159" s="73">
        <v>2393.8500000000004</v>
      </c>
      <c r="D159" s="74">
        <f t="shared" si="5"/>
        <v>-0.21552338584805947</v>
      </c>
      <c r="E159" s="1">
        <v>1.6712677850923917E-2</v>
      </c>
      <c r="G159" s="75">
        <v>157</v>
      </c>
      <c r="H159" s="1">
        <f t="shared" ca="1" si="6"/>
        <v>-1.3322243216424844E-2</v>
      </c>
    </row>
    <row r="160" spans="2:8" x14ac:dyDescent="0.3">
      <c r="B160" s="72">
        <v>45504</v>
      </c>
      <c r="C160" s="73">
        <v>3051.5250000000001</v>
      </c>
      <c r="D160" s="74">
        <f t="shared" si="5"/>
        <v>4.092544899455916E-2</v>
      </c>
      <c r="E160" s="1">
        <v>1.6700539748117544E-2</v>
      </c>
      <c r="G160" s="75">
        <v>158</v>
      </c>
      <c r="H160" s="1">
        <f t="shared" ca="1" si="6"/>
        <v>3.2024107365959589E-3</v>
      </c>
    </row>
    <row r="161" spans="2:8" x14ac:dyDescent="0.3">
      <c r="B161" s="72">
        <v>45414</v>
      </c>
      <c r="C161" s="73">
        <v>2931.55</v>
      </c>
      <c r="D161" s="74">
        <f t="shared" si="5"/>
        <v>0.62805098158998141</v>
      </c>
      <c r="E161" s="1">
        <v>1.6663776660308716E-2</v>
      </c>
      <c r="G161" s="75">
        <v>159</v>
      </c>
      <c r="H161" s="1">
        <f t="shared" ca="1" si="6"/>
        <v>2.5174900859291943E-2</v>
      </c>
    </row>
    <row r="162" spans="2:8" x14ac:dyDescent="0.3">
      <c r="B162" s="72">
        <v>44053</v>
      </c>
      <c r="C162" s="73">
        <v>1800.65</v>
      </c>
      <c r="D162" s="74">
        <f t="shared" si="5"/>
        <v>-0.4289089755788138</v>
      </c>
      <c r="E162" s="1">
        <v>1.6569751030316663E-2</v>
      </c>
      <c r="G162" s="75">
        <v>160</v>
      </c>
      <c r="H162" s="1">
        <f t="shared" ca="1" si="6"/>
        <v>-1.3492919203861376E-2</v>
      </c>
    </row>
    <row r="163" spans="2:8" x14ac:dyDescent="0.3">
      <c r="B163" s="72">
        <v>44515</v>
      </c>
      <c r="C163" s="73">
        <v>3153</v>
      </c>
      <c r="D163" s="74">
        <f t="shared" si="5"/>
        <v>1.5648743187179697</v>
      </c>
      <c r="E163" s="1">
        <v>1.6473774138431253E-2</v>
      </c>
      <c r="G163" s="75">
        <v>161</v>
      </c>
      <c r="H163" s="1">
        <f t="shared" ca="1" si="6"/>
        <v>1.3815434596984817E-2</v>
      </c>
    </row>
    <row r="164" spans="2:8" x14ac:dyDescent="0.3">
      <c r="B164" s="72">
        <v>43405</v>
      </c>
      <c r="C164" s="73">
        <v>1229.3</v>
      </c>
      <c r="D164" s="74">
        <f t="shared" si="5"/>
        <v>-0.62222461240607863</v>
      </c>
      <c r="E164" s="1">
        <v>1.6454440218289946E-2</v>
      </c>
      <c r="G164" s="75">
        <v>162</v>
      </c>
      <c r="H164" s="1">
        <f t="shared" ca="1" si="6"/>
        <v>2.4378671835560146E-2</v>
      </c>
    </row>
    <row r="165" spans="2:8" x14ac:dyDescent="0.3">
      <c r="B165" s="72">
        <v>44608</v>
      </c>
      <c r="C165" s="73">
        <v>3254.05</v>
      </c>
      <c r="D165" s="74">
        <f t="shared" si="5"/>
        <v>3.7163938867551795E-2</v>
      </c>
      <c r="E165" s="1">
        <v>1.643799245648422E-2</v>
      </c>
      <c r="G165" s="75">
        <v>163</v>
      </c>
      <c r="H165" s="1">
        <f t="shared" ca="1" si="6"/>
        <v>-8.4306813336165569E-3</v>
      </c>
    </row>
    <row r="166" spans="2:8" x14ac:dyDescent="0.3">
      <c r="B166" s="72">
        <v>44866</v>
      </c>
      <c r="C166" s="73">
        <v>3137.45</v>
      </c>
      <c r="D166" s="74">
        <f t="shared" si="5"/>
        <v>0.22449019416528435</v>
      </c>
      <c r="E166" s="1">
        <v>1.6334496805176416E-2</v>
      </c>
      <c r="G166" s="75">
        <v>164</v>
      </c>
      <c r="H166" s="1">
        <f t="shared" ca="1" si="6"/>
        <v>1.5772660559574101E-3</v>
      </c>
    </row>
    <row r="167" spans="2:8" x14ac:dyDescent="0.3">
      <c r="B167" s="72">
        <v>44292</v>
      </c>
      <c r="C167" s="73">
        <v>2562.25</v>
      </c>
      <c r="D167" s="74">
        <f t="shared" si="5"/>
        <v>-4.2543253241657766E-2</v>
      </c>
      <c r="E167" s="1">
        <v>1.6261774913237482E-2</v>
      </c>
      <c r="G167" s="75">
        <v>165</v>
      </c>
      <c r="H167" s="1">
        <f t="shared" ca="1" si="6"/>
        <v>-1.5509919955039616E-2</v>
      </c>
    </row>
    <row r="168" spans="2:8" x14ac:dyDescent="0.3">
      <c r="B168" s="72">
        <v>44216</v>
      </c>
      <c r="C168" s="73">
        <v>2676.1000000000004</v>
      </c>
      <c r="D168" s="74">
        <f t="shared" si="5"/>
        <v>0.19436758011247007</v>
      </c>
      <c r="E168" s="1">
        <v>1.6253370295826599E-2</v>
      </c>
      <c r="G168" s="75">
        <v>166</v>
      </c>
      <c r="H168" s="1">
        <f t="shared" ca="1" si="6"/>
        <v>1.0784152408315834E-2</v>
      </c>
    </row>
    <row r="169" spans="2:8" x14ac:dyDescent="0.3">
      <c r="B169" s="72">
        <v>44166</v>
      </c>
      <c r="C169" s="73">
        <v>2240.6</v>
      </c>
      <c r="D169" s="74">
        <f t="shared" si="5"/>
        <v>0.84563426688632615</v>
      </c>
      <c r="E169" s="1">
        <v>1.6237300435413517E-2</v>
      </c>
      <c r="G169" s="75">
        <v>167</v>
      </c>
      <c r="H169" s="1">
        <f t="shared" ca="1" si="6"/>
        <v>-1.7656723719660591E-2</v>
      </c>
    </row>
    <row r="170" spans="2:8" x14ac:dyDescent="0.3">
      <c r="B170" s="72">
        <v>43222</v>
      </c>
      <c r="C170" s="73">
        <v>1214</v>
      </c>
      <c r="D170" s="74">
        <f t="shared" si="5"/>
        <v>-0.3568126730155366</v>
      </c>
      <c r="E170" s="1">
        <v>1.6154683184062907E-2</v>
      </c>
      <c r="G170" s="75">
        <v>168</v>
      </c>
      <c r="H170" s="1">
        <f t="shared" ca="1" si="6"/>
        <v>-1.6283059759289384E-2</v>
      </c>
    </row>
    <row r="171" spans="2:8" x14ac:dyDescent="0.3">
      <c r="B171" s="72">
        <v>44062</v>
      </c>
      <c r="C171" s="73">
        <v>1887.4749999999999</v>
      </c>
      <c r="D171" s="74">
        <f t="shared" si="5"/>
        <v>-0.40595936865627025</v>
      </c>
      <c r="E171" s="1">
        <v>1.6137281292059172E-2</v>
      </c>
      <c r="G171" s="75">
        <v>169</v>
      </c>
      <c r="H171" s="1">
        <f t="shared" ca="1" si="6"/>
        <v>6.910772371135911E-3</v>
      </c>
    </row>
    <row r="172" spans="2:8" x14ac:dyDescent="0.3">
      <c r="B172" s="72">
        <v>45526</v>
      </c>
      <c r="C172" s="73">
        <v>3177.3500000000004</v>
      </c>
      <c r="D172" s="74">
        <f t="shared" si="5"/>
        <v>-8.3154788956940062E-2</v>
      </c>
      <c r="E172" s="1">
        <v>1.5996098902416777E-2</v>
      </c>
      <c r="G172" s="75">
        <v>170</v>
      </c>
      <c r="H172" s="1">
        <f t="shared" ca="1" si="6"/>
        <v>-1.7284503195881835E-3</v>
      </c>
    </row>
    <row r="173" spans="2:8" x14ac:dyDescent="0.3">
      <c r="B173" s="72">
        <v>44831</v>
      </c>
      <c r="C173" s="73">
        <v>3465.5250000000001</v>
      </c>
      <c r="D173" s="74">
        <f t="shared" si="5"/>
        <v>0.15459770114942531</v>
      </c>
      <c r="E173" s="1">
        <v>1.5985048372911197E-2</v>
      </c>
      <c r="G173" s="75">
        <v>171</v>
      </c>
      <c r="H173" s="1">
        <f t="shared" ca="1" si="6"/>
        <v>2.3354437487622691E-2</v>
      </c>
    </row>
    <row r="174" spans="2:8" x14ac:dyDescent="0.3">
      <c r="B174" s="72">
        <v>45484</v>
      </c>
      <c r="C174" s="73">
        <v>3001.5</v>
      </c>
      <c r="D174" s="74">
        <f t="shared" si="5"/>
        <v>0.15547856214811606</v>
      </c>
      <c r="E174" s="1">
        <v>1.5933726528850729E-2</v>
      </c>
      <c r="G174" s="75">
        <v>172</v>
      </c>
      <c r="H174" s="1">
        <f t="shared" ca="1" si="6"/>
        <v>1.3362672742493404E-2</v>
      </c>
    </row>
    <row r="175" spans="2:8" x14ac:dyDescent="0.3">
      <c r="B175" s="72">
        <v>44314</v>
      </c>
      <c r="C175" s="73">
        <v>2597.625</v>
      </c>
      <c r="D175" s="74">
        <f t="shared" si="5"/>
        <v>-0.1953956232867165</v>
      </c>
      <c r="E175" s="1">
        <v>1.5907624318035232E-2</v>
      </c>
      <c r="G175" s="75">
        <v>173</v>
      </c>
      <c r="H175" s="1">
        <f t="shared" ca="1" si="6"/>
        <v>-8.2047671252738711E-3</v>
      </c>
    </row>
    <row r="176" spans="2:8" x14ac:dyDescent="0.3">
      <c r="B176" s="72">
        <v>45078</v>
      </c>
      <c r="C176" s="73">
        <v>3228.45</v>
      </c>
      <c r="D176" s="74">
        <f t="shared" si="5"/>
        <v>8.4415533707644669E-3</v>
      </c>
      <c r="E176" s="1">
        <v>1.5906730860001946E-2</v>
      </c>
      <c r="G176" s="75">
        <v>174</v>
      </c>
      <c r="H176" s="1">
        <f t="shared" ca="1" si="6"/>
        <v>-3.8141983964201298E-3</v>
      </c>
    </row>
    <row r="177" spans="2:8" x14ac:dyDescent="0.3">
      <c r="B177" s="72">
        <v>44607</v>
      </c>
      <c r="C177" s="73">
        <v>3201.4250000000002</v>
      </c>
      <c r="D177" s="74">
        <f t="shared" si="5"/>
        <v>1.3880983906159674</v>
      </c>
      <c r="E177" s="1">
        <v>1.5890015390229672E-2</v>
      </c>
      <c r="G177" s="75">
        <v>175</v>
      </c>
      <c r="H177" s="1">
        <f t="shared" ca="1" si="6"/>
        <v>6.488488006238447E-3</v>
      </c>
    </row>
    <row r="178" spans="2:8" x14ac:dyDescent="0.3">
      <c r="B178" s="72">
        <v>43430</v>
      </c>
      <c r="C178" s="73">
        <v>1340.5749999999998</v>
      </c>
      <c r="D178" s="74">
        <f t="shared" si="5"/>
        <v>0.13447013772822466</v>
      </c>
      <c r="E178" s="1">
        <v>1.5798745950860907E-2</v>
      </c>
      <c r="G178" s="75">
        <v>176</v>
      </c>
      <c r="H178" s="1">
        <f t="shared" ca="1" si="6"/>
        <v>7.0046028528866619E-3</v>
      </c>
    </row>
    <row r="179" spans="2:8" x14ac:dyDescent="0.3">
      <c r="B179" s="72">
        <v>43217</v>
      </c>
      <c r="C179" s="73">
        <v>1181.675</v>
      </c>
      <c r="D179" s="74">
        <f t="shared" si="5"/>
        <v>-0.1621108983904134</v>
      </c>
      <c r="E179" s="1">
        <v>1.5795581535287543E-2</v>
      </c>
      <c r="G179" s="75">
        <v>177</v>
      </c>
      <c r="H179" s="1">
        <f t="shared" ca="1" si="6"/>
        <v>-4.7380383783474601E-3</v>
      </c>
    </row>
    <row r="180" spans="2:8" x14ac:dyDescent="0.3">
      <c r="B180" s="72">
        <v>43454</v>
      </c>
      <c r="C180" s="73">
        <v>1410.3</v>
      </c>
      <c r="D180" s="74">
        <f t="shared" si="5"/>
        <v>-0.53129829342461654</v>
      </c>
      <c r="E180" s="1">
        <v>1.5773552290406122E-2</v>
      </c>
      <c r="G180" s="75">
        <v>178</v>
      </c>
      <c r="H180" s="1">
        <f t="shared" ca="1" si="6"/>
        <v>1.8510872371972891E-2</v>
      </c>
    </row>
    <row r="181" spans="2:8" x14ac:dyDescent="0.3">
      <c r="B181" s="72">
        <v>45236</v>
      </c>
      <c r="C181" s="73">
        <v>3008.95</v>
      </c>
      <c r="D181" s="74">
        <f t="shared" si="5"/>
        <v>-9.0264550264550325E-2</v>
      </c>
      <c r="E181" s="1">
        <v>1.5696467450927443E-2</v>
      </c>
      <c r="G181" s="75">
        <v>179</v>
      </c>
      <c r="H181" s="1">
        <f t="shared" ca="1" si="6"/>
        <v>2.6028727587937579E-3</v>
      </c>
    </row>
    <row r="182" spans="2:8" x14ac:dyDescent="0.3">
      <c r="B182" s="72">
        <v>45562</v>
      </c>
      <c r="C182" s="73">
        <v>3307.5</v>
      </c>
      <c r="D182" s="74">
        <f t="shared" si="5"/>
        <v>0.3282332389615083</v>
      </c>
      <c r="E182" s="1">
        <v>1.5668782963173398E-2</v>
      </c>
      <c r="G182" s="75">
        <v>180</v>
      </c>
      <c r="H182" s="1">
        <f t="shared" ca="1" si="6"/>
        <v>-4.9066755739832785E-3</v>
      </c>
    </row>
    <row r="183" spans="2:8" x14ac:dyDescent="0.3">
      <c r="B183" s="72">
        <v>46132</v>
      </c>
      <c r="C183" s="73">
        <v>2490.15</v>
      </c>
      <c r="D183" s="74">
        <f t="shared" si="5"/>
        <v>6.3553078352232562E-2</v>
      </c>
      <c r="E183" s="1">
        <v>1.5641569459172815E-2</v>
      </c>
      <c r="G183" s="75">
        <v>181</v>
      </c>
      <c r="H183" s="1">
        <f t="shared" ca="1" si="6"/>
        <v>-4.8714240442686088E-3</v>
      </c>
    </row>
    <row r="184" spans="2:8" x14ac:dyDescent="0.3">
      <c r="B184" s="72">
        <v>45666</v>
      </c>
      <c r="C184" s="73">
        <v>2341.3500000000004</v>
      </c>
      <c r="D184" s="74">
        <f t="shared" si="5"/>
        <v>-0.18496536359522384</v>
      </c>
      <c r="E184" s="1">
        <v>1.5615850087839354E-2</v>
      </c>
      <c r="G184" s="75">
        <v>182</v>
      </c>
      <c r="H184" s="1">
        <f t="shared" ca="1" si="6"/>
        <v>-1.084849702662101E-2</v>
      </c>
    </row>
    <row r="185" spans="2:8" x14ac:dyDescent="0.3">
      <c r="B185" s="72">
        <v>44341</v>
      </c>
      <c r="C185" s="73">
        <v>2872.7</v>
      </c>
      <c r="D185" s="74">
        <f t="shared" si="5"/>
        <v>-8.1470823341326992E-2</v>
      </c>
      <c r="E185" s="1">
        <v>1.5590751608569578E-2</v>
      </c>
      <c r="G185" s="75">
        <v>183</v>
      </c>
      <c r="H185" s="1">
        <f t="shared" ca="1" si="6"/>
        <v>1.3659978910898806E-3</v>
      </c>
    </row>
    <row r="186" spans="2:8" x14ac:dyDescent="0.3">
      <c r="B186" s="72">
        <v>44399</v>
      </c>
      <c r="C186" s="73">
        <v>3127.5</v>
      </c>
      <c r="D186" s="74">
        <f t="shared" si="5"/>
        <v>-5.3126348216380792E-2</v>
      </c>
      <c r="E186" s="1">
        <v>1.5578701260746352E-2</v>
      </c>
      <c r="G186" s="75">
        <v>184</v>
      </c>
      <c r="H186" s="1">
        <f t="shared" ca="1" si="6"/>
        <v>-2.3168563109151601E-2</v>
      </c>
    </row>
    <row r="187" spans="2:8" x14ac:dyDescent="0.3">
      <c r="B187" s="72">
        <v>45194</v>
      </c>
      <c r="C187" s="73">
        <v>3302.9750000000004</v>
      </c>
      <c r="D187" s="74">
        <f t="shared" si="5"/>
        <v>1.9302475159687726</v>
      </c>
      <c r="E187" s="1">
        <v>1.555786156270429E-2</v>
      </c>
      <c r="G187" s="75">
        <v>185</v>
      </c>
      <c r="H187" s="1">
        <f t="shared" ca="1" si="6"/>
        <v>1.3177033953944943E-2</v>
      </c>
    </row>
    <row r="188" spans="2:8" x14ac:dyDescent="0.3">
      <c r="B188" s="72">
        <v>43186</v>
      </c>
      <c r="C188" s="73">
        <v>1127.2</v>
      </c>
      <c r="D188" s="74">
        <f t="shared" si="5"/>
        <v>-0.40157940142013404</v>
      </c>
      <c r="E188" s="1">
        <v>1.5495495495495537E-2</v>
      </c>
      <c r="G188" s="75">
        <v>186</v>
      </c>
      <c r="H188" s="1">
        <f t="shared" ca="1" si="6"/>
        <v>-1.1444396762028922E-2</v>
      </c>
    </row>
    <row r="189" spans="2:8" x14ac:dyDescent="0.3">
      <c r="B189" s="72">
        <v>43872</v>
      </c>
      <c r="C189" s="73">
        <v>1883.625</v>
      </c>
      <c r="D189" s="74">
        <f t="shared" si="5"/>
        <v>-0.15519251900522507</v>
      </c>
      <c r="E189" s="1">
        <v>1.5444952088303127E-2</v>
      </c>
      <c r="G189" s="75">
        <v>187</v>
      </c>
      <c r="H189" s="1">
        <f t="shared" ca="1" si="6"/>
        <v>1.8628732624713363E-2</v>
      </c>
    </row>
    <row r="190" spans="2:8" x14ac:dyDescent="0.3">
      <c r="B190" s="72">
        <v>45824</v>
      </c>
      <c r="C190" s="73">
        <v>2229.65</v>
      </c>
      <c r="D190" s="74">
        <f t="shared" si="5"/>
        <v>0.88997435843099049</v>
      </c>
      <c r="E190" s="1">
        <v>1.5346433206584974E-2</v>
      </c>
      <c r="G190" s="75">
        <v>188</v>
      </c>
      <c r="H190" s="1">
        <f t="shared" ca="1" si="6"/>
        <v>-1.4021415827909686E-2</v>
      </c>
    </row>
    <row r="191" spans="2:8" x14ac:dyDescent="0.3">
      <c r="B191" s="72">
        <v>43105</v>
      </c>
      <c r="C191" s="73">
        <v>1179.7249999999999</v>
      </c>
      <c r="D191" s="74">
        <f t="shared" si="5"/>
        <v>-0.59481899986261855</v>
      </c>
      <c r="E191" s="1">
        <v>1.5297560135978194E-2</v>
      </c>
      <c r="G191" s="75">
        <v>189</v>
      </c>
      <c r="H191" s="1">
        <f t="shared" ca="1" si="6"/>
        <v>-1.2978537323648528E-2</v>
      </c>
    </row>
    <row r="192" spans="2:8" x14ac:dyDescent="0.3">
      <c r="B192" s="72">
        <v>45993</v>
      </c>
      <c r="C192" s="73">
        <v>2911.6</v>
      </c>
      <c r="D192" s="74">
        <f t="shared" si="5"/>
        <v>-1.9498232025593566E-2</v>
      </c>
      <c r="E192" s="1">
        <v>1.5290733153168829E-2</v>
      </c>
      <c r="G192" s="75">
        <v>190</v>
      </c>
      <c r="H192" s="1">
        <f t="shared" ca="1" si="6"/>
        <v>-8.4142686224762519E-3</v>
      </c>
    </row>
    <row r="193" spans="2:8" x14ac:dyDescent="0.3">
      <c r="B193" s="72">
        <v>45329</v>
      </c>
      <c r="C193" s="73">
        <v>2969.5</v>
      </c>
      <c r="D193" s="74">
        <f t="shared" si="5"/>
        <v>0.12572739162575586</v>
      </c>
      <c r="E193" s="1">
        <v>1.5274418127580345E-2</v>
      </c>
      <c r="G193" s="75">
        <v>191</v>
      </c>
      <c r="H193" s="1">
        <f t="shared" ca="1" si="6"/>
        <v>-2.2273754110479126E-2</v>
      </c>
    </row>
    <row r="194" spans="2:8" x14ac:dyDescent="0.3">
      <c r="B194" s="72">
        <v>46156</v>
      </c>
      <c r="C194" s="73">
        <v>2637.85</v>
      </c>
      <c r="D194" s="74">
        <f t="shared" si="5"/>
        <v>0.16565582916293817</v>
      </c>
      <c r="E194" s="1">
        <v>1.5260565006543027E-2</v>
      </c>
      <c r="G194" s="75">
        <v>192</v>
      </c>
      <c r="H194" s="1">
        <f t="shared" ca="1" si="6"/>
        <v>-3.0977849032183479E-3</v>
      </c>
    </row>
    <row r="195" spans="2:8" x14ac:dyDescent="0.3">
      <c r="B195" s="72">
        <v>45723</v>
      </c>
      <c r="C195" s="73">
        <v>2262.9749999999999</v>
      </c>
      <c r="D195" s="74">
        <f t="shared" ref="D195:D258" si="7">(C195-C196)/C196</f>
        <v>-0.35270056707260394</v>
      </c>
      <c r="E195" s="1">
        <v>1.5219488122742748E-2</v>
      </c>
      <c r="G195" s="75">
        <v>193</v>
      </c>
      <c r="H195" s="1">
        <f t="shared" ca="1" si="6"/>
        <v>7.7327000966272248E-3</v>
      </c>
    </row>
    <row r="196" spans="2:8" x14ac:dyDescent="0.3">
      <c r="B196" s="72">
        <v>44566</v>
      </c>
      <c r="C196" s="73">
        <v>3496.0250000000001</v>
      </c>
      <c r="D196" s="74">
        <f t="shared" si="7"/>
        <v>1.0233089777906388</v>
      </c>
      <c r="E196" s="1">
        <v>1.5179673321234146E-2</v>
      </c>
      <c r="G196" s="75">
        <v>194</v>
      </c>
      <c r="H196" s="1">
        <f t="shared" ref="H196:H259" ca="1" si="8">_xlfn.NORM.INV(RAND(),$N$4,$N$5)</f>
        <v>-1.5699331638736155E-2</v>
      </c>
    </row>
    <row r="197" spans="2:8" x14ac:dyDescent="0.3">
      <c r="B197" s="72">
        <v>44019</v>
      </c>
      <c r="C197" s="73">
        <v>1727.875</v>
      </c>
      <c r="D197" s="74">
        <f t="shared" si="7"/>
        <v>-0.17703582867961365</v>
      </c>
      <c r="E197" s="1">
        <v>1.5157968949664353E-2</v>
      </c>
      <c r="G197" s="75">
        <v>195</v>
      </c>
      <c r="H197" s="1">
        <f t="shared" ca="1" si="8"/>
        <v>-1.012122902285695E-2</v>
      </c>
    </row>
    <row r="198" spans="2:8" x14ac:dyDescent="0.3">
      <c r="B198" s="72">
        <v>44124</v>
      </c>
      <c r="C198" s="73">
        <v>2099.5749999999998</v>
      </c>
      <c r="D198" s="74">
        <f t="shared" si="7"/>
        <v>-0.24563231503022576</v>
      </c>
      <c r="E198" s="1">
        <v>1.5157925274087641E-2</v>
      </c>
      <c r="G198" s="75">
        <v>196</v>
      </c>
      <c r="H198" s="1">
        <f t="shared" ca="1" si="8"/>
        <v>-3.7692910568323133E-3</v>
      </c>
    </row>
    <row r="199" spans="2:8" x14ac:dyDescent="0.3">
      <c r="B199" s="72">
        <v>44985</v>
      </c>
      <c r="C199" s="73">
        <v>2783.2249999999999</v>
      </c>
      <c r="D199" s="74">
        <f t="shared" si="7"/>
        <v>0.92700742561404104</v>
      </c>
      <c r="E199" s="1">
        <v>1.5090176340791633E-2</v>
      </c>
      <c r="G199" s="75">
        <v>197</v>
      </c>
      <c r="H199" s="1">
        <f t="shared" ca="1" si="8"/>
        <v>-4.7511966699187551E-3</v>
      </c>
    </row>
    <row r="200" spans="2:8" x14ac:dyDescent="0.3">
      <c r="B200" s="72">
        <v>43670</v>
      </c>
      <c r="C200" s="73">
        <v>1444.325</v>
      </c>
      <c r="D200" s="74">
        <f t="shared" si="7"/>
        <v>-0.37766072044122717</v>
      </c>
      <c r="E200" s="1">
        <v>1.5057277391243202E-2</v>
      </c>
      <c r="G200" s="75">
        <v>198</v>
      </c>
      <c r="H200" s="1">
        <f t="shared" ca="1" si="8"/>
        <v>-9.1055179339344788E-3</v>
      </c>
    </row>
    <row r="201" spans="2:8" x14ac:dyDescent="0.3">
      <c r="B201" s="72">
        <v>45835</v>
      </c>
      <c r="C201" s="73">
        <v>2320.8000000000002</v>
      </c>
      <c r="D201" s="74">
        <f t="shared" si="7"/>
        <v>0.77685902957220798</v>
      </c>
      <c r="E201" s="1">
        <v>1.5045486354094013E-2</v>
      </c>
      <c r="G201" s="75">
        <v>199</v>
      </c>
      <c r="H201" s="1">
        <f t="shared" ca="1" si="8"/>
        <v>-8.9516990052132313E-3</v>
      </c>
    </row>
    <row r="202" spans="2:8" x14ac:dyDescent="0.3">
      <c r="B202" s="72">
        <v>43235</v>
      </c>
      <c r="C202" s="73">
        <v>1306.125</v>
      </c>
      <c r="D202" s="74">
        <f t="shared" si="7"/>
        <v>-0.61225898383577504</v>
      </c>
      <c r="E202" s="1">
        <v>1.5017873795461645E-2</v>
      </c>
      <c r="G202" s="75">
        <v>200</v>
      </c>
      <c r="H202" s="1">
        <f t="shared" ca="1" si="8"/>
        <v>-2.3015492749994559E-3</v>
      </c>
    </row>
    <row r="203" spans="2:8" x14ac:dyDescent="0.3">
      <c r="B203" s="72">
        <v>45286</v>
      </c>
      <c r="C203" s="73">
        <v>3368.55</v>
      </c>
      <c r="D203" s="74">
        <f t="shared" si="7"/>
        <v>1.4255985598559857</v>
      </c>
      <c r="E203" s="1">
        <v>1.4959775829341073E-2</v>
      </c>
      <c r="G203" s="75">
        <v>201</v>
      </c>
      <c r="H203" s="1">
        <f t="shared" ca="1" si="8"/>
        <v>8.5348078144564018E-3</v>
      </c>
    </row>
    <row r="204" spans="2:8" x14ac:dyDescent="0.3">
      <c r="B204" s="72">
        <v>43299</v>
      </c>
      <c r="C204" s="73">
        <v>1388.75</v>
      </c>
      <c r="D204" s="74">
        <f t="shared" si="7"/>
        <v>-0.43838967971530252</v>
      </c>
      <c r="E204" s="1">
        <v>1.4945552875831358E-2</v>
      </c>
      <c r="G204" s="75">
        <v>202</v>
      </c>
      <c r="H204" s="1">
        <f t="shared" ca="1" si="8"/>
        <v>1.1150873572812045E-2</v>
      </c>
    </row>
    <row r="205" spans="2:8" x14ac:dyDescent="0.3">
      <c r="B205" s="72">
        <v>45875</v>
      </c>
      <c r="C205" s="73">
        <v>2472.8000000000002</v>
      </c>
      <c r="D205" s="74">
        <f t="shared" si="7"/>
        <v>-1.6779324055665932E-2</v>
      </c>
      <c r="E205" s="1">
        <v>1.4940075521261103E-2</v>
      </c>
      <c r="G205" s="75">
        <v>203</v>
      </c>
      <c r="H205" s="1">
        <f t="shared" ca="1" si="8"/>
        <v>1.3819500584037665E-3</v>
      </c>
    </row>
    <row r="206" spans="2:8" x14ac:dyDescent="0.3">
      <c r="B206" s="72">
        <v>44237</v>
      </c>
      <c r="C206" s="73">
        <v>2515</v>
      </c>
      <c r="D206" s="74">
        <f t="shared" si="7"/>
        <v>-0.14673452078032231</v>
      </c>
      <c r="E206" s="1">
        <v>1.4910917858800192E-2</v>
      </c>
      <c r="G206" s="75">
        <v>204</v>
      </c>
      <c r="H206" s="1">
        <f t="shared" ca="1" si="8"/>
        <v>-2.2313616509304721E-2</v>
      </c>
    </row>
    <row r="207" spans="2:8" x14ac:dyDescent="0.3">
      <c r="B207" s="72">
        <v>44755</v>
      </c>
      <c r="C207" s="73">
        <v>2947.5</v>
      </c>
      <c r="D207" s="74">
        <f t="shared" si="7"/>
        <v>5.4062027840111646E-2</v>
      </c>
      <c r="E207" s="1">
        <v>1.4865760546770829E-2</v>
      </c>
      <c r="G207" s="75">
        <v>205</v>
      </c>
      <c r="H207" s="1">
        <f t="shared" ca="1" si="8"/>
        <v>1.9144587007267677E-2</v>
      </c>
    </row>
    <row r="208" spans="2:8" x14ac:dyDescent="0.3">
      <c r="B208" s="72">
        <v>44739</v>
      </c>
      <c r="C208" s="73">
        <v>2796.3249999999998</v>
      </c>
      <c r="D208" s="74">
        <f t="shared" si="7"/>
        <v>-6.9968736488509001E-2</v>
      </c>
      <c r="E208" s="1">
        <v>1.4852652972345113E-2</v>
      </c>
      <c r="G208" s="75">
        <v>206</v>
      </c>
      <c r="H208" s="1">
        <f t="shared" ca="1" si="8"/>
        <v>-6.0346440052224072E-3</v>
      </c>
    </row>
    <row r="209" spans="2:8" x14ac:dyDescent="0.3">
      <c r="B209" s="72">
        <v>44760</v>
      </c>
      <c r="C209" s="73">
        <v>3006.7</v>
      </c>
      <c r="D209" s="74">
        <f t="shared" si="7"/>
        <v>0.19006530773797736</v>
      </c>
      <c r="E209" s="1">
        <v>1.4842754558725467E-2</v>
      </c>
      <c r="G209" s="75">
        <v>207</v>
      </c>
      <c r="H209" s="1">
        <f t="shared" ca="1" si="8"/>
        <v>2.494381606315244E-3</v>
      </c>
    </row>
    <row r="210" spans="2:8" x14ac:dyDescent="0.3">
      <c r="B210" s="72">
        <v>44175</v>
      </c>
      <c r="C210" s="73">
        <v>2526.5</v>
      </c>
      <c r="D210" s="74">
        <f t="shared" si="7"/>
        <v>1.1195914343841105</v>
      </c>
      <c r="E210" s="1">
        <v>1.4842039726054836E-2</v>
      </c>
      <c r="G210" s="75">
        <v>208</v>
      </c>
      <c r="H210" s="1">
        <f t="shared" ca="1" si="8"/>
        <v>-6.0031562084439756E-3</v>
      </c>
    </row>
    <row r="211" spans="2:8" x14ac:dyDescent="0.3">
      <c r="B211" s="72">
        <v>43398</v>
      </c>
      <c r="C211" s="73">
        <v>1191.9749999999999</v>
      </c>
      <c r="D211" s="74">
        <f t="shared" si="7"/>
        <v>-1.4407970894658657E-2</v>
      </c>
      <c r="E211" s="1">
        <v>1.4813868846178288E-2</v>
      </c>
      <c r="G211" s="75">
        <v>209</v>
      </c>
      <c r="H211" s="1">
        <f t="shared" ca="1" si="8"/>
        <v>7.7761103904146495E-3</v>
      </c>
    </row>
    <row r="212" spans="2:8" x14ac:dyDescent="0.3">
      <c r="B212" s="72">
        <v>43404</v>
      </c>
      <c r="C212" s="73">
        <v>1209.4000000000001</v>
      </c>
      <c r="D212" s="74">
        <f t="shared" si="7"/>
        <v>-6.8510031963646037E-2</v>
      </c>
      <c r="E212" s="1">
        <v>1.4788865347905434E-2</v>
      </c>
      <c r="G212" s="75">
        <v>210</v>
      </c>
      <c r="H212" s="1">
        <f t="shared" ca="1" si="8"/>
        <v>-3.6462116741225589E-3</v>
      </c>
    </row>
    <row r="213" spans="2:8" x14ac:dyDescent="0.3">
      <c r="B213" s="72">
        <v>43284</v>
      </c>
      <c r="C213" s="73">
        <v>1298.3499999999999</v>
      </c>
      <c r="D213" s="74">
        <f t="shared" si="7"/>
        <v>1.7117117117117046E-2</v>
      </c>
      <c r="E213" s="1">
        <v>1.4752144434240607E-2</v>
      </c>
      <c r="G213" s="75">
        <v>211</v>
      </c>
      <c r="H213" s="1">
        <f t="shared" ca="1" si="8"/>
        <v>-2.3963413552293172E-2</v>
      </c>
    </row>
    <row r="214" spans="2:8" x14ac:dyDescent="0.3">
      <c r="B214" s="72">
        <v>43258</v>
      </c>
      <c r="C214" s="73">
        <v>1276.5</v>
      </c>
      <c r="D214" s="74">
        <f t="shared" si="7"/>
        <v>6.9218481926286001E-3</v>
      </c>
      <c r="E214" s="1">
        <v>1.4726047814940751E-2</v>
      </c>
      <c r="G214" s="75">
        <v>212</v>
      </c>
      <c r="H214" s="1">
        <f t="shared" ca="1" si="8"/>
        <v>1.1895040660674525E-2</v>
      </c>
    </row>
    <row r="215" spans="2:8" x14ac:dyDescent="0.3">
      <c r="B215" s="72">
        <v>43389</v>
      </c>
      <c r="C215" s="73">
        <v>1267.7249999999999</v>
      </c>
      <c r="D215" s="74">
        <f t="shared" si="7"/>
        <v>0.13311136932427597</v>
      </c>
      <c r="E215" s="1">
        <v>1.4707647976948015E-2</v>
      </c>
      <c r="G215" s="75">
        <v>213</v>
      </c>
      <c r="H215" s="1">
        <f t="shared" ca="1" si="8"/>
        <v>2.655540806599755E-2</v>
      </c>
    </row>
    <row r="216" spans="2:8" x14ac:dyDescent="0.3">
      <c r="B216" s="72">
        <v>43167</v>
      </c>
      <c r="C216" s="73">
        <v>1118.8</v>
      </c>
      <c r="D216" s="74">
        <f t="shared" si="7"/>
        <v>-0.65691242649820991</v>
      </c>
      <c r="E216" s="1">
        <v>1.4692544893887218E-2</v>
      </c>
      <c r="G216" s="75">
        <v>214</v>
      </c>
      <c r="H216" s="1">
        <f t="shared" ca="1" si="8"/>
        <v>1.7122779331939569E-3</v>
      </c>
    </row>
    <row r="217" spans="2:8" x14ac:dyDescent="0.3">
      <c r="B217" s="72">
        <v>45266</v>
      </c>
      <c r="C217" s="73">
        <v>3260.9749999999999</v>
      </c>
      <c r="D217" s="74">
        <f t="shared" si="7"/>
        <v>0.29460280281075085</v>
      </c>
      <c r="E217" s="1">
        <v>1.4670991731037033E-2</v>
      </c>
      <c r="G217" s="75">
        <v>215</v>
      </c>
      <c r="H217" s="1">
        <f t="shared" ca="1" si="8"/>
        <v>-2.3262830127442347E-2</v>
      </c>
    </row>
    <row r="218" spans="2:8" x14ac:dyDescent="0.3">
      <c r="B218" s="72">
        <v>45950</v>
      </c>
      <c r="C218" s="73">
        <v>2518.8999999999996</v>
      </c>
      <c r="D218" s="74">
        <f t="shared" si="7"/>
        <v>0.10968424066874431</v>
      </c>
      <c r="E218" s="1">
        <v>1.4662638469284849E-2</v>
      </c>
      <c r="G218" s="75">
        <v>216</v>
      </c>
      <c r="H218" s="1">
        <f t="shared" ca="1" si="8"/>
        <v>1.4767348437494384E-2</v>
      </c>
    </row>
    <row r="219" spans="2:8" x14ac:dyDescent="0.3">
      <c r="B219" s="72">
        <v>45688</v>
      </c>
      <c r="C219" s="73">
        <v>2269.9250000000002</v>
      </c>
      <c r="D219" s="74">
        <f t="shared" si="7"/>
        <v>-0.21346338758998262</v>
      </c>
      <c r="E219" s="1">
        <v>1.4661675141085179E-2</v>
      </c>
      <c r="G219" s="75">
        <v>217</v>
      </c>
      <c r="H219" s="1">
        <f t="shared" ca="1" si="8"/>
        <v>1.2773449877811699E-3</v>
      </c>
    </row>
    <row r="220" spans="2:8" x14ac:dyDescent="0.3">
      <c r="B220" s="72">
        <v>44713</v>
      </c>
      <c r="C220" s="73">
        <v>2885.9750000000004</v>
      </c>
      <c r="D220" s="74">
        <f t="shared" si="7"/>
        <v>-7.1264793196939527E-2</v>
      </c>
      <c r="E220" s="1">
        <v>1.4580769906837885E-2</v>
      </c>
      <c r="G220" s="75">
        <v>218</v>
      </c>
      <c r="H220" s="1">
        <f t="shared" ca="1" si="8"/>
        <v>3.8747392491477943E-3</v>
      </c>
    </row>
    <row r="221" spans="2:8" x14ac:dyDescent="0.3">
      <c r="B221" s="72">
        <v>44431</v>
      </c>
      <c r="C221" s="73">
        <v>3107.4250000000002</v>
      </c>
      <c r="D221" s="74">
        <f t="shared" si="7"/>
        <v>0.13540201326342319</v>
      </c>
      <c r="E221" s="1">
        <v>1.4578282766445492E-2</v>
      </c>
      <c r="G221" s="75">
        <v>219</v>
      </c>
      <c r="H221" s="1">
        <f t="shared" ca="1" si="8"/>
        <v>-5.9781981312033881E-3</v>
      </c>
    </row>
    <row r="222" spans="2:8" x14ac:dyDescent="0.3">
      <c r="B222" s="72">
        <v>46045</v>
      </c>
      <c r="C222" s="73">
        <v>2736.8500000000004</v>
      </c>
      <c r="D222" s="74">
        <f t="shared" si="7"/>
        <v>-0.11596882949085464</v>
      </c>
      <c r="E222" s="1">
        <v>1.4549970344009488E-2</v>
      </c>
      <c r="G222" s="75">
        <v>220</v>
      </c>
      <c r="H222" s="1">
        <f t="shared" ca="1" si="8"/>
        <v>6.245085578477718E-3</v>
      </c>
    </row>
    <row r="223" spans="2:8" x14ac:dyDescent="0.3">
      <c r="B223" s="72">
        <v>45505</v>
      </c>
      <c r="C223" s="73">
        <v>3095.875</v>
      </c>
      <c r="D223" s="74">
        <f t="shared" si="7"/>
        <v>1.1911106392766779</v>
      </c>
      <c r="E223" s="1">
        <v>1.4533716748183255E-2</v>
      </c>
      <c r="G223" s="75">
        <v>221</v>
      </c>
      <c r="H223" s="1">
        <f t="shared" ca="1" si="8"/>
        <v>3.7782736003220841E-3</v>
      </c>
    </row>
    <row r="224" spans="2:8" x14ac:dyDescent="0.3">
      <c r="B224" s="72">
        <v>43523</v>
      </c>
      <c r="C224" s="73">
        <v>1412.925</v>
      </c>
      <c r="D224" s="74">
        <f t="shared" si="7"/>
        <v>-0.3948929336188437</v>
      </c>
      <c r="E224" s="1">
        <v>1.4449310740953476E-2</v>
      </c>
      <c r="G224" s="75">
        <v>222</v>
      </c>
      <c r="H224" s="1">
        <f t="shared" ca="1" si="8"/>
        <v>-1.0009162497499551E-2</v>
      </c>
    </row>
    <row r="225" spans="2:8" x14ac:dyDescent="0.3">
      <c r="B225" s="72">
        <v>45793</v>
      </c>
      <c r="C225" s="73">
        <v>2335</v>
      </c>
      <c r="D225" s="74">
        <f t="shared" si="7"/>
        <v>-0.27951556292667873</v>
      </c>
      <c r="E225" s="1">
        <v>1.4445530574562833E-2</v>
      </c>
      <c r="G225" s="75">
        <v>223</v>
      </c>
      <c r="H225" s="1">
        <f t="shared" ca="1" si="8"/>
        <v>-1.3008583007322655E-2</v>
      </c>
    </row>
    <row r="226" spans="2:8" x14ac:dyDescent="0.3">
      <c r="B226" s="72">
        <v>44601</v>
      </c>
      <c r="C226" s="73">
        <v>3240.875</v>
      </c>
      <c r="D226" s="74">
        <f t="shared" si="7"/>
        <v>0.64346657538761909</v>
      </c>
      <c r="E226" s="1">
        <v>1.4405997151665991E-2</v>
      </c>
      <c r="G226" s="75">
        <v>224</v>
      </c>
      <c r="H226" s="1">
        <f t="shared" ca="1" si="8"/>
        <v>-2.0376673448507317E-3</v>
      </c>
    </row>
    <row r="227" spans="2:8" x14ac:dyDescent="0.3">
      <c r="B227" s="72">
        <v>44103</v>
      </c>
      <c r="C227" s="73">
        <v>1971.9749999999999</v>
      </c>
      <c r="D227" s="74">
        <f t="shared" si="7"/>
        <v>-0.31170157068062831</v>
      </c>
      <c r="E227" s="1">
        <v>1.4390432098765385E-2</v>
      </c>
      <c r="G227" s="75">
        <v>225</v>
      </c>
      <c r="H227" s="1">
        <f t="shared" ca="1" si="8"/>
        <v>-4.9082611732587586E-3</v>
      </c>
    </row>
    <row r="228" spans="2:8" x14ac:dyDescent="0.3">
      <c r="B228" s="72">
        <v>45426</v>
      </c>
      <c r="C228" s="73">
        <v>2865</v>
      </c>
      <c r="D228" s="74">
        <f t="shared" si="7"/>
        <v>3.3773544057155193E-2</v>
      </c>
      <c r="E228" s="1">
        <v>1.4320865270574008E-2</v>
      </c>
      <c r="G228" s="75">
        <v>226</v>
      </c>
      <c r="H228" s="1">
        <f t="shared" ca="1" si="8"/>
        <v>9.4179428919592655E-3</v>
      </c>
    </row>
    <row r="229" spans="2:8" x14ac:dyDescent="0.3">
      <c r="B229" s="72">
        <v>44746</v>
      </c>
      <c r="C229" s="73">
        <v>2771.4</v>
      </c>
      <c r="D229" s="74">
        <f t="shared" si="7"/>
        <v>0.91019057793707159</v>
      </c>
      <c r="E229" s="1">
        <v>1.4236047575480363E-2</v>
      </c>
      <c r="G229" s="75">
        <v>227</v>
      </c>
      <c r="H229" s="1">
        <f t="shared" ca="1" si="8"/>
        <v>-1.9059885279216999E-2</v>
      </c>
    </row>
    <row r="230" spans="2:8" x14ac:dyDescent="0.3">
      <c r="B230" s="72">
        <v>43305</v>
      </c>
      <c r="C230" s="73">
        <v>1450.85</v>
      </c>
      <c r="D230" s="74">
        <f t="shared" si="7"/>
        <v>-0.45021694234449305</v>
      </c>
      <c r="E230" s="1">
        <v>1.4225795176511645E-2</v>
      </c>
      <c r="G230" s="75">
        <v>228</v>
      </c>
      <c r="H230" s="1">
        <f t="shared" ca="1" si="8"/>
        <v>-4.4849238405280187E-3</v>
      </c>
    </row>
    <row r="231" spans="2:8" x14ac:dyDescent="0.3">
      <c r="B231" s="72">
        <v>45971</v>
      </c>
      <c r="C231" s="73">
        <v>2638.95</v>
      </c>
      <c r="D231" s="74">
        <f t="shared" si="7"/>
        <v>0.48384829486350461</v>
      </c>
      <c r="E231" s="1">
        <v>1.422010415265474E-2</v>
      </c>
      <c r="G231" s="75">
        <v>229</v>
      </c>
      <c r="H231" s="1">
        <f t="shared" ca="1" si="8"/>
        <v>-2.7506831482234026E-3</v>
      </c>
    </row>
    <row r="232" spans="2:8" x14ac:dyDescent="0.3">
      <c r="B232" s="72">
        <v>43739</v>
      </c>
      <c r="C232" s="73">
        <v>1778.45</v>
      </c>
      <c r="D232" s="74">
        <f t="shared" si="7"/>
        <v>-0.30159634000274887</v>
      </c>
      <c r="E232" s="1">
        <v>1.4214225631228499E-2</v>
      </c>
      <c r="G232" s="75">
        <v>230</v>
      </c>
      <c r="H232" s="1">
        <f t="shared" ca="1" si="8"/>
        <v>7.4765525590905063E-4</v>
      </c>
    </row>
    <row r="233" spans="2:8" x14ac:dyDescent="0.3">
      <c r="B233" s="72">
        <v>45901</v>
      </c>
      <c r="C233" s="73">
        <v>2546.4499999999998</v>
      </c>
      <c r="D233" s="74">
        <f t="shared" si="7"/>
        <v>-0.22463023438154189</v>
      </c>
      <c r="E233" s="1">
        <v>1.4198661781105478E-2</v>
      </c>
      <c r="G233" s="75">
        <v>231</v>
      </c>
      <c r="H233" s="1">
        <f t="shared" ca="1" si="8"/>
        <v>-2.3450532625106991E-3</v>
      </c>
    </row>
    <row r="234" spans="2:8" x14ac:dyDescent="0.3">
      <c r="B234" s="72">
        <v>45275</v>
      </c>
      <c r="C234" s="73">
        <v>3284.1750000000002</v>
      </c>
      <c r="D234" s="74">
        <f t="shared" si="7"/>
        <v>1.5531455891784736</v>
      </c>
      <c r="E234" s="1">
        <v>1.4166383596331407E-2</v>
      </c>
      <c r="G234" s="75">
        <v>232</v>
      </c>
      <c r="H234" s="1">
        <f t="shared" ca="1" si="8"/>
        <v>1.3745878848552443E-2</v>
      </c>
    </row>
    <row r="235" spans="2:8" x14ac:dyDescent="0.3">
      <c r="B235" s="72">
        <v>43367</v>
      </c>
      <c r="C235" s="73">
        <v>1286.325</v>
      </c>
      <c r="D235" s="74">
        <f t="shared" si="7"/>
        <v>5.3537583774596123E-3</v>
      </c>
      <c r="E235" s="1">
        <v>1.4151966098354229E-2</v>
      </c>
      <c r="G235" s="75">
        <v>233</v>
      </c>
      <c r="H235" s="1">
        <f t="shared" ca="1" si="8"/>
        <v>-7.9322007809144966E-3</v>
      </c>
    </row>
    <row r="236" spans="2:8" x14ac:dyDescent="0.3">
      <c r="B236" s="72">
        <v>43283</v>
      </c>
      <c r="C236" s="73">
        <v>1279.4749999999999</v>
      </c>
      <c r="D236" s="74">
        <f t="shared" si="7"/>
        <v>-0.46802694218655805</v>
      </c>
      <c r="E236" s="1">
        <v>1.4148419696819505E-2</v>
      </c>
      <c r="G236" s="75">
        <v>234</v>
      </c>
      <c r="H236" s="1">
        <f t="shared" ca="1" si="8"/>
        <v>-1.8118126734532065E-2</v>
      </c>
    </row>
    <row r="237" spans="2:8" x14ac:dyDescent="0.3">
      <c r="B237" s="72">
        <v>45868</v>
      </c>
      <c r="C237" s="73">
        <v>2405.15</v>
      </c>
      <c r="D237" s="74">
        <f t="shared" si="7"/>
        <v>-0.21803447911501977</v>
      </c>
      <c r="E237" s="1">
        <v>1.4125187106023233E-2</v>
      </c>
      <c r="G237" s="75">
        <v>235</v>
      </c>
      <c r="H237" s="1">
        <f t="shared" ca="1" si="8"/>
        <v>-6.3370933862924445E-3</v>
      </c>
    </row>
    <row r="238" spans="2:8" x14ac:dyDescent="0.3">
      <c r="B238" s="72">
        <v>44694</v>
      </c>
      <c r="C238" s="73">
        <v>3075.7750000000001</v>
      </c>
      <c r="D238" s="74">
        <f t="shared" si="7"/>
        <v>4.2445168188978951E-3</v>
      </c>
      <c r="E238" s="1">
        <v>1.4103198153643288E-2</v>
      </c>
      <c r="G238" s="75">
        <v>236</v>
      </c>
      <c r="H238" s="1">
        <f t="shared" ca="1" si="8"/>
        <v>1.9005218910354185E-2</v>
      </c>
    </row>
    <row r="239" spans="2:8" x14ac:dyDescent="0.3">
      <c r="B239" s="72">
        <v>44428</v>
      </c>
      <c r="C239" s="73">
        <v>3062.7750000000001</v>
      </c>
      <c r="D239" s="74">
        <f t="shared" si="7"/>
        <v>0.26557028191275078</v>
      </c>
      <c r="E239" s="1">
        <v>1.4071566330880466E-2</v>
      </c>
      <c r="G239" s="75">
        <v>237</v>
      </c>
      <c r="H239" s="1">
        <f t="shared" ca="1" si="8"/>
        <v>2.2068384539928557E-2</v>
      </c>
    </row>
    <row r="240" spans="2:8" x14ac:dyDescent="0.3">
      <c r="B240" s="72">
        <v>44264</v>
      </c>
      <c r="C240" s="73">
        <v>2420.0749999999998</v>
      </c>
      <c r="D240" s="74">
        <f t="shared" si="7"/>
        <v>-0.23037843854348869</v>
      </c>
      <c r="E240" s="1">
        <v>1.3951880675807198E-2</v>
      </c>
      <c r="G240" s="75">
        <v>238</v>
      </c>
      <c r="H240" s="1">
        <f t="shared" ca="1" si="8"/>
        <v>3.2249936843321919E-2</v>
      </c>
    </row>
    <row r="241" spans="2:8" x14ac:dyDescent="0.3">
      <c r="B241" s="72">
        <v>44769</v>
      </c>
      <c r="C241" s="73">
        <v>3144.5</v>
      </c>
      <c r="D241" s="74">
        <f t="shared" si="7"/>
        <v>1.3032411646218642</v>
      </c>
      <c r="E241" s="1">
        <v>1.3896949764622399E-2</v>
      </c>
      <c r="G241" s="75">
        <v>239</v>
      </c>
      <c r="H241" s="1">
        <f t="shared" ca="1" si="8"/>
        <v>-2.6394967429598588E-2</v>
      </c>
    </row>
    <row r="242" spans="2:8" x14ac:dyDescent="0.3">
      <c r="B242" s="72">
        <v>43291</v>
      </c>
      <c r="C242" s="73">
        <v>1365.25</v>
      </c>
      <c r="D242" s="74">
        <f t="shared" si="7"/>
        <v>-0.55855011074644723</v>
      </c>
      <c r="E242" s="1">
        <v>1.3868518277853037E-2</v>
      </c>
      <c r="G242" s="75">
        <v>240</v>
      </c>
      <c r="H242" s="1">
        <f t="shared" ca="1" si="8"/>
        <v>1.3735509406302324E-3</v>
      </c>
    </row>
    <row r="243" spans="2:8" x14ac:dyDescent="0.3">
      <c r="B243" s="72">
        <v>44922</v>
      </c>
      <c r="C243" s="73">
        <v>3092.65</v>
      </c>
      <c r="D243" s="74">
        <f t="shared" si="7"/>
        <v>1.338974077785551</v>
      </c>
      <c r="E243" s="1">
        <v>1.3867261133968143E-2</v>
      </c>
      <c r="G243" s="75">
        <v>241</v>
      </c>
      <c r="H243" s="1">
        <f t="shared" ca="1" si="8"/>
        <v>4.5289400910183764E-3</v>
      </c>
    </row>
    <row r="244" spans="2:8" x14ac:dyDescent="0.3">
      <c r="B244" s="72">
        <v>43287</v>
      </c>
      <c r="C244" s="73">
        <v>1322.2249999999999</v>
      </c>
      <c r="D244" s="74">
        <f t="shared" si="7"/>
        <v>-0.57086639728672739</v>
      </c>
      <c r="E244" s="1">
        <v>1.3859602039642538E-2</v>
      </c>
      <c r="G244" s="75">
        <v>242</v>
      </c>
      <c r="H244" s="1">
        <f t="shared" ca="1" si="8"/>
        <v>4.0139418693017738E-3</v>
      </c>
    </row>
    <row r="245" spans="2:8" x14ac:dyDescent="0.3">
      <c r="B245" s="72">
        <v>44438</v>
      </c>
      <c r="C245" s="73">
        <v>3081.15</v>
      </c>
      <c r="D245" s="74">
        <f t="shared" si="7"/>
        <v>0.80712609970674487</v>
      </c>
      <c r="E245" s="1">
        <v>1.3794635145473001E-2</v>
      </c>
      <c r="G245" s="75">
        <v>243</v>
      </c>
      <c r="H245" s="1">
        <f t="shared" ca="1" si="8"/>
        <v>-3.2087780403026772E-3</v>
      </c>
    </row>
    <row r="246" spans="2:8" x14ac:dyDescent="0.3">
      <c r="B246" s="72">
        <v>44015</v>
      </c>
      <c r="C246" s="73">
        <v>1705</v>
      </c>
      <c r="D246" s="74">
        <f t="shared" si="7"/>
        <v>-0.31513727380450285</v>
      </c>
      <c r="E246" s="1">
        <v>1.3644065277488807E-2</v>
      </c>
      <c r="G246" s="75">
        <v>244</v>
      </c>
      <c r="H246" s="1">
        <f t="shared" ca="1" si="8"/>
        <v>4.1333776133516218E-3</v>
      </c>
    </row>
    <row r="247" spans="2:8" x14ac:dyDescent="0.3">
      <c r="B247" s="72">
        <v>44174</v>
      </c>
      <c r="C247" s="73">
        <v>2489.5500000000002</v>
      </c>
      <c r="D247" s="74">
        <f t="shared" si="7"/>
        <v>-9.4223265205883117E-2</v>
      </c>
      <c r="E247" s="1">
        <v>1.3629469784106904E-2</v>
      </c>
      <c r="G247" s="75">
        <v>245</v>
      </c>
      <c r="H247" s="1">
        <f t="shared" ca="1" si="8"/>
        <v>-6.6126311465148574E-3</v>
      </c>
    </row>
    <row r="248" spans="2:8" x14ac:dyDescent="0.3">
      <c r="B248" s="72">
        <v>44196</v>
      </c>
      <c r="C248" s="73">
        <v>2748.5250000000001</v>
      </c>
      <c r="D248" s="74">
        <f t="shared" si="7"/>
        <v>0.2410511700362355</v>
      </c>
      <c r="E248" s="1">
        <v>1.3617421448591306E-2</v>
      </c>
      <c r="G248" s="75">
        <v>246</v>
      </c>
      <c r="H248" s="1">
        <f t="shared" ca="1" si="8"/>
        <v>-1.0575344840656234E-2</v>
      </c>
    </row>
    <row r="249" spans="2:8" x14ac:dyDescent="0.3">
      <c r="B249" s="72">
        <v>44140</v>
      </c>
      <c r="C249" s="73">
        <v>2214.6750000000002</v>
      </c>
      <c r="D249" s="74">
        <f t="shared" si="7"/>
        <v>-0.23437851105387789</v>
      </c>
      <c r="E249" s="1">
        <v>1.3616028010114762E-2</v>
      </c>
      <c r="G249" s="75">
        <v>247</v>
      </c>
      <c r="H249" s="1">
        <f t="shared" ca="1" si="8"/>
        <v>-1.0623907168232203E-2</v>
      </c>
    </row>
    <row r="250" spans="2:8" x14ac:dyDescent="0.3">
      <c r="B250" s="72">
        <v>46035</v>
      </c>
      <c r="C250" s="73">
        <v>2892.65</v>
      </c>
      <c r="D250" s="74">
        <f t="shared" si="7"/>
        <v>-9.7104955130706175E-2</v>
      </c>
      <c r="E250" s="1">
        <v>1.3542396636299962E-2</v>
      </c>
      <c r="G250" s="75">
        <v>248</v>
      </c>
      <c r="H250" s="1">
        <f t="shared" ca="1" si="8"/>
        <v>4.9497169502952148E-3</v>
      </c>
    </row>
    <row r="251" spans="2:8" x14ac:dyDescent="0.3">
      <c r="B251" s="72">
        <v>45539</v>
      </c>
      <c r="C251" s="73">
        <v>3203.75</v>
      </c>
      <c r="D251" s="74">
        <f t="shared" si="7"/>
        <v>8.5685722999762917E-2</v>
      </c>
      <c r="E251" s="1">
        <v>1.3516185414541141E-2</v>
      </c>
      <c r="G251" s="75">
        <v>249</v>
      </c>
      <c r="H251" s="1">
        <f t="shared" ca="1" si="8"/>
        <v>9.5193115731482154E-3</v>
      </c>
    </row>
    <row r="252" spans="2:8" x14ac:dyDescent="0.3">
      <c r="B252" s="72">
        <v>45994</v>
      </c>
      <c r="C252" s="73">
        <v>2950.8999999999996</v>
      </c>
      <c r="D252" s="74">
        <f t="shared" si="7"/>
        <v>0.17271390533720121</v>
      </c>
      <c r="E252" s="1">
        <v>1.3497733205110499E-2</v>
      </c>
      <c r="G252" s="75">
        <v>250</v>
      </c>
      <c r="H252" s="1">
        <f t="shared" ca="1" si="8"/>
        <v>7.0643298490371247E-3</v>
      </c>
    </row>
    <row r="253" spans="2:8" x14ac:dyDescent="0.3">
      <c r="B253" s="72">
        <v>45883</v>
      </c>
      <c r="C253" s="73">
        <v>2516.3000000000002</v>
      </c>
      <c r="D253" s="74">
        <f t="shared" si="7"/>
        <v>-9.547431611488548E-2</v>
      </c>
      <c r="E253" s="1">
        <v>1.3492830675044304E-2</v>
      </c>
      <c r="G253" s="75">
        <v>251</v>
      </c>
      <c r="H253" s="1">
        <f t="shared" ca="1" si="8"/>
        <v>5.691483173818848E-3</v>
      </c>
    </row>
    <row r="254" spans="2:8" x14ac:dyDescent="0.3">
      <c r="B254" s="72">
        <v>45021</v>
      </c>
      <c r="C254" s="73">
        <v>2781.9</v>
      </c>
      <c r="D254" s="74">
        <f t="shared" si="7"/>
        <v>-0.19505790612047078</v>
      </c>
      <c r="E254" s="1">
        <v>1.3387246598546527E-2</v>
      </c>
      <c r="G254" s="75">
        <v>252</v>
      </c>
      <c r="H254" s="1">
        <f t="shared" ca="1" si="8"/>
        <v>1.8001969021523337E-3</v>
      </c>
    </row>
    <row r="255" spans="2:8" x14ac:dyDescent="0.3">
      <c r="B255" s="72">
        <v>44812</v>
      </c>
      <c r="C255" s="73">
        <v>3456.0250000000001</v>
      </c>
      <c r="D255" s="74">
        <f t="shared" si="7"/>
        <v>2.0109337224751158</v>
      </c>
      <c r="E255" s="1">
        <v>1.3355910833534972E-2</v>
      </c>
      <c r="G255" s="75">
        <v>253</v>
      </c>
      <c r="H255" s="1">
        <f t="shared" ca="1" si="8"/>
        <v>-6.5641511014658755E-3</v>
      </c>
    </row>
    <row r="256" spans="2:8" x14ac:dyDescent="0.3">
      <c r="B256" s="72">
        <v>43193</v>
      </c>
      <c r="C256" s="73">
        <v>1147.825</v>
      </c>
      <c r="D256" s="74">
        <f t="shared" si="7"/>
        <v>-0.33987520128824472</v>
      </c>
      <c r="E256" s="1">
        <v>1.3330684852899104E-2</v>
      </c>
      <c r="G256" s="75">
        <v>254</v>
      </c>
      <c r="H256" s="1">
        <f t="shared" ca="1" si="8"/>
        <v>-1.2500761585717172E-2</v>
      </c>
    </row>
    <row r="257" spans="2:8" x14ac:dyDescent="0.3">
      <c r="B257" s="72">
        <v>44032</v>
      </c>
      <c r="C257" s="73">
        <v>1738.8</v>
      </c>
      <c r="D257" s="74">
        <f t="shared" si="7"/>
        <v>-0.49003189500311617</v>
      </c>
      <c r="E257" s="1">
        <v>1.3212906985213754E-2</v>
      </c>
      <c r="G257" s="75">
        <v>255</v>
      </c>
      <c r="H257" s="1">
        <f t="shared" ca="1" si="8"/>
        <v>1.8503993238851851E-3</v>
      </c>
    </row>
    <row r="258" spans="2:8" x14ac:dyDescent="0.3">
      <c r="B258" s="72">
        <v>44776</v>
      </c>
      <c r="C258" s="73">
        <v>3409.625</v>
      </c>
      <c r="D258" s="74">
        <f t="shared" si="7"/>
        <v>0.49325552368230896</v>
      </c>
      <c r="E258" s="1">
        <v>1.3208822720957993E-2</v>
      </c>
      <c r="G258" s="75">
        <v>256</v>
      </c>
      <c r="H258" s="1">
        <f t="shared" ca="1" si="8"/>
        <v>1.270670967937642E-2</v>
      </c>
    </row>
    <row r="259" spans="2:8" x14ac:dyDescent="0.3">
      <c r="B259" s="72">
        <v>46086</v>
      </c>
      <c r="C259" s="73">
        <v>2283.35</v>
      </c>
      <c r="D259" s="74">
        <f t="shared" ref="D259:D322" si="9">(C259-C260)/C260</f>
        <v>0.28657557402451045</v>
      </c>
      <c r="E259" s="1">
        <v>1.3201100461483643E-2</v>
      </c>
      <c r="G259" s="75">
        <v>257</v>
      </c>
      <c r="H259" s="1">
        <f t="shared" ca="1" si="8"/>
        <v>9.1834001753264595E-3</v>
      </c>
    </row>
    <row r="260" spans="2:8" x14ac:dyDescent="0.3">
      <c r="B260" s="72">
        <v>43748</v>
      </c>
      <c r="C260" s="73">
        <v>1774.75</v>
      </c>
      <c r="D260" s="74">
        <f t="shared" si="9"/>
        <v>-0.36891607179368646</v>
      </c>
      <c r="E260" s="1">
        <v>1.3071895424836654E-2</v>
      </c>
      <c r="G260" s="75">
        <v>258</v>
      </c>
      <c r="H260" s="1">
        <f t="shared" ref="H260:H323" ca="1" si="10">_xlfn.NORM.INV(RAND(),$N$4,$N$5)</f>
        <v>2.0576891813834618E-2</v>
      </c>
    </row>
    <row r="261" spans="2:8" x14ac:dyDescent="0.3">
      <c r="B261" s="72">
        <v>44973</v>
      </c>
      <c r="C261" s="73">
        <v>2812.2249999999999</v>
      </c>
      <c r="D261" s="74">
        <f t="shared" si="9"/>
        <v>-0.1261361341143204</v>
      </c>
      <c r="E261" s="1">
        <v>1.2994614844298693E-2</v>
      </c>
      <c r="G261" s="75">
        <v>259</v>
      </c>
      <c r="H261" s="1">
        <f t="shared" ca="1" si="10"/>
        <v>1.7906948397739382E-2</v>
      </c>
    </row>
    <row r="262" spans="2:8" x14ac:dyDescent="0.3">
      <c r="B262" s="72">
        <v>44594</v>
      </c>
      <c r="C262" s="73">
        <v>3218.15</v>
      </c>
      <c r="D262" s="74">
        <f t="shared" si="9"/>
        <v>0.13702489996731834</v>
      </c>
      <c r="E262" s="1">
        <v>1.2960441929823239E-2</v>
      </c>
      <c r="G262" s="75">
        <v>260</v>
      </c>
      <c r="H262" s="1">
        <f t="shared" ca="1" si="10"/>
        <v>-6.9159949740148338E-4</v>
      </c>
    </row>
    <row r="263" spans="2:8" x14ac:dyDescent="0.3">
      <c r="B263" s="72">
        <v>45404</v>
      </c>
      <c r="C263" s="73">
        <v>2830.3249999999998</v>
      </c>
      <c r="D263" s="74">
        <f t="shared" si="9"/>
        <v>0.1618262797093715</v>
      </c>
      <c r="E263" s="1">
        <v>1.2955755379591042E-2</v>
      </c>
      <c r="G263" s="75">
        <v>261</v>
      </c>
      <c r="H263" s="1">
        <f t="shared" ca="1" si="10"/>
        <v>9.5533351181072926E-3</v>
      </c>
    </row>
    <row r="264" spans="2:8" x14ac:dyDescent="0.3">
      <c r="B264" s="72">
        <v>45763</v>
      </c>
      <c r="C264" s="73">
        <v>2436.1</v>
      </c>
      <c r="D264" s="74">
        <f t="shared" si="9"/>
        <v>0.85717280680020591</v>
      </c>
      <c r="E264" s="1">
        <v>1.2931392931392893E-2</v>
      </c>
      <c r="G264" s="75">
        <v>262</v>
      </c>
      <c r="H264" s="1">
        <f t="shared" ca="1" si="10"/>
        <v>1.2464137063822194E-2</v>
      </c>
    </row>
    <row r="265" spans="2:8" x14ac:dyDescent="0.3">
      <c r="B265" s="72">
        <v>43248</v>
      </c>
      <c r="C265" s="73">
        <v>1311.7249999999999</v>
      </c>
      <c r="D265" s="74">
        <f t="shared" si="9"/>
        <v>-0.26993557723079492</v>
      </c>
      <c r="E265" s="1">
        <v>1.2915057915057844E-2</v>
      </c>
      <c r="G265" s="75">
        <v>263</v>
      </c>
      <c r="H265" s="1">
        <f t="shared" ca="1" si="10"/>
        <v>8.2209664300634637E-3</v>
      </c>
    </row>
    <row r="266" spans="2:8" x14ac:dyDescent="0.3">
      <c r="B266" s="72">
        <v>43763</v>
      </c>
      <c r="C266" s="73">
        <v>1796.7249999999999</v>
      </c>
      <c r="D266" s="74">
        <f t="shared" si="9"/>
        <v>-0.36399115044247793</v>
      </c>
      <c r="E266" s="1">
        <v>1.2810033821871425E-2</v>
      </c>
      <c r="G266" s="75">
        <v>264</v>
      </c>
      <c r="H266" s="1">
        <f t="shared" ca="1" si="10"/>
        <v>3.6545857156309286E-2</v>
      </c>
    </row>
    <row r="267" spans="2:8" x14ac:dyDescent="0.3">
      <c r="B267" s="72">
        <v>44708</v>
      </c>
      <c r="C267" s="73">
        <v>2825</v>
      </c>
      <c r="D267" s="74">
        <f t="shared" si="9"/>
        <v>0.14766252627944076</v>
      </c>
      <c r="E267" s="1">
        <v>1.2807987738749284E-2</v>
      </c>
      <c r="G267" s="75">
        <v>265</v>
      </c>
      <c r="H267" s="1">
        <f t="shared" ca="1" si="10"/>
        <v>-1.0339507500716221E-2</v>
      </c>
    </row>
    <row r="268" spans="2:8" x14ac:dyDescent="0.3">
      <c r="B268" s="72">
        <v>44281</v>
      </c>
      <c r="C268" s="73">
        <v>2461.5249999999996</v>
      </c>
      <c r="D268" s="74">
        <f t="shared" si="9"/>
        <v>0.67890393206697774</v>
      </c>
      <c r="E268" s="1">
        <v>1.2764863196872922E-2</v>
      </c>
      <c r="G268" s="75">
        <v>266</v>
      </c>
      <c r="H268" s="1">
        <f t="shared" ca="1" si="10"/>
        <v>-7.0605240196486355E-3</v>
      </c>
    </row>
    <row r="269" spans="2:8" x14ac:dyDescent="0.3">
      <c r="B269" s="72">
        <v>43585</v>
      </c>
      <c r="C269" s="73">
        <v>1466.15</v>
      </c>
      <c r="D269" s="74">
        <f t="shared" si="9"/>
        <v>-0.58574849368867921</v>
      </c>
      <c r="E269" s="1">
        <v>1.2761842264320471E-2</v>
      </c>
      <c r="G269" s="75">
        <v>267</v>
      </c>
      <c r="H269" s="1">
        <f t="shared" ca="1" si="10"/>
        <v>-1.2750553688342115E-2</v>
      </c>
    </row>
    <row r="270" spans="2:8" x14ac:dyDescent="0.3">
      <c r="B270" s="72">
        <v>44568</v>
      </c>
      <c r="C270" s="73">
        <v>3539.2750000000001</v>
      </c>
      <c r="D270" s="74">
        <f t="shared" si="9"/>
        <v>0.18134330226387077</v>
      </c>
      <c r="E270" s="1">
        <v>1.2711561297337432E-2</v>
      </c>
      <c r="G270" s="75">
        <v>268</v>
      </c>
      <c r="H270" s="1">
        <f t="shared" ca="1" si="10"/>
        <v>-2.437218803286928E-3</v>
      </c>
    </row>
    <row r="271" spans="2:8" x14ac:dyDescent="0.3">
      <c r="B271" s="72">
        <v>45337</v>
      </c>
      <c r="C271" s="73">
        <v>2995.9749999999999</v>
      </c>
      <c r="D271" s="74">
        <f t="shared" si="9"/>
        <v>0.88841790104002516</v>
      </c>
      <c r="E271" s="1">
        <v>1.2692564455749166E-2</v>
      </c>
      <c r="G271" s="75">
        <v>269</v>
      </c>
      <c r="H271" s="1">
        <f t="shared" ca="1" si="10"/>
        <v>7.5034970978392584E-4</v>
      </c>
    </row>
    <row r="272" spans="2:8" x14ac:dyDescent="0.3">
      <c r="B272" s="72">
        <v>43928</v>
      </c>
      <c r="C272" s="73">
        <v>1586.5</v>
      </c>
      <c r="D272" s="74">
        <f t="shared" si="9"/>
        <v>-7.7844137349782738E-2</v>
      </c>
      <c r="E272" s="1">
        <v>1.2686507619883507E-2</v>
      </c>
      <c r="G272" s="75">
        <v>270</v>
      </c>
      <c r="H272" s="1">
        <f t="shared" ca="1" si="10"/>
        <v>1.1141074676771721E-2</v>
      </c>
    </row>
    <row r="273" spans="2:8" x14ac:dyDescent="0.3">
      <c r="B273" s="72">
        <v>43801</v>
      </c>
      <c r="C273" s="73">
        <v>1720.425</v>
      </c>
      <c r="D273" s="74">
        <f t="shared" si="9"/>
        <v>-0.48889664597011379</v>
      </c>
      <c r="E273" s="1">
        <v>1.268486498418068E-2</v>
      </c>
      <c r="G273" s="75">
        <v>271</v>
      </c>
      <c r="H273" s="1">
        <f t="shared" ca="1" si="10"/>
        <v>-1.3228121743932729E-3</v>
      </c>
    </row>
    <row r="274" spans="2:8" x14ac:dyDescent="0.3">
      <c r="B274" s="72">
        <v>44559</v>
      </c>
      <c r="C274" s="73">
        <v>3366.1</v>
      </c>
      <c r="D274" s="74">
        <f t="shared" si="9"/>
        <v>0.8688615606695721</v>
      </c>
      <c r="E274" s="1">
        <v>1.2665463297232223E-2</v>
      </c>
      <c r="G274" s="75">
        <v>272</v>
      </c>
      <c r="H274" s="1">
        <f t="shared" ca="1" si="10"/>
        <v>-2.83495594505505E-2</v>
      </c>
    </row>
    <row r="275" spans="2:8" x14ac:dyDescent="0.3">
      <c r="B275" s="72">
        <v>43843</v>
      </c>
      <c r="C275" s="73">
        <v>1801.15</v>
      </c>
      <c r="D275" s="74">
        <f t="shared" si="9"/>
        <v>-0.42508079639308938</v>
      </c>
      <c r="E275" s="1">
        <v>1.2650043572372304E-2</v>
      </c>
      <c r="G275" s="75">
        <v>273</v>
      </c>
      <c r="H275" s="1">
        <f t="shared" ca="1" si="10"/>
        <v>-2.4937228482094492E-3</v>
      </c>
    </row>
    <row r="276" spans="2:8" x14ac:dyDescent="0.3">
      <c r="B276" s="72">
        <v>45058</v>
      </c>
      <c r="C276" s="73">
        <v>3132.875</v>
      </c>
      <c r="D276" s="74">
        <f t="shared" si="9"/>
        <v>1.6105116240313309</v>
      </c>
      <c r="E276" s="1">
        <v>1.2621916236374127E-2</v>
      </c>
      <c r="G276" s="75">
        <v>274</v>
      </c>
      <c r="H276" s="1">
        <f t="shared" ca="1" si="10"/>
        <v>9.9112606253406402E-3</v>
      </c>
    </row>
    <row r="277" spans="2:8" x14ac:dyDescent="0.3">
      <c r="B277" s="72">
        <v>43402</v>
      </c>
      <c r="C277" s="73">
        <v>1200.0999999999999</v>
      </c>
      <c r="D277" s="74">
        <f t="shared" si="9"/>
        <v>-0.47107692985742305</v>
      </c>
      <c r="E277" s="1">
        <v>1.2593076971755188E-2</v>
      </c>
      <c r="G277" s="75">
        <v>275</v>
      </c>
      <c r="H277" s="1">
        <f t="shared" ca="1" si="10"/>
        <v>9.2252159933815265E-3</v>
      </c>
    </row>
    <row r="278" spans="2:8" x14ac:dyDescent="0.3">
      <c r="B278" s="72">
        <v>45677</v>
      </c>
      <c r="C278" s="73">
        <v>2268.9499999999998</v>
      </c>
      <c r="D278" s="74">
        <f t="shared" si="9"/>
        <v>0.46023522597461086</v>
      </c>
      <c r="E278" s="1">
        <v>1.2573774698485892E-2</v>
      </c>
      <c r="G278" s="75">
        <v>276</v>
      </c>
      <c r="H278" s="1">
        <f t="shared" ca="1" si="10"/>
        <v>-2.2985721538176058E-4</v>
      </c>
    </row>
    <row r="279" spans="2:8" x14ac:dyDescent="0.3">
      <c r="B279" s="72">
        <v>43719</v>
      </c>
      <c r="C279" s="73">
        <v>1553.825</v>
      </c>
      <c r="D279" s="74">
        <f t="shared" si="9"/>
        <v>-0.42295444206148042</v>
      </c>
      <c r="E279" s="1">
        <v>1.2527694513228292E-2</v>
      </c>
      <c r="G279" s="75">
        <v>277</v>
      </c>
      <c r="H279" s="1">
        <f t="shared" ca="1" si="10"/>
        <v>2.2321694838669391E-3</v>
      </c>
    </row>
    <row r="280" spans="2:8" x14ac:dyDescent="0.3">
      <c r="B280" s="72">
        <v>44194</v>
      </c>
      <c r="C280" s="73">
        <v>2692.7249999999999</v>
      </c>
      <c r="D280" s="74">
        <f t="shared" si="9"/>
        <v>-2.2746243739566008E-2</v>
      </c>
      <c r="E280" s="1">
        <v>1.2483432191838699E-2</v>
      </c>
      <c r="G280" s="75">
        <v>278</v>
      </c>
      <c r="H280" s="1">
        <f t="shared" ca="1" si="10"/>
        <v>1.5474040353166043E-2</v>
      </c>
    </row>
    <row r="281" spans="2:8" x14ac:dyDescent="0.3">
      <c r="B281" s="72">
        <v>44736</v>
      </c>
      <c r="C281" s="73">
        <v>2755.4</v>
      </c>
      <c r="D281" s="74">
        <f t="shared" si="9"/>
        <v>0.57285155692553602</v>
      </c>
      <c r="E281" s="1">
        <v>1.2474967388708326E-2</v>
      </c>
      <c r="G281" s="75">
        <v>279</v>
      </c>
      <c r="H281" s="1">
        <f t="shared" ca="1" si="10"/>
        <v>1.1703227272534708E-2</v>
      </c>
    </row>
    <row r="282" spans="2:8" x14ac:dyDescent="0.3">
      <c r="B282" s="72">
        <v>43747</v>
      </c>
      <c r="C282" s="73">
        <v>1751.85</v>
      </c>
      <c r="D282" s="74">
        <f t="shared" si="9"/>
        <v>-0.46393818849449209</v>
      </c>
      <c r="E282" s="1">
        <v>1.2395977808599062E-2</v>
      </c>
      <c r="G282" s="75">
        <v>280</v>
      </c>
      <c r="H282" s="1">
        <f t="shared" ca="1" si="10"/>
        <v>2.6510817673107048E-2</v>
      </c>
    </row>
    <row r="283" spans="2:8" x14ac:dyDescent="0.3">
      <c r="B283" s="72">
        <v>44551</v>
      </c>
      <c r="C283" s="73">
        <v>3268</v>
      </c>
      <c r="D283" s="74">
        <f t="shared" si="9"/>
        <v>0.34762886597938142</v>
      </c>
      <c r="E283" s="1">
        <v>1.2391573729863693E-2</v>
      </c>
      <c r="G283" s="75">
        <v>281</v>
      </c>
      <c r="H283" s="1">
        <f t="shared" ca="1" si="10"/>
        <v>1.4666996170403282E-2</v>
      </c>
    </row>
    <row r="284" spans="2:8" x14ac:dyDescent="0.3">
      <c r="B284" s="72">
        <v>45870</v>
      </c>
      <c r="C284" s="73">
        <v>2425</v>
      </c>
      <c r="D284" s="74">
        <f t="shared" si="9"/>
        <v>-0.15418287089517105</v>
      </c>
      <c r="E284" s="1">
        <v>1.2378149330995509E-2</v>
      </c>
      <c r="G284" s="75">
        <v>282</v>
      </c>
      <c r="H284" s="1">
        <f t="shared" ca="1" si="10"/>
        <v>1.8739482000093514E-2</v>
      </c>
    </row>
    <row r="285" spans="2:8" x14ac:dyDescent="0.3">
      <c r="B285" s="72">
        <v>45037</v>
      </c>
      <c r="C285" s="73">
        <v>2867.05</v>
      </c>
      <c r="D285" s="74">
        <f t="shared" si="9"/>
        <v>-6.6221552741928855E-2</v>
      </c>
      <c r="E285" s="1">
        <v>1.2349602323384926E-2</v>
      </c>
      <c r="G285" s="75">
        <v>283</v>
      </c>
      <c r="H285" s="1">
        <f t="shared" ca="1" si="10"/>
        <v>1.4332244376842952E-2</v>
      </c>
    </row>
    <row r="286" spans="2:8" x14ac:dyDescent="0.3">
      <c r="B286" s="72">
        <v>44764</v>
      </c>
      <c r="C286" s="73">
        <v>3070.375</v>
      </c>
      <c r="D286" s="74">
        <f t="shared" si="9"/>
        <v>4.698942056042904E-2</v>
      </c>
      <c r="E286" s="1">
        <v>1.2331127028742436E-2</v>
      </c>
      <c r="G286" s="75">
        <v>284</v>
      </c>
      <c r="H286" s="1">
        <f t="shared" ca="1" si="10"/>
        <v>1.6646439761378948E-2</v>
      </c>
    </row>
    <row r="287" spans="2:8" x14ac:dyDescent="0.3">
      <c r="B287" s="72">
        <v>45499</v>
      </c>
      <c r="C287" s="73">
        <v>2932.5749999999998</v>
      </c>
      <c r="D287" s="74">
        <f t="shared" si="9"/>
        <v>-0.16809333002375806</v>
      </c>
      <c r="E287" s="1">
        <v>1.2288680433900849E-2</v>
      </c>
      <c r="G287" s="75">
        <v>285</v>
      </c>
      <c r="H287" s="1">
        <f t="shared" ca="1" si="10"/>
        <v>-7.6948068383239712E-3</v>
      </c>
    </row>
    <row r="288" spans="2:8" x14ac:dyDescent="0.3">
      <c r="B288" s="72">
        <v>44790</v>
      </c>
      <c r="C288" s="73">
        <v>3525.125</v>
      </c>
      <c r="D288" s="74">
        <f t="shared" si="9"/>
        <v>0.17170231506872075</v>
      </c>
      <c r="E288" s="1">
        <v>1.227610466994508E-2</v>
      </c>
      <c r="G288" s="75">
        <v>286</v>
      </c>
      <c r="H288" s="1">
        <f t="shared" ca="1" si="10"/>
        <v>-9.945206315489695E-3</v>
      </c>
    </row>
    <row r="289" spans="2:8" x14ac:dyDescent="0.3">
      <c r="B289" s="72">
        <v>44425</v>
      </c>
      <c r="C289" s="73">
        <v>3008.55</v>
      </c>
      <c r="D289" s="74">
        <f t="shared" si="9"/>
        <v>6.6313420404402121E-2</v>
      </c>
      <c r="E289" s="1">
        <v>1.2272570510502045E-2</v>
      </c>
      <c r="G289" s="75">
        <v>287</v>
      </c>
      <c r="H289" s="1">
        <f t="shared" ca="1" si="10"/>
        <v>1.313342518446275E-2</v>
      </c>
    </row>
    <row r="290" spans="2:8" x14ac:dyDescent="0.3">
      <c r="B290" s="72">
        <v>46031</v>
      </c>
      <c r="C290" s="73">
        <v>2821.45</v>
      </c>
      <c r="D290" s="74">
        <f t="shared" si="9"/>
        <v>0.72449728011735226</v>
      </c>
      <c r="E290" s="1">
        <v>1.2215684867618636E-2</v>
      </c>
      <c r="G290" s="75">
        <v>288</v>
      </c>
      <c r="H290" s="1">
        <f t="shared" ca="1" si="10"/>
        <v>1.3020128324772231E-2</v>
      </c>
    </row>
    <row r="291" spans="2:8" x14ac:dyDescent="0.3">
      <c r="B291" s="72">
        <v>43979</v>
      </c>
      <c r="C291" s="73">
        <v>1636.1</v>
      </c>
      <c r="D291" s="74">
        <f t="shared" si="9"/>
        <v>-0.4850537812084445</v>
      </c>
      <c r="E291" s="1">
        <v>1.2187577332343366E-2</v>
      </c>
      <c r="G291" s="75">
        <v>289</v>
      </c>
      <c r="H291" s="1">
        <f t="shared" ca="1" si="10"/>
        <v>2.1375609350514767E-2</v>
      </c>
    </row>
    <row r="292" spans="2:8" x14ac:dyDescent="0.3">
      <c r="B292" s="72">
        <v>44658</v>
      </c>
      <c r="C292" s="73">
        <v>3177.2249999999999</v>
      </c>
      <c r="D292" s="74">
        <f t="shared" si="9"/>
        <v>1.0000472121240733</v>
      </c>
      <c r="E292" s="1">
        <v>1.2177445046193025E-2</v>
      </c>
      <c r="G292" s="75">
        <v>290</v>
      </c>
      <c r="H292" s="1">
        <f t="shared" ca="1" si="10"/>
        <v>-7.2756147837080678E-3</v>
      </c>
    </row>
    <row r="293" spans="2:8" x14ac:dyDescent="0.3">
      <c r="B293" s="72">
        <v>43703</v>
      </c>
      <c r="C293" s="73">
        <v>1588.575</v>
      </c>
      <c r="D293" s="74">
        <f t="shared" si="9"/>
        <v>-0.33018151919549682</v>
      </c>
      <c r="E293" s="1">
        <v>1.215355208665183E-2</v>
      </c>
      <c r="G293" s="75">
        <v>291</v>
      </c>
      <c r="H293" s="1">
        <f t="shared" ca="1" si="10"/>
        <v>8.7420359986157114E-3</v>
      </c>
    </row>
    <row r="294" spans="2:8" x14ac:dyDescent="0.3">
      <c r="B294" s="72">
        <v>45867</v>
      </c>
      <c r="C294" s="73">
        <v>2371.65</v>
      </c>
      <c r="D294" s="74">
        <f t="shared" si="9"/>
        <v>0.67667020148462365</v>
      </c>
      <c r="E294" s="1">
        <v>1.2141515875725621E-2</v>
      </c>
      <c r="G294" s="75">
        <v>292</v>
      </c>
      <c r="H294" s="1">
        <f t="shared" ca="1" si="10"/>
        <v>-1.3387855151524151E-2</v>
      </c>
    </row>
    <row r="295" spans="2:8" x14ac:dyDescent="0.3">
      <c r="B295" s="72">
        <v>43332</v>
      </c>
      <c r="C295" s="73">
        <v>1414.5</v>
      </c>
      <c r="D295" s="74">
        <f t="shared" si="9"/>
        <v>-0.56350675800777628</v>
      </c>
      <c r="E295" s="1">
        <v>1.2110262418832589E-2</v>
      </c>
      <c r="G295" s="75">
        <v>293</v>
      </c>
      <c r="H295" s="1">
        <f t="shared" ca="1" si="10"/>
        <v>-1.660845226039616E-3</v>
      </c>
    </row>
    <row r="296" spans="2:8" x14ac:dyDescent="0.3">
      <c r="B296" s="72">
        <v>45163</v>
      </c>
      <c r="C296" s="73">
        <v>3240.6</v>
      </c>
      <c r="D296" s="74">
        <f t="shared" si="9"/>
        <v>1.2043398408271546</v>
      </c>
      <c r="E296" s="1">
        <v>1.2086573596926768E-2</v>
      </c>
      <c r="G296" s="75">
        <v>294</v>
      </c>
      <c r="H296" s="1">
        <f t="shared" ca="1" si="10"/>
        <v>-3.7765701839013845E-3</v>
      </c>
    </row>
    <row r="297" spans="2:8" x14ac:dyDescent="0.3">
      <c r="B297" s="72">
        <v>43573</v>
      </c>
      <c r="C297" s="73">
        <v>1470.1</v>
      </c>
      <c r="D297" s="74">
        <f t="shared" si="9"/>
        <v>4.7079772079772014E-2</v>
      </c>
      <c r="E297" s="1">
        <v>1.2064781508699973E-2</v>
      </c>
      <c r="G297" s="75">
        <v>295</v>
      </c>
      <c r="H297" s="1">
        <f t="shared" ca="1" si="10"/>
        <v>-6.3731631276795269E-3</v>
      </c>
    </row>
    <row r="298" spans="2:8" x14ac:dyDescent="0.3">
      <c r="B298" s="72">
        <v>43535</v>
      </c>
      <c r="C298" s="73">
        <v>1404</v>
      </c>
      <c r="D298" s="74">
        <f t="shared" si="9"/>
        <v>-0.54844052778425489</v>
      </c>
      <c r="E298" s="1">
        <v>1.201953399527865E-2</v>
      </c>
      <c r="G298" s="75">
        <v>296</v>
      </c>
      <c r="H298" s="1">
        <f t="shared" ca="1" si="10"/>
        <v>1.1154858085596823E-2</v>
      </c>
    </row>
    <row r="299" spans="2:8" x14ac:dyDescent="0.3">
      <c r="B299" s="72">
        <v>45574</v>
      </c>
      <c r="C299" s="73">
        <v>3109.2249999999999</v>
      </c>
      <c r="D299" s="74">
        <f t="shared" si="9"/>
        <v>0.48314352155506524</v>
      </c>
      <c r="E299" s="1">
        <v>1.2010448113399491E-2</v>
      </c>
      <c r="G299" s="75">
        <v>297</v>
      </c>
      <c r="H299" s="1">
        <f t="shared" ca="1" si="10"/>
        <v>2.6727081840865946E-2</v>
      </c>
    </row>
    <row r="300" spans="2:8" x14ac:dyDescent="0.3">
      <c r="B300" s="72">
        <v>44111</v>
      </c>
      <c r="C300" s="73">
        <v>2096.375</v>
      </c>
      <c r="D300" s="74">
        <f t="shared" si="9"/>
        <v>-0.34538911310783071</v>
      </c>
      <c r="E300" s="1">
        <v>1.200820661356505E-2</v>
      </c>
      <c r="G300" s="75">
        <v>298</v>
      </c>
      <c r="H300" s="1">
        <f t="shared" ca="1" si="10"/>
        <v>1.5261124353656117E-2</v>
      </c>
    </row>
    <row r="301" spans="2:8" x14ac:dyDescent="0.3">
      <c r="B301" s="72">
        <v>44517</v>
      </c>
      <c r="C301" s="73">
        <v>3202.4750000000004</v>
      </c>
      <c r="D301" s="74">
        <f t="shared" si="9"/>
        <v>1.8285417770711891</v>
      </c>
      <c r="E301" s="1">
        <v>1.198432636551806E-2</v>
      </c>
      <c r="G301" s="75">
        <v>299</v>
      </c>
      <c r="H301" s="1">
        <f t="shared" ca="1" si="10"/>
        <v>1.3134722543459501E-3</v>
      </c>
    </row>
    <row r="302" spans="2:8" x14ac:dyDescent="0.3">
      <c r="B302" s="72">
        <v>43168</v>
      </c>
      <c r="C302" s="73">
        <v>1132.2</v>
      </c>
      <c r="D302" s="74">
        <f t="shared" si="9"/>
        <v>-0.45957685469147147</v>
      </c>
      <c r="E302" s="1">
        <v>1.197711834107981E-2</v>
      </c>
      <c r="G302" s="75">
        <v>300</v>
      </c>
      <c r="H302" s="1">
        <f t="shared" ca="1" si="10"/>
        <v>6.1000931287199254E-3</v>
      </c>
    </row>
    <row r="303" spans="2:8" x14ac:dyDescent="0.3">
      <c r="B303" s="72">
        <v>44119</v>
      </c>
      <c r="C303" s="73">
        <v>2095.0250000000001</v>
      </c>
      <c r="D303" s="74">
        <f t="shared" si="9"/>
        <v>0.11322032997688569</v>
      </c>
      <c r="E303" s="1">
        <v>1.1967153725395528E-2</v>
      </c>
      <c r="G303" s="75">
        <v>301</v>
      </c>
      <c r="H303" s="1">
        <f t="shared" ca="1" si="10"/>
        <v>2.3541602868489341E-2</v>
      </c>
    </row>
    <row r="304" spans="2:8" x14ac:dyDescent="0.3">
      <c r="B304" s="72">
        <v>43899</v>
      </c>
      <c r="C304" s="73">
        <v>1881.95</v>
      </c>
      <c r="D304" s="74">
        <f t="shared" si="9"/>
        <v>-0.38743093360675085</v>
      </c>
      <c r="E304" s="1">
        <v>1.1964295316448889E-2</v>
      </c>
      <c r="G304" s="75">
        <v>302</v>
      </c>
      <c r="H304" s="1">
        <f t="shared" ca="1" si="10"/>
        <v>-1.9646523356015706E-2</v>
      </c>
    </row>
    <row r="305" spans="2:8" x14ac:dyDescent="0.3">
      <c r="B305" s="72">
        <v>45580</v>
      </c>
      <c r="C305" s="73">
        <v>3072.2250000000004</v>
      </c>
      <c r="D305" s="74">
        <f t="shared" si="9"/>
        <v>9.6743389053003767E-2</v>
      </c>
      <c r="E305" s="1">
        <v>1.1898488192088684E-2</v>
      </c>
      <c r="G305" s="75">
        <v>303</v>
      </c>
      <c r="H305" s="1">
        <f t="shared" ca="1" si="10"/>
        <v>-1.6590860652310527E-2</v>
      </c>
    </row>
    <row r="306" spans="2:8" x14ac:dyDescent="0.3">
      <c r="B306" s="72">
        <v>44202</v>
      </c>
      <c r="C306" s="73">
        <v>2801.2249999999999</v>
      </c>
      <c r="D306" s="74">
        <f t="shared" si="9"/>
        <v>-0.16938598507031186</v>
      </c>
      <c r="E306" s="1">
        <v>1.1893580898023958E-2</v>
      </c>
      <c r="G306" s="75">
        <v>304</v>
      </c>
      <c r="H306" s="1">
        <f t="shared" ca="1" si="10"/>
        <v>-2.1586872359518922E-2</v>
      </c>
    </row>
    <row r="307" spans="2:8" x14ac:dyDescent="0.3">
      <c r="B307" s="72">
        <v>45118</v>
      </c>
      <c r="C307" s="73">
        <v>3372.4749999999999</v>
      </c>
      <c r="D307" s="74">
        <f t="shared" si="9"/>
        <v>0.89608691985494604</v>
      </c>
      <c r="E307" s="1">
        <v>1.1843684368436816E-2</v>
      </c>
      <c r="G307" s="75">
        <v>305</v>
      </c>
      <c r="H307" s="1">
        <f t="shared" ca="1" si="10"/>
        <v>-5.0017348439911459E-3</v>
      </c>
    </row>
    <row r="308" spans="2:8" x14ac:dyDescent="0.3">
      <c r="B308" s="72">
        <v>43840</v>
      </c>
      <c r="C308" s="73">
        <v>1778.65</v>
      </c>
      <c r="D308" s="74">
        <f t="shared" si="9"/>
        <v>0.46451214491560322</v>
      </c>
      <c r="E308" s="1">
        <v>1.1746302616609836E-2</v>
      </c>
      <c r="G308" s="75">
        <v>306</v>
      </c>
      <c r="H308" s="1">
        <f t="shared" ca="1" si="10"/>
        <v>9.8231424871097562E-4</v>
      </c>
    </row>
    <row r="309" spans="2:8" x14ac:dyDescent="0.3">
      <c r="B309" s="72">
        <v>43228</v>
      </c>
      <c r="C309" s="73">
        <v>1214.5</v>
      </c>
      <c r="D309" s="74">
        <f t="shared" si="9"/>
        <v>-0.11540842710950876</v>
      </c>
      <c r="E309" s="1">
        <v>1.1746084638453773E-2</v>
      </c>
      <c r="G309" s="75">
        <v>307</v>
      </c>
      <c r="H309" s="1">
        <f t="shared" ca="1" si="10"/>
        <v>1.0300272332537094E-2</v>
      </c>
    </row>
    <row r="310" spans="2:8" x14ac:dyDescent="0.3">
      <c r="B310" s="72">
        <v>43615</v>
      </c>
      <c r="C310" s="73">
        <v>1372.95</v>
      </c>
      <c r="D310" s="74">
        <f t="shared" si="9"/>
        <v>-0.41526831345826232</v>
      </c>
      <c r="E310" s="1">
        <v>1.1735229638363298E-2</v>
      </c>
      <c r="G310" s="75">
        <v>308</v>
      </c>
      <c r="H310" s="1">
        <f t="shared" ca="1" si="10"/>
        <v>8.5387797392107103E-4</v>
      </c>
    </row>
    <row r="311" spans="2:8" x14ac:dyDescent="0.3">
      <c r="B311" s="72">
        <v>45838</v>
      </c>
      <c r="C311" s="73">
        <v>2348</v>
      </c>
      <c r="D311" s="74">
        <f t="shared" si="9"/>
        <v>-0.32708566188060645</v>
      </c>
      <c r="E311" s="1">
        <v>1.1720096518441837E-2</v>
      </c>
      <c r="G311" s="75">
        <v>309</v>
      </c>
      <c r="H311" s="1">
        <f t="shared" ca="1" si="10"/>
        <v>1.4378475699894104E-2</v>
      </c>
    </row>
    <row r="312" spans="2:8" x14ac:dyDescent="0.3">
      <c r="B312" s="72">
        <v>45125</v>
      </c>
      <c r="C312" s="73">
        <v>3489.3</v>
      </c>
      <c r="D312" s="74">
        <f t="shared" si="9"/>
        <v>0.20350777349509794</v>
      </c>
      <c r="E312" s="1">
        <v>1.1684546245288542E-2</v>
      </c>
      <c r="G312" s="75">
        <v>310</v>
      </c>
      <c r="H312" s="1">
        <f t="shared" ca="1" si="10"/>
        <v>-1.3830871442095969E-2</v>
      </c>
    </row>
    <row r="313" spans="2:8" x14ac:dyDescent="0.3">
      <c r="B313" s="72">
        <v>45435</v>
      </c>
      <c r="C313" s="73">
        <v>2899.2750000000001</v>
      </c>
      <c r="D313" s="74">
        <f t="shared" si="9"/>
        <v>0.18178575795866786</v>
      </c>
      <c r="E313" s="1">
        <v>1.1680857003280028E-2</v>
      </c>
      <c r="G313" s="75">
        <v>311</v>
      </c>
      <c r="H313" s="1">
        <f t="shared" ca="1" si="10"/>
        <v>-2.2510885524180992E-2</v>
      </c>
    </row>
    <row r="314" spans="2:8" x14ac:dyDescent="0.3">
      <c r="B314" s="72">
        <v>45873</v>
      </c>
      <c r="C314" s="73">
        <v>2453.3000000000002</v>
      </c>
      <c r="D314" s="74">
        <f t="shared" si="9"/>
        <v>-0.22801220932062038</v>
      </c>
      <c r="E314" s="1">
        <v>1.1670103092783581E-2</v>
      </c>
      <c r="G314" s="75">
        <v>312</v>
      </c>
      <c r="H314" s="1">
        <f t="shared" ca="1" si="10"/>
        <v>-2.1846991614458918E-3</v>
      </c>
    </row>
    <row r="315" spans="2:8" x14ac:dyDescent="0.3">
      <c r="B315" s="72">
        <v>45077</v>
      </c>
      <c r="C315" s="73">
        <v>3177.8999999999996</v>
      </c>
      <c r="D315" s="74">
        <f t="shared" si="9"/>
        <v>1.2538297872340423</v>
      </c>
      <c r="E315" s="1">
        <v>1.1659278477688054E-2</v>
      </c>
      <c r="G315" s="75">
        <v>313</v>
      </c>
      <c r="H315" s="1">
        <f t="shared" ca="1" si="10"/>
        <v>2.243386540773825E-3</v>
      </c>
    </row>
    <row r="316" spans="2:8" x14ac:dyDescent="0.3">
      <c r="B316" s="72">
        <v>43486</v>
      </c>
      <c r="C316" s="73">
        <v>1410</v>
      </c>
      <c r="D316" s="74">
        <f t="shared" si="9"/>
        <v>-0.56360259981429894</v>
      </c>
      <c r="E316" s="1">
        <v>1.1568469195587839E-2</v>
      </c>
      <c r="G316" s="75">
        <v>314</v>
      </c>
      <c r="H316" s="1">
        <f t="shared" ca="1" si="10"/>
        <v>-1.6690127024547235E-2</v>
      </c>
    </row>
    <row r="317" spans="2:8" x14ac:dyDescent="0.3">
      <c r="B317" s="72">
        <v>44852</v>
      </c>
      <c r="C317" s="73">
        <v>3231</v>
      </c>
      <c r="D317" s="74">
        <f t="shared" si="9"/>
        <v>9.7178949513129026E-2</v>
      </c>
      <c r="E317" s="1">
        <v>1.1568384965795719E-2</v>
      </c>
      <c r="G317" s="75">
        <v>315</v>
      </c>
      <c r="H317" s="1">
        <f t="shared" ca="1" si="10"/>
        <v>-6.2792509449289483E-4</v>
      </c>
    </row>
    <row r="318" spans="2:8" x14ac:dyDescent="0.3">
      <c r="B318" s="72">
        <v>44634</v>
      </c>
      <c r="C318" s="73">
        <v>2944.8249999999998</v>
      </c>
      <c r="D318" s="74">
        <f t="shared" si="9"/>
        <v>0.2398741105637657</v>
      </c>
      <c r="E318" s="1">
        <v>1.1567593562681479E-2</v>
      </c>
      <c r="G318" s="75">
        <v>316</v>
      </c>
      <c r="H318" s="1">
        <f t="shared" ca="1" si="10"/>
        <v>-7.7136566438875693E-3</v>
      </c>
    </row>
    <row r="319" spans="2:8" x14ac:dyDescent="0.3">
      <c r="B319" s="72">
        <v>45839</v>
      </c>
      <c r="C319" s="73">
        <v>2375.1</v>
      </c>
      <c r="D319" s="74">
        <f t="shared" si="9"/>
        <v>0.3071546505228398</v>
      </c>
      <c r="E319" s="1">
        <v>1.1541737649062994E-2</v>
      </c>
      <c r="G319" s="75">
        <v>317</v>
      </c>
      <c r="H319" s="1">
        <f t="shared" ca="1" si="10"/>
        <v>-7.2444671382133549E-5</v>
      </c>
    </row>
    <row r="320" spans="2:8" x14ac:dyDescent="0.3">
      <c r="B320" s="72">
        <v>43768</v>
      </c>
      <c r="C320" s="73">
        <v>1817</v>
      </c>
      <c r="D320" s="74">
        <f t="shared" si="9"/>
        <v>-0.36334968465311845</v>
      </c>
      <c r="E320" s="1">
        <v>1.1537765653922651E-2</v>
      </c>
      <c r="G320" s="75">
        <v>318</v>
      </c>
      <c r="H320" s="1">
        <f t="shared" ca="1" si="10"/>
        <v>-3.7127041981810549E-2</v>
      </c>
    </row>
    <row r="321" spans="2:8" x14ac:dyDescent="0.3">
      <c r="B321" s="72">
        <v>46034</v>
      </c>
      <c r="C321" s="73">
        <v>2854</v>
      </c>
      <c r="D321" s="74">
        <f t="shared" si="9"/>
        <v>0.54443497436313704</v>
      </c>
      <c r="E321" s="1">
        <v>1.15366212408514E-2</v>
      </c>
      <c r="G321" s="75">
        <v>319</v>
      </c>
      <c r="H321" s="1">
        <f t="shared" ca="1" si="10"/>
        <v>6.3547298753258395E-3</v>
      </c>
    </row>
    <row r="322" spans="2:8" x14ac:dyDescent="0.3">
      <c r="B322" s="72">
        <v>43850</v>
      </c>
      <c r="C322" s="73">
        <v>1847.925</v>
      </c>
      <c r="D322" s="74">
        <f t="shared" si="9"/>
        <v>-0.38155637921369467</v>
      </c>
      <c r="E322" s="1">
        <v>1.1480883439612418E-2</v>
      </c>
      <c r="G322" s="75">
        <v>320</v>
      </c>
      <c r="H322" s="1">
        <f t="shared" ca="1" si="10"/>
        <v>-8.9962472618020147E-3</v>
      </c>
    </row>
    <row r="323" spans="2:8" x14ac:dyDescent="0.3">
      <c r="B323" s="72">
        <v>45051</v>
      </c>
      <c r="C323" s="73">
        <v>2988.0250000000001</v>
      </c>
      <c r="D323" s="74">
        <f t="shared" ref="D323:D386" si="11">(C323-C324)/C324</f>
        <v>0.3052133840038439</v>
      </c>
      <c r="E323" s="1">
        <v>1.1466919418445238E-2</v>
      </c>
      <c r="G323" s="75">
        <v>321</v>
      </c>
      <c r="H323" s="1">
        <f t="shared" ca="1" si="10"/>
        <v>-1.9355512051893814E-2</v>
      </c>
    </row>
    <row r="324" spans="2:8" x14ac:dyDescent="0.3">
      <c r="B324" s="72">
        <v>45832</v>
      </c>
      <c r="C324" s="73">
        <v>2289.3000000000002</v>
      </c>
      <c r="D324" s="74">
        <f t="shared" si="11"/>
        <v>-0.24789329303349369</v>
      </c>
      <c r="E324" s="1">
        <v>1.1465305851945043E-2</v>
      </c>
      <c r="G324" s="75">
        <v>322</v>
      </c>
      <c r="H324" s="1">
        <f t="shared" ref="H324:H387" ca="1" si="12">_xlfn.NORM.INV(RAND(),$N$4,$N$5)</f>
        <v>9.7010131948187354E-3</v>
      </c>
    </row>
    <row r="325" spans="2:8" x14ac:dyDescent="0.3">
      <c r="B325" s="72">
        <v>45516</v>
      </c>
      <c r="C325" s="73">
        <v>3043.85</v>
      </c>
      <c r="D325" s="74">
        <f t="shared" si="11"/>
        <v>-6.2844830400574586E-3</v>
      </c>
      <c r="E325" s="1">
        <v>1.1455867082035276E-2</v>
      </c>
      <c r="G325" s="75">
        <v>323</v>
      </c>
      <c r="H325" s="1">
        <f t="shared" ca="1" si="12"/>
        <v>7.0256712639433748E-3</v>
      </c>
    </row>
    <row r="326" spans="2:8" x14ac:dyDescent="0.3">
      <c r="B326" s="72">
        <v>45523</v>
      </c>
      <c r="C326" s="73">
        <v>3063.1</v>
      </c>
      <c r="D326" s="74">
        <f t="shared" si="11"/>
        <v>-7.6545070847151064E-2</v>
      </c>
      <c r="E326" s="1">
        <v>1.1424797754663995E-2</v>
      </c>
      <c r="G326" s="75">
        <v>324</v>
      </c>
      <c r="H326" s="1">
        <f t="shared" ca="1" si="12"/>
        <v>-1.0496415484782586E-2</v>
      </c>
    </row>
    <row r="327" spans="2:8" x14ac:dyDescent="0.3">
      <c r="B327" s="72">
        <v>44845</v>
      </c>
      <c r="C327" s="73">
        <v>3317</v>
      </c>
      <c r="D327" s="74">
        <f t="shared" si="11"/>
        <v>0.35440272758824842</v>
      </c>
      <c r="E327" s="1">
        <v>1.1403829735333606E-2</v>
      </c>
      <c r="G327" s="75">
        <v>325</v>
      </c>
      <c r="H327" s="1">
        <f t="shared" ca="1" si="12"/>
        <v>4.524623810194927E-3</v>
      </c>
    </row>
    <row r="328" spans="2:8" x14ac:dyDescent="0.3">
      <c r="B328" s="72">
        <v>45782</v>
      </c>
      <c r="C328" s="73">
        <v>2449.0500000000002</v>
      </c>
      <c r="D328" s="74">
        <f t="shared" si="11"/>
        <v>0.23041561475564276</v>
      </c>
      <c r="E328" s="1">
        <v>1.1398129220095549E-2</v>
      </c>
      <c r="G328" s="75">
        <v>326</v>
      </c>
      <c r="H328" s="1">
        <f t="shared" ca="1" si="12"/>
        <v>5.7089091533413347E-4</v>
      </c>
    </row>
    <row r="329" spans="2:8" x14ac:dyDescent="0.3">
      <c r="B329" s="72">
        <v>44068</v>
      </c>
      <c r="C329" s="73">
        <v>1990.425</v>
      </c>
      <c r="D329" s="74">
        <f t="shared" si="11"/>
        <v>-0.36353752807910911</v>
      </c>
      <c r="E329" s="1">
        <v>1.1394817073170709E-2</v>
      </c>
      <c r="G329" s="75">
        <v>327</v>
      </c>
      <c r="H329" s="1">
        <f t="shared" ca="1" si="12"/>
        <v>2.133280043941712E-2</v>
      </c>
    </row>
    <row r="330" spans="2:8" x14ac:dyDescent="0.3">
      <c r="B330" s="72">
        <v>45525</v>
      </c>
      <c r="C330" s="73">
        <v>3127.3249999999998</v>
      </c>
      <c r="D330" s="74">
        <f t="shared" si="11"/>
        <v>7.9411510915523273E-2</v>
      </c>
      <c r="E330" s="1">
        <v>1.1367403203246787E-2</v>
      </c>
      <c r="G330" s="75">
        <v>328</v>
      </c>
      <c r="H330" s="1">
        <f t="shared" ca="1" si="12"/>
        <v>-1.0699859005554316E-2</v>
      </c>
    </row>
    <row r="331" spans="2:8" x14ac:dyDescent="0.3">
      <c r="B331" s="72">
        <v>45386</v>
      </c>
      <c r="C331" s="73">
        <v>2897.25</v>
      </c>
      <c r="D331" s="74">
        <f t="shared" si="11"/>
        <v>9.1099101813320316E-2</v>
      </c>
      <c r="E331" s="1">
        <v>1.1335968793360704E-2</v>
      </c>
      <c r="G331" s="75">
        <v>329</v>
      </c>
      <c r="H331" s="1">
        <f t="shared" ca="1" si="12"/>
        <v>1.1483291568747217E-2</v>
      </c>
    </row>
    <row r="332" spans="2:8" x14ac:dyDescent="0.3">
      <c r="B332" s="72">
        <v>44727</v>
      </c>
      <c r="C332" s="73">
        <v>2655.35</v>
      </c>
      <c r="D332" s="74">
        <f t="shared" si="11"/>
        <v>-0.13703282417939555</v>
      </c>
      <c r="E332" s="1">
        <v>1.1301855713292668E-2</v>
      </c>
      <c r="G332" s="75">
        <v>330</v>
      </c>
      <c r="H332" s="1">
        <f t="shared" ca="1" si="12"/>
        <v>1.6604165518910127E-2</v>
      </c>
    </row>
    <row r="333" spans="2:8" x14ac:dyDescent="0.3">
      <c r="B333" s="72">
        <v>44538</v>
      </c>
      <c r="C333" s="73">
        <v>3077</v>
      </c>
      <c r="D333" s="74">
        <f t="shared" si="11"/>
        <v>8.7279151943462904E-2</v>
      </c>
      <c r="E333" s="1">
        <v>1.1264573696275572E-2</v>
      </c>
      <c r="G333" s="75">
        <v>331</v>
      </c>
      <c r="H333" s="1">
        <f t="shared" ca="1" si="12"/>
        <v>-3.3803813499233373E-3</v>
      </c>
    </row>
    <row r="334" spans="2:8" x14ac:dyDescent="0.3">
      <c r="B334" s="72">
        <v>46028</v>
      </c>
      <c r="C334" s="73">
        <v>2830</v>
      </c>
      <c r="D334" s="74">
        <f t="shared" si="11"/>
        <v>-1.2492148789168881E-2</v>
      </c>
      <c r="E334" s="1">
        <v>1.1256030016080042E-2</v>
      </c>
      <c r="G334" s="75">
        <v>332</v>
      </c>
      <c r="H334" s="1">
        <f t="shared" ca="1" si="12"/>
        <v>-4.9178920751319127E-4</v>
      </c>
    </row>
    <row r="335" spans="2:8" x14ac:dyDescent="0.3">
      <c r="B335" s="72">
        <v>45434</v>
      </c>
      <c r="C335" s="73">
        <v>2865.8</v>
      </c>
      <c r="D335" s="74">
        <f t="shared" si="11"/>
        <v>1.7323393681221221E-2</v>
      </c>
      <c r="E335" s="1">
        <v>1.1229809719563607E-2</v>
      </c>
      <c r="G335" s="75">
        <v>333</v>
      </c>
      <c r="H335" s="1">
        <f t="shared" ca="1" si="12"/>
        <v>-5.1273699653620287E-3</v>
      </c>
    </row>
    <row r="336" spans="2:8" x14ac:dyDescent="0.3">
      <c r="B336" s="72">
        <v>44334</v>
      </c>
      <c r="C336" s="73">
        <v>2817</v>
      </c>
      <c r="D336" s="74">
        <f t="shared" si="11"/>
        <v>0.69100322653260293</v>
      </c>
      <c r="E336" s="1">
        <v>1.1172432359671558E-2</v>
      </c>
      <c r="G336" s="75">
        <v>334</v>
      </c>
      <c r="H336" s="1">
        <f t="shared" ca="1" si="12"/>
        <v>-4.6343193700482911E-3</v>
      </c>
    </row>
    <row r="337" spans="2:8" x14ac:dyDescent="0.3">
      <c r="B337" s="72">
        <v>43991</v>
      </c>
      <c r="C337" s="73">
        <v>1665.875</v>
      </c>
      <c r="D337" s="74">
        <f t="shared" si="11"/>
        <v>7.6164020736769061E-2</v>
      </c>
      <c r="E337" s="1">
        <v>1.1153262518968133E-2</v>
      </c>
      <c r="G337" s="75">
        <v>335</v>
      </c>
      <c r="H337" s="1">
        <f t="shared" ca="1" si="12"/>
        <v>-1.711174669909302E-2</v>
      </c>
    </row>
    <row r="338" spans="2:8" x14ac:dyDescent="0.3">
      <c r="B338" s="72">
        <v>43726</v>
      </c>
      <c r="C338" s="73">
        <v>1547.9749999999999</v>
      </c>
      <c r="D338" s="74">
        <f t="shared" si="11"/>
        <v>-0.42616585112692773</v>
      </c>
      <c r="E338" s="1">
        <v>1.1120546066168127E-2</v>
      </c>
      <c r="G338" s="75">
        <v>336</v>
      </c>
      <c r="H338" s="1">
        <f t="shared" ca="1" si="12"/>
        <v>7.0554014443069482E-3</v>
      </c>
    </row>
    <row r="339" spans="2:8" x14ac:dyDescent="0.3">
      <c r="B339" s="72">
        <v>46044</v>
      </c>
      <c r="C339" s="73">
        <v>2697.6000000000004</v>
      </c>
      <c r="D339" s="74">
        <f t="shared" si="11"/>
        <v>-6.8492204630604625E-2</v>
      </c>
      <c r="E339" s="1">
        <v>1.1094452773613329E-2</v>
      </c>
      <c r="G339" s="75">
        <v>337</v>
      </c>
      <c r="H339" s="1">
        <f t="shared" ca="1" si="12"/>
        <v>-1.0470796898080226E-3</v>
      </c>
    </row>
    <row r="340" spans="2:8" x14ac:dyDescent="0.3">
      <c r="B340" s="72">
        <v>44753</v>
      </c>
      <c r="C340" s="73">
        <v>2895.95</v>
      </c>
      <c r="D340" s="74">
        <f t="shared" si="11"/>
        <v>-4.3538572053735916E-2</v>
      </c>
      <c r="E340" s="1">
        <v>1.1067469669197806E-2</v>
      </c>
      <c r="G340" s="75">
        <v>338</v>
      </c>
      <c r="H340" s="1">
        <f t="shared" ca="1" si="12"/>
        <v>-1.1255678585788395E-2</v>
      </c>
    </row>
    <row r="341" spans="2:8" x14ac:dyDescent="0.3">
      <c r="B341" s="72">
        <v>44645</v>
      </c>
      <c r="C341" s="73">
        <v>3027.7750000000001</v>
      </c>
      <c r="D341" s="74">
        <f t="shared" si="11"/>
        <v>1.5343391646438436</v>
      </c>
      <c r="E341" s="1">
        <v>1.1027631688788744E-2</v>
      </c>
      <c r="G341" s="75">
        <v>339</v>
      </c>
      <c r="H341" s="1">
        <f t="shared" ca="1" si="12"/>
        <v>-3.5591365566658454E-3</v>
      </c>
    </row>
    <row r="342" spans="2:8" x14ac:dyDescent="0.3">
      <c r="B342" s="72">
        <v>43220</v>
      </c>
      <c r="C342" s="73">
        <v>1194.7</v>
      </c>
      <c r="D342" s="74">
        <f t="shared" si="11"/>
        <v>-0.5335753884594362</v>
      </c>
      <c r="E342" s="1">
        <v>1.102248926312234E-2</v>
      </c>
      <c r="G342" s="75">
        <v>340</v>
      </c>
      <c r="H342" s="1">
        <f t="shared" ca="1" si="12"/>
        <v>1.6924739028360614E-2</v>
      </c>
    </row>
    <row r="343" spans="2:8" x14ac:dyDescent="0.3">
      <c r="B343" s="72">
        <v>46150</v>
      </c>
      <c r="C343" s="73">
        <v>2561.4</v>
      </c>
      <c r="D343" s="74">
        <f t="shared" si="11"/>
        <v>0.44560769816858098</v>
      </c>
      <c r="E343" s="1">
        <v>1.0992480906238245E-2</v>
      </c>
      <c r="G343" s="75">
        <v>341</v>
      </c>
      <c r="H343" s="1">
        <f t="shared" ca="1" si="12"/>
        <v>-4.6231421937124977E-3</v>
      </c>
    </row>
    <row r="344" spans="2:8" x14ac:dyDescent="0.3">
      <c r="B344" s="72">
        <v>44040</v>
      </c>
      <c r="C344" s="73">
        <v>1771.85</v>
      </c>
      <c r="D344" s="74">
        <f t="shared" si="11"/>
        <v>-0.44024893971583601</v>
      </c>
      <c r="E344" s="1">
        <v>1.0983681387652631E-2</v>
      </c>
      <c r="G344" s="75">
        <v>342</v>
      </c>
      <c r="H344" s="1">
        <f t="shared" ca="1" si="12"/>
        <v>-3.6053127995210862E-2</v>
      </c>
    </row>
    <row r="345" spans="2:8" x14ac:dyDescent="0.3">
      <c r="B345" s="72">
        <v>45261</v>
      </c>
      <c r="C345" s="73">
        <v>3165.4250000000002</v>
      </c>
      <c r="D345" s="74">
        <f t="shared" si="11"/>
        <v>0.40435891748003555</v>
      </c>
      <c r="E345" s="1">
        <v>1.0946457371892293E-2</v>
      </c>
      <c r="G345" s="75">
        <v>343</v>
      </c>
      <c r="H345" s="1">
        <f t="shared" ca="1" si="12"/>
        <v>1.5537549038760727E-2</v>
      </c>
    </row>
    <row r="346" spans="2:8" x14ac:dyDescent="0.3">
      <c r="B346" s="72">
        <v>45825</v>
      </c>
      <c r="C346" s="73">
        <v>2254</v>
      </c>
      <c r="D346" s="74">
        <f t="shared" si="11"/>
        <v>0.6235683929986312</v>
      </c>
      <c r="E346" s="1">
        <v>1.0920996568968182E-2</v>
      </c>
      <c r="G346" s="75">
        <v>344</v>
      </c>
      <c r="H346" s="1">
        <f t="shared" ca="1" si="12"/>
        <v>2.5536099813915272E-2</v>
      </c>
    </row>
    <row r="347" spans="2:8" x14ac:dyDescent="0.3">
      <c r="B347" s="72">
        <v>43609</v>
      </c>
      <c r="C347" s="73">
        <v>1388.3000000000002</v>
      </c>
      <c r="D347" s="74">
        <f t="shared" si="11"/>
        <v>-9.3177438845161276E-2</v>
      </c>
      <c r="E347" s="1">
        <v>1.0885790220992663E-2</v>
      </c>
      <c r="G347" s="75">
        <v>345</v>
      </c>
      <c r="H347" s="1">
        <f t="shared" ca="1" si="12"/>
        <v>1.0907989348304673E-2</v>
      </c>
    </row>
    <row r="348" spans="2:8" x14ac:dyDescent="0.3">
      <c r="B348" s="72">
        <v>43725</v>
      </c>
      <c r="C348" s="73">
        <v>1530.9499999999998</v>
      </c>
      <c r="D348" s="74">
        <f t="shared" si="11"/>
        <v>-0.46488522269506027</v>
      </c>
      <c r="E348" s="1">
        <v>1.0844984401049654E-2</v>
      </c>
      <c r="G348" s="75">
        <v>346</v>
      </c>
      <c r="H348" s="1">
        <f t="shared" ca="1" si="12"/>
        <v>-3.3561840040032924E-3</v>
      </c>
    </row>
    <row r="349" spans="2:8" x14ac:dyDescent="0.3">
      <c r="B349" s="72">
        <v>45405</v>
      </c>
      <c r="C349" s="73">
        <v>2860.9749999999999</v>
      </c>
      <c r="D349" s="74">
        <f t="shared" si="11"/>
        <v>0.80968420386798867</v>
      </c>
      <c r="E349" s="1">
        <v>1.0829145062846173E-2</v>
      </c>
      <c r="G349" s="75">
        <v>347</v>
      </c>
      <c r="H349" s="1">
        <f t="shared" ca="1" si="12"/>
        <v>2.3834113984994462E-2</v>
      </c>
    </row>
    <row r="350" spans="2:8" x14ac:dyDescent="0.3">
      <c r="B350" s="72">
        <v>43693</v>
      </c>
      <c r="C350" s="73">
        <v>1580.925</v>
      </c>
      <c r="D350" s="74">
        <f t="shared" si="11"/>
        <v>-0.32292982719116037</v>
      </c>
      <c r="E350" s="1">
        <v>1.0821611253196901E-2</v>
      </c>
      <c r="G350" s="75">
        <v>348</v>
      </c>
      <c r="H350" s="1">
        <f t="shared" ca="1" si="12"/>
        <v>2.7973883421648086E-2</v>
      </c>
    </row>
    <row r="351" spans="2:8" x14ac:dyDescent="0.3">
      <c r="B351" s="72">
        <v>44256</v>
      </c>
      <c r="C351" s="73">
        <v>2334.9499999999998</v>
      </c>
      <c r="D351" s="74">
        <f t="shared" si="11"/>
        <v>0.3536530573793063</v>
      </c>
      <c r="E351" s="1">
        <v>1.0800865800865722E-2</v>
      </c>
      <c r="G351" s="75">
        <v>349</v>
      </c>
      <c r="H351" s="1">
        <f t="shared" ca="1" si="12"/>
        <v>-9.401520642473073E-3</v>
      </c>
    </row>
    <row r="352" spans="2:8" x14ac:dyDescent="0.3">
      <c r="B352" s="72">
        <v>43985</v>
      </c>
      <c r="C352" s="73">
        <v>1724.925</v>
      </c>
      <c r="D352" s="74">
        <f t="shared" si="11"/>
        <v>0.20178708283982444</v>
      </c>
      <c r="E352" s="1">
        <v>1.0796952827424527E-2</v>
      </c>
      <c r="G352" s="75">
        <v>350</v>
      </c>
      <c r="H352" s="1">
        <f t="shared" ca="1" si="12"/>
        <v>5.8731779208186382E-4</v>
      </c>
    </row>
    <row r="353" spans="2:8" x14ac:dyDescent="0.3">
      <c r="B353" s="72">
        <v>43567</v>
      </c>
      <c r="C353" s="73">
        <v>1435.3</v>
      </c>
      <c r="D353" s="74">
        <f t="shared" si="11"/>
        <v>-0.55659561322211926</v>
      </c>
      <c r="E353" s="1">
        <v>1.0792443528935401E-2</v>
      </c>
      <c r="G353" s="75">
        <v>351</v>
      </c>
      <c r="H353" s="1">
        <f t="shared" ca="1" si="12"/>
        <v>-2.6498887186607794E-2</v>
      </c>
    </row>
    <row r="354" spans="2:8" x14ac:dyDescent="0.3">
      <c r="B354" s="72">
        <v>44518</v>
      </c>
      <c r="C354" s="73">
        <v>3237</v>
      </c>
      <c r="D354" s="74">
        <f t="shared" si="11"/>
        <v>0.79278069313099697</v>
      </c>
      <c r="E354" s="1">
        <v>1.0780724283561818E-2</v>
      </c>
      <c r="G354" s="75">
        <v>352</v>
      </c>
      <c r="H354" s="1">
        <f t="shared" ca="1" si="12"/>
        <v>-5.713764887863973E-3</v>
      </c>
    </row>
    <row r="355" spans="2:8" x14ac:dyDescent="0.3">
      <c r="B355" s="72">
        <v>43756</v>
      </c>
      <c r="C355" s="73">
        <v>1805.575</v>
      </c>
      <c r="D355" s="74">
        <f t="shared" si="11"/>
        <v>0.12567019950124692</v>
      </c>
      <c r="E355" s="1">
        <v>1.0776314500440849E-2</v>
      </c>
      <c r="G355" s="75">
        <v>353</v>
      </c>
      <c r="H355" s="1">
        <f t="shared" ca="1" si="12"/>
        <v>-4.6928727598720228E-3</v>
      </c>
    </row>
    <row r="356" spans="2:8" x14ac:dyDescent="0.3">
      <c r="B356" s="72">
        <v>43959</v>
      </c>
      <c r="C356" s="73">
        <v>1604</v>
      </c>
      <c r="D356" s="74">
        <f t="shared" si="11"/>
        <v>-0.41299176578225066</v>
      </c>
      <c r="E356" s="1">
        <v>1.0743879769368886E-2</v>
      </c>
      <c r="G356" s="75">
        <v>354</v>
      </c>
      <c r="H356" s="1">
        <f t="shared" ca="1" si="12"/>
        <v>2.5067450871239159E-2</v>
      </c>
    </row>
    <row r="357" spans="2:8" x14ac:dyDescent="0.3">
      <c r="B357" s="72">
        <v>44743</v>
      </c>
      <c r="C357" s="73">
        <v>2732.5</v>
      </c>
      <c r="D357" s="74">
        <f t="shared" si="11"/>
        <v>0.74773737567558918</v>
      </c>
      <c r="E357" s="1">
        <v>1.0736182135954685E-2</v>
      </c>
      <c r="G357" s="75">
        <v>355</v>
      </c>
      <c r="H357" s="1">
        <f t="shared" ca="1" si="12"/>
        <v>1.059828667647335E-2</v>
      </c>
    </row>
    <row r="358" spans="2:8" x14ac:dyDescent="0.3">
      <c r="B358" s="72">
        <v>43684</v>
      </c>
      <c r="C358" s="73">
        <v>1563.45</v>
      </c>
      <c r="D358" s="74">
        <f t="shared" si="11"/>
        <v>-0.35636655551438801</v>
      </c>
      <c r="E358" s="1">
        <v>1.066614952002342E-2</v>
      </c>
      <c r="G358" s="75">
        <v>356</v>
      </c>
      <c r="H358" s="1">
        <f t="shared" ca="1" si="12"/>
        <v>1.0397901170341702E-2</v>
      </c>
    </row>
    <row r="359" spans="2:8" x14ac:dyDescent="0.3">
      <c r="B359" s="72">
        <v>46128</v>
      </c>
      <c r="C359" s="73">
        <v>2429.1</v>
      </c>
      <c r="D359" s="74">
        <f t="shared" si="11"/>
        <v>-9.832962138084636E-2</v>
      </c>
      <c r="E359" s="1">
        <v>1.0651133763261872E-2</v>
      </c>
      <c r="G359" s="75">
        <v>357</v>
      </c>
      <c r="H359" s="1">
        <f t="shared" ca="1" si="12"/>
        <v>-7.1823290491865883E-3</v>
      </c>
    </row>
    <row r="360" spans="2:8" x14ac:dyDescent="0.3">
      <c r="B360" s="72">
        <v>44722</v>
      </c>
      <c r="C360" s="73">
        <v>2694</v>
      </c>
      <c r="D360" s="74">
        <f t="shared" si="11"/>
        <v>-0.1295638126009693</v>
      </c>
      <c r="E360" s="1">
        <v>1.0625826479221891E-2</v>
      </c>
      <c r="G360" s="75">
        <v>358</v>
      </c>
      <c r="H360" s="1">
        <f t="shared" ca="1" si="12"/>
        <v>1.7394791402336185E-2</v>
      </c>
    </row>
    <row r="361" spans="2:8" x14ac:dyDescent="0.3">
      <c r="B361" s="72">
        <v>45242</v>
      </c>
      <c r="C361" s="73">
        <v>3095</v>
      </c>
      <c r="D361" s="74">
        <f t="shared" si="11"/>
        <v>0.96951859747367075</v>
      </c>
      <c r="E361" s="1">
        <v>1.0595745375585644E-2</v>
      </c>
      <c r="G361" s="75">
        <v>359</v>
      </c>
      <c r="H361" s="1">
        <f t="shared" ca="1" si="12"/>
        <v>-9.2294769839634631E-3</v>
      </c>
    </row>
    <row r="362" spans="2:8" x14ac:dyDescent="0.3">
      <c r="B362" s="72">
        <v>43686</v>
      </c>
      <c r="C362" s="73">
        <v>1571.45</v>
      </c>
      <c r="D362" s="74">
        <f t="shared" si="11"/>
        <v>-0.5443751812119455</v>
      </c>
      <c r="E362" s="1">
        <v>1.0578778135048261E-2</v>
      </c>
      <c r="G362" s="75">
        <v>360</v>
      </c>
      <c r="H362" s="1">
        <f t="shared" ca="1" si="12"/>
        <v>-5.1778776729498148E-3</v>
      </c>
    </row>
    <row r="363" spans="2:8" x14ac:dyDescent="0.3">
      <c r="B363" s="72">
        <v>45124</v>
      </c>
      <c r="C363" s="73">
        <v>3449</v>
      </c>
      <c r="D363" s="74">
        <f t="shared" si="11"/>
        <v>0.94039297317824455</v>
      </c>
      <c r="E363" s="1">
        <v>1.054790506885438E-2</v>
      </c>
      <c r="G363" s="75">
        <v>361</v>
      </c>
      <c r="H363" s="1">
        <f t="shared" ca="1" si="12"/>
        <v>-4.9821349054672082E-3</v>
      </c>
    </row>
    <row r="364" spans="2:8" x14ac:dyDescent="0.3">
      <c r="B364" s="72">
        <v>43732</v>
      </c>
      <c r="C364" s="73">
        <v>1777.4749999999999</v>
      </c>
      <c r="D364" s="74">
        <f t="shared" si="11"/>
        <v>-0.36365345028192969</v>
      </c>
      <c r="E364" s="1">
        <v>1.0546214307034101E-2</v>
      </c>
      <c r="G364" s="75">
        <v>362</v>
      </c>
      <c r="H364" s="1">
        <f t="shared" ca="1" si="12"/>
        <v>8.3090577367146874E-3</v>
      </c>
    </row>
    <row r="365" spans="2:8" x14ac:dyDescent="0.3">
      <c r="B365" s="72">
        <v>44966</v>
      </c>
      <c r="C365" s="73">
        <v>2793.25</v>
      </c>
      <c r="D365" s="74">
        <f t="shared" si="11"/>
        <v>-1.9576872789813935E-2</v>
      </c>
      <c r="E365" s="1">
        <v>1.0527648644248652E-2</v>
      </c>
      <c r="G365" s="75">
        <v>363</v>
      </c>
      <c r="H365" s="1">
        <f t="shared" ca="1" si="12"/>
        <v>-1.3284478514317853E-2</v>
      </c>
    </row>
    <row r="366" spans="2:8" x14ac:dyDescent="0.3">
      <c r="B366" s="72">
        <v>44207</v>
      </c>
      <c r="C366" s="73">
        <v>2849.0249999999996</v>
      </c>
      <c r="D366" s="74">
        <f t="shared" si="11"/>
        <v>0.62076714121144005</v>
      </c>
      <c r="E366" s="1">
        <v>1.0498594571587984E-2</v>
      </c>
      <c r="G366" s="75">
        <v>364</v>
      </c>
      <c r="H366" s="1">
        <f t="shared" ca="1" si="12"/>
        <v>2.3430086884015091E-3</v>
      </c>
    </row>
    <row r="367" spans="2:8" x14ac:dyDescent="0.3">
      <c r="B367" s="72">
        <v>43817</v>
      </c>
      <c r="C367" s="73">
        <v>1757.825</v>
      </c>
      <c r="D367" s="74">
        <f t="shared" si="11"/>
        <v>-0.41993152662624261</v>
      </c>
      <c r="E367" s="1">
        <v>1.0476546332490306E-2</v>
      </c>
      <c r="G367" s="75">
        <v>365</v>
      </c>
      <c r="H367" s="1">
        <f t="shared" ca="1" si="12"/>
        <v>1.951995119913038E-2</v>
      </c>
    </row>
    <row r="368" spans="2:8" x14ac:dyDescent="0.3">
      <c r="B368" s="72">
        <v>44636</v>
      </c>
      <c r="C368" s="73">
        <v>3030.375</v>
      </c>
      <c r="D368" s="74">
        <f t="shared" si="11"/>
        <v>4.0168534504951378E-2</v>
      </c>
      <c r="E368" s="1">
        <v>1.0461820606868956E-2</v>
      </c>
      <c r="G368" s="75">
        <v>366</v>
      </c>
      <c r="H368" s="1">
        <f t="shared" ca="1" si="12"/>
        <v>-4.4255369837700497E-3</v>
      </c>
    </row>
    <row r="369" spans="2:8" x14ac:dyDescent="0.3">
      <c r="B369" s="72">
        <v>45048</v>
      </c>
      <c r="C369" s="73">
        <v>2913.35</v>
      </c>
      <c r="D369" s="74">
        <f t="shared" si="11"/>
        <v>0.2426316911921518</v>
      </c>
      <c r="E369" s="1">
        <v>1.0430846866844224E-2</v>
      </c>
      <c r="G369" s="75">
        <v>367</v>
      </c>
      <c r="H369" s="1">
        <f t="shared" ca="1" si="12"/>
        <v>1.9209103156734336E-2</v>
      </c>
    </row>
    <row r="370" spans="2:8" x14ac:dyDescent="0.3">
      <c r="B370" s="72">
        <v>45744</v>
      </c>
      <c r="C370" s="73">
        <v>2344.5</v>
      </c>
      <c r="D370" s="74">
        <f t="shared" si="11"/>
        <v>-0.26807567432567431</v>
      </c>
      <c r="E370" s="1">
        <v>1.0429685816489167E-2</v>
      </c>
      <c r="G370" s="75">
        <v>368</v>
      </c>
      <c r="H370" s="1">
        <f t="shared" ca="1" si="12"/>
        <v>1.4440426494819048E-2</v>
      </c>
    </row>
    <row r="371" spans="2:8" x14ac:dyDescent="0.3">
      <c r="B371" s="72">
        <v>45204</v>
      </c>
      <c r="C371" s="73">
        <v>3203.2</v>
      </c>
      <c r="D371" s="74">
        <f t="shared" si="11"/>
        <v>-1.0441767068273149E-2</v>
      </c>
      <c r="E371" s="1">
        <v>1.0417405979165073E-2</v>
      </c>
      <c r="G371" s="75">
        <v>369</v>
      </c>
      <c r="H371" s="1">
        <f t="shared" ca="1" si="12"/>
        <v>-6.8512383618589958E-3</v>
      </c>
    </row>
    <row r="372" spans="2:8" x14ac:dyDescent="0.3">
      <c r="B372" s="72">
        <v>45540</v>
      </c>
      <c r="C372" s="73">
        <v>3237</v>
      </c>
      <c r="D372" s="74">
        <f t="shared" si="11"/>
        <v>-4.1790315777009826E-2</v>
      </c>
      <c r="E372" s="1">
        <v>1.0378462738977761E-2</v>
      </c>
      <c r="G372" s="75">
        <v>370</v>
      </c>
      <c r="H372" s="1">
        <f t="shared" ca="1" si="12"/>
        <v>2.5485779795309624E-2</v>
      </c>
    </row>
    <row r="373" spans="2:8" x14ac:dyDescent="0.3">
      <c r="B373" s="72">
        <v>44798</v>
      </c>
      <c r="C373" s="73">
        <v>3378.1750000000002</v>
      </c>
      <c r="D373" s="74">
        <f t="shared" si="11"/>
        <v>-3.520684287937844E-2</v>
      </c>
      <c r="E373" s="1">
        <v>1.0370868850007531E-2</v>
      </c>
      <c r="G373" s="75">
        <v>371</v>
      </c>
      <c r="H373" s="1">
        <f t="shared" ca="1" si="12"/>
        <v>1.4908002580830339E-2</v>
      </c>
    </row>
    <row r="374" spans="2:8" x14ac:dyDescent="0.3">
      <c r="B374" s="72">
        <v>44832</v>
      </c>
      <c r="C374" s="73">
        <v>3501.45</v>
      </c>
      <c r="D374" s="74">
        <f t="shared" si="11"/>
        <v>2.0296567089921913</v>
      </c>
      <c r="E374" s="1">
        <v>1.0366394702101335E-2</v>
      </c>
      <c r="G374" s="75">
        <v>372</v>
      </c>
      <c r="H374" s="1">
        <f t="shared" ca="1" si="12"/>
        <v>7.2177249576603562E-4</v>
      </c>
    </row>
    <row r="375" spans="2:8" x14ac:dyDescent="0.3">
      <c r="B375" s="72">
        <v>43199</v>
      </c>
      <c r="C375" s="73">
        <v>1155.7249999999999</v>
      </c>
      <c r="D375" s="74">
        <f t="shared" si="11"/>
        <v>-0.56919736461992942</v>
      </c>
      <c r="E375" s="1">
        <v>1.0337442084098101E-2</v>
      </c>
      <c r="G375" s="75">
        <v>373</v>
      </c>
      <c r="H375" s="1">
        <f t="shared" ca="1" si="12"/>
        <v>-1.2839703463993895E-2</v>
      </c>
    </row>
    <row r="376" spans="2:8" x14ac:dyDescent="0.3">
      <c r="B376" s="72">
        <v>44728</v>
      </c>
      <c r="C376" s="73">
        <v>2682.7249999999999</v>
      </c>
      <c r="D376" s="74">
        <f t="shared" si="11"/>
        <v>-0.14136314172321091</v>
      </c>
      <c r="E376" s="1">
        <v>1.0309375411904268E-2</v>
      </c>
      <c r="G376" s="75">
        <v>374</v>
      </c>
      <c r="H376" s="1">
        <f t="shared" ca="1" si="12"/>
        <v>-1.4322195783503565E-3</v>
      </c>
    </row>
    <row r="377" spans="2:8" x14ac:dyDescent="0.3">
      <c r="B377" s="72">
        <v>44923</v>
      </c>
      <c r="C377" s="73">
        <v>3124.4</v>
      </c>
      <c r="D377" s="74">
        <f t="shared" si="11"/>
        <v>1.2107125792632064E-2</v>
      </c>
      <c r="E377" s="1">
        <v>1.0266276494268669E-2</v>
      </c>
      <c r="G377" s="75">
        <v>375</v>
      </c>
      <c r="H377" s="1">
        <f t="shared" ca="1" si="12"/>
        <v>3.441622171160212E-3</v>
      </c>
    </row>
    <row r="378" spans="2:8" x14ac:dyDescent="0.3">
      <c r="B378" s="72">
        <v>44865</v>
      </c>
      <c r="C378" s="73">
        <v>3087.0250000000001</v>
      </c>
      <c r="D378" s="74">
        <f t="shared" si="11"/>
        <v>0.77621945079762378</v>
      </c>
      <c r="E378" s="1">
        <v>1.0218273447215102E-2</v>
      </c>
      <c r="G378" s="75">
        <v>376</v>
      </c>
      <c r="H378" s="1">
        <f t="shared" ca="1" si="12"/>
        <v>4.6419472244115731E-3</v>
      </c>
    </row>
    <row r="379" spans="2:8" x14ac:dyDescent="0.3">
      <c r="B379" s="72">
        <v>43802</v>
      </c>
      <c r="C379" s="73">
        <v>1737.9749999999999</v>
      </c>
      <c r="D379" s="74">
        <f t="shared" si="11"/>
        <v>-0.15053947384498834</v>
      </c>
      <c r="E379" s="1">
        <v>1.0200967784123082E-2</v>
      </c>
      <c r="G379" s="75">
        <v>377</v>
      </c>
      <c r="H379" s="1">
        <f t="shared" ca="1" si="12"/>
        <v>2.6177932985282603E-2</v>
      </c>
    </row>
    <row r="380" spans="2:8" x14ac:dyDescent="0.3">
      <c r="B380" s="72">
        <v>44085</v>
      </c>
      <c r="C380" s="73">
        <v>2045.9749999999999</v>
      </c>
      <c r="D380" s="74">
        <f t="shared" si="11"/>
        <v>-0.37459689128673829</v>
      </c>
      <c r="E380" s="1">
        <v>1.0183425087021997E-2</v>
      </c>
      <c r="G380" s="75">
        <v>378</v>
      </c>
      <c r="H380" s="1">
        <f t="shared" ca="1" si="12"/>
        <v>7.0679623441108775E-3</v>
      </c>
    </row>
    <row r="381" spans="2:8" x14ac:dyDescent="0.3">
      <c r="B381" s="72">
        <v>45091</v>
      </c>
      <c r="C381" s="73">
        <v>3271.45</v>
      </c>
      <c r="D381" s="74">
        <f t="shared" si="11"/>
        <v>0.15770755184372554</v>
      </c>
      <c r="E381" s="1">
        <v>1.0151069529036692E-2</v>
      </c>
      <c r="G381" s="75">
        <v>379</v>
      </c>
      <c r="H381" s="1">
        <f t="shared" ca="1" si="12"/>
        <v>1.0544785908701832E-4</v>
      </c>
    </row>
    <row r="382" spans="2:8" x14ac:dyDescent="0.3">
      <c r="B382" s="72">
        <v>45033</v>
      </c>
      <c r="C382" s="73">
        <v>2825.8</v>
      </c>
      <c r="D382" s="74">
        <f t="shared" si="11"/>
        <v>-0.17948271231225998</v>
      </c>
      <c r="E382" s="1">
        <v>1.0062016335138452E-2</v>
      </c>
      <c r="G382" s="75">
        <v>380</v>
      </c>
      <c r="H382" s="1">
        <f t="shared" ca="1" si="12"/>
        <v>-1.0306003089544446E-2</v>
      </c>
    </row>
    <row r="383" spans="2:8" x14ac:dyDescent="0.3">
      <c r="B383" s="72">
        <v>44777</v>
      </c>
      <c r="C383" s="73">
        <v>3443.9250000000002</v>
      </c>
      <c r="D383" s="74">
        <f t="shared" si="11"/>
        <v>0.40179298274177788</v>
      </c>
      <c r="E383" s="1">
        <v>1.0059757304688985E-2</v>
      </c>
      <c r="G383" s="75">
        <v>381</v>
      </c>
      <c r="H383" s="1">
        <f t="shared" ca="1" si="12"/>
        <v>2.119687703105879E-2</v>
      </c>
    </row>
    <row r="384" spans="2:8" x14ac:dyDescent="0.3">
      <c r="B384" s="72">
        <v>45776</v>
      </c>
      <c r="C384" s="73">
        <v>2456.8000000000002</v>
      </c>
      <c r="D384" s="74">
        <f t="shared" si="11"/>
        <v>0.51059872415648311</v>
      </c>
      <c r="E384" s="1">
        <v>1.0031244861042629E-2</v>
      </c>
      <c r="G384" s="75">
        <v>382</v>
      </c>
      <c r="H384" s="1">
        <f t="shared" ca="1" si="12"/>
        <v>1.8886320329418063E-3</v>
      </c>
    </row>
    <row r="385" spans="2:8" x14ac:dyDescent="0.3">
      <c r="B385" s="72">
        <v>43997</v>
      </c>
      <c r="C385" s="73">
        <v>1626.375</v>
      </c>
      <c r="D385" s="74">
        <f t="shared" si="11"/>
        <v>-0.26712629693467171</v>
      </c>
      <c r="E385" s="1">
        <v>1.0029654240867016E-2</v>
      </c>
      <c r="G385" s="75">
        <v>383</v>
      </c>
      <c r="H385" s="1">
        <f t="shared" ca="1" si="12"/>
        <v>2.0336956524469825E-2</v>
      </c>
    </row>
    <row r="386" spans="2:8" x14ac:dyDescent="0.3">
      <c r="B386" s="72">
        <v>44134</v>
      </c>
      <c r="C386" s="73">
        <v>2219.1750000000002</v>
      </c>
      <c r="D386" s="74">
        <f t="shared" si="11"/>
        <v>-0.28562920995662278</v>
      </c>
      <c r="E386" s="1">
        <v>1.0012857419186E-2</v>
      </c>
      <c r="G386" s="75">
        <v>384</v>
      </c>
      <c r="H386" s="1">
        <f t="shared" ca="1" si="12"/>
        <v>1.3954138691970481E-2</v>
      </c>
    </row>
    <row r="387" spans="2:8" x14ac:dyDescent="0.3">
      <c r="B387" s="72">
        <v>45069</v>
      </c>
      <c r="C387" s="73">
        <v>3106.4749999999999</v>
      </c>
      <c r="D387" s="74">
        <f t="shared" ref="D387:D450" si="13">(C387-C388)/C388</f>
        <v>0.19215012808089715</v>
      </c>
      <c r="E387" s="1">
        <v>9.9730151505298542E-3</v>
      </c>
      <c r="G387" s="75">
        <v>385</v>
      </c>
      <c r="H387" s="1">
        <f t="shared" ca="1" si="12"/>
        <v>4.023165973688226E-3</v>
      </c>
    </row>
    <row r="388" spans="2:8" x14ac:dyDescent="0.3">
      <c r="B388" s="72">
        <v>44183</v>
      </c>
      <c r="C388" s="73">
        <v>2605.7750000000001</v>
      </c>
      <c r="D388" s="74">
        <f t="shared" si="13"/>
        <v>-0.12048030107417997</v>
      </c>
      <c r="E388" s="1">
        <v>9.9218076293274317E-3</v>
      </c>
      <c r="G388" s="75">
        <v>386</v>
      </c>
      <c r="H388" s="1">
        <f t="shared" ref="H388:H451" ca="1" si="14">_xlfn.NORM.INV(RAND(),$N$4,$N$5)</f>
        <v>4.4876588439424344E-3</v>
      </c>
    </row>
    <row r="389" spans="2:8" x14ac:dyDescent="0.3">
      <c r="B389" s="72">
        <v>44757</v>
      </c>
      <c r="C389" s="73">
        <v>2962.7249999999999</v>
      </c>
      <c r="D389" s="74">
        <f t="shared" si="13"/>
        <v>1.271767051336119</v>
      </c>
      <c r="E389" s="1">
        <v>9.9194682346925422E-3</v>
      </c>
      <c r="G389" s="75">
        <v>387</v>
      </c>
      <c r="H389" s="1">
        <f t="shared" ca="1" si="14"/>
        <v>1.1429222849778767E-2</v>
      </c>
    </row>
    <row r="390" spans="2:8" x14ac:dyDescent="0.3">
      <c r="B390" s="72">
        <v>43286</v>
      </c>
      <c r="C390" s="73">
        <v>1304.1500000000001</v>
      </c>
      <c r="D390" s="74">
        <f t="shared" si="13"/>
        <v>-0.46551229508196718</v>
      </c>
      <c r="E390" s="1">
        <v>9.9121074844156758E-3</v>
      </c>
      <c r="G390" s="75">
        <v>388</v>
      </c>
      <c r="H390" s="1">
        <f t="shared" ca="1" si="14"/>
        <v>-1.4400154479866057E-2</v>
      </c>
    </row>
    <row r="391" spans="2:8" x14ac:dyDescent="0.3">
      <c r="B391" s="72">
        <v>44279</v>
      </c>
      <c r="C391" s="73">
        <v>2440</v>
      </c>
      <c r="D391" s="74">
        <f t="shared" si="13"/>
        <v>3.6313442344446806E-2</v>
      </c>
      <c r="E391" s="1">
        <v>9.9024243866602576E-3</v>
      </c>
      <c r="G391" s="75">
        <v>389</v>
      </c>
      <c r="H391" s="1">
        <f t="shared" ca="1" si="14"/>
        <v>-1.1571312328779821E-2</v>
      </c>
    </row>
    <row r="392" spans="2:8" x14ac:dyDescent="0.3">
      <c r="B392" s="72">
        <v>45945</v>
      </c>
      <c r="C392" s="73">
        <v>2354.5</v>
      </c>
      <c r="D392" s="74">
        <f t="shared" si="13"/>
        <v>0.41411411411411414</v>
      </c>
      <c r="E392" s="1">
        <v>9.8648938451640581E-3</v>
      </c>
      <c r="G392" s="75">
        <v>390</v>
      </c>
      <c r="H392" s="1">
        <f t="shared" ca="1" si="14"/>
        <v>-2.3782571904593004E-2</v>
      </c>
    </row>
    <row r="393" spans="2:8" x14ac:dyDescent="0.3">
      <c r="B393" s="72">
        <v>44005</v>
      </c>
      <c r="C393" s="73">
        <v>1665</v>
      </c>
      <c r="D393" s="74">
        <f t="shared" si="13"/>
        <v>-0.46768547085058426</v>
      </c>
      <c r="E393" s="1">
        <v>9.8559514783927212E-3</v>
      </c>
      <c r="G393" s="75">
        <v>391</v>
      </c>
      <c r="H393" s="1">
        <f t="shared" ca="1" si="14"/>
        <v>6.242856924221594E-3</v>
      </c>
    </row>
    <row r="394" spans="2:8" x14ac:dyDescent="0.3">
      <c r="B394" s="72">
        <v>44893</v>
      </c>
      <c r="C394" s="73">
        <v>3127.85</v>
      </c>
      <c r="D394" s="74">
        <f t="shared" si="13"/>
        <v>-3.8287405357623303E-2</v>
      </c>
      <c r="E394" s="1">
        <v>9.790074333540429E-3</v>
      </c>
      <c r="G394" s="75">
        <v>392</v>
      </c>
      <c r="H394" s="1">
        <f t="shared" ca="1" si="14"/>
        <v>1.5581645401960826E-2</v>
      </c>
    </row>
    <row r="395" spans="2:8" x14ac:dyDescent="0.3">
      <c r="B395" s="72">
        <v>45191</v>
      </c>
      <c r="C395" s="73">
        <v>3252.375</v>
      </c>
      <c r="D395" s="74">
        <f t="shared" si="13"/>
        <v>0.56062187353798532</v>
      </c>
      <c r="E395" s="1">
        <v>9.7799511002444987E-3</v>
      </c>
      <c r="G395" s="75">
        <v>393</v>
      </c>
      <c r="H395" s="1">
        <f t="shared" ca="1" si="14"/>
        <v>8.6369682214920956E-3</v>
      </c>
    </row>
    <row r="396" spans="2:8" x14ac:dyDescent="0.3">
      <c r="B396" s="72">
        <v>44117</v>
      </c>
      <c r="C396" s="73">
        <v>2084.0250000000001</v>
      </c>
      <c r="D396" s="74">
        <f t="shared" si="13"/>
        <v>-0.37961136869367185</v>
      </c>
      <c r="E396" s="1">
        <v>9.7754197252708213E-3</v>
      </c>
      <c r="G396" s="75">
        <v>394</v>
      </c>
      <c r="H396" s="1">
        <f t="shared" ca="1" si="14"/>
        <v>5.7438529481333303E-3</v>
      </c>
    </row>
    <row r="397" spans="2:8" x14ac:dyDescent="0.3">
      <c r="B397" s="72">
        <v>44446</v>
      </c>
      <c r="C397" s="73">
        <v>3359.2249999999999</v>
      </c>
      <c r="D397" s="74">
        <f t="shared" si="13"/>
        <v>1.3452952367653987</v>
      </c>
      <c r="E397" s="1">
        <v>9.7466033425513184E-3</v>
      </c>
      <c r="G397" s="75">
        <v>395</v>
      </c>
      <c r="H397" s="1">
        <f t="shared" ca="1" si="14"/>
        <v>3.3359532415976811E-3</v>
      </c>
    </row>
    <row r="398" spans="2:8" x14ac:dyDescent="0.3">
      <c r="B398" s="72">
        <v>43320</v>
      </c>
      <c r="C398" s="73">
        <v>1432.325</v>
      </c>
      <c r="D398" s="74">
        <f t="shared" si="13"/>
        <v>-6.2154198723195254E-2</v>
      </c>
      <c r="E398" s="1">
        <v>9.7462107860416258E-3</v>
      </c>
      <c r="G398" s="75">
        <v>396</v>
      </c>
      <c r="H398" s="1">
        <f t="shared" ca="1" si="14"/>
        <v>7.5332925961250109E-3</v>
      </c>
    </row>
    <row r="399" spans="2:8" x14ac:dyDescent="0.3">
      <c r="B399" s="72">
        <v>43679</v>
      </c>
      <c r="C399" s="73">
        <v>1527.25</v>
      </c>
      <c r="D399" s="74">
        <f t="shared" si="13"/>
        <v>-0.53941614644591218</v>
      </c>
      <c r="E399" s="1">
        <v>9.7186869855540748E-3</v>
      </c>
      <c r="G399" s="75">
        <v>397</v>
      </c>
      <c r="H399" s="1">
        <f t="shared" ca="1" si="14"/>
        <v>-3.3170870604556674E-2</v>
      </c>
    </row>
    <row r="400" spans="2:8" x14ac:dyDescent="0.3">
      <c r="B400" s="72">
        <v>45278</v>
      </c>
      <c r="C400" s="73">
        <v>3315.9</v>
      </c>
      <c r="D400" s="74">
        <f t="shared" si="13"/>
        <v>0.36510158292336503</v>
      </c>
      <c r="E400" s="1">
        <v>9.6599602639932114E-3</v>
      </c>
      <c r="G400" s="75">
        <v>398</v>
      </c>
      <c r="H400" s="1">
        <f t="shared" ca="1" si="14"/>
        <v>2.5520589611305999E-2</v>
      </c>
    </row>
    <row r="401" spans="2:8" x14ac:dyDescent="0.3">
      <c r="B401" s="72">
        <v>46076</v>
      </c>
      <c r="C401" s="73">
        <v>2429.0500000000002</v>
      </c>
      <c r="D401" s="74">
        <f t="shared" si="13"/>
        <v>-0.28773650605147594</v>
      </c>
      <c r="E401" s="1">
        <v>9.622178810424601E-3</v>
      </c>
      <c r="G401" s="75">
        <v>399</v>
      </c>
      <c r="H401" s="1">
        <f t="shared" ca="1" si="14"/>
        <v>7.3277785640305116E-3</v>
      </c>
    </row>
    <row r="402" spans="2:8" x14ac:dyDescent="0.3">
      <c r="B402" s="72">
        <v>44827</v>
      </c>
      <c r="C402" s="73">
        <v>3410.3249999999998</v>
      </c>
      <c r="D402" s="74">
        <f t="shared" si="13"/>
        <v>6.7427775517230504E-2</v>
      </c>
      <c r="E402" s="1">
        <v>9.6215760141511193E-3</v>
      </c>
      <c r="G402" s="75">
        <v>400</v>
      </c>
      <c r="H402" s="1">
        <f t="shared" ca="1" si="14"/>
        <v>-1.2239256484990487E-2</v>
      </c>
    </row>
    <row r="403" spans="2:8" x14ac:dyDescent="0.3">
      <c r="B403" s="72">
        <v>45202</v>
      </c>
      <c r="C403" s="73">
        <v>3194.9</v>
      </c>
      <c r="D403" s="74">
        <f t="shared" si="13"/>
        <v>0.78478555367791858</v>
      </c>
      <c r="E403" s="1">
        <v>9.6065729183125587E-3</v>
      </c>
      <c r="G403" s="75">
        <v>401</v>
      </c>
      <c r="H403" s="1">
        <f t="shared" ca="1" si="14"/>
        <v>2.5818423796298045E-2</v>
      </c>
    </row>
    <row r="404" spans="2:8" x14ac:dyDescent="0.3">
      <c r="B404" s="72">
        <v>43854</v>
      </c>
      <c r="C404" s="73">
        <v>1790.075</v>
      </c>
      <c r="D404" s="74">
        <f t="shared" si="13"/>
        <v>0.45825017310903843</v>
      </c>
      <c r="E404" s="1">
        <v>9.6020980795804359E-3</v>
      </c>
      <c r="G404" s="75">
        <v>402</v>
      </c>
      <c r="H404" s="1">
        <f t="shared" ca="1" si="14"/>
        <v>1.6167631277524443E-2</v>
      </c>
    </row>
    <row r="405" spans="2:8" x14ac:dyDescent="0.3">
      <c r="B405" s="72">
        <v>43381</v>
      </c>
      <c r="C405" s="73">
        <v>1227.55</v>
      </c>
      <c r="D405" s="74">
        <f t="shared" si="13"/>
        <v>-0.28138857586090826</v>
      </c>
      <c r="E405" s="1">
        <v>9.56062257129346E-3</v>
      </c>
      <c r="G405" s="75">
        <v>403</v>
      </c>
      <c r="H405" s="1">
        <f t="shared" ca="1" si="14"/>
        <v>-1.4098052637199583E-3</v>
      </c>
    </row>
    <row r="406" spans="2:8" x14ac:dyDescent="0.3">
      <c r="B406" s="72">
        <v>43795</v>
      </c>
      <c r="C406" s="73">
        <v>1708.2249999999999</v>
      </c>
      <c r="D406" s="74">
        <f t="shared" si="13"/>
        <v>-0.25008780016682025</v>
      </c>
      <c r="E406" s="1">
        <v>9.5444941861323306E-3</v>
      </c>
      <c r="G406" s="75">
        <v>404</v>
      </c>
      <c r="H406" s="1">
        <f t="shared" ca="1" si="14"/>
        <v>1.1635666625581064E-2</v>
      </c>
    </row>
    <row r="407" spans="2:8" x14ac:dyDescent="0.3">
      <c r="B407" s="72">
        <v>45735</v>
      </c>
      <c r="C407" s="73">
        <v>2277.8999999999996</v>
      </c>
      <c r="D407" s="74">
        <f t="shared" si="13"/>
        <v>-0.29903220346806592</v>
      </c>
      <c r="E407" s="1">
        <v>9.5396376932024313E-3</v>
      </c>
      <c r="G407" s="75">
        <v>405</v>
      </c>
      <c r="H407" s="1">
        <f t="shared" ca="1" si="14"/>
        <v>2.3004152425713093E-2</v>
      </c>
    </row>
    <row r="408" spans="2:8" x14ac:dyDescent="0.3">
      <c r="B408" s="72">
        <v>44680</v>
      </c>
      <c r="C408" s="73">
        <v>3249.65</v>
      </c>
      <c r="D408" s="74">
        <f t="shared" si="13"/>
        <v>5.0926936541431163E-2</v>
      </c>
      <c r="E408" s="1">
        <v>9.5215905560733435E-3</v>
      </c>
      <c r="G408" s="75">
        <v>406</v>
      </c>
      <c r="H408" s="1">
        <f t="shared" ca="1" si="14"/>
        <v>-1.0861811740817592E-2</v>
      </c>
    </row>
    <row r="409" spans="2:8" x14ac:dyDescent="0.3">
      <c r="B409" s="72">
        <v>45524</v>
      </c>
      <c r="C409" s="73">
        <v>3092.1750000000002</v>
      </c>
      <c r="D409" s="74">
        <f t="shared" si="13"/>
        <v>1.387733827532287</v>
      </c>
      <c r="E409" s="1">
        <v>9.4920178903725883E-3</v>
      </c>
      <c r="G409" s="75">
        <v>407</v>
      </c>
      <c r="H409" s="1">
        <f t="shared" ca="1" si="14"/>
        <v>1.1810185572280672E-2</v>
      </c>
    </row>
    <row r="410" spans="2:8" x14ac:dyDescent="0.3">
      <c r="B410" s="72">
        <v>43416</v>
      </c>
      <c r="C410" s="73">
        <v>1295.0250000000001</v>
      </c>
      <c r="D410" s="74">
        <f t="shared" si="13"/>
        <v>-0.55088434194555225</v>
      </c>
      <c r="E410" s="1">
        <v>9.4709149371529494E-3</v>
      </c>
      <c r="G410" s="75">
        <v>408</v>
      </c>
      <c r="H410" s="1">
        <f t="shared" ca="1" si="14"/>
        <v>1.573746961664443E-2</v>
      </c>
    </row>
    <row r="411" spans="2:8" x14ac:dyDescent="0.3">
      <c r="B411" s="72">
        <v>45412</v>
      </c>
      <c r="C411" s="73">
        <v>2883.5</v>
      </c>
      <c r="D411" s="74">
        <f t="shared" si="13"/>
        <v>0.80684577426176862</v>
      </c>
      <c r="E411" s="1">
        <v>9.4609614997505989E-3</v>
      </c>
      <c r="G411" s="75">
        <v>409</v>
      </c>
      <c r="H411" s="1">
        <f t="shared" ca="1" si="14"/>
        <v>8.7038051298287788E-4</v>
      </c>
    </row>
    <row r="412" spans="2:8" x14ac:dyDescent="0.3">
      <c r="B412" s="72">
        <v>43696</v>
      </c>
      <c r="C412" s="73">
        <v>1595.875</v>
      </c>
      <c r="D412" s="74">
        <f t="shared" si="13"/>
        <v>-0.49119241192411922</v>
      </c>
      <c r="E412" s="1">
        <v>9.4564890807597116E-3</v>
      </c>
      <c r="G412" s="75">
        <v>410</v>
      </c>
      <c r="H412" s="1">
        <f t="shared" ca="1" si="14"/>
        <v>9.8383763589255241E-3</v>
      </c>
    </row>
    <row r="413" spans="2:8" x14ac:dyDescent="0.3">
      <c r="B413" s="72">
        <v>44589</v>
      </c>
      <c r="C413" s="73">
        <v>3136.5</v>
      </c>
      <c r="D413" s="74">
        <f t="shared" si="13"/>
        <v>1.0602000098527022</v>
      </c>
      <c r="E413" s="1">
        <v>9.454077322283462E-3</v>
      </c>
      <c r="G413" s="75">
        <v>411</v>
      </c>
      <c r="H413" s="1">
        <f t="shared" ca="1" si="14"/>
        <v>1.4227608546147507E-2</v>
      </c>
    </row>
    <row r="414" spans="2:8" x14ac:dyDescent="0.3">
      <c r="B414" s="72">
        <v>43675</v>
      </c>
      <c r="C414" s="73">
        <v>1522.425</v>
      </c>
      <c r="D414" s="74">
        <f t="shared" si="13"/>
        <v>-0.49965902835405185</v>
      </c>
      <c r="E414" s="1">
        <v>9.4317729744066697E-3</v>
      </c>
      <c r="G414" s="75">
        <v>412</v>
      </c>
      <c r="H414" s="1">
        <f t="shared" ca="1" si="14"/>
        <v>-2.7240603959118162E-2</v>
      </c>
    </row>
    <row r="415" spans="2:8" x14ac:dyDescent="0.3">
      <c r="B415" s="72">
        <v>45055</v>
      </c>
      <c r="C415" s="73">
        <v>3042.7750000000001</v>
      </c>
      <c r="D415" s="74">
        <f t="shared" si="13"/>
        <v>1.3496332046332047</v>
      </c>
      <c r="E415" s="1">
        <v>9.4298936752534313E-3</v>
      </c>
      <c r="G415" s="75">
        <v>413</v>
      </c>
      <c r="H415" s="1">
        <f t="shared" ca="1" si="14"/>
        <v>1.5624536034496081E-2</v>
      </c>
    </row>
    <row r="416" spans="2:8" x14ac:dyDescent="0.3">
      <c r="B416" s="72">
        <v>43245</v>
      </c>
      <c r="C416" s="73">
        <v>1295</v>
      </c>
      <c r="D416" s="74">
        <f t="shared" si="13"/>
        <v>-0.47181662452076029</v>
      </c>
      <c r="E416" s="1">
        <v>9.3924159164425376E-3</v>
      </c>
      <c r="G416" s="75">
        <v>414</v>
      </c>
      <c r="H416" s="1">
        <f t="shared" ca="1" si="14"/>
        <v>1.6571480290257214E-2</v>
      </c>
    </row>
    <row r="417" spans="2:8" x14ac:dyDescent="0.3">
      <c r="B417" s="72">
        <v>46129</v>
      </c>
      <c r="C417" s="73">
        <v>2451.8000000000002</v>
      </c>
      <c r="D417" s="74">
        <f t="shared" si="13"/>
        <v>-0.21891078226795574</v>
      </c>
      <c r="E417" s="1">
        <v>9.3450249063440263E-3</v>
      </c>
      <c r="G417" s="75">
        <v>415</v>
      </c>
      <c r="H417" s="1">
        <f t="shared" ca="1" si="14"/>
        <v>1.5605213425066922E-2</v>
      </c>
    </row>
    <row r="418" spans="2:8" x14ac:dyDescent="0.3">
      <c r="B418" s="72">
        <v>44503</v>
      </c>
      <c r="C418" s="73">
        <v>3138.95</v>
      </c>
      <c r="D418" s="74">
        <f t="shared" si="13"/>
        <v>1.6260222115324281</v>
      </c>
      <c r="E418" s="1">
        <v>9.3411363709443151E-3</v>
      </c>
      <c r="G418" s="75">
        <v>416</v>
      </c>
      <c r="H418" s="1">
        <f t="shared" ca="1" si="14"/>
        <v>-1.4866403629600249E-3</v>
      </c>
    </row>
    <row r="419" spans="2:8" x14ac:dyDescent="0.3">
      <c r="B419" s="72">
        <v>43115</v>
      </c>
      <c r="C419" s="73">
        <v>1195.325</v>
      </c>
      <c r="D419" s="74">
        <f t="shared" si="13"/>
        <v>-0.63623706634205723</v>
      </c>
      <c r="E419" s="1">
        <v>9.3306031116083283E-3</v>
      </c>
      <c r="G419" s="75">
        <v>417</v>
      </c>
      <c r="H419" s="1">
        <f t="shared" ca="1" si="14"/>
        <v>-1.1162608606176648E-3</v>
      </c>
    </row>
    <row r="420" spans="2:8" x14ac:dyDescent="0.3">
      <c r="B420" s="72">
        <v>45544</v>
      </c>
      <c r="C420" s="73">
        <v>3286</v>
      </c>
      <c r="D420" s="74">
        <f t="shared" si="13"/>
        <v>-4.5807622504537203E-2</v>
      </c>
      <c r="E420" s="1">
        <v>9.3300057592628147E-3</v>
      </c>
      <c r="G420" s="75">
        <v>418</v>
      </c>
      <c r="H420" s="1">
        <f t="shared" ca="1" si="14"/>
        <v>-3.0808419101666278E-3</v>
      </c>
    </row>
    <row r="421" spans="2:8" x14ac:dyDescent="0.3">
      <c r="B421" s="72">
        <v>44565</v>
      </c>
      <c r="C421" s="73">
        <v>3443.75</v>
      </c>
      <c r="D421" s="74">
        <f t="shared" si="13"/>
        <v>0.89785346229092589</v>
      </c>
      <c r="E421" s="1">
        <v>9.3201834727942041E-3</v>
      </c>
      <c r="G421" s="75">
        <v>419</v>
      </c>
      <c r="H421" s="1">
        <f t="shared" ca="1" si="14"/>
        <v>-5.6933149687160671E-3</v>
      </c>
    </row>
    <row r="422" spans="2:8" x14ac:dyDescent="0.3">
      <c r="B422" s="72">
        <v>43776</v>
      </c>
      <c r="C422" s="73">
        <v>1814.5500000000002</v>
      </c>
      <c r="D422" s="74">
        <f t="shared" si="13"/>
        <v>-0.2471293578267138</v>
      </c>
      <c r="E422" s="1">
        <v>9.3169429302482083E-3</v>
      </c>
      <c r="G422" s="75">
        <v>420</v>
      </c>
      <c r="H422" s="1">
        <f t="shared" ca="1" si="14"/>
        <v>-5.5406149984385533E-3</v>
      </c>
    </row>
    <row r="423" spans="2:8" x14ac:dyDescent="0.3">
      <c r="B423" s="72">
        <v>45756</v>
      </c>
      <c r="C423" s="73">
        <v>2410.1750000000002</v>
      </c>
      <c r="D423" s="74">
        <f t="shared" si="13"/>
        <v>0.65924306834414759</v>
      </c>
      <c r="E423" s="1">
        <v>9.2860134003350837E-3</v>
      </c>
      <c r="G423" s="75">
        <v>421</v>
      </c>
      <c r="H423" s="1">
        <f t="shared" ca="1" si="14"/>
        <v>-8.4932930400150927E-3</v>
      </c>
    </row>
    <row r="424" spans="2:8" x14ac:dyDescent="0.3">
      <c r="B424" s="72">
        <v>43571</v>
      </c>
      <c r="C424" s="73">
        <v>1452.575</v>
      </c>
      <c r="D424" s="74">
        <f t="shared" si="13"/>
        <v>-0.56501590866554374</v>
      </c>
      <c r="E424" s="1">
        <v>9.2758255311019035E-3</v>
      </c>
      <c r="G424" s="75">
        <v>422</v>
      </c>
      <c r="H424" s="1">
        <f t="shared" ca="1" si="14"/>
        <v>1.7321159500129239E-2</v>
      </c>
    </row>
    <row r="425" spans="2:8" x14ac:dyDescent="0.3">
      <c r="B425" s="72">
        <v>45105</v>
      </c>
      <c r="C425" s="73">
        <v>3339.375</v>
      </c>
      <c r="D425" s="74">
        <f t="shared" si="13"/>
        <v>0.35556841015648794</v>
      </c>
      <c r="E425" s="1">
        <v>9.2023844602098313E-3</v>
      </c>
      <c r="G425" s="75">
        <v>423</v>
      </c>
      <c r="H425" s="1">
        <f t="shared" ca="1" si="14"/>
        <v>8.1754699150468485E-3</v>
      </c>
    </row>
    <row r="426" spans="2:8" x14ac:dyDescent="0.3">
      <c r="B426" s="72">
        <v>45771</v>
      </c>
      <c r="C426" s="73">
        <v>2463.4499999999998</v>
      </c>
      <c r="D426" s="74">
        <f t="shared" si="13"/>
        <v>0.79375250300360434</v>
      </c>
      <c r="E426" s="1">
        <v>9.1557084920732088E-3</v>
      </c>
      <c r="G426" s="75">
        <v>424</v>
      </c>
      <c r="H426" s="1">
        <f t="shared" ca="1" si="14"/>
        <v>3.748498338701528E-3</v>
      </c>
    </row>
    <row r="427" spans="2:8" x14ac:dyDescent="0.3">
      <c r="B427" s="72">
        <v>43608</v>
      </c>
      <c r="C427" s="73">
        <v>1373.35</v>
      </c>
      <c r="D427" s="74">
        <f t="shared" si="13"/>
        <v>-0.55428803245436109</v>
      </c>
      <c r="E427" s="1">
        <v>9.1483577044601493E-3</v>
      </c>
      <c r="G427" s="75">
        <v>425</v>
      </c>
      <c r="H427" s="1">
        <f t="shared" ca="1" si="14"/>
        <v>1.0715039637448482E-2</v>
      </c>
    </row>
    <row r="428" spans="2:8" x14ac:dyDescent="0.3">
      <c r="B428" s="72">
        <v>44916</v>
      </c>
      <c r="C428" s="73">
        <v>3081.25</v>
      </c>
      <c r="D428" s="74">
        <f t="shared" si="13"/>
        <v>-2.3514871096040127E-2</v>
      </c>
      <c r="E428" s="1">
        <v>9.1457673192340098E-3</v>
      </c>
      <c r="G428" s="75">
        <v>426</v>
      </c>
      <c r="H428" s="1">
        <f t="shared" ca="1" si="14"/>
        <v>3.8706923369445836E-3</v>
      </c>
    </row>
    <row r="429" spans="2:8" x14ac:dyDescent="0.3">
      <c r="B429" s="72">
        <v>44869</v>
      </c>
      <c r="C429" s="73">
        <v>3155.45</v>
      </c>
      <c r="D429" s="74">
        <f t="shared" si="13"/>
        <v>-6.2322167495004077E-2</v>
      </c>
      <c r="E429" s="1">
        <v>9.1385168898660222E-3</v>
      </c>
      <c r="G429" s="75">
        <v>427</v>
      </c>
      <c r="H429" s="1">
        <f t="shared" ca="1" si="14"/>
        <v>-6.7682512812455523E-3</v>
      </c>
    </row>
    <row r="430" spans="2:8" x14ac:dyDescent="0.3">
      <c r="B430" s="72">
        <v>44775</v>
      </c>
      <c r="C430" s="73">
        <v>3365.1750000000002</v>
      </c>
      <c r="D430" s="74">
        <f t="shared" si="13"/>
        <v>0.26532933512563334</v>
      </c>
      <c r="E430" s="1">
        <v>9.1236224604543618E-3</v>
      </c>
      <c r="G430" s="75">
        <v>428</v>
      </c>
      <c r="H430" s="1">
        <f t="shared" ca="1" si="14"/>
        <v>1.9905777405619291E-2</v>
      </c>
    </row>
    <row r="431" spans="2:8" x14ac:dyDescent="0.3">
      <c r="B431" s="72">
        <v>44193</v>
      </c>
      <c r="C431" s="73">
        <v>2659.5250000000001</v>
      </c>
      <c r="D431" s="74">
        <f t="shared" si="13"/>
        <v>-6.9160432252701548E-2</v>
      </c>
      <c r="E431" s="1">
        <v>9.1159172832479957E-3</v>
      </c>
      <c r="G431" s="75">
        <v>429</v>
      </c>
      <c r="H431" s="1">
        <f t="shared" ca="1" si="14"/>
        <v>-1.6759476948844517E-3</v>
      </c>
    </row>
    <row r="432" spans="2:8" x14ac:dyDescent="0.3">
      <c r="B432" s="72">
        <v>44991</v>
      </c>
      <c r="C432" s="73">
        <v>2857.125</v>
      </c>
      <c r="D432" s="74">
        <f t="shared" si="13"/>
        <v>-4.2778978183591124E-3</v>
      </c>
      <c r="E432" s="1">
        <v>9.1123413949299997E-3</v>
      </c>
      <c r="G432" s="75">
        <v>430</v>
      </c>
      <c r="H432" s="1">
        <f t="shared" ca="1" si="14"/>
        <v>-1.8837093835082214E-2</v>
      </c>
    </row>
    <row r="433" spans="2:8" x14ac:dyDescent="0.3">
      <c r="B433" s="72">
        <v>45383</v>
      </c>
      <c r="C433" s="73">
        <v>2869.3999999999996</v>
      </c>
      <c r="D433" s="74">
        <f t="shared" si="13"/>
        <v>-9.4112075769534453E-2</v>
      </c>
      <c r="E433" s="1">
        <v>9.1084930543343188E-3</v>
      </c>
      <c r="G433" s="75">
        <v>431</v>
      </c>
      <c r="H433" s="1">
        <f t="shared" ca="1" si="14"/>
        <v>-1.3806018919832E-2</v>
      </c>
    </row>
    <row r="434" spans="2:8" x14ac:dyDescent="0.3">
      <c r="B434" s="72">
        <v>44504</v>
      </c>
      <c r="C434" s="73">
        <v>3167.5</v>
      </c>
      <c r="D434" s="74">
        <f t="shared" si="13"/>
        <v>4.1897948275153162E-2</v>
      </c>
      <c r="E434" s="1">
        <v>9.0953981426910857E-3</v>
      </c>
      <c r="G434" s="75">
        <v>432</v>
      </c>
      <c r="H434" s="1">
        <f t="shared" ca="1" si="14"/>
        <v>-1.9232089010495387E-2</v>
      </c>
    </row>
    <row r="435" spans="2:8" x14ac:dyDescent="0.3">
      <c r="B435" s="72">
        <v>44384</v>
      </c>
      <c r="C435" s="73">
        <v>3040.125</v>
      </c>
      <c r="D435" s="74">
        <f t="shared" si="13"/>
        <v>-3.943221403350796E-2</v>
      </c>
      <c r="E435" s="1">
        <v>9.0863828727906406E-3</v>
      </c>
      <c r="G435" s="75">
        <v>433</v>
      </c>
      <c r="H435" s="1">
        <f t="shared" ca="1" si="14"/>
        <v>6.5616695835392612E-3</v>
      </c>
    </row>
    <row r="436" spans="2:8" x14ac:dyDescent="0.3">
      <c r="B436" s="72">
        <v>44592</v>
      </c>
      <c r="C436" s="73">
        <v>3164.9250000000002</v>
      </c>
      <c r="D436" s="74">
        <f t="shared" si="13"/>
        <v>-8.098553207552639E-2</v>
      </c>
      <c r="E436" s="1">
        <v>9.0626494500239702E-3</v>
      </c>
      <c r="G436" s="75">
        <v>434</v>
      </c>
      <c r="H436" s="1">
        <f t="shared" ca="1" si="14"/>
        <v>-9.1323214322788313E-3</v>
      </c>
    </row>
    <row r="437" spans="2:8" x14ac:dyDescent="0.3">
      <c r="B437" s="72">
        <v>44466</v>
      </c>
      <c r="C437" s="73">
        <v>3443.8249999999998</v>
      </c>
      <c r="D437" s="74">
        <f t="shared" si="13"/>
        <v>0.20814769338712499</v>
      </c>
      <c r="E437" s="1">
        <v>9.0538174732816088E-3</v>
      </c>
      <c r="G437" s="75">
        <v>435</v>
      </c>
      <c r="H437" s="1">
        <f t="shared" ca="1" si="14"/>
        <v>9.1534498033416585E-4</v>
      </c>
    </row>
    <row r="438" spans="2:8" x14ac:dyDescent="0.3">
      <c r="B438" s="72">
        <v>44711</v>
      </c>
      <c r="C438" s="73">
        <v>2850.5</v>
      </c>
      <c r="D438" s="74">
        <f t="shared" si="13"/>
        <v>1.0342914235757998</v>
      </c>
      <c r="E438" s="1">
        <v>9.0265486725663712E-3</v>
      </c>
      <c r="G438" s="75">
        <v>436</v>
      </c>
      <c r="H438" s="1">
        <f t="shared" ca="1" si="14"/>
        <v>-2.2972060083278553E-2</v>
      </c>
    </row>
    <row r="439" spans="2:8" x14ac:dyDescent="0.3">
      <c r="B439" s="72">
        <v>43300</v>
      </c>
      <c r="C439" s="73">
        <v>1401.2249999999999</v>
      </c>
      <c r="D439" s="74">
        <f t="shared" si="13"/>
        <v>-0.47860910334049622</v>
      </c>
      <c r="E439" s="1">
        <v>8.9828982898289174E-3</v>
      </c>
      <c r="G439" s="75">
        <v>437</v>
      </c>
      <c r="H439" s="1">
        <f t="shared" ca="1" si="14"/>
        <v>3.8733734751011462E-3</v>
      </c>
    </row>
    <row r="440" spans="2:8" x14ac:dyDescent="0.3">
      <c r="B440" s="72">
        <v>44628</v>
      </c>
      <c r="C440" s="73">
        <v>2687.4749999999999</v>
      </c>
      <c r="D440" s="74">
        <f t="shared" si="13"/>
        <v>1.3411080621978309</v>
      </c>
      <c r="E440" s="1">
        <v>8.9444934582247199E-3</v>
      </c>
      <c r="G440" s="75">
        <v>438</v>
      </c>
      <c r="H440" s="1">
        <f t="shared" ca="1" si="14"/>
        <v>4.7492640304211832E-4</v>
      </c>
    </row>
    <row r="441" spans="2:8" x14ac:dyDescent="0.3">
      <c r="B441" s="72">
        <v>43174</v>
      </c>
      <c r="C441" s="73">
        <v>1147.95</v>
      </c>
      <c r="D441" s="74">
        <f t="shared" si="13"/>
        <v>-0.6428088025950387</v>
      </c>
      <c r="E441" s="1">
        <v>8.9428929269846445E-3</v>
      </c>
      <c r="G441" s="75">
        <v>439</v>
      </c>
      <c r="H441" s="1">
        <f t="shared" ca="1" si="14"/>
        <v>-2.1432590291789445E-2</v>
      </c>
    </row>
    <row r="442" spans="2:8" x14ac:dyDescent="0.3">
      <c r="B442" s="72">
        <v>45265</v>
      </c>
      <c r="C442" s="73">
        <v>3213.8249999999998</v>
      </c>
      <c r="D442" s="74">
        <f t="shared" si="13"/>
        <v>8.9801627670396678E-2</v>
      </c>
      <c r="E442" s="1">
        <v>8.8997716196171396E-3</v>
      </c>
      <c r="G442" s="75">
        <v>440</v>
      </c>
      <c r="H442" s="1">
        <f t="shared" ca="1" si="14"/>
        <v>-1.8028293407599389E-2</v>
      </c>
    </row>
    <row r="443" spans="2:8" x14ac:dyDescent="0.3">
      <c r="B443" s="72">
        <v>44351</v>
      </c>
      <c r="C443" s="73">
        <v>2949</v>
      </c>
      <c r="D443" s="74">
        <f t="shared" si="13"/>
        <v>-9.7889262771489752E-2</v>
      </c>
      <c r="E443" s="1">
        <v>8.8863420600234031E-3</v>
      </c>
      <c r="G443" s="75">
        <v>441</v>
      </c>
      <c r="H443" s="1">
        <f t="shared" ca="1" si="14"/>
        <v>9.605569506927784E-3</v>
      </c>
    </row>
    <row r="444" spans="2:8" x14ac:dyDescent="0.3">
      <c r="B444" s="72">
        <v>44476</v>
      </c>
      <c r="C444" s="73">
        <v>3269</v>
      </c>
      <c r="D444" s="74">
        <f t="shared" si="13"/>
        <v>0.37452565409803346</v>
      </c>
      <c r="E444" s="1">
        <v>8.8494209685757389E-3</v>
      </c>
      <c r="G444" s="75">
        <v>442</v>
      </c>
      <c r="H444" s="1">
        <f t="shared" ca="1" si="14"/>
        <v>-8.1514095594502414E-3</v>
      </c>
    </row>
    <row r="445" spans="2:8" x14ac:dyDescent="0.3">
      <c r="B445" s="72">
        <v>44251</v>
      </c>
      <c r="C445" s="73">
        <v>2378.2749999999996</v>
      </c>
      <c r="D445" s="74">
        <f t="shared" si="13"/>
        <v>-0.21101564184650101</v>
      </c>
      <c r="E445" s="1">
        <v>8.8123011664897714E-3</v>
      </c>
      <c r="G445" s="75">
        <v>443</v>
      </c>
      <c r="H445" s="1">
        <f t="shared" ca="1" si="14"/>
        <v>-1.4476266643381286E-2</v>
      </c>
    </row>
    <row r="446" spans="2:8" x14ac:dyDescent="0.3">
      <c r="B446" s="72">
        <v>45054</v>
      </c>
      <c r="C446" s="73">
        <v>3014.35</v>
      </c>
      <c r="D446" s="74">
        <f t="shared" si="13"/>
        <v>4.3208167503028173E-2</v>
      </c>
      <c r="E446" s="1">
        <v>8.8101672509432877E-3</v>
      </c>
      <c r="G446" s="75">
        <v>444</v>
      </c>
      <c r="H446" s="1">
        <f t="shared" ca="1" si="14"/>
        <v>-7.8330419379650188E-3</v>
      </c>
    </row>
    <row r="447" spans="2:8" x14ac:dyDescent="0.3">
      <c r="B447" s="72">
        <v>45002</v>
      </c>
      <c r="C447" s="73">
        <v>2889.5</v>
      </c>
      <c r="D447" s="74">
        <f t="shared" si="13"/>
        <v>0.95715858098382867</v>
      </c>
      <c r="E447" s="1">
        <v>8.7803515631819061E-3</v>
      </c>
      <c r="G447" s="75">
        <v>445</v>
      </c>
      <c r="H447" s="1">
        <f t="shared" ca="1" si="14"/>
        <v>6.4214359221901078E-4</v>
      </c>
    </row>
    <row r="448" spans="2:8" x14ac:dyDescent="0.3">
      <c r="B448" s="72">
        <v>43550</v>
      </c>
      <c r="C448" s="73">
        <v>1476.375</v>
      </c>
      <c r="D448" s="74">
        <f t="shared" si="13"/>
        <v>0.30338343375488325</v>
      </c>
      <c r="E448" s="1">
        <v>8.7629394281029324E-3</v>
      </c>
      <c r="G448" s="75">
        <v>446</v>
      </c>
      <c r="H448" s="1">
        <f t="shared" ca="1" si="14"/>
        <v>1.8494021751529522E-2</v>
      </c>
    </row>
    <row r="449" spans="2:8" x14ac:dyDescent="0.3">
      <c r="B449" s="72">
        <v>43192</v>
      </c>
      <c r="C449" s="73">
        <v>1132.7249999999999</v>
      </c>
      <c r="D449" s="74">
        <f t="shared" si="13"/>
        <v>-0.51095016568264495</v>
      </c>
      <c r="E449" s="1">
        <v>8.7272079613508954E-3</v>
      </c>
      <c r="G449" s="75">
        <v>447</v>
      </c>
      <c r="H449" s="1">
        <f t="shared" ca="1" si="14"/>
        <v>-1.385085010215029E-2</v>
      </c>
    </row>
    <row r="450" spans="2:8" x14ac:dyDescent="0.3">
      <c r="B450" s="72">
        <v>45740</v>
      </c>
      <c r="C450" s="73">
        <v>2316.1750000000002</v>
      </c>
      <c r="D450" s="74">
        <f t="shared" si="13"/>
        <v>-0.20597360301679801</v>
      </c>
      <c r="E450" s="1">
        <v>8.7101375112959584E-3</v>
      </c>
      <c r="G450" s="75">
        <v>448</v>
      </c>
      <c r="H450" s="1">
        <f t="shared" ca="1" si="14"/>
        <v>-1.6982753049409386E-2</v>
      </c>
    </row>
    <row r="451" spans="2:8" x14ac:dyDescent="0.3">
      <c r="B451" s="72">
        <v>45456</v>
      </c>
      <c r="C451" s="73">
        <v>2917</v>
      </c>
      <c r="D451" s="74">
        <f t="shared" ref="D451:D514" si="15">(C451-C452)/C452</f>
        <v>-7.472462986606182E-2</v>
      </c>
      <c r="E451" s="1">
        <v>8.7055751990525645E-3</v>
      </c>
      <c r="G451" s="75">
        <v>449</v>
      </c>
      <c r="H451" s="1">
        <f t="shared" ca="1" si="14"/>
        <v>4.0976589408473251E-3</v>
      </c>
    </row>
    <row r="452" spans="2:8" x14ac:dyDescent="0.3">
      <c r="B452" s="72">
        <v>44530</v>
      </c>
      <c r="C452" s="73">
        <v>3152.5749999999998</v>
      </c>
      <c r="D452" s="74">
        <f t="shared" si="15"/>
        <v>0.34657810714705206</v>
      </c>
      <c r="E452" s="1">
        <v>8.6948870544569425E-3</v>
      </c>
      <c r="G452" s="75">
        <v>450</v>
      </c>
      <c r="H452" s="1">
        <f t="shared" ref="H452:H515" ca="1" si="16">_xlfn.NORM.INV(RAND(),$N$4,$N$5)</f>
        <v>1.1890375056155004E-2</v>
      </c>
    </row>
    <row r="453" spans="2:8" x14ac:dyDescent="0.3">
      <c r="B453" s="72">
        <v>45692</v>
      </c>
      <c r="C453" s="73">
        <v>2341.1750000000002</v>
      </c>
      <c r="D453" s="74">
        <f t="shared" si="15"/>
        <v>-8.2791380999020503E-2</v>
      </c>
      <c r="E453" s="1">
        <v>8.6597804896439649E-3</v>
      </c>
      <c r="G453" s="75">
        <v>451</v>
      </c>
      <c r="H453" s="1">
        <f t="shared" ca="1" si="16"/>
        <v>9.6317598409194089E-3</v>
      </c>
    </row>
    <row r="454" spans="2:8" x14ac:dyDescent="0.3">
      <c r="B454" s="72">
        <v>44312</v>
      </c>
      <c r="C454" s="73">
        <v>2552.5</v>
      </c>
      <c r="D454" s="74">
        <f t="shared" si="15"/>
        <v>1.2357501040138394</v>
      </c>
      <c r="E454" s="1">
        <v>8.6540741326168076E-3</v>
      </c>
      <c r="G454" s="75">
        <v>452</v>
      </c>
      <c r="H454" s="1">
        <f t="shared" ca="1" si="16"/>
        <v>9.0430889892700386E-3</v>
      </c>
    </row>
    <row r="455" spans="2:8" x14ac:dyDescent="0.3">
      <c r="B455" s="72">
        <v>43132</v>
      </c>
      <c r="C455" s="73">
        <v>1141.675</v>
      </c>
      <c r="D455" s="74">
        <f t="shared" si="15"/>
        <v>-0.59311629067322436</v>
      </c>
      <c r="E455" s="1">
        <v>8.6359219012279026E-3</v>
      </c>
      <c r="G455" s="75">
        <v>453</v>
      </c>
      <c r="H455" s="1">
        <f t="shared" ca="1" si="16"/>
        <v>-1.4397475267797265E-2</v>
      </c>
    </row>
    <row r="456" spans="2:8" x14ac:dyDescent="0.3">
      <c r="B456" s="72">
        <v>45022</v>
      </c>
      <c r="C456" s="73">
        <v>2805.9</v>
      </c>
      <c r="D456" s="74">
        <f t="shared" si="15"/>
        <v>1.4036492911294816</v>
      </c>
      <c r="E456" s="1">
        <v>8.6271972392968823E-3</v>
      </c>
      <c r="G456" s="75">
        <v>454</v>
      </c>
      <c r="H456" s="1">
        <f t="shared" ca="1" si="16"/>
        <v>1.9196586204400276E-2</v>
      </c>
    </row>
    <row r="457" spans="2:8" x14ac:dyDescent="0.3">
      <c r="B457" s="72">
        <v>43203</v>
      </c>
      <c r="C457" s="73">
        <v>1167.3499999999999</v>
      </c>
      <c r="D457" s="74">
        <f t="shared" si="15"/>
        <v>-0.14689224248182117</v>
      </c>
      <c r="E457" s="1">
        <v>8.5968550198719691E-3</v>
      </c>
      <c r="G457" s="75">
        <v>455</v>
      </c>
      <c r="H457" s="1">
        <f t="shared" ca="1" si="16"/>
        <v>2.3926396439171061E-3</v>
      </c>
    </row>
    <row r="458" spans="2:8" x14ac:dyDescent="0.3">
      <c r="B458" s="72">
        <v>43606</v>
      </c>
      <c r="C458" s="73">
        <v>1368.35</v>
      </c>
      <c r="D458" s="74">
        <f t="shared" si="15"/>
        <v>-0.38791348885061849</v>
      </c>
      <c r="E458" s="1">
        <v>8.5870126041128203E-3</v>
      </c>
      <c r="G458" s="75">
        <v>456</v>
      </c>
      <c r="H458" s="1">
        <f t="shared" ca="1" si="16"/>
        <v>-2.2378253537348497E-3</v>
      </c>
    </row>
    <row r="459" spans="2:8" x14ac:dyDescent="0.3">
      <c r="B459" s="72">
        <v>45820</v>
      </c>
      <c r="C459" s="73">
        <v>2235.5500000000002</v>
      </c>
      <c r="D459" s="74">
        <f t="shared" si="15"/>
        <v>-0.15025562080696342</v>
      </c>
      <c r="E459" s="1">
        <v>8.5718797229929391E-3</v>
      </c>
      <c r="G459" s="75">
        <v>457</v>
      </c>
      <c r="H459" s="1">
        <f t="shared" ca="1" si="16"/>
        <v>2.2938960095639799E-3</v>
      </c>
    </row>
    <row r="460" spans="2:8" x14ac:dyDescent="0.3">
      <c r="B460" s="72">
        <v>44732</v>
      </c>
      <c r="C460" s="73">
        <v>2630.85</v>
      </c>
      <c r="D460" s="74">
        <f t="shared" si="15"/>
        <v>2.4474299065420525E-2</v>
      </c>
      <c r="E460" s="1">
        <v>8.5681426106957673E-3</v>
      </c>
      <c r="G460" s="75">
        <v>458</v>
      </c>
      <c r="H460" s="1">
        <f t="shared" ca="1" si="16"/>
        <v>-6.2939339094616525E-3</v>
      </c>
    </row>
    <row r="461" spans="2:8" x14ac:dyDescent="0.3">
      <c r="B461" s="72">
        <v>45904</v>
      </c>
      <c r="C461" s="73">
        <v>2568</v>
      </c>
      <c r="D461" s="74">
        <f t="shared" si="15"/>
        <v>1.2039646101401085E-2</v>
      </c>
      <c r="E461" s="1">
        <v>8.5617783363444288E-3</v>
      </c>
      <c r="G461" s="75">
        <v>459</v>
      </c>
      <c r="H461" s="1">
        <f t="shared" ca="1" si="16"/>
        <v>1.4459478852365254E-2</v>
      </c>
    </row>
    <row r="462" spans="2:8" x14ac:dyDescent="0.3">
      <c r="B462" s="72">
        <v>44179</v>
      </c>
      <c r="C462" s="73">
        <v>2537.4499999999998</v>
      </c>
      <c r="D462" s="74">
        <f t="shared" si="15"/>
        <v>0.8308710788823348</v>
      </c>
      <c r="E462" s="1">
        <v>8.5454798386295442E-3</v>
      </c>
      <c r="G462" s="75">
        <v>460</v>
      </c>
      <c r="H462" s="1">
        <f t="shared" ca="1" si="16"/>
        <v>-1.9269055908317848E-2</v>
      </c>
    </row>
    <row r="463" spans="2:8" x14ac:dyDescent="0.3">
      <c r="B463" s="72">
        <v>43468</v>
      </c>
      <c r="C463" s="73">
        <v>1385.925</v>
      </c>
      <c r="D463" s="74">
        <f t="shared" si="15"/>
        <v>-0.45256058301897978</v>
      </c>
      <c r="E463" s="1">
        <v>8.5138896468919187E-3</v>
      </c>
      <c r="G463" s="75">
        <v>461</v>
      </c>
      <c r="H463" s="1">
        <f t="shared" ca="1" si="16"/>
        <v>-7.0154123908883212E-3</v>
      </c>
    </row>
    <row r="464" spans="2:8" x14ac:dyDescent="0.3">
      <c r="B464" s="72">
        <v>45959</v>
      </c>
      <c r="C464" s="73">
        <v>2531.65</v>
      </c>
      <c r="D464" s="74">
        <f t="shared" si="15"/>
        <v>-0.25800495317926692</v>
      </c>
      <c r="E464" s="1">
        <v>8.5049595665856303E-3</v>
      </c>
      <c r="G464" s="75">
        <v>462</v>
      </c>
      <c r="H464" s="1">
        <f t="shared" ca="1" si="16"/>
        <v>-1.4616680267764056E-2</v>
      </c>
    </row>
    <row r="465" spans="2:8" x14ac:dyDescent="0.3">
      <c r="B465" s="72">
        <v>44564</v>
      </c>
      <c r="C465" s="73">
        <v>3411.95</v>
      </c>
      <c r="D465" s="74">
        <f t="shared" si="15"/>
        <v>0.89784736900656348</v>
      </c>
      <c r="E465" s="1">
        <v>8.4978718373137866E-3</v>
      </c>
      <c r="G465" s="75">
        <v>463</v>
      </c>
      <c r="H465" s="1">
        <f t="shared" ca="1" si="16"/>
        <v>-6.6197163681367011E-3</v>
      </c>
    </row>
    <row r="466" spans="2:8" x14ac:dyDescent="0.3">
      <c r="B466" s="72">
        <v>43775</v>
      </c>
      <c r="C466" s="73">
        <v>1797.8</v>
      </c>
      <c r="D466" s="74">
        <f t="shared" si="15"/>
        <v>-0.45464197418513297</v>
      </c>
      <c r="E466" s="1">
        <v>8.470297862792471E-3</v>
      </c>
      <c r="G466" s="75">
        <v>464</v>
      </c>
      <c r="H466" s="1">
        <f t="shared" ca="1" si="16"/>
        <v>-1.9392034793282352E-2</v>
      </c>
    </row>
    <row r="467" spans="2:8" x14ac:dyDescent="0.3">
      <c r="B467" s="72">
        <v>44477</v>
      </c>
      <c r="C467" s="73">
        <v>3296.55</v>
      </c>
      <c r="D467" s="74">
        <f t="shared" si="15"/>
        <v>0.42032981828757326</v>
      </c>
      <c r="E467" s="1">
        <v>8.4276537167330013E-3</v>
      </c>
      <c r="G467" s="75">
        <v>465</v>
      </c>
      <c r="H467" s="1">
        <f t="shared" ca="1" si="16"/>
        <v>1.6909580550386577E-2</v>
      </c>
    </row>
    <row r="468" spans="2:8" x14ac:dyDescent="0.3">
      <c r="B468" s="72">
        <v>45659</v>
      </c>
      <c r="C468" s="73">
        <v>2320.9749999999999</v>
      </c>
      <c r="D468" s="74">
        <f t="shared" si="15"/>
        <v>0.65893536801100738</v>
      </c>
      <c r="E468" s="1">
        <v>8.4180570038234273E-3</v>
      </c>
      <c r="G468" s="75">
        <v>466</v>
      </c>
      <c r="H468" s="1">
        <f t="shared" ca="1" si="16"/>
        <v>-1.5516982068555908E-2</v>
      </c>
    </row>
    <row r="469" spans="2:8" x14ac:dyDescent="0.3">
      <c r="B469" s="72">
        <v>43517</v>
      </c>
      <c r="C469" s="73">
        <v>1399.0749999999998</v>
      </c>
      <c r="D469" s="74">
        <f t="shared" si="15"/>
        <v>-0.41779197270135882</v>
      </c>
      <c r="E469" s="1">
        <v>8.4150209024071842E-3</v>
      </c>
      <c r="G469" s="75">
        <v>467</v>
      </c>
      <c r="H469" s="1">
        <f t="shared" ca="1" si="16"/>
        <v>1.6458903888279426E-2</v>
      </c>
    </row>
    <row r="470" spans="2:8" x14ac:dyDescent="0.3">
      <c r="B470" s="72">
        <v>45642</v>
      </c>
      <c r="C470" s="73">
        <v>2403.0500000000002</v>
      </c>
      <c r="D470" s="74">
        <f t="shared" si="15"/>
        <v>-0.17279541484152455</v>
      </c>
      <c r="E470" s="1">
        <v>8.4137641628200515E-3</v>
      </c>
      <c r="G470" s="75">
        <v>468</v>
      </c>
      <c r="H470" s="1">
        <f t="shared" ca="1" si="16"/>
        <v>8.5915551568055346E-3</v>
      </c>
    </row>
    <row r="471" spans="2:8" x14ac:dyDescent="0.3">
      <c r="B471" s="72">
        <v>45446</v>
      </c>
      <c r="C471" s="73">
        <v>2905.0250000000001</v>
      </c>
      <c r="D471" s="74">
        <f t="shared" si="15"/>
        <v>-0.10792344482914804</v>
      </c>
      <c r="E471" s="1">
        <v>8.4091224659816402E-3</v>
      </c>
      <c r="G471" s="75">
        <v>469</v>
      </c>
      <c r="H471" s="1">
        <f t="shared" ca="1" si="16"/>
        <v>3.1670233694921965E-3</v>
      </c>
    </row>
    <row r="472" spans="2:8" x14ac:dyDescent="0.3">
      <c r="B472" s="72">
        <v>45561</v>
      </c>
      <c r="C472" s="73">
        <v>3256.4749999999999</v>
      </c>
      <c r="D472" s="74">
        <f t="shared" si="15"/>
        <v>1.4747601405908615</v>
      </c>
      <c r="E472" s="1">
        <v>8.3917166634410404E-3</v>
      </c>
      <c r="G472" s="75">
        <v>470</v>
      </c>
      <c r="H472" s="1">
        <f t="shared" ca="1" si="16"/>
        <v>3.9575212368815347E-3</v>
      </c>
    </row>
    <row r="473" spans="2:8" x14ac:dyDescent="0.3">
      <c r="B473" s="72">
        <v>43602</v>
      </c>
      <c r="C473" s="73">
        <v>1315.875</v>
      </c>
      <c r="D473" s="74">
        <f t="shared" si="15"/>
        <v>-0.46919120613150461</v>
      </c>
      <c r="E473" s="1">
        <v>8.3912868555664471E-3</v>
      </c>
      <c r="G473" s="75">
        <v>471</v>
      </c>
      <c r="H473" s="1">
        <f t="shared" ca="1" si="16"/>
        <v>-2.1688085463331952E-3</v>
      </c>
    </row>
    <row r="474" spans="2:8" x14ac:dyDescent="0.3">
      <c r="B474" s="72">
        <v>45621</v>
      </c>
      <c r="C474" s="73">
        <v>2479</v>
      </c>
      <c r="D474" s="74">
        <f t="shared" si="15"/>
        <v>0.36923501795084229</v>
      </c>
      <c r="E474" s="1">
        <v>8.3589253391365224E-3</v>
      </c>
      <c r="G474" s="75">
        <v>472</v>
      </c>
      <c r="H474" s="1">
        <f t="shared" ca="1" si="16"/>
        <v>-6.3166794576997882E-3</v>
      </c>
    </row>
    <row r="475" spans="2:8" x14ac:dyDescent="0.3">
      <c r="B475" s="72">
        <v>43753</v>
      </c>
      <c r="C475" s="73">
        <v>1810.5</v>
      </c>
      <c r="D475" s="74">
        <f t="shared" si="15"/>
        <v>-0.38713335477210026</v>
      </c>
      <c r="E475" s="1">
        <v>8.3542188805346695E-3</v>
      </c>
      <c r="G475" s="75">
        <v>473</v>
      </c>
      <c r="H475" s="1">
        <f t="shared" ca="1" si="16"/>
        <v>6.0975894852772928E-3</v>
      </c>
    </row>
    <row r="476" spans="2:8" x14ac:dyDescent="0.3">
      <c r="B476" s="72">
        <v>45050</v>
      </c>
      <c r="C476" s="73">
        <v>2954.15</v>
      </c>
      <c r="D476" s="74">
        <f t="shared" si="15"/>
        <v>4.3684861331920184E-2</v>
      </c>
      <c r="E476" s="1">
        <v>8.3455643922586871E-3</v>
      </c>
      <c r="G476" s="75">
        <v>474</v>
      </c>
      <c r="H476" s="1">
        <f t="shared" ca="1" si="16"/>
        <v>2.850546215003362E-2</v>
      </c>
    </row>
    <row r="477" spans="2:8" x14ac:dyDescent="0.3">
      <c r="B477" s="72">
        <v>45352</v>
      </c>
      <c r="C477" s="73">
        <v>2830.5</v>
      </c>
      <c r="D477" s="74">
        <f t="shared" si="15"/>
        <v>0.26645711920715004</v>
      </c>
      <c r="E477" s="1">
        <v>8.2372322899505763E-3</v>
      </c>
      <c r="G477" s="75">
        <v>475</v>
      </c>
      <c r="H477" s="1">
        <f t="shared" ca="1" si="16"/>
        <v>-2.1057278986755298E-3</v>
      </c>
    </row>
    <row r="478" spans="2:8" x14ac:dyDescent="0.3">
      <c r="B478" s="72">
        <v>45701</v>
      </c>
      <c r="C478" s="73">
        <v>2234.9749999999999</v>
      </c>
      <c r="D478" s="74">
        <f t="shared" si="15"/>
        <v>-0.19344099603031401</v>
      </c>
      <c r="E478" s="1">
        <v>8.1873851115898157E-3</v>
      </c>
      <c r="G478" s="75">
        <v>476</v>
      </c>
      <c r="H478" s="1">
        <f t="shared" ca="1" si="16"/>
        <v>-1.0010570313596536E-2</v>
      </c>
    </row>
    <row r="479" spans="2:8" x14ac:dyDescent="0.3">
      <c r="B479" s="72">
        <v>44197</v>
      </c>
      <c r="C479" s="73">
        <v>2771</v>
      </c>
      <c r="D479" s="74">
        <f t="shared" si="15"/>
        <v>-9.8898418763464904E-2</v>
      </c>
      <c r="E479" s="1">
        <v>8.1771131788868235E-3</v>
      </c>
      <c r="G479" s="75">
        <v>477</v>
      </c>
      <c r="H479" s="1">
        <f t="shared" ca="1" si="16"/>
        <v>5.3610887209216158E-3</v>
      </c>
    </row>
    <row r="480" spans="2:8" x14ac:dyDescent="0.3">
      <c r="B480" s="72">
        <v>44650</v>
      </c>
      <c r="C480" s="73">
        <v>3075.125</v>
      </c>
      <c r="D480" s="74">
        <f t="shared" si="15"/>
        <v>-0.13576994147362798</v>
      </c>
      <c r="E480" s="1">
        <v>8.1715953052259472E-3</v>
      </c>
      <c r="G480" s="75">
        <v>478</v>
      </c>
      <c r="H480" s="1">
        <f t="shared" ca="1" si="16"/>
        <v>1.3774267941568672E-2</v>
      </c>
    </row>
    <row r="481" spans="2:8" x14ac:dyDescent="0.3">
      <c r="B481" s="72">
        <v>44573</v>
      </c>
      <c r="C481" s="73">
        <v>3558.2249999999999</v>
      </c>
      <c r="D481" s="74">
        <f t="shared" si="15"/>
        <v>0.47396491373418098</v>
      </c>
      <c r="E481" s="1">
        <v>8.1314057840643755E-3</v>
      </c>
      <c r="G481" s="75">
        <v>479</v>
      </c>
      <c r="H481" s="1">
        <f t="shared" ca="1" si="16"/>
        <v>1.4783249418660415E-2</v>
      </c>
    </row>
    <row r="482" spans="2:8" x14ac:dyDescent="0.3">
      <c r="B482" s="72">
        <v>44277</v>
      </c>
      <c r="C482" s="73">
        <v>2414.0500000000002</v>
      </c>
      <c r="D482" s="74">
        <f t="shared" si="15"/>
        <v>-0.30465903362857344</v>
      </c>
      <c r="E482" s="1">
        <v>8.0908682806643904E-3</v>
      </c>
      <c r="G482" s="75">
        <v>480</v>
      </c>
      <c r="H482" s="1">
        <f t="shared" ca="1" si="16"/>
        <v>1.1970439512111941E-4</v>
      </c>
    </row>
    <row r="483" spans="2:8" x14ac:dyDescent="0.3">
      <c r="B483" s="72">
        <v>44778</v>
      </c>
      <c r="C483" s="73">
        <v>3471.75</v>
      </c>
      <c r="D483" s="74">
        <f t="shared" si="15"/>
        <v>1.9841413099535841</v>
      </c>
      <c r="E483" s="1">
        <v>8.0794442387682134E-3</v>
      </c>
      <c r="G483" s="75">
        <v>481</v>
      </c>
      <c r="H483" s="1">
        <f t="shared" ca="1" si="16"/>
        <v>1.3190217462203923E-2</v>
      </c>
    </row>
    <row r="484" spans="2:8" x14ac:dyDescent="0.3">
      <c r="B484" s="72">
        <v>43213</v>
      </c>
      <c r="C484" s="73">
        <v>1163.4000000000001</v>
      </c>
      <c r="D484" s="74">
        <f t="shared" si="15"/>
        <v>-0.61082166004599625</v>
      </c>
      <c r="E484" s="1">
        <v>8.0582271900183546E-3</v>
      </c>
      <c r="G484" s="75">
        <v>482</v>
      </c>
      <c r="H484" s="1">
        <f t="shared" ca="1" si="16"/>
        <v>1.4708135876739236E-2</v>
      </c>
    </row>
    <row r="485" spans="2:8" x14ac:dyDescent="0.3">
      <c r="B485" s="72">
        <v>45230</v>
      </c>
      <c r="C485" s="73">
        <v>2989.375</v>
      </c>
      <c r="D485" s="74">
        <f t="shared" si="15"/>
        <v>3.1850816333574984E-2</v>
      </c>
      <c r="E485" s="1">
        <v>8.04242081924798E-3</v>
      </c>
      <c r="G485" s="75">
        <v>483</v>
      </c>
      <c r="H485" s="1">
        <f t="shared" ca="1" si="16"/>
        <v>-1.3416210724729401E-2</v>
      </c>
    </row>
    <row r="486" spans="2:8" x14ac:dyDescent="0.3">
      <c r="B486" s="72">
        <v>45471</v>
      </c>
      <c r="C486" s="73">
        <v>2897.1</v>
      </c>
      <c r="D486" s="74">
        <f t="shared" si="15"/>
        <v>0.9911340206185566</v>
      </c>
      <c r="E486" s="1">
        <v>8.0375782881001775E-3</v>
      </c>
      <c r="G486" s="75">
        <v>484</v>
      </c>
      <c r="H486" s="1">
        <f t="shared" ca="1" si="16"/>
        <v>5.9291776626192998E-4</v>
      </c>
    </row>
    <row r="487" spans="2:8" x14ac:dyDescent="0.3">
      <c r="B487" s="72">
        <v>43501</v>
      </c>
      <c r="C487" s="73">
        <v>1455</v>
      </c>
      <c r="D487" s="74">
        <f t="shared" si="15"/>
        <v>-0.40917304529673321</v>
      </c>
      <c r="E487" s="1">
        <v>8.0365802965220376E-3</v>
      </c>
      <c r="G487" s="75">
        <v>485</v>
      </c>
      <c r="H487" s="1">
        <f t="shared" ca="1" si="16"/>
        <v>-1.2472799421854378E-2</v>
      </c>
    </row>
    <row r="488" spans="2:8" x14ac:dyDescent="0.3">
      <c r="B488" s="72">
        <v>45846</v>
      </c>
      <c r="C488" s="73">
        <v>2462.65</v>
      </c>
      <c r="D488" s="74">
        <f t="shared" si="15"/>
        <v>0.26427517166142594</v>
      </c>
      <c r="E488" s="1">
        <v>8.0227584371993649E-3</v>
      </c>
      <c r="G488" s="75">
        <v>486</v>
      </c>
      <c r="H488" s="1">
        <f t="shared" ca="1" si="16"/>
        <v>1.9928776501930773E-2</v>
      </c>
    </row>
    <row r="489" spans="2:8" x14ac:dyDescent="0.3">
      <c r="B489" s="72">
        <v>44075</v>
      </c>
      <c r="C489" s="73">
        <v>1947.875</v>
      </c>
      <c r="D489" s="74">
        <f t="shared" si="15"/>
        <v>-0.22746291742682639</v>
      </c>
      <c r="E489" s="1">
        <v>7.9168984386116734E-3</v>
      </c>
      <c r="G489" s="75">
        <v>487</v>
      </c>
      <c r="H489" s="1">
        <f t="shared" ca="1" si="16"/>
        <v>5.1567915377502647E-4</v>
      </c>
    </row>
    <row r="490" spans="2:8" x14ac:dyDescent="0.3">
      <c r="B490" s="72">
        <v>45953</v>
      </c>
      <c r="C490" s="73">
        <v>2521.4</v>
      </c>
      <c r="D490" s="74">
        <f t="shared" si="15"/>
        <v>0.37966129517660263</v>
      </c>
      <c r="E490" s="1">
        <v>7.914934441957221E-3</v>
      </c>
      <c r="G490" s="75">
        <v>488</v>
      </c>
      <c r="H490" s="1">
        <f t="shared" ca="1" si="16"/>
        <v>-1.1170441545439787E-2</v>
      </c>
    </row>
    <row r="491" spans="2:8" x14ac:dyDescent="0.3">
      <c r="B491" s="72">
        <v>43845</v>
      </c>
      <c r="C491" s="73">
        <v>1827.55</v>
      </c>
      <c r="D491" s="74">
        <f t="shared" si="15"/>
        <v>4.9682662760977575E-2</v>
      </c>
      <c r="E491" s="1">
        <v>7.9002881605978546E-3</v>
      </c>
      <c r="G491" s="75">
        <v>489</v>
      </c>
      <c r="H491" s="1">
        <f t="shared" ca="1" si="16"/>
        <v>-7.3188154065074564E-3</v>
      </c>
    </row>
    <row r="492" spans="2:8" x14ac:dyDescent="0.3">
      <c r="B492" s="72">
        <v>43811</v>
      </c>
      <c r="C492" s="73">
        <v>1741.05</v>
      </c>
      <c r="D492" s="74">
        <f t="shared" si="15"/>
        <v>0.32255920390451415</v>
      </c>
      <c r="E492" s="1">
        <v>7.8874625526433855E-3</v>
      </c>
      <c r="G492" s="75">
        <v>490</v>
      </c>
      <c r="H492" s="1">
        <f t="shared" ca="1" si="16"/>
        <v>2.1523069181665975E-3</v>
      </c>
    </row>
    <row r="493" spans="2:8" x14ac:dyDescent="0.3">
      <c r="B493" s="72">
        <v>43236</v>
      </c>
      <c r="C493" s="73">
        <v>1316.425</v>
      </c>
      <c r="D493" s="74">
        <f t="shared" si="15"/>
        <v>-0.53081590647860211</v>
      </c>
      <c r="E493" s="1">
        <v>7.8859220978083674E-3</v>
      </c>
      <c r="G493" s="75">
        <v>491</v>
      </c>
      <c r="H493" s="1">
        <f t="shared" ca="1" si="16"/>
        <v>-8.9818074855368415E-4</v>
      </c>
    </row>
    <row r="494" spans="2:8" x14ac:dyDescent="0.3">
      <c r="B494" s="72">
        <v>44950</v>
      </c>
      <c r="C494" s="73">
        <v>2805.7749999999996</v>
      </c>
      <c r="D494" s="74">
        <f t="shared" si="15"/>
        <v>0.63463835241341116</v>
      </c>
      <c r="E494" s="1">
        <v>7.848630979641856E-3</v>
      </c>
      <c r="G494" s="75">
        <v>492</v>
      </c>
      <c r="H494" s="1">
        <f t="shared" ca="1" si="16"/>
        <v>-4.4503126012240919E-3</v>
      </c>
    </row>
    <row r="495" spans="2:8" x14ac:dyDescent="0.3">
      <c r="B495" s="72">
        <v>44025</v>
      </c>
      <c r="C495" s="73">
        <v>1716.45</v>
      </c>
      <c r="D495" s="74">
        <f t="shared" si="15"/>
        <v>-0.33508299599062535</v>
      </c>
      <c r="E495" s="1">
        <v>7.8386471728026166E-3</v>
      </c>
      <c r="G495" s="75">
        <v>493</v>
      </c>
      <c r="H495" s="1">
        <f t="shared" ca="1" si="16"/>
        <v>1.1214853596164033E-2</v>
      </c>
    </row>
    <row r="496" spans="2:8" x14ac:dyDescent="0.3">
      <c r="B496" s="72">
        <v>46153</v>
      </c>
      <c r="C496" s="73">
        <v>2581.4499999999998</v>
      </c>
      <c r="D496" s="74">
        <f t="shared" si="15"/>
        <v>-0.15152262157143093</v>
      </c>
      <c r="E496" s="1">
        <v>7.8277504489731118E-3</v>
      </c>
      <c r="G496" s="75">
        <v>494</v>
      </c>
      <c r="H496" s="1">
        <f t="shared" ca="1" si="16"/>
        <v>2.4045271498242496E-2</v>
      </c>
    </row>
    <row r="497" spans="2:8" x14ac:dyDescent="0.3">
      <c r="B497" s="72">
        <v>44643</v>
      </c>
      <c r="C497" s="73">
        <v>3042.45</v>
      </c>
      <c r="D497" s="74">
        <f t="shared" si="15"/>
        <v>0.2482230222468382</v>
      </c>
      <c r="E497" s="1">
        <v>7.8175464166818191E-3</v>
      </c>
      <c r="G497" s="75">
        <v>495</v>
      </c>
      <c r="H497" s="1">
        <f t="shared" ca="1" si="16"/>
        <v>1.1815898669210369E-2</v>
      </c>
    </row>
    <row r="498" spans="2:8" x14ac:dyDescent="0.3">
      <c r="B498" s="72">
        <v>44245</v>
      </c>
      <c r="C498" s="73">
        <v>2437.4250000000002</v>
      </c>
      <c r="D498" s="74">
        <f t="shared" si="15"/>
        <v>0.88319941281001302</v>
      </c>
      <c r="E498" s="1">
        <v>7.8146804353893765E-3</v>
      </c>
      <c r="G498" s="75">
        <v>496</v>
      </c>
      <c r="H498" s="1">
        <f t="shared" ca="1" si="16"/>
        <v>-1.2635726136793942E-2</v>
      </c>
    </row>
    <row r="499" spans="2:8" x14ac:dyDescent="0.3">
      <c r="B499" s="72">
        <v>43445</v>
      </c>
      <c r="C499" s="73">
        <v>1294.3000000000002</v>
      </c>
      <c r="D499" s="74">
        <f t="shared" si="15"/>
        <v>-2.546823529411751E-2</v>
      </c>
      <c r="E499" s="1">
        <v>7.805960561406311E-3</v>
      </c>
      <c r="G499" s="75">
        <v>497</v>
      </c>
      <c r="H499" s="1">
        <f t="shared" ca="1" si="16"/>
        <v>3.2625040265022581E-3</v>
      </c>
    </row>
    <row r="500" spans="2:8" x14ac:dyDescent="0.3">
      <c r="B500" s="72">
        <v>43425</v>
      </c>
      <c r="C500" s="73">
        <v>1328.125</v>
      </c>
      <c r="D500" s="74">
        <f t="shared" si="15"/>
        <v>8.6178695563279492E-2</v>
      </c>
      <c r="E500" s="1">
        <v>7.7776723892630179E-3</v>
      </c>
      <c r="G500" s="75">
        <v>498</v>
      </c>
      <c r="H500" s="1">
        <f t="shared" ca="1" si="16"/>
        <v>-2.1136235656596994E-3</v>
      </c>
    </row>
    <row r="501" spans="2:8" x14ac:dyDescent="0.3">
      <c r="B501" s="72">
        <v>43230</v>
      </c>
      <c r="C501" s="73">
        <v>1222.75</v>
      </c>
      <c r="D501" s="74">
        <f t="shared" si="15"/>
        <v>-0.11649415632507806</v>
      </c>
      <c r="E501" s="1">
        <v>7.7471463304076248E-3</v>
      </c>
      <c r="G501" s="75">
        <v>499</v>
      </c>
      <c r="H501" s="1">
        <f t="shared" ca="1" si="16"/>
        <v>-9.1835540536821386E-3</v>
      </c>
    </row>
    <row r="502" spans="2:8" x14ac:dyDescent="0.3">
      <c r="B502" s="72">
        <v>43515</v>
      </c>
      <c r="C502" s="73">
        <v>1383.9749999999999</v>
      </c>
      <c r="D502" s="74">
        <f t="shared" si="15"/>
        <v>-0.41466122483505335</v>
      </c>
      <c r="E502" s="1">
        <v>7.7365565951869521E-3</v>
      </c>
      <c r="G502" s="75">
        <v>500</v>
      </c>
      <c r="H502" s="1">
        <f t="shared" ca="1" si="16"/>
        <v>-6.281358086698159E-3</v>
      </c>
    </row>
    <row r="503" spans="2:8" x14ac:dyDescent="0.3">
      <c r="B503" s="72">
        <v>45930</v>
      </c>
      <c r="C503" s="73">
        <v>2364.4</v>
      </c>
      <c r="D503" s="74">
        <f t="shared" si="15"/>
        <v>-0.27510194070576688</v>
      </c>
      <c r="E503" s="1">
        <v>7.6498540348186725E-3</v>
      </c>
      <c r="G503" s="75">
        <v>501</v>
      </c>
      <c r="H503" s="1">
        <f t="shared" ca="1" si="16"/>
        <v>1.1259862364995767E-2</v>
      </c>
    </row>
    <row r="504" spans="2:8" x14ac:dyDescent="0.3">
      <c r="B504" s="72">
        <v>44522</v>
      </c>
      <c r="C504" s="73">
        <v>3261.7</v>
      </c>
      <c r="D504" s="74">
        <f t="shared" si="15"/>
        <v>6.9339715428496498E-2</v>
      </c>
      <c r="E504" s="1">
        <v>7.6305220883533574E-3</v>
      </c>
      <c r="G504" s="75">
        <v>502</v>
      </c>
      <c r="H504" s="1">
        <f t="shared" ca="1" si="16"/>
        <v>-6.3819483124390721E-3</v>
      </c>
    </row>
    <row r="505" spans="2:8" x14ac:dyDescent="0.3">
      <c r="B505" s="72">
        <v>44649</v>
      </c>
      <c r="C505" s="73">
        <v>3050.2</v>
      </c>
      <c r="D505" s="74">
        <f t="shared" si="15"/>
        <v>0.36122546886679818</v>
      </c>
      <c r="E505" s="1">
        <v>7.6227443531402955E-3</v>
      </c>
      <c r="G505" s="75">
        <v>503</v>
      </c>
      <c r="H505" s="1">
        <f t="shared" ca="1" si="16"/>
        <v>-5.3948877718149523E-3</v>
      </c>
    </row>
    <row r="506" spans="2:8" x14ac:dyDescent="0.3">
      <c r="B506" s="72">
        <v>45674</v>
      </c>
      <c r="C506" s="73">
        <v>2240.7750000000001</v>
      </c>
      <c r="D506" s="74">
        <f t="shared" si="15"/>
        <v>-4.7593241950908471E-2</v>
      </c>
      <c r="E506" s="1">
        <v>7.622002630602801E-3</v>
      </c>
      <c r="G506" s="75">
        <v>504</v>
      </c>
      <c r="H506" s="1">
        <f t="shared" ca="1" si="16"/>
        <v>8.2783340620837444E-3</v>
      </c>
    </row>
    <row r="507" spans="2:8" x14ac:dyDescent="0.3">
      <c r="B507" s="72">
        <v>45796</v>
      </c>
      <c r="C507" s="73">
        <v>2352.75</v>
      </c>
      <c r="D507" s="74">
        <f t="shared" si="15"/>
        <v>0.65861825872400426</v>
      </c>
      <c r="E507" s="1">
        <v>7.6017130620985012E-3</v>
      </c>
      <c r="G507" s="75">
        <v>505</v>
      </c>
      <c r="H507" s="1">
        <f t="shared" ca="1" si="16"/>
        <v>-8.0120889291159115E-3</v>
      </c>
    </row>
    <row r="508" spans="2:8" x14ac:dyDescent="0.3">
      <c r="B508" s="72">
        <v>43319</v>
      </c>
      <c r="C508" s="73">
        <v>1418.5</v>
      </c>
      <c r="D508" s="74">
        <f t="shared" si="15"/>
        <v>-0.49312131499017331</v>
      </c>
      <c r="E508" s="1">
        <v>7.6005114362834329E-3</v>
      </c>
      <c r="G508" s="75">
        <v>506</v>
      </c>
      <c r="H508" s="1">
        <f t="shared" ca="1" si="16"/>
        <v>2.8362114928887003E-3</v>
      </c>
    </row>
    <row r="509" spans="2:8" x14ac:dyDescent="0.3">
      <c r="B509" s="72">
        <v>46027</v>
      </c>
      <c r="C509" s="73">
        <v>2798.5</v>
      </c>
      <c r="D509" s="74">
        <f t="shared" si="15"/>
        <v>0.32460832110569426</v>
      </c>
      <c r="E509" s="1">
        <v>7.597033196514693E-3</v>
      </c>
      <c r="G509" s="75">
        <v>507</v>
      </c>
      <c r="H509" s="1">
        <f t="shared" ca="1" si="16"/>
        <v>-3.9995141633636004E-3</v>
      </c>
    </row>
    <row r="510" spans="2:8" x14ac:dyDescent="0.3">
      <c r="B510" s="72">
        <v>44127</v>
      </c>
      <c r="C510" s="73">
        <v>2112.6999999999998</v>
      </c>
      <c r="D510" s="74">
        <f t="shared" si="15"/>
        <v>-0.3200466669348675</v>
      </c>
      <c r="E510" s="1">
        <v>7.5709703957173354E-3</v>
      </c>
      <c r="G510" s="75">
        <v>508</v>
      </c>
      <c r="H510" s="1">
        <f t="shared" ca="1" si="16"/>
        <v>1.3301288459237512E-2</v>
      </c>
    </row>
    <row r="511" spans="2:8" x14ac:dyDescent="0.3">
      <c r="B511" s="72">
        <v>44588</v>
      </c>
      <c r="C511" s="73">
        <v>3107.125</v>
      </c>
      <c r="D511" s="74">
        <f t="shared" si="15"/>
        <v>1.6507347452385519</v>
      </c>
      <c r="E511" s="1">
        <v>7.5473839518783638E-3</v>
      </c>
      <c r="G511" s="75">
        <v>509</v>
      </c>
      <c r="H511" s="1">
        <f t="shared" ca="1" si="16"/>
        <v>1.3921199025408294E-2</v>
      </c>
    </row>
    <row r="512" spans="2:8" x14ac:dyDescent="0.3">
      <c r="B512" s="72">
        <v>43214</v>
      </c>
      <c r="C512" s="73">
        <v>1172.1750000000002</v>
      </c>
      <c r="D512" s="74">
        <f t="shared" si="15"/>
        <v>-0.64704686770750208</v>
      </c>
      <c r="E512" s="1">
        <v>7.5425477050026562E-3</v>
      </c>
      <c r="G512" s="75">
        <v>510</v>
      </c>
      <c r="H512" s="1">
        <f t="shared" ca="1" si="16"/>
        <v>-4.9310564804639343E-4</v>
      </c>
    </row>
    <row r="513" spans="2:8" x14ac:dyDescent="0.3">
      <c r="B513" s="72">
        <v>44480</v>
      </c>
      <c r="C513" s="73">
        <v>3321.05</v>
      </c>
      <c r="D513" s="74">
        <f t="shared" si="15"/>
        <v>1.2270616439504436</v>
      </c>
      <c r="E513" s="1">
        <v>7.432012255236535E-3</v>
      </c>
      <c r="G513" s="75">
        <v>511</v>
      </c>
      <c r="H513" s="1">
        <f t="shared" ca="1" si="16"/>
        <v>4.9733989260996984E-4</v>
      </c>
    </row>
    <row r="514" spans="2:8" x14ac:dyDescent="0.3">
      <c r="B514" s="72">
        <v>43552</v>
      </c>
      <c r="C514" s="73">
        <v>1491.2249999999999</v>
      </c>
      <c r="D514" s="74">
        <f t="shared" si="15"/>
        <v>-0.49503492063492066</v>
      </c>
      <c r="E514" s="1">
        <v>7.4313026735800302E-3</v>
      </c>
      <c r="G514" s="75">
        <v>512</v>
      </c>
      <c r="H514" s="1">
        <f t="shared" ca="1" si="16"/>
        <v>2.3197418762602756E-2</v>
      </c>
    </row>
    <row r="515" spans="2:8" x14ac:dyDescent="0.3">
      <c r="B515" s="72">
        <v>45415</v>
      </c>
      <c r="C515" s="73">
        <v>2953.125</v>
      </c>
      <c r="D515" s="74">
        <f t="shared" ref="D515:D578" si="17">(C515-C516)/C516</f>
        <v>-6.5998798152950899E-2</v>
      </c>
      <c r="E515" s="1">
        <v>7.3595879312990794E-3</v>
      </c>
      <c r="G515" s="75">
        <v>513</v>
      </c>
      <c r="H515" s="1">
        <f t="shared" ca="1" si="16"/>
        <v>-3.0538500615670291E-3</v>
      </c>
    </row>
    <row r="516" spans="2:8" x14ac:dyDescent="0.3">
      <c r="B516" s="72">
        <v>45537</v>
      </c>
      <c r="C516" s="73">
        <v>3161.8</v>
      </c>
      <c r="D516" s="74">
        <f t="shared" si="17"/>
        <v>-4.0992432399641988E-2</v>
      </c>
      <c r="E516" s="1">
        <v>7.3517112840405813E-3</v>
      </c>
      <c r="G516" s="75">
        <v>514</v>
      </c>
      <c r="H516" s="1">
        <f t="shared" ref="H516:H579" ca="1" si="18">_xlfn.NORM.INV(RAND(),$N$4,$N$5)</f>
        <v>-5.9480420585396676E-3</v>
      </c>
    </row>
    <row r="517" spans="2:8" x14ac:dyDescent="0.3">
      <c r="B517" s="72">
        <v>45307</v>
      </c>
      <c r="C517" s="73">
        <v>3296.95</v>
      </c>
      <c r="D517" s="74">
        <f t="shared" si="17"/>
        <v>0.73756884239373888</v>
      </c>
      <c r="E517" s="1">
        <v>7.3482232882154004E-3</v>
      </c>
      <c r="G517" s="75">
        <v>515</v>
      </c>
      <c r="H517" s="1">
        <f t="shared" ca="1" si="18"/>
        <v>-3.7465564756811861E-3</v>
      </c>
    </row>
    <row r="518" spans="2:8" x14ac:dyDescent="0.3">
      <c r="B518" s="72">
        <v>43873</v>
      </c>
      <c r="C518" s="73">
        <v>1897.45</v>
      </c>
      <c r="D518" s="74">
        <f t="shared" si="17"/>
        <v>-0.38745994980106052</v>
      </c>
      <c r="E518" s="1">
        <v>7.3395713053288451E-3</v>
      </c>
      <c r="G518" s="75">
        <v>516</v>
      </c>
      <c r="H518" s="1">
        <f t="shared" ca="1" si="18"/>
        <v>2.7673907629575342E-3</v>
      </c>
    </row>
    <row r="519" spans="2:8" x14ac:dyDescent="0.3">
      <c r="B519" s="72">
        <v>44651</v>
      </c>
      <c r="C519" s="73">
        <v>3097.6750000000002</v>
      </c>
      <c r="D519" s="74">
        <f t="shared" si="17"/>
        <v>1.2772835875758135</v>
      </c>
      <c r="E519" s="1">
        <v>7.3330352424698774E-3</v>
      </c>
      <c r="G519" s="75">
        <v>517</v>
      </c>
      <c r="H519" s="1">
        <f t="shared" ca="1" si="18"/>
        <v>2.0372510981421052E-2</v>
      </c>
    </row>
    <row r="520" spans="2:8" x14ac:dyDescent="0.3">
      <c r="B520" s="72">
        <v>43649</v>
      </c>
      <c r="C520" s="73">
        <v>1360.25</v>
      </c>
      <c r="D520" s="74">
        <f t="shared" si="17"/>
        <v>-0.40182497801231309</v>
      </c>
      <c r="E520" s="1">
        <v>7.3314325915504065E-3</v>
      </c>
      <c r="G520" s="75">
        <v>518</v>
      </c>
      <c r="H520" s="1">
        <f t="shared" ca="1" si="18"/>
        <v>1.488998971862446E-2</v>
      </c>
    </row>
    <row r="521" spans="2:8" x14ac:dyDescent="0.3">
      <c r="B521" s="72">
        <v>45680</v>
      </c>
      <c r="C521" s="73">
        <v>2274</v>
      </c>
      <c r="D521" s="74">
        <f t="shared" si="17"/>
        <v>-0.26690093168703055</v>
      </c>
      <c r="E521" s="1">
        <v>7.3312808700082763E-3</v>
      </c>
      <c r="G521" s="75">
        <v>519</v>
      </c>
      <c r="H521" s="1">
        <f t="shared" ca="1" si="18"/>
        <v>1.1414075280399033E-2</v>
      </c>
    </row>
    <row r="522" spans="2:8" x14ac:dyDescent="0.3">
      <c r="B522" s="72">
        <v>44512</v>
      </c>
      <c r="C522" s="73">
        <v>3101.9</v>
      </c>
      <c r="D522" s="74">
        <f t="shared" si="17"/>
        <v>0.23345792905996496</v>
      </c>
      <c r="E522" s="1">
        <v>7.3311521193769004E-3</v>
      </c>
      <c r="G522" s="75">
        <v>520</v>
      </c>
      <c r="H522" s="1">
        <f t="shared" ca="1" si="18"/>
        <v>2.3141289803271244E-2</v>
      </c>
    </row>
    <row r="523" spans="2:8" x14ac:dyDescent="0.3">
      <c r="B523" s="72">
        <v>45957</v>
      </c>
      <c r="C523" s="73">
        <v>2514.8000000000002</v>
      </c>
      <c r="D523" s="74">
        <f t="shared" si="17"/>
        <v>0.12116449883527829</v>
      </c>
      <c r="E523" s="1">
        <v>7.3302623673143132E-3</v>
      </c>
      <c r="G523" s="75">
        <v>521</v>
      </c>
      <c r="H523" s="1">
        <f t="shared" ca="1" si="18"/>
        <v>-2.5963775094131152E-2</v>
      </c>
    </row>
    <row r="524" spans="2:8" x14ac:dyDescent="0.3">
      <c r="B524" s="72">
        <v>45705</v>
      </c>
      <c r="C524" s="73">
        <v>2243.0250000000001</v>
      </c>
      <c r="D524" s="74">
        <f t="shared" si="17"/>
        <v>-0.32673735395421077</v>
      </c>
      <c r="E524" s="1">
        <v>7.2975491461867497E-3</v>
      </c>
      <c r="G524" s="75">
        <v>522</v>
      </c>
      <c r="H524" s="1">
        <f t="shared" ca="1" si="18"/>
        <v>2.0248921760169548E-3</v>
      </c>
    </row>
    <row r="525" spans="2:8" x14ac:dyDescent="0.3">
      <c r="B525" s="72">
        <v>45565</v>
      </c>
      <c r="C525" s="73">
        <v>3331.5749999999998</v>
      </c>
      <c r="D525" s="74">
        <f t="shared" si="17"/>
        <v>0.10231276986450938</v>
      </c>
      <c r="E525" s="1">
        <v>7.2789115646257957E-3</v>
      </c>
      <c r="G525" s="75">
        <v>523</v>
      </c>
      <c r="H525" s="1">
        <f t="shared" ca="1" si="18"/>
        <v>8.9655432726324356E-4</v>
      </c>
    </row>
    <row r="526" spans="2:8" x14ac:dyDescent="0.3">
      <c r="B526" s="72">
        <v>44762</v>
      </c>
      <c r="C526" s="73">
        <v>3022.35</v>
      </c>
      <c r="D526" s="74">
        <f t="shared" si="17"/>
        <v>-3.9937104420955639E-2</v>
      </c>
      <c r="E526" s="1">
        <v>7.2569424193696516E-3</v>
      </c>
      <c r="G526" s="75">
        <v>524</v>
      </c>
      <c r="H526" s="1">
        <f t="shared" ca="1" si="18"/>
        <v>-1.1860347188084159E-3</v>
      </c>
    </row>
    <row r="527" spans="2:8" x14ac:dyDescent="0.3">
      <c r="B527" s="72">
        <v>45258</v>
      </c>
      <c r="C527" s="73">
        <v>3148.0749999999998</v>
      </c>
      <c r="D527" s="74">
        <f t="shared" si="17"/>
        <v>0.14005957284999052</v>
      </c>
      <c r="E527" s="1">
        <v>7.2550713508670013E-3</v>
      </c>
      <c r="G527" s="75">
        <v>525</v>
      </c>
      <c r="H527" s="1">
        <f t="shared" ca="1" si="18"/>
        <v>-3.8094900587722851E-2</v>
      </c>
    </row>
    <row r="528" spans="2:8" x14ac:dyDescent="0.3">
      <c r="B528" s="72">
        <v>44964</v>
      </c>
      <c r="C528" s="73">
        <v>2761.3249999999998</v>
      </c>
      <c r="D528" s="74">
        <f t="shared" si="17"/>
        <v>0.12537188735379223</v>
      </c>
      <c r="E528" s="1">
        <v>7.2314426408899577E-3</v>
      </c>
      <c r="G528" s="75">
        <v>526</v>
      </c>
      <c r="H528" s="1">
        <f t="shared" ca="1" si="18"/>
        <v>6.7192318897037846E-3</v>
      </c>
    </row>
    <row r="529" spans="2:8" x14ac:dyDescent="0.3">
      <c r="B529" s="72">
        <v>45764</v>
      </c>
      <c r="C529" s="73">
        <v>2453.6999999999998</v>
      </c>
      <c r="D529" s="74">
        <f t="shared" si="17"/>
        <v>-0.27719680678705044</v>
      </c>
      <c r="E529" s="1">
        <v>7.2246623701818112E-3</v>
      </c>
      <c r="G529" s="75">
        <v>527</v>
      </c>
      <c r="H529" s="1">
        <f t="shared" ca="1" si="18"/>
        <v>3.0393051999948167E-3</v>
      </c>
    </row>
    <row r="530" spans="2:8" x14ac:dyDescent="0.3">
      <c r="B530" s="72">
        <v>44805</v>
      </c>
      <c r="C530" s="73">
        <v>3394.7</v>
      </c>
      <c r="D530" s="74">
        <f t="shared" si="17"/>
        <v>0.1250041425020712</v>
      </c>
      <c r="E530" s="1">
        <v>7.2172977784370632E-3</v>
      </c>
      <c r="G530" s="75">
        <v>528</v>
      </c>
      <c r="H530" s="1">
        <f t="shared" ca="1" si="18"/>
        <v>3.5764752594583539E-2</v>
      </c>
    </row>
    <row r="531" spans="2:8" x14ac:dyDescent="0.3">
      <c r="B531" s="72">
        <v>45338</v>
      </c>
      <c r="C531" s="73">
        <v>3017.5</v>
      </c>
      <c r="D531" s="74">
        <f t="shared" si="17"/>
        <v>1.8230287078514276E-2</v>
      </c>
      <c r="E531" s="1">
        <v>7.1846393911832018E-3</v>
      </c>
      <c r="G531" s="75">
        <v>529</v>
      </c>
      <c r="H531" s="1">
        <f t="shared" ca="1" si="18"/>
        <v>-9.7501996203786089E-3</v>
      </c>
    </row>
    <row r="532" spans="2:8" x14ac:dyDescent="0.3">
      <c r="B532" s="72">
        <v>45335</v>
      </c>
      <c r="C532" s="73">
        <v>2963.4749999999999</v>
      </c>
      <c r="D532" s="74">
        <f t="shared" si="17"/>
        <v>0.28757168925964549</v>
      </c>
      <c r="E532" s="1">
        <v>7.1282922684791535E-3</v>
      </c>
      <c r="G532" s="75">
        <v>530</v>
      </c>
      <c r="H532" s="1">
        <f t="shared" ca="1" si="18"/>
        <v>3.3108410253886549E-3</v>
      </c>
    </row>
    <row r="533" spans="2:8" x14ac:dyDescent="0.3">
      <c r="B533" s="72">
        <v>45658</v>
      </c>
      <c r="C533" s="73">
        <v>2301.6</v>
      </c>
      <c r="D533" s="74">
        <f t="shared" si="17"/>
        <v>7.2647702407001788E-3</v>
      </c>
      <c r="E533" s="1">
        <v>7.1215253847921375E-3</v>
      </c>
      <c r="G533" s="75">
        <v>531</v>
      </c>
      <c r="H533" s="1">
        <f t="shared" ca="1" si="18"/>
        <v>1.3187826024793332E-3</v>
      </c>
    </row>
    <row r="534" spans="2:8" x14ac:dyDescent="0.3">
      <c r="B534" s="72">
        <v>45678</v>
      </c>
      <c r="C534" s="73">
        <v>2285</v>
      </c>
      <c r="D534" s="74">
        <f t="shared" si="17"/>
        <v>0.68383043790644971</v>
      </c>
      <c r="E534" s="1">
        <v>7.0737565834417607E-3</v>
      </c>
      <c r="G534" s="75">
        <v>532</v>
      </c>
      <c r="H534" s="1">
        <f t="shared" ca="1" si="18"/>
        <v>-9.4758992256880371E-3</v>
      </c>
    </row>
    <row r="535" spans="2:8" x14ac:dyDescent="0.3">
      <c r="B535" s="72">
        <v>43661</v>
      </c>
      <c r="C535" s="73">
        <v>1357.0250000000001</v>
      </c>
      <c r="D535" s="74">
        <f t="shared" si="17"/>
        <v>-0.24420774157616257</v>
      </c>
      <c r="E535" s="1">
        <v>7.0686456400742793E-3</v>
      </c>
      <c r="G535" s="75">
        <v>533</v>
      </c>
      <c r="H535" s="1">
        <f t="shared" ca="1" si="18"/>
        <v>7.221208288993735E-3</v>
      </c>
    </row>
    <row r="536" spans="2:8" x14ac:dyDescent="0.3">
      <c r="B536" s="72">
        <v>43752</v>
      </c>
      <c r="C536" s="73">
        <v>1795.5</v>
      </c>
      <c r="D536" s="74">
        <f t="shared" si="17"/>
        <v>-0.29848894792877445</v>
      </c>
      <c r="E536" s="1">
        <v>7.0530168122607774E-3</v>
      </c>
      <c r="G536" s="75">
        <v>534</v>
      </c>
      <c r="H536" s="1">
        <f t="shared" ca="1" si="18"/>
        <v>-1.1703202551349169E-2</v>
      </c>
    </row>
    <row r="537" spans="2:8" x14ac:dyDescent="0.3">
      <c r="B537" s="72">
        <v>44328</v>
      </c>
      <c r="C537" s="73">
        <v>2559.4749999999999</v>
      </c>
      <c r="D537" s="74">
        <f t="shared" si="17"/>
        <v>-5.6101563652456117E-2</v>
      </c>
      <c r="E537" s="1">
        <v>7.0131607420375807E-3</v>
      </c>
      <c r="G537" s="75">
        <v>535</v>
      </c>
      <c r="H537" s="1">
        <f t="shared" ca="1" si="18"/>
        <v>-1.4120920016848516E-2</v>
      </c>
    </row>
    <row r="538" spans="2:8" x14ac:dyDescent="0.3">
      <c r="B538" s="72">
        <v>44195</v>
      </c>
      <c r="C538" s="73">
        <v>2711.6</v>
      </c>
      <c r="D538" s="74">
        <f t="shared" si="17"/>
        <v>0.50519011934499025</v>
      </c>
      <c r="E538" s="1">
        <v>7.0096277934063077E-3</v>
      </c>
      <c r="G538" s="75">
        <v>536</v>
      </c>
      <c r="H538" s="1">
        <f t="shared" ca="1" si="18"/>
        <v>7.0159807022728881E-3</v>
      </c>
    </row>
    <row r="539" spans="2:8" x14ac:dyDescent="0.3">
      <c r="B539" s="72">
        <v>44056</v>
      </c>
      <c r="C539" s="73">
        <v>1801.5</v>
      </c>
      <c r="D539" s="74">
        <f t="shared" si="17"/>
        <v>-0.45719967459097893</v>
      </c>
      <c r="E539" s="1">
        <v>6.9871436556735609E-3</v>
      </c>
      <c r="G539" s="75">
        <v>537</v>
      </c>
      <c r="H539" s="1">
        <f t="shared" ca="1" si="18"/>
        <v>-4.6030609377131423E-3</v>
      </c>
    </row>
    <row r="540" spans="2:8" x14ac:dyDescent="0.3">
      <c r="B540" s="72">
        <v>45282</v>
      </c>
      <c r="C540" s="73">
        <v>3318.9</v>
      </c>
      <c r="D540" s="74">
        <f t="shared" si="17"/>
        <v>9.5755830172893769E-4</v>
      </c>
      <c r="E540" s="1">
        <v>6.9707290062728695E-3</v>
      </c>
      <c r="G540" s="75">
        <v>538</v>
      </c>
      <c r="H540" s="1">
        <f t="shared" ca="1" si="18"/>
        <v>-1.8674499071406284E-4</v>
      </c>
    </row>
    <row r="541" spans="2:8" x14ac:dyDescent="0.3">
      <c r="B541" s="72">
        <v>44442</v>
      </c>
      <c r="C541" s="73">
        <v>3315.7249999999999</v>
      </c>
      <c r="D541" s="74">
        <f t="shared" si="17"/>
        <v>4.429816618505078E-2</v>
      </c>
      <c r="E541" s="1">
        <v>6.9545147403825263E-3</v>
      </c>
      <c r="G541" s="75">
        <v>539</v>
      </c>
      <c r="H541" s="1">
        <f t="shared" ca="1" si="18"/>
        <v>2.3378247115730479E-2</v>
      </c>
    </row>
    <row r="542" spans="2:8" x14ac:dyDescent="0.3">
      <c r="B542" s="72">
        <v>45310</v>
      </c>
      <c r="C542" s="73">
        <v>3175.0749999999998</v>
      </c>
      <c r="D542" s="74">
        <f t="shared" si="17"/>
        <v>1.0524742234719935</v>
      </c>
      <c r="E542" s="1">
        <v>6.9134471303645209E-3</v>
      </c>
      <c r="G542" s="75">
        <v>540</v>
      </c>
      <c r="H542" s="1">
        <f t="shared" ca="1" si="18"/>
        <v>9.3061069454603105E-3</v>
      </c>
    </row>
    <row r="543" spans="2:8" x14ac:dyDescent="0.3">
      <c r="B543" s="72">
        <v>43683</v>
      </c>
      <c r="C543" s="73">
        <v>1546.9499999999998</v>
      </c>
      <c r="D543" s="74">
        <f t="shared" si="17"/>
        <v>-0.29746361179863307</v>
      </c>
      <c r="E543" s="1">
        <v>6.8994695219187748E-3</v>
      </c>
      <c r="G543" s="75">
        <v>541</v>
      </c>
      <c r="H543" s="1">
        <f t="shared" ca="1" si="18"/>
        <v>3.3009135672282986E-3</v>
      </c>
    </row>
    <row r="544" spans="2:8" x14ac:dyDescent="0.3">
      <c r="B544" s="72">
        <v>44152</v>
      </c>
      <c r="C544" s="73">
        <v>2201.9499999999998</v>
      </c>
      <c r="D544" s="74">
        <f t="shared" si="17"/>
        <v>-2.9764265256664545E-2</v>
      </c>
      <c r="E544" s="1">
        <v>6.8933981137467015E-3</v>
      </c>
      <c r="G544" s="75">
        <v>542</v>
      </c>
      <c r="H544" s="1">
        <f t="shared" ca="1" si="18"/>
        <v>8.4294237168875998E-3</v>
      </c>
    </row>
    <row r="545" spans="2:8" x14ac:dyDescent="0.3">
      <c r="B545" s="72">
        <v>45826</v>
      </c>
      <c r="C545" s="73">
        <v>2269.5</v>
      </c>
      <c r="D545" s="74">
        <f t="shared" si="17"/>
        <v>-0.18878344324701091</v>
      </c>
      <c r="E545" s="1">
        <v>6.8766637089618457E-3</v>
      </c>
      <c r="G545" s="75">
        <v>543</v>
      </c>
      <c r="H545" s="1">
        <f t="shared" ca="1" si="18"/>
        <v>1.2272673183843012E-2</v>
      </c>
    </row>
    <row r="546" spans="2:8" x14ac:dyDescent="0.3">
      <c r="B546" s="72">
        <v>45029</v>
      </c>
      <c r="C546" s="73">
        <v>2797.65</v>
      </c>
      <c r="D546" s="74">
        <f t="shared" si="17"/>
        <v>0.99248629015027434</v>
      </c>
      <c r="E546" s="1">
        <v>6.8559706326927882E-3</v>
      </c>
      <c r="G546" s="75">
        <v>544</v>
      </c>
      <c r="H546" s="1">
        <f t="shared" ca="1" si="18"/>
        <v>-2.2128848508556967E-3</v>
      </c>
    </row>
    <row r="547" spans="2:8" x14ac:dyDescent="0.3">
      <c r="B547" s="72">
        <v>43473</v>
      </c>
      <c r="C547" s="73">
        <v>1404.1</v>
      </c>
      <c r="D547" s="74">
        <f t="shared" si="17"/>
        <v>-0.45581210576801967</v>
      </c>
      <c r="E547" s="1">
        <v>6.830037825143763E-3</v>
      </c>
      <c r="G547" s="75">
        <v>545</v>
      </c>
      <c r="H547" s="1">
        <f t="shared" ca="1" si="18"/>
        <v>-3.5369535367024092E-2</v>
      </c>
    </row>
    <row r="548" spans="2:8" x14ac:dyDescent="0.3">
      <c r="B548" s="72">
        <v>44182</v>
      </c>
      <c r="C548" s="73">
        <v>2580.1750000000002</v>
      </c>
      <c r="D548" s="74">
        <f t="shared" si="17"/>
        <v>0.90848404156958473</v>
      </c>
      <c r="E548" s="1">
        <v>6.7993366500829896E-3</v>
      </c>
      <c r="G548" s="75">
        <v>546</v>
      </c>
      <c r="H548" s="1">
        <f t="shared" ca="1" si="18"/>
        <v>1.866513617113481E-2</v>
      </c>
    </row>
    <row r="549" spans="2:8" x14ac:dyDescent="0.3">
      <c r="B549" s="72">
        <v>43434</v>
      </c>
      <c r="C549" s="73">
        <v>1351.95</v>
      </c>
      <c r="D549" s="74">
        <f t="shared" si="17"/>
        <v>-0.31058133605303412</v>
      </c>
      <c r="E549" s="1">
        <v>6.7766317905947329E-3</v>
      </c>
      <c r="G549" s="75">
        <v>547</v>
      </c>
      <c r="H549" s="1">
        <f t="shared" ca="1" si="18"/>
        <v>-3.5658600586764656E-2</v>
      </c>
    </row>
    <row r="550" spans="2:8" x14ac:dyDescent="0.3">
      <c r="B550" s="72">
        <v>44076</v>
      </c>
      <c r="C550" s="73">
        <v>1961</v>
      </c>
      <c r="D550" s="74">
        <f t="shared" si="17"/>
        <v>0.21761537386876942</v>
      </c>
      <c r="E550" s="1">
        <v>6.7381120451774365E-3</v>
      </c>
      <c r="G550" s="75">
        <v>548</v>
      </c>
      <c r="H550" s="1">
        <f t="shared" ca="1" si="18"/>
        <v>-6.4330004127335586E-3</v>
      </c>
    </row>
    <row r="551" spans="2:8" x14ac:dyDescent="0.3">
      <c r="B551" s="72">
        <v>44001</v>
      </c>
      <c r="C551" s="73">
        <v>1610.5250000000001</v>
      </c>
      <c r="D551" s="74">
        <f t="shared" si="17"/>
        <v>-0.11144673866567358</v>
      </c>
      <c r="E551" s="1">
        <v>6.7354274105329527E-3</v>
      </c>
      <c r="G551" s="75">
        <v>549</v>
      </c>
      <c r="H551" s="1">
        <f t="shared" ca="1" si="18"/>
        <v>1.8866568391326985E-2</v>
      </c>
    </row>
    <row r="552" spans="2:8" x14ac:dyDescent="0.3">
      <c r="B552" s="72">
        <v>43823</v>
      </c>
      <c r="C552" s="73">
        <v>1812.5250000000001</v>
      </c>
      <c r="D552" s="74">
        <f t="shared" si="17"/>
        <v>-0.43812048080723531</v>
      </c>
      <c r="E552" s="1">
        <v>6.7346145301044212E-3</v>
      </c>
      <c r="G552" s="75">
        <v>550</v>
      </c>
      <c r="H552" s="1">
        <f t="shared" ca="1" si="18"/>
        <v>1.7703046229677607E-2</v>
      </c>
    </row>
    <row r="553" spans="2:8" x14ac:dyDescent="0.3">
      <c r="B553" s="72">
        <v>44474</v>
      </c>
      <c r="C553" s="73">
        <v>3225.8249999999998</v>
      </c>
      <c r="D553" s="74">
        <f t="shared" si="17"/>
        <v>0.39525302768166082</v>
      </c>
      <c r="E553" s="1">
        <v>6.733244909105038E-3</v>
      </c>
      <c r="G553" s="75">
        <v>551</v>
      </c>
      <c r="H553" s="1">
        <f t="shared" ca="1" si="18"/>
        <v>2.7347221380115389E-2</v>
      </c>
    </row>
    <row r="554" spans="2:8" x14ac:dyDescent="0.3">
      <c r="B554" s="72">
        <v>45800</v>
      </c>
      <c r="C554" s="73">
        <v>2312</v>
      </c>
      <c r="D554" s="74">
        <f t="shared" si="17"/>
        <v>5.8159891071775834E-2</v>
      </c>
      <c r="E554" s="1">
        <v>6.7274825281399562E-3</v>
      </c>
      <c r="G554" s="75">
        <v>552</v>
      </c>
      <c r="H554" s="1">
        <f t="shared" ca="1" si="18"/>
        <v>-1.0647029066760046E-2</v>
      </c>
    </row>
    <row r="555" spans="2:8" x14ac:dyDescent="0.3">
      <c r="B555" s="72">
        <v>44139</v>
      </c>
      <c r="C555" s="73">
        <v>2184.9250000000002</v>
      </c>
      <c r="D555" s="74">
        <f t="shared" si="17"/>
        <v>-8.8380098049441871E-2</v>
      </c>
      <c r="E555" s="1">
        <v>6.7271030836397148E-3</v>
      </c>
      <c r="G555" s="75">
        <v>553</v>
      </c>
      <c r="H555" s="1">
        <f t="shared" ca="1" si="18"/>
        <v>-3.0210914443773861E-3</v>
      </c>
    </row>
    <row r="556" spans="2:8" x14ac:dyDescent="0.3">
      <c r="B556" s="72">
        <v>44258</v>
      </c>
      <c r="C556" s="73">
        <v>2396.75</v>
      </c>
      <c r="D556" s="74">
        <f t="shared" si="17"/>
        <v>0.32181610114574866</v>
      </c>
      <c r="E556" s="1">
        <v>6.709999894992138E-3</v>
      </c>
      <c r="G556" s="75">
        <v>554</v>
      </c>
      <c r="H556" s="1">
        <f t="shared" ca="1" si="18"/>
        <v>8.7317997123644454E-3</v>
      </c>
    </row>
    <row r="557" spans="2:8" x14ac:dyDescent="0.3">
      <c r="B557" s="72">
        <v>43844</v>
      </c>
      <c r="C557" s="73">
        <v>1813.2249999999999</v>
      </c>
      <c r="D557" s="74">
        <f t="shared" si="17"/>
        <v>-0.35517741089447807</v>
      </c>
      <c r="E557" s="1">
        <v>6.7040501901561881E-3</v>
      </c>
      <c r="G557" s="75">
        <v>555</v>
      </c>
      <c r="H557" s="1">
        <f t="shared" ca="1" si="18"/>
        <v>5.8583090669882395E-4</v>
      </c>
    </row>
    <row r="558" spans="2:8" x14ac:dyDescent="0.3">
      <c r="B558" s="72">
        <v>44967</v>
      </c>
      <c r="C558" s="73">
        <v>2811.9749999999999</v>
      </c>
      <c r="D558" s="74">
        <f t="shared" si="17"/>
        <v>-3.1105177017831026E-2</v>
      </c>
      <c r="E558" s="1">
        <v>6.7036606104000388E-3</v>
      </c>
      <c r="G558" s="75">
        <v>556</v>
      </c>
      <c r="H558" s="1">
        <f t="shared" ca="1" si="18"/>
        <v>8.0628138225737988E-4</v>
      </c>
    </row>
    <row r="559" spans="2:8" x14ac:dyDescent="0.3">
      <c r="B559" s="72">
        <v>45042</v>
      </c>
      <c r="C559" s="73">
        <v>2902.25</v>
      </c>
      <c r="D559" s="74">
        <f t="shared" si="17"/>
        <v>-9.3585058871295188E-2</v>
      </c>
      <c r="E559" s="1">
        <v>6.6945316429352511E-3</v>
      </c>
      <c r="G559" s="75">
        <v>557</v>
      </c>
      <c r="H559" s="1">
        <f t="shared" ca="1" si="18"/>
        <v>-3.8649868983683033E-3</v>
      </c>
    </row>
    <row r="560" spans="2:8" x14ac:dyDescent="0.3">
      <c r="B560" s="72">
        <v>45162</v>
      </c>
      <c r="C560" s="73">
        <v>3201.9</v>
      </c>
      <c r="D560" s="74">
        <f t="shared" si="17"/>
        <v>5.5078672048768464E-2</v>
      </c>
      <c r="E560" s="1">
        <v>6.6889369227746409E-3</v>
      </c>
      <c r="G560" s="75">
        <v>558</v>
      </c>
      <c r="H560" s="1">
        <f t="shared" ca="1" si="18"/>
        <v>-1.3434489772762258E-2</v>
      </c>
    </row>
    <row r="561" spans="2:8" x14ac:dyDescent="0.3">
      <c r="B561" s="72">
        <v>44671</v>
      </c>
      <c r="C561" s="73">
        <v>3034.75</v>
      </c>
      <c r="D561" s="74">
        <f t="shared" si="17"/>
        <v>1.7196146521787834</v>
      </c>
      <c r="E561" s="1">
        <v>6.6841371989650672E-3</v>
      </c>
      <c r="G561" s="75">
        <v>559</v>
      </c>
      <c r="H561" s="1">
        <f t="shared" ca="1" si="18"/>
        <v>5.3990111559996078E-3</v>
      </c>
    </row>
    <row r="562" spans="2:8" x14ac:dyDescent="0.3">
      <c r="B562" s="72">
        <v>43138</v>
      </c>
      <c r="C562" s="73">
        <v>1115.875</v>
      </c>
      <c r="D562" s="74">
        <f t="shared" si="17"/>
        <v>-0.64226176164142024</v>
      </c>
      <c r="E562" s="1">
        <v>6.607730819539079E-3</v>
      </c>
      <c r="G562" s="75">
        <v>560</v>
      </c>
      <c r="H562" s="1">
        <f t="shared" ca="1" si="18"/>
        <v>2.0446969263820097E-2</v>
      </c>
    </row>
    <row r="563" spans="2:8" x14ac:dyDescent="0.3">
      <c r="B563" s="72">
        <v>45246</v>
      </c>
      <c r="C563" s="73">
        <v>3119.25</v>
      </c>
      <c r="D563" s="74">
        <f t="shared" si="17"/>
        <v>-6.2918126791971967E-3</v>
      </c>
      <c r="E563" s="1">
        <v>6.6074497180338577E-3</v>
      </c>
      <c r="G563" s="75">
        <v>561</v>
      </c>
      <c r="H563" s="1">
        <f t="shared" ca="1" si="18"/>
        <v>-8.0133497853482755E-3</v>
      </c>
    </row>
    <row r="564" spans="2:8" x14ac:dyDescent="0.3">
      <c r="B564" s="72">
        <v>44657</v>
      </c>
      <c r="C564" s="73">
        <v>3139</v>
      </c>
      <c r="D564" s="74">
        <f t="shared" si="17"/>
        <v>0.10176109790019575</v>
      </c>
      <c r="E564" s="1">
        <v>6.5736732403399072E-3</v>
      </c>
      <c r="G564" s="75">
        <v>562</v>
      </c>
      <c r="H564" s="1">
        <f t="shared" ca="1" si="18"/>
        <v>1.8593568945727324E-2</v>
      </c>
    </row>
    <row r="565" spans="2:8" x14ac:dyDescent="0.3">
      <c r="B565" s="72">
        <v>45353</v>
      </c>
      <c r="C565" s="73">
        <v>2849.0749999999998</v>
      </c>
      <c r="D565" s="74">
        <f t="shared" si="17"/>
        <v>-7.8781656953010856E-2</v>
      </c>
      <c r="E565" s="1">
        <v>6.5624447977388513E-3</v>
      </c>
      <c r="G565" s="75">
        <v>563</v>
      </c>
      <c r="H565" s="1">
        <f t="shared" ca="1" si="18"/>
        <v>-6.2736803477122056E-3</v>
      </c>
    </row>
    <row r="566" spans="2:8" x14ac:dyDescent="0.3">
      <c r="B566" s="72">
        <v>45239</v>
      </c>
      <c r="C566" s="73">
        <v>3092.7250000000004</v>
      </c>
      <c r="D566" s="74">
        <f t="shared" si="17"/>
        <v>-1.4655632462225759E-2</v>
      </c>
      <c r="E566" s="1">
        <v>6.5580172981946887E-3</v>
      </c>
      <c r="G566" s="75">
        <v>564</v>
      </c>
      <c r="H566" s="1">
        <f t="shared" ca="1" si="18"/>
        <v>-4.4608058205628598E-3</v>
      </c>
    </row>
    <row r="567" spans="2:8" x14ac:dyDescent="0.3">
      <c r="B567" s="72">
        <v>45534</v>
      </c>
      <c r="C567" s="73">
        <v>3138.7249999999999</v>
      </c>
      <c r="D567" s="74">
        <f t="shared" si="17"/>
        <v>0.1035237450668449</v>
      </c>
      <c r="E567" s="1">
        <v>6.5419736557286662E-3</v>
      </c>
      <c r="G567" s="75">
        <v>565</v>
      </c>
      <c r="H567" s="1">
        <f t="shared" ca="1" si="18"/>
        <v>3.7565914902729348E-3</v>
      </c>
    </row>
    <row r="568" spans="2:8" x14ac:dyDescent="0.3">
      <c r="B568" s="72">
        <v>45034</v>
      </c>
      <c r="C568" s="73">
        <v>2844.2749999999996</v>
      </c>
      <c r="D568" s="74">
        <f t="shared" si="17"/>
        <v>0.97132361859546346</v>
      </c>
      <c r="E568" s="1">
        <v>6.537971547880053E-3</v>
      </c>
      <c r="G568" s="75">
        <v>566</v>
      </c>
      <c r="H568" s="1">
        <f t="shared" ca="1" si="18"/>
        <v>-1.635400410251518E-3</v>
      </c>
    </row>
    <row r="569" spans="2:8" x14ac:dyDescent="0.3">
      <c r="B569" s="72">
        <v>43539</v>
      </c>
      <c r="C569" s="73">
        <v>1442.825</v>
      </c>
      <c r="D569" s="74">
        <f t="shared" si="17"/>
        <v>0.24660877829618102</v>
      </c>
      <c r="E569" s="1">
        <v>6.5226111372714115E-3</v>
      </c>
      <c r="G569" s="75">
        <v>567</v>
      </c>
      <c r="H569" s="1">
        <f t="shared" ca="1" si="18"/>
        <v>-1.6398437016305088E-2</v>
      </c>
    </row>
    <row r="570" spans="2:8" x14ac:dyDescent="0.3">
      <c r="B570" s="72">
        <v>43202</v>
      </c>
      <c r="C570" s="73">
        <v>1157.4000000000001</v>
      </c>
      <c r="D570" s="74">
        <f t="shared" si="17"/>
        <v>-0.40462962962962956</v>
      </c>
      <c r="E570" s="1">
        <v>6.5223062875032611E-3</v>
      </c>
      <c r="G570" s="75">
        <v>568</v>
      </c>
      <c r="H570" s="1">
        <f t="shared" ca="1" si="18"/>
        <v>1.3988580430896002E-2</v>
      </c>
    </row>
    <row r="571" spans="2:8" x14ac:dyDescent="0.3">
      <c r="B571" s="72">
        <v>44102</v>
      </c>
      <c r="C571" s="73">
        <v>1944</v>
      </c>
      <c r="D571" s="74">
        <f t="shared" si="17"/>
        <v>-0.38247976938287681</v>
      </c>
      <c r="E571" s="1">
        <v>6.4716541548019675E-3</v>
      </c>
      <c r="G571" s="75">
        <v>569</v>
      </c>
      <c r="H571" s="1">
        <f t="shared" ca="1" si="18"/>
        <v>1.8655679546269229E-2</v>
      </c>
    </row>
    <row r="572" spans="2:8" x14ac:dyDescent="0.3">
      <c r="B572" s="72">
        <v>44894</v>
      </c>
      <c r="C572" s="73">
        <v>3148.0749999999998</v>
      </c>
      <c r="D572" s="74">
        <f t="shared" si="17"/>
        <v>0.30607905572899924</v>
      </c>
      <c r="E572" s="1">
        <v>6.4661029141422736E-3</v>
      </c>
      <c r="G572" s="75">
        <v>570</v>
      </c>
      <c r="H572" s="1">
        <f t="shared" ca="1" si="18"/>
        <v>-5.2019718858029645E-3</v>
      </c>
    </row>
    <row r="573" spans="2:8" x14ac:dyDescent="0.3">
      <c r="B573" s="72">
        <v>45637</v>
      </c>
      <c r="C573" s="73">
        <v>2410.3249999999998</v>
      </c>
      <c r="D573" s="74">
        <f t="shared" si="17"/>
        <v>0.35166622271446391</v>
      </c>
      <c r="E573" s="1">
        <v>6.4617825751088591E-3</v>
      </c>
      <c r="G573" s="75">
        <v>571</v>
      </c>
      <c r="H573" s="1">
        <f t="shared" ca="1" si="18"/>
        <v>1.6865537991398623E-2</v>
      </c>
    </row>
    <row r="574" spans="2:8" x14ac:dyDescent="0.3">
      <c r="B574" s="72">
        <v>43783</v>
      </c>
      <c r="C574" s="73">
        <v>1783.2249999999999</v>
      </c>
      <c r="D574" s="74">
        <f t="shared" si="17"/>
        <v>-0.27008247886862741</v>
      </c>
      <c r="E574" s="1">
        <v>6.4198436662245683E-3</v>
      </c>
      <c r="G574" s="75">
        <v>572</v>
      </c>
      <c r="H574" s="1">
        <f t="shared" ca="1" si="18"/>
        <v>5.2893963393167605E-3</v>
      </c>
    </row>
    <row r="575" spans="2:8" x14ac:dyDescent="0.3">
      <c r="B575" s="72">
        <v>45845</v>
      </c>
      <c r="C575" s="73">
        <v>2443.0500000000002</v>
      </c>
      <c r="D575" s="74">
        <f t="shared" si="17"/>
        <v>7.2724678090387157E-2</v>
      </c>
      <c r="E575" s="1">
        <v>6.4057672502575418E-3</v>
      </c>
      <c r="G575" s="75">
        <v>573</v>
      </c>
      <c r="H575" s="1">
        <f t="shared" ca="1" si="18"/>
        <v>-2.8413625931230022E-3</v>
      </c>
    </row>
    <row r="576" spans="2:8" x14ac:dyDescent="0.3">
      <c r="B576" s="72">
        <v>45726</v>
      </c>
      <c r="C576" s="73">
        <v>2277.4250000000002</v>
      </c>
      <c r="D576" s="74">
        <f t="shared" si="17"/>
        <v>0.55535256957486778</v>
      </c>
      <c r="E576" s="1">
        <v>6.3853997503287808E-3</v>
      </c>
      <c r="G576" s="75">
        <v>574</v>
      </c>
      <c r="H576" s="1">
        <f t="shared" ca="1" si="18"/>
        <v>3.7617123424695097E-3</v>
      </c>
    </row>
    <row r="577" spans="2:8" x14ac:dyDescent="0.3">
      <c r="B577" s="72">
        <v>43502</v>
      </c>
      <c r="C577" s="73">
        <v>1464.25</v>
      </c>
      <c r="D577" s="74">
        <f t="shared" si="17"/>
        <v>-0.56162804622477691</v>
      </c>
      <c r="E577" s="1">
        <v>6.3573883161512027E-3</v>
      </c>
      <c r="G577" s="75">
        <v>575</v>
      </c>
      <c r="H577" s="1">
        <f t="shared" ca="1" si="18"/>
        <v>4.0926306651757361E-4</v>
      </c>
    </row>
    <row r="578" spans="2:8" x14ac:dyDescent="0.3">
      <c r="B578" s="72">
        <v>44838</v>
      </c>
      <c r="C578" s="73">
        <v>3340.2</v>
      </c>
      <c r="D578" s="74">
        <f t="shared" si="17"/>
        <v>1.3350693837603549</v>
      </c>
      <c r="E578" s="1">
        <v>6.349565020901538E-3</v>
      </c>
      <c r="G578" s="75">
        <v>576</v>
      </c>
      <c r="H578" s="1">
        <f t="shared" ca="1" si="18"/>
        <v>3.3356789226631979E-3</v>
      </c>
    </row>
    <row r="579" spans="2:8" x14ac:dyDescent="0.3">
      <c r="B579" s="72">
        <v>43628</v>
      </c>
      <c r="C579" s="73">
        <v>1430.45</v>
      </c>
      <c r="D579" s="74">
        <f t="shared" ref="D579:D642" si="19">(C579-C580)/C580</f>
        <v>-0.39057174505794129</v>
      </c>
      <c r="E579" s="1">
        <v>6.3492621840759034E-3</v>
      </c>
      <c r="G579" s="75">
        <v>577</v>
      </c>
      <c r="H579" s="1">
        <f t="shared" ca="1" si="18"/>
        <v>6.0720402542270551E-3</v>
      </c>
    </row>
    <row r="580" spans="2:8" x14ac:dyDescent="0.3">
      <c r="B580" s="72">
        <v>45940</v>
      </c>
      <c r="C580" s="73">
        <v>2347.1999999999998</v>
      </c>
      <c r="D580" s="74">
        <f t="shared" si="19"/>
        <v>-0.26315541638217221</v>
      </c>
      <c r="E580" s="1">
        <v>6.3453953009774168E-3</v>
      </c>
      <c r="G580" s="75">
        <v>578</v>
      </c>
      <c r="H580" s="1">
        <f t="shared" ref="H580:H643" ca="1" si="20">_xlfn.NORM.INV(RAND(),$N$4,$N$5)</f>
        <v>1.4856180467773848E-2</v>
      </c>
    </row>
    <row r="581" spans="2:8" x14ac:dyDescent="0.3">
      <c r="B581" s="72">
        <v>45264</v>
      </c>
      <c r="C581" s="73">
        <v>3185.4749999999999</v>
      </c>
      <c r="D581" s="74">
        <f t="shared" si="19"/>
        <v>0.28010408085354344</v>
      </c>
      <c r="E581" s="1">
        <v>6.3340625666378847E-3</v>
      </c>
      <c r="G581" s="75">
        <v>579</v>
      </c>
      <c r="H581" s="1">
        <f t="shared" ca="1" si="20"/>
        <v>2.8688160407489855E-3</v>
      </c>
    </row>
    <row r="582" spans="2:8" x14ac:dyDescent="0.3">
      <c r="B582" s="72">
        <v>45876</v>
      </c>
      <c r="C582" s="73">
        <v>2488.4499999999998</v>
      </c>
      <c r="D582" s="74">
        <f t="shared" si="19"/>
        <v>-0.23947708223500744</v>
      </c>
      <c r="E582" s="1">
        <v>6.3288579747653008E-3</v>
      </c>
      <c r="G582" s="75">
        <v>580</v>
      </c>
      <c r="H582" s="1">
        <f t="shared" ca="1" si="20"/>
        <v>1.9923782582522198E-2</v>
      </c>
    </row>
    <row r="583" spans="2:8" x14ac:dyDescent="0.3">
      <c r="B583" s="72">
        <v>45167</v>
      </c>
      <c r="C583" s="73">
        <v>3272.0250000000001</v>
      </c>
      <c r="D583" s="74">
        <f t="shared" si="19"/>
        <v>1.8851291773212242</v>
      </c>
      <c r="E583" s="1">
        <v>6.3047339325393468E-3</v>
      </c>
      <c r="G583" s="75">
        <v>581</v>
      </c>
      <c r="H583" s="1">
        <f t="shared" ca="1" si="20"/>
        <v>-4.0512734190178883E-3</v>
      </c>
    </row>
    <row r="584" spans="2:8" x14ac:dyDescent="0.3">
      <c r="B584" s="72">
        <v>43172</v>
      </c>
      <c r="C584" s="73">
        <v>1134.0999999999999</v>
      </c>
      <c r="D584" s="74">
        <f t="shared" si="19"/>
        <v>-0.51441844533407555</v>
      </c>
      <c r="E584" s="1">
        <v>6.2999112688552879E-3</v>
      </c>
      <c r="G584" s="75">
        <v>582</v>
      </c>
      <c r="H584" s="1">
        <f t="shared" ca="1" si="20"/>
        <v>8.6189228699962653E-3</v>
      </c>
    </row>
    <row r="585" spans="2:8" x14ac:dyDescent="0.3">
      <c r="B585" s="72">
        <v>45660</v>
      </c>
      <c r="C585" s="73">
        <v>2335.5500000000002</v>
      </c>
      <c r="D585" s="74">
        <f t="shared" si="19"/>
        <v>0.28840159977934088</v>
      </c>
      <c r="E585" s="1">
        <v>6.2796884929825925E-3</v>
      </c>
      <c r="G585" s="75">
        <v>583</v>
      </c>
      <c r="H585" s="1">
        <f t="shared" ca="1" si="20"/>
        <v>-7.8159133751508E-3</v>
      </c>
    </row>
    <row r="586" spans="2:8" x14ac:dyDescent="0.3">
      <c r="B586" s="72">
        <v>44057</v>
      </c>
      <c r="C586" s="73">
        <v>1812.75</v>
      </c>
      <c r="D586" s="74">
        <f t="shared" si="19"/>
        <v>0.59222661396574439</v>
      </c>
      <c r="E586" s="1">
        <v>6.2447960033305576E-3</v>
      </c>
      <c r="G586" s="75">
        <v>584</v>
      </c>
      <c r="H586" s="1">
        <f t="shared" ca="1" si="20"/>
        <v>2.2450345779514321E-2</v>
      </c>
    </row>
    <row r="587" spans="2:8" x14ac:dyDescent="0.3">
      <c r="B587" s="72">
        <v>43147</v>
      </c>
      <c r="C587" s="73">
        <v>1138.5</v>
      </c>
      <c r="D587" s="74">
        <f t="shared" si="19"/>
        <v>-0.64942533159867899</v>
      </c>
      <c r="E587" s="1">
        <v>6.2309425957841301E-3</v>
      </c>
      <c r="G587" s="75">
        <v>585</v>
      </c>
      <c r="H587" s="1">
        <f t="shared" ca="1" si="20"/>
        <v>1.6166344436988101E-2</v>
      </c>
    </row>
    <row r="588" spans="2:8" x14ac:dyDescent="0.3">
      <c r="B588" s="72">
        <v>45177</v>
      </c>
      <c r="C588" s="73">
        <v>3247.5250000000001</v>
      </c>
      <c r="D588" s="74">
        <f t="shared" si="19"/>
        <v>0.53725355612884895</v>
      </c>
      <c r="E588" s="1">
        <v>6.2044926413633121E-3</v>
      </c>
      <c r="G588" s="75">
        <v>586</v>
      </c>
      <c r="H588" s="1">
        <f t="shared" ca="1" si="20"/>
        <v>-1.6140102323112956E-3</v>
      </c>
    </row>
    <row r="589" spans="2:8" x14ac:dyDescent="0.3">
      <c r="B589" s="72">
        <v>44125</v>
      </c>
      <c r="C589" s="73">
        <v>2112.5500000000002</v>
      </c>
      <c r="D589" s="74">
        <f t="shared" si="19"/>
        <v>0.44078431372549032</v>
      </c>
      <c r="E589" s="1">
        <v>6.1798221068551321E-3</v>
      </c>
      <c r="G589" s="75">
        <v>587</v>
      </c>
      <c r="H589" s="1">
        <f t="shared" ca="1" si="20"/>
        <v>3.7780666965683521E-3</v>
      </c>
    </row>
    <row r="590" spans="2:8" x14ac:dyDescent="0.3">
      <c r="B590" s="72">
        <v>43546</v>
      </c>
      <c r="C590" s="73">
        <v>1466.25</v>
      </c>
      <c r="D590" s="74">
        <f t="shared" si="19"/>
        <v>0.10560247323179023</v>
      </c>
      <c r="E590" s="1">
        <v>6.1760164693772518E-3</v>
      </c>
      <c r="G590" s="75">
        <v>588</v>
      </c>
      <c r="H590" s="1">
        <f t="shared" ca="1" si="20"/>
        <v>-1.1167975991008139E-2</v>
      </c>
    </row>
    <row r="591" spans="2:8" x14ac:dyDescent="0.3">
      <c r="B591" s="72">
        <v>43656</v>
      </c>
      <c r="C591" s="73">
        <v>1326.1999999999998</v>
      </c>
      <c r="D591" s="74">
        <f t="shared" si="19"/>
        <v>-3.1635055950055876E-2</v>
      </c>
      <c r="E591" s="1">
        <v>6.1642926237124385E-3</v>
      </c>
      <c r="G591" s="75">
        <v>589</v>
      </c>
      <c r="H591" s="1">
        <f t="shared" ca="1" si="20"/>
        <v>-2.0353367592431264E-2</v>
      </c>
    </row>
    <row r="592" spans="2:8" x14ac:dyDescent="0.3">
      <c r="B592" s="72">
        <v>43461</v>
      </c>
      <c r="C592" s="73">
        <v>1369.5250000000001</v>
      </c>
      <c r="D592" s="74">
        <f t="shared" si="19"/>
        <v>-2.3876980096577037E-2</v>
      </c>
      <c r="E592" s="1">
        <v>6.1528854277632878E-3</v>
      </c>
      <c r="G592" s="75">
        <v>590</v>
      </c>
      <c r="H592" s="1">
        <f t="shared" ca="1" si="20"/>
        <v>2.0124282217771863E-2</v>
      </c>
    </row>
    <row r="593" spans="2:8" x14ac:dyDescent="0.3">
      <c r="B593" s="72">
        <v>43496</v>
      </c>
      <c r="C593" s="73">
        <v>1403.0250000000001</v>
      </c>
      <c r="D593" s="74">
        <f t="shared" si="19"/>
        <v>-0.58400847979008064</v>
      </c>
      <c r="E593" s="1">
        <v>6.1493778909249338E-3</v>
      </c>
      <c r="G593" s="75">
        <v>591</v>
      </c>
      <c r="H593" s="1">
        <f t="shared" ca="1" si="20"/>
        <v>1.8138570134211936E-2</v>
      </c>
    </row>
    <row r="594" spans="2:8" x14ac:dyDescent="0.3">
      <c r="B594" s="72">
        <v>44453</v>
      </c>
      <c r="C594" s="73">
        <v>3372.7249999999999</v>
      </c>
      <c r="D594" s="74">
        <f t="shared" si="19"/>
        <v>0.14308349290810177</v>
      </c>
      <c r="E594" s="1">
        <v>6.1303482067612E-3</v>
      </c>
      <c r="G594" s="75">
        <v>592</v>
      </c>
      <c r="H594" s="1">
        <f t="shared" ca="1" si="20"/>
        <v>-4.426952365334808E-3</v>
      </c>
    </row>
    <row r="595" spans="2:8" x14ac:dyDescent="0.3">
      <c r="B595" s="72">
        <v>45502</v>
      </c>
      <c r="C595" s="73">
        <v>2950.55</v>
      </c>
      <c r="D595" s="74">
        <f t="shared" si="19"/>
        <v>1.0921064293691172</v>
      </c>
      <c r="E595" s="1">
        <v>6.1294255048891721E-3</v>
      </c>
      <c r="G595" s="75">
        <v>593</v>
      </c>
      <c r="H595" s="1">
        <f t="shared" ca="1" si="20"/>
        <v>-1.0631488059977278E-2</v>
      </c>
    </row>
    <row r="596" spans="2:8" x14ac:dyDescent="0.3">
      <c r="B596" s="72">
        <v>43340</v>
      </c>
      <c r="C596" s="73">
        <v>1410.325</v>
      </c>
      <c r="D596" s="74">
        <f t="shared" si="19"/>
        <v>-0.53359955024224082</v>
      </c>
      <c r="E596" s="1">
        <v>6.1173533083645768E-3</v>
      </c>
      <c r="G596" s="75">
        <v>594</v>
      </c>
      <c r="H596" s="1">
        <f t="shared" ca="1" si="20"/>
        <v>6.7809343276228487E-3</v>
      </c>
    </row>
    <row r="597" spans="2:8" x14ac:dyDescent="0.3">
      <c r="B597" s="72">
        <v>44363</v>
      </c>
      <c r="C597" s="73">
        <v>3023.85</v>
      </c>
      <c r="D597" s="74">
        <f t="shared" si="19"/>
        <v>0.91261859582542693</v>
      </c>
      <c r="E597" s="1">
        <v>6.1138422379158038E-3</v>
      </c>
      <c r="G597" s="75">
        <v>595</v>
      </c>
      <c r="H597" s="1">
        <f t="shared" ca="1" si="20"/>
        <v>-4.7178728768907784E-3</v>
      </c>
    </row>
    <row r="598" spans="2:8" x14ac:dyDescent="0.3">
      <c r="B598" s="72">
        <v>43690</v>
      </c>
      <c r="C598" s="73">
        <v>1581</v>
      </c>
      <c r="D598" s="74">
        <f t="shared" si="19"/>
        <v>-0.45217346107867423</v>
      </c>
      <c r="E598" s="1">
        <v>6.0771898565019277E-3</v>
      </c>
      <c r="G598" s="75">
        <v>596</v>
      </c>
      <c r="H598" s="1">
        <f t="shared" ca="1" si="20"/>
        <v>1.5315950874026221E-2</v>
      </c>
    </row>
    <row r="599" spans="2:8" x14ac:dyDescent="0.3">
      <c r="B599" s="72">
        <v>45975</v>
      </c>
      <c r="C599" s="73">
        <v>2885.95</v>
      </c>
      <c r="D599" s="74">
        <f t="shared" si="19"/>
        <v>-6.0273123353252172E-3</v>
      </c>
      <c r="E599" s="1">
        <v>6.065782363911954E-3</v>
      </c>
      <c r="G599" s="75">
        <v>597</v>
      </c>
      <c r="H599" s="1">
        <f t="shared" ca="1" si="20"/>
        <v>7.6491480943690964E-4</v>
      </c>
    </row>
    <row r="600" spans="2:8" x14ac:dyDescent="0.3">
      <c r="B600" s="72">
        <v>45978</v>
      </c>
      <c r="C600" s="73">
        <v>2903.45</v>
      </c>
      <c r="D600" s="74">
        <f t="shared" si="19"/>
        <v>-0.12933503261114032</v>
      </c>
      <c r="E600" s="1">
        <v>6.0638611202550293E-3</v>
      </c>
      <c r="G600" s="75">
        <v>598</v>
      </c>
      <c r="H600" s="1">
        <f t="shared" ca="1" si="20"/>
        <v>-1.4085823841478528E-2</v>
      </c>
    </row>
    <row r="601" spans="2:8" x14ac:dyDescent="0.3">
      <c r="B601" s="72">
        <v>44774</v>
      </c>
      <c r="C601" s="73">
        <v>3334.75</v>
      </c>
      <c r="D601" s="74">
        <f t="shared" si="19"/>
        <v>-5.1981176400397299E-3</v>
      </c>
      <c r="E601" s="1">
        <v>6.0564007029346219E-3</v>
      </c>
      <c r="G601" s="75">
        <v>599</v>
      </c>
      <c r="H601" s="1">
        <f t="shared" ca="1" si="20"/>
        <v>-1.9172968739022408E-2</v>
      </c>
    </row>
    <row r="602" spans="2:8" x14ac:dyDescent="0.3">
      <c r="B602" s="72">
        <v>44452</v>
      </c>
      <c r="C602" s="73">
        <v>3352.1750000000002</v>
      </c>
      <c r="D602" s="74">
        <f t="shared" si="19"/>
        <v>1.6011057225994181</v>
      </c>
      <c r="E602" s="1">
        <v>6.0549219687875697E-3</v>
      </c>
      <c r="G602" s="75">
        <v>600</v>
      </c>
      <c r="H602" s="1">
        <f t="shared" ca="1" si="20"/>
        <v>5.0899880775362562E-3</v>
      </c>
    </row>
    <row r="603" spans="2:8" x14ac:dyDescent="0.3">
      <c r="B603" s="72">
        <v>43369</v>
      </c>
      <c r="C603" s="73">
        <v>1288.75</v>
      </c>
      <c r="D603" s="74">
        <f t="shared" si="19"/>
        <v>-0.55910401040018476</v>
      </c>
      <c r="E603" s="1">
        <v>6.0499609679937547E-3</v>
      </c>
      <c r="G603" s="75">
        <v>601</v>
      </c>
      <c r="H603" s="1">
        <f t="shared" ca="1" si="20"/>
        <v>-9.4035099679346812E-3</v>
      </c>
    </row>
    <row r="604" spans="2:8" x14ac:dyDescent="0.3">
      <c r="B604" s="72">
        <v>44350</v>
      </c>
      <c r="C604" s="73">
        <v>2923.0250000000001</v>
      </c>
      <c r="D604" s="74">
        <f t="shared" si="19"/>
        <v>0.13142055351267665</v>
      </c>
      <c r="E604" s="1">
        <v>6.0489769226798858E-3</v>
      </c>
      <c r="G604" s="75">
        <v>602</v>
      </c>
      <c r="H604" s="1">
        <f t="shared" ca="1" si="20"/>
        <v>1.8602791827003886E-2</v>
      </c>
    </row>
    <row r="605" spans="2:8" x14ac:dyDescent="0.3">
      <c r="B605" s="72">
        <v>45905</v>
      </c>
      <c r="C605" s="73">
        <v>2583.5</v>
      </c>
      <c r="D605" s="74">
        <f t="shared" si="19"/>
        <v>-0.17657370517928286</v>
      </c>
      <c r="E605" s="1">
        <v>6.0358255451713394E-3</v>
      </c>
      <c r="G605" s="75">
        <v>603</v>
      </c>
      <c r="H605" s="1">
        <f t="shared" ca="1" si="20"/>
        <v>1.3097765075521782E-2</v>
      </c>
    </row>
    <row r="606" spans="2:8" x14ac:dyDescent="0.3">
      <c r="B606" s="72">
        <v>44858</v>
      </c>
      <c r="C606" s="73">
        <v>3137.5</v>
      </c>
      <c r="D606" s="74">
        <f t="shared" si="19"/>
        <v>-5.6135495322042032E-2</v>
      </c>
      <c r="E606" s="1">
        <v>6.0281527559560661E-3</v>
      </c>
      <c r="G606" s="75">
        <v>604</v>
      </c>
      <c r="H606" s="1">
        <f t="shared" ca="1" si="20"/>
        <v>-2.0672722201455166E-2</v>
      </c>
    </row>
    <row r="607" spans="2:8" x14ac:dyDescent="0.3">
      <c r="B607" s="72">
        <v>45096</v>
      </c>
      <c r="C607" s="73">
        <v>3324.1</v>
      </c>
      <c r="D607" s="74">
        <f t="shared" si="19"/>
        <v>0.13317083979614452</v>
      </c>
      <c r="E607" s="1">
        <v>5.9998032851381368E-3</v>
      </c>
      <c r="G607" s="75">
        <v>605</v>
      </c>
      <c r="H607" s="1">
        <f t="shared" ca="1" si="20"/>
        <v>-3.4969141288412713E-4</v>
      </c>
    </row>
    <row r="608" spans="2:8" x14ac:dyDescent="0.3">
      <c r="B608" s="72">
        <v>45453</v>
      </c>
      <c r="C608" s="73">
        <v>2933.45</v>
      </c>
      <c r="D608" s="74">
        <f t="shared" si="19"/>
        <v>1.3025510204081632</v>
      </c>
      <c r="E608" s="1">
        <v>5.9928497329366365E-3</v>
      </c>
      <c r="G608" s="75">
        <v>606</v>
      </c>
      <c r="H608" s="1">
        <f t="shared" ca="1" si="20"/>
        <v>1.7066672377217913E-3</v>
      </c>
    </row>
    <row r="609" spans="2:8" x14ac:dyDescent="0.3">
      <c r="B609" s="72">
        <v>43278</v>
      </c>
      <c r="C609" s="73">
        <v>1274</v>
      </c>
      <c r="D609" s="74">
        <f t="shared" si="19"/>
        <v>-0.47829647829647831</v>
      </c>
      <c r="E609" s="1">
        <v>5.9814043468820067E-3</v>
      </c>
      <c r="G609" s="75">
        <v>607</v>
      </c>
      <c r="H609" s="1">
        <f t="shared" ca="1" si="20"/>
        <v>-1.2062412138266462E-2</v>
      </c>
    </row>
    <row r="610" spans="2:8" x14ac:dyDescent="0.3">
      <c r="B610" s="72">
        <v>44225</v>
      </c>
      <c r="C610" s="73">
        <v>2442</v>
      </c>
      <c r="D610" s="74">
        <f t="shared" si="19"/>
        <v>0.58948156344582947</v>
      </c>
      <c r="E610" s="1">
        <v>5.9732234809474769E-3</v>
      </c>
      <c r="G610" s="75">
        <v>608</v>
      </c>
      <c r="H610" s="1">
        <f t="shared" ca="1" si="20"/>
        <v>1.8217909488530823E-3</v>
      </c>
    </row>
    <row r="611" spans="2:8" x14ac:dyDescent="0.3">
      <c r="B611" s="72">
        <v>43682</v>
      </c>
      <c r="C611" s="73">
        <v>1536.35</v>
      </c>
      <c r="D611" s="74">
        <f t="shared" si="19"/>
        <v>-0.24037082818294195</v>
      </c>
      <c r="E611" s="1">
        <v>5.9584220003273264E-3</v>
      </c>
      <c r="G611" s="75">
        <v>609</v>
      </c>
      <c r="H611" s="1">
        <f t="shared" ca="1" si="20"/>
        <v>-1.0114780900895523E-3</v>
      </c>
    </row>
    <row r="612" spans="2:8" x14ac:dyDescent="0.3">
      <c r="B612" s="72">
        <v>44091</v>
      </c>
      <c r="C612" s="73">
        <v>2022.5</v>
      </c>
      <c r="D612" s="74">
        <f t="shared" si="19"/>
        <v>0.10015638811450329</v>
      </c>
      <c r="E612" s="1">
        <v>5.9311391019981619E-3</v>
      </c>
      <c r="G612" s="75">
        <v>610</v>
      </c>
      <c r="H612" s="1">
        <f t="shared" ca="1" si="20"/>
        <v>4.5111644561436175E-3</v>
      </c>
    </row>
    <row r="613" spans="2:8" x14ac:dyDescent="0.3">
      <c r="B613" s="72">
        <v>43846</v>
      </c>
      <c r="C613" s="73">
        <v>1838.375</v>
      </c>
      <c r="D613" s="74">
        <f t="shared" si="19"/>
        <v>-0.41945288753799392</v>
      </c>
      <c r="E613" s="1">
        <v>5.9232305545676156E-3</v>
      </c>
      <c r="G613" s="75">
        <v>611</v>
      </c>
      <c r="H613" s="1">
        <f t="shared" ca="1" si="20"/>
        <v>2.0527036770749767E-3</v>
      </c>
    </row>
    <row r="614" spans="2:8" x14ac:dyDescent="0.3">
      <c r="B614" s="72">
        <v>44895</v>
      </c>
      <c r="C614" s="73">
        <v>3166.625</v>
      </c>
      <c r="D614" s="74">
        <f t="shared" si="19"/>
        <v>0.44122566477408476</v>
      </c>
      <c r="E614" s="1">
        <v>5.8924898549113924E-3</v>
      </c>
      <c r="G614" s="75">
        <v>612</v>
      </c>
      <c r="H614" s="1">
        <f t="shared" ca="1" si="20"/>
        <v>-3.5770859138753485E-3</v>
      </c>
    </row>
    <row r="615" spans="2:8" x14ac:dyDescent="0.3">
      <c r="B615" s="72">
        <v>44133</v>
      </c>
      <c r="C615" s="73">
        <v>2197.1750000000002</v>
      </c>
      <c r="D615" s="74">
        <f t="shared" si="19"/>
        <v>-0.22417506753058736</v>
      </c>
      <c r="E615" s="1">
        <v>5.8713118318949875E-3</v>
      </c>
      <c r="G615" s="75">
        <v>613</v>
      </c>
      <c r="H615" s="1">
        <f t="shared" ca="1" si="20"/>
        <v>5.5298411906077964E-4</v>
      </c>
    </row>
    <row r="616" spans="2:8" x14ac:dyDescent="0.3">
      <c r="B616" s="72">
        <v>44977</v>
      </c>
      <c r="C616" s="73">
        <v>2832.05</v>
      </c>
      <c r="D616" s="74">
        <f t="shared" si="19"/>
        <v>0.24235877301690026</v>
      </c>
      <c r="E616" s="1">
        <v>5.8156569916627448E-3</v>
      </c>
      <c r="G616" s="75">
        <v>614</v>
      </c>
      <c r="H616" s="1">
        <f t="shared" ca="1" si="20"/>
        <v>1.2988693869159487E-2</v>
      </c>
    </row>
    <row r="617" spans="2:8" x14ac:dyDescent="0.3">
      <c r="B617" s="72">
        <v>45694</v>
      </c>
      <c r="C617" s="73">
        <v>2279.5749999999998</v>
      </c>
      <c r="D617" s="74">
        <f t="shared" si="19"/>
        <v>0.33581892762965121</v>
      </c>
      <c r="E617" s="1">
        <v>5.8131839039885841E-3</v>
      </c>
      <c r="G617" s="75">
        <v>615</v>
      </c>
      <c r="H617" s="1">
        <f t="shared" ca="1" si="20"/>
        <v>3.4064191716342743E-2</v>
      </c>
    </row>
    <row r="618" spans="2:8" x14ac:dyDescent="0.3">
      <c r="B618" s="72">
        <v>43984</v>
      </c>
      <c r="C618" s="73">
        <v>1706.5</v>
      </c>
      <c r="D618" s="74">
        <f t="shared" si="19"/>
        <v>-7.2024796759020002E-2</v>
      </c>
      <c r="E618" s="1">
        <v>5.7759179583897887E-3</v>
      </c>
      <c r="G618" s="75">
        <v>616</v>
      </c>
      <c r="H618" s="1">
        <f t="shared" ca="1" si="20"/>
        <v>-5.6155694828916832E-3</v>
      </c>
    </row>
    <row r="619" spans="2:8" x14ac:dyDescent="0.3">
      <c r="B619" s="72">
        <v>43948</v>
      </c>
      <c r="C619" s="73">
        <v>1838.9499999999998</v>
      </c>
      <c r="D619" s="74">
        <f t="shared" si="19"/>
        <v>-0.43514686120176621</v>
      </c>
      <c r="E619" s="1">
        <v>5.7700721942680628E-3</v>
      </c>
      <c r="G619" s="75">
        <v>617</v>
      </c>
      <c r="H619" s="1">
        <f t="shared" ca="1" si="20"/>
        <v>9.8840094327008968E-3</v>
      </c>
    </row>
    <row r="620" spans="2:8" x14ac:dyDescent="0.3">
      <c r="B620" s="72">
        <v>45541</v>
      </c>
      <c r="C620" s="73">
        <v>3255.625</v>
      </c>
      <c r="D620" s="74">
        <f t="shared" si="19"/>
        <v>-1.1297290320621297E-2</v>
      </c>
      <c r="E620" s="1">
        <v>5.7537843682421994E-3</v>
      </c>
      <c r="G620" s="75">
        <v>618</v>
      </c>
      <c r="H620" s="1">
        <f t="shared" ca="1" si="20"/>
        <v>2.370779237569301E-3</v>
      </c>
    </row>
    <row r="621" spans="2:8" x14ac:dyDescent="0.3">
      <c r="B621" s="72">
        <v>44441</v>
      </c>
      <c r="C621" s="73">
        <v>3292.8249999999998</v>
      </c>
      <c r="D621" s="74">
        <f t="shared" si="19"/>
        <v>0.82731687014428401</v>
      </c>
      <c r="E621" s="1">
        <v>5.7498472816126505E-3</v>
      </c>
      <c r="G621" s="75">
        <v>619</v>
      </c>
      <c r="H621" s="1">
        <f t="shared" ca="1" si="20"/>
        <v>6.0992311453070931E-4</v>
      </c>
    </row>
    <row r="622" spans="2:8" x14ac:dyDescent="0.3">
      <c r="B622" s="72">
        <v>43819</v>
      </c>
      <c r="C622" s="73">
        <v>1802</v>
      </c>
      <c r="D622" s="74">
        <f t="shared" si="19"/>
        <v>-0.41960834836382377</v>
      </c>
      <c r="E622" s="1">
        <v>5.7487302561813822E-3</v>
      </c>
      <c r="G622" s="75">
        <v>620</v>
      </c>
      <c r="H622" s="1">
        <f t="shared" ca="1" si="20"/>
        <v>-1.1167827161646946E-2</v>
      </c>
    </row>
    <row r="623" spans="2:8" x14ac:dyDescent="0.3">
      <c r="B623" s="72">
        <v>44497</v>
      </c>
      <c r="C623" s="73">
        <v>3104.8</v>
      </c>
      <c r="D623" s="74">
        <f t="shared" si="19"/>
        <v>0.23657798311295203</v>
      </c>
      <c r="E623" s="1">
        <v>5.7335363285932663E-3</v>
      </c>
      <c r="G623" s="75">
        <v>621</v>
      </c>
      <c r="H623" s="1">
        <f t="shared" ca="1" si="20"/>
        <v>-1.1697369526200825E-2</v>
      </c>
    </row>
    <row r="624" spans="2:8" x14ac:dyDescent="0.3">
      <c r="B624" s="72">
        <v>45898</v>
      </c>
      <c r="C624" s="73">
        <v>2510.8000000000002</v>
      </c>
      <c r="D624" s="74">
        <f t="shared" si="19"/>
        <v>-0.14734223640979055</v>
      </c>
      <c r="E624" s="1">
        <v>5.728019226917758E-3</v>
      </c>
      <c r="G624" s="75">
        <v>622</v>
      </c>
      <c r="H624" s="1">
        <f t="shared" ca="1" si="20"/>
        <v>-7.6419908668194109E-3</v>
      </c>
    </row>
    <row r="625" spans="2:8" x14ac:dyDescent="0.3">
      <c r="B625" s="72">
        <v>44944</v>
      </c>
      <c r="C625" s="73">
        <v>2944.6750000000002</v>
      </c>
      <c r="D625" s="74">
        <f t="shared" si="19"/>
        <v>-8.9329756225790702E-2</v>
      </c>
      <c r="E625" s="1">
        <v>5.695013661202248E-3</v>
      </c>
      <c r="G625" s="75">
        <v>623</v>
      </c>
      <c r="H625" s="1">
        <f t="shared" ca="1" si="20"/>
        <v>2.4480541321569502E-2</v>
      </c>
    </row>
    <row r="626" spans="2:8" x14ac:dyDescent="0.3">
      <c r="B626" s="72">
        <v>45272</v>
      </c>
      <c r="C626" s="73">
        <v>3233.5250000000001</v>
      </c>
      <c r="D626" s="74">
        <f t="shared" si="19"/>
        <v>0.87369259742141103</v>
      </c>
      <c r="E626" s="1">
        <v>5.6838504004354529E-3</v>
      </c>
      <c r="G626" s="75">
        <v>624</v>
      </c>
      <c r="H626" s="1">
        <f t="shared" ca="1" si="20"/>
        <v>9.800403164131501E-3</v>
      </c>
    </row>
    <row r="627" spans="2:8" x14ac:dyDescent="0.3">
      <c r="B627" s="72">
        <v>43837</v>
      </c>
      <c r="C627" s="73">
        <v>1725.75</v>
      </c>
      <c r="D627" s="74">
        <f t="shared" si="19"/>
        <v>0.23758471081788535</v>
      </c>
      <c r="E627" s="1">
        <v>5.681818181818182E-3</v>
      </c>
      <c r="G627" s="75">
        <v>625</v>
      </c>
      <c r="H627" s="1">
        <f t="shared" ca="1" si="20"/>
        <v>-1.4521792998717911E-2</v>
      </c>
    </row>
    <row r="628" spans="2:8" x14ac:dyDescent="0.3">
      <c r="B628" s="72">
        <v>43495</v>
      </c>
      <c r="C628" s="73">
        <v>1394.4499999999998</v>
      </c>
      <c r="D628" s="74">
        <f t="shared" si="19"/>
        <v>-0.5213832160631543</v>
      </c>
      <c r="E628" s="1">
        <v>5.6613298716283785E-3</v>
      </c>
      <c r="G628" s="75">
        <v>626</v>
      </c>
      <c r="H628" s="1">
        <f t="shared" ca="1" si="20"/>
        <v>1.1773397449767565E-2</v>
      </c>
    </row>
    <row r="629" spans="2:8" x14ac:dyDescent="0.3">
      <c r="B629" s="72">
        <v>45474</v>
      </c>
      <c r="C629" s="73">
        <v>2913.5</v>
      </c>
      <c r="D629" s="74">
        <f t="shared" si="19"/>
        <v>3.9904343791269656E-2</v>
      </c>
      <c r="E629" s="1">
        <v>5.6608332470401753E-3</v>
      </c>
      <c r="G629" s="75">
        <v>627</v>
      </c>
      <c r="H629" s="1">
        <f t="shared" ca="1" si="20"/>
        <v>4.3382138693151525E-3</v>
      </c>
    </row>
    <row r="630" spans="2:8" x14ac:dyDescent="0.3">
      <c r="B630" s="72">
        <v>46013</v>
      </c>
      <c r="C630" s="73">
        <v>2801.7</v>
      </c>
      <c r="D630" s="74">
        <f t="shared" si="19"/>
        <v>-4.7785745845087296E-2</v>
      </c>
      <c r="E630" s="1">
        <v>5.6172717646846377E-3</v>
      </c>
      <c r="G630" s="75">
        <v>628</v>
      </c>
      <c r="H630" s="1">
        <f t="shared" ca="1" si="20"/>
        <v>3.8634076575829626E-3</v>
      </c>
    </row>
    <row r="631" spans="2:8" x14ac:dyDescent="0.3">
      <c r="B631" s="72">
        <v>44356</v>
      </c>
      <c r="C631" s="73">
        <v>2942.3</v>
      </c>
      <c r="D631" s="74">
        <f t="shared" si="19"/>
        <v>4.300781649998418E-3</v>
      </c>
      <c r="E631" s="1">
        <v>5.613705301832847E-3</v>
      </c>
      <c r="G631" s="75">
        <v>629</v>
      </c>
      <c r="H631" s="1">
        <f t="shared" ca="1" si="20"/>
        <v>-9.574345370193707E-3</v>
      </c>
    </row>
    <row r="632" spans="2:8" x14ac:dyDescent="0.3">
      <c r="B632" s="72">
        <v>45049</v>
      </c>
      <c r="C632" s="73">
        <v>2929.7</v>
      </c>
      <c r="D632" s="74">
        <f t="shared" si="19"/>
        <v>-5.4561883324862191E-2</v>
      </c>
      <c r="E632" s="1">
        <v>5.6120960406404689E-3</v>
      </c>
      <c r="G632" s="75">
        <v>630</v>
      </c>
      <c r="H632" s="1">
        <f t="shared" ca="1" si="20"/>
        <v>7.8516863761694151E-3</v>
      </c>
    </row>
    <row r="633" spans="2:8" x14ac:dyDescent="0.3">
      <c r="B633" s="72">
        <v>45245</v>
      </c>
      <c r="C633" s="73">
        <v>3098.7749999999996</v>
      </c>
      <c r="D633" s="74">
        <f t="shared" si="19"/>
        <v>0.80392071253929431</v>
      </c>
      <c r="E633" s="1">
        <v>5.6060360214180227E-3</v>
      </c>
      <c r="G633" s="75">
        <v>631</v>
      </c>
      <c r="H633" s="1">
        <f t="shared" ca="1" si="20"/>
        <v>-1.669426924329483E-2</v>
      </c>
    </row>
    <row r="634" spans="2:8" x14ac:dyDescent="0.3">
      <c r="B634" s="72">
        <v>43796</v>
      </c>
      <c r="C634" s="73">
        <v>1717.8</v>
      </c>
      <c r="D634" s="74">
        <f t="shared" si="19"/>
        <v>-2.7265777626773176E-2</v>
      </c>
      <c r="E634" s="1">
        <v>5.6052335026123877E-3</v>
      </c>
      <c r="G634" s="75">
        <v>632</v>
      </c>
      <c r="H634" s="1">
        <f t="shared" ca="1" si="20"/>
        <v>-4.1242524767965624E-3</v>
      </c>
    </row>
    <row r="635" spans="2:8" x14ac:dyDescent="0.3">
      <c r="B635" s="72">
        <v>43734</v>
      </c>
      <c r="C635" s="73">
        <v>1765.95</v>
      </c>
      <c r="D635" s="74">
        <f t="shared" si="19"/>
        <v>-0.38956774227000118</v>
      </c>
      <c r="E635" s="1">
        <v>5.5947042494127958E-3</v>
      </c>
      <c r="G635" s="75">
        <v>633</v>
      </c>
      <c r="H635" s="1">
        <f t="shared" ca="1" si="20"/>
        <v>4.2240242133323985E-3</v>
      </c>
    </row>
    <row r="636" spans="2:8" x14ac:dyDescent="0.3">
      <c r="B636" s="72">
        <v>45988</v>
      </c>
      <c r="C636" s="73">
        <v>2892.95</v>
      </c>
      <c r="D636" s="74">
        <f t="shared" si="19"/>
        <v>1.2264593835379227</v>
      </c>
      <c r="E636" s="1">
        <v>5.5789217560569303E-3</v>
      </c>
      <c r="G636" s="75">
        <v>634</v>
      </c>
      <c r="H636" s="1">
        <f t="shared" ca="1" si="20"/>
        <v>2.8241419563416546E-2</v>
      </c>
    </row>
    <row r="637" spans="2:8" x14ac:dyDescent="0.3">
      <c r="B637" s="72">
        <v>43251</v>
      </c>
      <c r="C637" s="73">
        <v>1299.3499999999999</v>
      </c>
      <c r="D637" s="74">
        <f t="shared" si="19"/>
        <v>-6.2923698254723784E-2</v>
      </c>
      <c r="E637" s="1">
        <v>5.5721085013348435E-3</v>
      </c>
      <c r="G637" s="75">
        <v>635</v>
      </c>
      <c r="H637" s="1">
        <f t="shared" ca="1" si="20"/>
        <v>-1.3861858219257584E-2</v>
      </c>
    </row>
    <row r="638" spans="2:8" x14ac:dyDescent="0.3">
      <c r="B638" s="72">
        <v>43494</v>
      </c>
      <c r="C638" s="73">
        <v>1386.6</v>
      </c>
      <c r="D638" s="74">
        <f t="shared" si="19"/>
        <v>-0.5832907588279489</v>
      </c>
      <c r="E638" s="1">
        <v>5.5659299816886018E-3</v>
      </c>
      <c r="G638" s="75">
        <v>636</v>
      </c>
      <c r="H638" s="1">
        <f t="shared" ca="1" si="20"/>
        <v>-5.1708381157428082E-3</v>
      </c>
    </row>
    <row r="639" spans="2:8" x14ac:dyDescent="0.3">
      <c r="B639" s="72">
        <v>44462</v>
      </c>
      <c r="C639" s="73">
        <v>3327.5</v>
      </c>
      <c r="D639" s="74">
        <f t="shared" si="19"/>
        <v>1.8242233916143271</v>
      </c>
      <c r="E639" s="1">
        <v>5.5604242845486967E-3</v>
      </c>
      <c r="G639" s="75">
        <v>637</v>
      </c>
      <c r="H639" s="1">
        <f t="shared" ca="1" si="20"/>
        <v>-1.6155027184280291E-2</v>
      </c>
    </row>
    <row r="640" spans="2:8" x14ac:dyDescent="0.3">
      <c r="B640" s="72">
        <v>43207</v>
      </c>
      <c r="C640" s="73">
        <v>1178.2</v>
      </c>
      <c r="D640" s="74">
        <f t="shared" si="19"/>
        <v>-0.6201070484297414</v>
      </c>
      <c r="E640" s="1">
        <v>5.5045871559633412E-3</v>
      </c>
      <c r="G640" s="75">
        <v>638</v>
      </c>
      <c r="H640" s="1">
        <f t="shared" ca="1" si="20"/>
        <v>8.4249307648366339E-3</v>
      </c>
    </row>
    <row r="641" spans="2:8" x14ac:dyDescent="0.3">
      <c r="B641" s="72">
        <v>44768</v>
      </c>
      <c r="C641" s="73">
        <v>3101.4</v>
      </c>
      <c r="D641" s="74">
        <f t="shared" si="19"/>
        <v>-8.4835787423647793E-2</v>
      </c>
      <c r="E641" s="1">
        <v>5.5034568841842183E-3</v>
      </c>
      <c r="G641" s="75">
        <v>639</v>
      </c>
      <c r="H641" s="1">
        <f t="shared" ca="1" si="20"/>
        <v>8.2762580854537776E-3</v>
      </c>
    </row>
    <row r="642" spans="2:8" x14ac:dyDescent="0.3">
      <c r="B642" s="72">
        <v>45113</v>
      </c>
      <c r="C642" s="73">
        <v>3388.9</v>
      </c>
      <c r="D642" s="74">
        <f t="shared" si="19"/>
        <v>6.675690351215452E-2</v>
      </c>
      <c r="E642" s="1">
        <v>5.4964210213997227E-3</v>
      </c>
      <c r="G642" s="75">
        <v>640</v>
      </c>
      <c r="H642" s="1">
        <f t="shared" ca="1" si="20"/>
        <v>1.7275509531354261E-2</v>
      </c>
    </row>
    <row r="643" spans="2:8" x14ac:dyDescent="0.3">
      <c r="B643" s="72">
        <v>45531</v>
      </c>
      <c r="C643" s="73">
        <v>3176.8249999999998</v>
      </c>
      <c r="D643" s="74">
        <f t="shared" ref="D643:D706" si="21">(C643-C644)/C644</f>
        <v>-0.10725727132218636</v>
      </c>
      <c r="E643" s="1">
        <v>5.4914186692409054E-3</v>
      </c>
      <c r="G643" s="75">
        <v>641</v>
      </c>
      <c r="H643" s="1">
        <f t="shared" ca="1" si="20"/>
        <v>1.9180468665300911E-2</v>
      </c>
    </row>
    <row r="644" spans="2:8" x14ac:dyDescent="0.3">
      <c r="B644" s="72">
        <v>44571</v>
      </c>
      <c r="C644" s="73">
        <v>3558.5</v>
      </c>
      <c r="D644" s="74">
        <f t="shared" si="21"/>
        <v>0.1389569030358315</v>
      </c>
      <c r="E644" s="1">
        <v>5.4319034265491971E-3</v>
      </c>
      <c r="G644" s="75">
        <v>642</v>
      </c>
      <c r="H644" s="1">
        <f t="shared" ref="H644:H707" ca="1" si="22">_xlfn.NORM.INV(RAND(),$N$4,$N$5)</f>
        <v>1.0666630733370888E-2</v>
      </c>
    </row>
    <row r="645" spans="2:8" x14ac:dyDescent="0.3">
      <c r="B645" s="72">
        <v>45072</v>
      </c>
      <c r="C645" s="73">
        <v>3124.35</v>
      </c>
      <c r="D645" s="74">
        <f t="shared" si="21"/>
        <v>8.0155574762316301E-2</v>
      </c>
      <c r="E645" s="1">
        <v>5.4223652453740659E-3</v>
      </c>
      <c r="G645" s="75">
        <v>643</v>
      </c>
      <c r="H645" s="1">
        <f t="shared" ca="1" si="22"/>
        <v>-4.117148047543537E-3</v>
      </c>
    </row>
    <row r="646" spans="2:8" x14ac:dyDescent="0.3">
      <c r="B646" s="72">
        <v>45440</v>
      </c>
      <c r="C646" s="73">
        <v>2892.5</v>
      </c>
      <c r="D646" s="74">
        <f t="shared" si="21"/>
        <v>-0.12072044685944447</v>
      </c>
      <c r="E646" s="1">
        <v>5.4137664346480419E-3</v>
      </c>
      <c r="G646" s="75">
        <v>644</v>
      </c>
      <c r="H646" s="1">
        <f t="shared" ca="1" si="22"/>
        <v>-9.2288145999119432E-3</v>
      </c>
    </row>
    <row r="647" spans="2:8" x14ac:dyDescent="0.3">
      <c r="B647" s="72">
        <v>45168</v>
      </c>
      <c r="C647" s="73">
        <v>3289.625</v>
      </c>
      <c r="D647" s="74">
        <f t="shared" si="21"/>
        <v>0.14428704355917324</v>
      </c>
      <c r="E647" s="1">
        <v>5.3789320069375715E-3</v>
      </c>
      <c r="G647" s="75">
        <v>645</v>
      </c>
      <c r="H647" s="1">
        <f t="shared" ca="1" si="22"/>
        <v>4.0808646583310174E-4</v>
      </c>
    </row>
    <row r="648" spans="2:8" x14ac:dyDescent="0.3">
      <c r="B648" s="72">
        <v>45362</v>
      </c>
      <c r="C648" s="73">
        <v>2874.8249999999998</v>
      </c>
      <c r="D648" s="74">
        <f t="shared" si="21"/>
        <v>-3.773158608224142E-2</v>
      </c>
      <c r="E648" s="1">
        <v>5.3593285539429332E-3</v>
      </c>
      <c r="G648" s="75">
        <v>646</v>
      </c>
      <c r="H648" s="1">
        <f t="shared" ca="1" si="22"/>
        <v>8.2248195094016853E-3</v>
      </c>
    </row>
    <row r="649" spans="2:8" x14ac:dyDescent="0.3">
      <c r="B649" s="72">
        <v>44421</v>
      </c>
      <c r="C649" s="73">
        <v>2987.55</v>
      </c>
      <c r="D649" s="74">
        <f t="shared" si="21"/>
        <v>0.38712261030051887</v>
      </c>
      <c r="E649" s="1">
        <v>5.3590207378118645E-3</v>
      </c>
      <c r="G649" s="75">
        <v>647</v>
      </c>
      <c r="H649" s="1">
        <f t="shared" ca="1" si="22"/>
        <v>-2.0461559951840187E-2</v>
      </c>
    </row>
    <row r="650" spans="2:8" x14ac:dyDescent="0.3">
      <c r="B650" s="72">
        <v>45721</v>
      </c>
      <c r="C650" s="73">
        <v>2153.7750000000001</v>
      </c>
      <c r="D650" s="74">
        <f t="shared" si="21"/>
        <v>-0.35227734087184037</v>
      </c>
      <c r="E650" s="1">
        <v>5.3563926620921014E-3</v>
      </c>
      <c r="G650" s="75">
        <v>648</v>
      </c>
      <c r="H650" s="1">
        <f t="shared" ca="1" si="22"/>
        <v>8.4962138625668971E-3</v>
      </c>
    </row>
    <row r="651" spans="2:8" x14ac:dyDescent="0.3">
      <c r="B651" s="72">
        <v>44482</v>
      </c>
      <c r="C651" s="73">
        <v>3325.15</v>
      </c>
      <c r="D651" s="74">
        <f t="shared" si="21"/>
        <v>0.19345692084058647</v>
      </c>
      <c r="E651" s="1">
        <v>5.336356764928221E-3</v>
      </c>
      <c r="G651" s="75">
        <v>649</v>
      </c>
      <c r="H651" s="1">
        <f t="shared" ca="1" si="22"/>
        <v>4.2279426857199948E-3</v>
      </c>
    </row>
    <row r="652" spans="2:8" x14ac:dyDescent="0.3">
      <c r="B652" s="72">
        <v>44747</v>
      </c>
      <c r="C652" s="73">
        <v>2786.15</v>
      </c>
      <c r="D652" s="74">
        <f t="shared" si="21"/>
        <v>1.9839308918538141E-2</v>
      </c>
      <c r="E652" s="1">
        <v>5.322219816699141E-3</v>
      </c>
      <c r="G652" s="75">
        <v>650</v>
      </c>
      <c r="H652" s="1">
        <f t="shared" ca="1" si="22"/>
        <v>-2.5844462381867527E-3</v>
      </c>
    </row>
    <row r="653" spans="2:8" x14ac:dyDescent="0.3">
      <c r="B653" s="72">
        <v>44960</v>
      </c>
      <c r="C653" s="73">
        <v>2731.95</v>
      </c>
      <c r="D653" s="74">
        <f t="shared" si="21"/>
        <v>0.11124895767658485</v>
      </c>
      <c r="E653" s="1">
        <v>5.317387304507753E-3</v>
      </c>
      <c r="G653" s="75">
        <v>651</v>
      </c>
      <c r="H653" s="1">
        <f t="shared" ca="1" si="22"/>
        <v>4.8067096196510841E-3</v>
      </c>
    </row>
    <row r="654" spans="2:8" x14ac:dyDescent="0.3">
      <c r="B654" s="72">
        <v>45618</v>
      </c>
      <c r="C654" s="73">
        <v>2458.4499999999998</v>
      </c>
      <c r="D654" s="74">
        <f t="shared" si="21"/>
        <v>-0.26976371170154317</v>
      </c>
      <c r="E654" s="1">
        <v>5.3057177031046766E-3</v>
      </c>
      <c r="G654" s="75">
        <v>652</v>
      </c>
      <c r="H654" s="1">
        <f t="shared" ca="1" si="22"/>
        <v>-5.7475382388058854E-4</v>
      </c>
    </row>
    <row r="655" spans="2:8" x14ac:dyDescent="0.3">
      <c r="B655" s="72">
        <v>45547</v>
      </c>
      <c r="C655" s="73">
        <v>3366.65</v>
      </c>
      <c r="D655" s="74">
        <f t="shared" si="21"/>
        <v>0.13622058538149376</v>
      </c>
      <c r="E655" s="1">
        <v>5.2777342321158509E-3</v>
      </c>
      <c r="G655" s="75">
        <v>653</v>
      </c>
      <c r="H655" s="1">
        <f t="shared" ca="1" si="22"/>
        <v>-1.0830080399088988E-2</v>
      </c>
    </row>
    <row r="656" spans="2:8" x14ac:dyDescent="0.3">
      <c r="B656" s="72">
        <v>44347</v>
      </c>
      <c r="C656" s="73">
        <v>2963.0249999999996</v>
      </c>
      <c r="D656" s="74">
        <f t="shared" si="21"/>
        <v>-9.9021642454788186E-2</v>
      </c>
      <c r="E656" s="1">
        <v>5.275702083986894E-3</v>
      </c>
      <c r="G656" s="75">
        <v>654</v>
      </c>
      <c r="H656" s="1">
        <f t="shared" ca="1" si="22"/>
        <v>-4.1530245590456908E-3</v>
      </c>
    </row>
    <row r="657" spans="2:8" x14ac:dyDescent="0.3">
      <c r="B657" s="72">
        <v>45092</v>
      </c>
      <c r="C657" s="73">
        <v>3288.6750000000002</v>
      </c>
      <c r="D657" s="74">
        <f t="shared" si="21"/>
        <v>0.14428496868475998</v>
      </c>
      <c r="E657" s="1">
        <v>5.2652493542619831E-3</v>
      </c>
      <c r="G657" s="75">
        <v>655</v>
      </c>
      <c r="H657" s="1">
        <f t="shared" ca="1" si="22"/>
        <v>3.1673728243479709E-3</v>
      </c>
    </row>
    <row r="658" spans="2:8" x14ac:dyDescent="0.3">
      <c r="B658" s="72">
        <v>45470</v>
      </c>
      <c r="C658" s="73">
        <v>2874</v>
      </c>
      <c r="D658" s="74">
        <f t="shared" si="21"/>
        <v>0.23753956122031544</v>
      </c>
      <c r="E658" s="1">
        <v>5.2641704122143385E-3</v>
      </c>
      <c r="G658" s="75">
        <v>656</v>
      </c>
      <c r="H658" s="1">
        <f t="shared" ca="1" si="22"/>
        <v>-9.8345517419469938E-3</v>
      </c>
    </row>
    <row r="659" spans="2:8" x14ac:dyDescent="0.3">
      <c r="B659" s="72">
        <v>45750</v>
      </c>
      <c r="C659" s="73">
        <v>2322.3500000000004</v>
      </c>
      <c r="D659" s="74">
        <f t="shared" si="21"/>
        <v>-0.2068476775956283</v>
      </c>
      <c r="E659" s="1">
        <v>5.2266505069743958E-3</v>
      </c>
      <c r="G659" s="75">
        <v>657</v>
      </c>
      <c r="H659" s="1">
        <f t="shared" ca="1" si="22"/>
        <v>9.2533232013775422E-3</v>
      </c>
    </row>
    <row r="660" spans="2:8" x14ac:dyDescent="0.3">
      <c r="B660" s="72">
        <v>44943</v>
      </c>
      <c r="C660" s="73">
        <v>2928</v>
      </c>
      <c r="D660" s="74">
        <f t="shared" si="21"/>
        <v>-0.12928406809902609</v>
      </c>
      <c r="E660" s="1">
        <v>5.2183466080746423E-3</v>
      </c>
      <c r="G660" s="75">
        <v>658</v>
      </c>
      <c r="H660" s="1">
        <f t="shared" ca="1" si="22"/>
        <v>-2.2476699494029537E-3</v>
      </c>
    </row>
    <row r="661" spans="2:8" x14ac:dyDescent="0.3">
      <c r="B661" s="72">
        <v>45551</v>
      </c>
      <c r="C661" s="73">
        <v>3362.75</v>
      </c>
      <c r="D661" s="74">
        <f t="shared" si="21"/>
        <v>0.84545940977128986</v>
      </c>
      <c r="E661" s="1">
        <v>5.2162735778554445E-3</v>
      </c>
      <c r="G661" s="75">
        <v>659</v>
      </c>
      <c r="H661" s="1">
        <f t="shared" ca="1" si="22"/>
        <v>1.7908166504785342E-2</v>
      </c>
    </row>
    <row r="662" spans="2:8" x14ac:dyDescent="0.3">
      <c r="B662" s="72">
        <v>44060</v>
      </c>
      <c r="C662" s="73">
        <v>1822.175</v>
      </c>
      <c r="D662" s="74">
        <f t="shared" si="21"/>
        <v>-0.3833795810632466</v>
      </c>
      <c r="E662" s="1">
        <v>5.1992828575368666E-3</v>
      </c>
      <c r="G662" s="75">
        <v>660</v>
      </c>
      <c r="H662" s="1">
        <f t="shared" ca="1" si="22"/>
        <v>2.1685501985698834E-2</v>
      </c>
    </row>
    <row r="663" spans="2:8" x14ac:dyDescent="0.3">
      <c r="B663" s="72">
        <v>44358</v>
      </c>
      <c r="C663" s="73">
        <v>2955.1</v>
      </c>
      <c r="D663" s="74">
        <f t="shared" si="21"/>
        <v>0.70214849375036004</v>
      </c>
      <c r="E663" s="1">
        <v>5.1446015697410837E-3</v>
      </c>
      <c r="G663" s="75">
        <v>661</v>
      </c>
      <c r="H663" s="1">
        <f t="shared" ca="1" si="22"/>
        <v>2.1670140308495517E-3</v>
      </c>
    </row>
    <row r="664" spans="2:8" x14ac:dyDescent="0.3">
      <c r="B664" s="72">
        <v>44049</v>
      </c>
      <c r="C664" s="73">
        <v>1736.1</v>
      </c>
      <c r="D664" s="74">
        <f t="shared" si="21"/>
        <v>-0.26395896044431255</v>
      </c>
      <c r="E664" s="1">
        <v>5.1382998740754681E-3</v>
      </c>
      <c r="G664" s="75">
        <v>662</v>
      </c>
      <c r="H664" s="1">
        <f t="shared" ca="1" si="22"/>
        <v>-1.4076607340313799E-2</v>
      </c>
    </row>
    <row r="665" spans="2:8" x14ac:dyDescent="0.3">
      <c r="B665" s="72">
        <v>45937</v>
      </c>
      <c r="C665" s="73">
        <v>2358.6999999999998</v>
      </c>
      <c r="D665" s="74">
        <f t="shared" si="21"/>
        <v>0.63415605785052387</v>
      </c>
      <c r="E665" s="1">
        <v>5.1349796518441963E-3</v>
      </c>
      <c r="G665" s="75">
        <v>663</v>
      </c>
      <c r="H665" s="1">
        <f t="shared" ca="1" si="22"/>
        <v>3.0683869231628675E-3</v>
      </c>
    </row>
    <row r="666" spans="2:8" x14ac:dyDescent="0.3">
      <c r="B666" s="72">
        <v>43622</v>
      </c>
      <c r="C666" s="73">
        <v>1443.375</v>
      </c>
      <c r="D666" s="74">
        <f t="shared" si="21"/>
        <v>0.29843697290003374</v>
      </c>
      <c r="E666" s="1">
        <v>5.1182952943019154E-3</v>
      </c>
      <c r="G666" s="75">
        <v>664</v>
      </c>
      <c r="H666" s="1">
        <f t="shared" ca="1" si="22"/>
        <v>-5.4525393822121382E-4</v>
      </c>
    </row>
    <row r="667" spans="2:8" x14ac:dyDescent="0.3">
      <c r="B667" s="72">
        <v>43159</v>
      </c>
      <c r="C667" s="73">
        <v>1111.625</v>
      </c>
      <c r="D667" s="74">
        <f t="shared" si="21"/>
        <v>-0.64916641023820232</v>
      </c>
      <c r="E667" s="1">
        <v>5.1086145708538538E-3</v>
      </c>
      <c r="G667" s="75">
        <v>665</v>
      </c>
      <c r="H667" s="1">
        <f t="shared" ca="1" si="22"/>
        <v>8.9873418081333617E-3</v>
      </c>
    </row>
    <row r="668" spans="2:8" x14ac:dyDescent="0.3">
      <c r="B668" s="72">
        <v>45210</v>
      </c>
      <c r="C668" s="73">
        <v>3168.5250000000001</v>
      </c>
      <c r="D668" s="74">
        <f t="shared" si="21"/>
        <v>1.3570511986014766</v>
      </c>
      <c r="E668" s="1">
        <v>5.0912378369375568E-3</v>
      </c>
      <c r="G668" s="75">
        <v>666</v>
      </c>
      <c r="H668" s="1">
        <f t="shared" ca="1" si="22"/>
        <v>-1.718409151108825E-2</v>
      </c>
    </row>
    <row r="669" spans="2:8" x14ac:dyDescent="0.3">
      <c r="B669" s="72">
        <v>43452</v>
      </c>
      <c r="C669" s="73">
        <v>1344.2750000000001</v>
      </c>
      <c r="D669" s="74">
        <f t="shared" si="21"/>
        <v>-0.20916859088435572</v>
      </c>
      <c r="E669" s="1">
        <v>5.0842071814427804E-3</v>
      </c>
      <c r="G669" s="75">
        <v>667</v>
      </c>
      <c r="H669" s="1">
        <f t="shared" ca="1" si="22"/>
        <v>3.9092612575816667E-3</v>
      </c>
    </row>
    <row r="670" spans="2:8" x14ac:dyDescent="0.3">
      <c r="B670" s="72">
        <v>44012</v>
      </c>
      <c r="C670" s="73">
        <v>1699.825</v>
      </c>
      <c r="D670" s="74">
        <f t="shared" si="21"/>
        <v>-0.47239487549565068</v>
      </c>
      <c r="E670" s="1">
        <v>5.0702143385070488E-3</v>
      </c>
      <c r="G670" s="75">
        <v>668</v>
      </c>
      <c r="H670" s="1">
        <f t="shared" ca="1" si="22"/>
        <v>6.9453924967498963E-3</v>
      </c>
    </row>
    <row r="671" spans="2:8" x14ac:dyDescent="0.3">
      <c r="B671" s="72">
        <v>44903</v>
      </c>
      <c r="C671" s="73">
        <v>3221.7750000000001</v>
      </c>
      <c r="D671" s="74">
        <f t="shared" si="21"/>
        <v>1.2108594956253218</v>
      </c>
      <c r="E671" s="1">
        <v>5.0615339021384499E-3</v>
      </c>
      <c r="G671" s="75">
        <v>669</v>
      </c>
      <c r="H671" s="1">
        <f t="shared" ca="1" si="22"/>
        <v>-1.4396756657487552E-2</v>
      </c>
    </row>
    <row r="672" spans="2:8" x14ac:dyDescent="0.3">
      <c r="B672" s="72">
        <v>43544</v>
      </c>
      <c r="C672" s="73">
        <v>1457.25</v>
      </c>
      <c r="D672" s="74">
        <f t="shared" si="21"/>
        <v>0.12509409562045212</v>
      </c>
      <c r="E672" s="1">
        <v>5.0519854475231793E-3</v>
      </c>
      <c r="G672" s="75">
        <v>670</v>
      </c>
      <c r="H672" s="1">
        <f t="shared" ca="1" si="22"/>
        <v>1.5346150313700735E-2</v>
      </c>
    </row>
    <row r="673" spans="2:8" x14ac:dyDescent="0.3">
      <c r="B673" s="72">
        <v>43370</v>
      </c>
      <c r="C673" s="73">
        <v>1295.2249999999999</v>
      </c>
      <c r="D673" s="74">
        <f t="shared" si="21"/>
        <v>-0.27738956999595521</v>
      </c>
      <c r="E673" s="1">
        <v>5.0242483026187463E-3</v>
      </c>
      <c r="G673" s="75">
        <v>671</v>
      </c>
      <c r="H673" s="1">
        <f t="shared" ca="1" si="22"/>
        <v>-2.8039720418884886E-2</v>
      </c>
    </row>
    <row r="674" spans="2:8" x14ac:dyDescent="0.3">
      <c r="B674" s="72">
        <v>43859</v>
      </c>
      <c r="C674" s="73">
        <v>1792.425</v>
      </c>
      <c r="D674" s="74">
        <f t="shared" si="21"/>
        <v>-0.38463849217248014</v>
      </c>
      <c r="E674" s="1">
        <v>5.0042052144659123E-3</v>
      </c>
      <c r="G674" s="75">
        <v>672</v>
      </c>
      <c r="H674" s="1">
        <f t="shared" ca="1" si="22"/>
        <v>4.0840657367308937E-3</v>
      </c>
    </row>
    <row r="675" spans="2:8" x14ac:dyDescent="0.3">
      <c r="B675" s="72">
        <v>44942</v>
      </c>
      <c r="C675" s="73">
        <v>2912.8</v>
      </c>
      <c r="D675" s="74">
        <f t="shared" si="21"/>
        <v>0.82451964484254392</v>
      </c>
      <c r="E675" s="1">
        <v>4.9769267261828374E-3</v>
      </c>
      <c r="G675" s="75">
        <v>673</v>
      </c>
      <c r="H675" s="1">
        <f t="shared" ca="1" si="22"/>
        <v>8.7348765544048561E-3</v>
      </c>
    </row>
    <row r="676" spans="2:8" x14ac:dyDescent="0.3">
      <c r="B676" s="72">
        <v>43704</v>
      </c>
      <c r="C676" s="73">
        <v>1596.4749999999999</v>
      </c>
      <c r="D676" s="74">
        <f t="shared" si="21"/>
        <v>-0.11618733910925347</v>
      </c>
      <c r="E676" s="1">
        <v>4.9730104024045844E-3</v>
      </c>
      <c r="G676" s="75">
        <v>674</v>
      </c>
      <c r="H676" s="1">
        <f t="shared" ca="1" si="22"/>
        <v>1.4578529927369055E-2</v>
      </c>
    </row>
    <row r="677" spans="2:8" x14ac:dyDescent="0.3">
      <c r="B677" s="72">
        <v>43861</v>
      </c>
      <c r="C677" s="73">
        <v>1806.35</v>
      </c>
      <c r="D677" s="74">
        <f t="shared" si="21"/>
        <v>-0.21645303316199277</v>
      </c>
      <c r="E677" s="1">
        <v>4.9514590113771528E-3</v>
      </c>
      <c r="G677" s="75">
        <v>675</v>
      </c>
      <c r="H677" s="1">
        <f t="shared" ca="1" si="22"/>
        <v>-5.7615855805904607E-3</v>
      </c>
    </row>
    <row r="678" spans="2:8" x14ac:dyDescent="0.3">
      <c r="B678" s="72">
        <v>45665</v>
      </c>
      <c r="C678" s="73">
        <v>2305.35</v>
      </c>
      <c r="D678" s="74">
        <f t="shared" si="21"/>
        <v>0.52528243214185288</v>
      </c>
      <c r="E678" s="1">
        <v>4.9476896251089402E-3</v>
      </c>
      <c r="G678" s="75">
        <v>676</v>
      </c>
      <c r="H678" s="1">
        <f t="shared" ca="1" si="22"/>
        <v>-9.6368726067619164E-4</v>
      </c>
    </row>
    <row r="679" spans="2:8" x14ac:dyDescent="0.3">
      <c r="B679" s="72">
        <v>43558</v>
      </c>
      <c r="C679" s="73">
        <v>1511.425</v>
      </c>
      <c r="D679" s="74">
        <f t="shared" si="21"/>
        <v>-0.46667666440247357</v>
      </c>
      <c r="E679" s="1">
        <v>4.9368351063829481E-3</v>
      </c>
      <c r="G679" s="75">
        <v>677</v>
      </c>
      <c r="H679" s="1">
        <f t="shared" ca="1" si="22"/>
        <v>-3.7418211117539206E-3</v>
      </c>
    </row>
    <row r="680" spans="2:8" x14ac:dyDescent="0.3">
      <c r="B680" s="72">
        <v>45433</v>
      </c>
      <c r="C680" s="73">
        <v>2833.9749999999999</v>
      </c>
      <c r="D680" s="74">
        <f t="shared" si="21"/>
        <v>-4.3367820553933373E-2</v>
      </c>
      <c r="E680" s="1">
        <v>4.9200382965143077E-3</v>
      </c>
      <c r="G680" s="75">
        <v>678</v>
      </c>
      <c r="H680" s="1">
        <f t="shared" ca="1" si="22"/>
        <v>-2.5268409202353209E-3</v>
      </c>
    </row>
    <row r="681" spans="2:8" x14ac:dyDescent="0.3">
      <c r="B681" s="72">
        <v>45233</v>
      </c>
      <c r="C681" s="73">
        <v>2962.45</v>
      </c>
      <c r="D681" s="74">
        <f t="shared" si="21"/>
        <v>0.14153324470647158</v>
      </c>
      <c r="E681" s="1">
        <v>4.9016282225236834E-3</v>
      </c>
      <c r="G681" s="75">
        <v>679</v>
      </c>
      <c r="H681" s="1">
        <f t="shared" ca="1" si="22"/>
        <v>3.8675528118864116E-3</v>
      </c>
    </row>
    <row r="682" spans="2:8" x14ac:dyDescent="0.3">
      <c r="B682" s="72">
        <v>44299</v>
      </c>
      <c r="C682" s="73">
        <v>2595.15</v>
      </c>
      <c r="D682" s="74">
        <f t="shared" si="21"/>
        <v>-0.19860729395052962</v>
      </c>
      <c r="E682" s="1">
        <v>4.8983543078412739E-3</v>
      </c>
      <c r="G682" s="75">
        <v>680</v>
      </c>
      <c r="H682" s="1">
        <f t="shared" ca="1" si="22"/>
        <v>9.6703485925353711E-4</v>
      </c>
    </row>
    <row r="683" spans="2:8" x14ac:dyDescent="0.3">
      <c r="B683" s="72">
        <v>45274</v>
      </c>
      <c r="C683" s="73">
        <v>3238.3</v>
      </c>
      <c r="D683" s="74">
        <f t="shared" si="21"/>
        <v>-7.6420677361853775E-2</v>
      </c>
      <c r="E683" s="1">
        <v>4.8640471665180344E-3</v>
      </c>
      <c r="G683" s="75">
        <v>681</v>
      </c>
      <c r="H683" s="1">
        <f t="shared" ca="1" si="22"/>
        <v>-3.7567399865501777E-3</v>
      </c>
    </row>
    <row r="684" spans="2:8" x14ac:dyDescent="0.3">
      <c r="B684" s="72">
        <v>45126</v>
      </c>
      <c r="C684" s="73">
        <v>3506.25</v>
      </c>
      <c r="D684" s="74">
        <f t="shared" si="21"/>
        <v>2.9833978279865132E-2</v>
      </c>
      <c r="E684" s="1">
        <v>4.8577078497119243E-3</v>
      </c>
      <c r="G684" s="75">
        <v>682</v>
      </c>
      <c r="H684" s="1">
        <f t="shared" ca="1" si="22"/>
        <v>-6.0058423417807113E-3</v>
      </c>
    </row>
    <row r="685" spans="2:8" x14ac:dyDescent="0.3">
      <c r="B685" s="72">
        <v>45120</v>
      </c>
      <c r="C685" s="73">
        <v>3404.6750000000002</v>
      </c>
      <c r="D685" s="74">
        <f t="shared" si="21"/>
        <v>0.98116117018955207</v>
      </c>
      <c r="E685" s="1">
        <v>4.8253930777007415E-3</v>
      </c>
      <c r="G685" s="75">
        <v>683</v>
      </c>
      <c r="H685" s="1">
        <f t="shared" ca="1" si="22"/>
        <v>5.3529092117102512E-3</v>
      </c>
    </row>
    <row r="686" spans="2:8" x14ac:dyDescent="0.3">
      <c r="B686" s="72">
        <v>43937</v>
      </c>
      <c r="C686" s="73">
        <v>1718.5250000000001</v>
      </c>
      <c r="D686" s="74">
        <f t="shared" si="21"/>
        <v>-0.33341414219774246</v>
      </c>
      <c r="E686" s="1">
        <v>4.8237856485068191E-3</v>
      </c>
      <c r="G686" s="75">
        <v>684</v>
      </c>
      <c r="H686" s="1">
        <f t="shared" ca="1" si="22"/>
        <v>-1.153693236408509E-2</v>
      </c>
    </row>
    <row r="687" spans="2:8" x14ac:dyDescent="0.3">
      <c r="B687" s="72">
        <v>45888</v>
      </c>
      <c r="C687" s="73">
        <v>2578.1</v>
      </c>
      <c r="D687" s="74">
        <f t="shared" si="21"/>
        <v>-0.21374220405922625</v>
      </c>
      <c r="E687" s="1">
        <v>4.7938264868655879E-3</v>
      </c>
      <c r="G687" s="75">
        <v>685</v>
      </c>
      <c r="H687" s="1">
        <f t="shared" ca="1" si="22"/>
        <v>-7.3997387696765893E-3</v>
      </c>
    </row>
    <row r="688" spans="2:8" x14ac:dyDescent="0.3">
      <c r="B688" s="72">
        <v>44553</v>
      </c>
      <c r="C688" s="73">
        <v>3278.95</v>
      </c>
      <c r="D688" s="74">
        <f t="shared" si="21"/>
        <v>0.47351982923267039</v>
      </c>
      <c r="E688" s="1">
        <v>4.7880612565404917E-3</v>
      </c>
      <c r="G688" s="75">
        <v>686</v>
      </c>
      <c r="H688" s="1">
        <f t="shared" ca="1" si="22"/>
        <v>2.8563817540534807E-4</v>
      </c>
    </row>
    <row r="689" spans="2:8" x14ac:dyDescent="0.3">
      <c r="B689" s="72">
        <v>44141</v>
      </c>
      <c r="C689" s="73">
        <v>2225.25</v>
      </c>
      <c r="D689" s="74">
        <f t="shared" si="21"/>
        <v>-4.6338458241817107E-2</v>
      </c>
      <c r="E689" s="1">
        <v>4.7749669816112145E-3</v>
      </c>
      <c r="G689" s="75">
        <v>687</v>
      </c>
      <c r="H689" s="1">
        <f t="shared" ca="1" si="22"/>
        <v>6.869662308713294E-3</v>
      </c>
    </row>
    <row r="690" spans="2:8" x14ac:dyDescent="0.3">
      <c r="B690" s="72">
        <v>45751</v>
      </c>
      <c r="C690" s="73">
        <v>2333.375</v>
      </c>
      <c r="D690" s="74">
        <f t="shared" si="21"/>
        <v>-0.2938314758910805</v>
      </c>
      <c r="E690" s="1">
        <v>4.7473464378752703E-3</v>
      </c>
      <c r="G690" s="75">
        <v>688</v>
      </c>
      <c r="H690" s="1">
        <f t="shared" ca="1" si="22"/>
        <v>-3.3478946382070481E-3</v>
      </c>
    </row>
    <row r="691" spans="2:8" x14ac:dyDescent="0.3">
      <c r="B691" s="72">
        <v>45093</v>
      </c>
      <c r="C691" s="73">
        <v>3304.2750000000001</v>
      </c>
      <c r="D691" s="74">
        <f t="shared" si="21"/>
        <v>3.7514129615674421E-2</v>
      </c>
      <c r="E691" s="1">
        <v>4.7435517343610749E-3</v>
      </c>
      <c r="G691" s="75">
        <v>689</v>
      </c>
      <c r="H691" s="1">
        <f t="shared" ca="1" si="22"/>
        <v>-2.0684239141581626E-3</v>
      </c>
    </row>
    <row r="692" spans="2:8" x14ac:dyDescent="0.3">
      <c r="B692" s="72">
        <v>45160</v>
      </c>
      <c r="C692" s="73">
        <v>3184.8</v>
      </c>
      <c r="D692" s="74">
        <f t="shared" si="21"/>
        <v>-3.7512182959722563E-2</v>
      </c>
      <c r="E692" s="1">
        <v>4.7242355650549683E-3</v>
      </c>
      <c r="G692" s="75">
        <v>690</v>
      </c>
      <c r="H692" s="1">
        <f t="shared" ca="1" si="22"/>
        <v>-8.0295800735674643E-3</v>
      </c>
    </row>
    <row r="693" spans="2:8" x14ac:dyDescent="0.3">
      <c r="B693" s="72">
        <v>45104</v>
      </c>
      <c r="C693" s="73">
        <v>3308.9250000000002</v>
      </c>
      <c r="D693" s="74">
        <f t="shared" si="21"/>
        <v>0.12263038702618335</v>
      </c>
      <c r="E693" s="1">
        <v>4.7216001821839852E-3</v>
      </c>
      <c r="G693" s="75">
        <v>691</v>
      </c>
      <c r="H693" s="1">
        <f t="shared" ca="1" si="22"/>
        <v>-3.4681565702794426E-3</v>
      </c>
    </row>
    <row r="694" spans="2:8" x14ac:dyDescent="0.3">
      <c r="B694" s="72">
        <v>44344</v>
      </c>
      <c r="C694" s="73">
        <v>2947.4750000000004</v>
      </c>
      <c r="D694" s="74">
        <f t="shared" si="21"/>
        <v>1.1467407137654773</v>
      </c>
      <c r="E694" s="1">
        <v>4.7211214793984792E-3</v>
      </c>
      <c r="G694" s="75">
        <v>692</v>
      </c>
      <c r="H694" s="1">
        <f t="shared" ca="1" si="22"/>
        <v>-1.4345802259390851E-3</v>
      </c>
    </row>
    <row r="695" spans="2:8" x14ac:dyDescent="0.3">
      <c r="B695" s="72">
        <v>43297</v>
      </c>
      <c r="C695" s="73">
        <v>1373</v>
      </c>
      <c r="D695" s="74">
        <f t="shared" si="21"/>
        <v>-0.50054565296471443</v>
      </c>
      <c r="E695" s="1">
        <v>4.7199151147047803E-3</v>
      </c>
      <c r="G695" s="75">
        <v>693</v>
      </c>
      <c r="H695" s="1">
        <f t="shared" ca="1" si="22"/>
        <v>1.9084350913484899E-2</v>
      </c>
    </row>
    <row r="696" spans="2:8" x14ac:dyDescent="0.3">
      <c r="B696" s="72">
        <v>44957</v>
      </c>
      <c r="C696" s="73">
        <v>2749</v>
      </c>
      <c r="D696" s="74">
        <f t="shared" si="21"/>
        <v>-1.0225390653128857E-2</v>
      </c>
      <c r="E696" s="1">
        <v>4.7055598702544655E-3</v>
      </c>
      <c r="G696" s="75">
        <v>694</v>
      </c>
      <c r="H696" s="1">
        <f t="shared" ca="1" si="22"/>
        <v>6.6389589389038144E-3</v>
      </c>
    </row>
    <row r="697" spans="2:8" x14ac:dyDescent="0.3">
      <c r="B697" s="72">
        <v>46024</v>
      </c>
      <c r="C697" s="73">
        <v>2777.4</v>
      </c>
      <c r="D697" s="74">
        <f t="shared" si="21"/>
        <v>-0.18030295204857849</v>
      </c>
      <c r="E697" s="1">
        <v>4.7026479525395948E-3</v>
      </c>
      <c r="G697" s="75">
        <v>695</v>
      </c>
      <c r="H697" s="1">
        <f t="shared" ca="1" si="22"/>
        <v>3.2378907557216979E-2</v>
      </c>
    </row>
    <row r="698" spans="2:8" x14ac:dyDescent="0.3">
      <c r="B698" s="72">
        <v>45119</v>
      </c>
      <c r="C698" s="73">
        <v>3388.3249999999998</v>
      </c>
      <c r="D698" s="74">
        <f t="shared" si="21"/>
        <v>1.2528756648936168</v>
      </c>
      <c r="E698" s="1">
        <v>4.699812452279086E-3</v>
      </c>
      <c r="G698" s="75">
        <v>696</v>
      </c>
      <c r="H698" s="1">
        <f t="shared" ca="1" si="22"/>
        <v>-4.8949783268245938E-3</v>
      </c>
    </row>
    <row r="699" spans="2:8" x14ac:dyDescent="0.3">
      <c r="B699" s="72">
        <v>43557</v>
      </c>
      <c r="C699" s="73">
        <v>1504</v>
      </c>
      <c r="D699" s="74">
        <f t="shared" si="21"/>
        <v>-0.47107438016528924</v>
      </c>
      <c r="E699" s="1">
        <v>4.6760187040748163E-3</v>
      </c>
      <c r="G699" s="75">
        <v>697</v>
      </c>
      <c r="H699" s="1">
        <f t="shared" ca="1" si="22"/>
        <v>-1.0625043497634771E-2</v>
      </c>
    </row>
    <row r="700" spans="2:8" x14ac:dyDescent="0.3">
      <c r="B700" s="72">
        <v>45379</v>
      </c>
      <c r="C700" s="73">
        <v>2843.5</v>
      </c>
      <c r="D700" s="74">
        <f t="shared" si="21"/>
        <v>-0.11897753679318358</v>
      </c>
      <c r="E700" s="1">
        <v>4.6726908162635665E-3</v>
      </c>
      <c r="G700" s="75">
        <v>698</v>
      </c>
      <c r="H700" s="1">
        <f t="shared" ca="1" si="22"/>
        <v>2.0814040856705015E-2</v>
      </c>
    </row>
    <row r="701" spans="2:8" x14ac:dyDescent="0.3">
      <c r="B701" s="72">
        <v>45176</v>
      </c>
      <c r="C701" s="73">
        <v>3227.5</v>
      </c>
      <c r="D701" s="74">
        <f t="shared" si="21"/>
        <v>6.5709096912663037E-2</v>
      </c>
      <c r="E701" s="1">
        <v>4.6692607003891049E-3</v>
      </c>
      <c r="G701" s="75">
        <v>699</v>
      </c>
      <c r="H701" s="1">
        <f t="shared" ca="1" si="22"/>
        <v>-7.8201654193917509E-3</v>
      </c>
    </row>
    <row r="702" spans="2:8" x14ac:dyDescent="0.3">
      <c r="B702" s="72">
        <v>45520</v>
      </c>
      <c r="C702" s="73">
        <v>3028.5</v>
      </c>
      <c r="D702" s="74">
        <f t="shared" si="21"/>
        <v>1.6399633883234903</v>
      </c>
      <c r="E702" s="1">
        <v>4.669215522031504E-3</v>
      </c>
      <c r="G702" s="75">
        <v>700</v>
      </c>
      <c r="H702" s="1">
        <f t="shared" ca="1" si="22"/>
        <v>-1.7193905222327891E-2</v>
      </c>
    </row>
    <row r="703" spans="2:8" x14ac:dyDescent="0.3">
      <c r="B703" s="72">
        <v>43195</v>
      </c>
      <c r="C703" s="73">
        <v>1147.175</v>
      </c>
      <c r="D703" s="74">
        <f t="shared" si="21"/>
        <v>-0.61478664551170659</v>
      </c>
      <c r="E703" s="1">
        <v>4.6634846958882913E-3</v>
      </c>
      <c r="G703" s="75">
        <v>701</v>
      </c>
      <c r="H703" s="1">
        <f t="shared" ca="1" si="22"/>
        <v>-8.2546310145386239E-3</v>
      </c>
    </row>
    <row r="704" spans="2:8" x14ac:dyDescent="0.3">
      <c r="B704" s="72">
        <v>45321</v>
      </c>
      <c r="C704" s="73">
        <v>2978.0250000000001</v>
      </c>
      <c r="D704" s="74">
        <f t="shared" si="21"/>
        <v>-2.5308066178997439E-2</v>
      </c>
      <c r="E704" s="1">
        <v>4.6470439402884678E-3</v>
      </c>
      <c r="G704" s="75">
        <v>702</v>
      </c>
      <c r="H704" s="1">
        <f t="shared" ca="1" si="22"/>
        <v>-4.2491458311424883E-3</v>
      </c>
    </row>
    <row r="705" spans="2:8" x14ac:dyDescent="0.3">
      <c r="B705" s="72">
        <v>44434</v>
      </c>
      <c r="C705" s="73">
        <v>3055.35</v>
      </c>
      <c r="D705" s="74">
        <f t="shared" si="21"/>
        <v>0.5422687177416301</v>
      </c>
      <c r="E705" s="1">
        <v>4.6197349817511347E-3</v>
      </c>
      <c r="G705" s="75">
        <v>703</v>
      </c>
      <c r="H705" s="1">
        <f t="shared" ca="1" si="22"/>
        <v>8.8581488009996934E-3</v>
      </c>
    </row>
    <row r="706" spans="2:8" x14ac:dyDescent="0.3">
      <c r="B706" s="72">
        <v>44104</v>
      </c>
      <c r="C706" s="73">
        <v>1981.075</v>
      </c>
      <c r="D706" s="74">
        <f t="shared" si="21"/>
        <v>0.11113759692639909</v>
      </c>
      <c r="E706" s="1">
        <v>4.6146629647942482E-3</v>
      </c>
      <c r="G706" s="75">
        <v>704</v>
      </c>
      <c r="H706" s="1">
        <f t="shared" ca="1" si="22"/>
        <v>2.6180634234399255E-2</v>
      </c>
    </row>
    <row r="707" spans="2:8" x14ac:dyDescent="0.3">
      <c r="B707" s="72">
        <v>43749</v>
      </c>
      <c r="C707" s="73">
        <v>1782.925</v>
      </c>
      <c r="D707" s="74">
        <f t="shared" ref="D707:D770" si="23">(C707-C708)/C708</f>
        <v>-0.28551534824076302</v>
      </c>
      <c r="E707" s="1">
        <v>4.6062825750105389E-3</v>
      </c>
      <c r="G707" s="75">
        <v>705</v>
      </c>
      <c r="H707" s="1">
        <f t="shared" ca="1" si="22"/>
        <v>9.4233780495109679E-3</v>
      </c>
    </row>
    <row r="708" spans="2:8" x14ac:dyDescent="0.3">
      <c r="B708" s="72">
        <v>45614</v>
      </c>
      <c r="C708" s="73">
        <v>2495.4</v>
      </c>
      <c r="D708" s="74">
        <f t="shared" si="23"/>
        <v>0.37951241085742715</v>
      </c>
      <c r="E708" s="1">
        <v>4.5994826840045425E-3</v>
      </c>
      <c r="G708" s="75">
        <v>706</v>
      </c>
      <c r="H708" s="1">
        <f t="shared" ref="H708:H771" ca="1" si="24">_xlfn.NORM.INV(RAND(),$N$4,$N$5)</f>
        <v>-1.6261794146262637E-2</v>
      </c>
    </row>
    <row r="709" spans="2:8" x14ac:dyDescent="0.3">
      <c r="B709" s="72">
        <v>44054</v>
      </c>
      <c r="C709" s="73">
        <v>1808.9</v>
      </c>
      <c r="D709" s="74">
        <f t="shared" si="23"/>
        <v>-0.41353736920171508</v>
      </c>
      <c r="E709" s="1">
        <v>4.5816788381973176E-3</v>
      </c>
      <c r="G709" s="75">
        <v>707</v>
      </c>
      <c r="H709" s="1">
        <f t="shared" ca="1" si="24"/>
        <v>-1.2810158516002319E-2</v>
      </c>
    </row>
    <row r="710" spans="2:8" x14ac:dyDescent="0.3">
      <c r="B710" s="72">
        <v>44767</v>
      </c>
      <c r="C710" s="73">
        <v>3084.4250000000002</v>
      </c>
      <c r="D710" s="74">
        <f t="shared" si="23"/>
        <v>9.3990795995637408E-2</v>
      </c>
      <c r="E710" s="1">
        <v>4.5759882750478955E-3</v>
      </c>
      <c r="G710" s="75">
        <v>708</v>
      </c>
      <c r="H710" s="1">
        <f t="shared" ca="1" si="24"/>
        <v>2.8595218282161237E-2</v>
      </c>
    </row>
    <row r="711" spans="2:8" x14ac:dyDescent="0.3">
      <c r="B711" s="72">
        <v>44204</v>
      </c>
      <c r="C711" s="73">
        <v>2819.4250000000002</v>
      </c>
      <c r="D711" s="74">
        <f t="shared" si="23"/>
        <v>1.226286594152832</v>
      </c>
      <c r="E711" s="1">
        <v>4.5427418564671718E-3</v>
      </c>
      <c r="G711" s="75">
        <v>709</v>
      </c>
      <c r="H711" s="1">
        <f t="shared" ca="1" si="24"/>
        <v>-6.5822344204695205E-3</v>
      </c>
    </row>
    <row r="712" spans="2:8" x14ac:dyDescent="0.3">
      <c r="B712" s="72">
        <v>43277</v>
      </c>
      <c r="C712" s="73">
        <v>1266.425</v>
      </c>
      <c r="D712" s="74">
        <f t="shared" si="23"/>
        <v>-0.5516286068330678</v>
      </c>
      <c r="E712" s="1">
        <v>4.541127944792684E-3</v>
      </c>
      <c r="G712" s="75">
        <v>710</v>
      </c>
      <c r="H712" s="1">
        <f t="shared" ca="1" si="24"/>
        <v>-1.0397988088014667E-2</v>
      </c>
    </row>
    <row r="713" spans="2:8" x14ac:dyDescent="0.3">
      <c r="B713" s="72">
        <v>44337</v>
      </c>
      <c r="C713" s="73">
        <v>2824.5</v>
      </c>
      <c r="D713" s="74">
        <f t="shared" si="23"/>
        <v>0.25561235830184487</v>
      </c>
      <c r="E713" s="1">
        <v>4.5345425446785808E-3</v>
      </c>
      <c r="G713" s="75">
        <v>711</v>
      </c>
      <c r="H713" s="1">
        <f t="shared" ca="1" si="24"/>
        <v>-1.6629681153733842E-2</v>
      </c>
    </row>
    <row r="714" spans="2:8" x14ac:dyDescent="0.3">
      <c r="B714" s="72">
        <v>46099</v>
      </c>
      <c r="C714" s="73">
        <v>2249.5</v>
      </c>
      <c r="D714" s="74">
        <f t="shared" si="23"/>
        <v>-0.23635098320447426</v>
      </c>
      <c r="E714" s="1">
        <v>4.5325652533101529E-3</v>
      </c>
      <c r="G714" s="75">
        <v>712</v>
      </c>
      <c r="H714" s="1">
        <f t="shared" ca="1" si="24"/>
        <v>-3.9720513385845049E-3</v>
      </c>
    </row>
    <row r="715" spans="2:8" x14ac:dyDescent="0.3">
      <c r="B715" s="72">
        <v>45477</v>
      </c>
      <c r="C715" s="73">
        <v>2945.7249999999999</v>
      </c>
      <c r="D715" s="74">
        <f t="shared" si="23"/>
        <v>-0.10556040535924396</v>
      </c>
      <c r="E715" s="1">
        <v>4.5183675905165433E-3</v>
      </c>
      <c r="G715" s="75">
        <v>713</v>
      </c>
      <c r="H715" s="1">
        <f t="shared" ca="1" si="24"/>
        <v>-2.141384195049088E-2</v>
      </c>
    </row>
    <row r="716" spans="2:8" x14ac:dyDescent="0.3">
      <c r="B716" s="72">
        <v>45103</v>
      </c>
      <c r="C716" s="73">
        <v>3293.375</v>
      </c>
      <c r="D716" s="74">
        <f t="shared" si="23"/>
        <v>1.6371814555638766E-2</v>
      </c>
      <c r="E716" s="1">
        <v>4.506496675410125E-3</v>
      </c>
      <c r="G716" s="75">
        <v>714</v>
      </c>
      <c r="H716" s="1">
        <f t="shared" ca="1" si="24"/>
        <v>1.0525013956057547E-2</v>
      </c>
    </row>
    <row r="717" spans="2:8" x14ac:dyDescent="0.3">
      <c r="B717" s="72">
        <v>44475</v>
      </c>
      <c r="C717" s="73">
        <v>3240.3249999999998</v>
      </c>
      <c r="D717" s="74">
        <f t="shared" si="23"/>
        <v>1.4130208139404996</v>
      </c>
      <c r="E717" s="1">
        <v>4.4949741538986157E-3</v>
      </c>
      <c r="G717" s="75">
        <v>715</v>
      </c>
      <c r="H717" s="1">
        <f t="shared" ca="1" si="24"/>
        <v>-5.5419937150787341E-4</v>
      </c>
    </row>
    <row r="718" spans="2:8" x14ac:dyDescent="0.3">
      <c r="B718" s="72">
        <v>43433</v>
      </c>
      <c r="C718" s="73">
        <v>1342.85</v>
      </c>
      <c r="D718" s="74">
        <f t="shared" si="23"/>
        <v>-0.56935781287581178</v>
      </c>
      <c r="E718" s="1">
        <v>4.488162471481468E-3</v>
      </c>
      <c r="G718" s="75">
        <v>716</v>
      </c>
      <c r="H718" s="1">
        <f t="shared" ca="1" si="24"/>
        <v>-1.4780718361246226E-2</v>
      </c>
    </row>
    <row r="719" spans="2:8" x14ac:dyDescent="0.3">
      <c r="B719" s="72">
        <v>44655</v>
      </c>
      <c r="C719" s="73">
        <v>3118.25</v>
      </c>
      <c r="D719" s="74">
        <f t="shared" si="23"/>
        <v>1.5976757747417525</v>
      </c>
      <c r="E719" s="1">
        <v>4.4856772406240272E-3</v>
      </c>
      <c r="G719" s="75">
        <v>717</v>
      </c>
      <c r="H719" s="1">
        <f t="shared" ca="1" si="24"/>
        <v>1.3227633796410858E-2</v>
      </c>
    </row>
    <row r="720" spans="2:8" x14ac:dyDescent="0.3">
      <c r="B720" s="72">
        <v>43227</v>
      </c>
      <c r="C720" s="73">
        <v>1200.4000000000001</v>
      </c>
      <c r="D720" s="74">
        <f t="shared" si="23"/>
        <v>-0.271380880121396</v>
      </c>
      <c r="E720" s="1">
        <v>4.4768001338857258E-3</v>
      </c>
      <c r="G720" s="75">
        <v>718</v>
      </c>
      <c r="H720" s="1">
        <f t="shared" ca="1" si="24"/>
        <v>-1.9561903336042897E-2</v>
      </c>
    </row>
    <row r="721" spans="2:8" x14ac:dyDescent="0.3">
      <c r="B721" s="72">
        <v>43990</v>
      </c>
      <c r="C721" s="73">
        <v>1647.5</v>
      </c>
      <c r="D721" s="74">
        <f t="shared" si="23"/>
        <v>-4.7811700790359582E-2</v>
      </c>
      <c r="E721" s="1">
        <v>4.465986861158136E-3</v>
      </c>
      <c r="G721" s="75">
        <v>719</v>
      </c>
      <c r="H721" s="1">
        <f t="shared" ca="1" si="24"/>
        <v>1.6979999627766997E-2</v>
      </c>
    </row>
    <row r="722" spans="2:8" x14ac:dyDescent="0.3">
      <c r="B722" s="72">
        <v>43805</v>
      </c>
      <c r="C722" s="73">
        <v>1730.2249999999999</v>
      </c>
      <c r="D722" s="74">
        <f t="shared" si="23"/>
        <v>0.29556345937850986</v>
      </c>
      <c r="E722" s="1">
        <v>4.441025789878446E-3</v>
      </c>
      <c r="G722" s="75">
        <v>720</v>
      </c>
      <c r="H722" s="1">
        <f t="shared" ca="1" si="24"/>
        <v>1.0103697277648156E-2</v>
      </c>
    </row>
    <row r="723" spans="2:8" x14ac:dyDescent="0.3">
      <c r="B723" s="72">
        <v>43448</v>
      </c>
      <c r="C723" s="73">
        <v>1335.5</v>
      </c>
      <c r="D723" s="74">
        <f t="shared" si="23"/>
        <v>-0.46554880793973163</v>
      </c>
      <c r="E723" s="1">
        <v>4.4374247894104178E-3</v>
      </c>
      <c r="G723" s="75">
        <v>721</v>
      </c>
      <c r="H723" s="1">
        <f t="shared" ca="1" si="24"/>
        <v>3.6418520261039785E-3</v>
      </c>
    </row>
    <row r="724" spans="2:8" x14ac:dyDescent="0.3">
      <c r="B724" s="72">
        <v>45623</v>
      </c>
      <c r="C724" s="73">
        <v>2498.8249999999998</v>
      </c>
      <c r="D724" s="74">
        <f t="shared" si="23"/>
        <v>-0.17726707767781449</v>
      </c>
      <c r="E724" s="1">
        <v>4.431626336522082E-3</v>
      </c>
      <c r="G724" s="75">
        <v>722</v>
      </c>
      <c r="H724" s="1">
        <f t="shared" ca="1" si="24"/>
        <v>6.3302954631693966E-3</v>
      </c>
    </row>
    <row r="725" spans="2:8" x14ac:dyDescent="0.3">
      <c r="B725" s="72">
        <v>44364</v>
      </c>
      <c r="C725" s="73">
        <v>3037.2249999999999</v>
      </c>
      <c r="D725" s="74">
        <f t="shared" si="23"/>
        <v>0.24948833191060457</v>
      </c>
      <c r="E725" s="1">
        <v>4.4231691386808205E-3</v>
      </c>
      <c r="G725" s="75">
        <v>723</v>
      </c>
      <c r="H725" s="1">
        <f t="shared" ca="1" si="24"/>
        <v>-1.2883358077590369E-2</v>
      </c>
    </row>
    <row r="726" spans="2:8" x14ac:dyDescent="0.3">
      <c r="B726" s="72">
        <v>44265</v>
      </c>
      <c r="C726" s="73">
        <v>2430.7750000000001</v>
      </c>
      <c r="D726" s="74">
        <f t="shared" si="23"/>
        <v>3.4636502936920263E-2</v>
      </c>
      <c r="E726" s="1">
        <v>4.4213505779780683E-3</v>
      </c>
      <c r="G726" s="75">
        <v>724</v>
      </c>
      <c r="H726" s="1">
        <f t="shared" ca="1" si="24"/>
        <v>-4.3376308610889834E-3</v>
      </c>
    </row>
    <row r="727" spans="2:8" x14ac:dyDescent="0.3">
      <c r="B727" s="72">
        <v>45933</v>
      </c>
      <c r="C727" s="73">
        <v>2349.3999999999996</v>
      </c>
      <c r="D727" s="74">
        <f t="shared" si="23"/>
        <v>-0.29160259309513054</v>
      </c>
      <c r="E727" s="1">
        <v>4.4034030182547677E-3</v>
      </c>
      <c r="G727" s="75">
        <v>725</v>
      </c>
      <c r="H727" s="1">
        <f t="shared" ca="1" si="24"/>
        <v>1.0214770643680095E-2</v>
      </c>
    </row>
    <row r="728" spans="2:8" x14ac:dyDescent="0.3">
      <c r="B728" s="72">
        <v>45098</v>
      </c>
      <c r="C728" s="73">
        <v>3316.5</v>
      </c>
      <c r="D728" s="74">
        <f t="shared" si="23"/>
        <v>8.0700314594447289E-3</v>
      </c>
      <c r="E728" s="1">
        <v>4.3988824869964464E-3</v>
      </c>
      <c r="G728" s="75">
        <v>726</v>
      </c>
      <c r="H728" s="1">
        <f t="shared" ca="1" si="24"/>
        <v>6.6195058273361713E-4</v>
      </c>
    </row>
    <row r="729" spans="2:8" x14ac:dyDescent="0.3">
      <c r="B729" s="72">
        <v>45302</v>
      </c>
      <c r="C729" s="73">
        <v>3289.95</v>
      </c>
      <c r="D729" s="74">
        <f t="shared" si="23"/>
        <v>0.43799377151286667</v>
      </c>
      <c r="E729" s="1">
        <v>4.3808767859323207E-3</v>
      </c>
      <c r="G729" s="75">
        <v>727</v>
      </c>
      <c r="H729" s="1">
        <f t="shared" ca="1" si="24"/>
        <v>4.5035877682953933E-3</v>
      </c>
    </row>
    <row r="730" spans="2:8" x14ac:dyDescent="0.3">
      <c r="B730" s="72">
        <v>45736</v>
      </c>
      <c r="C730" s="73">
        <v>2287.875</v>
      </c>
      <c r="D730" s="74">
        <f t="shared" si="23"/>
        <v>-0.23192809003852316</v>
      </c>
      <c r="E730" s="1">
        <v>4.3790333201634687E-3</v>
      </c>
      <c r="G730" s="75">
        <v>728</v>
      </c>
      <c r="H730" s="1">
        <f t="shared" ca="1" si="24"/>
        <v>-2.1142597852865036E-3</v>
      </c>
    </row>
    <row r="731" spans="2:8" x14ac:dyDescent="0.3">
      <c r="B731" s="72">
        <v>45489</v>
      </c>
      <c r="C731" s="73">
        <v>2978.7249999999999</v>
      </c>
      <c r="D731" s="74">
        <f t="shared" si="23"/>
        <v>0.28048361096184843</v>
      </c>
      <c r="E731" s="1">
        <v>4.3664809366859647E-3</v>
      </c>
      <c r="G731" s="75">
        <v>729</v>
      </c>
      <c r="H731" s="1">
        <f t="shared" ca="1" si="24"/>
        <v>3.5228841048695652E-4</v>
      </c>
    </row>
    <row r="732" spans="2:8" x14ac:dyDescent="0.3">
      <c r="B732" s="72">
        <v>45741</v>
      </c>
      <c r="C732" s="73">
        <v>2326.25</v>
      </c>
      <c r="D732" s="74">
        <f t="shared" si="23"/>
        <v>-0.19828715191618415</v>
      </c>
      <c r="E732" s="1">
        <v>4.3498440316469249E-3</v>
      </c>
      <c r="G732" s="75">
        <v>730</v>
      </c>
      <c r="H732" s="1">
        <f t="shared" ca="1" si="24"/>
        <v>-9.8992710795521369E-3</v>
      </c>
    </row>
    <row r="733" spans="2:8" x14ac:dyDescent="0.3">
      <c r="B733" s="72">
        <v>45980</v>
      </c>
      <c r="C733" s="73">
        <v>2901.6</v>
      </c>
      <c r="D733" s="74">
        <f t="shared" si="23"/>
        <v>1.4331055301664501</v>
      </c>
      <c r="E733" s="1">
        <v>4.3439885083330944E-3</v>
      </c>
      <c r="G733" s="75">
        <v>731</v>
      </c>
      <c r="H733" s="1">
        <f t="shared" ca="1" si="24"/>
        <v>1.3805603194471717E-3</v>
      </c>
    </row>
    <row r="734" spans="2:8" x14ac:dyDescent="0.3">
      <c r="B734" s="72">
        <v>43118</v>
      </c>
      <c r="C734" s="73">
        <v>1192.55</v>
      </c>
      <c r="D734" s="74">
        <f t="shared" si="23"/>
        <v>-0.61192645623169539</v>
      </c>
      <c r="E734" s="1">
        <v>4.3372073437762029E-3</v>
      </c>
      <c r="G734" s="75">
        <v>732</v>
      </c>
      <c r="H734" s="1">
        <f t="shared" ca="1" si="24"/>
        <v>-6.4277491307733719E-4</v>
      </c>
    </row>
    <row r="735" spans="2:8" x14ac:dyDescent="0.3">
      <c r="B735" s="72">
        <v>44876</v>
      </c>
      <c r="C735" s="73">
        <v>3073</v>
      </c>
      <c r="D735" s="74">
        <f t="shared" si="23"/>
        <v>1.1798577736792639</v>
      </c>
      <c r="E735" s="1">
        <v>4.3304191518914945E-3</v>
      </c>
      <c r="G735" s="75">
        <v>733</v>
      </c>
      <c r="H735" s="1">
        <f t="shared" ca="1" si="24"/>
        <v>8.5640738431708961E-3</v>
      </c>
    </row>
    <row r="736" spans="2:8" x14ac:dyDescent="0.3">
      <c r="B736" s="72">
        <v>43488</v>
      </c>
      <c r="C736" s="73">
        <v>1409.7249999999999</v>
      </c>
      <c r="D736" s="74">
        <f t="shared" si="23"/>
        <v>-0.52462885998263376</v>
      </c>
      <c r="E736" s="1">
        <v>4.3280019947991438E-3</v>
      </c>
      <c r="G736" s="75">
        <v>734</v>
      </c>
      <c r="H736" s="1">
        <f t="shared" ca="1" si="24"/>
        <v>3.0242454329950301E-3</v>
      </c>
    </row>
    <row r="737" spans="2:8" x14ac:dyDescent="0.3">
      <c r="B737" s="72">
        <v>45229</v>
      </c>
      <c r="C737" s="73">
        <v>2965.5249999999996</v>
      </c>
      <c r="D737" s="74">
        <f t="shared" si="23"/>
        <v>-0.12688797291329321</v>
      </c>
      <c r="E737" s="1">
        <v>4.3009660240616423E-3</v>
      </c>
      <c r="G737" s="75">
        <v>735</v>
      </c>
      <c r="H737" s="1">
        <f t="shared" ca="1" si="24"/>
        <v>-5.2788024235284113E-4</v>
      </c>
    </row>
    <row r="738" spans="2:8" x14ac:dyDescent="0.3">
      <c r="B738" s="72">
        <v>45288</v>
      </c>
      <c r="C738" s="73">
        <v>3396.5</v>
      </c>
      <c r="D738" s="74">
        <f t="shared" si="23"/>
        <v>0.13442606524661616</v>
      </c>
      <c r="E738" s="1">
        <v>4.2948277264024991E-3</v>
      </c>
      <c r="G738" s="75">
        <v>736</v>
      </c>
      <c r="H738" s="1">
        <f t="shared" ca="1" si="24"/>
        <v>6.9409517191764431E-3</v>
      </c>
    </row>
    <row r="739" spans="2:8" x14ac:dyDescent="0.3">
      <c r="B739" s="72">
        <v>44417</v>
      </c>
      <c r="C739" s="73">
        <v>2994.0250000000001</v>
      </c>
      <c r="D739" s="74">
        <f t="shared" si="23"/>
        <v>-0.11588093726468714</v>
      </c>
      <c r="E739" s="1">
        <v>4.2935370527216769E-3</v>
      </c>
      <c r="G739" s="75">
        <v>737</v>
      </c>
      <c r="H739" s="1">
        <f t="shared" ca="1" si="24"/>
        <v>1.2344020645174642E-2</v>
      </c>
    </row>
    <row r="740" spans="2:8" x14ac:dyDescent="0.3">
      <c r="B740" s="72">
        <v>44825</v>
      </c>
      <c r="C740" s="73">
        <v>3386.45</v>
      </c>
      <c r="D740" s="74">
        <f t="shared" si="23"/>
        <v>2.0218623120510415</v>
      </c>
      <c r="E740" s="1">
        <v>4.2852906287069448E-3</v>
      </c>
      <c r="G740" s="75">
        <v>738</v>
      </c>
      <c r="H740" s="1">
        <f t="shared" ca="1" si="24"/>
        <v>-7.0211196032177814E-3</v>
      </c>
    </row>
    <row r="741" spans="2:8" x14ac:dyDescent="0.3">
      <c r="B741" s="72">
        <v>43139</v>
      </c>
      <c r="C741" s="73">
        <v>1120.6500000000001</v>
      </c>
      <c r="D741" s="74">
        <f t="shared" si="23"/>
        <v>-0.1826337478574814</v>
      </c>
      <c r="E741" s="1">
        <v>4.2791531309511292E-3</v>
      </c>
      <c r="G741" s="75">
        <v>739</v>
      </c>
      <c r="H741" s="1">
        <f t="shared" ca="1" si="24"/>
        <v>-2.4832421201196535E-2</v>
      </c>
    </row>
    <row r="742" spans="2:8" x14ac:dyDescent="0.3">
      <c r="B742" s="72">
        <v>43292</v>
      </c>
      <c r="C742" s="73">
        <v>1371.05</v>
      </c>
      <c r="D742" s="74">
        <f t="shared" si="23"/>
        <v>-0.46563383026405536</v>
      </c>
      <c r="E742" s="1">
        <v>4.2483061710309137E-3</v>
      </c>
      <c r="G742" s="75">
        <v>740</v>
      </c>
      <c r="H742" s="1">
        <f t="shared" ca="1" si="24"/>
        <v>-8.4141735738723061E-3</v>
      </c>
    </row>
    <row r="743" spans="2:8" x14ac:dyDescent="0.3">
      <c r="B743" s="72">
        <v>44323</v>
      </c>
      <c r="C743" s="73">
        <v>2565.75</v>
      </c>
      <c r="D743" s="74">
        <f t="shared" si="23"/>
        <v>-8.1051557099622196E-2</v>
      </c>
      <c r="E743" s="1">
        <v>4.2369149779347016E-3</v>
      </c>
      <c r="G743" s="75">
        <v>741</v>
      </c>
      <c r="H743" s="1">
        <f t="shared" ca="1" si="24"/>
        <v>1.820126677815876E-2</v>
      </c>
    </row>
    <row r="744" spans="2:8" x14ac:dyDescent="0.3">
      <c r="B744" s="72">
        <v>46007</v>
      </c>
      <c r="C744" s="73">
        <v>2792.05</v>
      </c>
      <c r="D744" s="74">
        <f t="shared" si="23"/>
        <v>-0.11173855294239285</v>
      </c>
      <c r="E744" s="1">
        <v>4.2081032963476803E-3</v>
      </c>
      <c r="G744" s="75">
        <v>742</v>
      </c>
      <c r="H744" s="1">
        <f t="shared" ca="1" si="24"/>
        <v>-1.8684887582129255E-2</v>
      </c>
    </row>
    <row r="745" spans="2:8" x14ac:dyDescent="0.3">
      <c r="B745" s="72">
        <v>44673</v>
      </c>
      <c r="C745" s="73">
        <v>3143.2750000000001</v>
      </c>
      <c r="D745" s="74">
        <f t="shared" si="23"/>
        <v>0.26317111396881532</v>
      </c>
      <c r="E745" s="1">
        <v>4.1690293828717502E-3</v>
      </c>
      <c r="G745" s="75">
        <v>743</v>
      </c>
      <c r="H745" s="1">
        <f t="shared" ca="1" si="24"/>
        <v>1.8750127425996316E-2</v>
      </c>
    </row>
    <row r="746" spans="2:8" x14ac:dyDescent="0.3">
      <c r="B746" s="72">
        <v>45881</v>
      </c>
      <c r="C746" s="73">
        <v>2488.4</v>
      </c>
      <c r="D746" s="74">
        <f t="shared" si="23"/>
        <v>0.89780353874313601</v>
      </c>
      <c r="E746" s="1">
        <v>4.1564101529398259E-3</v>
      </c>
      <c r="G746" s="75">
        <v>744</v>
      </c>
      <c r="H746" s="1">
        <f t="shared" ca="1" si="24"/>
        <v>-3.4992885231173217E-3</v>
      </c>
    </row>
    <row r="747" spans="2:8" x14ac:dyDescent="0.3">
      <c r="B747" s="72">
        <v>43441</v>
      </c>
      <c r="C747" s="73">
        <v>1311.2</v>
      </c>
      <c r="D747" s="74">
        <f t="shared" si="23"/>
        <v>-0.52936953751727356</v>
      </c>
      <c r="E747" s="1">
        <v>4.1546208190537835E-3</v>
      </c>
      <c r="G747" s="75">
        <v>745</v>
      </c>
      <c r="H747" s="1">
        <f t="shared" ca="1" si="24"/>
        <v>1.7270493545090273E-2</v>
      </c>
    </row>
    <row r="748" spans="2:8" x14ac:dyDescent="0.3">
      <c r="B748" s="72">
        <v>46010</v>
      </c>
      <c r="C748" s="73">
        <v>2786.05</v>
      </c>
      <c r="D748" s="74">
        <f t="shared" si="23"/>
        <v>1.1672046983781259</v>
      </c>
      <c r="E748" s="1">
        <v>4.1448162765133079E-3</v>
      </c>
      <c r="G748" s="75">
        <v>746</v>
      </c>
      <c r="H748" s="1">
        <f t="shared" ca="1" si="24"/>
        <v>2.1764029380206711E-2</v>
      </c>
    </row>
    <row r="749" spans="2:8" x14ac:dyDescent="0.3">
      <c r="B749" s="72">
        <v>43262</v>
      </c>
      <c r="C749" s="73">
        <v>1285.5500000000002</v>
      </c>
      <c r="D749" s="74">
        <f t="shared" si="23"/>
        <v>-0.58326647378700569</v>
      </c>
      <c r="E749" s="1">
        <v>4.120208548944633E-3</v>
      </c>
      <c r="G749" s="75">
        <v>747</v>
      </c>
      <c r="H749" s="1">
        <f t="shared" ca="1" si="24"/>
        <v>-7.0304747387317165E-5</v>
      </c>
    </row>
    <row r="750" spans="2:8" x14ac:dyDescent="0.3">
      <c r="B750" s="72">
        <v>45581</v>
      </c>
      <c r="C750" s="73">
        <v>3084.8249999999998</v>
      </c>
      <c r="D750" s="74">
        <f t="shared" si="23"/>
        <v>-8.5632349998888496E-2</v>
      </c>
      <c r="E750" s="1">
        <v>4.1012621145910385E-3</v>
      </c>
      <c r="G750" s="75">
        <v>748</v>
      </c>
      <c r="H750" s="1">
        <f t="shared" ca="1" si="24"/>
        <v>2.9053347070407354E-2</v>
      </c>
    </row>
    <row r="751" spans="2:8" x14ac:dyDescent="0.3">
      <c r="B751" s="72">
        <v>44579</v>
      </c>
      <c r="C751" s="73">
        <v>3373.7249999999999</v>
      </c>
      <c r="D751" s="74">
        <f t="shared" si="23"/>
        <v>1.5941753171856978</v>
      </c>
      <c r="E751" s="1">
        <v>4.0848214285714012E-3</v>
      </c>
      <c r="G751" s="75">
        <v>749</v>
      </c>
      <c r="H751" s="1">
        <f t="shared" ca="1" si="24"/>
        <v>4.6874009053052348E-3</v>
      </c>
    </row>
    <row r="752" spans="2:8" x14ac:dyDescent="0.3">
      <c r="B752" s="72">
        <v>43371</v>
      </c>
      <c r="C752" s="73">
        <v>1300.5</v>
      </c>
      <c r="D752" s="74">
        <f t="shared" si="23"/>
        <v>-0.45829428303655106</v>
      </c>
      <c r="E752" s="1">
        <v>4.0726514698219158E-3</v>
      </c>
      <c r="G752" s="75">
        <v>750</v>
      </c>
      <c r="H752" s="1">
        <f t="shared" ca="1" si="24"/>
        <v>-2.5486267900642332E-3</v>
      </c>
    </row>
    <row r="753" spans="2:8" x14ac:dyDescent="0.3">
      <c r="B753" s="72">
        <v>46055</v>
      </c>
      <c r="C753" s="73">
        <v>2400.75</v>
      </c>
      <c r="D753" s="74">
        <f t="shared" si="23"/>
        <v>0.54463567637124011</v>
      </c>
      <c r="E753" s="1">
        <v>4.0567951318457654E-3</v>
      </c>
      <c r="G753" s="75">
        <v>751</v>
      </c>
      <c r="H753" s="1">
        <f t="shared" ca="1" si="24"/>
        <v>-1.1069243448912783E-3</v>
      </c>
    </row>
    <row r="754" spans="2:8" x14ac:dyDescent="0.3">
      <c r="B754" s="72">
        <v>43727</v>
      </c>
      <c r="C754" s="73">
        <v>1554.25</v>
      </c>
      <c r="D754" s="74">
        <f t="shared" si="23"/>
        <v>-0.52761589253014607</v>
      </c>
      <c r="E754" s="1">
        <v>4.0536830375168149E-3</v>
      </c>
      <c r="G754" s="75">
        <v>752</v>
      </c>
      <c r="H754" s="1">
        <f t="shared" ca="1" si="24"/>
        <v>1.9653033600619436E-2</v>
      </c>
    </row>
    <row r="755" spans="2:8" x14ac:dyDescent="0.3">
      <c r="B755" s="72">
        <v>44545</v>
      </c>
      <c r="C755" s="73">
        <v>3290.2249999999999</v>
      </c>
      <c r="D755" s="74">
        <f t="shared" si="23"/>
        <v>1.9479661320670192</v>
      </c>
      <c r="E755" s="1">
        <v>4.0357033872444031E-3</v>
      </c>
      <c r="G755" s="75">
        <v>753</v>
      </c>
      <c r="H755" s="1">
        <f t="shared" ca="1" si="24"/>
        <v>3.3189812561256173E-2</v>
      </c>
    </row>
    <row r="756" spans="2:8" x14ac:dyDescent="0.3">
      <c r="B756" s="72">
        <v>43160</v>
      </c>
      <c r="C756" s="73">
        <v>1116.0999999999999</v>
      </c>
      <c r="D756" s="74">
        <f t="shared" si="23"/>
        <v>-0.35389380146750227</v>
      </c>
      <c r="E756" s="1">
        <v>4.0256381423590774E-3</v>
      </c>
      <c r="G756" s="75">
        <v>754</v>
      </c>
      <c r="H756" s="1">
        <f t="shared" ca="1" si="24"/>
        <v>9.8945021180153791E-5</v>
      </c>
    </row>
    <row r="757" spans="2:8" x14ac:dyDescent="0.3">
      <c r="B757" s="72">
        <v>43810</v>
      </c>
      <c r="C757" s="73">
        <v>1727.425</v>
      </c>
      <c r="D757" s="74">
        <f t="shared" si="23"/>
        <v>0.19247894518845787</v>
      </c>
      <c r="E757" s="1">
        <v>4.0249927346701275E-3</v>
      </c>
      <c r="G757" s="75">
        <v>755</v>
      </c>
      <c r="H757" s="1">
        <f t="shared" ca="1" si="24"/>
        <v>1.7045206669444864E-3</v>
      </c>
    </row>
    <row r="758" spans="2:8" x14ac:dyDescent="0.3">
      <c r="B758" s="72">
        <v>43542</v>
      </c>
      <c r="C758" s="73">
        <v>1448.6</v>
      </c>
      <c r="D758" s="74">
        <f t="shared" si="23"/>
        <v>-0.56710396557391751</v>
      </c>
      <c r="E758" s="1">
        <v>4.0025644135635741E-3</v>
      </c>
      <c r="G758" s="75">
        <v>756</v>
      </c>
      <c r="H758" s="1">
        <f t="shared" ca="1" si="24"/>
        <v>2.0863354702336075E-2</v>
      </c>
    </row>
    <row r="759" spans="2:8" x14ac:dyDescent="0.3">
      <c r="B759" s="72">
        <v>45146</v>
      </c>
      <c r="C759" s="73">
        <v>3346.3</v>
      </c>
      <c r="D759" s="74">
        <f t="shared" si="23"/>
        <v>-1.0548569992386025E-2</v>
      </c>
      <c r="E759" s="1">
        <v>3.9903990399040449E-3</v>
      </c>
      <c r="G759" s="75">
        <v>757</v>
      </c>
      <c r="H759" s="1">
        <f t="shared" ca="1" si="24"/>
        <v>-8.142201631230233E-3</v>
      </c>
    </row>
    <row r="760" spans="2:8" x14ac:dyDescent="0.3">
      <c r="B760" s="72">
        <v>45287</v>
      </c>
      <c r="C760" s="73">
        <v>3381.9749999999999</v>
      </c>
      <c r="D760" s="74">
        <f t="shared" si="23"/>
        <v>1.9147418771007492</v>
      </c>
      <c r="E760" s="1">
        <v>3.985394309124023E-3</v>
      </c>
      <c r="G760" s="75">
        <v>758</v>
      </c>
      <c r="H760" s="1">
        <f t="shared" ca="1" si="24"/>
        <v>6.9870602456610156E-3</v>
      </c>
    </row>
    <row r="761" spans="2:8" x14ac:dyDescent="0.3">
      <c r="B761" s="72">
        <v>43200</v>
      </c>
      <c r="C761" s="73">
        <v>1160.3000000000002</v>
      </c>
      <c r="D761" s="74">
        <f t="shared" si="23"/>
        <v>-0.64871329094762331</v>
      </c>
      <c r="E761" s="1">
        <v>3.9585541543189539E-3</v>
      </c>
      <c r="G761" s="75">
        <v>759</v>
      </c>
      <c r="H761" s="1">
        <f t="shared" ca="1" si="24"/>
        <v>1.0242998318050103E-2</v>
      </c>
    </row>
    <row r="762" spans="2:8" x14ac:dyDescent="0.3">
      <c r="B762" s="72">
        <v>44460</v>
      </c>
      <c r="C762" s="73">
        <v>3303</v>
      </c>
      <c r="D762" s="74">
        <f t="shared" si="23"/>
        <v>1.3738680465717981</v>
      </c>
      <c r="E762" s="1">
        <v>3.9513677811550156E-3</v>
      </c>
      <c r="G762" s="75">
        <v>760</v>
      </c>
      <c r="H762" s="1">
        <f t="shared" ca="1" si="24"/>
        <v>-3.7421154845705433E-3</v>
      </c>
    </row>
    <row r="763" spans="2:8" x14ac:dyDescent="0.3">
      <c r="B763" s="72">
        <v>43469</v>
      </c>
      <c r="C763" s="73">
        <v>1391.4</v>
      </c>
      <c r="D763" s="74">
        <f t="shared" si="23"/>
        <v>-0.56233240278378482</v>
      </c>
      <c r="E763" s="1">
        <v>3.9504302180854928E-3</v>
      </c>
      <c r="G763" s="75">
        <v>761</v>
      </c>
      <c r="H763" s="1">
        <f t="shared" ca="1" si="24"/>
        <v>-1.1574149575306782E-2</v>
      </c>
    </row>
    <row r="764" spans="2:8" x14ac:dyDescent="0.3">
      <c r="B764" s="72">
        <v>44896</v>
      </c>
      <c r="C764" s="73">
        <v>3179.125</v>
      </c>
      <c r="D764" s="74">
        <f t="shared" si="23"/>
        <v>5.2594548509655545E-2</v>
      </c>
      <c r="E764" s="1">
        <v>3.947420360794221E-3</v>
      </c>
      <c r="G764" s="75">
        <v>762</v>
      </c>
      <c r="H764" s="1">
        <f t="shared" ca="1" si="24"/>
        <v>1.911061340013722E-2</v>
      </c>
    </row>
    <row r="765" spans="2:8" x14ac:dyDescent="0.3">
      <c r="B765" s="72">
        <v>44426</v>
      </c>
      <c r="C765" s="73">
        <v>3020.2750000000001</v>
      </c>
      <c r="D765" s="74">
        <f t="shared" si="23"/>
        <v>-0.10727270040198621</v>
      </c>
      <c r="E765" s="1">
        <v>3.8972262385534254E-3</v>
      </c>
      <c r="G765" s="75">
        <v>763</v>
      </c>
      <c r="H765" s="1">
        <f t="shared" ca="1" si="24"/>
        <v>-9.7933955913970215E-3</v>
      </c>
    </row>
    <row r="766" spans="2:8" x14ac:dyDescent="0.3">
      <c r="B766" s="72">
        <v>44561</v>
      </c>
      <c r="C766" s="73">
        <v>3383.2</v>
      </c>
      <c r="D766" s="74">
        <f t="shared" si="23"/>
        <v>0.27708887756450173</v>
      </c>
      <c r="E766" s="1">
        <v>3.8722312063260468E-3</v>
      </c>
      <c r="G766" s="75">
        <v>764</v>
      </c>
      <c r="H766" s="1">
        <f t="shared" ca="1" si="24"/>
        <v>-7.5313609593948404E-3</v>
      </c>
    </row>
    <row r="767" spans="2:8" x14ac:dyDescent="0.3">
      <c r="B767" s="72">
        <v>45972</v>
      </c>
      <c r="C767" s="73">
        <v>2649.15</v>
      </c>
      <c r="D767" s="74">
        <f t="shared" si="23"/>
        <v>-0.12296499838606879</v>
      </c>
      <c r="E767" s="1">
        <v>3.8651736486103464E-3</v>
      </c>
      <c r="G767" s="75">
        <v>765</v>
      </c>
      <c r="H767" s="1">
        <f t="shared" ca="1" si="24"/>
        <v>-6.1453299250039273E-3</v>
      </c>
    </row>
    <row r="768" spans="2:8" x14ac:dyDescent="0.3">
      <c r="B768" s="72">
        <v>45237</v>
      </c>
      <c r="C768" s="73">
        <v>3020.5749999999998</v>
      </c>
      <c r="D768" s="74">
        <f t="shared" si="23"/>
        <v>0.23738273729056569</v>
      </c>
      <c r="E768" s="1">
        <v>3.8634739693248479E-3</v>
      </c>
      <c r="G768" s="75">
        <v>766</v>
      </c>
      <c r="H768" s="1">
        <f t="shared" ca="1" si="24"/>
        <v>-9.1993613453116557E-3</v>
      </c>
    </row>
    <row r="769" spans="2:8" x14ac:dyDescent="0.3">
      <c r="B769" s="72">
        <v>45770</v>
      </c>
      <c r="C769" s="73">
        <v>2441.1</v>
      </c>
      <c r="D769" s="74">
        <f t="shared" si="23"/>
        <v>0.83596570397111924</v>
      </c>
      <c r="E769" s="1">
        <v>3.8449676159144274E-3</v>
      </c>
      <c r="G769" s="75">
        <v>767</v>
      </c>
      <c r="H769" s="1">
        <f t="shared" ca="1" si="24"/>
        <v>-1.1217070991999135E-2</v>
      </c>
    </row>
    <row r="770" spans="2:8" x14ac:dyDescent="0.3">
      <c r="B770" s="72">
        <v>43447</v>
      </c>
      <c r="C770" s="73">
        <v>1329.6</v>
      </c>
      <c r="D770" s="74">
        <f t="shared" si="23"/>
        <v>-0.59381682654121093</v>
      </c>
      <c r="E770" s="1">
        <v>3.8315622581678848E-3</v>
      </c>
      <c r="G770" s="75">
        <v>768</v>
      </c>
      <c r="H770" s="1">
        <f t="shared" ca="1" si="24"/>
        <v>1.9717209804961488E-3</v>
      </c>
    </row>
    <row r="771" spans="2:8" x14ac:dyDescent="0.3">
      <c r="B771" s="72">
        <v>45267</v>
      </c>
      <c r="C771" s="73">
        <v>3273.3999999999996</v>
      </c>
      <c r="D771" s="74">
        <f t="shared" ref="D771:D834" si="25">(C771-C772)/C772</f>
        <v>0.31780714379170472</v>
      </c>
      <c r="E771" s="1">
        <v>3.810210136538835E-3</v>
      </c>
      <c r="G771" s="75">
        <v>769</v>
      </c>
      <c r="H771" s="1">
        <f t="shared" ca="1" si="24"/>
        <v>2.4195696598185205E-2</v>
      </c>
    </row>
    <row r="772" spans="2:8" x14ac:dyDescent="0.3">
      <c r="B772" s="72">
        <v>45610</v>
      </c>
      <c r="C772" s="73">
        <v>2483.9749999999999</v>
      </c>
      <c r="D772" s="74">
        <f t="shared" si="25"/>
        <v>-0.21813202810849944</v>
      </c>
      <c r="E772" s="1">
        <v>3.8087733123193012E-3</v>
      </c>
      <c r="G772" s="75">
        <v>770</v>
      </c>
      <c r="H772" s="1">
        <f t="shared" ref="H772:H835" ca="1" si="26">_xlfn.NORM.INV(RAND(),$N$4,$N$5)</f>
        <v>1.540473760623756E-2</v>
      </c>
    </row>
    <row r="773" spans="2:8" x14ac:dyDescent="0.3">
      <c r="B773" s="72">
        <v>44593</v>
      </c>
      <c r="C773" s="73">
        <v>3176.9749999999999</v>
      </c>
      <c r="D773" s="74">
        <f t="shared" si="25"/>
        <v>0.82022488004010596</v>
      </c>
      <c r="E773" s="1">
        <v>3.8073572043570468E-3</v>
      </c>
      <c r="G773" s="75">
        <v>771</v>
      </c>
      <c r="H773" s="1">
        <f t="shared" ca="1" si="26"/>
        <v>-3.5157278027102681E-2</v>
      </c>
    </row>
    <row r="774" spans="2:8" x14ac:dyDescent="0.3">
      <c r="B774" s="72">
        <v>44033</v>
      </c>
      <c r="C774" s="73">
        <v>1745.375</v>
      </c>
      <c r="D774" s="74">
        <f t="shared" si="25"/>
        <v>0.48954555152549606</v>
      </c>
      <c r="E774" s="1">
        <v>3.7813434552565251E-3</v>
      </c>
      <c r="G774" s="75">
        <v>772</v>
      </c>
      <c r="H774" s="1">
        <f t="shared" ca="1" si="26"/>
        <v>-8.4838596631755924E-3</v>
      </c>
    </row>
    <row r="775" spans="2:8" x14ac:dyDescent="0.3">
      <c r="B775" s="72">
        <v>43206</v>
      </c>
      <c r="C775" s="73">
        <v>1171.75</v>
      </c>
      <c r="D775" s="74">
        <f t="shared" si="25"/>
        <v>-0.21717635662151558</v>
      </c>
      <c r="E775" s="1">
        <v>3.7692208849103449E-3</v>
      </c>
      <c r="G775" s="75">
        <v>773</v>
      </c>
      <c r="H775" s="1">
        <f t="shared" ca="1" si="26"/>
        <v>-2.4470476250344993E-2</v>
      </c>
    </row>
    <row r="776" spans="2:8" x14ac:dyDescent="0.3">
      <c r="B776" s="72">
        <v>43553</v>
      </c>
      <c r="C776" s="73">
        <v>1496.825</v>
      </c>
      <c r="D776" s="74">
        <f t="shared" si="25"/>
        <v>-0.52399010979400706</v>
      </c>
      <c r="E776" s="1">
        <v>3.7553018491509574E-3</v>
      </c>
      <c r="G776" s="75">
        <v>774</v>
      </c>
      <c r="H776" s="1">
        <f t="shared" ca="1" si="26"/>
        <v>2.0212221380915919E-2</v>
      </c>
    </row>
    <row r="777" spans="2:8" x14ac:dyDescent="0.3">
      <c r="B777" s="72">
        <v>45061</v>
      </c>
      <c r="C777" s="73">
        <v>3144.5250000000001</v>
      </c>
      <c r="D777" s="74">
        <f t="shared" si="25"/>
        <v>-1.5143092040872226E-2</v>
      </c>
      <c r="E777" s="1">
        <v>3.7186290547819786E-3</v>
      </c>
      <c r="G777" s="75">
        <v>775</v>
      </c>
      <c r="H777" s="1">
        <f t="shared" ca="1" si="26"/>
        <v>1.285670382411393E-2</v>
      </c>
    </row>
    <row r="778" spans="2:8" x14ac:dyDescent="0.3">
      <c r="B778" s="72">
        <v>45154</v>
      </c>
      <c r="C778" s="73">
        <v>3192.875</v>
      </c>
      <c r="D778" s="74">
        <f t="shared" si="25"/>
        <v>1.3234004620786264</v>
      </c>
      <c r="E778" s="1">
        <v>3.7094378472686696E-3</v>
      </c>
      <c r="G778" s="75">
        <v>776</v>
      </c>
      <c r="H778" s="1">
        <f t="shared" ca="1" si="26"/>
        <v>1.0819615856385255E-3</v>
      </c>
    </row>
    <row r="779" spans="2:8" x14ac:dyDescent="0.3">
      <c r="B779" s="72">
        <v>43467</v>
      </c>
      <c r="C779" s="73">
        <v>1374.2249999999999</v>
      </c>
      <c r="D779" s="74">
        <f t="shared" si="25"/>
        <v>-0.52143441695251702</v>
      </c>
      <c r="E779" s="1">
        <v>3.7066793265893567E-3</v>
      </c>
      <c r="G779" s="75">
        <v>777</v>
      </c>
      <c r="H779" s="1">
        <f t="shared" ca="1" si="26"/>
        <v>8.7896329529060305E-3</v>
      </c>
    </row>
    <row r="780" spans="2:8" x14ac:dyDescent="0.3">
      <c r="B780" s="72">
        <v>45406</v>
      </c>
      <c r="C780" s="73">
        <v>2871.55</v>
      </c>
      <c r="D780" s="74">
        <f t="shared" si="25"/>
        <v>1.0032089851584438</v>
      </c>
      <c r="E780" s="1">
        <v>3.69629234788849E-3</v>
      </c>
      <c r="G780" s="75">
        <v>778</v>
      </c>
      <c r="H780" s="1">
        <f t="shared" ca="1" si="26"/>
        <v>-3.7928627749030661E-4</v>
      </c>
    </row>
    <row r="781" spans="2:8" x14ac:dyDescent="0.3">
      <c r="B781" s="72">
        <v>43538</v>
      </c>
      <c r="C781" s="73">
        <v>1433.4749999999999</v>
      </c>
      <c r="D781" s="74">
        <f t="shared" si="25"/>
        <v>-0.27948882270893816</v>
      </c>
      <c r="E781" s="1">
        <v>3.6934602996778207E-3</v>
      </c>
      <c r="G781" s="75">
        <v>779</v>
      </c>
      <c r="H781" s="1">
        <f t="shared" ca="1" si="26"/>
        <v>-1.599359264485406E-2</v>
      </c>
    </row>
    <row r="782" spans="2:8" x14ac:dyDescent="0.3">
      <c r="B782" s="72">
        <v>44070</v>
      </c>
      <c r="C782" s="73">
        <v>1989.5250000000001</v>
      </c>
      <c r="D782" s="74">
        <f t="shared" si="25"/>
        <v>-0.37130871687917716</v>
      </c>
      <c r="E782" s="1">
        <v>3.6700718880060997E-3</v>
      </c>
      <c r="G782" s="75">
        <v>780</v>
      </c>
      <c r="H782" s="1">
        <f t="shared" ca="1" si="26"/>
        <v>-1.9023619350177902E-3</v>
      </c>
    </row>
    <row r="783" spans="2:8" x14ac:dyDescent="0.3">
      <c r="B783" s="72">
        <v>44516</v>
      </c>
      <c r="C783" s="73">
        <v>3164.55</v>
      </c>
      <c r="D783" s="74">
        <f t="shared" si="25"/>
        <v>1.6721411834244579</v>
      </c>
      <c r="E783" s="1">
        <v>3.6631779257850243E-3</v>
      </c>
      <c r="G783" s="75">
        <v>781</v>
      </c>
      <c r="H783" s="1">
        <f t="shared" ca="1" si="26"/>
        <v>-2.800934517118087E-2</v>
      </c>
    </row>
    <row r="784" spans="2:8" x14ac:dyDescent="0.3">
      <c r="B784" s="72">
        <v>43112</v>
      </c>
      <c r="C784" s="73">
        <v>1184.2750000000001</v>
      </c>
      <c r="D784" s="74">
        <f t="shared" si="25"/>
        <v>-0.48962463368384762</v>
      </c>
      <c r="E784" s="1">
        <v>3.6441450030722535E-3</v>
      </c>
      <c r="G784" s="75">
        <v>782</v>
      </c>
      <c r="H784" s="1">
        <f t="shared" ca="1" si="26"/>
        <v>-1.677622119881713E-2</v>
      </c>
    </row>
    <row r="785" spans="2:8" x14ac:dyDescent="0.3">
      <c r="B785" s="72">
        <v>45803</v>
      </c>
      <c r="C785" s="73">
        <v>2320.4</v>
      </c>
      <c r="D785" s="74">
        <f t="shared" si="25"/>
        <v>1.055015406055719E-2</v>
      </c>
      <c r="E785" s="1">
        <v>3.633217993079624E-3</v>
      </c>
      <c r="G785" s="75">
        <v>783</v>
      </c>
      <c r="H785" s="1">
        <f t="shared" ca="1" si="26"/>
        <v>-1.7361035488759793E-2</v>
      </c>
    </row>
    <row r="786" spans="2:8" x14ac:dyDescent="0.3">
      <c r="B786" s="72">
        <v>45737</v>
      </c>
      <c r="C786" s="73">
        <v>2296.1750000000002</v>
      </c>
      <c r="D786" s="74">
        <f t="shared" si="25"/>
        <v>0.43112904733709378</v>
      </c>
      <c r="E786" s="1">
        <v>3.62782057586196E-3</v>
      </c>
      <c r="G786" s="75">
        <v>784</v>
      </c>
      <c r="H786" s="1">
        <f t="shared" ca="1" si="26"/>
        <v>1.7612797906103653E-2</v>
      </c>
    </row>
    <row r="787" spans="2:8" x14ac:dyDescent="0.3">
      <c r="B787" s="72">
        <v>43706</v>
      </c>
      <c r="C787" s="73">
        <v>1604.45</v>
      </c>
      <c r="D787" s="74">
        <f t="shared" si="25"/>
        <v>-0.45128248974008206</v>
      </c>
      <c r="E787" s="1">
        <v>3.6123664910004166E-3</v>
      </c>
      <c r="G787" s="75">
        <v>785</v>
      </c>
      <c r="H787" s="1">
        <f t="shared" ca="1" si="26"/>
        <v>-2.2210617534653025E-2</v>
      </c>
    </row>
    <row r="788" spans="2:8" x14ac:dyDescent="0.3">
      <c r="B788" s="72">
        <v>45475</v>
      </c>
      <c r="C788" s="73">
        <v>2924</v>
      </c>
      <c r="D788" s="74">
        <f t="shared" si="25"/>
        <v>-6.7460792052367657E-2</v>
      </c>
      <c r="E788" s="1">
        <v>3.603912819632744E-3</v>
      </c>
      <c r="G788" s="75">
        <v>786</v>
      </c>
      <c r="H788" s="1">
        <f t="shared" ca="1" si="26"/>
        <v>-2.2323206120216307E-3</v>
      </c>
    </row>
    <row r="789" spans="2:8" x14ac:dyDescent="0.3">
      <c r="B789" s="72">
        <v>45075</v>
      </c>
      <c r="C789" s="73">
        <v>3135.5250000000001</v>
      </c>
      <c r="D789" s="74">
        <f t="shared" si="25"/>
        <v>-3.9853935250752169E-2</v>
      </c>
      <c r="E789" s="1">
        <v>3.576743962744309E-3</v>
      </c>
      <c r="G789" s="75">
        <v>787</v>
      </c>
      <c r="H789" s="1">
        <f t="shared" ca="1" si="26"/>
        <v>1.5576447292385425E-2</v>
      </c>
    </row>
    <row r="790" spans="2:8" x14ac:dyDescent="0.3">
      <c r="B790" s="72">
        <v>44609</v>
      </c>
      <c r="C790" s="73">
        <v>3265.6750000000002</v>
      </c>
      <c r="D790" s="74">
        <f t="shared" si="25"/>
        <v>1.3337918959479738</v>
      </c>
      <c r="E790" s="1">
        <v>3.5724712281618291E-3</v>
      </c>
      <c r="G790" s="75">
        <v>788</v>
      </c>
      <c r="H790" s="1">
        <f t="shared" ca="1" si="26"/>
        <v>8.3291508867467078E-3</v>
      </c>
    </row>
    <row r="791" spans="2:8" x14ac:dyDescent="0.3">
      <c r="B791" s="72">
        <v>43476</v>
      </c>
      <c r="C791" s="73">
        <v>1399.3000000000002</v>
      </c>
      <c r="D791" s="74">
        <f t="shared" si="25"/>
        <v>-0.43753517163759142</v>
      </c>
      <c r="E791" s="1">
        <v>3.5680347121367947E-3</v>
      </c>
      <c r="G791" s="75">
        <v>789</v>
      </c>
      <c r="H791" s="1">
        <f t="shared" ca="1" si="26"/>
        <v>1.3999460209559205E-2</v>
      </c>
    </row>
    <row r="792" spans="2:8" x14ac:dyDescent="0.3">
      <c r="B792" s="72">
        <v>45622</v>
      </c>
      <c r="C792" s="73">
        <v>2487.8000000000002</v>
      </c>
      <c r="D792" s="74">
        <f t="shared" si="25"/>
        <v>0.22571347629546615</v>
      </c>
      <c r="E792" s="1">
        <v>3.549818475191683E-3</v>
      </c>
      <c r="G792" s="75">
        <v>790</v>
      </c>
      <c r="H792" s="1">
        <f t="shared" ca="1" si="26"/>
        <v>-1.6801960516179246E-2</v>
      </c>
    </row>
    <row r="793" spans="2:8" x14ac:dyDescent="0.3">
      <c r="B793" s="72">
        <v>44092</v>
      </c>
      <c r="C793" s="73">
        <v>2029.675</v>
      </c>
      <c r="D793" s="74">
        <f t="shared" si="25"/>
        <v>-0.36035454008272605</v>
      </c>
      <c r="E793" s="1">
        <v>3.5475896168108553E-3</v>
      </c>
      <c r="G793" s="75">
        <v>791</v>
      </c>
      <c r="H793" s="1">
        <f t="shared" ca="1" si="26"/>
        <v>-3.5104896097858121E-2</v>
      </c>
    </row>
    <row r="794" spans="2:8" x14ac:dyDescent="0.3">
      <c r="B794" s="72">
        <v>44532</v>
      </c>
      <c r="C794" s="73">
        <v>3173.125</v>
      </c>
      <c r="D794" s="74">
        <f t="shared" si="25"/>
        <v>1.179381514105668</v>
      </c>
      <c r="E794" s="1">
        <v>3.5421460028304966E-3</v>
      </c>
      <c r="G794" s="75">
        <v>792</v>
      </c>
      <c r="H794" s="1">
        <f t="shared" ca="1" si="26"/>
        <v>-3.4569026238213145E-3</v>
      </c>
    </row>
    <row r="795" spans="2:8" x14ac:dyDescent="0.3">
      <c r="B795" s="72">
        <v>43306</v>
      </c>
      <c r="C795" s="73">
        <v>1455.9749999999999</v>
      </c>
      <c r="D795" s="74">
        <f t="shared" si="25"/>
        <v>-0.51995153273601002</v>
      </c>
      <c r="E795" s="1">
        <v>3.5324120343247062E-3</v>
      </c>
      <c r="G795" s="75">
        <v>793</v>
      </c>
      <c r="H795" s="1">
        <f t="shared" ca="1" si="26"/>
        <v>5.9917821375831863E-3</v>
      </c>
    </row>
    <row r="796" spans="2:8" x14ac:dyDescent="0.3">
      <c r="B796" s="72">
        <v>44763</v>
      </c>
      <c r="C796" s="73">
        <v>3032.9749999999999</v>
      </c>
      <c r="D796" s="74">
        <f t="shared" si="25"/>
        <v>9.2675013518572144E-3</v>
      </c>
      <c r="E796" s="1">
        <v>3.5154763677271001E-3</v>
      </c>
      <c r="G796" s="75">
        <v>794</v>
      </c>
      <c r="H796" s="1">
        <f t="shared" ca="1" si="26"/>
        <v>-9.8668905583818335E-3</v>
      </c>
    </row>
    <row r="797" spans="2:8" x14ac:dyDescent="0.3">
      <c r="B797" s="72">
        <v>45343</v>
      </c>
      <c r="C797" s="73">
        <v>3005.125</v>
      </c>
      <c r="D797" s="74">
        <f t="shared" si="25"/>
        <v>9.6160860842604418E-2</v>
      </c>
      <c r="E797" s="1">
        <v>3.5146597208308593E-3</v>
      </c>
      <c r="G797" s="75">
        <v>795</v>
      </c>
      <c r="H797" s="1">
        <f t="shared" ca="1" si="26"/>
        <v>-2.7237182749498136E-2</v>
      </c>
    </row>
    <row r="798" spans="2:8" x14ac:dyDescent="0.3">
      <c r="B798" s="72">
        <v>44963</v>
      </c>
      <c r="C798" s="73">
        <v>2741.5</v>
      </c>
      <c r="D798" s="74">
        <f t="shared" si="25"/>
        <v>3.7189769975786997E-2</v>
      </c>
      <c r="E798" s="1">
        <v>3.4956715898900722E-3</v>
      </c>
      <c r="G798" s="75">
        <v>796</v>
      </c>
      <c r="H798" s="1">
        <f t="shared" ca="1" si="26"/>
        <v>9.7287432242193408E-3</v>
      </c>
    </row>
    <row r="799" spans="2:8" x14ac:dyDescent="0.3">
      <c r="B799" s="72">
        <v>44294</v>
      </c>
      <c r="C799" s="73">
        <v>2643.2</v>
      </c>
      <c r="D799" s="74">
        <f t="shared" si="25"/>
        <v>0.18151645527183319</v>
      </c>
      <c r="E799" s="1">
        <v>3.4642141928380933E-3</v>
      </c>
      <c r="G799" s="75">
        <v>797</v>
      </c>
      <c r="H799" s="1">
        <f t="shared" ca="1" si="26"/>
        <v>-6.6422814560379451E-3</v>
      </c>
    </row>
    <row r="800" spans="2:8" x14ac:dyDescent="0.3">
      <c r="B800" s="72">
        <v>45687</v>
      </c>
      <c r="C800" s="73">
        <v>2237.125</v>
      </c>
      <c r="D800" s="74">
        <f t="shared" si="25"/>
        <v>2.185655068458732E-2</v>
      </c>
      <c r="E800" s="1">
        <v>3.453805353398216E-3</v>
      </c>
      <c r="G800" s="75">
        <v>798</v>
      </c>
      <c r="H800" s="1">
        <f t="shared" ca="1" si="26"/>
        <v>-3.4195951624152897E-3</v>
      </c>
    </row>
    <row r="801" spans="2:8" x14ac:dyDescent="0.3">
      <c r="B801" s="72">
        <v>44148</v>
      </c>
      <c r="C801" s="73">
        <v>2189.2750000000001</v>
      </c>
      <c r="D801" s="74">
        <f t="shared" si="25"/>
        <v>-0.35043578236843076</v>
      </c>
      <c r="E801" s="1">
        <v>3.3915783443139919E-3</v>
      </c>
      <c r="G801" s="75">
        <v>799</v>
      </c>
      <c r="H801" s="1">
        <f t="shared" ca="1" si="26"/>
        <v>1.9453846421177354E-3</v>
      </c>
    </row>
    <row r="802" spans="2:8" x14ac:dyDescent="0.3">
      <c r="B802" s="72">
        <v>45112</v>
      </c>
      <c r="C802" s="73">
        <v>3370.375</v>
      </c>
      <c r="D802" s="74">
        <f t="shared" si="25"/>
        <v>3.655207940889272E-2</v>
      </c>
      <c r="E802" s="1">
        <v>3.3864245311104497E-3</v>
      </c>
      <c r="G802" s="75">
        <v>800</v>
      </c>
      <c r="H802" s="1">
        <f t="shared" ca="1" si="26"/>
        <v>1.2209152955982969E-2</v>
      </c>
    </row>
    <row r="803" spans="2:8" x14ac:dyDescent="0.3">
      <c r="B803" s="72">
        <v>45166</v>
      </c>
      <c r="C803" s="73">
        <v>3251.5250000000001</v>
      </c>
      <c r="D803" s="74">
        <f t="shared" si="25"/>
        <v>1.7412426758841628</v>
      </c>
      <c r="E803" s="1">
        <v>3.3712892674196697E-3</v>
      </c>
      <c r="G803" s="75">
        <v>801</v>
      </c>
      <c r="H803" s="1">
        <f t="shared" ca="1" si="26"/>
        <v>-1.9344974014292509E-2</v>
      </c>
    </row>
    <row r="804" spans="2:8" x14ac:dyDescent="0.3">
      <c r="B804" s="72">
        <v>43109</v>
      </c>
      <c r="C804" s="73">
        <v>1186.1500000000001</v>
      </c>
      <c r="D804" s="74">
        <f t="shared" si="25"/>
        <v>-0.64348028644209165</v>
      </c>
      <c r="E804" s="1">
        <v>3.3624463383172005E-3</v>
      </c>
      <c r="G804" s="75">
        <v>802</v>
      </c>
      <c r="H804" s="1">
        <f t="shared" ca="1" si="26"/>
        <v>-6.0002131663149817E-3</v>
      </c>
    </row>
    <row r="805" spans="2:8" x14ac:dyDescent="0.3">
      <c r="B805" s="72">
        <v>45279</v>
      </c>
      <c r="C805" s="73">
        <v>3327.0250000000001</v>
      </c>
      <c r="D805" s="74">
        <f t="shared" si="25"/>
        <v>6.9602398308967139E-2</v>
      </c>
      <c r="E805" s="1">
        <v>3.3550468952622211E-3</v>
      </c>
      <c r="G805" s="75">
        <v>803</v>
      </c>
      <c r="H805" s="1">
        <f t="shared" ca="1" si="26"/>
        <v>-2.746702299880588E-3</v>
      </c>
    </row>
    <row r="806" spans="2:8" x14ac:dyDescent="0.3">
      <c r="B806" s="72">
        <v>45510</v>
      </c>
      <c r="C806" s="73">
        <v>3110.5250000000001</v>
      </c>
      <c r="D806" s="74">
        <f t="shared" si="25"/>
        <v>0.29578212872318271</v>
      </c>
      <c r="E806" s="1">
        <v>3.346612260697063E-3</v>
      </c>
      <c r="G806" s="75">
        <v>804</v>
      </c>
      <c r="H806" s="1">
        <f t="shared" ca="1" si="26"/>
        <v>9.053134696150985E-3</v>
      </c>
    </row>
    <row r="807" spans="2:8" x14ac:dyDescent="0.3">
      <c r="B807" s="72">
        <v>44260</v>
      </c>
      <c r="C807" s="73">
        <v>2400.5</v>
      </c>
      <c r="D807" s="74">
        <f t="shared" si="25"/>
        <v>-0.32059718389584663</v>
      </c>
      <c r="E807" s="1">
        <v>3.3437826541274818E-3</v>
      </c>
      <c r="G807" s="75">
        <v>805</v>
      </c>
      <c r="H807" s="1">
        <f t="shared" ca="1" si="26"/>
        <v>-2.5771227963447368E-2</v>
      </c>
    </row>
    <row r="808" spans="2:8" x14ac:dyDescent="0.3">
      <c r="B808" s="72">
        <v>45131</v>
      </c>
      <c r="C808" s="73">
        <v>3533.25</v>
      </c>
      <c r="D808" s="74">
        <f t="shared" si="25"/>
        <v>6.2056630996753577E-2</v>
      </c>
      <c r="E808" s="1">
        <v>3.3437693012161357E-3</v>
      </c>
      <c r="G808" s="75">
        <v>806</v>
      </c>
      <c r="H808" s="1">
        <f t="shared" ca="1" si="26"/>
        <v>-2.501969943022056E-2</v>
      </c>
    </row>
    <row r="809" spans="2:8" x14ac:dyDescent="0.3">
      <c r="B809" s="72">
        <v>44445</v>
      </c>
      <c r="C809" s="73">
        <v>3326.8</v>
      </c>
      <c r="D809" s="74">
        <f t="shared" si="25"/>
        <v>1.3019651259341267</v>
      </c>
      <c r="E809" s="1">
        <v>3.340144312329965E-3</v>
      </c>
      <c r="G809" s="75">
        <v>807</v>
      </c>
      <c r="H809" s="1">
        <f t="shared" ca="1" si="26"/>
        <v>-6.3669058138855431E-3</v>
      </c>
    </row>
    <row r="810" spans="2:8" x14ac:dyDescent="0.3">
      <c r="B810" s="72">
        <v>43579</v>
      </c>
      <c r="C810" s="73">
        <v>1445.2</v>
      </c>
      <c r="D810" s="74">
        <f t="shared" si="25"/>
        <v>-0.52009829152069598</v>
      </c>
      <c r="E810" s="1">
        <v>3.3324076645375967E-3</v>
      </c>
      <c r="G810" s="75">
        <v>808</v>
      </c>
      <c r="H810" s="1">
        <f t="shared" ca="1" si="26"/>
        <v>-4.6647468616555993E-3</v>
      </c>
    </row>
    <row r="811" spans="2:8" x14ac:dyDescent="0.3">
      <c r="B811" s="72">
        <v>45485</v>
      </c>
      <c r="C811" s="73">
        <v>3011.45</v>
      </c>
      <c r="D811" s="74">
        <f t="shared" si="25"/>
        <v>8.4874903182808659E-2</v>
      </c>
      <c r="E811" s="1">
        <v>3.3150091620855631E-3</v>
      </c>
      <c r="G811" s="75">
        <v>809</v>
      </c>
      <c r="H811" s="1">
        <f t="shared" ca="1" si="26"/>
        <v>-1.2501351747965339E-3</v>
      </c>
    </row>
    <row r="812" spans="2:8" x14ac:dyDescent="0.3">
      <c r="B812" s="72">
        <v>46022</v>
      </c>
      <c r="C812" s="73">
        <v>2775.8500000000004</v>
      </c>
      <c r="D812" s="74">
        <f t="shared" si="25"/>
        <v>0.21464124358679862</v>
      </c>
      <c r="E812" s="1">
        <v>3.3071890700114019E-3</v>
      </c>
      <c r="G812" s="75">
        <v>810</v>
      </c>
      <c r="H812" s="1">
        <f t="shared" ca="1" si="26"/>
        <v>1.7491127495699407E-2</v>
      </c>
    </row>
    <row r="813" spans="2:8" x14ac:dyDescent="0.3">
      <c r="B813" s="72">
        <v>45657</v>
      </c>
      <c r="C813" s="73">
        <v>2285.3249999999998</v>
      </c>
      <c r="D813" s="74">
        <f t="shared" si="25"/>
        <v>0.48919913984100089</v>
      </c>
      <c r="E813" s="1">
        <v>3.3036263060846585E-3</v>
      </c>
      <c r="G813" s="75">
        <v>811</v>
      </c>
      <c r="H813" s="1">
        <f t="shared" ca="1" si="26"/>
        <v>1.8065471567973511E-3</v>
      </c>
    </row>
    <row r="814" spans="2:8" x14ac:dyDescent="0.3">
      <c r="B814" s="72">
        <v>43717</v>
      </c>
      <c r="C814" s="73">
        <v>1534.6</v>
      </c>
      <c r="D814" s="74">
        <f t="shared" si="25"/>
        <v>-0.31837967486897051</v>
      </c>
      <c r="E814" s="1">
        <v>3.2688284518828455E-3</v>
      </c>
      <c r="G814" s="75">
        <v>812</v>
      </c>
      <c r="H814" s="1">
        <f t="shared" ca="1" si="26"/>
        <v>-1.0310994348566608E-2</v>
      </c>
    </row>
    <row r="815" spans="2:8" x14ac:dyDescent="0.3">
      <c r="B815" s="72">
        <v>45709</v>
      </c>
      <c r="C815" s="73">
        <v>2251.4</v>
      </c>
      <c r="D815" s="74">
        <f t="shared" si="25"/>
        <v>-7.5609205312968358E-2</v>
      </c>
      <c r="E815" s="1">
        <v>3.2641511535934733E-3</v>
      </c>
      <c r="G815" s="75">
        <v>813</v>
      </c>
      <c r="H815" s="1">
        <f t="shared" ca="1" si="26"/>
        <v>7.3052214526237317E-3</v>
      </c>
    </row>
    <row r="816" spans="2:8" x14ac:dyDescent="0.3">
      <c r="B816" s="72">
        <v>44272</v>
      </c>
      <c r="C816" s="73">
        <v>2435.5500000000002</v>
      </c>
      <c r="D816" s="74">
        <f t="shared" si="25"/>
        <v>1.140625343323592</v>
      </c>
      <c r="E816" s="1">
        <v>3.2438444190429111E-3</v>
      </c>
      <c r="G816" s="75">
        <v>814</v>
      </c>
      <c r="H816" s="1">
        <f t="shared" ca="1" si="26"/>
        <v>-3.8597079462501837E-4</v>
      </c>
    </row>
    <row r="817" spans="2:8" x14ac:dyDescent="0.3">
      <c r="B817" s="72">
        <v>43173</v>
      </c>
      <c r="C817" s="73">
        <v>1137.7750000000001</v>
      </c>
      <c r="D817" s="74">
        <f t="shared" si="25"/>
        <v>-0.56828874976285326</v>
      </c>
      <c r="E817" s="1">
        <v>3.2404549863329357E-3</v>
      </c>
      <c r="G817" s="75">
        <v>815</v>
      </c>
      <c r="H817" s="1">
        <f t="shared" ca="1" si="26"/>
        <v>3.3669019955582971E-4</v>
      </c>
    </row>
    <row r="818" spans="2:8" x14ac:dyDescent="0.3">
      <c r="B818" s="72">
        <v>44189</v>
      </c>
      <c r="C818" s="73">
        <v>2635.5</v>
      </c>
      <c r="D818" s="74">
        <f t="shared" si="25"/>
        <v>-0.23252207718460383</v>
      </c>
      <c r="E818" s="1">
        <v>3.2356299961933763E-3</v>
      </c>
      <c r="G818" s="75">
        <v>816</v>
      </c>
      <c r="H818" s="1">
        <f t="shared" ca="1" si="26"/>
        <v>-1.2778445661051602E-2</v>
      </c>
    </row>
    <row r="819" spans="2:8" x14ac:dyDescent="0.3">
      <c r="B819" s="72">
        <v>44784</v>
      </c>
      <c r="C819" s="73">
        <v>3433.9749999999999</v>
      </c>
      <c r="D819" s="74">
        <f t="shared" si="25"/>
        <v>0.31771872601688406</v>
      </c>
      <c r="E819" s="1">
        <v>3.2282331631571614E-3</v>
      </c>
      <c r="G819" s="75">
        <v>817</v>
      </c>
      <c r="H819" s="1">
        <f t="shared" ca="1" si="26"/>
        <v>1.2935313229222264E-3</v>
      </c>
    </row>
    <row r="820" spans="2:8" x14ac:dyDescent="0.3">
      <c r="B820" s="72">
        <v>44315</v>
      </c>
      <c r="C820" s="73">
        <v>2606</v>
      </c>
      <c r="D820" s="74">
        <f t="shared" si="25"/>
        <v>-7.0364755194863099E-2</v>
      </c>
      <c r="E820" s="1">
        <v>3.2240989365285599E-3</v>
      </c>
      <c r="G820" s="75">
        <v>818</v>
      </c>
      <c r="H820" s="1">
        <f t="shared" ca="1" si="26"/>
        <v>-5.7467500638739193E-3</v>
      </c>
    </row>
    <row r="821" spans="2:8" x14ac:dyDescent="0.3">
      <c r="B821" s="72">
        <v>45012</v>
      </c>
      <c r="C821" s="73">
        <v>2803.25</v>
      </c>
      <c r="D821" s="74">
        <f t="shared" si="25"/>
        <v>0.62811633343497253</v>
      </c>
      <c r="E821" s="1">
        <v>3.2209000626286124E-3</v>
      </c>
      <c r="G821" s="75">
        <v>819</v>
      </c>
      <c r="H821" s="1">
        <f t="shared" ca="1" si="26"/>
        <v>-6.2823894503385817E-3</v>
      </c>
    </row>
    <row r="822" spans="2:8" x14ac:dyDescent="0.3">
      <c r="B822" s="72">
        <v>44047</v>
      </c>
      <c r="C822" s="73">
        <v>1721.7750000000001</v>
      </c>
      <c r="D822" s="74">
        <f t="shared" si="25"/>
        <v>-0.31961787718327661</v>
      </c>
      <c r="E822" s="1">
        <v>3.2192279679534399E-3</v>
      </c>
      <c r="G822" s="75">
        <v>820</v>
      </c>
      <c r="H822" s="1">
        <f t="shared" ca="1" si="26"/>
        <v>3.9480535705752973E-4</v>
      </c>
    </row>
    <row r="823" spans="2:8" x14ac:dyDescent="0.3">
      <c r="B823" s="72">
        <v>44309</v>
      </c>
      <c r="C823" s="73">
        <v>2530.6</v>
      </c>
      <c r="D823" s="74">
        <f t="shared" si="25"/>
        <v>0.44885135618693189</v>
      </c>
      <c r="E823" s="1">
        <v>3.2111000991079915E-3</v>
      </c>
      <c r="G823" s="75">
        <v>821</v>
      </c>
      <c r="H823" s="1">
        <f t="shared" ca="1" si="26"/>
        <v>-1.2528756084190179E-3</v>
      </c>
    </row>
    <row r="824" spans="2:8" x14ac:dyDescent="0.3">
      <c r="B824" s="72">
        <v>43812</v>
      </c>
      <c r="C824" s="73">
        <v>1746.625</v>
      </c>
      <c r="D824" s="74">
        <f t="shared" si="25"/>
        <v>-0.42675812499487192</v>
      </c>
      <c r="E824" s="1">
        <v>3.2020906923982918E-3</v>
      </c>
      <c r="G824" s="75">
        <v>822</v>
      </c>
      <c r="H824" s="1">
        <f t="shared" ca="1" si="26"/>
        <v>1.9584577678671746E-3</v>
      </c>
    </row>
    <row r="825" spans="2:8" x14ac:dyDescent="0.3">
      <c r="B825" s="72">
        <v>44365</v>
      </c>
      <c r="C825" s="73">
        <v>3046.9250000000002</v>
      </c>
      <c r="D825" s="74">
        <f t="shared" si="25"/>
        <v>9.5878216771269911E-2</v>
      </c>
      <c r="E825" s="1">
        <v>3.1937047798567026E-3</v>
      </c>
      <c r="G825" s="75">
        <v>823</v>
      </c>
      <c r="H825" s="1">
        <f t="shared" ca="1" si="26"/>
        <v>-4.1904335734657275E-3</v>
      </c>
    </row>
    <row r="826" spans="2:8" x14ac:dyDescent="0.3">
      <c r="B826" s="72">
        <v>46006</v>
      </c>
      <c r="C826" s="73">
        <v>2780.35</v>
      </c>
      <c r="D826" s="74">
        <f t="shared" si="25"/>
        <v>0.60972079491670172</v>
      </c>
      <c r="E826" s="1">
        <v>3.1932166696734291E-3</v>
      </c>
      <c r="G826" s="75">
        <v>824</v>
      </c>
      <c r="H826" s="1">
        <f t="shared" ca="1" si="26"/>
        <v>-1.9193913406639878E-2</v>
      </c>
    </row>
    <row r="827" spans="2:8" x14ac:dyDescent="0.3">
      <c r="B827" s="72">
        <v>44048</v>
      </c>
      <c r="C827" s="73">
        <v>1727.2249999999999</v>
      </c>
      <c r="D827" s="74">
        <f t="shared" si="25"/>
        <v>0.55605855855855846</v>
      </c>
      <c r="E827" s="1">
        <v>3.1653380958602709E-3</v>
      </c>
      <c r="G827" s="75">
        <v>825</v>
      </c>
      <c r="H827" s="1">
        <f t="shared" ca="1" si="26"/>
        <v>-2.6123460085447862E-2</v>
      </c>
    </row>
    <row r="828" spans="2:8" x14ac:dyDescent="0.3">
      <c r="B828" s="72">
        <v>43185</v>
      </c>
      <c r="C828" s="73">
        <v>1110</v>
      </c>
      <c r="D828" s="74">
        <f t="shared" si="25"/>
        <v>-0.63096257262307476</v>
      </c>
      <c r="E828" s="1">
        <v>3.1404622579696878E-3</v>
      </c>
      <c r="G828" s="75">
        <v>826</v>
      </c>
      <c r="H828" s="1">
        <f t="shared" ca="1" si="26"/>
        <v>3.8555248512052595E-2</v>
      </c>
    </row>
    <row r="829" spans="2:8" x14ac:dyDescent="0.3">
      <c r="B829" s="72">
        <v>44377</v>
      </c>
      <c r="C829" s="73">
        <v>3007.8249999999998</v>
      </c>
      <c r="D829" s="74">
        <f t="shared" si="25"/>
        <v>1.0838471664126366</v>
      </c>
      <c r="E829" s="1">
        <v>3.1266154179659493E-3</v>
      </c>
      <c r="G829" s="75">
        <v>827</v>
      </c>
      <c r="H829" s="1">
        <f t="shared" ca="1" si="26"/>
        <v>-1.1518119873804227E-2</v>
      </c>
    </row>
    <row r="830" spans="2:8" x14ac:dyDescent="0.3">
      <c r="B830" s="72">
        <v>43500</v>
      </c>
      <c r="C830" s="73">
        <v>1443.4</v>
      </c>
      <c r="D830" s="74">
        <f t="shared" si="25"/>
        <v>0.30270758122743691</v>
      </c>
      <c r="E830" s="1">
        <v>3.109960560835282E-3</v>
      </c>
      <c r="G830" s="75">
        <v>828</v>
      </c>
      <c r="H830" s="1">
        <f t="shared" ca="1" si="26"/>
        <v>-2.084678880104484E-2</v>
      </c>
    </row>
    <row r="831" spans="2:8" x14ac:dyDescent="0.3">
      <c r="B831" s="72">
        <v>43180</v>
      </c>
      <c r="C831" s="73">
        <v>1108</v>
      </c>
      <c r="D831" s="74">
        <f t="shared" si="25"/>
        <v>-0.6012380335420715</v>
      </c>
      <c r="E831" s="1">
        <v>3.1007401036597373E-3</v>
      </c>
      <c r="G831" s="75">
        <v>829</v>
      </c>
      <c r="H831" s="1">
        <f t="shared" ca="1" si="26"/>
        <v>2.0573269370574962E-3</v>
      </c>
    </row>
    <row r="832" spans="2:8" x14ac:dyDescent="0.3">
      <c r="B832" s="72">
        <v>45028</v>
      </c>
      <c r="C832" s="73">
        <v>2778.6</v>
      </c>
      <c r="D832" s="74">
        <f t="shared" si="25"/>
        <v>-4.2324395119597347E-2</v>
      </c>
      <c r="E832" s="1">
        <v>3.0956399310474881E-3</v>
      </c>
      <c r="G832" s="75">
        <v>830</v>
      </c>
      <c r="H832" s="1">
        <f t="shared" ca="1" si="26"/>
        <v>2.2866077435601265E-2</v>
      </c>
    </row>
    <row r="833" spans="2:8" x14ac:dyDescent="0.3">
      <c r="B833" s="72">
        <v>45441</v>
      </c>
      <c r="C833" s="73">
        <v>2901.3999999999996</v>
      </c>
      <c r="D833" s="74">
        <f t="shared" si="25"/>
        <v>-4.198378762113901E-2</v>
      </c>
      <c r="E833" s="1">
        <v>3.0769230769229512E-3</v>
      </c>
      <c r="G833" s="75">
        <v>831</v>
      </c>
      <c r="H833" s="1">
        <f t="shared" ca="1" si="26"/>
        <v>1.5345325809030081E-2</v>
      </c>
    </row>
    <row r="834" spans="2:8" x14ac:dyDescent="0.3">
      <c r="B834" s="72">
        <v>44382</v>
      </c>
      <c r="C834" s="73">
        <v>3028.55</v>
      </c>
      <c r="D834" s="74">
        <f t="shared" si="25"/>
        <v>0.83668147429385797</v>
      </c>
      <c r="E834" s="1">
        <v>3.0719295195038845E-3</v>
      </c>
      <c r="G834" s="75">
        <v>832</v>
      </c>
      <c r="H834" s="1">
        <f t="shared" ca="1" si="26"/>
        <v>4.335284517996584E-3</v>
      </c>
    </row>
    <row r="835" spans="2:8" x14ac:dyDescent="0.3">
      <c r="B835" s="72">
        <v>43930</v>
      </c>
      <c r="C835" s="73">
        <v>1648.9250000000002</v>
      </c>
      <c r="D835" s="74">
        <f t="shared" ref="D835:D898" si="27">(C835-C836)/C836</f>
        <v>-0.31409109816971709</v>
      </c>
      <c r="E835" s="1">
        <v>3.0567552770850359E-3</v>
      </c>
      <c r="G835" s="75">
        <v>833</v>
      </c>
      <c r="H835" s="1">
        <f t="shared" ca="1" si="26"/>
        <v>5.7989531570361505E-3</v>
      </c>
    </row>
    <row r="836" spans="2:8" x14ac:dyDescent="0.3">
      <c r="B836" s="72">
        <v>45855</v>
      </c>
      <c r="C836" s="73">
        <v>2404</v>
      </c>
      <c r="D836" s="74">
        <f t="shared" si="27"/>
        <v>0.18607691738411827</v>
      </c>
      <c r="E836" s="1">
        <v>3.0458547169024837E-3</v>
      </c>
      <c r="G836" s="75">
        <v>834</v>
      </c>
      <c r="H836" s="1">
        <f t="shared" ref="H836:H899" ca="1" si="28">_xlfn.NORM.INV(RAND(),$N$4,$N$5)</f>
        <v>-2.1124895461336743E-3</v>
      </c>
    </row>
    <row r="837" spans="2:8" x14ac:dyDescent="0.3">
      <c r="B837" s="72">
        <v>44109</v>
      </c>
      <c r="C837" s="73">
        <v>2026.85</v>
      </c>
      <c r="D837" s="74">
        <f t="shared" si="27"/>
        <v>0.6077179344808441</v>
      </c>
      <c r="E837" s="1">
        <v>3.0434997773049395E-3</v>
      </c>
      <c r="G837" s="75">
        <v>835</v>
      </c>
      <c r="H837" s="1">
        <f t="shared" ca="1" si="28"/>
        <v>2.7040150855995818E-2</v>
      </c>
    </row>
    <row r="838" spans="2:8" x14ac:dyDescent="0.3">
      <c r="B838" s="72">
        <v>43276</v>
      </c>
      <c r="C838" s="73">
        <v>1260.6999999999998</v>
      </c>
      <c r="D838" s="74">
        <f t="shared" si="27"/>
        <v>9.0641693881523336E-2</v>
      </c>
      <c r="E838" s="1">
        <v>3.0432620586771301E-3</v>
      </c>
      <c r="G838" s="75">
        <v>836</v>
      </c>
      <c r="H838" s="1">
        <f t="shared" ca="1" si="28"/>
        <v>1.9275101944367001E-2</v>
      </c>
    </row>
    <row r="839" spans="2:8" x14ac:dyDescent="0.3">
      <c r="B839" s="72">
        <v>43129</v>
      </c>
      <c r="C839" s="73">
        <v>1155.925</v>
      </c>
      <c r="D839" s="74">
        <f t="shared" si="27"/>
        <v>-0.60946500667263548</v>
      </c>
      <c r="E839" s="1">
        <v>3.0370739961383796E-3</v>
      </c>
      <c r="G839" s="75">
        <v>837</v>
      </c>
      <c r="H839" s="1">
        <f t="shared" ca="1" si="28"/>
        <v>5.9411859160578857E-3</v>
      </c>
    </row>
    <row r="840" spans="2:8" x14ac:dyDescent="0.3">
      <c r="B840" s="72">
        <v>45995</v>
      </c>
      <c r="C840" s="73">
        <v>2959.85</v>
      </c>
      <c r="D840" s="74">
        <f t="shared" si="27"/>
        <v>0.50067178746165741</v>
      </c>
      <c r="E840" s="1">
        <v>3.0329729912908854E-3</v>
      </c>
      <c r="G840" s="75">
        <v>838</v>
      </c>
      <c r="H840" s="1">
        <f t="shared" ca="1" si="28"/>
        <v>1.4819821998925667E-3</v>
      </c>
    </row>
    <row r="841" spans="2:8" x14ac:dyDescent="0.3">
      <c r="B841" s="72">
        <v>44078</v>
      </c>
      <c r="C841" s="73">
        <v>1972.35</v>
      </c>
      <c r="D841" s="74">
        <f t="shared" si="27"/>
        <v>-0.30199596560144387</v>
      </c>
      <c r="E841" s="1">
        <v>3.0130821160227086E-3</v>
      </c>
      <c r="G841" s="75">
        <v>839</v>
      </c>
      <c r="H841" s="1">
        <f t="shared" ca="1" si="28"/>
        <v>-1.7012977338527829E-2</v>
      </c>
    </row>
    <row r="842" spans="2:8" x14ac:dyDescent="0.3">
      <c r="B842" s="72">
        <v>45372</v>
      </c>
      <c r="C842" s="73">
        <v>2825.7</v>
      </c>
      <c r="D842" s="74">
        <f t="shared" si="27"/>
        <v>-0.16448846836191608</v>
      </c>
      <c r="E842" s="1">
        <v>2.9815781066977729E-3</v>
      </c>
      <c r="G842" s="75">
        <v>840</v>
      </c>
      <c r="H842" s="1">
        <f t="shared" ca="1" si="28"/>
        <v>2.9472995946411701E-3</v>
      </c>
    </row>
    <row r="843" spans="2:8" x14ac:dyDescent="0.3">
      <c r="B843" s="72">
        <v>45294</v>
      </c>
      <c r="C843" s="73">
        <v>3382</v>
      </c>
      <c r="D843" s="74">
        <f t="shared" si="27"/>
        <v>1.4748454136328708</v>
      </c>
      <c r="E843" s="1">
        <v>2.9804712406768137E-3</v>
      </c>
      <c r="G843" s="75">
        <v>841</v>
      </c>
      <c r="H843" s="1">
        <f t="shared" ca="1" si="28"/>
        <v>1.8194141524027832E-2</v>
      </c>
    </row>
    <row r="844" spans="2:8" x14ac:dyDescent="0.3">
      <c r="B844" s="72">
        <v>43294</v>
      </c>
      <c r="C844" s="73">
        <v>1366.5500000000002</v>
      </c>
      <c r="D844" s="74">
        <f t="shared" si="27"/>
        <v>-0.46359318574344471</v>
      </c>
      <c r="E844" s="1">
        <v>2.9724770642203168E-3</v>
      </c>
      <c r="G844" s="75">
        <v>842</v>
      </c>
      <c r="H844" s="1">
        <f t="shared" ca="1" si="28"/>
        <v>1.2607892608017566E-2</v>
      </c>
    </row>
    <row r="845" spans="2:8" x14ac:dyDescent="0.3">
      <c r="B845" s="72">
        <v>45911</v>
      </c>
      <c r="C845" s="73">
        <v>2547.6</v>
      </c>
      <c r="D845" s="74">
        <f t="shared" si="27"/>
        <v>1.3034878726915167</v>
      </c>
      <c r="E845" s="1">
        <v>2.9723824334165574E-3</v>
      </c>
      <c r="G845" s="75">
        <v>843</v>
      </c>
      <c r="H845" s="1">
        <f t="shared" ca="1" si="28"/>
        <v>-8.3006187760797726E-3</v>
      </c>
    </row>
    <row r="846" spans="2:8" x14ac:dyDescent="0.3">
      <c r="B846" s="72">
        <v>43158</v>
      </c>
      <c r="C846" s="73">
        <v>1105.9749999999999</v>
      </c>
      <c r="D846" s="74">
        <f t="shared" si="27"/>
        <v>-0.65022098879638202</v>
      </c>
      <c r="E846" s="1">
        <v>2.9699827695654876E-3</v>
      </c>
      <c r="G846" s="75">
        <v>844</v>
      </c>
      <c r="H846" s="1">
        <f t="shared" ca="1" si="28"/>
        <v>-1.6322313577875705E-4</v>
      </c>
    </row>
    <row r="847" spans="2:8" x14ac:dyDescent="0.3">
      <c r="B847" s="72">
        <v>44531</v>
      </c>
      <c r="C847" s="73">
        <v>3161.9250000000002</v>
      </c>
      <c r="D847" s="74">
        <f t="shared" si="27"/>
        <v>1.5390173410404683E-2</v>
      </c>
      <c r="E847" s="1">
        <v>2.9658295203128758E-3</v>
      </c>
      <c r="G847" s="75">
        <v>845</v>
      </c>
      <c r="H847" s="1">
        <f t="shared" ca="1" si="28"/>
        <v>-3.828725452539236E-3</v>
      </c>
    </row>
    <row r="848" spans="2:8" x14ac:dyDescent="0.3">
      <c r="B848" s="72">
        <v>44498</v>
      </c>
      <c r="C848" s="73">
        <v>3114</v>
      </c>
      <c r="D848" s="74">
        <f t="shared" si="27"/>
        <v>1.4322899377086953</v>
      </c>
      <c r="E848" s="1">
        <v>2.9631538263333603E-3</v>
      </c>
      <c r="G848" s="75">
        <v>846</v>
      </c>
      <c r="H848" s="1">
        <f t="shared" ca="1" si="28"/>
        <v>1.3894642145238514E-2</v>
      </c>
    </row>
    <row r="849" spans="2:8" x14ac:dyDescent="0.3">
      <c r="B849" s="72">
        <v>43259</v>
      </c>
      <c r="C849" s="73">
        <v>1280.2750000000001</v>
      </c>
      <c r="D849" s="74">
        <f t="shared" si="27"/>
        <v>-0.58276845364184449</v>
      </c>
      <c r="E849" s="1">
        <v>2.9573051312182458E-3</v>
      </c>
      <c r="G849" s="75">
        <v>847</v>
      </c>
      <c r="H849" s="1">
        <f t="shared" ca="1" si="28"/>
        <v>-4.9098130671920009E-3</v>
      </c>
    </row>
    <row r="850" spans="2:8" x14ac:dyDescent="0.3">
      <c r="B850" s="72">
        <v>44880</v>
      </c>
      <c r="C850" s="73">
        <v>3068.5</v>
      </c>
      <c r="D850" s="74">
        <f t="shared" si="27"/>
        <v>6.934074454831371E-2</v>
      </c>
      <c r="E850" s="1">
        <v>2.9416571335185489E-3</v>
      </c>
      <c r="G850" s="75">
        <v>848</v>
      </c>
      <c r="H850" s="1">
        <f t="shared" ca="1" si="28"/>
        <v>-5.554308031364652E-4</v>
      </c>
    </row>
    <row r="851" spans="2:8" x14ac:dyDescent="0.3">
      <c r="B851" s="72">
        <v>45365</v>
      </c>
      <c r="C851" s="73">
        <v>2869.5250000000001</v>
      </c>
      <c r="D851" s="74">
        <f t="shared" si="27"/>
        <v>-7.8974186145414488E-2</v>
      </c>
      <c r="E851" s="1">
        <v>2.9359080781161573E-3</v>
      </c>
      <c r="G851" s="75">
        <v>849</v>
      </c>
      <c r="H851" s="1">
        <f t="shared" ca="1" si="28"/>
        <v>-2.0547396181758319E-2</v>
      </c>
    </row>
    <row r="852" spans="2:8" x14ac:dyDescent="0.3">
      <c r="B852" s="72">
        <v>45070</v>
      </c>
      <c r="C852" s="73">
        <v>3115.5749999999998</v>
      </c>
      <c r="D852" s="74">
        <f t="shared" si="27"/>
        <v>1.4201460364314289</v>
      </c>
      <c r="E852" s="1">
        <v>2.9293652773641861E-3</v>
      </c>
      <c r="G852" s="75">
        <v>850</v>
      </c>
      <c r="H852" s="1">
        <f t="shared" ca="1" si="28"/>
        <v>-5.4438944643407788E-3</v>
      </c>
    </row>
    <row r="853" spans="2:8" x14ac:dyDescent="0.3">
      <c r="B853" s="72">
        <v>43264</v>
      </c>
      <c r="C853" s="73">
        <v>1287.3499999999999</v>
      </c>
      <c r="D853" s="74">
        <f t="shared" si="27"/>
        <v>-0.60031047463810305</v>
      </c>
      <c r="E853" s="1">
        <v>2.9214708631972578E-3</v>
      </c>
      <c r="G853" s="75">
        <v>851</v>
      </c>
      <c r="H853" s="1">
        <f t="shared" ca="1" si="28"/>
        <v>-8.2475805301032701E-4</v>
      </c>
    </row>
    <row r="854" spans="2:8" x14ac:dyDescent="0.3">
      <c r="B854" s="72">
        <v>45190</v>
      </c>
      <c r="C854" s="73">
        <v>3220.875</v>
      </c>
      <c r="D854" s="74">
        <f t="shared" si="27"/>
        <v>9.8346959479620494E-2</v>
      </c>
      <c r="E854" s="1">
        <v>2.919196637085474E-3</v>
      </c>
      <c r="G854" s="75">
        <v>852</v>
      </c>
      <c r="H854" s="1">
        <f t="shared" ca="1" si="28"/>
        <v>6.3680390857901005E-3</v>
      </c>
    </row>
    <row r="855" spans="2:8" x14ac:dyDescent="0.3">
      <c r="B855" s="72">
        <v>45476</v>
      </c>
      <c r="C855" s="73">
        <v>2932.4749999999999</v>
      </c>
      <c r="D855" s="74">
        <f t="shared" si="27"/>
        <v>9.69244144508624E-3</v>
      </c>
      <c r="E855" s="1">
        <v>2.8984268125854681E-3</v>
      </c>
      <c r="G855" s="75">
        <v>853</v>
      </c>
      <c r="H855" s="1">
        <f t="shared" ca="1" si="28"/>
        <v>1.364049717379166E-2</v>
      </c>
    </row>
    <row r="856" spans="2:8" x14ac:dyDescent="0.3">
      <c r="B856" s="72">
        <v>44754</v>
      </c>
      <c r="C856" s="73">
        <v>2904.3249999999998</v>
      </c>
      <c r="D856" s="74">
        <f t="shared" si="27"/>
        <v>-2.9424788002840613E-2</v>
      </c>
      <c r="E856" s="1">
        <v>2.8919698199209244E-3</v>
      </c>
      <c r="G856" s="75">
        <v>854</v>
      </c>
      <c r="H856" s="1">
        <f t="shared" ca="1" si="28"/>
        <v>-2.5154632438783429E-2</v>
      </c>
    </row>
    <row r="857" spans="2:8" x14ac:dyDescent="0.3">
      <c r="B857" s="72">
        <v>45593</v>
      </c>
      <c r="C857" s="73">
        <v>2992.375</v>
      </c>
      <c r="D857" s="74">
        <f t="shared" si="27"/>
        <v>3.5871916919082647E-2</v>
      </c>
      <c r="E857" s="1">
        <v>2.8822548617103865E-3</v>
      </c>
      <c r="G857" s="75">
        <v>855</v>
      </c>
      <c r="H857" s="1">
        <f t="shared" ca="1" si="28"/>
        <v>3.7447985644048793E-3</v>
      </c>
    </row>
    <row r="858" spans="2:8" x14ac:dyDescent="0.3">
      <c r="B858" s="72">
        <v>45986</v>
      </c>
      <c r="C858" s="73">
        <v>2888.75</v>
      </c>
      <c r="D858" s="74">
        <f t="shared" si="27"/>
        <v>1.0891911989851712E-2</v>
      </c>
      <c r="E858" s="1">
        <v>2.8640860961638604E-3</v>
      </c>
      <c r="G858" s="75">
        <v>856</v>
      </c>
      <c r="H858" s="1">
        <f t="shared" ca="1" si="28"/>
        <v>1.581658748959781E-2</v>
      </c>
    </row>
    <row r="859" spans="2:8" x14ac:dyDescent="0.3">
      <c r="B859" s="72">
        <v>45408</v>
      </c>
      <c r="C859" s="73">
        <v>2857.625</v>
      </c>
      <c r="D859" s="74">
        <f t="shared" si="27"/>
        <v>1.1649084262959528</v>
      </c>
      <c r="E859" s="1">
        <v>2.8601759973327138E-3</v>
      </c>
      <c r="G859" s="75">
        <v>857</v>
      </c>
      <c r="H859" s="1">
        <f t="shared" ca="1" si="28"/>
        <v>-4.4741309615442086E-3</v>
      </c>
    </row>
    <row r="860" spans="2:8" x14ac:dyDescent="0.3">
      <c r="B860" s="72">
        <v>43349</v>
      </c>
      <c r="C860" s="73">
        <v>1319.9749999999999</v>
      </c>
      <c r="D860" s="74">
        <f t="shared" si="27"/>
        <v>-0.4085007225838253</v>
      </c>
      <c r="E860" s="1">
        <v>2.8490569621455299E-3</v>
      </c>
      <c r="G860" s="75">
        <v>858</v>
      </c>
      <c r="H860" s="1">
        <f t="shared" ca="1" si="28"/>
        <v>-2.5165018803627245E-3</v>
      </c>
    </row>
    <row r="861" spans="2:8" x14ac:dyDescent="0.3">
      <c r="B861" s="72">
        <v>44144</v>
      </c>
      <c r="C861" s="73">
        <v>2231.5749999999998</v>
      </c>
      <c r="D861" s="74">
        <f t="shared" si="27"/>
        <v>0.22050700065631137</v>
      </c>
      <c r="E861" s="1">
        <v>2.8423772609818304E-3</v>
      </c>
      <c r="G861" s="75">
        <v>859</v>
      </c>
      <c r="H861" s="1">
        <f t="shared" ca="1" si="28"/>
        <v>1.5901352333749914E-2</v>
      </c>
    </row>
    <row r="862" spans="2:8" x14ac:dyDescent="0.3">
      <c r="B862" s="72">
        <v>43945</v>
      </c>
      <c r="C862" s="73">
        <v>1828.4</v>
      </c>
      <c r="D862" s="74">
        <f t="shared" si="27"/>
        <v>-0.23948172950939001</v>
      </c>
      <c r="E862" s="1">
        <v>2.8383770516530776E-3</v>
      </c>
      <c r="G862" s="75">
        <v>860</v>
      </c>
      <c r="H862" s="1">
        <f t="shared" ca="1" si="28"/>
        <v>1.29773296684424E-2</v>
      </c>
    </row>
    <row r="863" spans="2:8" x14ac:dyDescent="0.3">
      <c r="B863" s="72">
        <v>44235</v>
      </c>
      <c r="C863" s="73">
        <v>2404.15</v>
      </c>
      <c r="D863" s="74">
        <f t="shared" si="27"/>
        <v>-0.29783800754981493</v>
      </c>
      <c r="E863" s="1">
        <v>2.8364652637285861E-3</v>
      </c>
      <c r="G863" s="75">
        <v>861</v>
      </c>
      <c r="H863" s="1">
        <f t="shared" ca="1" si="28"/>
        <v>7.1022713791113086E-3</v>
      </c>
    </row>
    <row r="864" spans="2:8" x14ac:dyDescent="0.3">
      <c r="B864" s="72">
        <v>44819</v>
      </c>
      <c r="C864" s="73">
        <v>3423.9250000000002</v>
      </c>
      <c r="D864" s="74">
        <f t="shared" si="27"/>
        <v>3.8339651250947744E-2</v>
      </c>
      <c r="E864" s="1">
        <v>2.833711649703502E-3</v>
      </c>
      <c r="G864" s="75">
        <v>862</v>
      </c>
      <c r="H864" s="1">
        <f t="shared" ca="1" si="28"/>
        <v>-2.1456525642780857E-2</v>
      </c>
    </row>
    <row r="865" spans="2:8" x14ac:dyDescent="0.3">
      <c r="B865" s="72">
        <v>45554</v>
      </c>
      <c r="C865" s="73">
        <v>3297.5</v>
      </c>
      <c r="D865" s="74">
        <f t="shared" si="27"/>
        <v>1.2814148577358817</v>
      </c>
      <c r="E865" s="1">
        <v>2.8282951158689197E-3</v>
      </c>
      <c r="G865" s="75">
        <v>863</v>
      </c>
      <c r="H865" s="1">
        <f t="shared" ca="1" si="28"/>
        <v>8.8719585565729727E-3</v>
      </c>
    </row>
    <row r="866" spans="2:8" x14ac:dyDescent="0.3">
      <c r="B866" s="72">
        <v>43313</v>
      </c>
      <c r="C866" s="73">
        <v>1445.375</v>
      </c>
      <c r="D866" s="74">
        <f t="shared" si="27"/>
        <v>-0.48747384844509056</v>
      </c>
      <c r="E866" s="1">
        <v>2.8273086796642235E-3</v>
      </c>
      <c r="G866" s="75">
        <v>864</v>
      </c>
      <c r="H866" s="1">
        <f t="shared" ca="1" si="28"/>
        <v>2.1328370425965498E-3</v>
      </c>
    </row>
    <row r="867" spans="2:8" x14ac:dyDescent="0.3">
      <c r="B867" s="72">
        <v>45430</v>
      </c>
      <c r="C867" s="73">
        <v>2820.1</v>
      </c>
      <c r="D867" s="74">
        <f t="shared" si="27"/>
        <v>0.56894489415560923</v>
      </c>
      <c r="E867" s="1">
        <v>2.8270184734101216E-3</v>
      </c>
      <c r="G867" s="75">
        <v>865</v>
      </c>
      <c r="H867" s="1">
        <f t="shared" ca="1" si="28"/>
        <v>1.0952579907016376E-2</v>
      </c>
    </row>
    <row r="868" spans="2:8" x14ac:dyDescent="0.3">
      <c r="B868" s="72">
        <v>43860</v>
      </c>
      <c r="C868" s="73">
        <v>1797.45</v>
      </c>
      <c r="D868" s="74">
        <f t="shared" si="27"/>
        <v>-0.37479999999999997</v>
      </c>
      <c r="E868" s="1">
        <v>2.8034645801080049E-3</v>
      </c>
      <c r="G868" s="75">
        <v>866</v>
      </c>
      <c r="H868" s="1">
        <f t="shared" ca="1" si="28"/>
        <v>9.3641611906035722E-3</v>
      </c>
    </row>
    <row r="869" spans="2:8" x14ac:dyDescent="0.3">
      <c r="B869" s="72">
        <v>45040</v>
      </c>
      <c r="C869" s="73">
        <v>2875</v>
      </c>
      <c r="D869" s="74">
        <f t="shared" si="27"/>
        <v>0.46204406473676851</v>
      </c>
      <c r="E869" s="1">
        <v>2.7728850211889635E-3</v>
      </c>
      <c r="G869" s="75">
        <v>867</v>
      </c>
      <c r="H869" s="1">
        <f t="shared" ca="1" si="28"/>
        <v>-1.3996418316798937E-4</v>
      </c>
    </row>
    <row r="870" spans="2:8" x14ac:dyDescent="0.3">
      <c r="B870" s="72">
        <v>44077</v>
      </c>
      <c r="C870" s="73">
        <v>1966.425</v>
      </c>
      <c r="D870" s="74">
        <f t="shared" si="27"/>
        <v>-0.1322043248014122</v>
      </c>
      <c r="E870" s="1">
        <v>2.7664456909739696E-3</v>
      </c>
      <c r="G870" s="75">
        <v>868</v>
      </c>
      <c r="H870" s="1">
        <f t="shared" ca="1" si="28"/>
        <v>-1.4588311261053977E-2</v>
      </c>
    </row>
    <row r="871" spans="2:8" x14ac:dyDescent="0.3">
      <c r="B871" s="72">
        <v>45698</v>
      </c>
      <c r="C871" s="73">
        <v>2266</v>
      </c>
      <c r="D871" s="74">
        <f t="shared" si="27"/>
        <v>-0.21399954907299809</v>
      </c>
      <c r="E871" s="1">
        <v>2.7657926761809936E-3</v>
      </c>
      <c r="G871" s="75">
        <v>869</v>
      </c>
      <c r="H871" s="1">
        <f t="shared" ca="1" si="28"/>
        <v>9.5821141867637807E-3</v>
      </c>
    </row>
    <row r="872" spans="2:8" x14ac:dyDescent="0.3">
      <c r="B872" s="72">
        <v>45041</v>
      </c>
      <c r="C872" s="73">
        <v>2882.95</v>
      </c>
      <c r="D872" s="74">
        <f t="shared" si="27"/>
        <v>0.28469413901050544</v>
      </c>
      <c r="E872" s="1">
        <v>2.7652173913042845E-3</v>
      </c>
      <c r="G872" s="75">
        <v>870</v>
      </c>
      <c r="H872" s="1">
        <f t="shared" ca="1" si="28"/>
        <v>-1.0564440662534098E-2</v>
      </c>
    </row>
    <row r="873" spans="2:8" x14ac:dyDescent="0.3">
      <c r="B873" s="72">
        <v>45708</v>
      </c>
      <c r="C873" s="73">
        <v>2244.0749999999998</v>
      </c>
      <c r="D873" s="74">
        <f t="shared" si="27"/>
        <v>0.55922458267470332</v>
      </c>
      <c r="E873" s="1">
        <v>2.7368797336848457E-3</v>
      </c>
      <c r="G873" s="75">
        <v>871</v>
      </c>
      <c r="H873" s="1">
        <f t="shared" ca="1" si="28"/>
        <v>-3.3554322759913125E-3</v>
      </c>
    </row>
    <row r="874" spans="2:8" x14ac:dyDescent="0.3">
      <c r="B874" s="72">
        <v>43570</v>
      </c>
      <c r="C874" s="73">
        <v>1439.2249999999999</v>
      </c>
      <c r="D874" s="74">
        <f t="shared" si="27"/>
        <v>-0.50073282628114513</v>
      </c>
      <c r="E874" s="1">
        <v>2.7346199400821811E-3</v>
      </c>
      <c r="G874" s="75">
        <v>872</v>
      </c>
      <c r="H874" s="1">
        <f t="shared" ca="1" si="28"/>
        <v>-1.0418278819470316E-2</v>
      </c>
    </row>
    <row r="875" spans="2:8" x14ac:dyDescent="0.3">
      <c r="B875" s="72">
        <v>45363</v>
      </c>
      <c r="C875" s="73">
        <v>2882.6750000000002</v>
      </c>
      <c r="D875" s="74">
        <f t="shared" si="27"/>
        <v>0.58973970109744678</v>
      </c>
      <c r="E875" s="1">
        <v>2.7306009931040548E-3</v>
      </c>
      <c r="G875" s="75">
        <v>873</v>
      </c>
      <c r="H875" s="1">
        <f t="shared" ca="1" si="28"/>
        <v>-3.0075090334082337E-2</v>
      </c>
    </row>
    <row r="876" spans="2:8" x14ac:dyDescent="0.3">
      <c r="B876" s="72">
        <v>43826</v>
      </c>
      <c r="C876" s="73">
        <v>1813.3</v>
      </c>
      <c r="D876" s="74">
        <f t="shared" si="27"/>
        <v>0.33091122610004031</v>
      </c>
      <c r="E876" s="1">
        <v>2.723439552084028E-3</v>
      </c>
      <c r="G876" s="75">
        <v>874</v>
      </c>
      <c r="H876" s="1">
        <f t="shared" ca="1" si="28"/>
        <v>-6.6023058661121041E-3</v>
      </c>
    </row>
    <row r="877" spans="2:8" x14ac:dyDescent="0.3">
      <c r="B877" s="72">
        <v>43651</v>
      </c>
      <c r="C877" s="73">
        <v>1362.45</v>
      </c>
      <c r="D877" s="74">
        <f t="shared" si="27"/>
        <v>-5.7828950780561175E-2</v>
      </c>
      <c r="E877" s="1">
        <v>2.7230910763569793E-3</v>
      </c>
      <c r="G877" s="75">
        <v>875</v>
      </c>
      <c r="H877" s="1">
        <f t="shared" ca="1" si="28"/>
        <v>-1.4984548232944499E-2</v>
      </c>
    </row>
    <row r="878" spans="2:8" x14ac:dyDescent="0.3">
      <c r="B878" s="72">
        <v>43508</v>
      </c>
      <c r="C878" s="73">
        <v>1446.075</v>
      </c>
      <c r="D878" s="74">
        <f t="shared" si="27"/>
        <v>-0.10114681750372943</v>
      </c>
      <c r="E878" s="1">
        <v>2.7216308983115168E-3</v>
      </c>
      <c r="G878" s="75">
        <v>876</v>
      </c>
      <c r="H878" s="1">
        <f t="shared" ca="1" si="28"/>
        <v>-5.4165396764565535E-4</v>
      </c>
    </row>
    <row r="879" spans="2:8" x14ac:dyDescent="0.3">
      <c r="B879" s="72">
        <v>43707</v>
      </c>
      <c r="C879" s="73">
        <v>1608.8</v>
      </c>
      <c r="D879" s="74">
        <f t="shared" si="27"/>
        <v>-0.25846373671959633</v>
      </c>
      <c r="E879" s="1">
        <v>2.7112094487206887E-3</v>
      </c>
      <c r="G879" s="75">
        <v>877</v>
      </c>
      <c r="H879" s="1">
        <f t="shared" ca="1" si="28"/>
        <v>-5.6282139901184924E-3</v>
      </c>
    </row>
    <row r="880" spans="2:8" x14ac:dyDescent="0.3">
      <c r="B880" s="72">
        <v>46118</v>
      </c>
      <c r="C880" s="73">
        <v>2169.5500000000002</v>
      </c>
      <c r="D880" s="74">
        <f t="shared" si="27"/>
        <v>0.5477438915641164</v>
      </c>
      <c r="E880" s="1">
        <v>2.6805314846910142E-3</v>
      </c>
      <c r="G880" s="75">
        <v>878</v>
      </c>
      <c r="H880" s="1">
        <f t="shared" ca="1" si="28"/>
        <v>-2.3943056244870673E-2</v>
      </c>
    </row>
    <row r="881" spans="2:8" x14ac:dyDescent="0.3">
      <c r="B881" s="72">
        <v>43339</v>
      </c>
      <c r="C881" s="73">
        <v>1401.75</v>
      </c>
      <c r="D881" s="74">
        <f t="shared" si="27"/>
        <v>-3.2642075842793522E-2</v>
      </c>
      <c r="E881" s="1">
        <v>2.6644730959746133E-3</v>
      </c>
      <c r="G881" s="75">
        <v>879</v>
      </c>
      <c r="H881" s="1">
        <f t="shared" ca="1" si="28"/>
        <v>2.6463464741708076E-3</v>
      </c>
    </row>
    <row r="882" spans="2:8" x14ac:dyDescent="0.3">
      <c r="B882" s="72">
        <v>43580</v>
      </c>
      <c r="C882" s="73">
        <v>1449.05</v>
      </c>
      <c r="D882" s="74">
        <f t="shared" si="27"/>
        <v>1.3144555147701419E-2</v>
      </c>
      <c r="E882" s="1">
        <v>2.6639911430943182E-3</v>
      </c>
      <c r="G882" s="75">
        <v>880</v>
      </c>
      <c r="H882" s="1">
        <f t="shared" ca="1" si="28"/>
        <v>-2.3001346588439945E-2</v>
      </c>
    </row>
    <row r="883" spans="2:8" x14ac:dyDescent="0.3">
      <c r="B883" s="72">
        <v>43626</v>
      </c>
      <c r="C883" s="73">
        <v>1430.25</v>
      </c>
      <c r="D883" s="74">
        <f t="shared" si="27"/>
        <v>-0.25951333160755891</v>
      </c>
      <c r="E883" s="1">
        <v>2.6639559746224422E-3</v>
      </c>
      <c r="G883" s="75">
        <v>881</v>
      </c>
      <c r="H883" s="1">
        <f t="shared" ca="1" si="28"/>
        <v>1.1277539349998596E-2</v>
      </c>
    </row>
    <row r="884" spans="2:8" x14ac:dyDescent="0.3">
      <c r="B884" s="72">
        <v>44099</v>
      </c>
      <c r="C884" s="73">
        <v>1931.5</v>
      </c>
      <c r="D884" s="74">
        <f t="shared" si="27"/>
        <v>-0.20591197812814765</v>
      </c>
      <c r="E884" s="1">
        <v>2.6604373499448447E-3</v>
      </c>
      <c r="G884" s="75">
        <v>882</v>
      </c>
      <c r="H884" s="1">
        <f t="shared" ca="1" si="28"/>
        <v>2.3750320451081035E-3</v>
      </c>
    </row>
    <row r="885" spans="2:8" x14ac:dyDescent="0.3">
      <c r="B885" s="72">
        <v>46071</v>
      </c>
      <c r="C885" s="73">
        <v>2432.35</v>
      </c>
      <c r="D885" s="74">
        <f t="shared" si="27"/>
        <v>-0.23645467101958814</v>
      </c>
      <c r="E885" s="1">
        <v>2.6381417588986133E-3</v>
      </c>
      <c r="G885" s="75">
        <v>883</v>
      </c>
      <c r="H885" s="1">
        <f t="shared" ca="1" si="28"/>
        <v>-9.1882157276148744E-4</v>
      </c>
    </row>
    <row r="886" spans="2:8" x14ac:dyDescent="0.3">
      <c r="B886" s="72">
        <v>44659</v>
      </c>
      <c r="C886" s="73">
        <v>3185.6</v>
      </c>
      <c r="D886" s="74">
        <f t="shared" si="27"/>
        <v>8.2616822429906506E-2</v>
      </c>
      <c r="E886" s="1">
        <v>2.6359480364154253E-3</v>
      </c>
      <c r="G886" s="75">
        <v>884</v>
      </c>
      <c r="H886" s="1">
        <f t="shared" ca="1" si="28"/>
        <v>-1.370504193009275E-3</v>
      </c>
    </row>
    <row r="887" spans="2:8" x14ac:dyDescent="0.3">
      <c r="B887" s="72">
        <v>45334</v>
      </c>
      <c r="C887" s="73">
        <v>2942.5</v>
      </c>
      <c r="D887" s="74">
        <f t="shared" si="27"/>
        <v>0.77982761227884467</v>
      </c>
      <c r="E887" s="1">
        <v>2.6322290465197193E-3</v>
      </c>
      <c r="G887" s="75">
        <v>885</v>
      </c>
      <c r="H887" s="1">
        <f t="shared" ca="1" si="28"/>
        <v>5.9690119942147953E-3</v>
      </c>
    </row>
    <row r="888" spans="2:8" x14ac:dyDescent="0.3">
      <c r="B888" s="72">
        <v>43934</v>
      </c>
      <c r="C888" s="73">
        <v>1653.25</v>
      </c>
      <c r="D888" s="74">
        <f t="shared" si="27"/>
        <v>0.11689101319056232</v>
      </c>
      <c r="E888" s="1">
        <v>2.6229209939808164E-3</v>
      </c>
      <c r="G888" s="75">
        <v>886</v>
      </c>
      <c r="H888" s="1">
        <f t="shared" ca="1" si="28"/>
        <v>3.6302193753447202E-3</v>
      </c>
    </row>
    <row r="889" spans="2:8" x14ac:dyDescent="0.3">
      <c r="B889" s="72">
        <v>43551</v>
      </c>
      <c r="C889" s="73">
        <v>1480.2249999999999</v>
      </c>
      <c r="D889" s="74">
        <f t="shared" si="27"/>
        <v>-0.16967240702305489</v>
      </c>
      <c r="E889" s="1">
        <v>2.6077385488103692E-3</v>
      </c>
      <c r="G889" s="75">
        <v>887</v>
      </c>
      <c r="H889" s="1">
        <f t="shared" ca="1" si="28"/>
        <v>1.414739732533965E-2</v>
      </c>
    </row>
    <row r="890" spans="2:8" x14ac:dyDescent="0.3">
      <c r="B890" s="72">
        <v>43774</v>
      </c>
      <c r="C890" s="73">
        <v>1782.6999999999998</v>
      </c>
      <c r="D890" s="74">
        <f t="shared" si="27"/>
        <v>-0.23369226470651455</v>
      </c>
      <c r="E890" s="1">
        <v>2.5870311006129629E-3</v>
      </c>
      <c r="G890" s="75">
        <v>888</v>
      </c>
      <c r="H890" s="1">
        <f t="shared" ca="1" si="28"/>
        <v>2.179029144206526E-4</v>
      </c>
    </row>
    <row r="891" spans="2:8" x14ac:dyDescent="0.3">
      <c r="B891" s="72">
        <v>45804</v>
      </c>
      <c r="C891" s="73">
        <v>2326.35</v>
      </c>
      <c r="D891" s="74">
        <f t="shared" si="27"/>
        <v>-0.26288022813688217</v>
      </c>
      <c r="E891" s="1">
        <v>2.5642130667125574E-3</v>
      </c>
      <c r="G891" s="75">
        <v>889</v>
      </c>
      <c r="H891" s="1">
        <f t="shared" ca="1" si="28"/>
        <v>-1.4354037047064292E-2</v>
      </c>
    </row>
    <row r="892" spans="2:8" x14ac:dyDescent="0.3">
      <c r="B892" s="72">
        <v>45259</v>
      </c>
      <c r="C892" s="73">
        <v>3156</v>
      </c>
      <c r="D892" s="74">
        <f t="shared" si="27"/>
        <v>1.2518328249585271</v>
      </c>
      <c r="E892" s="1">
        <v>2.5174114339716119E-3</v>
      </c>
      <c r="G892" s="75">
        <v>890</v>
      </c>
      <c r="H892" s="1">
        <f t="shared" ca="1" si="28"/>
        <v>-5.4313756165372401E-3</v>
      </c>
    </row>
    <row r="893" spans="2:8" x14ac:dyDescent="0.3">
      <c r="B893" s="72">
        <v>43480</v>
      </c>
      <c r="C893" s="73">
        <v>1401.5250000000001</v>
      </c>
      <c r="D893" s="74">
        <f t="shared" si="27"/>
        <v>-0.60127027930497368</v>
      </c>
      <c r="E893" s="1">
        <v>2.503531768029899E-3</v>
      </c>
      <c r="G893" s="75">
        <v>891</v>
      </c>
      <c r="H893" s="1">
        <f t="shared" ca="1" si="28"/>
        <v>-1.6193399603999774E-2</v>
      </c>
    </row>
    <row r="894" spans="2:8" x14ac:dyDescent="0.3">
      <c r="B894" s="72">
        <v>45127</v>
      </c>
      <c r="C894" s="73">
        <v>3514.9749999999999</v>
      </c>
      <c r="D894" s="74">
        <f t="shared" si="27"/>
        <v>0.2846543926172963</v>
      </c>
      <c r="E894" s="1">
        <v>2.4884135472370509E-3</v>
      </c>
      <c r="G894" s="75">
        <v>892</v>
      </c>
      <c r="H894" s="1">
        <f t="shared" ca="1" si="28"/>
        <v>-4.6831773423691193E-3</v>
      </c>
    </row>
    <row r="895" spans="2:8" x14ac:dyDescent="0.3">
      <c r="B895" s="72">
        <v>44956</v>
      </c>
      <c r="C895" s="73">
        <v>2736.125</v>
      </c>
      <c r="D895" s="74">
        <f t="shared" si="27"/>
        <v>0.97212411705348123</v>
      </c>
      <c r="E895" s="1">
        <v>2.4822759997802008E-3</v>
      </c>
      <c r="G895" s="75">
        <v>893</v>
      </c>
      <c r="H895" s="1">
        <f t="shared" ca="1" si="28"/>
        <v>-7.6254742992269524E-3</v>
      </c>
    </row>
    <row r="896" spans="2:8" x14ac:dyDescent="0.3">
      <c r="B896" s="72">
        <v>43516</v>
      </c>
      <c r="C896" s="73">
        <v>1387.4</v>
      </c>
      <c r="D896" s="74">
        <f t="shared" si="27"/>
        <v>-0.55185891017151711</v>
      </c>
      <c r="E896" s="1">
        <v>2.4747556856158401E-3</v>
      </c>
      <c r="G896" s="75">
        <v>894</v>
      </c>
      <c r="H896" s="1">
        <f t="shared" ca="1" si="28"/>
        <v>-6.6839796797246928E-3</v>
      </c>
    </row>
    <row r="897" spans="2:8" x14ac:dyDescent="0.3">
      <c r="B897" s="72">
        <v>44887</v>
      </c>
      <c r="C897" s="73">
        <v>3095.9</v>
      </c>
      <c r="D897" s="74">
        <f t="shared" si="27"/>
        <v>0.1898383904379409</v>
      </c>
      <c r="E897" s="1">
        <v>2.469015874557951E-3</v>
      </c>
      <c r="G897" s="75">
        <v>895</v>
      </c>
      <c r="H897" s="1">
        <f t="shared" ca="1" si="28"/>
        <v>5.3973234458898007E-3</v>
      </c>
    </row>
    <row r="898" spans="2:8" x14ac:dyDescent="0.3">
      <c r="B898" s="72">
        <v>45968</v>
      </c>
      <c r="C898" s="73">
        <v>2601.9499999999998</v>
      </c>
      <c r="D898" s="74">
        <f t="shared" si="27"/>
        <v>-0.23763551128039853</v>
      </c>
      <c r="E898" s="1">
        <v>2.4657587023943425E-3</v>
      </c>
      <c r="G898" s="75">
        <v>896</v>
      </c>
      <c r="H898" s="1">
        <f t="shared" ca="1" si="28"/>
        <v>-2.4670897168104017E-2</v>
      </c>
    </row>
    <row r="899" spans="2:8" x14ac:dyDescent="0.3">
      <c r="B899" s="72">
        <v>45121</v>
      </c>
      <c r="C899" s="73">
        <v>3413</v>
      </c>
      <c r="D899" s="74">
        <f t="shared" ref="D899:D962" si="29">(C899-C900)/C900</f>
        <v>0.13040382210961238</v>
      </c>
      <c r="E899" s="1">
        <v>2.4451673067179152E-3</v>
      </c>
      <c r="G899" s="75">
        <v>897</v>
      </c>
      <c r="H899" s="1">
        <f t="shared" ca="1" si="28"/>
        <v>2.8016355738888113E-3</v>
      </c>
    </row>
    <row r="900" spans="2:8" x14ac:dyDescent="0.3">
      <c r="B900" s="72">
        <v>44379</v>
      </c>
      <c r="C900" s="73">
        <v>3019.2750000000001</v>
      </c>
      <c r="D900" s="74">
        <f t="shared" si="29"/>
        <v>-7.4239590359968105E-2</v>
      </c>
      <c r="E900" s="1">
        <v>2.431979282524701E-3</v>
      </c>
      <c r="G900" s="75">
        <v>898</v>
      </c>
      <c r="H900" s="1">
        <f t="shared" ref="H900:H963" ca="1" si="30">_xlfn.NORM.INV(RAND(),$N$4,$N$5)</f>
        <v>-8.3001524975875405E-3</v>
      </c>
    </row>
    <row r="901" spans="2:8" x14ac:dyDescent="0.3">
      <c r="B901" s="72">
        <v>45181</v>
      </c>
      <c r="C901" s="73">
        <v>3261.4</v>
      </c>
      <c r="D901" s="74">
        <f t="shared" si="29"/>
        <v>0.15495825697413979</v>
      </c>
      <c r="E901" s="1">
        <v>2.4281542953742403E-3</v>
      </c>
      <c r="G901" s="75">
        <v>899</v>
      </c>
      <c r="H901" s="1">
        <f t="shared" ca="1" si="30"/>
        <v>-1.4963925608734278E-2</v>
      </c>
    </row>
    <row r="902" spans="2:8" x14ac:dyDescent="0.3">
      <c r="B902" s="72">
        <v>44335</v>
      </c>
      <c r="C902" s="73">
        <v>2823.8249999999998</v>
      </c>
      <c r="D902" s="74">
        <f t="shared" si="29"/>
        <v>-5.3606588968672327E-2</v>
      </c>
      <c r="E902" s="1">
        <v>2.4227902023428536E-3</v>
      </c>
      <c r="G902" s="75">
        <v>900</v>
      </c>
      <c r="H902" s="1">
        <f t="shared" ca="1" si="30"/>
        <v>1.1696278340514054E-2</v>
      </c>
    </row>
    <row r="903" spans="2:8" x14ac:dyDescent="0.3">
      <c r="B903" s="72">
        <v>45590</v>
      </c>
      <c r="C903" s="73">
        <v>2983.7750000000001</v>
      </c>
      <c r="D903" s="74">
        <f t="shared" si="29"/>
        <v>1.3304824946790854</v>
      </c>
      <c r="E903" s="1">
        <v>2.3936304234626173E-3</v>
      </c>
      <c r="G903" s="75">
        <v>901</v>
      </c>
      <c r="H903" s="1">
        <f t="shared" ca="1" si="30"/>
        <v>1.521751296906847E-2</v>
      </c>
    </row>
    <row r="904" spans="2:8" x14ac:dyDescent="0.3">
      <c r="B904" s="72">
        <v>43269</v>
      </c>
      <c r="C904" s="73">
        <v>1280.325</v>
      </c>
      <c r="D904" s="74">
        <f t="shared" si="29"/>
        <v>-0.6117639032081994</v>
      </c>
      <c r="E904" s="1">
        <v>2.3094236226637015E-3</v>
      </c>
      <c r="G904" s="75">
        <v>902</v>
      </c>
      <c r="H904" s="1">
        <f t="shared" ca="1" si="30"/>
        <v>-1.4130778247534751E-3</v>
      </c>
    </row>
    <row r="905" spans="2:8" x14ac:dyDescent="0.3">
      <c r="B905" s="72">
        <v>44546</v>
      </c>
      <c r="C905" s="73">
        <v>3297.8</v>
      </c>
      <c r="D905" s="74">
        <f t="shared" si="29"/>
        <v>1.4179192022875577</v>
      </c>
      <c r="E905" s="1">
        <v>2.3022741605818061E-3</v>
      </c>
      <c r="G905" s="75">
        <v>903</v>
      </c>
      <c r="H905" s="1">
        <f t="shared" ca="1" si="30"/>
        <v>5.39699748172035E-4</v>
      </c>
    </row>
    <row r="906" spans="2:8" x14ac:dyDescent="0.3">
      <c r="B906" s="72">
        <v>43643</v>
      </c>
      <c r="C906" s="73">
        <v>1363.9</v>
      </c>
      <c r="D906" s="74">
        <f t="shared" si="29"/>
        <v>-0.53031724850415385</v>
      </c>
      <c r="E906" s="1">
        <v>2.2964854586540757E-3</v>
      </c>
      <c r="G906" s="75">
        <v>904</v>
      </c>
      <c r="H906" s="1">
        <f t="shared" ca="1" si="30"/>
        <v>5.7287064965494666E-3</v>
      </c>
    </row>
    <row r="907" spans="2:8" x14ac:dyDescent="0.3">
      <c r="B907" s="72">
        <v>45387</v>
      </c>
      <c r="C907" s="73">
        <v>2903.875</v>
      </c>
      <c r="D907" s="74">
        <f t="shared" si="29"/>
        <v>-5.8803033740641157E-2</v>
      </c>
      <c r="E907" s="1">
        <v>2.286651134696695E-3</v>
      </c>
      <c r="G907" s="75">
        <v>905</v>
      </c>
      <c r="H907" s="1">
        <f t="shared" ca="1" si="30"/>
        <v>2.1756744236838852E-2</v>
      </c>
    </row>
    <row r="908" spans="2:8" x14ac:dyDescent="0.3">
      <c r="B908" s="72">
        <v>44883</v>
      </c>
      <c r="C908" s="73">
        <v>3085.3</v>
      </c>
      <c r="D908" s="74">
        <f t="shared" si="29"/>
        <v>1.2123586038757328</v>
      </c>
      <c r="E908" s="1">
        <v>2.2821222925177545E-3</v>
      </c>
      <c r="G908" s="75">
        <v>906</v>
      </c>
      <c r="H908" s="1">
        <f t="shared" ca="1" si="30"/>
        <v>-1.5381500283009256E-2</v>
      </c>
    </row>
    <row r="909" spans="2:8" x14ac:dyDescent="0.3">
      <c r="B909" s="72">
        <v>43472</v>
      </c>
      <c r="C909" s="73">
        <v>1394.575</v>
      </c>
      <c r="D909" s="74">
        <f t="shared" si="29"/>
        <v>-7.2339647115560499E-2</v>
      </c>
      <c r="E909" s="1">
        <v>2.2818743711369516E-3</v>
      </c>
      <c r="G909" s="75">
        <v>907</v>
      </c>
      <c r="H909" s="1">
        <f t="shared" ca="1" si="30"/>
        <v>2.5957833570302864E-2</v>
      </c>
    </row>
    <row r="910" spans="2:8" x14ac:dyDescent="0.3">
      <c r="B910" s="72">
        <v>43971</v>
      </c>
      <c r="C910" s="73">
        <v>1503.325</v>
      </c>
      <c r="D910" s="74">
        <f t="shared" si="29"/>
        <v>-0.50208661091330631</v>
      </c>
      <c r="E910" s="1">
        <v>2.2500750025000833E-3</v>
      </c>
      <c r="G910" s="75">
        <v>908</v>
      </c>
      <c r="H910" s="1">
        <f t="shared" ca="1" si="30"/>
        <v>2.2755506412580281E-5</v>
      </c>
    </row>
    <row r="911" spans="2:8" x14ac:dyDescent="0.3">
      <c r="B911" s="72">
        <v>44372</v>
      </c>
      <c r="C911" s="73">
        <v>3019.25</v>
      </c>
      <c r="D911" s="74">
        <f t="shared" si="29"/>
        <v>0.32743460101121125</v>
      </c>
      <c r="E911" s="1">
        <v>2.2157124718887272E-3</v>
      </c>
      <c r="G911" s="75">
        <v>909</v>
      </c>
      <c r="H911" s="1">
        <f t="shared" ca="1" si="30"/>
        <v>-1.1228132475276285E-3</v>
      </c>
    </row>
    <row r="912" spans="2:8" x14ac:dyDescent="0.3">
      <c r="B912" s="72">
        <v>45827</v>
      </c>
      <c r="C912" s="73">
        <v>2274.5</v>
      </c>
      <c r="D912" s="74">
        <f t="shared" si="29"/>
        <v>-0.24563658223125079</v>
      </c>
      <c r="E912" s="1">
        <v>2.2031284423881911E-3</v>
      </c>
      <c r="G912" s="75">
        <v>910</v>
      </c>
      <c r="H912" s="1">
        <f t="shared" ca="1" si="30"/>
        <v>6.9700697529987829E-3</v>
      </c>
    </row>
    <row r="913" spans="2:8" x14ac:dyDescent="0.3">
      <c r="B913" s="72">
        <v>44406</v>
      </c>
      <c r="C913" s="73">
        <v>3015.125</v>
      </c>
      <c r="D913" s="74">
        <f t="shared" si="29"/>
        <v>1.2170036764705883</v>
      </c>
      <c r="E913" s="1">
        <v>2.2020940668107032E-3</v>
      </c>
      <c r="G913" s="75">
        <v>911</v>
      </c>
      <c r="H913" s="1">
        <f t="shared" ca="1" si="30"/>
        <v>-3.7643549061158717E-3</v>
      </c>
    </row>
    <row r="914" spans="2:8" x14ac:dyDescent="0.3">
      <c r="B914" s="72">
        <v>43662</v>
      </c>
      <c r="C914" s="73">
        <v>1360</v>
      </c>
      <c r="D914" s="74">
        <f t="shared" si="29"/>
        <v>-0.41959713212700578</v>
      </c>
      <c r="E914" s="1">
        <v>2.1922956467271488E-3</v>
      </c>
      <c r="G914" s="75">
        <v>912</v>
      </c>
      <c r="H914" s="1">
        <f t="shared" ca="1" si="30"/>
        <v>7.1577845382253796E-3</v>
      </c>
    </row>
    <row r="915" spans="2:8" x14ac:dyDescent="0.3">
      <c r="B915" s="72">
        <v>45866</v>
      </c>
      <c r="C915" s="73">
        <v>2343.1999999999998</v>
      </c>
      <c r="D915" s="74">
        <f t="shared" si="29"/>
        <v>-0.17916382043332804</v>
      </c>
      <c r="E915" s="1">
        <v>2.1598272138227772E-3</v>
      </c>
      <c r="G915" s="75">
        <v>913</v>
      </c>
      <c r="H915" s="1">
        <f t="shared" ca="1" si="30"/>
        <v>-1.0534813108562873E-2</v>
      </c>
    </row>
    <row r="916" spans="2:8" x14ac:dyDescent="0.3">
      <c r="B916" s="72">
        <v>44994</v>
      </c>
      <c r="C916" s="73">
        <v>2854.6499999999996</v>
      </c>
      <c r="D916" s="74">
        <f t="shared" si="29"/>
        <v>-8.0428112391582776E-2</v>
      </c>
      <c r="E916" s="1">
        <v>2.1590310689835481E-3</v>
      </c>
      <c r="G916" s="75">
        <v>914</v>
      </c>
      <c r="H916" s="1">
        <f t="shared" ca="1" si="30"/>
        <v>-1.8718088603611956E-2</v>
      </c>
    </row>
    <row r="917" spans="2:8" x14ac:dyDescent="0.3">
      <c r="B917" s="72">
        <v>44652</v>
      </c>
      <c r="C917" s="73">
        <v>3104.3249999999998</v>
      </c>
      <c r="D917" s="74">
        <f t="shared" si="29"/>
        <v>0.13220088626292445</v>
      </c>
      <c r="E917" s="1">
        <v>2.1467713688491001E-3</v>
      </c>
      <c r="G917" s="75">
        <v>915</v>
      </c>
      <c r="H917" s="1">
        <f t="shared" ca="1" si="30"/>
        <v>1.6078848780573012E-2</v>
      </c>
    </row>
    <row r="918" spans="2:8" x14ac:dyDescent="0.3">
      <c r="B918" s="72">
        <v>44984</v>
      </c>
      <c r="C918" s="73">
        <v>2741.8500000000004</v>
      </c>
      <c r="D918" s="74">
        <f t="shared" si="29"/>
        <v>-0.11621647756575545</v>
      </c>
      <c r="E918" s="1">
        <v>2.138157894736975E-3</v>
      </c>
      <c r="G918" s="75">
        <v>916</v>
      </c>
      <c r="H918" s="1">
        <f t="shared" ca="1" si="30"/>
        <v>8.3709775010201194E-3</v>
      </c>
    </row>
    <row r="919" spans="2:8" x14ac:dyDescent="0.3">
      <c r="B919" s="72">
        <v>44888</v>
      </c>
      <c r="C919" s="73">
        <v>3102.4</v>
      </c>
      <c r="D919" s="74">
        <f t="shared" si="29"/>
        <v>9.564465006224461E-2</v>
      </c>
      <c r="E919" s="1">
        <v>2.0995510190897639E-3</v>
      </c>
      <c r="G919" s="75">
        <v>917</v>
      </c>
      <c r="H919" s="1">
        <f t="shared" ca="1" si="30"/>
        <v>-1.2501549645521585E-2</v>
      </c>
    </row>
    <row r="920" spans="2:8" x14ac:dyDescent="0.3">
      <c r="B920" s="72">
        <v>45373</v>
      </c>
      <c r="C920" s="73">
        <v>2831.5749999999998</v>
      </c>
      <c r="D920" s="74">
        <f t="shared" si="29"/>
        <v>1.3952249032503647</v>
      </c>
      <c r="E920" s="1">
        <v>2.0791308348373856E-3</v>
      </c>
      <c r="G920" s="75">
        <v>918</v>
      </c>
      <c r="H920" s="1">
        <f t="shared" ca="1" si="30"/>
        <v>3.0220255030683544E-2</v>
      </c>
    </row>
    <row r="921" spans="2:8" x14ac:dyDescent="0.3">
      <c r="B921" s="72">
        <v>43108</v>
      </c>
      <c r="C921" s="73">
        <v>1182.175</v>
      </c>
      <c r="D921" s="74">
        <f t="shared" si="29"/>
        <v>-0.52307614725163898</v>
      </c>
      <c r="E921" s="1">
        <v>2.0767551759944443E-3</v>
      </c>
      <c r="G921" s="75">
        <v>919</v>
      </c>
      <c r="H921" s="1">
        <f t="shared" ca="1" si="30"/>
        <v>2.1385056556388556E-2</v>
      </c>
    </row>
    <row r="922" spans="2:8" x14ac:dyDescent="0.3">
      <c r="B922" s="72">
        <v>45629</v>
      </c>
      <c r="C922" s="73">
        <v>2478.75</v>
      </c>
      <c r="D922" s="74">
        <f t="shared" si="29"/>
        <v>-0.19476005230201981</v>
      </c>
      <c r="E922" s="1">
        <v>2.051603383629546E-3</v>
      </c>
      <c r="G922" s="75">
        <v>920</v>
      </c>
      <c r="H922" s="1">
        <f t="shared" ca="1" si="30"/>
        <v>-1.8659738739230519E-2</v>
      </c>
    </row>
    <row r="923" spans="2:8" x14ac:dyDescent="0.3">
      <c r="B923" s="72">
        <v>44882</v>
      </c>
      <c r="C923" s="73">
        <v>3078.2750000000001</v>
      </c>
      <c r="D923" s="74">
        <f t="shared" si="29"/>
        <v>-9.5536114355392013E-2</v>
      </c>
      <c r="E923" s="1">
        <v>2.0426432291666963E-3</v>
      </c>
      <c r="G923" s="75">
        <v>921</v>
      </c>
      <c r="H923" s="1">
        <f t="shared" ca="1" si="30"/>
        <v>1.4918661195766828E-2</v>
      </c>
    </row>
    <row r="924" spans="2:8" x14ac:dyDescent="0.3">
      <c r="B924" s="72">
        <v>45289</v>
      </c>
      <c r="C924" s="73">
        <v>3403.4250000000002</v>
      </c>
      <c r="D924" s="74">
        <f t="shared" si="29"/>
        <v>8.1482364156339429E-2</v>
      </c>
      <c r="E924" s="1">
        <v>2.0388635359929875E-3</v>
      </c>
      <c r="G924" s="75">
        <v>922</v>
      </c>
      <c r="H924" s="1">
        <f t="shared" ca="1" si="30"/>
        <v>1.433336374961789E-2</v>
      </c>
    </row>
    <row r="925" spans="2:8" x14ac:dyDescent="0.3">
      <c r="B925" s="72">
        <v>44901</v>
      </c>
      <c r="C925" s="73">
        <v>3147</v>
      </c>
      <c r="D925" s="74">
        <f t="shared" si="29"/>
        <v>0.23278816962099697</v>
      </c>
      <c r="E925" s="1">
        <v>2.0378271667834463E-3</v>
      </c>
      <c r="G925" s="75">
        <v>923</v>
      </c>
      <c r="H925" s="1">
        <f t="shared" ca="1" si="30"/>
        <v>9.0996130218100081E-3</v>
      </c>
    </row>
    <row r="926" spans="2:8" x14ac:dyDescent="0.3">
      <c r="B926" s="72">
        <v>45912</v>
      </c>
      <c r="C926" s="73">
        <v>2552.75</v>
      </c>
      <c r="D926" s="74">
        <f t="shared" si="29"/>
        <v>0.93006332104716005</v>
      </c>
      <c r="E926" s="1">
        <v>2.0215104411995962E-3</v>
      </c>
      <c r="G926" s="75">
        <v>924</v>
      </c>
      <c r="H926" s="1">
        <f t="shared" ca="1" si="30"/>
        <v>2.0010838090051214E-3</v>
      </c>
    </row>
    <row r="927" spans="2:8" x14ac:dyDescent="0.3">
      <c r="B927" s="72">
        <v>43419</v>
      </c>
      <c r="C927" s="73">
        <v>1322.625</v>
      </c>
      <c r="D927" s="74">
        <f t="shared" si="29"/>
        <v>-0.55699859324758838</v>
      </c>
      <c r="E927" s="1">
        <v>2.0076137805640948E-3</v>
      </c>
      <c r="G927" s="75">
        <v>925</v>
      </c>
      <c r="H927" s="1">
        <f t="shared" ca="1" si="30"/>
        <v>1.073645821140237E-2</v>
      </c>
    </row>
    <row r="928" spans="2:8" x14ac:dyDescent="0.3">
      <c r="B928" s="72">
        <v>45345</v>
      </c>
      <c r="C928" s="73">
        <v>2985.6</v>
      </c>
      <c r="D928" s="74">
        <f t="shared" si="29"/>
        <v>3.6486721055372297E-2</v>
      </c>
      <c r="E928" s="1">
        <v>1.9968788280503662E-3</v>
      </c>
      <c r="G928" s="75">
        <v>926</v>
      </c>
      <c r="H928" s="1">
        <f t="shared" ca="1" si="30"/>
        <v>-6.1105545566529998E-4</v>
      </c>
    </row>
    <row r="929" spans="2:8" x14ac:dyDescent="0.3">
      <c r="B929" s="72">
        <v>45985</v>
      </c>
      <c r="C929" s="73">
        <v>2880.5</v>
      </c>
      <c r="D929" s="74">
        <f t="shared" si="29"/>
        <v>0.1289658821454468</v>
      </c>
      <c r="E929" s="1">
        <v>1.9653199297354962E-3</v>
      </c>
      <c r="G929" s="75">
        <v>927</v>
      </c>
      <c r="H929" s="1">
        <f t="shared" ca="1" si="30"/>
        <v>1.3573855250960276E-2</v>
      </c>
    </row>
    <row r="930" spans="2:8" x14ac:dyDescent="0.3">
      <c r="B930" s="72">
        <v>45902</v>
      </c>
      <c r="C930" s="73">
        <v>2551.4499999999998</v>
      </c>
      <c r="D930" s="74">
        <f t="shared" si="29"/>
        <v>8.4892422825069994E-2</v>
      </c>
      <c r="E930" s="1">
        <v>1.9635178385595635E-3</v>
      </c>
      <c r="G930" s="75">
        <v>928</v>
      </c>
      <c r="H930" s="1">
        <f t="shared" ca="1" si="30"/>
        <v>-2.2469547798920741E-2</v>
      </c>
    </row>
    <row r="931" spans="2:8" x14ac:dyDescent="0.3">
      <c r="B931" s="72">
        <v>45943</v>
      </c>
      <c r="C931" s="73">
        <v>2351.8000000000002</v>
      </c>
      <c r="D931" s="74">
        <f t="shared" si="29"/>
        <v>0.68723881266254161</v>
      </c>
      <c r="E931" s="1">
        <v>1.9597818677574829E-3</v>
      </c>
      <c r="G931" s="75">
        <v>929</v>
      </c>
      <c r="H931" s="1">
        <f t="shared" ca="1" si="30"/>
        <v>1.3149470181188318E-2</v>
      </c>
    </row>
    <row r="932" spans="2:8" x14ac:dyDescent="0.3">
      <c r="B932" s="72">
        <v>43483</v>
      </c>
      <c r="C932" s="73">
        <v>1393.875</v>
      </c>
      <c r="D932" s="74">
        <f t="shared" si="29"/>
        <v>-0.50337142704445659</v>
      </c>
      <c r="E932" s="1">
        <v>1.9588110556014154E-3</v>
      </c>
      <c r="G932" s="75">
        <v>930</v>
      </c>
      <c r="H932" s="1">
        <f t="shared" ca="1" si="30"/>
        <v>-7.883881978767316E-3</v>
      </c>
    </row>
    <row r="933" spans="2:8" x14ac:dyDescent="0.3">
      <c r="B933" s="72">
        <v>44203</v>
      </c>
      <c r="C933" s="73">
        <v>2806.6750000000002</v>
      </c>
      <c r="D933" s="74">
        <f t="shared" si="29"/>
        <v>-6.8346846136610587E-2</v>
      </c>
      <c r="E933" s="1">
        <v>1.9455773813243395E-3</v>
      </c>
      <c r="G933" s="75">
        <v>931</v>
      </c>
      <c r="H933" s="1">
        <f t="shared" ca="1" si="30"/>
        <v>1.7293075532317223E-2</v>
      </c>
    </row>
    <row r="934" spans="2:8" x14ac:dyDescent="0.3">
      <c r="B934" s="72">
        <v>44371</v>
      </c>
      <c r="C934" s="73">
        <v>3012.5749999999998</v>
      </c>
      <c r="D934" s="74">
        <f t="shared" si="29"/>
        <v>3.7370224341867264E-2</v>
      </c>
      <c r="E934" s="1">
        <v>1.9373077242869604E-3</v>
      </c>
      <c r="G934" s="75">
        <v>932</v>
      </c>
      <c r="H934" s="1">
        <f t="shared" ca="1" si="30"/>
        <v>-2.8555749520669752E-3</v>
      </c>
    </row>
    <row r="935" spans="2:8" x14ac:dyDescent="0.3">
      <c r="B935" s="72">
        <v>45464</v>
      </c>
      <c r="C935" s="73">
        <v>2904.05</v>
      </c>
      <c r="D935" s="74">
        <f t="shared" si="29"/>
        <v>2.5414228083649043E-2</v>
      </c>
      <c r="E935" s="1">
        <v>1.9320671393332175E-3</v>
      </c>
      <c r="G935" s="75">
        <v>933</v>
      </c>
      <c r="H935" s="1">
        <f t="shared" ca="1" si="30"/>
        <v>-2.0969250362283455E-2</v>
      </c>
    </row>
    <row r="936" spans="2:8" x14ac:dyDescent="0.3">
      <c r="B936" s="72">
        <v>45036</v>
      </c>
      <c r="C936" s="73">
        <v>2832.0749999999998</v>
      </c>
      <c r="D936" s="74">
        <f t="shared" si="29"/>
        <v>-0.12440968008718574</v>
      </c>
      <c r="E936" s="1">
        <v>1.9103717264983191E-3</v>
      </c>
      <c r="G936" s="75">
        <v>934</v>
      </c>
      <c r="H936" s="1">
        <f t="shared" ca="1" si="30"/>
        <v>1.458417282393394E-2</v>
      </c>
    </row>
    <row r="937" spans="2:8" x14ac:dyDescent="0.3">
      <c r="B937" s="72">
        <v>45079</v>
      </c>
      <c r="C937" s="73">
        <v>3234.4749999999999</v>
      </c>
      <c r="D937" s="74">
        <f t="shared" si="29"/>
        <v>1.3126932770856052</v>
      </c>
      <c r="E937" s="1">
        <v>1.866220632191947E-3</v>
      </c>
      <c r="G937" s="75">
        <v>935</v>
      </c>
      <c r="H937" s="1">
        <f t="shared" ca="1" si="30"/>
        <v>1.1557770033680848E-2</v>
      </c>
    </row>
    <row r="938" spans="2:8" x14ac:dyDescent="0.3">
      <c r="B938" s="72">
        <v>43521</v>
      </c>
      <c r="C938" s="73">
        <v>1398.5749999999998</v>
      </c>
      <c r="D938" s="74">
        <f t="shared" si="29"/>
        <v>-0.41615354108831332</v>
      </c>
      <c r="E938" s="1">
        <v>1.8624975375632867E-3</v>
      </c>
      <c r="G938" s="75">
        <v>936</v>
      </c>
      <c r="H938" s="1">
        <f t="shared" ca="1" si="30"/>
        <v>-2.0652074573217681E-2</v>
      </c>
    </row>
    <row r="939" spans="2:8" x14ac:dyDescent="0.3">
      <c r="B939" s="72">
        <v>46065</v>
      </c>
      <c r="C939" s="73">
        <v>2395.4499999999998</v>
      </c>
      <c r="D939" s="74">
        <f t="shared" si="29"/>
        <v>-0.31975947578784464</v>
      </c>
      <c r="E939" s="1">
        <v>1.8611459640317097E-3</v>
      </c>
      <c r="G939" s="75">
        <v>937</v>
      </c>
      <c r="H939" s="1">
        <f t="shared" ca="1" si="30"/>
        <v>7.481355468609487E-4</v>
      </c>
    </row>
    <row r="940" spans="2:8" x14ac:dyDescent="0.3">
      <c r="B940" s="72">
        <v>45128</v>
      </c>
      <c r="C940" s="73">
        <v>3521.4749999999999</v>
      </c>
      <c r="D940" s="74">
        <f t="shared" si="29"/>
        <v>6.417908192559911E-2</v>
      </c>
      <c r="E940" s="1">
        <v>1.8492307911151574E-3</v>
      </c>
      <c r="G940" s="75">
        <v>938</v>
      </c>
      <c r="H940" s="1">
        <f t="shared" ca="1" si="30"/>
        <v>-2.3944140928448127E-3</v>
      </c>
    </row>
    <row r="941" spans="2:8" x14ac:dyDescent="0.3">
      <c r="B941" s="72">
        <v>44461</v>
      </c>
      <c r="C941" s="73">
        <v>3309.1</v>
      </c>
      <c r="D941" s="74">
        <f t="shared" si="29"/>
        <v>0.22401723707450596</v>
      </c>
      <c r="E941" s="1">
        <v>1.846805933999367E-3</v>
      </c>
      <c r="G941" s="75">
        <v>939</v>
      </c>
      <c r="H941" s="1">
        <f t="shared" ca="1" si="30"/>
        <v>-7.9505300794220756E-3</v>
      </c>
    </row>
    <row r="942" spans="2:8" x14ac:dyDescent="0.3">
      <c r="B942" s="72">
        <v>44742</v>
      </c>
      <c r="C942" s="73">
        <v>2703.4749999999999</v>
      </c>
      <c r="D942" s="74">
        <f t="shared" si="29"/>
        <v>-0.16905640079913942</v>
      </c>
      <c r="E942" s="1">
        <v>1.8436168241615376E-3</v>
      </c>
      <c r="G942" s="75">
        <v>940</v>
      </c>
      <c r="H942" s="1">
        <f t="shared" ca="1" si="30"/>
        <v>-1.4179113812122916E-2</v>
      </c>
    </row>
    <row r="943" spans="2:8" x14ac:dyDescent="0.3">
      <c r="B943" s="72">
        <v>45180</v>
      </c>
      <c r="C943" s="73">
        <v>3253.5</v>
      </c>
      <c r="D943" s="74">
        <f t="shared" si="29"/>
        <v>3.5725939308083474E-2</v>
      </c>
      <c r="E943" s="1">
        <v>1.8398626646445859E-3</v>
      </c>
      <c r="G943" s="75">
        <v>941</v>
      </c>
      <c r="H943" s="1">
        <f t="shared" ca="1" si="30"/>
        <v>-1.7937375961301294E-2</v>
      </c>
    </row>
    <row r="944" spans="2:8" x14ac:dyDescent="0.3">
      <c r="B944" s="72">
        <v>45076</v>
      </c>
      <c r="C944" s="73">
        <v>3141.2750000000001</v>
      </c>
      <c r="D944" s="74">
        <f t="shared" si="29"/>
        <v>1.3265487153847394E-2</v>
      </c>
      <c r="E944" s="1">
        <v>1.8338236818395642E-3</v>
      </c>
      <c r="G944" s="75">
        <v>942</v>
      </c>
      <c r="H944" s="1">
        <f t="shared" ca="1" si="30"/>
        <v>2.521895026067819E-3</v>
      </c>
    </row>
    <row r="945" spans="2:8" x14ac:dyDescent="0.3">
      <c r="B945" s="72">
        <v>45509</v>
      </c>
      <c r="C945" s="73">
        <v>3100.15</v>
      </c>
      <c r="D945" s="74">
        <f t="shared" si="29"/>
        <v>1.1134024132524369</v>
      </c>
      <c r="E945" s="1">
        <v>1.8177264685210169E-3</v>
      </c>
      <c r="G945" s="75">
        <v>943</v>
      </c>
      <c r="H945" s="1">
        <f t="shared" ca="1" si="30"/>
        <v>-1.2758102787276612E-3</v>
      </c>
    </row>
    <row r="946" spans="2:8" x14ac:dyDescent="0.3">
      <c r="B946" s="72">
        <v>43503</v>
      </c>
      <c r="C946" s="73">
        <v>1466.9</v>
      </c>
      <c r="D946" s="74">
        <f t="shared" si="29"/>
        <v>9.9254374461388614E-2</v>
      </c>
      <c r="E946" s="1">
        <v>1.8098002390302824E-3</v>
      </c>
      <c r="G946" s="75">
        <v>944</v>
      </c>
      <c r="H946" s="1">
        <f t="shared" ca="1" si="30"/>
        <v>-1.2333522743226545E-3</v>
      </c>
    </row>
    <row r="947" spans="2:8" x14ac:dyDescent="0.3">
      <c r="B947" s="72">
        <v>43598</v>
      </c>
      <c r="C947" s="73">
        <v>1334.45</v>
      </c>
      <c r="D947" s="74">
        <f t="shared" si="29"/>
        <v>-0.32462832922123108</v>
      </c>
      <c r="E947" s="1">
        <v>1.8017341691378634E-3</v>
      </c>
      <c r="G947" s="75">
        <v>945</v>
      </c>
      <c r="H947" s="1">
        <f t="shared" ca="1" si="30"/>
        <v>3.3328230237870446E-2</v>
      </c>
    </row>
    <row r="948" spans="2:8" x14ac:dyDescent="0.3">
      <c r="B948" s="72">
        <v>44081</v>
      </c>
      <c r="C948" s="73">
        <v>1975.875</v>
      </c>
      <c r="D948" s="74">
        <f t="shared" si="29"/>
        <v>-0.41220437304774654</v>
      </c>
      <c r="E948" s="1">
        <v>1.7872081527112789E-3</v>
      </c>
      <c r="G948" s="75">
        <v>946</v>
      </c>
      <c r="H948" s="1">
        <f t="shared" ca="1" si="30"/>
        <v>-1.4225076117212363E-2</v>
      </c>
    </row>
    <row r="949" spans="2:8" x14ac:dyDescent="0.3">
      <c r="B949" s="72">
        <v>45139</v>
      </c>
      <c r="C949" s="73">
        <v>3361.5</v>
      </c>
      <c r="D949" s="74">
        <f t="shared" si="29"/>
        <v>0.31463936878538123</v>
      </c>
      <c r="E949" s="1">
        <v>1.765718245010224E-3</v>
      </c>
      <c r="G949" s="75">
        <v>947</v>
      </c>
      <c r="H949" s="1">
        <f t="shared" ca="1" si="30"/>
        <v>-8.0128412895428376E-4</v>
      </c>
    </row>
    <row r="950" spans="2:8" x14ac:dyDescent="0.3">
      <c r="B950" s="72">
        <v>44286</v>
      </c>
      <c r="C950" s="73">
        <v>2556.9749999999999</v>
      </c>
      <c r="D950" s="74">
        <f t="shared" si="29"/>
        <v>9.7772737050356679E-6</v>
      </c>
      <c r="E950" s="1">
        <v>1.7629947403990246E-3</v>
      </c>
      <c r="G950" s="75">
        <v>948</v>
      </c>
      <c r="H950" s="1">
        <f t="shared" ca="1" si="30"/>
        <v>-1.2247784640086802E-2</v>
      </c>
    </row>
    <row r="951" spans="2:8" x14ac:dyDescent="0.3">
      <c r="B951" s="72">
        <v>44313</v>
      </c>
      <c r="C951" s="73">
        <v>2556.9499999999998</v>
      </c>
      <c r="D951" s="74">
        <f t="shared" si="29"/>
        <v>0.68887054161162475</v>
      </c>
      <c r="E951" s="1">
        <v>1.7433888344759326E-3</v>
      </c>
      <c r="G951" s="75">
        <v>949</v>
      </c>
      <c r="H951" s="1">
        <f t="shared" ca="1" si="30"/>
        <v>1.4224810077096535E-2</v>
      </c>
    </row>
    <row r="952" spans="2:8" x14ac:dyDescent="0.3">
      <c r="B952" s="72">
        <v>43559</v>
      </c>
      <c r="C952" s="73">
        <v>1514</v>
      </c>
      <c r="D952" s="74">
        <f t="shared" si="29"/>
        <v>9.351582672757798E-2</v>
      </c>
      <c r="E952" s="1">
        <v>1.7036902261111505E-3</v>
      </c>
      <c r="G952" s="75">
        <v>950</v>
      </c>
      <c r="H952" s="1">
        <f t="shared" ca="1" si="30"/>
        <v>-1.0960394511712957E-2</v>
      </c>
    </row>
    <row r="953" spans="2:8" x14ac:dyDescent="0.3">
      <c r="B953" s="72">
        <v>43668</v>
      </c>
      <c r="C953" s="73">
        <v>1384.5250000000001</v>
      </c>
      <c r="D953" s="74">
        <f t="shared" si="29"/>
        <v>-0.51829204648249938</v>
      </c>
      <c r="E953" s="1">
        <v>1.6821009984083674E-3</v>
      </c>
      <c r="G953" s="75">
        <v>951</v>
      </c>
      <c r="H953" s="1">
        <f t="shared" ca="1" si="30"/>
        <v>4.9847437892425574E-3</v>
      </c>
    </row>
    <row r="954" spans="2:8" x14ac:dyDescent="0.3">
      <c r="B954" s="72">
        <v>45384</v>
      </c>
      <c r="C954" s="73">
        <v>2874.2</v>
      </c>
      <c r="D954" s="74">
        <f t="shared" si="29"/>
        <v>0.90023470298502495</v>
      </c>
      <c r="E954" s="1">
        <v>1.6728235868126377E-3</v>
      </c>
      <c r="G954" s="75">
        <v>952</v>
      </c>
      <c r="H954" s="1">
        <f t="shared" ca="1" si="30"/>
        <v>9.1667146815954687E-3</v>
      </c>
    </row>
    <row r="955" spans="2:8" x14ac:dyDescent="0.3">
      <c r="B955" s="72">
        <v>43678</v>
      </c>
      <c r="C955" s="73">
        <v>1512.5500000000002</v>
      </c>
      <c r="D955" s="74">
        <f t="shared" si="29"/>
        <v>-0.37345829234194577</v>
      </c>
      <c r="E955" s="1">
        <v>1.638991440822566E-3</v>
      </c>
      <c r="G955" s="75">
        <v>953</v>
      </c>
      <c r="H955" s="1">
        <f t="shared" ca="1" si="30"/>
        <v>8.3073570381214795E-3</v>
      </c>
    </row>
    <row r="956" spans="2:8" x14ac:dyDescent="0.3">
      <c r="B956" s="72">
        <v>45758</v>
      </c>
      <c r="C956" s="73">
        <v>2414.125</v>
      </c>
      <c r="D956" s="74">
        <f t="shared" si="29"/>
        <v>0.88169842940098986</v>
      </c>
      <c r="E956" s="1">
        <v>1.6388851431949206E-3</v>
      </c>
      <c r="G956" s="75">
        <v>954</v>
      </c>
      <c r="H956" s="1">
        <f t="shared" ca="1" si="30"/>
        <v>5.5186421982222954E-4</v>
      </c>
    </row>
    <row r="957" spans="2:8" x14ac:dyDescent="0.3">
      <c r="B957" s="72">
        <v>43244</v>
      </c>
      <c r="C957" s="73">
        <v>1282.95</v>
      </c>
      <c r="D957" s="74">
        <f t="shared" si="29"/>
        <v>-0.55865734410072498</v>
      </c>
      <c r="E957" s="1">
        <v>1.6199863374646592E-3</v>
      </c>
      <c r="G957" s="75">
        <v>955</v>
      </c>
      <c r="H957" s="1">
        <f t="shared" ca="1" si="30"/>
        <v>-3.0560896895328389E-4</v>
      </c>
    </row>
    <row r="958" spans="2:8" x14ac:dyDescent="0.3">
      <c r="B958" s="72">
        <v>45043</v>
      </c>
      <c r="C958" s="73">
        <v>2906.9250000000002</v>
      </c>
      <c r="D958" s="74">
        <f t="shared" si="29"/>
        <v>0.26291951775822753</v>
      </c>
      <c r="E958" s="1">
        <v>1.6108191920062647E-3</v>
      </c>
      <c r="G958" s="75">
        <v>956</v>
      </c>
      <c r="H958" s="1">
        <f t="shared" ca="1" si="30"/>
        <v>-1.2091616498381698E-2</v>
      </c>
    </row>
    <row r="959" spans="2:8" x14ac:dyDescent="0.3">
      <c r="B959" s="72">
        <v>45792</v>
      </c>
      <c r="C959" s="73">
        <v>2301.75</v>
      </c>
      <c r="D959" s="74">
        <f t="shared" si="29"/>
        <v>0.28383183434427944</v>
      </c>
      <c r="E959" s="1">
        <v>1.6100607036399633E-3</v>
      </c>
      <c r="G959" s="75">
        <v>957</v>
      </c>
      <c r="H959" s="1">
        <f t="shared" ca="1" si="30"/>
        <v>-1.1058205021149395E-2</v>
      </c>
    </row>
    <row r="960" spans="2:8" x14ac:dyDescent="0.3">
      <c r="B960" s="72">
        <v>43857</v>
      </c>
      <c r="C960" s="73">
        <v>1792.875</v>
      </c>
      <c r="D960" s="74">
        <f t="shared" si="29"/>
        <v>-0.38885338105586092</v>
      </c>
      <c r="E960" s="1">
        <v>1.5641802717762969E-3</v>
      </c>
      <c r="G960" s="75">
        <v>958</v>
      </c>
      <c r="H960" s="1">
        <f t="shared" ca="1" si="30"/>
        <v>1.8736485118018207E-2</v>
      </c>
    </row>
    <row r="961" spans="2:8" x14ac:dyDescent="0.3">
      <c r="B961" s="72">
        <v>44343</v>
      </c>
      <c r="C961" s="73">
        <v>2933.625</v>
      </c>
      <c r="D961" s="74">
        <f t="shared" si="29"/>
        <v>0.28926464286891451</v>
      </c>
      <c r="E961" s="1">
        <v>1.5277469573084031E-3</v>
      </c>
      <c r="G961" s="75">
        <v>959</v>
      </c>
      <c r="H961" s="1">
        <f t="shared" ca="1" si="30"/>
        <v>-1.7329684568825769E-2</v>
      </c>
    </row>
    <row r="962" spans="2:8" x14ac:dyDescent="0.3">
      <c r="B962" s="72">
        <v>45653</v>
      </c>
      <c r="C962" s="73">
        <v>2275.4250000000002</v>
      </c>
      <c r="D962" s="74">
        <f t="shared" si="29"/>
        <v>0.70128413615207785</v>
      </c>
      <c r="E962" s="1">
        <v>1.5185026243687862E-3</v>
      </c>
      <c r="G962" s="75">
        <v>960</v>
      </c>
      <c r="H962" s="1">
        <f t="shared" ca="1" si="30"/>
        <v>5.9664437528925548E-3</v>
      </c>
    </row>
    <row r="963" spans="2:8" x14ac:dyDescent="0.3">
      <c r="B963" s="72">
        <v>43451</v>
      </c>
      <c r="C963" s="73">
        <v>1337.4749999999999</v>
      </c>
      <c r="D963" s="74">
        <f t="shared" ref="D963:D1026" si="31">(C963-C964)/C964</f>
        <v>-0.57573811053220092</v>
      </c>
      <c r="E963" s="1">
        <v>1.4788468738299581E-3</v>
      </c>
      <c r="G963" s="75">
        <v>961</v>
      </c>
      <c r="H963" s="1">
        <f t="shared" ca="1" si="30"/>
        <v>-1.9653435377815196E-2</v>
      </c>
    </row>
    <row r="964" spans="2:8" x14ac:dyDescent="0.3">
      <c r="B964" s="72">
        <v>45209</v>
      </c>
      <c r="C964" s="73">
        <v>3152.4750000000004</v>
      </c>
      <c r="D964" s="74">
        <f t="shared" si="31"/>
        <v>1.2545457796213193</v>
      </c>
      <c r="E964" s="1">
        <v>1.4692567943200771E-3</v>
      </c>
      <c r="G964" s="75">
        <v>962</v>
      </c>
      <c r="H964" s="1">
        <f t="shared" ref="H964:H1027" ca="1" si="32">_xlfn.NORM.INV(RAND(),$N$4,$N$5)</f>
        <v>-2.9116444216652554E-3</v>
      </c>
    </row>
    <row r="965" spans="2:8" x14ac:dyDescent="0.3">
      <c r="B965" s="72">
        <v>43530</v>
      </c>
      <c r="C965" s="73">
        <v>1398.2750000000001</v>
      </c>
      <c r="D965" s="74">
        <f t="shared" si="31"/>
        <v>-0.51578664865941182</v>
      </c>
      <c r="E965" s="1">
        <v>1.46824473132925E-3</v>
      </c>
      <c r="G965" s="75">
        <v>963</v>
      </c>
      <c r="H965" s="1">
        <f t="shared" ca="1" si="32"/>
        <v>-1.5904624595885947E-2</v>
      </c>
    </row>
    <row r="966" spans="2:8" x14ac:dyDescent="0.3">
      <c r="B966" s="72">
        <v>44715</v>
      </c>
      <c r="C966" s="73">
        <v>2887.7249999999999</v>
      </c>
      <c r="D966" s="74">
        <f t="shared" si="31"/>
        <v>2.0902566640741003E-2</v>
      </c>
      <c r="E966" s="1">
        <v>1.4652332235130601E-3</v>
      </c>
      <c r="G966" s="75">
        <v>964</v>
      </c>
      <c r="H966" s="1">
        <f t="shared" ca="1" si="32"/>
        <v>-1.3021557787062434E-2</v>
      </c>
    </row>
    <row r="967" spans="2:8" x14ac:dyDescent="0.3">
      <c r="B967" s="72">
        <v>44340</v>
      </c>
      <c r="C967" s="73">
        <v>2828.6</v>
      </c>
      <c r="D967" s="74">
        <f t="shared" si="31"/>
        <v>0.18923691402144205</v>
      </c>
      <c r="E967" s="1">
        <v>1.4515843512125717E-3</v>
      </c>
      <c r="G967" s="75">
        <v>965</v>
      </c>
      <c r="H967" s="1">
        <f t="shared" ca="1" si="32"/>
        <v>-1.1355210407888876E-2</v>
      </c>
    </row>
    <row r="968" spans="2:8" x14ac:dyDescent="0.3">
      <c r="B968" s="72">
        <v>45840</v>
      </c>
      <c r="C968" s="73">
        <v>2378.5</v>
      </c>
      <c r="D968" s="74">
        <f t="shared" si="31"/>
        <v>1.149522152685208</v>
      </c>
      <c r="E968" s="1">
        <v>1.4315186728980215E-3</v>
      </c>
      <c r="G968" s="75">
        <v>966</v>
      </c>
      <c r="H968" s="1">
        <f t="shared" ca="1" si="32"/>
        <v>2.1815949148206906E-2</v>
      </c>
    </row>
    <row r="969" spans="2:8" x14ac:dyDescent="0.3">
      <c r="B969" s="72">
        <v>43182</v>
      </c>
      <c r="C969" s="73">
        <v>1106.5250000000001</v>
      </c>
      <c r="D969" s="74">
        <f t="shared" si="31"/>
        <v>-0.30784868719408254</v>
      </c>
      <c r="E969" s="1">
        <v>1.3800904977376389E-3</v>
      </c>
      <c r="G969" s="75">
        <v>967</v>
      </c>
      <c r="H969" s="1">
        <f t="shared" ca="1" si="32"/>
        <v>-2.9696771347307869E-3</v>
      </c>
    </row>
    <row r="970" spans="2:8" x14ac:dyDescent="0.3">
      <c r="B970" s="72">
        <v>43705</v>
      </c>
      <c r="C970" s="73">
        <v>1598.675</v>
      </c>
      <c r="D970" s="74">
        <f t="shared" si="31"/>
        <v>-0.44364401987141006</v>
      </c>
      <c r="E970" s="1">
        <v>1.3780359855306507E-3</v>
      </c>
      <c r="G970" s="75">
        <v>968</v>
      </c>
      <c r="H970" s="1">
        <f t="shared" ca="1" si="32"/>
        <v>4.2671689640598857E-3</v>
      </c>
    </row>
    <row r="971" spans="2:8" x14ac:dyDescent="0.3">
      <c r="B971" s="72">
        <v>45366</v>
      </c>
      <c r="C971" s="73">
        <v>2873.4749999999999</v>
      </c>
      <c r="D971" s="74">
        <f t="shared" si="31"/>
        <v>-4.5975198791480577E-2</v>
      </c>
      <c r="E971" s="1">
        <v>1.3765344438538844E-3</v>
      </c>
      <c r="G971" s="75">
        <v>969</v>
      </c>
      <c r="H971" s="1">
        <f t="shared" ca="1" si="32"/>
        <v>-4.3053557288565397E-4</v>
      </c>
    </row>
    <row r="972" spans="2:8" x14ac:dyDescent="0.3">
      <c r="B972" s="72">
        <v>44378</v>
      </c>
      <c r="C972" s="73">
        <v>3011.95</v>
      </c>
      <c r="D972" s="74">
        <f t="shared" si="31"/>
        <v>-8.4638879180659182E-2</v>
      </c>
      <c r="E972" s="1">
        <v>1.3714228720088438E-3</v>
      </c>
      <c r="G972" s="75">
        <v>970</v>
      </c>
      <c r="H972" s="1">
        <f t="shared" ca="1" si="32"/>
        <v>-3.9714081575039969E-3</v>
      </c>
    </row>
    <row r="973" spans="2:8" x14ac:dyDescent="0.3">
      <c r="B973" s="72">
        <v>45545</v>
      </c>
      <c r="C973" s="73">
        <v>3290.45</v>
      </c>
      <c r="D973" s="74">
        <f t="shared" si="31"/>
        <v>4.6822183868735545E-2</v>
      </c>
      <c r="E973" s="1">
        <v>1.3542300669506446E-3</v>
      </c>
      <c r="G973" s="75">
        <v>971</v>
      </c>
      <c r="H973" s="1">
        <f t="shared" ca="1" si="32"/>
        <v>3.2959089190747908E-3</v>
      </c>
    </row>
    <row r="974" spans="2:8" x14ac:dyDescent="0.3">
      <c r="B974" s="72">
        <v>45253</v>
      </c>
      <c r="C974" s="73">
        <v>3143.2750000000001</v>
      </c>
      <c r="D974" s="74">
        <f t="shared" si="31"/>
        <v>2.3093259990398241E-2</v>
      </c>
      <c r="E974" s="1">
        <v>1.329999044312122E-3</v>
      </c>
      <c r="G974" s="75">
        <v>972</v>
      </c>
      <c r="H974" s="1">
        <f t="shared" ca="1" si="32"/>
        <v>2.1539348418784823E-2</v>
      </c>
    </row>
    <row r="975" spans="2:8" x14ac:dyDescent="0.3">
      <c r="B975" s="72">
        <v>45573</v>
      </c>
      <c r="C975" s="73">
        <v>3072.3249999999998</v>
      </c>
      <c r="D975" s="74">
        <f t="shared" si="31"/>
        <v>1.4378750484931936E-2</v>
      </c>
      <c r="E975" s="1">
        <v>1.3199599123284995E-3</v>
      </c>
      <c r="G975" s="75">
        <v>973</v>
      </c>
      <c r="H975" s="1">
        <f t="shared" ca="1" si="32"/>
        <v>2.284811233233573E-3</v>
      </c>
    </row>
    <row r="976" spans="2:8" x14ac:dyDescent="0.3">
      <c r="B976" s="72">
        <v>45586</v>
      </c>
      <c r="C976" s="73">
        <v>3028.7750000000001</v>
      </c>
      <c r="D976" s="74">
        <f t="shared" si="31"/>
        <v>1.2225055493386654</v>
      </c>
      <c r="E976" s="1">
        <v>1.3141364718328183E-3</v>
      </c>
      <c r="G976" s="75">
        <v>974</v>
      </c>
      <c r="H976" s="1">
        <f t="shared" ca="1" si="32"/>
        <v>1.0380649867940872E-2</v>
      </c>
    </row>
    <row r="977" spans="2:8" x14ac:dyDescent="0.3">
      <c r="B977" s="72">
        <v>43647</v>
      </c>
      <c r="C977" s="73">
        <v>1362.7750000000001</v>
      </c>
      <c r="D977" s="74">
        <f t="shared" si="31"/>
        <v>-0.44582367532837214</v>
      </c>
      <c r="E977" s="1">
        <v>1.3041880969875759E-3</v>
      </c>
      <c r="G977" s="75">
        <v>975</v>
      </c>
      <c r="H977" s="1">
        <f t="shared" ca="1" si="32"/>
        <v>-2.0252769456564582E-2</v>
      </c>
    </row>
    <row r="978" spans="2:8" x14ac:dyDescent="0.3">
      <c r="B978" s="72">
        <v>45924</v>
      </c>
      <c r="C978" s="73">
        <v>2459.1</v>
      </c>
      <c r="D978" s="74">
        <f t="shared" si="31"/>
        <v>0.70616804273919376</v>
      </c>
      <c r="E978" s="1">
        <v>1.3029846492120273E-3</v>
      </c>
      <c r="G978" s="75">
        <v>976</v>
      </c>
      <c r="H978" s="1">
        <f t="shared" ca="1" si="32"/>
        <v>-1.8751505888421779E-2</v>
      </c>
    </row>
    <row r="979" spans="2:8" x14ac:dyDescent="0.3">
      <c r="B979" s="72">
        <v>43312</v>
      </c>
      <c r="C979" s="73">
        <v>1441.3</v>
      </c>
      <c r="D979" s="74">
        <f t="shared" si="31"/>
        <v>0.15618482271779244</v>
      </c>
      <c r="E979" s="1">
        <v>1.3026034701356444E-3</v>
      </c>
      <c r="G979" s="75">
        <v>977</v>
      </c>
      <c r="H979" s="1">
        <f t="shared" ca="1" si="32"/>
        <v>5.8996902716838015E-4</v>
      </c>
    </row>
    <row r="980" spans="2:8" x14ac:dyDescent="0.3">
      <c r="B980" s="72">
        <v>43411</v>
      </c>
      <c r="C980" s="73">
        <v>1246.5999999999999</v>
      </c>
      <c r="D980" s="74">
        <f t="shared" si="31"/>
        <v>2.5586178527354925E-2</v>
      </c>
      <c r="E980" s="1">
        <v>1.2851405622489229E-3</v>
      </c>
      <c r="G980" s="75">
        <v>978</v>
      </c>
      <c r="H980" s="1">
        <f t="shared" ca="1" si="32"/>
        <v>1.136621729079439E-2</v>
      </c>
    </row>
    <row r="981" spans="2:8" x14ac:dyDescent="0.3">
      <c r="B981" s="72">
        <v>43223</v>
      </c>
      <c r="C981" s="73">
        <v>1215.5</v>
      </c>
      <c r="D981" s="74">
        <f t="shared" si="31"/>
        <v>-0.56830955277153794</v>
      </c>
      <c r="E981" s="1">
        <v>1.2355848434925864E-3</v>
      </c>
      <c r="G981" s="75">
        <v>979</v>
      </c>
      <c r="H981" s="1">
        <f t="shared" ca="1" si="32"/>
        <v>1.6451790941107054E-2</v>
      </c>
    </row>
    <row r="982" spans="2:8" x14ac:dyDescent="0.3">
      <c r="B982" s="72">
        <v>44974</v>
      </c>
      <c r="C982" s="73">
        <v>2815.6750000000002</v>
      </c>
      <c r="D982" s="74">
        <f t="shared" si="31"/>
        <v>1.0512694423196007</v>
      </c>
      <c r="E982" s="1">
        <v>1.2267866191361903E-3</v>
      </c>
      <c r="G982" s="75">
        <v>980</v>
      </c>
      <c r="H982" s="1">
        <f t="shared" ca="1" si="32"/>
        <v>1.2234206100054722E-2</v>
      </c>
    </row>
    <row r="983" spans="2:8" x14ac:dyDescent="0.3">
      <c r="B983" s="72">
        <v>43465</v>
      </c>
      <c r="C983" s="73">
        <v>1372.65</v>
      </c>
      <c r="D983" s="74">
        <f t="shared" si="31"/>
        <v>-0.59270358886102992</v>
      </c>
      <c r="E983" s="1">
        <v>1.2035010940919702E-3</v>
      </c>
      <c r="G983" s="75">
        <v>981</v>
      </c>
      <c r="H983" s="1">
        <f t="shared" ca="1" si="32"/>
        <v>-3.398284124642377E-4</v>
      </c>
    </row>
    <row r="984" spans="2:8" x14ac:dyDescent="0.3">
      <c r="B984" s="72">
        <v>44560</v>
      </c>
      <c r="C984" s="73">
        <v>3370.15</v>
      </c>
      <c r="D984" s="74">
        <f t="shared" si="31"/>
        <v>8.5001408507384635E-2</v>
      </c>
      <c r="E984" s="1">
        <v>1.2031728112653166E-3</v>
      </c>
      <c r="G984" s="75">
        <v>982</v>
      </c>
      <c r="H984" s="1">
        <f t="shared" ca="1" si="32"/>
        <v>-9.7259702087389901E-3</v>
      </c>
    </row>
    <row r="985" spans="2:8" x14ac:dyDescent="0.3">
      <c r="B985" s="72">
        <v>44889</v>
      </c>
      <c r="C985" s="73">
        <v>3106.125</v>
      </c>
      <c r="D985" s="74">
        <f t="shared" si="31"/>
        <v>0.70745952780144561</v>
      </c>
      <c r="E985" s="1">
        <v>1.2006833419287999E-3</v>
      </c>
      <c r="G985" s="75">
        <v>983</v>
      </c>
      <c r="H985" s="1">
        <f t="shared" ca="1" si="32"/>
        <v>7.5266049101654518E-3</v>
      </c>
    </row>
    <row r="986" spans="2:8" x14ac:dyDescent="0.3">
      <c r="B986" s="72">
        <v>43769</v>
      </c>
      <c r="C986" s="73">
        <v>1819.15</v>
      </c>
      <c r="D986" s="74">
        <f t="shared" si="31"/>
        <v>-0.37825436835134785</v>
      </c>
      <c r="E986" s="1">
        <v>1.1832691249312553E-3</v>
      </c>
      <c r="G986" s="75">
        <v>984</v>
      </c>
      <c r="H986" s="1">
        <f t="shared" ca="1" si="32"/>
        <v>4.2462637752242799E-3</v>
      </c>
    </row>
    <row r="987" spans="2:8" x14ac:dyDescent="0.3">
      <c r="B987" s="72">
        <v>44355</v>
      </c>
      <c r="C987" s="73">
        <v>2925.875</v>
      </c>
      <c r="D987" s="74">
        <f t="shared" si="31"/>
        <v>0.30739069237471806</v>
      </c>
      <c r="E987" s="1">
        <v>1.1633974627670352E-3</v>
      </c>
      <c r="G987" s="75">
        <v>985</v>
      </c>
      <c r="H987" s="1">
        <f t="shared" ca="1" si="32"/>
        <v>1.4059506105665578E-2</v>
      </c>
    </row>
    <row r="988" spans="2:8" x14ac:dyDescent="0.3">
      <c r="B988" s="72">
        <v>45707</v>
      </c>
      <c r="C988" s="73">
        <v>2237.9499999999998</v>
      </c>
      <c r="D988" s="74">
        <f t="shared" si="31"/>
        <v>0.19161907804533884</v>
      </c>
      <c r="E988" s="1">
        <v>1.1631288165163886E-3</v>
      </c>
      <c r="G988" s="75">
        <v>986</v>
      </c>
      <c r="H988" s="1">
        <f t="shared" ca="1" si="32"/>
        <v>1.5005992420201749E-2</v>
      </c>
    </row>
    <row r="989" spans="2:8" x14ac:dyDescent="0.3">
      <c r="B989" s="72">
        <v>43866</v>
      </c>
      <c r="C989" s="73">
        <v>1878.075</v>
      </c>
      <c r="D989" s="74">
        <f t="shared" si="31"/>
        <v>-0.42367797221305875</v>
      </c>
      <c r="E989" s="1">
        <v>1.1594434671357505E-3</v>
      </c>
      <c r="G989" s="75">
        <v>987</v>
      </c>
      <c r="H989" s="1">
        <f t="shared" ca="1" si="32"/>
        <v>5.6597429355779352E-3</v>
      </c>
    </row>
    <row r="990" spans="2:8" x14ac:dyDescent="0.3">
      <c r="B990" s="72">
        <v>45183</v>
      </c>
      <c r="C990" s="73">
        <v>3258.7249999999999</v>
      </c>
      <c r="D990" s="74">
        <f t="shared" si="31"/>
        <v>6.0782877604166639E-2</v>
      </c>
      <c r="E990" s="1">
        <v>1.1520825812792862E-3</v>
      </c>
      <c r="G990" s="75">
        <v>988</v>
      </c>
      <c r="H990" s="1">
        <f t="shared" ca="1" si="32"/>
        <v>5.403823957967761E-3</v>
      </c>
    </row>
    <row r="991" spans="2:8" x14ac:dyDescent="0.3">
      <c r="B991" s="72">
        <v>44881</v>
      </c>
      <c r="C991" s="73">
        <v>3072</v>
      </c>
      <c r="D991" s="74">
        <f t="shared" si="31"/>
        <v>-2.1975310607206134E-2</v>
      </c>
      <c r="E991" s="1">
        <v>1.1406224539677367E-3</v>
      </c>
      <c r="G991" s="75">
        <v>989</v>
      </c>
      <c r="H991" s="1">
        <f t="shared" ca="1" si="32"/>
        <v>2.2374702966725835E-2</v>
      </c>
    </row>
    <row r="992" spans="2:8" x14ac:dyDescent="0.3">
      <c r="B992" s="72">
        <v>44867</v>
      </c>
      <c r="C992" s="73">
        <v>3141.0249999999996</v>
      </c>
      <c r="D992" s="74">
        <f t="shared" si="31"/>
        <v>-0.10997060177806124</v>
      </c>
      <c r="E992" s="1">
        <v>1.1394603898069509E-3</v>
      </c>
      <c r="G992" s="75">
        <v>990</v>
      </c>
      <c r="H992" s="1">
        <f t="shared" ca="1" si="32"/>
        <v>-1.110329511768237E-2</v>
      </c>
    </row>
    <row r="993" spans="2:8" x14ac:dyDescent="0.3">
      <c r="B993" s="72">
        <v>44791</v>
      </c>
      <c r="C993" s="73">
        <v>3529.125</v>
      </c>
      <c r="D993" s="74">
        <f t="shared" si="31"/>
        <v>0.24691946895619699</v>
      </c>
      <c r="E993" s="1">
        <v>1.1347115350519485E-3</v>
      </c>
      <c r="G993" s="75">
        <v>991</v>
      </c>
      <c r="H993" s="1">
        <f t="shared" ca="1" si="32"/>
        <v>1.4904053811932043E-2</v>
      </c>
    </row>
    <row r="994" spans="2:8" x14ac:dyDescent="0.3">
      <c r="B994" s="72">
        <v>45378</v>
      </c>
      <c r="C994" s="73">
        <v>2830.2749999999996</v>
      </c>
      <c r="D994" s="74">
        <f t="shared" si="31"/>
        <v>-0.1420939361331294</v>
      </c>
      <c r="E994" s="1">
        <v>1.1319119584729158E-3</v>
      </c>
      <c r="G994" s="75">
        <v>992</v>
      </c>
      <c r="H994" s="1">
        <f t="shared" ca="1" si="32"/>
        <v>-1.7232435301469604E-2</v>
      </c>
    </row>
    <row r="995" spans="2:8" x14ac:dyDescent="0.3">
      <c r="B995" s="72">
        <v>45558</v>
      </c>
      <c r="C995" s="73">
        <v>3299.05</v>
      </c>
      <c r="D995" s="74">
        <f t="shared" si="31"/>
        <v>1.4063092633114516</v>
      </c>
      <c r="E995" s="1">
        <v>1.1000098621573849E-3</v>
      </c>
      <c r="G995" s="75">
        <v>993</v>
      </c>
      <c r="H995" s="1">
        <f t="shared" ca="1" si="32"/>
        <v>2.5366303254460827E-2</v>
      </c>
    </row>
    <row r="996" spans="2:8" x14ac:dyDescent="0.3">
      <c r="B996" s="72">
        <v>43462</v>
      </c>
      <c r="C996" s="73">
        <v>1371</v>
      </c>
      <c r="D996" s="74">
        <f t="shared" si="31"/>
        <v>-0.36874093514745493</v>
      </c>
      <c r="E996" s="1">
        <v>1.0770157536371435E-3</v>
      </c>
      <c r="G996" s="75">
        <v>994</v>
      </c>
      <c r="H996" s="1">
        <f t="shared" ca="1" si="32"/>
        <v>-1.0220241423692874E-2</v>
      </c>
    </row>
    <row r="997" spans="2:8" x14ac:dyDescent="0.3">
      <c r="B997" s="72">
        <v>46119</v>
      </c>
      <c r="C997" s="73">
        <v>2171.85</v>
      </c>
      <c r="D997" s="74">
        <f t="shared" si="31"/>
        <v>0.54516834747345377</v>
      </c>
      <c r="E997" s="1">
        <v>1.0601276762461003E-3</v>
      </c>
      <c r="G997" s="75">
        <v>995</v>
      </c>
      <c r="H997" s="1">
        <f t="shared" ca="1" si="32"/>
        <v>8.2935623760574794E-3</v>
      </c>
    </row>
    <row r="998" spans="2:8" x14ac:dyDescent="0.3">
      <c r="B998" s="72">
        <v>43474</v>
      </c>
      <c r="C998" s="73">
        <v>1405.575</v>
      </c>
      <c r="D998" s="74">
        <f t="shared" si="31"/>
        <v>-0.57054141586971796</v>
      </c>
      <c r="E998" s="1">
        <v>1.0504949789901976E-3</v>
      </c>
      <c r="G998" s="75">
        <v>996</v>
      </c>
      <c r="H998" s="1">
        <f t="shared" ca="1" si="32"/>
        <v>4.4996283076581857E-3</v>
      </c>
    </row>
    <row r="999" spans="2:8" x14ac:dyDescent="0.3">
      <c r="B999" s="72">
        <v>45306</v>
      </c>
      <c r="C999" s="73">
        <v>3272.8999999999996</v>
      </c>
      <c r="D999" s="74">
        <f t="shared" si="31"/>
        <v>0.43686890859601341</v>
      </c>
      <c r="E999" s="1">
        <v>1.0475687992719709E-3</v>
      </c>
      <c r="G999" s="75">
        <v>997</v>
      </c>
      <c r="H999" s="1">
        <f t="shared" ca="1" si="32"/>
        <v>-1.7138379201563671E-2</v>
      </c>
    </row>
    <row r="1000" spans="2:8" x14ac:dyDescent="0.3">
      <c r="B1000" s="72">
        <v>45656</v>
      </c>
      <c r="C1000" s="73">
        <v>2277.8000000000002</v>
      </c>
      <c r="D1000" s="74">
        <f t="shared" si="31"/>
        <v>-0.25320481295695224</v>
      </c>
      <c r="E1000" s="1">
        <v>1.0437610556269707E-3</v>
      </c>
      <c r="G1000" s="75">
        <v>998</v>
      </c>
      <c r="H1000" s="1">
        <f t="shared" ca="1" si="32"/>
        <v>6.9548201943237372E-3</v>
      </c>
    </row>
    <row r="1001" spans="2:8" x14ac:dyDescent="0.3">
      <c r="B1001" s="72">
        <v>44368</v>
      </c>
      <c r="C1001" s="73">
        <v>3050.1000000000004</v>
      </c>
      <c r="D1001" s="74">
        <f t="shared" si="31"/>
        <v>0.10344952336161216</v>
      </c>
      <c r="E1001" s="1">
        <v>1.0420341820032268E-3</v>
      </c>
      <c r="G1001" s="75">
        <v>999</v>
      </c>
      <c r="H1001" s="1">
        <f t="shared" ca="1" si="32"/>
        <v>2.6480750355018359E-2</v>
      </c>
    </row>
    <row r="1002" spans="2:8" x14ac:dyDescent="0.3">
      <c r="B1002" s="72">
        <v>44965</v>
      </c>
      <c r="C1002" s="73">
        <v>2764.15</v>
      </c>
      <c r="D1002" s="74">
        <f t="shared" si="31"/>
        <v>9.7952374332187994E-2</v>
      </c>
      <c r="E1002" s="1">
        <v>1.023059581903714E-3</v>
      </c>
      <c r="G1002" s="75">
        <v>1000</v>
      </c>
      <c r="H1002" s="1">
        <f t="shared" ca="1" si="32"/>
        <v>1.3119788438989609E-2</v>
      </c>
    </row>
    <row r="1003" spans="2:8" x14ac:dyDescent="0.3">
      <c r="B1003" s="72">
        <v>44238</v>
      </c>
      <c r="C1003" s="73">
        <v>2517.5500000000002</v>
      </c>
      <c r="D1003" s="74">
        <f t="shared" si="31"/>
        <v>-0.16985145005193475</v>
      </c>
      <c r="E1003" s="1">
        <v>1.0139165009941081E-3</v>
      </c>
      <c r="G1003" s="75">
        <v>1001</v>
      </c>
      <c r="H1003" s="1">
        <f t="shared" ca="1" si="32"/>
        <v>-1.3574364059417404E-2</v>
      </c>
    </row>
    <row r="1004" spans="2:8" x14ac:dyDescent="0.3">
      <c r="B1004" s="72">
        <v>44412</v>
      </c>
      <c r="C1004" s="73">
        <v>3032.65</v>
      </c>
      <c r="D1004" s="74">
        <f t="shared" si="31"/>
        <v>-1.8011673183249404E-2</v>
      </c>
      <c r="E1004" s="1">
        <v>1.0067335621864874E-3</v>
      </c>
      <c r="G1004" s="75">
        <v>1002</v>
      </c>
      <c r="H1004" s="1">
        <f t="shared" ca="1" si="32"/>
        <v>-4.9525437964535743E-3</v>
      </c>
    </row>
    <row r="1005" spans="2:8" x14ac:dyDescent="0.3">
      <c r="B1005" s="72">
        <v>44886</v>
      </c>
      <c r="C1005" s="73">
        <v>3088.2749999999996</v>
      </c>
      <c r="D1005" s="74">
        <f t="shared" si="31"/>
        <v>-9.199698423138062E-3</v>
      </c>
      <c r="E1005" s="1">
        <v>9.6424982983808836E-4</v>
      </c>
      <c r="G1005" s="75">
        <v>1003</v>
      </c>
      <c r="H1005" s="1">
        <f t="shared" ca="1" si="32"/>
        <v>1.7244643568117134E-2</v>
      </c>
    </row>
    <row r="1006" spans="2:8" x14ac:dyDescent="0.3">
      <c r="B1006" s="72">
        <v>44501</v>
      </c>
      <c r="C1006" s="73">
        <v>3116.95</v>
      </c>
      <c r="D1006" s="74">
        <f t="shared" si="31"/>
        <v>0.26914228709867871</v>
      </c>
      <c r="E1006" s="1">
        <v>9.4733461785479064E-4</v>
      </c>
      <c r="G1006" s="75">
        <v>1004</v>
      </c>
      <c r="H1006" s="1">
        <f t="shared" ca="1" si="32"/>
        <v>6.0013745441504654E-3</v>
      </c>
    </row>
    <row r="1007" spans="2:8" x14ac:dyDescent="0.3">
      <c r="B1007" s="72">
        <v>45768</v>
      </c>
      <c r="C1007" s="73">
        <v>2455.9499999999998</v>
      </c>
      <c r="D1007" s="74">
        <f t="shared" si="31"/>
        <v>0.69384623342586682</v>
      </c>
      <c r="E1007" s="1">
        <v>9.1698251620002456E-4</v>
      </c>
      <c r="G1007" s="75">
        <v>1005</v>
      </c>
      <c r="H1007" s="1">
        <f t="shared" ca="1" si="32"/>
        <v>-1.603813271674151E-2</v>
      </c>
    </row>
    <row r="1008" spans="2:8" x14ac:dyDescent="0.3">
      <c r="B1008" s="72">
        <v>43543</v>
      </c>
      <c r="C1008" s="73">
        <v>1449.925</v>
      </c>
      <c r="D1008" s="74">
        <f t="shared" si="31"/>
        <v>0.29270032319179756</v>
      </c>
      <c r="E1008" s="1">
        <v>9.146762391274648E-4</v>
      </c>
      <c r="G1008" s="75">
        <v>1006</v>
      </c>
      <c r="H1008" s="1">
        <f t="shared" ca="1" si="32"/>
        <v>5.1486455786610361E-3</v>
      </c>
    </row>
    <row r="1009" spans="2:8" x14ac:dyDescent="0.3">
      <c r="B1009" s="72">
        <v>43140</v>
      </c>
      <c r="C1009" s="73">
        <v>1121.625</v>
      </c>
      <c r="D1009" s="74">
        <f t="shared" si="31"/>
        <v>-0.54172625127681306</v>
      </c>
      <c r="E1009" s="1">
        <v>8.7003078570464375E-4</v>
      </c>
      <c r="G1009" s="75">
        <v>1007</v>
      </c>
      <c r="H1009" s="1">
        <f t="shared" ca="1" si="32"/>
        <v>-2.2067064489648104E-2</v>
      </c>
    </row>
    <row r="1010" spans="2:8" x14ac:dyDescent="0.3">
      <c r="B1010" s="72">
        <v>45632</v>
      </c>
      <c r="C1010" s="73">
        <v>2447.5</v>
      </c>
      <c r="D1010" s="74">
        <f t="shared" si="31"/>
        <v>7.5138922445035117E-2</v>
      </c>
      <c r="E1010" s="1">
        <v>8.5875521387090417E-4</v>
      </c>
      <c r="G1010" s="75">
        <v>1008</v>
      </c>
      <c r="H1010" s="1">
        <f t="shared" ca="1" si="32"/>
        <v>-9.749670005617727E-3</v>
      </c>
    </row>
    <row r="1011" spans="2:8" x14ac:dyDescent="0.3">
      <c r="B1011" s="72">
        <v>45828</v>
      </c>
      <c r="C1011" s="73">
        <v>2276.4499999999998</v>
      </c>
      <c r="D1011" s="74">
        <f t="shared" si="31"/>
        <v>0.21601987126412214</v>
      </c>
      <c r="E1011" s="1">
        <v>8.5733128160027177E-4</v>
      </c>
      <c r="G1011" s="75">
        <v>1009</v>
      </c>
      <c r="H1011" s="1">
        <f t="shared" ca="1" si="32"/>
        <v>7.354828534647158E-3</v>
      </c>
    </row>
    <row r="1012" spans="2:8" x14ac:dyDescent="0.3">
      <c r="B1012" s="72">
        <v>43880</v>
      </c>
      <c r="C1012" s="73">
        <v>1872.05</v>
      </c>
      <c r="D1012" s="74">
        <f t="shared" si="31"/>
        <v>-0.2251689206667839</v>
      </c>
      <c r="E1012" s="1">
        <v>8.5540912614606593E-4</v>
      </c>
      <c r="G1012" s="75">
        <v>1010</v>
      </c>
      <c r="H1012" s="1">
        <f t="shared" ca="1" si="32"/>
        <v>-1.0184665656432891E-3</v>
      </c>
    </row>
    <row r="1013" spans="2:8" x14ac:dyDescent="0.3">
      <c r="B1013" s="72">
        <v>44278</v>
      </c>
      <c r="C1013" s="73">
        <v>2416.0749999999998</v>
      </c>
      <c r="D1013" s="74">
        <f t="shared" si="31"/>
        <v>6.5758711954124319E-2</v>
      </c>
      <c r="E1013" s="1">
        <v>8.3883929496059986E-4</v>
      </c>
      <c r="G1013" s="75">
        <v>1011</v>
      </c>
      <c r="H1013" s="1">
        <f t="shared" ca="1" si="32"/>
        <v>1.0448366458146374E-2</v>
      </c>
    </row>
    <row r="1014" spans="2:8" x14ac:dyDescent="0.3">
      <c r="B1014" s="72">
        <v>45811</v>
      </c>
      <c r="C1014" s="73">
        <v>2267</v>
      </c>
      <c r="D1014" s="74">
        <f t="shared" si="31"/>
        <v>-0.18061228177973754</v>
      </c>
      <c r="E1014" s="1">
        <v>8.3881506335245059E-4</v>
      </c>
      <c r="G1014" s="75">
        <v>1012</v>
      </c>
      <c r="H1014" s="1">
        <f t="shared" ca="1" si="32"/>
        <v>-6.5305548392466705E-3</v>
      </c>
    </row>
    <row r="1015" spans="2:8" x14ac:dyDescent="0.3">
      <c r="B1015" s="72">
        <v>46021</v>
      </c>
      <c r="C1015" s="73">
        <v>2766.7</v>
      </c>
      <c r="D1015" s="74">
        <f t="shared" si="31"/>
        <v>-1.3073644033031941E-2</v>
      </c>
      <c r="E1015" s="1">
        <v>8.3200694544918502E-4</v>
      </c>
      <c r="G1015" s="75">
        <v>1013</v>
      </c>
      <c r="H1015" s="1">
        <f t="shared" ca="1" si="32"/>
        <v>-6.1945757716458036E-5</v>
      </c>
    </row>
    <row r="1016" spans="2:8" x14ac:dyDescent="0.3">
      <c r="B1016" s="72">
        <v>46015</v>
      </c>
      <c r="C1016" s="73">
        <v>2803.35</v>
      </c>
      <c r="D1016" s="74">
        <f t="shared" si="31"/>
        <v>-0.15865846338535416</v>
      </c>
      <c r="E1016" s="1">
        <v>8.2112065118427984E-4</v>
      </c>
      <c r="G1016" s="75">
        <v>1014</v>
      </c>
      <c r="H1016" s="1">
        <f t="shared" ca="1" si="32"/>
        <v>1.203472546154369E-2</v>
      </c>
    </row>
    <row r="1017" spans="2:8" x14ac:dyDescent="0.3">
      <c r="B1017" s="72">
        <v>44448</v>
      </c>
      <c r="C1017" s="73">
        <v>3332</v>
      </c>
      <c r="D1017" s="74">
        <f t="shared" si="31"/>
        <v>1.5622885266071975</v>
      </c>
      <c r="E1017" s="1">
        <v>8.1849651951247909E-4</v>
      </c>
      <c r="G1017" s="75">
        <v>1015</v>
      </c>
      <c r="H1017" s="1">
        <f t="shared" ca="1" si="32"/>
        <v>3.2144999112496287E-3</v>
      </c>
    </row>
    <row r="1018" spans="2:8" x14ac:dyDescent="0.3">
      <c r="B1018" s="72">
        <v>43252</v>
      </c>
      <c r="C1018" s="73">
        <v>1300.4000000000001</v>
      </c>
      <c r="D1018" s="74">
        <f t="shared" si="31"/>
        <v>-0.43387026556377878</v>
      </c>
      <c r="E1018" s="1">
        <v>8.0809635587038287E-4</v>
      </c>
      <c r="G1018" s="75">
        <v>1016</v>
      </c>
      <c r="H1018" s="1">
        <f t="shared" ca="1" si="32"/>
        <v>-7.6446590042810337E-3</v>
      </c>
    </row>
    <row r="1019" spans="2:8" x14ac:dyDescent="0.3">
      <c r="B1019" s="72">
        <v>45646</v>
      </c>
      <c r="C1019" s="73">
        <v>2297</v>
      </c>
      <c r="D1019" s="74">
        <f t="shared" si="31"/>
        <v>9.315405571667025E-3</v>
      </c>
      <c r="E1019" s="1">
        <v>7.951463396036546E-4</v>
      </c>
      <c r="G1019" s="75">
        <v>1017</v>
      </c>
      <c r="H1019" s="1">
        <f t="shared" ca="1" si="32"/>
        <v>5.0058552375120387E-3</v>
      </c>
    </row>
    <row r="1020" spans="2:8" x14ac:dyDescent="0.3">
      <c r="B1020" s="72">
        <v>45681</v>
      </c>
      <c r="C1020" s="73">
        <v>2275.8000000000002</v>
      </c>
      <c r="D1020" s="74">
        <f t="shared" si="31"/>
        <v>-4.4946031954330619E-3</v>
      </c>
      <c r="E1020" s="1">
        <v>7.9155672823226996E-4</v>
      </c>
      <c r="G1020" s="75">
        <v>1018</v>
      </c>
      <c r="H1020" s="1">
        <f t="shared" ca="1" si="32"/>
        <v>-1.6113766786488787E-3</v>
      </c>
    </row>
    <row r="1021" spans="2:8" x14ac:dyDescent="0.3">
      <c r="B1021" s="72">
        <v>45650</v>
      </c>
      <c r="C1021" s="73">
        <v>2286.0749999999998</v>
      </c>
      <c r="D1021" s="74">
        <f t="shared" si="31"/>
        <v>-0.26596615720524025</v>
      </c>
      <c r="E1021" s="1">
        <v>7.7704329553895555E-4</v>
      </c>
      <c r="G1021" s="75">
        <v>1019</v>
      </c>
      <c r="H1021" s="1">
        <f t="shared" ca="1" si="32"/>
        <v>3.8624348728310723E-3</v>
      </c>
    </row>
    <row r="1022" spans="2:8" x14ac:dyDescent="0.3">
      <c r="B1022" s="72">
        <v>45216</v>
      </c>
      <c r="C1022" s="73">
        <v>3114.4</v>
      </c>
      <c r="D1022" s="74">
        <f t="shared" si="31"/>
        <v>1.6772113814149405</v>
      </c>
      <c r="E1022" s="1">
        <v>7.5512925563532367E-4</v>
      </c>
      <c r="G1022" s="75">
        <v>1020</v>
      </c>
      <c r="H1022" s="1">
        <f t="shared" ca="1" si="32"/>
        <v>1.7592141506521646E-2</v>
      </c>
    </row>
    <row r="1023" spans="2:8" x14ac:dyDescent="0.3">
      <c r="B1023" s="72">
        <v>43216</v>
      </c>
      <c r="C1023" s="73">
        <v>1163.3</v>
      </c>
      <c r="D1023" s="74">
        <f t="shared" si="31"/>
        <v>-0.63919452262982002</v>
      </c>
      <c r="E1023" s="1">
        <v>7.527367357033787E-4</v>
      </c>
      <c r="G1023" s="75">
        <v>1021</v>
      </c>
      <c r="H1023" s="1">
        <f t="shared" ca="1" si="32"/>
        <v>-1.0227855274976954E-2</v>
      </c>
    </row>
    <row r="1024" spans="2:8" x14ac:dyDescent="0.3">
      <c r="B1024" s="72">
        <v>44904</v>
      </c>
      <c r="C1024" s="73">
        <v>3224.1750000000002</v>
      </c>
      <c r="D1024" s="74">
        <f t="shared" si="31"/>
        <v>-6.7773577268094423E-2</v>
      </c>
      <c r="E1024" s="1">
        <v>7.4493097748914527E-4</v>
      </c>
      <c r="G1024" s="75">
        <v>1022</v>
      </c>
      <c r="H1024" s="1">
        <f t="shared" ca="1" si="32"/>
        <v>1.3664074667436703E-2</v>
      </c>
    </row>
    <row r="1025" spans="2:8" x14ac:dyDescent="0.3">
      <c r="B1025" s="72">
        <v>44813</v>
      </c>
      <c r="C1025" s="73">
        <v>3458.5749999999998</v>
      </c>
      <c r="D1025" s="74">
        <f t="shared" si="31"/>
        <v>0.36161689730517099</v>
      </c>
      <c r="E1025" s="1">
        <v>7.3784188482424961E-4</v>
      </c>
      <c r="G1025" s="75">
        <v>1023</v>
      </c>
      <c r="H1025" s="1">
        <f t="shared" ca="1" si="32"/>
        <v>-4.9843469833698081E-3</v>
      </c>
    </row>
    <row r="1026" spans="2:8" x14ac:dyDescent="0.3">
      <c r="B1026" s="72">
        <v>45910</v>
      </c>
      <c r="C1026" s="73">
        <v>2540.0500000000002</v>
      </c>
      <c r="D1026" s="74">
        <f t="shared" si="31"/>
        <v>1.0022071140013795</v>
      </c>
      <c r="E1026" s="1">
        <v>7.2886297376107637E-4</v>
      </c>
      <c r="G1026" s="75">
        <v>1024</v>
      </c>
      <c r="H1026" s="1">
        <f t="shared" ca="1" si="32"/>
        <v>3.4938731457064016E-3</v>
      </c>
    </row>
    <row r="1027" spans="2:8" x14ac:dyDescent="0.3">
      <c r="B1027" s="72">
        <v>43390</v>
      </c>
      <c r="C1027" s="73">
        <v>1268.625</v>
      </c>
      <c r="D1027" s="74">
        <f t="shared" ref="D1027:D1090" si="33">(C1027-C1028)/C1028</f>
        <v>-0.60601708074534166</v>
      </c>
      <c r="E1027" s="1">
        <v>7.0993314796197204E-4</v>
      </c>
      <c r="G1027" s="75">
        <v>1025</v>
      </c>
      <c r="H1027" s="1">
        <f t="shared" ca="1" si="32"/>
        <v>-1.5152218284344285E-2</v>
      </c>
    </row>
    <row r="1028" spans="2:8" x14ac:dyDescent="0.3">
      <c r="B1028" s="72">
        <v>45085</v>
      </c>
      <c r="C1028" s="73">
        <v>3220</v>
      </c>
      <c r="D1028" s="74">
        <f t="shared" si="33"/>
        <v>2.9658645775041969E-2</v>
      </c>
      <c r="E1028" s="1">
        <v>6.992463678035895E-4</v>
      </c>
      <c r="G1028" s="75">
        <v>1026</v>
      </c>
      <c r="H1028" s="1">
        <f t="shared" ref="H1028:H1091" ca="1" si="34">_xlfn.NORM.INV(RAND(),$N$4,$N$5)</f>
        <v>5.0164023437208344E-3</v>
      </c>
    </row>
    <row r="1029" spans="2:8" x14ac:dyDescent="0.3">
      <c r="B1029" s="72">
        <v>44677</v>
      </c>
      <c r="C1029" s="73">
        <v>3127.25</v>
      </c>
      <c r="D1029" s="74">
        <f t="shared" si="33"/>
        <v>0.36776154653603943</v>
      </c>
      <c r="E1029" s="1">
        <v>6.8797798470451854E-4</v>
      </c>
      <c r="G1029" s="75">
        <v>1027</v>
      </c>
      <c r="H1029" s="1">
        <f t="shared" ca="1" si="34"/>
        <v>5.9852913907415227E-3</v>
      </c>
    </row>
    <row r="1030" spans="2:8" x14ac:dyDescent="0.3">
      <c r="B1030" s="72">
        <v>45834</v>
      </c>
      <c r="C1030" s="73">
        <v>2286.3999999999996</v>
      </c>
      <c r="D1030" s="74">
        <f t="shared" si="33"/>
        <v>-8.180394361672233E-2</v>
      </c>
      <c r="E1030" s="1">
        <v>6.7838151300928819E-4</v>
      </c>
      <c r="G1030" s="75">
        <v>1028</v>
      </c>
      <c r="H1030" s="1">
        <f t="shared" ca="1" si="34"/>
        <v>-1.4664938185191836E-2</v>
      </c>
    </row>
    <row r="1031" spans="2:8" x14ac:dyDescent="0.3">
      <c r="B1031" s="72">
        <v>45877</v>
      </c>
      <c r="C1031" s="73">
        <v>2490.1</v>
      </c>
      <c r="D1031" s="74">
        <f t="shared" si="33"/>
        <v>0.38506250608374015</v>
      </c>
      <c r="E1031" s="1">
        <v>6.6306335268946171E-4</v>
      </c>
      <c r="G1031" s="75">
        <v>1029</v>
      </c>
      <c r="H1031" s="1">
        <f t="shared" ca="1" si="34"/>
        <v>-3.1462819132070614E-2</v>
      </c>
    </row>
    <row r="1032" spans="2:8" x14ac:dyDescent="0.3">
      <c r="B1032" s="72">
        <v>43765</v>
      </c>
      <c r="C1032" s="73">
        <v>1797.8249999999998</v>
      </c>
      <c r="D1032" s="74">
        <f t="shared" si="33"/>
        <v>0.37999654583485232</v>
      </c>
      <c r="E1032" s="1">
        <v>6.1222502052340176E-4</v>
      </c>
      <c r="G1032" s="75">
        <v>1030</v>
      </c>
      <c r="H1032" s="1">
        <f t="shared" ca="1" si="34"/>
        <v>-2.0053806213638097E-2</v>
      </c>
    </row>
    <row r="1033" spans="2:8" x14ac:dyDescent="0.3">
      <c r="B1033" s="72">
        <v>43241</v>
      </c>
      <c r="C1033" s="73">
        <v>1302.7750000000001</v>
      </c>
      <c r="D1033" s="74">
        <f t="shared" si="33"/>
        <v>-0.27069542216561931</v>
      </c>
      <c r="E1033" s="1">
        <v>5.9523809523816511E-4</v>
      </c>
      <c r="G1033" s="75">
        <v>1031</v>
      </c>
      <c r="H1033" s="1">
        <f t="shared" ca="1" si="34"/>
        <v>3.0424603643517855E-2</v>
      </c>
    </row>
    <row r="1034" spans="2:8" x14ac:dyDescent="0.3">
      <c r="B1034" s="72">
        <v>43755</v>
      </c>
      <c r="C1034" s="73">
        <v>1786.325</v>
      </c>
      <c r="D1034" s="74">
        <f t="shared" si="33"/>
        <v>0.37409615384615386</v>
      </c>
      <c r="E1034" s="1">
        <v>5.8814468359213816E-4</v>
      </c>
      <c r="G1034" s="75">
        <v>1032</v>
      </c>
      <c r="H1034" s="1">
        <f t="shared" ca="1" si="34"/>
        <v>-1.2038556263605964E-3</v>
      </c>
    </row>
    <row r="1035" spans="2:8" x14ac:dyDescent="0.3">
      <c r="B1035" s="72">
        <v>43354</v>
      </c>
      <c r="C1035" s="73">
        <v>1300</v>
      </c>
      <c r="D1035" s="74">
        <f t="shared" si="33"/>
        <v>-0.34242972217655759</v>
      </c>
      <c r="E1035" s="1">
        <v>5.772561092938234E-4</v>
      </c>
      <c r="G1035" s="75">
        <v>1033</v>
      </c>
      <c r="H1035" s="1">
        <f t="shared" ca="1" si="34"/>
        <v>1.2555839552456776E-2</v>
      </c>
    </row>
    <row r="1036" spans="2:8" x14ac:dyDescent="0.3">
      <c r="B1036" s="72">
        <v>44082</v>
      </c>
      <c r="C1036" s="73">
        <v>1976.9749999999999</v>
      </c>
      <c r="D1036" s="74">
        <f t="shared" si="33"/>
        <v>0.54219240595198626</v>
      </c>
      <c r="E1036" s="1">
        <v>5.5671537926230608E-4</v>
      </c>
      <c r="G1036" s="75">
        <v>1034</v>
      </c>
      <c r="H1036" s="1">
        <f t="shared" ca="1" si="34"/>
        <v>-2.3018403757965288E-2</v>
      </c>
    </row>
    <row r="1037" spans="2:8" x14ac:dyDescent="0.3">
      <c r="B1037" s="72">
        <v>43256</v>
      </c>
      <c r="C1037" s="73">
        <v>1281.925</v>
      </c>
      <c r="D1037" s="74">
        <f t="shared" si="33"/>
        <v>-0.48496384089995986</v>
      </c>
      <c r="E1037" s="1">
        <v>5.2682926829264746E-4</v>
      </c>
      <c r="G1037" s="75">
        <v>1035</v>
      </c>
      <c r="H1037" s="1">
        <f t="shared" ca="1" si="34"/>
        <v>2.7456081996880179E-3</v>
      </c>
    </row>
    <row r="1038" spans="2:8" x14ac:dyDescent="0.3">
      <c r="B1038" s="72">
        <v>45919</v>
      </c>
      <c r="C1038" s="73">
        <v>2489</v>
      </c>
      <c r="D1038" s="74">
        <f t="shared" si="33"/>
        <v>-0.22497275416472054</v>
      </c>
      <c r="E1038" s="1">
        <v>5.0246206411415936E-4</v>
      </c>
      <c r="G1038" s="75">
        <v>1036</v>
      </c>
      <c r="H1038" s="1">
        <f t="shared" ca="1" si="34"/>
        <v>-4.5932741490212195E-3</v>
      </c>
    </row>
    <row r="1039" spans="2:8" x14ac:dyDescent="0.3">
      <c r="B1039" s="72">
        <v>45189</v>
      </c>
      <c r="C1039" s="73">
        <v>3211.5</v>
      </c>
      <c r="D1039" s="74">
        <f t="shared" si="33"/>
        <v>-2.1033379058070414E-2</v>
      </c>
      <c r="E1039" s="1">
        <v>4.8287356500885745E-4</v>
      </c>
      <c r="G1039" s="75">
        <v>1037</v>
      </c>
      <c r="H1039" s="1">
        <f t="shared" ca="1" si="34"/>
        <v>7.4694169813024382E-4</v>
      </c>
    </row>
    <row r="1040" spans="2:8" x14ac:dyDescent="0.3">
      <c r="B1040" s="72">
        <v>44554</v>
      </c>
      <c r="C1040" s="73">
        <v>3280.5</v>
      </c>
      <c r="D1040" s="74">
        <f t="shared" si="33"/>
        <v>0.15864480411114945</v>
      </c>
      <c r="E1040" s="1">
        <v>4.7271230119403529E-4</v>
      </c>
      <c r="G1040" s="75">
        <v>1038</v>
      </c>
      <c r="H1040" s="1">
        <f t="shared" ca="1" si="34"/>
        <v>2.1376743580832736E-2</v>
      </c>
    </row>
    <row r="1041" spans="2:8" x14ac:dyDescent="0.3">
      <c r="B1041" s="72">
        <v>44988</v>
      </c>
      <c r="C1041" s="73">
        <v>2831.3249999999998</v>
      </c>
      <c r="D1041" s="74">
        <f t="shared" si="33"/>
        <v>0.67410199556541006</v>
      </c>
      <c r="E1041" s="1">
        <v>4.6819787985859294E-4</v>
      </c>
      <c r="G1041" s="75">
        <v>1039</v>
      </c>
      <c r="H1041" s="1">
        <f t="shared" ca="1" si="34"/>
        <v>3.5690450700962403E-3</v>
      </c>
    </row>
    <row r="1042" spans="2:8" x14ac:dyDescent="0.3">
      <c r="B1042" s="72">
        <v>44011</v>
      </c>
      <c r="C1042" s="73">
        <v>1691.25</v>
      </c>
      <c r="D1042" s="74">
        <f t="shared" si="33"/>
        <v>-0.42045250109227356</v>
      </c>
      <c r="E1042" s="1">
        <v>4.2886085683436153E-4</v>
      </c>
      <c r="G1042" s="75">
        <v>1040</v>
      </c>
      <c r="H1042" s="1">
        <f t="shared" ca="1" si="34"/>
        <v>1.4127273674052936E-2</v>
      </c>
    </row>
    <row r="1043" spans="2:8" x14ac:dyDescent="0.3">
      <c r="B1043" s="72">
        <v>45457</v>
      </c>
      <c r="C1043" s="73">
        <v>2918.2249999999999</v>
      </c>
      <c r="D1043" s="74">
        <f t="shared" si="33"/>
        <v>1.0484881455872803</v>
      </c>
      <c r="E1043" s="1">
        <v>4.1995200548505622E-4</v>
      </c>
      <c r="G1043" s="75">
        <v>1041</v>
      </c>
      <c r="H1043" s="1">
        <f t="shared" ca="1" si="34"/>
        <v>3.898770319691347E-2</v>
      </c>
    </row>
    <row r="1044" spans="2:8" x14ac:dyDescent="0.3">
      <c r="B1044" s="72">
        <v>43322</v>
      </c>
      <c r="C1044" s="73">
        <v>1424.575</v>
      </c>
      <c r="D1044" s="74">
        <f t="shared" si="33"/>
        <v>2.9819456743715323E-2</v>
      </c>
      <c r="E1044" s="1">
        <v>3.8622917434732849E-4</v>
      </c>
      <c r="G1044" s="75">
        <v>1042</v>
      </c>
      <c r="H1044" s="1">
        <f t="shared" ca="1" si="34"/>
        <v>1.4751701415697132E-2</v>
      </c>
    </row>
    <row r="1045" spans="2:8" x14ac:dyDescent="0.3">
      <c r="B1045" s="72">
        <v>43637</v>
      </c>
      <c r="C1045" s="73">
        <v>1383.325</v>
      </c>
      <c r="D1045" s="74">
        <f t="shared" si="33"/>
        <v>-0.59438934459276194</v>
      </c>
      <c r="E1045" s="1">
        <v>3.7966444894407255E-4</v>
      </c>
      <c r="G1045" s="75">
        <v>1043</v>
      </c>
      <c r="H1045" s="1">
        <f t="shared" ca="1" si="34"/>
        <v>6.1774553712238851E-3</v>
      </c>
    </row>
    <row r="1046" spans="2:8" x14ac:dyDescent="0.3">
      <c r="B1046" s="72">
        <v>44811</v>
      </c>
      <c r="C1046" s="73">
        <v>3410.4749999999999</v>
      </c>
      <c r="D1046" s="74">
        <f t="shared" si="33"/>
        <v>1.587859243099687</v>
      </c>
      <c r="E1046" s="1">
        <v>3.5198099302632323E-4</v>
      </c>
      <c r="G1046" s="75">
        <v>1044</v>
      </c>
      <c r="H1046" s="1">
        <f t="shared" ca="1" si="34"/>
        <v>1.3662778693663368E-2</v>
      </c>
    </row>
    <row r="1047" spans="2:8" x14ac:dyDescent="0.3">
      <c r="B1047" s="72">
        <v>43424</v>
      </c>
      <c r="C1047" s="73">
        <v>1317.875</v>
      </c>
      <c r="D1047" s="74">
        <f t="shared" si="33"/>
        <v>-0.28083219645293317</v>
      </c>
      <c r="E1047" s="1">
        <v>3.4157542175079834E-4</v>
      </c>
      <c r="G1047" s="75">
        <v>1045</v>
      </c>
      <c r="H1047" s="1">
        <f t="shared" ca="1" si="34"/>
        <v>1.108967749310278E-2</v>
      </c>
    </row>
    <row r="1048" spans="2:8" x14ac:dyDescent="0.3">
      <c r="B1048" s="72">
        <v>43887</v>
      </c>
      <c r="C1048" s="73">
        <v>1832.5</v>
      </c>
      <c r="D1048" s="74">
        <f t="shared" si="33"/>
        <v>-0.26597236130582819</v>
      </c>
      <c r="E1048" s="1">
        <v>3.4118048447628798E-4</v>
      </c>
      <c r="G1048" s="75">
        <v>1046</v>
      </c>
      <c r="H1048" s="1">
        <f t="shared" ca="1" si="34"/>
        <v>-1.0243935651763196E-2</v>
      </c>
    </row>
    <row r="1049" spans="2:8" x14ac:dyDescent="0.3">
      <c r="B1049" s="72">
        <v>45897</v>
      </c>
      <c r="C1049" s="73">
        <v>2496.5</v>
      </c>
      <c r="D1049" s="74">
        <f t="shared" si="33"/>
        <v>0.78480786416443249</v>
      </c>
      <c r="E1049" s="1">
        <v>3.4059263117821372E-4</v>
      </c>
      <c r="G1049" s="75">
        <v>1047</v>
      </c>
      <c r="H1049" s="1">
        <f t="shared" ca="1" si="34"/>
        <v>1.4667126748516871E-2</v>
      </c>
    </row>
    <row r="1050" spans="2:8" x14ac:dyDescent="0.3">
      <c r="B1050" s="72">
        <v>43531</v>
      </c>
      <c r="C1050" s="73">
        <v>1398.75</v>
      </c>
      <c r="D1050" s="74">
        <f t="shared" si="33"/>
        <v>4.6302876164117213E-2</v>
      </c>
      <c r="E1050" s="1">
        <v>3.3970427848592662E-4</v>
      </c>
      <c r="G1050" s="75">
        <v>1048</v>
      </c>
      <c r="H1050" s="1">
        <f t="shared" ca="1" si="34"/>
        <v>-1.5928436072380387E-2</v>
      </c>
    </row>
    <row r="1051" spans="2:8" x14ac:dyDescent="0.3">
      <c r="B1051" s="72">
        <v>43432</v>
      </c>
      <c r="C1051" s="73">
        <v>1336.85</v>
      </c>
      <c r="D1051" s="74">
        <f t="shared" si="33"/>
        <v>-0.54466574136360157</v>
      </c>
      <c r="E1051" s="1">
        <v>3.180126082645525E-4</v>
      </c>
      <c r="G1051" s="75">
        <v>1049</v>
      </c>
      <c r="H1051" s="1">
        <f t="shared" ca="1" si="34"/>
        <v>1.0108785092201557E-2</v>
      </c>
    </row>
    <row r="1052" spans="2:8" x14ac:dyDescent="0.3">
      <c r="B1052" s="72">
        <v>45419</v>
      </c>
      <c r="C1052" s="73">
        <v>2935.9749999999999</v>
      </c>
      <c r="D1052" s="74">
        <f t="shared" si="33"/>
        <v>1.2296709764386473</v>
      </c>
      <c r="E1052" s="1">
        <v>2.9811590746482231E-4</v>
      </c>
      <c r="G1052" s="75">
        <v>1050</v>
      </c>
      <c r="H1052" s="1">
        <f t="shared" ca="1" si="34"/>
        <v>-5.6709448249447111E-4</v>
      </c>
    </row>
    <row r="1053" spans="2:8" x14ac:dyDescent="0.3">
      <c r="B1053" s="72">
        <v>43237</v>
      </c>
      <c r="C1053" s="73">
        <v>1316.7750000000001</v>
      </c>
      <c r="D1053" s="74">
        <f t="shared" si="33"/>
        <v>-0.59077771734907925</v>
      </c>
      <c r="E1053" s="1">
        <v>2.6587158402501963E-4</v>
      </c>
      <c r="G1053" s="75">
        <v>1051</v>
      </c>
      <c r="H1053" s="1">
        <f t="shared" ca="1" si="34"/>
        <v>1.1894846248404171E-2</v>
      </c>
    </row>
    <row r="1054" spans="2:8" x14ac:dyDescent="0.3">
      <c r="B1054" s="72">
        <v>45084</v>
      </c>
      <c r="C1054" s="73">
        <v>3217.75</v>
      </c>
      <c r="D1054" s="74">
        <f t="shared" si="33"/>
        <v>1.5295296242831533E-2</v>
      </c>
      <c r="E1054" s="1">
        <v>2.4868275851355537E-4</v>
      </c>
      <c r="G1054" s="75">
        <v>1052</v>
      </c>
      <c r="H1054" s="1">
        <f t="shared" ca="1" si="34"/>
        <v>1.3606129344744831E-2</v>
      </c>
    </row>
    <row r="1055" spans="2:8" x14ac:dyDescent="0.3">
      <c r="B1055" s="72">
        <v>45211</v>
      </c>
      <c r="C1055" s="73">
        <v>3169.2750000000001</v>
      </c>
      <c r="D1055" s="74">
        <f t="shared" si="33"/>
        <v>-7.0866314863676311E-2</v>
      </c>
      <c r="E1055" s="1">
        <v>2.3670319786020308E-4</v>
      </c>
      <c r="G1055" s="75">
        <v>1053</v>
      </c>
      <c r="H1055" s="1">
        <f t="shared" ca="1" si="34"/>
        <v>-1.0599771940253314E-2</v>
      </c>
    </row>
    <row r="1056" spans="2:8" x14ac:dyDescent="0.3">
      <c r="B1056" s="72">
        <v>44830</v>
      </c>
      <c r="C1056" s="73">
        <v>3411</v>
      </c>
      <c r="D1056" s="74">
        <f t="shared" si="33"/>
        <v>5.2396121776824706E-2</v>
      </c>
      <c r="E1056" s="1">
        <v>1.9792834993737603E-4</v>
      </c>
      <c r="G1056" s="75">
        <v>1054</v>
      </c>
      <c r="H1056" s="1">
        <f t="shared" ca="1" si="34"/>
        <v>1.9877417755849894E-2</v>
      </c>
    </row>
    <row r="1057" spans="2:8" x14ac:dyDescent="0.3">
      <c r="B1057" s="72">
        <v>45173</v>
      </c>
      <c r="C1057" s="73">
        <v>3241.1750000000002</v>
      </c>
      <c r="D1057" s="74">
        <f t="shared" si="33"/>
        <v>0.31026711269669621</v>
      </c>
      <c r="E1057" s="1">
        <v>1.6200453612717997E-4</v>
      </c>
      <c r="G1057" s="75">
        <v>1055</v>
      </c>
      <c r="H1057" s="1">
        <f t="shared" ca="1" si="34"/>
        <v>2.0389379853513186E-2</v>
      </c>
    </row>
    <row r="1058" spans="2:8" x14ac:dyDescent="0.3">
      <c r="B1058" s="72">
        <v>45628</v>
      </c>
      <c r="C1058" s="73">
        <v>2473.6750000000002</v>
      </c>
      <c r="D1058" s="74">
        <f t="shared" si="33"/>
        <v>-0.26868981012705001</v>
      </c>
      <c r="E1058" s="1">
        <v>1.6172888174590004E-4</v>
      </c>
      <c r="G1058" s="75">
        <v>1056</v>
      </c>
      <c r="H1058" s="1">
        <f t="shared" ca="1" si="34"/>
        <v>-2.9338837935099595E-3</v>
      </c>
    </row>
    <row r="1059" spans="2:8" x14ac:dyDescent="0.3">
      <c r="B1059" s="72">
        <v>45295</v>
      </c>
      <c r="C1059" s="73">
        <v>3382.5250000000001</v>
      </c>
      <c r="D1059" s="74">
        <f t="shared" si="33"/>
        <v>0.9636445437789356</v>
      </c>
      <c r="E1059" s="1">
        <v>1.5523358959198432E-4</v>
      </c>
      <c r="G1059" s="75">
        <v>1057</v>
      </c>
      <c r="H1059" s="1">
        <f t="shared" ca="1" si="34"/>
        <v>9.5160979783819374E-3</v>
      </c>
    </row>
    <row r="1060" spans="2:8" x14ac:dyDescent="0.3">
      <c r="B1060" s="72">
        <v>43804</v>
      </c>
      <c r="C1060" s="73">
        <v>1722.575</v>
      </c>
      <c r="D1060" s="74">
        <f t="shared" si="33"/>
        <v>-0.48717624292944328</v>
      </c>
      <c r="E1060" s="1">
        <v>1.4515262798832972E-4</v>
      </c>
      <c r="G1060" s="75">
        <v>1058</v>
      </c>
      <c r="H1060" s="1">
        <f t="shared" ca="1" si="34"/>
        <v>2.1953962972652181E-2</v>
      </c>
    </row>
    <row r="1061" spans="2:8" x14ac:dyDescent="0.3">
      <c r="B1061" s="72">
        <v>45111</v>
      </c>
      <c r="C1061" s="73">
        <v>3359</v>
      </c>
      <c r="D1061" s="74">
        <f t="shared" si="33"/>
        <v>5.4300062774639044E-2</v>
      </c>
      <c r="E1061" s="1">
        <v>1.2654176250349685E-4</v>
      </c>
      <c r="G1061" s="75">
        <v>1059</v>
      </c>
      <c r="H1061" s="1">
        <f t="shared" ca="1" si="34"/>
        <v>5.9627764902486207E-3</v>
      </c>
    </row>
    <row r="1062" spans="2:8" x14ac:dyDescent="0.3">
      <c r="B1062" s="72">
        <v>44662</v>
      </c>
      <c r="C1062" s="73">
        <v>3186</v>
      </c>
      <c r="D1062" s="74">
        <f t="shared" si="33"/>
        <v>1.128256513026052</v>
      </c>
      <c r="E1062" s="1">
        <v>1.2556504269214307E-4</v>
      </c>
      <c r="G1062" s="75">
        <v>1060</v>
      </c>
      <c r="H1062" s="1">
        <f t="shared" ca="1" si="34"/>
        <v>1.8699700948106864E-2</v>
      </c>
    </row>
    <row r="1063" spans="2:8" x14ac:dyDescent="0.3">
      <c r="B1063" s="72">
        <v>43556</v>
      </c>
      <c r="C1063" s="73">
        <v>1497</v>
      </c>
      <c r="D1063" s="74">
        <f t="shared" si="33"/>
        <v>0.31068598695442795</v>
      </c>
      <c r="E1063" s="1">
        <v>1.1691413491888131E-4</v>
      </c>
      <c r="G1063" s="75">
        <v>1061</v>
      </c>
      <c r="H1063" s="1">
        <f t="shared" ca="1" si="34"/>
        <v>4.2919684817007073E-3</v>
      </c>
    </row>
    <row r="1064" spans="2:8" x14ac:dyDescent="0.3">
      <c r="B1064" s="72">
        <v>43103</v>
      </c>
      <c r="C1064" s="73">
        <v>1142.1500000000001</v>
      </c>
      <c r="D1064" s="74">
        <f t="shared" si="33"/>
        <v>-0.64346808178554704</v>
      </c>
      <c r="E1064" s="1">
        <v>1.0945469670103543E-4</v>
      </c>
      <c r="G1064" s="75">
        <v>1062</v>
      </c>
      <c r="H1064" s="1">
        <f t="shared" ca="1" si="34"/>
        <v>-4.2990495124762711E-2</v>
      </c>
    </row>
    <row r="1065" spans="2:8" x14ac:dyDescent="0.3">
      <c r="B1065" s="72">
        <v>45205</v>
      </c>
      <c r="C1065" s="73">
        <v>3203.5</v>
      </c>
      <c r="D1065" s="74">
        <f t="shared" si="33"/>
        <v>0.15720839504388967</v>
      </c>
      <c r="E1065" s="1">
        <v>9.3656343656400455E-5</v>
      </c>
      <c r="G1065" s="75">
        <v>1063</v>
      </c>
      <c r="H1065" s="1">
        <f t="shared" ca="1" si="34"/>
        <v>5.3036813957466015E-3</v>
      </c>
    </row>
    <row r="1066" spans="2:8" x14ac:dyDescent="0.3">
      <c r="B1066" s="72">
        <v>44201</v>
      </c>
      <c r="C1066" s="73">
        <v>2768.3</v>
      </c>
      <c r="D1066" s="74">
        <f t="shared" si="33"/>
        <v>-0.11229757896424557</v>
      </c>
      <c r="E1066" s="1">
        <v>9.0316287639312861E-5</v>
      </c>
      <c r="G1066" s="75">
        <v>1064</v>
      </c>
      <c r="H1066" s="1">
        <f t="shared" ca="1" si="34"/>
        <v>2.0124684805739452E-4</v>
      </c>
    </row>
    <row r="1067" spans="2:8" x14ac:dyDescent="0.3">
      <c r="B1067" s="72">
        <v>44656</v>
      </c>
      <c r="C1067" s="73">
        <v>3118.5</v>
      </c>
      <c r="D1067" s="74">
        <f t="shared" si="33"/>
        <v>4.4802372038093292E-2</v>
      </c>
      <c r="E1067" s="1">
        <v>8.0173174055960881E-5</v>
      </c>
      <c r="G1067" s="75">
        <v>1065</v>
      </c>
      <c r="H1067" s="1">
        <f t="shared" ca="1" si="34"/>
        <v>-1.3817378279773196E-2</v>
      </c>
    </row>
    <row r="1068" spans="2:8" x14ac:dyDescent="0.3">
      <c r="B1068" s="72">
        <v>45595</v>
      </c>
      <c r="C1068" s="73">
        <v>2984.7750000000001</v>
      </c>
      <c r="D1068" s="74">
        <f t="shared" si="33"/>
        <v>1.0864527629233509</v>
      </c>
      <c r="E1068" s="1">
        <v>7.538824948481649E-5</v>
      </c>
      <c r="G1068" s="75">
        <v>1066</v>
      </c>
      <c r="H1068" s="1">
        <f t="shared" ca="1" si="34"/>
        <v>-1.9768718523423344E-2</v>
      </c>
    </row>
    <row r="1069" spans="2:8" x14ac:dyDescent="0.3">
      <c r="B1069" s="72">
        <v>43629</v>
      </c>
      <c r="C1069" s="73">
        <v>1430.5500000000002</v>
      </c>
      <c r="D1069" s="74">
        <f t="shared" si="33"/>
        <v>-0.363039316087092</v>
      </c>
      <c r="E1069" s="1">
        <v>6.9908070886879248E-5</v>
      </c>
      <c r="G1069" s="75">
        <v>1067</v>
      </c>
      <c r="H1069" s="1">
        <f t="shared" ca="1" si="34"/>
        <v>5.9203471467223498E-3</v>
      </c>
    </row>
    <row r="1070" spans="2:8" x14ac:dyDescent="0.3">
      <c r="B1070" s="72">
        <v>45817</v>
      </c>
      <c r="C1070" s="73">
        <v>2245.9</v>
      </c>
      <c r="D1070" s="74">
        <f t="shared" si="33"/>
        <v>-0.29661760100219225</v>
      </c>
      <c r="E1070" s="1">
        <v>4.4527562561184894E-5</v>
      </c>
      <c r="G1070" s="75">
        <v>1068</v>
      </c>
      <c r="H1070" s="1">
        <f t="shared" ca="1" si="34"/>
        <v>7.9293961572943867E-4</v>
      </c>
    </row>
    <row r="1071" spans="2:8" x14ac:dyDescent="0.3">
      <c r="B1071" s="72">
        <v>45155</v>
      </c>
      <c r="C1071" s="73">
        <v>3193</v>
      </c>
      <c r="D1071" s="74">
        <f t="shared" si="33"/>
        <v>1.0928441509495797</v>
      </c>
      <c r="E1071" s="1">
        <v>3.9149669185295387E-5</v>
      </c>
      <c r="G1071" s="75">
        <v>1069</v>
      </c>
      <c r="H1071" s="1">
        <f t="shared" ca="1" si="34"/>
        <v>1.0127621303903754E-2</v>
      </c>
    </row>
    <row r="1072" spans="2:8" x14ac:dyDescent="0.3">
      <c r="B1072" s="72">
        <v>43915</v>
      </c>
      <c r="C1072" s="73">
        <v>1525.675</v>
      </c>
      <c r="D1072" s="74">
        <f t="shared" si="33"/>
        <v>-0.45747026296605792</v>
      </c>
      <c r="E1072" s="1">
        <v>3.2773453502633036E-5</v>
      </c>
      <c r="G1072" s="75">
        <v>1070</v>
      </c>
      <c r="H1072" s="1">
        <f t="shared" ca="1" si="34"/>
        <v>-3.9515221866519706E-3</v>
      </c>
    </row>
    <row r="1073" spans="2:8" x14ac:dyDescent="0.3">
      <c r="B1073" s="72">
        <v>45429</v>
      </c>
      <c r="C1073" s="73">
        <v>2812.1499999999996</v>
      </c>
      <c r="D1073" s="74">
        <f t="shared" si="33"/>
        <v>0.1568706097724023</v>
      </c>
      <c r="E1073" s="1">
        <v>2.6670696905245454E-5</v>
      </c>
      <c r="G1073" s="75">
        <v>1071</v>
      </c>
      <c r="H1073" s="1">
        <f t="shared" ca="1" si="34"/>
        <v>1.3730598925387216E-3</v>
      </c>
    </row>
    <row r="1074" spans="2:8" x14ac:dyDescent="0.3">
      <c r="B1074" s="72">
        <v>44267</v>
      </c>
      <c r="C1074" s="73">
        <v>2430.8249999999998</v>
      </c>
      <c r="D1074" s="74">
        <f t="shared" si="33"/>
        <v>-5.2522339046802376E-2</v>
      </c>
      <c r="E1074" s="1">
        <v>2.0569571432866946E-5</v>
      </c>
      <c r="G1074" s="75">
        <v>1072</v>
      </c>
      <c r="H1074" s="1">
        <f t="shared" ca="1" si="34"/>
        <v>1.9809629860873283E-3</v>
      </c>
    </row>
    <row r="1075" spans="2:8" x14ac:dyDescent="0.3">
      <c r="B1075" s="72">
        <v>44326</v>
      </c>
      <c r="C1075" s="73">
        <v>2565.5749999999998</v>
      </c>
      <c r="D1075" s="74">
        <f t="shared" si="33"/>
        <v>1.0335480035668283</v>
      </c>
      <c r="E1075" s="1">
        <v>-6.8206177531007274E-5</v>
      </c>
      <c r="G1075" s="75">
        <v>1073</v>
      </c>
      <c r="H1075" s="1">
        <f t="shared" ca="1" si="34"/>
        <v>-3.1766289523380599E-3</v>
      </c>
    </row>
    <row r="1076" spans="2:8" x14ac:dyDescent="0.3">
      <c r="B1076" s="72">
        <v>43280</v>
      </c>
      <c r="C1076" s="73">
        <v>1261.625</v>
      </c>
      <c r="D1076" s="74">
        <f t="shared" si="33"/>
        <v>-0.32299911459311526</v>
      </c>
      <c r="E1076" s="1">
        <v>-7.9256573341979485E-5</v>
      </c>
      <c r="G1076" s="75">
        <v>1074</v>
      </c>
      <c r="H1076" s="1">
        <f t="shared" ca="1" si="34"/>
        <v>-1.1179735725527034E-2</v>
      </c>
    </row>
    <row r="1077" spans="2:8" x14ac:dyDescent="0.3">
      <c r="B1077" s="72">
        <v>43868</v>
      </c>
      <c r="C1077" s="73">
        <v>1863.55</v>
      </c>
      <c r="D1077" s="74">
        <f t="shared" si="33"/>
        <v>-1.1287520061544223E-2</v>
      </c>
      <c r="E1077" s="1">
        <v>-8.048505660787194E-5</v>
      </c>
      <c r="G1077" s="75">
        <v>1075</v>
      </c>
      <c r="H1077" s="1">
        <f t="shared" ca="1" si="34"/>
        <v>6.4958931228993285E-4</v>
      </c>
    </row>
    <row r="1078" spans="2:8" x14ac:dyDescent="0.3">
      <c r="B1078" s="72">
        <v>43875</v>
      </c>
      <c r="C1078" s="73">
        <v>1884.825</v>
      </c>
      <c r="D1078" s="74">
        <f t="shared" si="33"/>
        <v>5.1286341769504314E-2</v>
      </c>
      <c r="E1078" s="1">
        <v>-9.2838196286448027E-5</v>
      </c>
      <c r="G1078" s="75">
        <v>1076</v>
      </c>
      <c r="H1078" s="1">
        <f t="shared" ca="1" si="34"/>
        <v>8.3657415924534885E-3</v>
      </c>
    </row>
    <row r="1079" spans="2:8" x14ac:dyDescent="0.3">
      <c r="B1079" s="72">
        <v>43831</v>
      </c>
      <c r="C1079" s="73">
        <v>1792.875</v>
      </c>
      <c r="D1079" s="74">
        <f t="shared" si="33"/>
        <v>-0.11650569161779932</v>
      </c>
      <c r="E1079" s="1">
        <v>-9.7599063048969364E-5</v>
      </c>
      <c r="G1079" s="75">
        <v>1077</v>
      </c>
      <c r="H1079" s="1">
        <f t="shared" ca="1" si="34"/>
        <v>-3.7632013329848271E-3</v>
      </c>
    </row>
    <row r="1080" spans="2:8" x14ac:dyDescent="0.3">
      <c r="B1080" s="72">
        <v>44089</v>
      </c>
      <c r="C1080" s="73">
        <v>2029.3000000000002</v>
      </c>
      <c r="D1080" s="74">
        <f t="shared" si="33"/>
        <v>0.71978219877539806</v>
      </c>
      <c r="E1080" s="1">
        <v>-9.8546440009765021E-5</v>
      </c>
      <c r="G1080" s="75">
        <v>1078</v>
      </c>
      <c r="H1080" s="1">
        <f t="shared" ca="1" si="34"/>
        <v>-9.2473610327446516E-3</v>
      </c>
    </row>
    <row r="1081" spans="2:8" x14ac:dyDescent="0.3">
      <c r="B1081" s="72">
        <v>43111</v>
      </c>
      <c r="C1081" s="73">
        <v>1179.9749999999999</v>
      </c>
      <c r="D1081" s="74">
        <f t="shared" si="33"/>
        <v>-0.31136562591187633</v>
      </c>
      <c r="E1081" s="1">
        <v>-1.0592322684518262E-4</v>
      </c>
      <c r="G1081" s="75">
        <v>1079</v>
      </c>
      <c r="H1081" s="1">
        <f t="shared" ca="1" si="34"/>
        <v>-6.2197069399484535E-3</v>
      </c>
    </row>
    <row r="1082" spans="2:8" x14ac:dyDescent="0.3">
      <c r="B1082" s="72">
        <v>44035</v>
      </c>
      <c r="C1082" s="73">
        <v>1713.5</v>
      </c>
      <c r="D1082" s="74">
        <f t="shared" si="33"/>
        <v>-0.45943388041926603</v>
      </c>
      <c r="E1082" s="1">
        <v>-1.167065414016721E-4</v>
      </c>
      <c r="G1082" s="75">
        <v>1080</v>
      </c>
      <c r="H1082" s="1">
        <f t="shared" ca="1" si="34"/>
        <v>2.3034722284929081E-2</v>
      </c>
    </row>
    <row r="1083" spans="2:8" x14ac:dyDescent="0.3">
      <c r="B1083" s="72">
        <v>45159</v>
      </c>
      <c r="C1083" s="73">
        <v>3169.8249999999998</v>
      </c>
      <c r="D1083" s="74">
        <f t="shared" si="33"/>
        <v>1.2917849073655669</v>
      </c>
      <c r="E1083" s="1">
        <v>-1.3405882816818293E-4</v>
      </c>
      <c r="G1083" s="75">
        <v>1081</v>
      </c>
      <c r="H1083" s="1">
        <f t="shared" ca="1" si="34"/>
        <v>-1.9906408168518054E-2</v>
      </c>
    </row>
    <row r="1084" spans="2:8" x14ac:dyDescent="0.3">
      <c r="B1084" s="72">
        <v>43640</v>
      </c>
      <c r="C1084" s="73">
        <v>1383.125</v>
      </c>
      <c r="D1084" s="74">
        <f t="shared" si="33"/>
        <v>-0.56007824365264269</v>
      </c>
      <c r="E1084" s="1">
        <v>-1.4457918421198596E-4</v>
      </c>
      <c r="G1084" s="75">
        <v>1082</v>
      </c>
      <c r="H1084" s="1">
        <f t="shared" ca="1" si="34"/>
        <v>1.5935015663969914E-2</v>
      </c>
    </row>
    <row r="1085" spans="2:8" x14ac:dyDescent="0.3">
      <c r="B1085" s="72">
        <v>45062</v>
      </c>
      <c r="C1085" s="73">
        <v>3144.0249999999996</v>
      </c>
      <c r="D1085" s="74">
        <f t="shared" si="33"/>
        <v>1.0237355776193615</v>
      </c>
      <c r="E1085" s="1">
        <v>-1.590065272180869E-4</v>
      </c>
      <c r="G1085" s="75">
        <v>1083</v>
      </c>
      <c r="H1085" s="1">
        <f t="shared" ca="1" si="34"/>
        <v>-3.7074830235664408E-2</v>
      </c>
    </row>
    <row r="1086" spans="2:8" x14ac:dyDescent="0.3">
      <c r="B1086" s="72">
        <v>43720</v>
      </c>
      <c r="C1086" s="73">
        <v>1553.575</v>
      </c>
      <c r="D1086" s="74">
        <f t="shared" si="33"/>
        <v>-0.51706585430298879</v>
      </c>
      <c r="E1086" s="1">
        <v>-1.608932794877158E-4</v>
      </c>
      <c r="G1086" s="75">
        <v>1084</v>
      </c>
      <c r="H1086" s="1">
        <f t="shared" ca="1" si="34"/>
        <v>-1.1126490546773206E-2</v>
      </c>
    </row>
    <row r="1087" spans="2:8" x14ac:dyDescent="0.3">
      <c r="B1087" s="72">
        <v>45083</v>
      </c>
      <c r="C1087" s="73">
        <v>3216.95</v>
      </c>
      <c r="D1087" s="74">
        <f t="shared" si="33"/>
        <v>1.2348854577348594</v>
      </c>
      <c r="E1087" s="1">
        <v>-1.6317143101347826E-4</v>
      </c>
      <c r="G1087" s="75">
        <v>1085</v>
      </c>
      <c r="H1087" s="1">
        <f t="shared" ca="1" si="34"/>
        <v>1.7303809341484136E-2</v>
      </c>
    </row>
    <row r="1088" spans="2:8" x14ac:dyDescent="0.3">
      <c r="B1088" s="72">
        <v>43311</v>
      </c>
      <c r="C1088" s="73">
        <v>1439.425</v>
      </c>
      <c r="D1088" s="74">
        <f t="shared" si="33"/>
        <v>-0.42158084024833742</v>
      </c>
      <c r="E1088" s="1">
        <v>-1.7365030301977878E-4</v>
      </c>
      <c r="G1088" s="75">
        <v>1086</v>
      </c>
      <c r="H1088" s="1">
        <f t="shared" ca="1" si="34"/>
        <v>-1.7450007821855969E-2</v>
      </c>
    </row>
    <row r="1089" spans="2:8" x14ac:dyDescent="0.3">
      <c r="B1089" s="72">
        <v>45922</v>
      </c>
      <c r="C1089" s="73">
        <v>2488.5500000000002</v>
      </c>
      <c r="D1089" s="74">
        <f t="shared" si="33"/>
        <v>-0.20683665338645413</v>
      </c>
      <c r="E1089" s="1">
        <v>-1.8079550020081082E-4</v>
      </c>
      <c r="G1089" s="75">
        <v>1087</v>
      </c>
      <c r="H1089" s="1">
        <f t="shared" ca="1" si="34"/>
        <v>-2.1717994115482669E-2</v>
      </c>
    </row>
    <row r="1090" spans="2:8" x14ac:dyDescent="0.3">
      <c r="B1090" s="72">
        <v>44509</v>
      </c>
      <c r="C1090" s="73">
        <v>3137.5</v>
      </c>
      <c r="D1090" s="74">
        <f t="shared" si="33"/>
        <v>3.6461989511500183E-2</v>
      </c>
      <c r="E1090" s="1">
        <v>-1.8323335165661055E-4</v>
      </c>
      <c r="G1090" s="75">
        <v>1088</v>
      </c>
      <c r="H1090" s="1">
        <f t="shared" ca="1" si="34"/>
        <v>5.4158303078080568E-3</v>
      </c>
    </row>
    <row r="1091" spans="2:8" x14ac:dyDescent="0.3">
      <c r="B1091" s="72">
        <v>44648</v>
      </c>
      <c r="C1091" s="73">
        <v>3027.125</v>
      </c>
      <c r="D1091" s="74">
        <f t="shared" ref="D1091:D1154" si="35">(C1091-C1092)/C1092</f>
        <v>-0.10486434538330745</v>
      </c>
      <c r="E1091" s="1">
        <v>-2.1467909603589797E-4</v>
      </c>
      <c r="G1091" s="75">
        <v>1089</v>
      </c>
      <c r="H1091" s="1">
        <f t="shared" ca="1" si="34"/>
        <v>-1.6210483588251588E-2</v>
      </c>
    </row>
    <row r="1092" spans="2:8" x14ac:dyDescent="0.3">
      <c r="B1092" s="72">
        <v>45135</v>
      </c>
      <c r="C1092" s="73">
        <v>3381.75</v>
      </c>
      <c r="D1092" s="74">
        <f t="shared" si="35"/>
        <v>2.008339819859891</v>
      </c>
      <c r="E1092" s="1">
        <v>-2.2172949002217295E-4</v>
      </c>
      <c r="G1092" s="75">
        <v>1090</v>
      </c>
      <c r="H1092" s="1">
        <f t="shared" ref="H1092:H1155" ca="1" si="36">_xlfn.NORM.INV(RAND(),$N$4,$N$5)</f>
        <v>-1.2332412837601172E-2</v>
      </c>
    </row>
    <row r="1093" spans="2:8" x14ac:dyDescent="0.3">
      <c r="B1093" s="72">
        <v>43152</v>
      </c>
      <c r="C1093" s="73">
        <v>1124.125</v>
      </c>
      <c r="D1093" s="74">
        <f t="shared" si="35"/>
        <v>-0.59867728173363566</v>
      </c>
      <c r="E1093" s="1">
        <v>-2.2234574763757643E-4</v>
      </c>
      <c r="G1093" s="75">
        <v>1091</v>
      </c>
      <c r="H1093" s="1">
        <f t="shared" ca="1" si="36"/>
        <v>2.1786921620607917E-2</v>
      </c>
    </row>
    <row r="1094" spans="2:8" x14ac:dyDescent="0.3">
      <c r="B1094" s="72">
        <v>46014</v>
      </c>
      <c r="C1094" s="73">
        <v>2801.05</v>
      </c>
      <c r="D1094" s="74">
        <f t="shared" si="35"/>
        <v>-0.16340367068381043</v>
      </c>
      <c r="E1094" s="1">
        <v>-2.3200199878632124E-4</v>
      </c>
      <c r="G1094" s="75">
        <v>1092</v>
      </c>
      <c r="H1094" s="1">
        <f t="shared" ca="1" si="36"/>
        <v>4.3721380277206056E-3</v>
      </c>
    </row>
    <row r="1095" spans="2:8" x14ac:dyDescent="0.3">
      <c r="B1095" s="72">
        <v>45142</v>
      </c>
      <c r="C1095" s="73">
        <v>3348.15</v>
      </c>
      <c r="D1095" s="74">
        <f t="shared" si="35"/>
        <v>0.92466659002069451</v>
      </c>
      <c r="E1095" s="1">
        <v>-2.3888084324929522E-4</v>
      </c>
      <c r="G1095" s="75">
        <v>1093</v>
      </c>
      <c r="H1095" s="1">
        <f t="shared" ca="1" si="36"/>
        <v>3.8894621909058021E-2</v>
      </c>
    </row>
    <row r="1096" spans="2:8" x14ac:dyDescent="0.3">
      <c r="B1096" s="72">
        <v>43816</v>
      </c>
      <c r="C1096" s="73">
        <v>1739.6</v>
      </c>
      <c r="D1096" s="74">
        <f t="shared" si="35"/>
        <v>-0.44967217911911489</v>
      </c>
      <c r="E1096" s="1">
        <v>-2.4424936423337706E-4</v>
      </c>
      <c r="G1096" s="75">
        <v>1094</v>
      </c>
      <c r="H1096" s="1">
        <f t="shared" ca="1" si="36"/>
        <v>7.4780588556624104E-4</v>
      </c>
    </row>
    <row r="1097" spans="2:8" x14ac:dyDescent="0.3">
      <c r="B1097" s="72">
        <v>45538</v>
      </c>
      <c r="C1097" s="73">
        <v>3161.0250000000001</v>
      </c>
      <c r="D1097" s="74">
        <f t="shared" si="35"/>
        <v>0.45314439387670657</v>
      </c>
      <c r="E1097" s="1">
        <v>-2.4511354291861944E-4</v>
      </c>
      <c r="G1097" s="75">
        <v>1095</v>
      </c>
      <c r="H1097" s="1">
        <f t="shared" ca="1" si="36"/>
        <v>-4.9403515225551094E-3</v>
      </c>
    </row>
    <row r="1098" spans="2:8" x14ac:dyDescent="0.3">
      <c r="B1098" s="72">
        <v>44155</v>
      </c>
      <c r="C1098" s="73">
        <v>2175.3000000000002</v>
      </c>
      <c r="D1098" s="74">
        <f t="shared" si="35"/>
        <v>0.51096601663569918</v>
      </c>
      <c r="E1098" s="1">
        <v>-2.5277477767296789E-4</v>
      </c>
      <c r="G1098" s="75">
        <v>1096</v>
      </c>
      <c r="H1098" s="1">
        <f t="shared" ca="1" si="36"/>
        <v>1.5361131030621478E-2</v>
      </c>
    </row>
    <row r="1099" spans="2:8" x14ac:dyDescent="0.3">
      <c r="B1099" s="72">
        <v>43308</v>
      </c>
      <c r="C1099" s="73">
        <v>1439.675</v>
      </c>
      <c r="D1099" s="74">
        <f t="shared" si="35"/>
        <v>-0.56885954076170364</v>
      </c>
      <c r="E1099" s="1">
        <v>-2.6040762473525223E-4</v>
      </c>
      <c r="G1099" s="75">
        <v>1097</v>
      </c>
      <c r="H1099" s="1">
        <f t="shared" ca="1" si="36"/>
        <v>-9.5409819203535993E-3</v>
      </c>
    </row>
    <row r="1100" spans="2:8" x14ac:dyDescent="0.3">
      <c r="B1100" s="72">
        <v>44840</v>
      </c>
      <c r="C1100" s="73">
        <v>3339.2249999999999</v>
      </c>
      <c r="D1100" s="74">
        <f t="shared" si="35"/>
        <v>-4.4529808146272498E-2</v>
      </c>
      <c r="E1100" s="1">
        <v>-2.9189868870124817E-4</v>
      </c>
      <c r="G1100" s="75">
        <v>1098</v>
      </c>
      <c r="H1100" s="1">
        <f t="shared" ca="1" si="36"/>
        <v>-1.5755109207060206E-3</v>
      </c>
    </row>
    <row r="1101" spans="2:8" x14ac:dyDescent="0.3">
      <c r="B1101" s="72">
        <v>44567</v>
      </c>
      <c r="C1101" s="73">
        <v>3494.8500000000004</v>
      </c>
      <c r="D1101" s="74">
        <f t="shared" si="35"/>
        <v>0.23508207728871092</v>
      </c>
      <c r="E1101" s="1">
        <v>-3.3609599473680168E-4</v>
      </c>
      <c r="G1101" s="75">
        <v>1099</v>
      </c>
      <c r="H1101" s="1">
        <f t="shared" ca="1" si="36"/>
        <v>-7.4522976835857055E-3</v>
      </c>
    </row>
    <row r="1102" spans="2:8" x14ac:dyDescent="0.3">
      <c r="B1102" s="72">
        <v>45400</v>
      </c>
      <c r="C1102" s="73">
        <v>2829.6499999999996</v>
      </c>
      <c r="D1102" s="74">
        <f t="shared" si="35"/>
        <v>-9.3909451334250344E-3</v>
      </c>
      <c r="E1102" s="1">
        <v>-3.7976136855408878E-4</v>
      </c>
      <c r="G1102" s="75">
        <v>1100</v>
      </c>
      <c r="H1102" s="1">
        <f t="shared" ca="1" si="36"/>
        <v>3.1441817520998332E-2</v>
      </c>
    </row>
    <row r="1103" spans="2:8" x14ac:dyDescent="0.3">
      <c r="B1103" s="72">
        <v>45411</v>
      </c>
      <c r="C1103" s="73">
        <v>2856.4749999999999</v>
      </c>
      <c r="D1103" s="74">
        <f t="shared" si="35"/>
        <v>2.2268945155229456E-2</v>
      </c>
      <c r="E1103" s="1">
        <v>-4.024320895849144E-4</v>
      </c>
      <c r="G1103" s="75">
        <v>1101</v>
      </c>
      <c r="H1103" s="1">
        <f t="shared" ca="1" si="36"/>
        <v>1.4907526047358627E-2</v>
      </c>
    </row>
    <row r="1104" spans="2:8" x14ac:dyDescent="0.3">
      <c r="B1104" s="72">
        <v>45009</v>
      </c>
      <c r="C1104" s="73">
        <v>2794.25</v>
      </c>
      <c r="D1104" s="74">
        <f t="shared" si="35"/>
        <v>-8.0506104182434465E-2</v>
      </c>
      <c r="E1104" s="1">
        <v>-4.0245047623306356E-4</v>
      </c>
      <c r="G1104" s="75">
        <v>1102</v>
      </c>
      <c r="H1104" s="1">
        <f t="shared" ca="1" si="36"/>
        <v>1.9207601965207936E-2</v>
      </c>
    </row>
    <row r="1105" spans="2:8" x14ac:dyDescent="0.3">
      <c r="B1105" s="72">
        <v>44385</v>
      </c>
      <c r="C1105" s="73">
        <v>3038.9</v>
      </c>
      <c r="D1105" s="74">
        <f t="shared" si="35"/>
        <v>-1.7975295077596723E-2</v>
      </c>
      <c r="E1105" s="1">
        <v>-4.0294395789643818E-4</v>
      </c>
      <c r="G1105" s="75">
        <v>1103</v>
      </c>
      <c r="H1105" s="1">
        <f t="shared" ca="1" si="36"/>
        <v>-6.8731733300246099E-3</v>
      </c>
    </row>
    <row r="1106" spans="2:8" x14ac:dyDescent="0.3">
      <c r="B1106" s="72">
        <v>45506</v>
      </c>
      <c r="C1106" s="73">
        <v>3094.5250000000001</v>
      </c>
      <c r="D1106" s="74">
        <f t="shared" si="35"/>
        <v>-9.9597739192423165E-2</v>
      </c>
      <c r="E1106" s="1">
        <v>-4.3606411757577714E-4</v>
      </c>
      <c r="G1106" s="75">
        <v>1104</v>
      </c>
      <c r="H1106" s="1">
        <f t="shared" ca="1" si="36"/>
        <v>3.8315785108949136E-3</v>
      </c>
    </row>
    <row r="1107" spans="2:8" x14ac:dyDescent="0.3">
      <c r="B1107" s="72">
        <v>44817</v>
      </c>
      <c r="C1107" s="73">
        <v>3436.8249999999998</v>
      </c>
      <c r="D1107" s="74">
        <f t="shared" si="35"/>
        <v>0.38149934679931657</v>
      </c>
      <c r="E1107" s="1">
        <v>-4.3625893421942374E-4</v>
      </c>
      <c r="G1107" s="75">
        <v>1105</v>
      </c>
      <c r="H1107" s="1">
        <f t="shared" ca="1" si="36"/>
        <v>1.5368019252337538E-2</v>
      </c>
    </row>
    <row r="1108" spans="2:8" x14ac:dyDescent="0.3">
      <c r="B1108" s="72">
        <v>45918</v>
      </c>
      <c r="C1108" s="73">
        <v>2487.75</v>
      </c>
      <c r="D1108" s="74">
        <f t="shared" si="35"/>
        <v>0.64389671749293764</v>
      </c>
      <c r="E1108" s="1">
        <v>-4.4197119151429925E-4</v>
      </c>
      <c r="G1108" s="75">
        <v>1106</v>
      </c>
      <c r="H1108" s="1">
        <f t="shared" ca="1" si="36"/>
        <v>-2.051583757711354E-2</v>
      </c>
    </row>
    <row r="1109" spans="2:8" x14ac:dyDescent="0.3">
      <c r="B1109" s="72">
        <v>43560</v>
      </c>
      <c r="C1109" s="73">
        <v>1513.325</v>
      </c>
      <c r="D1109" s="74">
        <f t="shared" si="35"/>
        <v>0.21128987073278116</v>
      </c>
      <c r="E1109" s="1">
        <v>-4.4583883751648254E-4</v>
      </c>
      <c r="G1109" s="75">
        <v>1107</v>
      </c>
      <c r="H1109" s="1">
        <f t="shared" ca="1" si="36"/>
        <v>-5.621535292862195E-3</v>
      </c>
    </row>
    <row r="1110" spans="2:8" x14ac:dyDescent="0.3">
      <c r="B1110" s="72">
        <v>43388</v>
      </c>
      <c r="C1110" s="73">
        <v>1249.3499999999999</v>
      </c>
      <c r="D1110" s="74">
        <f t="shared" si="35"/>
        <v>-0.59017885698821559</v>
      </c>
      <c r="E1110" s="1">
        <v>-4.600276016563176E-4</v>
      </c>
      <c r="G1110" s="75">
        <v>1108</v>
      </c>
      <c r="H1110" s="1">
        <f t="shared" ca="1" si="36"/>
        <v>-2.9639345646245308E-3</v>
      </c>
    </row>
    <row r="1111" spans="2:8" x14ac:dyDescent="0.3">
      <c r="B1111" s="72">
        <v>44369</v>
      </c>
      <c r="C1111" s="73">
        <v>3048.5249999999996</v>
      </c>
      <c r="D1111" s="74">
        <f t="shared" si="35"/>
        <v>0.54281484855385997</v>
      </c>
      <c r="E1111" s="1">
        <v>-5.1637651224573859E-4</v>
      </c>
      <c r="G1111" s="75">
        <v>1109</v>
      </c>
      <c r="H1111" s="1">
        <f t="shared" ca="1" si="36"/>
        <v>-1.668994014109719E-2</v>
      </c>
    </row>
    <row r="1112" spans="2:8" x14ac:dyDescent="0.3">
      <c r="B1112" s="72">
        <v>44083</v>
      </c>
      <c r="C1112" s="73">
        <v>1975.95</v>
      </c>
      <c r="D1112" s="74">
        <f t="shared" si="35"/>
        <v>-0.12015762757146679</v>
      </c>
      <c r="E1112" s="1">
        <v>-5.1846887289918361E-4</v>
      </c>
      <c r="G1112" s="75">
        <v>1110</v>
      </c>
      <c r="H1112" s="1">
        <f t="shared" ca="1" si="36"/>
        <v>2.4541535395467304E-3</v>
      </c>
    </row>
    <row r="1113" spans="2:8" x14ac:dyDescent="0.3">
      <c r="B1113" s="72">
        <v>45814</v>
      </c>
      <c r="C1113" s="73">
        <v>2245.8000000000002</v>
      </c>
      <c r="D1113" s="74">
        <f t="shared" si="35"/>
        <v>-9.1173971105985088E-2</v>
      </c>
      <c r="E1113" s="1">
        <v>-5.3404539385839699E-4</v>
      </c>
      <c r="G1113" s="75">
        <v>1111</v>
      </c>
      <c r="H1113" s="1">
        <f t="shared" ca="1" si="36"/>
        <v>-1.1183634586661117E-2</v>
      </c>
    </row>
    <row r="1114" spans="2:8" x14ac:dyDescent="0.3">
      <c r="B1114" s="72">
        <v>44230</v>
      </c>
      <c r="C1114" s="73">
        <v>2471.1</v>
      </c>
      <c r="D1114" s="74">
        <f t="shared" si="35"/>
        <v>-0.15271729813132182</v>
      </c>
      <c r="E1114" s="1">
        <v>-5.8643910133274256E-4</v>
      </c>
      <c r="G1114" s="75">
        <v>1112</v>
      </c>
      <c r="H1114" s="1">
        <f t="shared" ca="1" si="36"/>
        <v>9.905585001876575E-3</v>
      </c>
    </row>
    <row r="1115" spans="2:8" x14ac:dyDescent="0.3">
      <c r="B1115" s="72">
        <v>45461</v>
      </c>
      <c r="C1115" s="73">
        <v>2916.5</v>
      </c>
      <c r="D1115" s="74">
        <f t="shared" si="35"/>
        <v>0.29622222222222222</v>
      </c>
      <c r="E1115" s="1">
        <v>-5.9111274833157452E-4</v>
      </c>
      <c r="G1115" s="75">
        <v>1113</v>
      </c>
      <c r="H1115" s="1">
        <f t="shared" ca="1" si="36"/>
        <v>-7.2687528363704797E-3</v>
      </c>
    </row>
    <row r="1116" spans="2:8" x14ac:dyDescent="0.3">
      <c r="B1116" s="72">
        <v>45712</v>
      </c>
      <c r="C1116" s="73">
        <v>2250</v>
      </c>
      <c r="D1116" s="74">
        <f t="shared" si="35"/>
        <v>-0.31723525797127838</v>
      </c>
      <c r="E1116" s="1">
        <v>-6.2183530247849825E-4</v>
      </c>
      <c r="G1116" s="75">
        <v>1114</v>
      </c>
      <c r="H1116" s="1">
        <f t="shared" ca="1" si="36"/>
        <v>-5.6393796791814567E-3</v>
      </c>
    </row>
    <row r="1117" spans="2:8" x14ac:dyDescent="0.3">
      <c r="B1117" s="72">
        <v>45555</v>
      </c>
      <c r="C1117" s="73">
        <v>3295.4250000000002</v>
      </c>
      <c r="D1117" s="74">
        <f t="shared" si="35"/>
        <v>0.90250555667811683</v>
      </c>
      <c r="E1117" s="1">
        <v>-6.2926459438963401E-4</v>
      </c>
      <c r="G1117" s="75">
        <v>1115</v>
      </c>
      <c r="H1117" s="1">
        <f t="shared" ca="1" si="36"/>
        <v>1.4017453765101547E-2</v>
      </c>
    </row>
    <row r="1118" spans="2:8" x14ac:dyDescent="0.3">
      <c r="B1118" s="72">
        <v>43789</v>
      </c>
      <c r="C1118" s="73">
        <v>1732.15</v>
      </c>
      <c r="D1118" s="74">
        <f t="shared" si="35"/>
        <v>0.13242024058577417</v>
      </c>
      <c r="E1118" s="1">
        <v>-6.3464589643727628E-4</v>
      </c>
      <c r="G1118" s="75">
        <v>1116</v>
      </c>
      <c r="H1118" s="1">
        <f t="shared" ca="1" si="36"/>
        <v>-1.416862343911523E-3</v>
      </c>
    </row>
    <row r="1119" spans="2:8" x14ac:dyDescent="0.3">
      <c r="B1119" s="72">
        <v>43714</v>
      </c>
      <c r="C1119" s="73">
        <v>1529.6</v>
      </c>
      <c r="D1119" s="74">
        <f t="shared" si="35"/>
        <v>9.4467202117954216E-2</v>
      </c>
      <c r="E1119" s="1">
        <v>-6.3701550071060644E-4</v>
      </c>
      <c r="G1119" s="75">
        <v>1117</v>
      </c>
      <c r="H1119" s="1">
        <f t="shared" ca="1" si="36"/>
        <v>1.5773119550804848E-2</v>
      </c>
    </row>
    <row r="1120" spans="2:8" x14ac:dyDescent="0.3">
      <c r="B1120" s="72">
        <v>43329</v>
      </c>
      <c r="C1120" s="73">
        <v>1397.575</v>
      </c>
      <c r="D1120" s="74">
        <f t="shared" si="35"/>
        <v>-0.21995088326403037</v>
      </c>
      <c r="E1120" s="1">
        <v>-6.6142295316407192E-4</v>
      </c>
      <c r="G1120" s="75">
        <v>1118</v>
      </c>
      <c r="H1120" s="1">
        <f t="shared" ca="1" si="36"/>
        <v>-1.8026736087329853E-3</v>
      </c>
    </row>
    <row r="1121" spans="2:8" x14ac:dyDescent="0.3">
      <c r="B1121" s="72">
        <v>43832</v>
      </c>
      <c r="C1121" s="73">
        <v>1791.65</v>
      </c>
      <c r="D1121" s="74">
        <f t="shared" si="35"/>
        <v>-0.45548345920646738</v>
      </c>
      <c r="E1121" s="1">
        <v>-6.8326012689111566E-4</v>
      </c>
      <c r="G1121" s="75">
        <v>1119</v>
      </c>
      <c r="H1121" s="1">
        <f t="shared" ca="1" si="36"/>
        <v>-1.1546711695360774E-2</v>
      </c>
    </row>
    <row r="1122" spans="2:8" x14ac:dyDescent="0.3">
      <c r="B1122" s="72">
        <v>45196</v>
      </c>
      <c r="C1122" s="73">
        <v>3290.35</v>
      </c>
      <c r="D1122" s="74">
        <f t="shared" si="35"/>
        <v>0.79680268672609866</v>
      </c>
      <c r="E1122" s="1">
        <v>-6.9093808131812486E-4</v>
      </c>
      <c r="G1122" s="75">
        <v>1120</v>
      </c>
      <c r="H1122" s="1">
        <f t="shared" ca="1" si="36"/>
        <v>-7.8711558198866407E-3</v>
      </c>
    </row>
    <row r="1123" spans="2:8" x14ac:dyDescent="0.3">
      <c r="B1123" s="72">
        <v>43888</v>
      </c>
      <c r="C1123" s="73">
        <v>1831.2249999999999</v>
      </c>
      <c r="D1123" s="74">
        <f t="shared" si="35"/>
        <v>-0.43057153518455171</v>
      </c>
      <c r="E1123" s="1">
        <v>-6.9577080491137297E-4</v>
      </c>
      <c r="G1123" s="75">
        <v>1121</v>
      </c>
      <c r="H1123" s="1">
        <f t="shared" ca="1" si="36"/>
        <v>8.2273189136391287E-3</v>
      </c>
    </row>
    <row r="1124" spans="2:8" x14ac:dyDescent="0.3">
      <c r="B1124" s="72">
        <v>44595</v>
      </c>
      <c r="C1124" s="73">
        <v>3215.8999999999996</v>
      </c>
      <c r="D1124" s="74">
        <f t="shared" si="35"/>
        <v>-3.9728870242912016E-2</v>
      </c>
      <c r="E1124" s="1">
        <v>-6.991594549665039E-4</v>
      </c>
      <c r="G1124" s="75">
        <v>1122</v>
      </c>
      <c r="H1124" s="1">
        <f t="shared" ca="1" si="36"/>
        <v>-1.0800588560321784E-3</v>
      </c>
    </row>
    <row r="1125" spans="2:8" x14ac:dyDescent="0.3">
      <c r="B1125" s="72">
        <v>45141</v>
      </c>
      <c r="C1125" s="73">
        <v>3348.95</v>
      </c>
      <c r="D1125" s="74">
        <f t="shared" si="35"/>
        <v>0.10650564990418289</v>
      </c>
      <c r="E1125" s="1">
        <v>-7.0122042192592834E-4</v>
      </c>
      <c r="G1125" s="75">
        <v>1123</v>
      </c>
      <c r="H1125" s="1">
        <f t="shared" ca="1" si="36"/>
        <v>-4.1076866741771205E-3</v>
      </c>
    </row>
    <row r="1126" spans="2:8" x14ac:dyDescent="0.3">
      <c r="B1126" s="72">
        <v>45587</v>
      </c>
      <c r="C1126" s="73">
        <v>3026.6</v>
      </c>
      <c r="D1126" s="74">
        <f t="shared" si="35"/>
        <v>-5.2662879321407889E-2</v>
      </c>
      <c r="E1126" s="1">
        <v>-7.1811210803053441E-4</v>
      </c>
      <c r="G1126" s="75">
        <v>1124</v>
      </c>
      <c r="H1126" s="1">
        <f t="shared" ca="1" si="36"/>
        <v>1.0759112649003373E-2</v>
      </c>
    </row>
    <row r="1127" spans="2:8" x14ac:dyDescent="0.3">
      <c r="B1127" s="72">
        <v>44600</v>
      </c>
      <c r="C1127" s="73">
        <v>3194.85</v>
      </c>
      <c r="D1127" s="74">
        <f t="shared" si="35"/>
        <v>2.2360178881431051E-2</v>
      </c>
      <c r="E1127" s="1">
        <v>-7.1939070734864719E-4</v>
      </c>
      <c r="G1127" s="75">
        <v>1125</v>
      </c>
      <c r="H1127" s="1">
        <f t="shared" ca="1" si="36"/>
        <v>-8.4902001172455291E-3</v>
      </c>
    </row>
    <row r="1128" spans="2:8" x14ac:dyDescent="0.3">
      <c r="B1128" s="72">
        <v>44678</v>
      </c>
      <c r="C1128" s="73">
        <v>3124.9749999999999</v>
      </c>
      <c r="D1128" s="74">
        <f t="shared" si="35"/>
        <v>0.10505145160719979</v>
      </c>
      <c r="E1128" s="1">
        <v>-7.274762171237E-4</v>
      </c>
      <c r="G1128" s="75">
        <v>1126</v>
      </c>
      <c r="H1128" s="1">
        <f t="shared" ca="1" si="36"/>
        <v>-1.9834011331622992E-2</v>
      </c>
    </row>
    <row r="1129" spans="2:8" x14ac:dyDescent="0.3">
      <c r="B1129" s="72">
        <v>46029</v>
      </c>
      <c r="C1129" s="73">
        <v>2827.8999999999996</v>
      </c>
      <c r="D1129" s="74">
        <f t="shared" si="35"/>
        <v>0.15138992091039558</v>
      </c>
      <c r="E1129" s="1">
        <v>-7.4204946996479283E-4</v>
      </c>
      <c r="G1129" s="75">
        <v>1127</v>
      </c>
      <c r="H1129" s="1">
        <f t="shared" ca="1" si="36"/>
        <v>2.791887769182491E-3</v>
      </c>
    </row>
    <row r="1130" spans="2:8" x14ac:dyDescent="0.3">
      <c r="B1130" s="72">
        <v>44173</v>
      </c>
      <c r="C1130" s="73">
        <v>2456.0749999999998</v>
      </c>
      <c r="D1130" s="74">
        <f t="shared" si="35"/>
        <v>-0.14676660124020785</v>
      </c>
      <c r="E1130" s="1">
        <v>-7.4250376337534995E-4</v>
      </c>
      <c r="G1130" s="75">
        <v>1128</v>
      </c>
      <c r="H1130" s="1">
        <f t="shared" ca="1" si="36"/>
        <v>1.0118130841153693E-2</v>
      </c>
    </row>
    <row r="1131" spans="2:8" x14ac:dyDescent="0.3">
      <c r="B1131" s="72">
        <v>45392</v>
      </c>
      <c r="C1131" s="73">
        <v>2878.55</v>
      </c>
      <c r="D1131" s="74">
        <f t="shared" si="35"/>
        <v>1.6894965070785851E-2</v>
      </c>
      <c r="E1131" s="1">
        <v>-7.5501826797064187E-4</v>
      </c>
      <c r="G1131" s="75">
        <v>1129</v>
      </c>
      <c r="H1131" s="1">
        <f t="shared" ca="1" si="36"/>
        <v>-6.7983840240494814E-3</v>
      </c>
    </row>
    <row r="1132" spans="2:8" x14ac:dyDescent="0.3">
      <c r="B1132" s="72">
        <v>45398</v>
      </c>
      <c r="C1132" s="73">
        <v>2830.7249999999999</v>
      </c>
      <c r="D1132" s="74">
        <f t="shared" si="35"/>
        <v>-3.7160179933502985E-2</v>
      </c>
      <c r="E1132" s="1">
        <v>-7.7658250747911532E-4</v>
      </c>
      <c r="G1132" s="75">
        <v>1130</v>
      </c>
      <c r="H1132" s="1">
        <f t="shared" ca="1" si="36"/>
        <v>2.3918504725721251E-2</v>
      </c>
    </row>
    <row r="1133" spans="2:8" x14ac:dyDescent="0.3">
      <c r="B1133" s="72">
        <v>44357</v>
      </c>
      <c r="C1133" s="73">
        <v>2939.9750000000004</v>
      </c>
      <c r="D1133" s="74">
        <f t="shared" si="35"/>
        <v>-8.4105671427903692E-2</v>
      </c>
      <c r="E1133" s="1">
        <v>-7.9019814430881217E-4</v>
      </c>
      <c r="G1133" s="75">
        <v>1131</v>
      </c>
      <c r="H1133" s="1">
        <f t="shared" ca="1" si="36"/>
        <v>3.0099175422086408E-3</v>
      </c>
    </row>
    <row r="1134" spans="2:8" x14ac:dyDescent="0.3">
      <c r="B1134" s="72">
        <v>45187</v>
      </c>
      <c r="C1134" s="73">
        <v>3209.95</v>
      </c>
      <c r="D1134" s="74">
        <f t="shared" si="35"/>
        <v>0.31801104518672119</v>
      </c>
      <c r="E1134" s="1">
        <v>-7.9377431906620447E-4</v>
      </c>
      <c r="G1134" s="75">
        <v>1132</v>
      </c>
      <c r="H1134" s="1">
        <f t="shared" ca="1" si="36"/>
        <v>1.4897062193610145E-3</v>
      </c>
    </row>
    <row r="1135" spans="2:8" x14ac:dyDescent="0.3">
      <c r="B1135" s="72">
        <v>44246</v>
      </c>
      <c r="C1135" s="73">
        <v>2435.4499999999998</v>
      </c>
      <c r="D1135" s="74">
        <f t="shared" si="35"/>
        <v>0.85068105397139004</v>
      </c>
      <c r="E1135" s="1">
        <v>-8.1028134199015911E-4</v>
      </c>
      <c r="G1135" s="75">
        <v>1133</v>
      </c>
      <c r="H1135" s="1">
        <f t="shared" ca="1" si="36"/>
        <v>-1.9153885653456399E-2</v>
      </c>
    </row>
    <row r="1136" spans="2:8" x14ac:dyDescent="0.3">
      <c r="B1136" s="72">
        <v>43360</v>
      </c>
      <c r="C1136" s="73">
        <v>1315.9749999999999</v>
      </c>
      <c r="D1136" s="74">
        <f t="shared" si="35"/>
        <v>-0.23512060447544325</v>
      </c>
      <c r="E1136" s="1">
        <v>-8.1621806309558904E-4</v>
      </c>
      <c r="G1136" s="75">
        <v>1134</v>
      </c>
      <c r="H1136" s="1">
        <f t="shared" ca="1" si="36"/>
        <v>8.7003552555811135E-3</v>
      </c>
    </row>
    <row r="1137" spans="2:8" x14ac:dyDescent="0.3">
      <c r="B1137" s="72">
        <v>43809</v>
      </c>
      <c r="C1137" s="73">
        <v>1720.5</v>
      </c>
      <c r="D1137" s="74">
        <f t="shared" si="35"/>
        <v>-0.44662887468339163</v>
      </c>
      <c r="E1137" s="1">
        <v>-8.4206858503443503E-4</v>
      </c>
      <c r="G1137" s="75">
        <v>1135</v>
      </c>
      <c r="H1137" s="1">
        <f t="shared" ca="1" si="36"/>
        <v>-1.7690914862599237E-2</v>
      </c>
    </row>
    <row r="1138" spans="2:8" x14ac:dyDescent="0.3">
      <c r="B1138" s="72">
        <v>45064</v>
      </c>
      <c r="C1138" s="73">
        <v>3109.125</v>
      </c>
      <c r="D1138" s="74">
        <f t="shared" si="35"/>
        <v>1.3527241770715097</v>
      </c>
      <c r="E1138" s="1">
        <v>-8.435767654856592E-4</v>
      </c>
      <c r="G1138" s="75">
        <v>1136</v>
      </c>
      <c r="H1138" s="1">
        <f t="shared" ca="1" si="36"/>
        <v>1.0215397602248238E-2</v>
      </c>
    </row>
    <row r="1139" spans="2:8" x14ac:dyDescent="0.3">
      <c r="B1139" s="72">
        <v>43420</v>
      </c>
      <c r="C1139" s="73">
        <v>1321.5</v>
      </c>
      <c r="D1139" s="74">
        <f t="shared" si="35"/>
        <v>-5.6290503990145173E-2</v>
      </c>
      <c r="E1139" s="1">
        <v>-8.5058123050751346E-4</v>
      </c>
      <c r="G1139" s="75">
        <v>1137</v>
      </c>
      <c r="H1139" s="1">
        <f t="shared" ca="1" si="36"/>
        <v>7.8091057042405194E-3</v>
      </c>
    </row>
    <row r="1140" spans="2:8" x14ac:dyDescent="0.3">
      <c r="B1140" s="72">
        <v>43481</v>
      </c>
      <c r="C1140" s="73">
        <v>1400.325</v>
      </c>
      <c r="D1140" s="74">
        <f t="shared" si="35"/>
        <v>-0.51436622160568757</v>
      </c>
      <c r="E1140" s="1">
        <v>-8.5621019960403517E-4</v>
      </c>
      <c r="G1140" s="75">
        <v>1138</v>
      </c>
      <c r="H1140" s="1">
        <f t="shared" ca="1" si="36"/>
        <v>-2.5173451445866337E-3</v>
      </c>
    </row>
    <row r="1141" spans="2:8" x14ac:dyDescent="0.3">
      <c r="B1141" s="72">
        <v>44714</v>
      </c>
      <c r="C1141" s="73">
        <v>2883.5</v>
      </c>
      <c r="D1141" s="74">
        <f t="shared" si="35"/>
        <v>0.60526645418992076</v>
      </c>
      <c r="E1141" s="1">
        <v>-8.5759578651941324E-4</v>
      </c>
      <c r="G1141" s="75">
        <v>1139</v>
      </c>
      <c r="H1141" s="1">
        <f t="shared" ca="1" si="36"/>
        <v>-9.0802211885142713E-3</v>
      </c>
    </row>
    <row r="1142" spans="2:8" x14ac:dyDescent="0.3">
      <c r="B1142" s="72">
        <v>43767</v>
      </c>
      <c r="C1142" s="73">
        <v>1796.2750000000001</v>
      </c>
      <c r="D1142" s="74">
        <f t="shared" si="35"/>
        <v>-0.47175762209691297</v>
      </c>
      <c r="E1142" s="1">
        <v>-8.6215287917329399E-4</v>
      </c>
      <c r="G1142" s="75">
        <v>1140</v>
      </c>
      <c r="H1142" s="1">
        <f t="shared" ca="1" si="36"/>
        <v>6.6042023692666849E-3</v>
      </c>
    </row>
    <row r="1143" spans="2:8" x14ac:dyDescent="0.3">
      <c r="B1143" s="72">
        <v>45292</v>
      </c>
      <c r="C1143" s="73">
        <v>3400.4750000000004</v>
      </c>
      <c r="D1143" s="74">
        <f t="shared" si="35"/>
        <v>0.14987741990024528</v>
      </c>
      <c r="E1143" s="1">
        <v>-8.667739115743164E-4</v>
      </c>
      <c r="G1143" s="75">
        <v>1141</v>
      </c>
      <c r="H1143" s="1">
        <f t="shared" ca="1" si="36"/>
        <v>-1.3363330828703827E-2</v>
      </c>
    </row>
    <row r="1144" spans="2:8" x14ac:dyDescent="0.3">
      <c r="B1144" s="72">
        <v>45996</v>
      </c>
      <c r="C1144" s="73">
        <v>2957.25</v>
      </c>
      <c r="D1144" s="74">
        <f t="shared" si="35"/>
        <v>0.61432958034800411</v>
      </c>
      <c r="E1144" s="1">
        <v>-8.784228930519821E-4</v>
      </c>
      <c r="G1144" s="75">
        <v>1142</v>
      </c>
      <c r="H1144" s="1">
        <f t="shared" ca="1" si="36"/>
        <v>2.8040408877778905E-3</v>
      </c>
    </row>
    <row r="1145" spans="2:8" x14ac:dyDescent="0.3">
      <c r="B1145" s="72">
        <v>43886</v>
      </c>
      <c r="C1145" s="73">
        <v>1831.875</v>
      </c>
      <c r="D1145" s="74">
        <f t="shared" si="35"/>
        <v>1.7482226171961737E-2</v>
      </c>
      <c r="E1145" s="1">
        <v>-8.8628306517589308E-4</v>
      </c>
      <c r="G1145" s="75">
        <v>1143</v>
      </c>
      <c r="H1145" s="1">
        <f t="shared" ca="1" si="36"/>
        <v>-1.9950152682264743E-2</v>
      </c>
    </row>
    <row r="1146" spans="2:8" x14ac:dyDescent="0.3">
      <c r="B1146" s="72">
        <v>43822</v>
      </c>
      <c r="C1146" s="73">
        <v>1800.4</v>
      </c>
      <c r="D1146" s="74">
        <f t="shared" si="35"/>
        <v>-0.42645981332228977</v>
      </c>
      <c r="E1146" s="1">
        <v>-8.8790233074356772E-4</v>
      </c>
      <c r="G1146" s="75">
        <v>1144</v>
      </c>
      <c r="H1146" s="1">
        <f t="shared" ca="1" si="36"/>
        <v>-4.0930493264870827E-3</v>
      </c>
    </row>
    <row r="1147" spans="2:8" x14ac:dyDescent="0.3">
      <c r="B1147" s="72">
        <v>45252</v>
      </c>
      <c r="C1147" s="73">
        <v>3139.1</v>
      </c>
      <c r="D1147" s="74">
        <f t="shared" si="35"/>
        <v>1.2453818780064732</v>
      </c>
      <c r="E1147" s="1">
        <v>-9.0707999809032901E-4</v>
      </c>
      <c r="G1147" s="75">
        <v>1145</v>
      </c>
      <c r="H1147" s="1">
        <f t="shared" ca="1" si="36"/>
        <v>3.3303404754414206E-2</v>
      </c>
    </row>
    <row r="1148" spans="2:8" x14ac:dyDescent="0.3">
      <c r="B1148" s="72">
        <v>43479</v>
      </c>
      <c r="C1148" s="73">
        <v>1398.0250000000001</v>
      </c>
      <c r="D1148" s="74">
        <f t="shared" si="35"/>
        <v>-0.39748092919019096</v>
      </c>
      <c r="E1148" s="1">
        <v>-9.1116987064967538E-4</v>
      </c>
      <c r="G1148" s="75">
        <v>1146</v>
      </c>
      <c r="H1148" s="1">
        <f t="shared" ca="1" si="36"/>
        <v>3.5141761448954222E-2</v>
      </c>
    </row>
    <row r="1149" spans="2:8" x14ac:dyDescent="0.3">
      <c r="B1149" s="72">
        <v>45743</v>
      </c>
      <c r="C1149" s="73">
        <v>2320.3000000000002</v>
      </c>
      <c r="D1149" s="74">
        <f t="shared" si="35"/>
        <v>0.91230889685581273</v>
      </c>
      <c r="E1149" s="1">
        <v>-9.3650093111862442E-4</v>
      </c>
      <c r="G1149" s="75">
        <v>1147</v>
      </c>
      <c r="H1149" s="1">
        <f t="shared" ca="1" si="36"/>
        <v>2.4853077849820433E-3</v>
      </c>
    </row>
    <row r="1150" spans="2:8" x14ac:dyDescent="0.3">
      <c r="B1150" s="72">
        <v>43229</v>
      </c>
      <c r="C1150" s="73">
        <v>1213.3499999999999</v>
      </c>
      <c r="D1150" s="74">
        <f t="shared" si="35"/>
        <v>-0.16186298720361963</v>
      </c>
      <c r="E1150" s="1">
        <v>-9.4689172498978256E-4</v>
      </c>
      <c r="G1150" s="75">
        <v>1148</v>
      </c>
      <c r="H1150" s="1">
        <f t="shared" ca="1" si="36"/>
        <v>8.430018572233057E-4</v>
      </c>
    </row>
    <row r="1151" spans="2:8" x14ac:dyDescent="0.3">
      <c r="B1151" s="72">
        <v>43581</v>
      </c>
      <c r="C1151" s="73">
        <v>1447.675</v>
      </c>
      <c r="D1151" s="74">
        <f t="shared" si="35"/>
        <v>-0.26106985172140984</v>
      </c>
      <c r="E1151" s="1">
        <v>-9.4889755356958013E-4</v>
      </c>
      <c r="G1151" s="75">
        <v>1149</v>
      </c>
      <c r="H1151" s="1">
        <f t="shared" ca="1" si="36"/>
        <v>1.3636801663983998E-2</v>
      </c>
    </row>
    <row r="1152" spans="2:8" x14ac:dyDescent="0.3">
      <c r="B1152" s="72">
        <v>44097</v>
      </c>
      <c r="C1152" s="73">
        <v>1959.15</v>
      </c>
      <c r="D1152" s="74">
        <f t="shared" si="35"/>
        <v>-0.3240697614242094</v>
      </c>
      <c r="E1152" s="1">
        <v>-9.5613263471908821E-4</v>
      </c>
      <c r="G1152" s="75">
        <v>1150</v>
      </c>
      <c r="H1152" s="1">
        <f t="shared" ca="1" si="36"/>
        <v>2.7654079153481559E-3</v>
      </c>
    </row>
    <row r="1153" spans="2:8" x14ac:dyDescent="0.3">
      <c r="B1153" s="72">
        <v>45463</v>
      </c>
      <c r="C1153" s="73">
        <v>2898.45</v>
      </c>
      <c r="D1153" s="74">
        <f t="shared" si="35"/>
        <v>3.9150309222909317E-2</v>
      </c>
      <c r="E1153" s="1">
        <v>-9.9092655941681825E-4</v>
      </c>
      <c r="G1153" s="75">
        <v>1151</v>
      </c>
      <c r="H1153" s="1">
        <f t="shared" ca="1" si="36"/>
        <v>1.8625464003415818E-2</v>
      </c>
    </row>
    <row r="1154" spans="2:8" x14ac:dyDescent="0.3">
      <c r="B1154" s="72">
        <v>46008</v>
      </c>
      <c r="C1154" s="73">
        <v>2789.25</v>
      </c>
      <c r="D1154" s="74">
        <f t="shared" si="35"/>
        <v>1.017102979461961</v>
      </c>
      <c r="E1154" s="1">
        <v>-1.0028473702119165E-3</v>
      </c>
      <c r="G1154" s="75">
        <v>1152</v>
      </c>
      <c r="H1154" s="1">
        <f t="shared" ca="1" si="36"/>
        <v>-6.5703446963036411E-3</v>
      </c>
    </row>
    <row r="1155" spans="2:8" x14ac:dyDescent="0.3">
      <c r="B1155" s="72">
        <v>43636</v>
      </c>
      <c r="C1155" s="73">
        <v>1382.8000000000002</v>
      </c>
      <c r="D1155" s="74">
        <f t="shared" ref="D1155:D1218" si="37">(C1155-C1156)/C1156</f>
        <v>-0.41620754438182073</v>
      </c>
      <c r="E1155" s="1">
        <v>-1.011414535471654E-3</v>
      </c>
      <c r="G1155" s="75">
        <v>1153</v>
      </c>
      <c r="H1155" s="1">
        <f t="shared" ca="1" si="36"/>
        <v>-8.382082433357951E-3</v>
      </c>
    </row>
    <row r="1156" spans="2:8" x14ac:dyDescent="0.3">
      <c r="B1156" s="72">
        <v>45861</v>
      </c>
      <c r="C1156" s="73">
        <v>2368.6499999999996</v>
      </c>
      <c r="D1156" s="74">
        <f t="shared" si="37"/>
        <v>1.1410557714905538</v>
      </c>
      <c r="E1156" s="1">
        <v>-1.0122097804772339E-3</v>
      </c>
      <c r="G1156" s="75">
        <v>1154</v>
      </c>
      <c r="H1156" s="1">
        <f t="shared" ref="H1156:H1219" ca="1" si="38">_xlfn.NORM.INV(RAND(),$N$4,$N$5)</f>
        <v>1.545495023070504E-2</v>
      </c>
    </row>
    <row r="1157" spans="2:8" x14ac:dyDescent="0.3">
      <c r="B1157" s="72">
        <v>43165</v>
      </c>
      <c r="C1157" s="73">
        <v>1106.3</v>
      </c>
      <c r="D1157" s="74">
        <f t="shared" si="37"/>
        <v>-0.62905091622378329</v>
      </c>
      <c r="E1157" s="1">
        <v>-1.0158701492200375E-3</v>
      </c>
      <c r="G1157" s="75">
        <v>1155</v>
      </c>
      <c r="H1157" s="1">
        <f t="shared" ca="1" si="38"/>
        <v>-1.8013891847781308E-2</v>
      </c>
    </row>
    <row r="1158" spans="2:8" x14ac:dyDescent="0.3">
      <c r="B1158" s="72">
        <v>44396</v>
      </c>
      <c r="C1158" s="73">
        <v>2982.35</v>
      </c>
      <c r="D1158" s="74">
        <f t="shared" si="37"/>
        <v>7.7419121764418897E-2</v>
      </c>
      <c r="E1158" s="1">
        <v>-1.0550996483001476E-3</v>
      </c>
      <c r="G1158" s="75">
        <v>1156</v>
      </c>
      <c r="H1158" s="1">
        <f t="shared" ca="1" si="38"/>
        <v>-1.6420559614456046E-2</v>
      </c>
    </row>
    <row r="1159" spans="2:8" x14ac:dyDescent="0.3">
      <c r="B1159" s="72">
        <v>44200</v>
      </c>
      <c r="C1159" s="73">
        <v>2768.05</v>
      </c>
      <c r="D1159" s="74">
        <f t="shared" si="37"/>
        <v>-0.13833007774500572</v>
      </c>
      <c r="E1159" s="1">
        <v>-1.0645976181883139E-3</v>
      </c>
      <c r="G1159" s="75">
        <v>1157</v>
      </c>
      <c r="H1159" s="1">
        <f t="shared" ca="1" si="38"/>
        <v>3.3505576475488845E-2</v>
      </c>
    </row>
    <row r="1160" spans="2:8" x14ac:dyDescent="0.3">
      <c r="B1160" s="72">
        <v>44596</v>
      </c>
      <c r="C1160" s="73">
        <v>3212.4250000000002</v>
      </c>
      <c r="D1160" s="74">
        <f t="shared" si="37"/>
        <v>0.83247768175465631</v>
      </c>
      <c r="E1160" s="1">
        <v>-1.0805684256349559E-3</v>
      </c>
      <c r="G1160" s="75">
        <v>1158</v>
      </c>
      <c r="H1160" s="1">
        <f t="shared" ca="1" si="38"/>
        <v>1.1826608928616663E-2</v>
      </c>
    </row>
    <row r="1161" spans="2:8" x14ac:dyDescent="0.3">
      <c r="B1161" s="72">
        <v>44042</v>
      </c>
      <c r="C1161" s="73">
        <v>1753.05</v>
      </c>
      <c r="D1161" s="74">
        <f t="shared" si="37"/>
        <v>-0.40437279151943462</v>
      </c>
      <c r="E1161" s="1">
        <v>-1.082651927405391E-3</v>
      </c>
      <c r="G1161" s="75">
        <v>1159</v>
      </c>
      <c r="H1161" s="1">
        <f t="shared" ca="1" si="38"/>
        <v>-5.5444869612255466E-3</v>
      </c>
    </row>
    <row r="1162" spans="2:8" x14ac:dyDescent="0.3">
      <c r="B1162" s="72">
        <v>45324</v>
      </c>
      <c r="C1162" s="73">
        <v>2943.2</v>
      </c>
      <c r="D1162" s="74">
        <f t="shared" si="37"/>
        <v>1.4649400138188058</v>
      </c>
      <c r="E1162" s="1">
        <v>-1.0860711376594551E-3</v>
      </c>
      <c r="G1162" s="75">
        <v>1160</v>
      </c>
      <c r="H1162" s="1">
        <f t="shared" ca="1" si="38"/>
        <v>1.1703419855448994E-2</v>
      </c>
    </row>
    <row r="1163" spans="2:8" x14ac:dyDescent="0.3">
      <c r="B1163" s="72">
        <v>43116</v>
      </c>
      <c r="C1163" s="73">
        <v>1194.0250000000001</v>
      </c>
      <c r="D1163" s="74">
        <f t="shared" si="37"/>
        <v>-0.61313969123102585</v>
      </c>
      <c r="E1163" s="1">
        <v>-1.0875703260619116E-3</v>
      </c>
      <c r="G1163" s="75">
        <v>1161</v>
      </c>
      <c r="H1163" s="1">
        <f t="shared" ca="1" si="38"/>
        <v>5.7687134408270328E-3</v>
      </c>
    </row>
    <row r="1164" spans="2:8" x14ac:dyDescent="0.3">
      <c r="B1164" s="72">
        <v>45222</v>
      </c>
      <c r="C1164" s="73">
        <v>3086.45</v>
      </c>
      <c r="D1164" s="74">
        <f t="shared" si="37"/>
        <v>0.41135181480422972</v>
      </c>
      <c r="E1164" s="1">
        <v>-1.0922948710687498E-3</v>
      </c>
      <c r="G1164" s="75">
        <v>1162</v>
      </c>
      <c r="H1164" s="1">
        <f t="shared" ca="1" si="38"/>
        <v>-2.6611431214660128E-2</v>
      </c>
    </row>
    <row r="1165" spans="2:8" x14ac:dyDescent="0.3">
      <c r="B1165" s="72">
        <v>44149</v>
      </c>
      <c r="C1165" s="73">
        <v>2186.875</v>
      </c>
      <c r="D1165" s="74">
        <f t="shared" si="37"/>
        <v>0.60947562097516095</v>
      </c>
      <c r="E1165" s="1">
        <v>-1.0962533258727619E-3</v>
      </c>
      <c r="G1165" s="75">
        <v>1163</v>
      </c>
      <c r="H1165" s="1">
        <f t="shared" ca="1" si="38"/>
        <v>2.7384895357011746E-3</v>
      </c>
    </row>
    <row r="1166" spans="2:8" x14ac:dyDescent="0.3">
      <c r="B1166" s="72">
        <v>43650</v>
      </c>
      <c r="C1166" s="73">
        <v>1358.75</v>
      </c>
      <c r="D1166" s="74">
        <f t="shared" si="37"/>
        <v>-0.5909196968214423</v>
      </c>
      <c r="E1166" s="1">
        <v>-1.1027384671935306E-3</v>
      </c>
      <c r="G1166" s="75">
        <v>1164</v>
      </c>
      <c r="H1166" s="1">
        <f t="shared" ca="1" si="38"/>
        <v>1.6739004682931786E-2</v>
      </c>
    </row>
    <row r="1167" spans="2:8" x14ac:dyDescent="0.3">
      <c r="B1167" s="72">
        <v>44483</v>
      </c>
      <c r="C1167" s="73">
        <v>3321.4749999999999</v>
      </c>
      <c r="D1167" s="74">
        <f t="shared" si="37"/>
        <v>0.4562763065591019</v>
      </c>
      <c r="E1167" s="1">
        <v>-1.105213298648236E-3</v>
      </c>
      <c r="G1167" s="75">
        <v>1165</v>
      </c>
      <c r="H1167" s="1">
        <f t="shared" ca="1" si="38"/>
        <v>-1.5575303455984827E-2</v>
      </c>
    </row>
    <row r="1168" spans="2:8" x14ac:dyDescent="0.3">
      <c r="B1168" s="72">
        <v>46087</v>
      </c>
      <c r="C1168" s="73">
        <v>2280.8000000000002</v>
      </c>
      <c r="D1168" s="74">
        <f t="shared" si="37"/>
        <v>-0.19043055407659815</v>
      </c>
      <c r="E1168" s="1">
        <v>-1.1167801694876944E-3</v>
      </c>
      <c r="G1168" s="75">
        <v>1166</v>
      </c>
      <c r="H1168" s="1">
        <f t="shared" ca="1" si="38"/>
        <v>1.5912566766118637E-2</v>
      </c>
    </row>
    <row r="1169" spans="2:8" x14ac:dyDescent="0.3">
      <c r="B1169" s="72">
        <v>45371</v>
      </c>
      <c r="C1169" s="73">
        <v>2817.3</v>
      </c>
      <c r="D1169" s="74">
        <f t="shared" si="37"/>
        <v>-4.3442831678125737E-2</v>
      </c>
      <c r="E1169" s="1">
        <v>-1.1345506115936245E-3</v>
      </c>
      <c r="G1169" s="75">
        <v>1167</v>
      </c>
      <c r="H1169" s="1">
        <f t="shared" ca="1" si="38"/>
        <v>7.9856683822916233E-3</v>
      </c>
    </row>
    <row r="1170" spans="2:8" x14ac:dyDescent="0.3">
      <c r="B1170" s="72">
        <v>45495</v>
      </c>
      <c r="C1170" s="73">
        <v>2945.25</v>
      </c>
      <c r="D1170" s="74">
        <f t="shared" si="37"/>
        <v>-1.3093413083360499E-2</v>
      </c>
      <c r="E1170" s="1">
        <v>-1.1446012972148034E-3</v>
      </c>
      <c r="G1170" s="75">
        <v>1168</v>
      </c>
      <c r="H1170" s="1">
        <f t="shared" ca="1" si="38"/>
        <v>-3.0245285043717672E-2</v>
      </c>
    </row>
    <row r="1171" spans="2:8" x14ac:dyDescent="0.3">
      <c r="B1171" s="72">
        <v>44935</v>
      </c>
      <c r="C1171" s="73">
        <v>2984.3249999999998</v>
      </c>
      <c r="D1171" s="74">
        <f t="shared" si="37"/>
        <v>-5.966269388012331E-2</v>
      </c>
      <c r="E1171" s="1">
        <v>-1.1463475859761298E-3</v>
      </c>
      <c r="G1171" s="75">
        <v>1169</v>
      </c>
      <c r="H1171" s="1">
        <f t="shared" ca="1" si="38"/>
        <v>5.7206112729149975E-3</v>
      </c>
    </row>
    <row r="1172" spans="2:8" x14ac:dyDescent="0.3">
      <c r="B1172" s="72">
        <v>45527</v>
      </c>
      <c r="C1172" s="73">
        <v>3173.6750000000002</v>
      </c>
      <c r="D1172" s="74">
        <f t="shared" si="37"/>
        <v>0.35242792917563365</v>
      </c>
      <c r="E1172" s="1">
        <v>-1.1566242308842845E-3</v>
      </c>
      <c r="G1172" s="75">
        <v>1170</v>
      </c>
      <c r="H1172" s="1">
        <f t="shared" ca="1" si="38"/>
        <v>-3.9274416794576545E-3</v>
      </c>
    </row>
    <row r="1173" spans="2:8" x14ac:dyDescent="0.3">
      <c r="B1173" s="72">
        <v>45936</v>
      </c>
      <c r="C1173" s="73">
        <v>2346.6499999999996</v>
      </c>
      <c r="D1173" s="74">
        <f t="shared" si="37"/>
        <v>-0.24052333060933878</v>
      </c>
      <c r="E1173" s="1">
        <v>-1.1705116199880823E-3</v>
      </c>
      <c r="G1173" s="75">
        <v>1171</v>
      </c>
      <c r="H1173" s="1">
        <f t="shared" ca="1" si="38"/>
        <v>-4.3278644550233999E-3</v>
      </c>
    </row>
    <row r="1174" spans="2:8" x14ac:dyDescent="0.3">
      <c r="B1174" s="72">
        <v>45219</v>
      </c>
      <c r="C1174" s="73">
        <v>3089.8249999999998</v>
      </c>
      <c r="D1174" s="74">
        <f t="shared" si="37"/>
        <v>-1.1382543034491672E-2</v>
      </c>
      <c r="E1174" s="1">
        <v>-1.1879747858413389E-3</v>
      </c>
      <c r="G1174" s="75">
        <v>1172</v>
      </c>
      <c r="H1174" s="1">
        <f t="shared" ca="1" si="38"/>
        <v>-8.7918127481987473E-3</v>
      </c>
    </row>
    <row r="1175" spans="2:8" x14ac:dyDescent="0.3">
      <c r="B1175" s="72">
        <v>44529</v>
      </c>
      <c r="C1175" s="73">
        <v>3125.4</v>
      </c>
      <c r="D1175" s="74">
        <f t="shared" si="37"/>
        <v>-1.0949367088607566E-2</v>
      </c>
      <c r="E1175" s="1">
        <v>-1.2063882652776181E-3</v>
      </c>
      <c r="G1175" s="75">
        <v>1173</v>
      </c>
      <c r="H1175" s="1">
        <f t="shared" ca="1" si="38"/>
        <v>-4.2588802183776246E-2</v>
      </c>
    </row>
    <row r="1176" spans="2:8" x14ac:dyDescent="0.3">
      <c r="B1176" s="72">
        <v>44909</v>
      </c>
      <c r="C1176" s="73">
        <v>3160</v>
      </c>
      <c r="D1176" s="74">
        <f t="shared" si="37"/>
        <v>1.5381526104417671</v>
      </c>
      <c r="E1176" s="1">
        <v>-1.2089796369899783E-3</v>
      </c>
      <c r="G1176" s="75">
        <v>1174</v>
      </c>
      <c r="H1176" s="1">
        <f t="shared" ca="1" si="38"/>
        <v>1.2083946403488104E-2</v>
      </c>
    </row>
    <row r="1177" spans="2:8" x14ac:dyDescent="0.3">
      <c r="B1177" s="72">
        <v>43410</v>
      </c>
      <c r="C1177" s="73">
        <v>1245</v>
      </c>
      <c r="D1177" s="74">
        <f t="shared" si="37"/>
        <v>-0.4518979957956834</v>
      </c>
      <c r="E1177" s="1">
        <v>-1.2634618855664884E-3</v>
      </c>
      <c r="G1177" s="75">
        <v>1175</v>
      </c>
      <c r="H1177" s="1">
        <f t="shared" ca="1" si="38"/>
        <v>-4.5784477572747171E-3</v>
      </c>
    </row>
    <row r="1178" spans="2:8" x14ac:dyDescent="0.3">
      <c r="B1178" s="72">
        <v>45728</v>
      </c>
      <c r="C1178" s="73">
        <v>2271.4749999999999</v>
      </c>
      <c r="D1178" s="74">
        <f t="shared" si="37"/>
        <v>-0.2858400471605424</v>
      </c>
      <c r="E1178" s="1">
        <v>-1.2860534646500976E-3</v>
      </c>
      <c r="G1178" s="75">
        <v>1176</v>
      </c>
      <c r="H1178" s="1">
        <f t="shared" ca="1" si="38"/>
        <v>6.1694851891686796E-3</v>
      </c>
    </row>
    <row r="1179" spans="2:8" x14ac:dyDescent="0.3">
      <c r="B1179" s="72">
        <v>45161</v>
      </c>
      <c r="C1179" s="73">
        <v>3180.625</v>
      </c>
      <c r="D1179" s="74">
        <f t="shared" si="37"/>
        <v>0.39844574393246562</v>
      </c>
      <c r="E1179" s="1">
        <v>-1.3109143431299238E-3</v>
      </c>
      <c r="G1179" s="75">
        <v>1177</v>
      </c>
      <c r="H1179" s="1">
        <f t="shared" ca="1" si="38"/>
        <v>-1.8439903065634353E-2</v>
      </c>
    </row>
    <row r="1180" spans="2:8" x14ac:dyDescent="0.3">
      <c r="B1180" s="72">
        <v>45727</v>
      </c>
      <c r="C1180" s="73">
        <v>2274.4</v>
      </c>
      <c r="D1180" s="74">
        <f t="shared" si="37"/>
        <v>-8.6164292745645674E-2</v>
      </c>
      <c r="E1180" s="1">
        <v>-1.3282544979527715E-3</v>
      </c>
      <c r="G1180" s="75">
        <v>1178</v>
      </c>
      <c r="H1180" s="1">
        <f t="shared" ca="1" si="38"/>
        <v>1.6361049485402471E-2</v>
      </c>
    </row>
    <row r="1181" spans="2:8" x14ac:dyDescent="0.3">
      <c r="B1181" s="72">
        <v>45917</v>
      </c>
      <c r="C1181" s="73">
        <v>2488.8500000000004</v>
      </c>
      <c r="D1181" s="74">
        <f t="shared" si="37"/>
        <v>-0.18702891627265072</v>
      </c>
      <c r="E1181" s="1">
        <v>-1.3441938849207346E-3</v>
      </c>
      <c r="G1181" s="75">
        <v>1179</v>
      </c>
      <c r="H1181" s="1">
        <f t="shared" ca="1" si="38"/>
        <v>-5.4050362583653458E-3</v>
      </c>
    </row>
    <row r="1182" spans="2:8" x14ac:dyDescent="0.3">
      <c r="B1182" s="72">
        <v>44918</v>
      </c>
      <c r="C1182" s="73">
        <v>3061.4250000000002</v>
      </c>
      <c r="D1182" s="74">
        <f t="shared" si="37"/>
        <v>-6.1869412332513508E-2</v>
      </c>
      <c r="E1182" s="1">
        <v>-1.4188908187978272E-3</v>
      </c>
      <c r="G1182" s="75">
        <v>1180</v>
      </c>
      <c r="H1182" s="1">
        <f t="shared" ca="1" si="38"/>
        <v>4.5998498626018071E-4</v>
      </c>
    </row>
    <row r="1183" spans="2:8" x14ac:dyDescent="0.3">
      <c r="B1183" s="72">
        <v>44552</v>
      </c>
      <c r="C1183" s="73">
        <v>3263.3249999999998</v>
      </c>
      <c r="D1183" s="74">
        <f t="shared" si="37"/>
        <v>0.27093840671431063</v>
      </c>
      <c r="E1183" s="1">
        <v>-1.4305385556916102E-3</v>
      </c>
      <c r="G1183" s="75">
        <v>1181</v>
      </c>
      <c r="H1183" s="1">
        <f t="shared" ca="1" si="38"/>
        <v>-1.1416525262585516E-2</v>
      </c>
    </row>
    <row r="1184" spans="2:8" x14ac:dyDescent="0.3">
      <c r="B1184" s="72">
        <v>45890</v>
      </c>
      <c r="C1184" s="73">
        <v>2567.65</v>
      </c>
      <c r="D1184" s="74">
        <f t="shared" si="37"/>
        <v>2.8850199346863541E-2</v>
      </c>
      <c r="E1184" s="1">
        <v>-1.4389328562818256E-3</v>
      </c>
      <c r="G1184" s="75">
        <v>1182</v>
      </c>
      <c r="H1184" s="1">
        <f t="shared" ca="1" si="38"/>
        <v>-1.2456168453868028E-2</v>
      </c>
    </row>
    <row r="1185" spans="2:8" x14ac:dyDescent="0.3">
      <c r="B1185" s="72">
        <v>45895</v>
      </c>
      <c r="C1185" s="73">
        <v>2495.65</v>
      </c>
      <c r="D1185" s="74">
        <f t="shared" si="37"/>
        <v>1.121249468763281</v>
      </c>
      <c r="E1185" s="1">
        <v>-1.4404321296388554E-3</v>
      </c>
      <c r="G1185" s="75">
        <v>1183</v>
      </c>
      <c r="H1185" s="1">
        <f t="shared" ca="1" si="38"/>
        <v>1.2164815490976148E-3</v>
      </c>
    </row>
    <row r="1186" spans="2:8" x14ac:dyDescent="0.3">
      <c r="B1186" s="72">
        <v>43208</v>
      </c>
      <c r="C1186" s="73">
        <v>1176.5</v>
      </c>
      <c r="D1186" s="74">
        <f t="shared" si="37"/>
        <v>1.4470548178413735E-3</v>
      </c>
      <c r="E1186" s="1">
        <v>-1.4428789679172003E-3</v>
      </c>
      <c r="G1186" s="75">
        <v>1184</v>
      </c>
      <c r="H1186" s="1">
        <f t="shared" ca="1" si="38"/>
        <v>5.9241516998973657E-3</v>
      </c>
    </row>
    <row r="1187" spans="2:8" x14ac:dyDescent="0.3">
      <c r="B1187" s="72">
        <v>43209</v>
      </c>
      <c r="C1187" s="73">
        <v>1174.8</v>
      </c>
      <c r="D1187" s="74">
        <f t="shared" si="37"/>
        <v>-0.51283433547584489</v>
      </c>
      <c r="E1187" s="1">
        <v>-1.4449638759031411E-3</v>
      </c>
      <c r="G1187" s="75">
        <v>1185</v>
      </c>
      <c r="H1187" s="1">
        <f t="shared" ca="1" si="38"/>
        <v>-1.8524290707840774E-3</v>
      </c>
    </row>
    <row r="1188" spans="2:8" x14ac:dyDescent="0.3">
      <c r="B1188" s="72">
        <v>46062</v>
      </c>
      <c r="C1188" s="73">
        <v>2411.5</v>
      </c>
      <c r="D1188" s="74">
        <f t="shared" si="37"/>
        <v>0.28131558672723894</v>
      </c>
      <c r="E1188" s="1">
        <v>-1.4699488623424698E-3</v>
      </c>
      <c r="G1188" s="75">
        <v>1186</v>
      </c>
      <c r="H1188" s="1">
        <f t="shared" ca="1" si="38"/>
        <v>4.5253375705241348E-3</v>
      </c>
    </row>
    <row r="1189" spans="2:8" x14ac:dyDescent="0.3">
      <c r="B1189" s="72">
        <v>43878</v>
      </c>
      <c r="C1189" s="73">
        <v>1882.05</v>
      </c>
      <c r="D1189" s="74">
        <f t="shared" si="37"/>
        <v>0.15893346470026781</v>
      </c>
      <c r="E1189" s="1">
        <v>-1.4722852254188538E-3</v>
      </c>
      <c r="G1189" s="75">
        <v>1187</v>
      </c>
      <c r="H1189" s="1">
        <f t="shared" ca="1" si="38"/>
        <v>2.2556204306735991E-2</v>
      </c>
    </row>
    <row r="1190" spans="2:8" x14ac:dyDescent="0.3">
      <c r="B1190" s="72">
        <v>43998</v>
      </c>
      <c r="C1190" s="73">
        <v>1623.95</v>
      </c>
      <c r="D1190" s="74">
        <f t="shared" si="37"/>
        <v>5.7947882736156378E-2</v>
      </c>
      <c r="E1190" s="1">
        <v>-1.4910460379678454E-3</v>
      </c>
      <c r="G1190" s="75">
        <v>1188</v>
      </c>
      <c r="H1190" s="1">
        <f t="shared" ca="1" si="38"/>
        <v>1.6851356964255895E-2</v>
      </c>
    </row>
    <row r="1191" spans="2:8" x14ac:dyDescent="0.3">
      <c r="B1191" s="72">
        <v>43966</v>
      </c>
      <c r="C1191" s="73">
        <v>1535</v>
      </c>
      <c r="D1191" s="74">
        <f t="shared" si="37"/>
        <v>-0.36198511991354576</v>
      </c>
      <c r="E1191" s="1">
        <v>-1.4961295778312331E-3</v>
      </c>
      <c r="G1191" s="75">
        <v>1189</v>
      </c>
      <c r="H1191" s="1">
        <f t="shared" ca="1" si="38"/>
        <v>-1.4130321139676041E-2</v>
      </c>
    </row>
    <row r="1192" spans="2:8" x14ac:dyDescent="0.3">
      <c r="B1192" s="72">
        <v>46073</v>
      </c>
      <c r="C1192" s="73">
        <v>2405.8999999999996</v>
      </c>
      <c r="D1192" s="74">
        <f t="shared" si="37"/>
        <v>0.87433779993767513</v>
      </c>
      <c r="E1192" s="1">
        <v>-1.514805669108566E-3</v>
      </c>
      <c r="G1192" s="75">
        <v>1190</v>
      </c>
      <c r="H1192" s="1">
        <f t="shared" ca="1" si="38"/>
        <v>-1.113353993826408E-3</v>
      </c>
    </row>
    <row r="1193" spans="2:8" x14ac:dyDescent="0.3">
      <c r="B1193" s="72">
        <v>43263</v>
      </c>
      <c r="C1193" s="73">
        <v>1283.5999999999999</v>
      </c>
      <c r="D1193" s="74">
        <f t="shared" si="37"/>
        <v>-0.41692975084603329</v>
      </c>
      <c r="E1193" s="1">
        <v>-1.5168604877291996E-3</v>
      </c>
      <c r="G1193" s="75">
        <v>1191</v>
      </c>
      <c r="H1193" s="1">
        <f t="shared" ca="1" si="38"/>
        <v>-2.9686452146112745E-2</v>
      </c>
    </row>
    <row r="1194" spans="2:8" x14ac:dyDescent="0.3">
      <c r="B1194" s="72">
        <v>46097</v>
      </c>
      <c r="C1194" s="73">
        <v>2201.4499999999998</v>
      </c>
      <c r="D1194" s="74">
        <f t="shared" si="37"/>
        <v>-0.23423830808563928</v>
      </c>
      <c r="E1194" s="1">
        <v>-1.5420550150804322E-3</v>
      </c>
      <c r="G1194" s="75">
        <v>1192</v>
      </c>
      <c r="H1194" s="1">
        <f t="shared" ca="1" si="38"/>
        <v>1.6854954798377647E-2</v>
      </c>
    </row>
    <row r="1195" spans="2:8" x14ac:dyDescent="0.3">
      <c r="B1195" s="72">
        <v>45982</v>
      </c>
      <c r="C1195" s="73">
        <v>2874.85</v>
      </c>
      <c r="D1195" s="74">
        <f t="shared" si="37"/>
        <v>0.66667632906255425</v>
      </c>
      <c r="E1195" s="1">
        <v>-1.5455145347828543E-3</v>
      </c>
      <c r="G1195" s="75">
        <v>1193</v>
      </c>
      <c r="H1195" s="1">
        <f t="shared" ca="1" si="38"/>
        <v>-2.2961140007776671E-4</v>
      </c>
    </row>
    <row r="1196" spans="2:8" x14ac:dyDescent="0.3">
      <c r="B1196" s="72">
        <v>43907</v>
      </c>
      <c r="C1196" s="73">
        <v>1724.9</v>
      </c>
      <c r="D1196" s="74">
        <f t="shared" si="37"/>
        <v>-0.37603096512805673</v>
      </c>
      <c r="E1196" s="1">
        <v>-1.5484132382096027E-3</v>
      </c>
      <c r="G1196" s="75">
        <v>1194</v>
      </c>
      <c r="H1196" s="1">
        <f t="shared" ca="1" si="38"/>
        <v>-1.1061456293505136E-2</v>
      </c>
    </row>
    <row r="1197" spans="2:8" x14ac:dyDescent="0.3">
      <c r="B1197" s="72">
        <v>46020</v>
      </c>
      <c r="C1197" s="73">
        <v>2764.4</v>
      </c>
      <c r="D1197" s="74">
        <f t="shared" si="37"/>
        <v>0.96321283999715945</v>
      </c>
      <c r="E1197" s="1">
        <v>-1.5530754505723725E-3</v>
      </c>
      <c r="G1197" s="75">
        <v>1195</v>
      </c>
      <c r="H1197" s="1">
        <f t="shared" ca="1" si="38"/>
        <v>-8.2949879752135837E-3</v>
      </c>
    </row>
    <row r="1198" spans="2:8" x14ac:dyDescent="0.3">
      <c r="B1198" s="72">
        <v>43455</v>
      </c>
      <c r="C1198" s="73">
        <v>1408.1</v>
      </c>
      <c r="D1198" s="74">
        <f t="shared" si="37"/>
        <v>-0.53389606090698449</v>
      </c>
      <c r="E1198" s="1">
        <v>-1.5599517833085482E-3</v>
      </c>
      <c r="G1198" s="75">
        <v>1196</v>
      </c>
      <c r="H1198" s="1">
        <f t="shared" ca="1" si="38"/>
        <v>4.3181607306759162E-3</v>
      </c>
    </row>
    <row r="1199" spans="2:8" x14ac:dyDescent="0.3">
      <c r="B1199" s="72">
        <v>44931</v>
      </c>
      <c r="C1199" s="73">
        <v>3021</v>
      </c>
      <c r="D1199" s="74">
        <f t="shared" si="37"/>
        <v>-5.5794203327901443E-3</v>
      </c>
      <c r="E1199" s="1">
        <v>-1.5781080880105398E-3</v>
      </c>
      <c r="G1199" s="75">
        <v>1197</v>
      </c>
      <c r="H1199" s="1">
        <f t="shared" ca="1" si="38"/>
        <v>4.6837816135557831E-3</v>
      </c>
    </row>
    <row r="1200" spans="2:8" x14ac:dyDescent="0.3">
      <c r="B1200" s="72">
        <v>45056</v>
      </c>
      <c r="C1200" s="73">
        <v>3037.95</v>
      </c>
      <c r="D1200" s="74">
        <f t="shared" si="37"/>
        <v>7.4591229450934271E-2</v>
      </c>
      <c r="E1200" s="1">
        <v>-1.5857235582651603E-3</v>
      </c>
      <c r="G1200" s="75">
        <v>1198</v>
      </c>
      <c r="H1200" s="1">
        <f t="shared" ca="1" si="38"/>
        <v>-6.6744050184055614E-3</v>
      </c>
    </row>
    <row r="1201" spans="2:8" x14ac:dyDescent="0.3">
      <c r="B1201" s="72">
        <v>45377</v>
      </c>
      <c r="C1201" s="73">
        <v>2827.0749999999998</v>
      </c>
      <c r="D1201" s="74">
        <f t="shared" si="37"/>
        <v>-3.7919006295729175E-2</v>
      </c>
      <c r="E1201" s="1">
        <v>-1.5892215463125647E-3</v>
      </c>
      <c r="G1201" s="75">
        <v>1199</v>
      </c>
      <c r="H1201" s="1">
        <f t="shared" ca="1" si="38"/>
        <v>1.6315910292386725E-2</v>
      </c>
    </row>
    <row r="1202" spans="2:8" x14ac:dyDescent="0.3">
      <c r="B1202" s="72">
        <v>45327</v>
      </c>
      <c r="C1202" s="73">
        <v>2938.5</v>
      </c>
      <c r="D1202" s="74">
        <f t="shared" si="37"/>
        <v>3.3055308976173141E-2</v>
      </c>
      <c r="E1202" s="1">
        <v>-1.5969013318836024E-3</v>
      </c>
      <c r="G1202" s="75">
        <v>1200</v>
      </c>
      <c r="H1202" s="1">
        <f t="shared" ca="1" si="38"/>
        <v>4.1297620454189788E-3</v>
      </c>
    </row>
    <row r="1203" spans="2:8" x14ac:dyDescent="0.3">
      <c r="B1203" s="72">
        <v>45355</v>
      </c>
      <c r="C1203" s="73">
        <v>2844.4749999999999</v>
      </c>
      <c r="D1203" s="74">
        <f t="shared" si="37"/>
        <v>0.22476022346849805</v>
      </c>
      <c r="E1203" s="1">
        <v>-1.6145591112904747E-3</v>
      </c>
      <c r="G1203" s="75">
        <v>1201</v>
      </c>
      <c r="H1203" s="1">
        <f t="shared" ca="1" si="38"/>
        <v>-1.1185087340635098E-2</v>
      </c>
    </row>
    <row r="1204" spans="2:8" x14ac:dyDescent="0.3">
      <c r="B1204" s="72">
        <v>45742</v>
      </c>
      <c r="C1204" s="73">
        <v>2322.4749999999999</v>
      </c>
      <c r="D1204" s="74">
        <f t="shared" si="37"/>
        <v>0.75410207511187455</v>
      </c>
      <c r="E1204" s="1">
        <v>-1.6227834497582335E-3</v>
      </c>
      <c r="G1204" s="75">
        <v>1202</v>
      </c>
      <c r="H1204" s="1">
        <f t="shared" ca="1" si="38"/>
        <v>-1.4979035239316943E-2</v>
      </c>
    </row>
    <row r="1205" spans="2:8" x14ac:dyDescent="0.3">
      <c r="B1205" s="72">
        <v>43657</v>
      </c>
      <c r="C1205" s="73">
        <v>1324.0250000000001</v>
      </c>
      <c r="D1205" s="74">
        <f t="shared" si="37"/>
        <v>-0.55733772421056149</v>
      </c>
      <c r="E1205" s="1">
        <v>-1.6400241290904294E-3</v>
      </c>
      <c r="G1205" s="75">
        <v>1203</v>
      </c>
      <c r="H1205" s="1">
        <f t="shared" ca="1" si="38"/>
        <v>6.8898909529453833E-3</v>
      </c>
    </row>
    <row r="1206" spans="2:8" x14ac:dyDescent="0.3">
      <c r="B1206" s="72">
        <v>44392</v>
      </c>
      <c r="C1206" s="73">
        <v>2991.05</v>
      </c>
      <c r="D1206" s="74">
        <f t="shared" si="37"/>
        <v>0.24798681520423932</v>
      </c>
      <c r="E1206" s="1">
        <v>-1.6438721951951292E-3</v>
      </c>
      <c r="G1206" s="75">
        <v>1204</v>
      </c>
      <c r="H1206" s="1">
        <f t="shared" ca="1" si="38"/>
        <v>2.0650618550180799E-2</v>
      </c>
    </row>
    <row r="1207" spans="2:8" x14ac:dyDescent="0.3">
      <c r="B1207" s="72">
        <v>45854</v>
      </c>
      <c r="C1207" s="73">
        <v>2396.6999999999998</v>
      </c>
      <c r="D1207" s="74">
        <f t="shared" si="37"/>
        <v>-0.15310954063604246</v>
      </c>
      <c r="E1207" s="1">
        <v>-1.645387707496E-3</v>
      </c>
      <c r="G1207" s="75">
        <v>1205</v>
      </c>
      <c r="H1207" s="1">
        <f t="shared" ca="1" si="38"/>
        <v>-1.2477756527649049E-2</v>
      </c>
    </row>
    <row r="1208" spans="2:8" x14ac:dyDescent="0.3">
      <c r="B1208" s="72">
        <v>44987</v>
      </c>
      <c r="C1208" s="73">
        <v>2830</v>
      </c>
      <c r="D1208" s="74">
        <f t="shared" si="37"/>
        <v>1.0590428724739438</v>
      </c>
      <c r="E1208" s="1">
        <v>-1.6492190462752102E-3</v>
      </c>
      <c r="G1208" s="75">
        <v>1206</v>
      </c>
      <c r="H1208" s="1">
        <f t="shared" ca="1" si="38"/>
        <v>8.3253359015012518E-3</v>
      </c>
    </row>
    <row r="1209" spans="2:8" x14ac:dyDescent="0.3">
      <c r="B1209" s="72">
        <v>43613</v>
      </c>
      <c r="C1209" s="73">
        <v>1374.425</v>
      </c>
      <c r="D1209" s="74">
        <f t="shared" si="37"/>
        <v>4.9579992363497485E-2</v>
      </c>
      <c r="E1209" s="1">
        <v>-1.6525023607177243E-3</v>
      </c>
      <c r="G1209" s="75">
        <v>1207</v>
      </c>
      <c r="H1209" s="1">
        <f t="shared" ca="1" si="38"/>
        <v>-9.3032548389157792E-3</v>
      </c>
    </row>
    <row r="1210" spans="2:8" x14ac:dyDescent="0.3">
      <c r="B1210" s="72">
        <v>43249</v>
      </c>
      <c r="C1210" s="73">
        <v>1309.5</v>
      </c>
      <c r="D1210" s="74">
        <f t="shared" si="37"/>
        <v>-0.55736582810110114</v>
      </c>
      <c r="E1210" s="1">
        <v>-1.6962396843849962E-3</v>
      </c>
      <c r="G1210" s="75">
        <v>1208</v>
      </c>
      <c r="H1210" s="1">
        <f t="shared" ca="1" si="38"/>
        <v>-1.8908122545615358E-2</v>
      </c>
    </row>
    <row r="1211" spans="2:8" x14ac:dyDescent="0.3">
      <c r="B1211" s="72">
        <v>45336</v>
      </c>
      <c r="C1211" s="73">
        <v>2958.4250000000002</v>
      </c>
      <c r="D1211" s="74">
        <f t="shared" si="37"/>
        <v>0.7484006323596768</v>
      </c>
      <c r="E1211" s="1">
        <v>-1.7040805135861538E-3</v>
      </c>
      <c r="G1211" s="75">
        <v>1209</v>
      </c>
      <c r="H1211" s="1">
        <f t="shared" ca="1" si="38"/>
        <v>2.3313259623365241E-2</v>
      </c>
    </row>
    <row r="1212" spans="2:8" x14ac:dyDescent="0.3">
      <c r="B1212" s="72">
        <v>43794</v>
      </c>
      <c r="C1212" s="73">
        <v>1692.075</v>
      </c>
      <c r="D1212" s="74">
        <f t="shared" si="37"/>
        <v>-5.875181763435806E-3</v>
      </c>
      <c r="E1212" s="1">
        <v>-1.7109396893758692E-3</v>
      </c>
      <c r="G1212" s="75">
        <v>1210</v>
      </c>
      <c r="H1212" s="1">
        <f t="shared" ca="1" si="38"/>
        <v>1.5025925277491602E-2</v>
      </c>
    </row>
    <row r="1213" spans="2:8" x14ac:dyDescent="0.3">
      <c r="B1213" s="72">
        <v>44018</v>
      </c>
      <c r="C1213" s="73">
        <v>1702.075</v>
      </c>
      <c r="D1213" s="74">
        <f t="shared" si="37"/>
        <v>-0.48752747418179632</v>
      </c>
      <c r="E1213" s="1">
        <v>-1.7155425219941083E-3</v>
      </c>
      <c r="G1213" s="75">
        <v>1211</v>
      </c>
      <c r="H1213" s="1">
        <f t="shared" ca="1" si="38"/>
        <v>2.297857829730974E-3</v>
      </c>
    </row>
    <row r="1214" spans="2:8" x14ac:dyDescent="0.3">
      <c r="B1214" s="72">
        <v>45280</v>
      </c>
      <c r="C1214" s="73">
        <v>3321.3</v>
      </c>
      <c r="D1214" s="74">
        <f t="shared" si="37"/>
        <v>0.47810413885180247</v>
      </c>
      <c r="E1214" s="1">
        <v>-1.7207565317362836E-3</v>
      </c>
      <c r="G1214" s="75">
        <v>1212</v>
      </c>
      <c r="H1214" s="1">
        <f t="shared" ca="1" si="38"/>
        <v>1.3871587499882473E-2</v>
      </c>
    </row>
    <row r="1215" spans="2:8" x14ac:dyDescent="0.3">
      <c r="B1215" s="72">
        <v>45813</v>
      </c>
      <c r="C1215" s="73">
        <v>2247</v>
      </c>
      <c r="D1215" s="74">
        <f t="shared" si="37"/>
        <v>-6.0815047021943576E-2</v>
      </c>
      <c r="E1215" s="1">
        <v>-1.7548146338211947E-3</v>
      </c>
      <c r="G1215" s="75">
        <v>1213</v>
      </c>
      <c r="H1215" s="1">
        <f t="shared" ca="1" si="38"/>
        <v>3.9140805863058514E-3</v>
      </c>
    </row>
    <row r="1216" spans="2:8" x14ac:dyDescent="0.3">
      <c r="B1216" s="72">
        <v>44259</v>
      </c>
      <c r="C1216" s="73">
        <v>2392.5</v>
      </c>
      <c r="D1216" s="74">
        <f t="shared" si="37"/>
        <v>-0.16572225612413913</v>
      </c>
      <c r="E1216" s="1">
        <v>-1.7732345885052676E-3</v>
      </c>
      <c r="G1216" s="75">
        <v>1214</v>
      </c>
      <c r="H1216" s="1">
        <f t="shared" ca="1" si="38"/>
        <v>-6.0383527156506207E-3</v>
      </c>
    </row>
    <row r="1217" spans="2:8" x14ac:dyDescent="0.3">
      <c r="B1217" s="72">
        <v>45992</v>
      </c>
      <c r="C1217" s="73">
        <v>2867.75</v>
      </c>
      <c r="D1217" s="74">
        <f t="shared" si="37"/>
        <v>0.20271347089414524</v>
      </c>
      <c r="E1217" s="1">
        <v>-1.7752406147207001E-3</v>
      </c>
      <c r="G1217" s="75">
        <v>1215</v>
      </c>
      <c r="H1217" s="1">
        <f t="shared" ca="1" si="38"/>
        <v>1.7551202181851884E-3</v>
      </c>
    </row>
    <row r="1218" spans="2:8" x14ac:dyDescent="0.3">
      <c r="B1218" s="72">
        <v>45859</v>
      </c>
      <c r="C1218" s="73">
        <v>2384.4</v>
      </c>
      <c r="D1218" s="74">
        <f t="shared" si="37"/>
        <v>-5.0153368123331904E-2</v>
      </c>
      <c r="E1218" s="1">
        <v>-1.7792476922110815E-3</v>
      </c>
      <c r="G1218" s="75">
        <v>1216</v>
      </c>
      <c r="H1218" s="1">
        <f t="shared" ca="1" si="38"/>
        <v>-1.0489752395388272E-2</v>
      </c>
    </row>
    <row r="1219" spans="2:8" x14ac:dyDescent="0.3">
      <c r="B1219" s="72">
        <v>45958</v>
      </c>
      <c r="C1219" s="73">
        <v>2510.3000000000002</v>
      </c>
      <c r="D1219" s="74">
        <f t="shared" ref="D1219:D1282" si="39">(C1219-C1220)/C1220</f>
        <v>-0.2170543240103236</v>
      </c>
      <c r="E1219" s="1">
        <v>-1.7894067122634005E-3</v>
      </c>
      <c r="G1219" s="75">
        <v>1217</v>
      </c>
      <c r="H1219" s="1">
        <f t="shared" ca="1" si="38"/>
        <v>5.5602338247770153E-3</v>
      </c>
    </row>
    <row r="1220" spans="2:8" x14ac:dyDescent="0.3">
      <c r="B1220" s="72">
        <v>44603</v>
      </c>
      <c r="C1220" s="73">
        <v>3206.2249999999999</v>
      </c>
      <c r="D1220" s="74">
        <f t="shared" si="39"/>
        <v>7.8946704244310745E-2</v>
      </c>
      <c r="E1220" s="1">
        <v>-1.7979452054794804E-3</v>
      </c>
      <c r="G1220" s="75">
        <v>1218</v>
      </c>
      <c r="H1220" s="1">
        <f t="shared" ref="H1220:H1283" ca="1" si="40">_xlfn.NORM.INV(RAND(),$N$4,$N$5)</f>
        <v>-9.2960147925803278E-3</v>
      </c>
    </row>
    <row r="1221" spans="2:8" x14ac:dyDescent="0.3">
      <c r="B1221" s="72">
        <v>44420</v>
      </c>
      <c r="C1221" s="73">
        <v>2971.625</v>
      </c>
      <c r="D1221" s="74">
        <f t="shared" si="39"/>
        <v>0.73307963724375225</v>
      </c>
      <c r="E1221" s="1">
        <v>-1.8055089015787706E-3</v>
      </c>
      <c r="G1221" s="75">
        <v>1219</v>
      </c>
      <c r="H1221" s="1">
        <f t="shared" ca="1" si="40"/>
        <v>-1.898084974589528E-3</v>
      </c>
    </row>
    <row r="1222" spans="2:8" x14ac:dyDescent="0.3">
      <c r="B1222" s="72">
        <v>43797</v>
      </c>
      <c r="C1222" s="73">
        <v>1714.65</v>
      </c>
      <c r="D1222" s="74">
        <f t="shared" si="39"/>
        <v>0.17156912985548847</v>
      </c>
      <c r="E1222" s="1">
        <v>-1.8337408312957641E-3</v>
      </c>
      <c r="G1222" s="75">
        <v>1220</v>
      </c>
      <c r="H1222" s="1">
        <f t="shared" ca="1" si="40"/>
        <v>6.0307017761523215E-3</v>
      </c>
    </row>
    <row r="1223" spans="2:8" x14ac:dyDescent="0.3">
      <c r="B1223" s="72">
        <v>43549</v>
      </c>
      <c r="C1223" s="73">
        <v>1463.55</v>
      </c>
      <c r="D1223" s="74">
        <f t="shared" si="39"/>
        <v>-0.5536051973403282</v>
      </c>
      <c r="E1223" s="1">
        <v>-1.8414322250639697E-3</v>
      </c>
      <c r="G1223" s="75">
        <v>1221</v>
      </c>
      <c r="H1223" s="1">
        <f t="shared" ca="1" si="40"/>
        <v>-8.9551695813441298E-3</v>
      </c>
    </row>
    <row r="1224" spans="2:8" x14ac:dyDescent="0.3">
      <c r="B1224" s="72">
        <v>45100</v>
      </c>
      <c r="C1224" s="73">
        <v>3278.6000000000004</v>
      </c>
      <c r="D1224" s="74">
        <f t="shared" si="39"/>
        <v>9.817451013230627E-2</v>
      </c>
      <c r="E1224" s="1">
        <v>-1.8419009635727622E-3</v>
      </c>
      <c r="G1224" s="75">
        <v>1222</v>
      </c>
      <c r="H1224" s="1">
        <f t="shared" ca="1" si="40"/>
        <v>-2.1626227581610511E-2</v>
      </c>
    </row>
    <row r="1225" spans="2:8" x14ac:dyDescent="0.3">
      <c r="B1225" s="72">
        <v>44393</v>
      </c>
      <c r="C1225" s="73">
        <v>2985.5</v>
      </c>
      <c r="D1225" s="74">
        <f t="shared" si="39"/>
        <v>0.30143853530950304</v>
      </c>
      <c r="E1225" s="1">
        <v>-1.8555356814497189E-3</v>
      </c>
      <c r="G1225" s="75">
        <v>1223</v>
      </c>
      <c r="H1225" s="1">
        <f t="shared" ca="1" si="40"/>
        <v>-1.0545140342625857E-3</v>
      </c>
    </row>
    <row r="1226" spans="2:8" x14ac:dyDescent="0.3">
      <c r="B1226" s="72">
        <v>45664</v>
      </c>
      <c r="C1226" s="73">
        <v>2294</v>
      </c>
      <c r="D1226" s="74">
        <f t="shared" si="39"/>
        <v>0.79587043742049124</v>
      </c>
      <c r="E1226" s="1">
        <v>-1.8926621271781535E-3</v>
      </c>
      <c r="G1226" s="75">
        <v>1224</v>
      </c>
      <c r="H1226" s="1">
        <f t="shared" ca="1" si="40"/>
        <v>-2.2188767070772156E-3</v>
      </c>
    </row>
    <row r="1227" spans="2:8" x14ac:dyDescent="0.3">
      <c r="B1227" s="72">
        <v>43266</v>
      </c>
      <c r="C1227" s="73">
        <v>1277.375</v>
      </c>
      <c r="D1227" s="74">
        <f t="shared" si="39"/>
        <v>-0.48912152298678185</v>
      </c>
      <c r="E1227" s="1">
        <v>-1.9143242240150374E-3</v>
      </c>
      <c r="G1227" s="75">
        <v>1225</v>
      </c>
      <c r="H1227" s="1">
        <f t="shared" ca="1" si="40"/>
        <v>1.2139757491122101E-3</v>
      </c>
    </row>
    <row r="1228" spans="2:8" x14ac:dyDescent="0.3">
      <c r="B1228" s="72">
        <v>45965</v>
      </c>
      <c r="C1228" s="73">
        <v>2500.35</v>
      </c>
      <c r="D1228" s="74">
        <f t="shared" si="39"/>
        <v>-0.26079822616407983</v>
      </c>
      <c r="E1228" s="1">
        <v>-1.9160529309622905E-3</v>
      </c>
      <c r="G1228" s="75">
        <v>1226</v>
      </c>
      <c r="H1228" s="1">
        <f t="shared" ca="1" si="40"/>
        <v>7.4681284528820089E-3</v>
      </c>
    </row>
    <row r="1229" spans="2:8" x14ac:dyDescent="0.3">
      <c r="B1229" s="72">
        <v>45134</v>
      </c>
      <c r="C1229" s="73">
        <v>3382.5</v>
      </c>
      <c r="D1229" s="74">
        <f t="shared" si="39"/>
        <v>0.4804035275838674</v>
      </c>
      <c r="E1229" s="1">
        <v>-1.9179699026261434E-3</v>
      </c>
      <c r="G1229" s="75">
        <v>1227</v>
      </c>
      <c r="H1229" s="1">
        <f t="shared" ca="1" si="40"/>
        <v>-1.3643279431966264E-2</v>
      </c>
    </row>
    <row r="1230" spans="2:8" x14ac:dyDescent="0.3">
      <c r="B1230" s="72">
        <v>45833</v>
      </c>
      <c r="C1230" s="73">
        <v>2284.8500000000004</v>
      </c>
      <c r="D1230" s="74">
        <f t="shared" si="39"/>
        <v>0.21647810461866118</v>
      </c>
      <c r="E1230" s="1">
        <v>-1.9438256235529716E-3</v>
      </c>
      <c r="G1230" s="75">
        <v>1228</v>
      </c>
      <c r="H1230" s="1">
        <f t="shared" ca="1" si="40"/>
        <v>-1.4827992215038721E-2</v>
      </c>
    </row>
    <row r="1231" spans="2:8" x14ac:dyDescent="0.3">
      <c r="B1231" s="72">
        <v>43901</v>
      </c>
      <c r="C1231" s="73">
        <v>1878.25</v>
      </c>
      <c r="D1231" s="74">
        <f t="shared" si="39"/>
        <v>-0.42296023778984482</v>
      </c>
      <c r="E1231" s="1">
        <v>-1.9660458566912219E-3</v>
      </c>
      <c r="G1231" s="75">
        <v>1229</v>
      </c>
      <c r="H1231" s="1">
        <f t="shared" ca="1" si="40"/>
        <v>-1.703005315175277E-2</v>
      </c>
    </row>
    <row r="1232" spans="2:8" x14ac:dyDescent="0.3">
      <c r="B1232" s="72">
        <v>45182</v>
      </c>
      <c r="C1232" s="73">
        <v>3254.9750000000004</v>
      </c>
      <c r="D1232" s="74">
        <f t="shared" si="39"/>
        <v>7.8895904804521313E-2</v>
      </c>
      <c r="E1232" s="1">
        <v>-1.9700128779051103E-3</v>
      </c>
      <c r="G1232" s="75">
        <v>1230</v>
      </c>
      <c r="H1232" s="1">
        <f t="shared" ca="1" si="40"/>
        <v>-4.0353059452942668E-3</v>
      </c>
    </row>
    <row r="1233" spans="2:8" x14ac:dyDescent="0.3">
      <c r="B1233" s="72">
        <v>44389</v>
      </c>
      <c r="C1233" s="73">
        <v>3016.95</v>
      </c>
      <c r="D1233" s="74">
        <f t="shared" si="39"/>
        <v>5.4572873532572931E-3</v>
      </c>
      <c r="E1233" s="1">
        <v>-2.0260827137930752E-3</v>
      </c>
      <c r="G1233" s="75">
        <v>1231</v>
      </c>
      <c r="H1233" s="1">
        <f t="shared" ca="1" si="40"/>
        <v>1.7624402000922326E-2</v>
      </c>
    </row>
    <row r="1234" spans="2:8" x14ac:dyDescent="0.3">
      <c r="B1234" s="72">
        <v>44761</v>
      </c>
      <c r="C1234" s="73">
        <v>3000.5749999999998</v>
      </c>
      <c r="D1234" s="74">
        <f t="shared" si="39"/>
        <v>0.17845220328332417</v>
      </c>
      <c r="E1234" s="1">
        <v>-2.0371171051318721E-3</v>
      </c>
      <c r="G1234" s="75">
        <v>1232</v>
      </c>
      <c r="H1234" s="1">
        <f t="shared" ca="1" si="40"/>
        <v>-5.8875316824900537E-3</v>
      </c>
    </row>
    <row r="1235" spans="2:8" x14ac:dyDescent="0.3">
      <c r="B1235" s="72">
        <v>45903</v>
      </c>
      <c r="C1235" s="73">
        <v>2546.1999999999998</v>
      </c>
      <c r="D1235" s="74">
        <f t="shared" si="39"/>
        <v>-0.2384626887991626</v>
      </c>
      <c r="E1235" s="1">
        <v>-2.0576534911520899E-3</v>
      </c>
      <c r="G1235" s="75">
        <v>1233</v>
      </c>
      <c r="H1235" s="1">
        <f t="shared" ca="1" si="40"/>
        <v>2.2911288695457468E-2</v>
      </c>
    </row>
    <row r="1236" spans="2:8" x14ac:dyDescent="0.3">
      <c r="B1236" s="72">
        <v>44797</v>
      </c>
      <c r="C1236" s="73">
        <v>3343.5</v>
      </c>
      <c r="D1236" s="74">
        <f t="shared" si="39"/>
        <v>0.1466147686451359</v>
      </c>
      <c r="E1236" s="1">
        <v>-2.0594555873924419E-3</v>
      </c>
      <c r="G1236" s="75">
        <v>1234</v>
      </c>
      <c r="H1236" s="1">
        <f t="shared" ca="1" si="40"/>
        <v>1.3700294534499512E-3</v>
      </c>
    </row>
    <row r="1237" spans="2:8" x14ac:dyDescent="0.3">
      <c r="B1237" s="72">
        <v>45450</v>
      </c>
      <c r="C1237" s="73">
        <v>2915.9749999999999</v>
      </c>
      <c r="D1237" s="74">
        <f t="shared" si="39"/>
        <v>0.58895730594229345</v>
      </c>
      <c r="E1237" s="1">
        <v>-2.0619438740588948E-3</v>
      </c>
      <c r="G1237" s="75">
        <v>1235</v>
      </c>
      <c r="H1237" s="1">
        <f t="shared" ca="1" si="40"/>
        <v>-2.380824076778695E-2</v>
      </c>
    </row>
    <row r="1238" spans="2:8" x14ac:dyDescent="0.3">
      <c r="B1238" s="72">
        <v>43949</v>
      </c>
      <c r="C1238" s="73">
        <v>1835.15</v>
      </c>
      <c r="D1238" s="74">
        <f t="shared" si="39"/>
        <v>-0.43261939912040009</v>
      </c>
      <c r="E1238" s="1">
        <v>-2.0663965850076008E-3</v>
      </c>
      <c r="G1238" s="75">
        <v>1236</v>
      </c>
      <c r="H1238" s="1">
        <f t="shared" ca="1" si="40"/>
        <v>-4.1705542178106262E-3</v>
      </c>
    </row>
    <row r="1239" spans="2:8" x14ac:dyDescent="0.3">
      <c r="B1239" s="72">
        <v>45174</v>
      </c>
      <c r="C1239" s="73">
        <v>3234.4250000000002</v>
      </c>
      <c r="D1239" s="74">
        <f t="shared" si="39"/>
        <v>5.0137987012987072E-2</v>
      </c>
      <c r="E1239" s="1">
        <v>-2.0825780773947719E-3</v>
      </c>
      <c r="G1239" s="75">
        <v>1237</v>
      </c>
      <c r="H1239" s="1">
        <f t="shared" ca="1" si="40"/>
        <v>2.3230109651230891E-2</v>
      </c>
    </row>
    <row r="1240" spans="2:8" x14ac:dyDescent="0.3">
      <c r="B1240" s="72">
        <v>45224</v>
      </c>
      <c r="C1240" s="73">
        <v>3080</v>
      </c>
      <c r="D1240" s="74">
        <f t="shared" si="39"/>
        <v>0.29360129360129372</v>
      </c>
      <c r="E1240" s="1">
        <v>-2.0897795201606437E-3</v>
      </c>
      <c r="G1240" s="75">
        <v>1238</v>
      </c>
      <c r="H1240" s="1">
        <f t="shared" ca="1" si="40"/>
        <v>-1.9701991954660963E-2</v>
      </c>
    </row>
    <row r="1241" spans="2:8" x14ac:dyDescent="0.3">
      <c r="B1241" s="72">
        <v>46069</v>
      </c>
      <c r="C1241" s="73">
        <v>2380.9499999999998</v>
      </c>
      <c r="D1241" s="74">
        <f t="shared" si="39"/>
        <v>-0.16296361399191428</v>
      </c>
      <c r="E1241" s="1">
        <v>-2.0956013328024478E-3</v>
      </c>
      <c r="G1241" s="75">
        <v>1239</v>
      </c>
      <c r="H1241" s="1">
        <f t="shared" ca="1" si="40"/>
        <v>-1.8587246493512047E-5</v>
      </c>
    </row>
    <row r="1242" spans="2:8" x14ac:dyDescent="0.3">
      <c r="B1242" s="72">
        <v>44712</v>
      </c>
      <c r="C1242" s="73">
        <v>2844.5</v>
      </c>
      <c r="D1242" s="74">
        <f t="shared" si="39"/>
        <v>1.0900073475385745</v>
      </c>
      <c r="E1242" s="1">
        <v>-2.1048938782669709E-3</v>
      </c>
      <c r="G1242" s="75">
        <v>1240</v>
      </c>
      <c r="H1242" s="1">
        <f t="shared" ca="1" si="40"/>
        <v>6.5186165813767927E-3</v>
      </c>
    </row>
    <row r="1243" spans="2:8" x14ac:dyDescent="0.3">
      <c r="B1243" s="72">
        <v>43644</v>
      </c>
      <c r="C1243" s="73">
        <v>1361</v>
      </c>
      <c r="D1243" s="74">
        <f t="shared" si="39"/>
        <v>-0.59559642841224791</v>
      </c>
      <c r="E1243" s="1">
        <v>-2.1262555905858867E-3</v>
      </c>
      <c r="G1243" s="75">
        <v>1241</v>
      </c>
      <c r="H1243" s="1">
        <f t="shared" ca="1" si="40"/>
        <v>2.4722701760467982E-3</v>
      </c>
    </row>
    <row r="1244" spans="2:8" x14ac:dyDescent="0.3">
      <c r="B1244" s="72">
        <v>44454</v>
      </c>
      <c r="C1244" s="73">
        <v>3365.45</v>
      </c>
      <c r="D1244" s="74">
        <f t="shared" si="39"/>
        <v>0.62721657459899183</v>
      </c>
      <c r="E1244" s="1">
        <v>-2.1570095397638678E-3</v>
      </c>
      <c r="G1244" s="75">
        <v>1242</v>
      </c>
      <c r="H1244" s="1">
        <f t="shared" ca="1" si="40"/>
        <v>-1.1553207358744906E-2</v>
      </c>
    </row>
    <row r="1245" spans="2:8" x14ac:dyDescent="0.3">
      <c r="B1245" s="72">
        <v>44123</v>
      </c>
      <c r="C1245" s="73">
        <v>2068.2249999999999</v>
      </c>
      <c r="D1245" s="74">
        <f t="shared" si="39"/>
        <v>-0.30450024800544784</v>
      </c>
      <c r="E1245" s="1">
        <v>-2.1951248929575964E-3</v>
      </c>
      <c r="G1245" s="75">
        <v>1243</v>
      </c>
      <c r="H1245" s="1">
        <f t="shared" ca="1" si="40"/>
        <v>-1.6360210777616131E-2</v>
      </c>
    </row>
    <row r="1246" spans="2:8" x14ac:dyDescent="0.3">
      <c r="B1246" s="72">
        <v>44410</v>
      </c>
      <c r="C1246" s="73">
        <v>2973.7250000000004</v>
      </c>
      <c r="D1246" s="74">
        <f t="shared" si="39"/>
        <v>1.1302136499579152</v>
      </c>
      <c r="E1246" s="1">
        <v>-2.1977837615655359E-3</v>
      </c>
      <c r="G1246" s="75">
        <v>1244</v>
      </c>
      <c r="H1246" s="1">
        <f t="shared" ca="1" si="40"/>
        <v>-1.762515017934212E-2</v>
      </c>
    </row>
    <row r="1247" spans="2:8" x14ac:dyDescent="0.3">
      <c r="B1247" s="72">
        <v>43518</v>
      </c>
      <c r="C1247" s="73">
        <v>1395.9749999999999</v>
      </c>
      <c r="D1247" s="74">
        <f t="shared" si="39"/>
        <v>-0.44735748218527321</v>
      </c>
      <c r="E1247" s="1">
        <v>-2.2157496917605628E-3</v>
      </c>
      <c r="G1247" s="75">
        <v>1245</v>
      </c>
      <c r="H1247" s="1">
        <f t="shared" ca="1" si="40"/>
        <v>1.1615655930795809E-2</v>
      </c>
    </row>
    <row r="1248" spans="2:8" x14ac:dyDescent="0.3">
      <c r="B1248" s="72">
        <v>45960</v>
      </c>
      <c r="C1248" s="73">
        <v>2526</v>
      </c>
      <c r="D1248" s="74">
        <f t="shared" si="39"/>
        <v>-0.21167199812748694</v>
      </c>
      <c r="E1248" s="1">
        <v>-2.2317460944443705E-3</v>
      </c>
      <c r="G1248" s="75">
        <v>1246</v>
      </c>
      <c r="H1248" s="1">
        <f t="shared" ca="1" si="40"/>
        <v>1.2767711047010362E-2</v>
      </c>
    </row>
    <row r="1249" spans="2:8" x14ac:dyDescent="0.3">
      <c r="B1249" s="72">
        <v>44473</v>
      </c>
      <c r="C1249" s="73">
        <v>3204.25</v>
      </c>
      <c r="D1249" s="74">
        <f t="shared" si="39"/>
        <v>0.29057918479136452</v>
      </c>
      <c r="E1249" s="1">
        <v>-2.2497450548423729E-3</v>
      </c>
      <c r="G1249" s="75">
        <v>1247</v>
      </c>
      <c r="H1249" s="1">
        <f t="shared" ca="1" si="40"/>
        <v>8.8191733821527188E-3</v>
      </c>
    </row>
    <row r="1250" spans="2:8" x14ac:dyDescent="0.3">
      <c r="B1250" s="72">
        <v>45882</v>
      </c>
      <c r="C1250" s="73">
        <v>2482.8000000000002</v>
      </c>
      <c r="D1250" s="74">
        <f t="shared" si="39"/>
        <v>-0.20164635518826968</v>
      </c>
      <c r="E1250" s="1">
        <v>-2.250442051117147E-3</v>
      </c>
      <c r="G1250" s="75">
        <v>1248</v>
      </c>
      <c r="H1250" s="1">
        <f t="shared" ca="1" si="40"/>
        <v>1.2280684237493142E-2</v>
      </c>
    </row>
    <row r="1251" spans="2:8" x14ac:dyDescent="0.3">
      <c r="B1251" s="72">
        <v>44502</v>
      </c>
      <c r="C1251" s="73">
        <v>3109.9</v>
      </c>
      <c r="D1251" s="74">
        <f t="shared" si="39"/>
        <v>0.41054541331216693</v>
      </c>
      <c r="E1251" s="1">
        <v>-2.2618264649736852E-3</v>
      </c>
      <c r="G1251" s="75">
        <v>1249</v>
      </c>
      <c r="H1251" s="1">
        <f t="shared" ca="1" si="40"/>
        <v>-1.3226987199414716E-2</v>
      </c>
    </row>
    <row r="1252" spans="2:8" x14ac:dyDescent="0.3">
      <c r="B1252" s="72">
        <v>46101</v>
      </c>
      <c r="C1252" s="73">
        <v>2204.75</v>
      </c>
      <c r="D1252" s="74">
        <f t="shared" si="39"/>
        <v>0.21918849796087647</v>
      </c>
      <c r="E1252" s="1">
        <v>-2.2852746854919817E-3</v>
      </c>
      <c r="G1252" s="75">
        <v>1250</v>
      </c>
      <c r="H1252" s="1">
        <f t="shared" ca="1" si="40"/>
        <v>1.1786629725327987E-2</v>
      </c>
    </row>
    <row r="1253" spans="2:8" x14ac:dyDescent="0.3">
      <c r="B1253" s="72">
        <v>43825</v>
      </c>
      <c r="C1253" s="73">
        <v>1808.375</v>
      </c>
      <c r="D1253" s="74">
        <f t="shared" si="39"/>
        <v>6.1813751394515941E-2</v>
      </c>
      <c r="E1253" s="1">
        <v>-2.2896235913987895E-3</v>
      </c>
      <c r="G1253" s="75">
        <v>1251</v>
      </c>
      <c r="H1253" s="1">
        <f t="shared" ca="1" si="40"/>
        <v>7.6857268730875254E-3</v>
      </c>
    </row>
    <row r="1254" spans="2:8" x14ac:dyDescent="0.3">
      <c r="B1254" s="72">
        <v>44022</v>
      </c>
      <c r="C1254" s="73">
        <v>1703.1</v>
      </c>
      <c r="D1254" s="74">
        <f t="shared" si="39"/>
        <v>0.29478845934542142</v>
      </c>
      <c r="E1254" s="1">
        <v>-2.3139333938666387E-3</v>
      </c>
      <c r="G1254" s="75">
        <v>1252</v>
      </c>
      <c r="H1254" s="1">
        <f t="shared" ca="1" si="40"/>
        <v>-4.7003317641081703E-3</v>
      </c>
    </row>
    <row r="1255" spans="2:8" x14ac:dyDescent="0.3">
      <c r="B1255" s="72">
        <v>43600</v>
      </c>
      <c r="C1255" s="73">
        <v>1315.35</v>
      </c>
      <c r="D1255" s="74">
        <f t="shared" si="39"/>
        <v>-5.9136996834820675E-2</v>
      </c>
      <c r="E1255" s="1">
        <v>-2.3323283463223508E-3</v>
      </c>
      <c r="G1255" s="75">
        <v>1253</v>
      </c>
      <c r="H1255" s="1">
        <f t="shared" ca="1" si="40"/>
        <v>-3.1353091508667299E-3</v>
      </c>
    </row>
    <row r="1256" spans="2:8" x14ac:dyDescent="0.3">
      <c r="B1256" s="72">
        <v>43336</v>
      </c>
      <c r="C1256" s="73">
        <v>1398.0250000000001</v>
      </c>
      <c r="D1256" s="74">
        <f t="shared" si="39"/>
        <v>-0.53336559884511714</v>
      </c>
      <c r="E1256" s="1">
        <v>-2.3727120276874573E-3</v>
      </c>
      <c r="G1256" s="75">
        <v>1254</v>
      </c>
      <c r="H1256" s="1">
        <f t="shared" ca="1" si="40"/>
        <v>7.8555099057679139E-3</v>
      </c>
    </row>
    <row r="1257" spans="2:8" x14ac:dyDescent="0.3">
      <c r="B1257" s="72">
        <v>44391</v>
      </c>
      <c r="C1257" s="73">
        <v>2995.9749999999999</v>
      </c>
      <c r="D1257" s="74">
        <f t="shared" si="39"/>
        <v>-1.3313463311816685E-2</v>
      </c>
      <c r="E1257" s="1">
        <v>-2.4140715397614233E-3</v>
      </c>
      <c r="G1257" s="75">
        <v>1255</v>
      </c>
      <c r="H1257" s="1">
        <f t="shared" ca="1" si="40"/>
        <v>-2.2316998028954507E-2</v>
      </c>
    </row>
    <row r="1258" spans="2:8" x14ac:dyDescent="0.3">
      <c r="B1258" s="72">
        <v>45517</v>
      </c>
      <c r="C1258" s="73">
        <v>3036.4</v>
      </c>
      <c r="D1258" s="74">
        <f t="shared" si="39"/>
        <v>-3.5366812539214774E-2</v>
      </c>
      <c r="E1258" s="1">
        <v>-2.4475581911065978E-3</v>
      </c>
      <c r="G1258" s="75">
        <v>1256</v>
      </c>
      <c r="H1258" s="1">
        <f t="shared" ca="1" si="40"/>
        <v>2.4644691914518183E-2</v>
      </c>
    </row>
    <row r="1259" spans="2:8" x14ac:dyDescent="0.3">
      <c r="B1259" s="72">
        <v>44872</v>
      </c>
      <c r="C1259" s="73">
        <v>3147.7249999999999</v>
      </c>
      <c r="D1259" s="74">
        <f t="shared" si="39"/>
        <v>5.7348001343634498E-2</v>
      </c>
      <c r="E1259" s="1">
        <v>-2.4481452724650714E-3</v>
      </c>
      <c r="G1259" s="75">
        <v>1257</v>
      </c>
      <c r="H1259" s="1">
        <f t="shared" ca="1" si="40"/>
        <v>5.812821560765298E-3</v>
      </c>
    </row>
    <row r="1260" spans="2:8" x14ac:dyDescent="0.3">
      <c r="B1260" s="72">
        <v>44419</v>
      </c>
      <c r="C1260" s="73">
        <v>2977</v>
      </c>
      <c r="D1260" s="74">
        <f t="shared" si="39"/>
        <v>-3.9994840415669038E-2</v>
      </c>
      <c r="E1260" s="1">
        <v>-2.487916432813752E-3</v>
      </c>
      <c r="G1260" s="75">
        <v>1258</v>
      </c>
      <c r="H1260" s="1">
        <f t="shared" ca="1" si="40"/>
        <v>-1.6414543744491937E-2</v>
      </c>
    </row>
    <row r="1261" spans="2:8" x14ac:dyDescent="0.3">
      <c r="B1261" s="72">
        <v>44925</v>
      </c>
      <c r="C1261" s="73">
        <v>3101.0250000000001</v>
      </c>
      <c r="D1261" s="74">
        <f t="shared" si="39"/>
        <v>0.27644401453018713</v>
      </c>
      <c r="E1261" s="1">
        <v>-2.4929433619351672E-3</v>
      </c>
      <c r="G1261" s="75">
        <v>1259</v>
      </c>
      <c r="H1261" s="1">
        <f t="shared" ca="1" si="40"/>
        <v>-3.7488416514705339E-3</v>
      </c>
    </row>
    <row r="1262" spans="2:8" x14ac:dyDescent="0.3">
      <c r="B1262" s="72">
        <v>44273</v>
      </c>
      <c r="C1262" s="73">
        <v>2429.4250000000002</v>
      </c>
      <c r="D1262" s="74">
        <f t="shared" si="39"/>
        <v>-0.28077239051756669</v>
      </c>
      <c r="E1262" s="1">
        <v>-2.5148323787234916E-3</v>
      </c>
      <c r="G1262" s="75">
        <v>1260</v>
      </c>
      <c r="H1262" s="1">
        <f t="shared" ca="1" si="40"/>
        <v>-8.0698648826415548E-3</v>
      </c>
    </row>
    <row r="1263" spans="2:8" x14ac:dyDescent="0.3">
      <c r="B1263" s="72">
        <v>44826</v>
      </c>
      <c r="C1263" s="73">
        <v>3377.8249999999998</v>
      </c>
      <c r="D1263" s="74">
        <f t="shared" si="39"/>
        <v>1.4670963736624911</v>
      </c>
      <c r="E1263" s="1">
        <v>-2.5469149108948903E-3</v>
      </c>
      <c r="G1263" s="75">
        <v>1261</v>
      </c>
      <c r="H1263" s="1">
        <f t="shared" ca="1" si="40"/>
        <v>-5.7053685367424714E-3</v>
      </c>
    </row>
    <row r="1264" spans="2:8" x14ac:dyDescent="0.3">
      <c r="B1264" s="72">
        <v>43466</v>
      </c>
      <c r="C1264" s="73">
        <v>1369.15</v>
      </c>
      <c r="D1264" s="74">
        <f t="shared" si="39"/>
        <v>-0.44642225389412821</v>
      </c>
      <c r="E1264" s="1">
        <v>-2.5498124066586528E-3</v>
      </c>
      <c r="G1264" s="75">
        <v>1262</v>
      </c>
      <c r="H1264" s="1">
        <f t="shared" ca="1" si="40"/>
        <v>-4.7230926702511867E-4</v>
      </c>
    </row>
    <row r="1265" spans="2:8" x14ac:dyDescent="0.3">
      <c r="B1265" s="72">
        <v>45625</v>
      </c>
      <c r="C1265" s="73">
        <v>2473.2750000000001</v>
      </c>
      <c r="D1265" s="74">
        <f t="shared" si="39"/>
        <v>-0.20409493161705547</v>
      </c>
      <c r="E1265" s="1">
        <v>-2.5709273486177486E-3</v>
      </c>
      <c r="G1265" s="75">
        <v>1263</v>
      </c>
      <c r="H1265" s="1">
        <f t="shared" ca="1" si="40"/>
        <v>-1.5411559336795526E-2</v>
      </c>
    </row>
    <row r="1266" spans="2:8" x14ac:dyDescent="0.3">
      <c r="B1266" s="72">
        <v>45071</v>
      </c>
      <c r="C1266" s="73">
        <v>3107.5</v>
      </c>
      <c r="D1266" s="74">
        <f t="shared" si="39"/>
        <v>0.71820355804984581</v>
      </c>
      <c r="E1266" s="1">
        <v>-2.5918169198301498E-3</v>
      </c>
      <c r="G1266" s="75">
        <v>1264</v>
      </c>
      <c r="H1266" s="1">
        <f t="shared" ca="1" si="40"/>
        <v>2.8245069441599369E-2</v>
      </c>
    </row>
    <row r="1267" spans="2:8" x14ac:dyDescent="0.3">
      <c r="B1267" s="72">
        <v>43829</v>
      </c>
      <c r="C1267" s="73">
        <v>1808.575</v>
      </c>
      <c r="D1267" s="74">
        <f t="shared" si="39"/>
        <v>-0.39402087416863518</v>
      </c>
      <c r="E1267" s="1">
        <v>-2.6057464291622508E-3</v>
      </c>
      <c r="G1267" s="75">
        <v>1265</v>
      </c>
      <c r="H1267" s="1">
        <f t="shared" ca="1" si="40"/>
        <v>6.3065804487252419E-3</v>
      </c>
    </row>
    <row r="1268" spans="2:8" x14ac:dyDescent="0.3">
      <c r="B1268" s="72">
        <v>45594</v>
      </c>
      <c r="C1268" s="73">
        <v>2984.55</v>
      </c>
      <c r="D1268" s="74">
        <f t="shared" si="39"/>
        <v>0.16069379897719088</v>
      </c>
      <c r="E1268" s="1">
        <v>-2.6149797401728786E-3</v>
      </c>
      <c r="G1268" s="75">
        <v>1266</v>
      </c>
      <c r="H1268" s="1">
        <f t="shared" ca="1" si="40"/>
        <v>-1.2967745372238913E-2</v>
      </c>
    </row>
    <row r="1269" spans="2:8" x14ac:dyDescent="0.3">
      <c r="B1269" s="72">
        <v>45889</v>
      </c>
      <c r="C1269" s="73">
        <v>2571.3500000000004</v>
      </c>
      <c r="D1269" s="74">
        <f t="shared" si="39"/>
        <v>0.59937178310967387</v>
      </c>
      <c r="E1269" s="1">
        <v>-2.618207206857587E-3</v>
      </c>
      <c r="G1269" s="75">
        <v>1267</v>
      </c>
      <c r="H1269" s="1">
        <f t="shared" ca="1" si="40"/>
        <v>-5.5411949703906057E-3</v>
      </c>
    </row>
    <row r="1270" spans="2:8" x14ac:dyDescent="0.3">
      <c r="B1270" s="72">
        <v>43917</v>
      </c>
      <c r="C1270" s="73">
        <v>1607.7249999999999</v>
      </c>
      <c r="D1270" s="74">
        <f t="shared" si="39"/>
        <v>-0.33636382399075376</v>
      </c>
      <c r="E1270" s="1">
        <v>-2.6519851116625875E-3</v>
      </c>
      <c r="G1270" s="75">
        <v>1268</v>
      </c>
      <c r="H1270" s="1">
        <f t="shared" ca="1" si="40"/>
        <v>-2.0973393003056453E-4</v>
      </c>
    </row>
    <row r="1271" spans="2:8" x14ac:dyDescent="0.3">
      <c r="B1271" s="72">
        <v>46077</v>
      </c>
      <c r="C1271" s="73">
        <v>2422.6</v>
      </c>
      <c r="D1271" s="74">
        <f t="shared" si="39"/>
        <v>-0.13617400606168661</v>
      </c>
      <c r="E1271" s="1">
        <v>-2.6553590910027673E-3</v>
      </c>
      <c r="G1271" s="75">
        <v>1269</v>
      </c>
      <c r="H1271" s="1">
        <f t="shared" ca="1" si="40"/>
        <v>-6.9274610900948936E-3</v>
      </c>
    </row>
    <row r="1272" spans="2:8" x14ac:dyDescent="0.3">
      <c r="B1272" s="72">
        <v>44970</v>
      </c>
      <c r="C1272" s="73">
        <v>2804.5</v>
      </c>
      <c r="D1272" s="74">
        <f t="shared" si="39"/>
        <v>0.98805536356708645</v>
      </c>
      <c r="E1272" s="1">
        <v>-2.6582739889223442E-3</v>
      </c>
      <c r="G1272" s="75">
        <v>1270</v>
      </c>
      <c r="H1272" s="1">
        <f t="shared" ca="1" si="40"/>
        <v>-1.3443949754077707E-3</v>
      </c>
    </row>
    <row r="1273" spans="2:8" x14ac:dyDescent="0.3">
      <c r="B1273" s="72">
        <v>43333</v>
      </c>
      <c r="C1273" s="73">
        <v>1410.6750000000002</v>
      </c>
      <c r="D1273" s="74">
        <f t="shared" si="39"/>
        <v>0.27662895927601827</v>
      </c>
      <c r="E1273" s="1">
        <v>-2.7041357370094156E-3</v>
      </c>
      <c r="G1273" s="75">
        <v>1271</v>
      </c>
      <c r="H1273" s="1">
        <f t="shared" ca="1" si="40"/>
        <v>1.0235340696418632E-2</v>
      </c>
    </row>
    <row r="1274" spans="2:8" x14ac:dyDescent="0.3">
      <c r="B1274" s="72">
        <v>43181</v>
      </c>
      <c r="C1274" s="73">
        <v>1105</v>
      </c>
      <c r="D1274" s="74">
        <f t="shared" si="39"/>
        <v>-0.16058948647827415</v>
      </c>
      <c r="E1274" s="1">
        <v>-2.707581227436823E-3</v>
      </c>
      <c r="G1274" s="75">
        <v>1272</v>
      </c>
      <c r="H1274" s="1">
        <f t="shared" ca="1" si="40"/>
        <v>6.5206498662326645E-3</v>
      </c>
    </row>
    <row r="1275" spans="2:8" x14ac:dyDescent="0.3">
      <c r="B1275" s="72">
        <v>43350</v>
      </c>
      <c r="C1275" s="73">
        <v>1316.4</v>
      </c>
      <c r="D1275" s="74">
        <f t="shared" si="39"/>
        <v>-0.17039277780403647</v>
      </c>
      <c r="E1275" s="1">
        <v>-2.708384628496614E-3</v>
      </c>
      <c r="G1275" s="75">
        <v>1273</v>
      </c>
      <c r="H1275" s="1">
        <f t="shared" ca="1" si="40"/>
        <v>1.3169308754360537E-2</v>
      </c>
    </row>
    <row r="1276" spans="2:8" x14ac:dyDescent="0.3">
      <c r="B1276" s="72">
        <v>43698</v>
      </c>
      <c r="C1276" s="73">
        <v>1586.7750000000001</v>
      </c>
      <c r="D1276" s="74">
        <f t="shared" si="39"/>
        <v>-9.5094167462682302E-2</v>
      </c>
      <c r="E1276" s="1">
        <v>-2.7182452391426174E-3</v>
      </c>
      <c r="G1276" s="75">
        <v>1274</v>
      </c>
      <c r="H1276" s="1">
        <f t="shared" ca="1" si="40"/>
        <v>-2.045531325756797E-2</v>
      </c>
    </row>
    <row r="1277" spans="2:8" x14ac:dyDescent="0.3">
      <c r="B1277" s="72">
        <v>43738</v>
      </c>
      <c r="C1277" s="73">
        <v>1753.5250000000001</v>
      </c>
      <c r="D1277" s="74">
        <f t="shared" si="39"/>
        <v>-0.36035419858466478</v>
      </c>
      <c r="E1277" s="1">
        <v>-2.7582284779981E-3</v>
      </c>
      <c r="G1277" s="75">
        <v>1275</v>
      </c>
      <c r="H1277" s="1">
        <f t="shared" ca="1" si="40"/>
        <v>-1.8321124115529986E-2</v>
      </c>
    </row>
    <row r="1278" spans="2:8" x14ac:dyDescent="0.3">
      <c r="B1278" s="72">
        <v>44958</v>
      </c>
      <c r="C1278" s="73">
        <v>2741.4</v>
      </c>
      <c r="D1278" s="74">
        <f t="shared" si="39"/>
        <v>-0.11497082348003648</v>
      </c>
      <c r="E1278" s="1">
        <v>-2.7646416878864713E-3</v>
      </c>
      <c r="G1278" s="75">
        <v>1276</v>
      </c>
      <c r="H1278" s="1">
        <f t="shared" ca="1" si="40"/>
        <v>3.930230304754494E-3</v>
      </c>
    </row>
    <row r="1279" spans="2:8" x14ac:dyDescent="0.3">
      <c r="B1279" s="72">
        <v>44890</v>
      </c>
      <c r="C1279" s="73">
        <v>3097.5250000000001</v>
      </c>
      <c r="D1279" s="74">
        <f t="shared" si="39"/>
        <v>1.2344231844331031</v>
      </c>
      <c r="E1279" s="1">
        <v>-2.7687230874481579E-3</v>
      </c>
      <c r="G1279" s="75">
        <v>1277</v>
      </c>
      <c r="H1279" s="1">
        <f t="shared" ca="1" si="40"/>
        <v>4.4078313926914272E-3</v>
      </c>
    </row>
    <row r="1280" spans="2:8" x14ac:dyDescent="0.3">
      <c r="B1280" s="72">
        <v>43664</v>
      </c>
      <c r="C1280" s="73">
        <v>1386.2750000000001</v>
      </c>
      <c r="D1280" s="74">
        <f t="shared" si="39"/>
        <v>-0.53707506845655506</v>
      </c>
      <c r="E1280" s="1">
        <v>-2.8054021975649568E-3</v>
      </c>
      <c r="G1280" s="75">
        <v>1278</v>
      </c>
      <c r="H1280" s="1">
        <f t="shared" ca="1" si="40"/>
        <v>7.2031767436479335E-3</v>
      </c>
    </row>
    <row r="1281" spans="2:8" x14ac:dyDescent="0.3">
      <c r="B1281" s="72">
        <v>45342</v>
      </c>
      <c r="C1281" s="73">
        <v>2994.6</v>
      </c>
      <c r="D1281" s="74">
        <f t="shared" si="39"/>
        <v>0.30395593390085113</v>
      </c>
      <c r="E1281" s="1">
        <v>-2.830408577802937E-3</v>
      </c>
      <c r="G1281" s="75">
        <v>1279</v>
      </c>
      <c r="H1281" s="1">
        <f t="shared" ca="1" si="40"/>
        <v>-9.0180377040503471E-3</v>
      </c>
    </row>
    <row r="1282" spans="2:8" x14ac:dyDescent="0.3">
      <c r="B1282" s="72">
        <v>45799</v>
      </c>
      <c r="C1282" s="73">
        <v>2296.5500000000002</v>
      </c>
      <c r="D1282" s="74">
        <f t="shared" si="39"/>
        <v>-8.0515684743659E-2</v>
      </c>
      <c r="E1282" s="1">
        <v>-2.8439928791627492E-3</v>
      </c>
      <c r="G1282" s="75">
        <v>1280</v>
      </c>
      <c r="H1282" s="1">
        <f t="shared" ca="1" si="40"/>
        <v>-5.9800045820082737E-3</v>
      </c>
    </row>
    <row r="1283" spans="2:8" x14ac:dyDescent="0.3">
      <c r="B1283" s="72">
        <v>46139</v>
      </c>
      <c r="C1283" s="73">
        <v>2497.65</v>
      </c>
      <c r="D1283" s="74">
        <f t="shared" ref="D1283:D1346" si="41">(C1283-C1284)/C1284</f>
        <v>1.1834513506425386</v>
      </c>
      <c r="E1283" s="1">
        <v>-2.854519322900068E-3</v>
      </c>
      <c r="G1283" s="75">
        <v>1281</v>
      </c>
      <c r="H1283" s="1">
        <f t="shared" ca="1" si="40"/>
        <v>4.5082649452951699E-3</v>
      </c>
    </row>
    <row r="1284" spans="2:8" x14ac:dyDescent="0.3">
      <c r="B1284" s="72">
        <v>43196</v>
      </c>
      <c r="C1284" s="73">
        <v>1143.9000000000001</v>
      </c>
      <c r="D1284" s="74">
        <f t="shared" si="41"/>
        <v>-0.60458705289629011</v>
      </c>
      <c r="E1284" s="1">
        <v>-2.8548390611718905E-3</v>
      </c>
      <c r="G1284" s="75">
        <v>1282</v>
      </c>
      <c r="H1284" s="1">
        <f t="shared" ref="H1284:H1347" ca="1" si="42">_xlfn.NORM.INV(RAND(),$N$4,$N$5)</f>
        <v>1.0067268541044045E-2</v>
      </c>
    </row>
    <row r="1285" spans="2:8" x14ac:dyDescent="0.3">
      <c r="B1285" s="72">
        <v>45442</v>
      </c>
      <c r="C1285" s="73">
        <v>2892.9250000000002</v>
      </c>
      <c r="D1285" s="74">
        <f t="shared" si="41"/>
        <v>-4.7157537630512739E-2</v>
      </c>
      <c r="E1285" s="1">
        <v>-2.9210036534085115E-3</v>
      </c>
      <c r="G1285" s="75">
        <v>1283</v>
      </c>
      <c r="H1285" s="1">
        <f t="shared" ca="1" si="42"/>
        <v>1.2436781021330912E-2</v>
      </c>
    </row>
    <row r="1286" spans="2:8" x14ac:dyDescent="0.3">
      <c r="B1286" s="72">
        <v>45579</v>
      </c>
      <c r="C1286" s="73">
        <v>3036.1</v>
      </c>
      <c r="D1286" s="74">
        <f t="shared" si="41"/>
        <v>-1.8555034750282879E-2</v>
      </c>
      <c r="E1286" s="1">
        <v>-2.9228243021346767E-3</v>
      </c>
      <c r="G1286" s="75">
        <v>1284</v>
      </c>
      <c r="H1286" s="1">
        <f t="shared" ca="1" si="42"/>
        <v>6.5177223751210133E-3</v>
      </c>
    </row>
    <row r="1287" spans="2:8" x14ac:dyDescent="0.3">
      <c r="B1287" s="72">
        <v>45218</v>
      </c>
      <c r="C1287" s="73">
        <v>3093.5</v>
      </c>
      <c r="D1287" s="74">
        <f t="shared" si="41"/>
        <v>0.15985227677483471</v>
      </c>
      <c r="E1287" s="1">
        <v>-2.9330239154257429E-3</v>
      </c>
      <c r="G1287" s="75">
        <v>1285</v>
      </c>
      <c r="H1287" s="1">
        <f t="shared" ca="1" si="42"/>
        <v>-6.9888247720838554E-3</v>
      </c>
    </row>
    <row r="1288" spans="2:8" x14ac:dyDescent="0.3">
      <c r="B1288" s="72">
        <v>44734</v>
      </c>
      <c r="C1288" s="73">
        <v>2667.1499999999996</v>
      </c>
      <c r="D1288" s="74">
        <f t="shared" si="41"/>
        <v>0.9296411517870059</v>
      </c>
      <c r="E1288" s="1">
        <v>-2.9345794392524726E-3</v>
      </c>
      <c r="G1288" s="75">
        <v>1286</v>
      </c>
      <c r="H1288" s="1">
        <f t="shared" ca="1" si="42"/>
        <v>1.1717710928067296E-2</v>
      </c>
    </row>
    <row r="1289" spans="2:8" x14ac:dyDescent="0.3">
      <c r="B1289" s="72">
        <v>43665</v>
      </c>
      <c r="C1289" s="73">
        <v>1382.2</v>
      </c>
      <c r="D1289" s="74">
        <f t="shared" si="41"/>
        <v>-0.19964099074972128</v>
      </c>
      <c r="E1289" s="1">
        <v>-2.9395321995996791E-3</v>
      </c>
      <c r="G1289" s="75">
        <v>1287</v>
      </c>
      <c r="H1289" s="1">
        <f t="shared" ca="1" si="42"/>
        <v>-2.2169725238960124E-2</v>
      </c>
    </row>
    <row r="1290" spans="2:8" x14ac:dyDescent="0.3">
      <c r="B1290" s="72">
        <v>43942</v>
      </c>
      <c r="C1290" s="73">
        <v>1726.9749999999999</v>
      </c>
      <c r="D1290" s="74">
        <f t="shared" si="41"/>
        <v>-0.46719680375158124</v>
      </c>
      <c r="E1290" s="1">
        <v>-2.9876165459112557E-3</v>
      </c>
      <c r="G1290" s="75">
        <v>1288</v>
      </c>
      <c r="H1290" s="1">
        <f t="shared" ca="1" si="42"/>
        <v>-5.7585269047648747E-4</v>
      </c>
    </row>
    <row r="1291" spans="2:8" x14ac:dyDescent="0.3">
      <c r="B1291" s="72">
        <v>44613</v>
      </c>
      <c r="C1291" s="73">
        <v>3241.3</v>
      </c>
      <c r="D1291" s="74">
        <f t="shared" si="41"/>
        <v>1.0371441141348754</v>
      </c>
      <c r="E1291" s="1">
        <v>-2.9913642620404053E-3</v>
      </c>
      <c r="G1291" s="75">
        <v>1289</v>
      </c>
      <c r="H1291" s="1">
        <f t="shared" ca="1" si="42"/>
        <v>-2.0383703450519456E-3</v>
      </c>
    </row>
    <row r="1292" spans="2:8" x14ac:dyDescent="0.3">
      <c r="B1292" s="72">
        <v>43697</v>
      </c>
      <c r="C1292" s="73">
        <v>1591.1</v>
      </c>
      <c r="D1292" s="74">
        <f t="shared" si="41"/>
        <v>8.7931623931623876E-2</v>
      </c>
      <c r="E1292" s="1">
        <v>-2.9920889794000727E-3</v>
      </c>
      <c r="G1292" s="75">
        <v>1290</v>
      </c>
      <c r="H1292" s="1">
        <f t="shared" ca="1" si="42"/>
        <v>-1.0640196949867091E-2</v>
      </c>
    </row>
    <row r="1293" spans="2:8" x14ac:dyDescent="0.3">
      <c r="B1293" s="72">
        <v>43504</v>
      </c>
      <c r="C1293" s="73">
        <v>1462.5</v>
      </c>
      <c r="D1293" s="74">
        <f t="shared" si="41"/>
        <v>-0.48657187993680884</v>
      </c>
      <c r="E1293" s="1">
        <v>-2.9995228031904635E-3</v>
      </c>
      <c r="G1293" s="75">
        <v>1291</v>
      </c>
      <c r="H1293" s="1">
        <f t="shared" ca="1" si="42"/>
        <v>-2.5134136591893792E-3</v>
      </c>
    </row>
    <row r="1294" spans="2:8" x14ac:dyDescent="0.3">
      <c r="B1294" s="72">
        <v>44993</v>
      </c>
      <c r="C1294" s="73">
        <v>2848.5</v>
      </c>
      <c r="D1294" s="74">
        <f t="shared" si="41"/>
        <v>-5.0009171405225976E-2</v>
      </c>
      <c r="E1294" s="1">
        <v>-3.0187688673054209E-3</v>
      </c>
      <c r="G1294" s="75">
        <v>1292</v>
      </c>
      <c r="H1294" s="1">
        <f t="shared" ca="1" si="42"/>
        <v>-2.3147870855050354E-2</v>
      </c>
    </row>
    <row r="1295" spans="2:8" x14ac:dyDescent="0.3">
      <c r="B1295" s="72">
        <v>44376</v>
      </c>
      <c r="C1295" s="73">
        <v>2998.45</v>
      </c>
      <c r="D1295" s="74">
        <f t="shared" si="41"/>
        <v>-0.10528750037298969</v>
      </c>
      <c r="E1295" s="1">
        <v>-3.0257186081695609E-3</v>
      </c>
      <c r="G1295" s="75">
        <v>1293</v>
      </c>
      <c r="H1295" s="1">
        <f t="shared" ca="1" si="42"/>
        <v>1.4472781137534337E-2</v>
      </c>
    </row>
    <row r="1296" spans="2:8" x14ac:dyDescent="0.3">
      <c r="B1296" s="72">
        <v>45140</v>
      </c>
      <c r="C1296" s="73">
        <v>3351.3</v>
      </c>
      <c r="D1296" s="74">
        <f t="shared" si="41"/>
        <v>0.6034928229665073</v>
      </c>
      <c r="E1296" s="1">
        <v>-3.0343596608656308E-3</v>
      </c>
      <c r="G1296" s="75">
        <v>1294</v>
      </c>
      <c r="H1296" s="1">
        <f t="shared" ca="1" si="42"/>
        <v>-8.1017121784998525E-3</v>
      </c>
    </row>
    <row r="1297" spans="2:8" x14ac:dyDescent="0.3">
      <c r="B1297" s="72">
        <v>44112</v>
      </c>
      <c r="C1297" s="73">
        <v>2090</v>
      </c>
      <c r="D1297" s="74">
        <f t="shared" si="41"/>
        <v>-0.32640399645475787</v>
      </c>
      <c r="E1297" s="1">
        <v>-3.0409635680639199E-3</v>
      </c>
      <c r="G1297" s="75">
        <v>1295</v>
      </c>
      <c r="H1297" s="1">
        <f t="shared" ca="1" si="42"/>
        <v>1.95352662790385E-2</v>
      </c>
    </row>
    <row r="1298" spans="2:8" x14ac:dyDescent="0.3">
      <c r="B1298" s="72">
        <v>44620</v>
      </c>
      <c r="C1298" s="73">
        <v>3102.75</v>
      </c>
      <c r="D1298" s="74">
        <f t="shared" si="41"/>
        <v>0.24719880214247689</v>
      </c>
      <c r="E1298" s="1">
        <v>-3.0524540123704714E-3</v>
      </c>
      <c r="G1298" s="75">
        <v>1296</v>
      </c>
      <c r="H1298" s="1">
        <f t="shared" ca="1" si="42"/>
        <v>1.8132279385140108E-2</v>
      </c>
    </row>
    <row r="1299" spans="2:8" x14ac:dyDescent="0.3">
      <c r="B1299" s="72">
        <v>45615</v>
      </c>
      <c r="C1299" s="73">
        <v>2487.7749999999996</v>
      </c>
      <c r="D1299" s="74">
        <f t="shared" si="41"/>
        <v>-0.24230587661991573</v>
      </c>
      <c r="E1299" s="1">
        <v>-3.0556223451151938E-3</v>
      </c>
      <c r="G1299" s="75">
        <v>1297</v>
      </c>
      <c r="H1299" s="1">
        <f t="shared" ca="1" si="42"/>
        <v>-1.6652410343417766E-2</v>
      </c>
    </row>
    <row r="1300" spans="2:8" x14ac:dyDescent="0.3">
      <c r="B1300" s="72">
        <v>44582</v>
      </c>
      <c r="C1300" s="73">
        <v>3283.35</v>
      </c>
      <c r="D1300" s="74">
        <f t="shared" si="41"/>
        <v>1.4922481355674897</v>
      </c>
      <c r="E1300" s="1">
        <v>-3.0666929815239066E-3</v>
      </c>
      <c r="G1300" s="75">
        <v>1298</v>
      </c>
      <c r="H1300" s="1">
        <f t="shared" ca="1" si="42"/>
        <v>1.1263335101387544E-2</v>
      </c>
    </row>
    <row r="1301" spans="2:8" x14ac:dyDescent="0.3">
      <c r="B1301" s="72">
        <v>43423</v>
      </c>
      <c r="C1301" s="73">
        <v>1317.425</v>
      </c>
      <c r="D1301" s="74">
        <f t="shared" si="41"/>
        <v>-0.5909919978888708</v>
      </c>
      <c r="E1301" s="1">
        <v>-3.0836171017783165E-3</v>
      </c>
      <c r="G1301" s="75">
        <v>1299</v>
      </c>
      <c r="H1301" s="1">
        <f t="shared" ca="1" si="42"/>
        <v>-1.0888464875218789E-2</v>
      </c>
    </row>
    <row r="1302" spans="2:8" x14ac:dyDescent="0.3">
      <c r="B1302" s="72">
        <v>44853</v>
      </c>
      <c r="C1302" s="73">
        <v>3221.0249999999996</v>
      </c>
      <c r="D1302" s="74">
        <f t="shared" si="41"/>
        <v>0.78945833333333315</v>
      </c>
      <c r="E1302" s="1">
        <v>-3.0872794800372526E-3</v>
      </c>
      <c r="G1302" s="75">
        <v>1300</v>
      </c>
      <c r="H1302" s="1">
        <f t="shared" ca="1" si="42"/>
        <v>7.345654496928168E-3</v>
      </c>
    </row>
    <row r="1303" spans="2:8" x14ac:dyDescent="0.3">
      <c r="B1303" s="72">
        <v>43760</v>
      </c>
      <c r="C1303" s="73">
        <v>1800</v>
      </c>
      <c r="D1303" s="74">
        <f t="shared" si="41"/>
        <v>0.34687692912060164</v>
      </c>
      <c r="E1303" s="1">
        <v>-3.0876590559794225E-3</v>
      </c>
      <c r="G1303" s="75">
        <v>1301</v>
      </c>
      <c r="H1303" s="1">
        <f t="shared" ca="1" si="42"/>
        <v>-1.0197387789742322E-2</v>
      </c>
    </row>
    <row r="1304" spans="2:8" x14ac:dyDescent="0.3">
      <c r="B1304" s="72">
        <v>43431</v>
      </c>
      <c r="C1304" s="73">
        <v>1336.425</v>
      </c>
      <c r="D1304" s="74">
        <f t="shared" si="41"/>
        <v>4.708831998119594E-2</v>
      </c>
      <c r="E1304" s="1">
        <v>-3.0956865524121098E-3</v>
      </c>
      <c r="G1304" s="75">
        <v>1302</v>
      </c>
      <c r="H1304" s="1">
        <f t="shared" ca="1" si="42"/>
        <v>5.1936915968759743E-3</v>
      </c>
    </row>
    <row r="1305" spans="2:8" x14ac:dyDescent="0.3">
      <c r="B1305" s="72">
        <v>43270</v>
      </c>
      <c r="C1305" s="73">
        <v>1276.325</v>
      </c>
      <c r="D1305" s="74">
        <f t="shared" si="41"/>
        <v>-0.54025358860292128</v>
      </c>
      <c r="E1305" s="1">
        <v>-3.1242067443813092E-3</v>
      </c>
      <c r="G1305" s="75">
        <v>1303</v>
      </c>
      <c r="H1305" s="1">
        <f t="shared" ca="1" si="42"/>
        <v>-1.1354880040966742E-2</v>
      </c>
    </row>
    <row r="1306" spans="2:8" x14ac:dyDescent="0.3">
      <c r="B1306" s="72">
        <v>44972</v>
      </c>
      <c r="C1306" s="73">
        <v>2776.15</v>
      </c>
      <c r="D1306" s="74">
        <f t="shared" si="41"/>
        <v>-0.15685812991154471</v>
      </c>
      <c r="E1306" s="1">
        <v>-3.13299519727094E-3</v>
      </c>
      <c r="G1306" s="75">
        <v>1304</v>
      </c>
      <c r="H1306" s="1">
        <f t="shared" ca="1" si="42"/>
        <v>-7.8604990168920953E-3</v>
      </c>
    </row>
    <row r="1307" spans="2:8" x14ac:dyDescent="0.3">
      <c r="B1307" s="72">
        <v>45195</v>
      </c>
      <c r="C1307" s="73">
        <v>3292.625</v>
      </c>
      <c r="D1307" s="74">
        <f t="shared" si="41"/>
        <v>1.1804380577123652</v>
      </c>
      <c r="E1307" s="1">
        <v>-3.1335387037444615E-3</v>
      </c>
      <c r="G1307" s="75">
        <v>1305</v>
      </c>
      <c r="H1307" s="1">
        <f t="shared" ca="1" si="42"/>
        <v>4.6328021642251293E-3</v>
      </c>
    </row>
    <row r="1308" spans="2:8" x14ac:dyDescent="0.3">
      <c r="B1308" s="72">
        <v>43677</v>
      </c>
      <c r="C1308" s="73">
        <v>1510.075</v>
      </c>
      <c r="D1308" s="74">
        <f t="shared" si="41"/>
        <v>-0.16515092879256962</v>
      </c>
      <c r="E1308" s="1">
        <v>-3.1521272733273024E-3</v>
      </c>
      <c r="G1308" s="75">
        <v>1306</v>
      </c>
      <c r="H1308" s="1">
        <f t="shared" ca="1" si="42"/>
        <v>-3.1705395691398533E-2</v>
      </c>
    </row>
    <row r="1309" spans="2:8" x14ac:dyDescent="0.3">
      <c r="B1309" s="72">
        <v>43777</v>
      </c>
      <c r="C1309" s="73">
        <v>1808.8</v>
      </c>
      <c r="D1309" s="74">
        <f t="shared" si="41"/>
        <v>-0.42430656121198618</v>
      </c>
      <c r="E1309" s="1">
        <v>-3.1688297374005826E-3</v>
      </c>
      <c r="G1309" s="75">
        <v>1307</v>
      </c>
      <c r="H1309" s="1">
        <f t="shared" ca="1" si="42"/>
        <v>9.8546066207345039E-3</v>
      </c>
    </row>
    <row r="1310" spans="2:8" x14ac:dyDescent="0.3">
      <c r="B1310" s="72">
        <v>45251</v>
      </c>
      <c r="C1310" s="73">
        <v>3141.95</v>
      </c>
      <c r="D1310" s="74">
        <f t="shared" si="41"/>
        <v>5.2782361761478214E-2</v>
      </c>
      <c r="E1310" s="1">
        <v>-3.1726391598851508E-3</v>
      </c>
      <c r="G1310" s="75">
        <v>1308</v>
      </c>
      <c r="H1310" s="1">
        <f t="shared" ca="1" si="42"/>
        <v>7.7644262204669724E-3</v>
      </c>
    </row>
    <row r="1311" spans="2:8" x14ac:dyDescent="0.3">
      <c r="B1311" s="72">
        <v>44418</v>
      </c>
      <c r="C1311" s="73">
        <v>2984.4250000000002</v>
      </c>
      <c r="D1311" s="74">
        <f t="shared" si="41"/>
        <v>8.3283357687662374E-3</v>
      </c>
      <c r="E1311" s="1">
        <v>-3.2063860522206422E-3</v>
      </c>
      <c r="G1311" s="75">
        <v>1309</v>
      </c>
      <c r="H1311" s="1">
        <f t="shared" ca="1" si="42"/>
        <v>-1.232632357133048E-2</v>
      </c>
    </row>
    <row r="1312" spans="2:8" x14ac:dyDescent="0.3">
      <c r="B1312" s="72">
        <v>45330</v>
      </c>
      <c r="C1312" s="73">
        <v>2959.7750000000001</v>
      </c>
      <c r="D1312" s="74">
        <f t="shared" si="41"/>
        <v>3.3161417563333941E-2</v>
      </c>
      <c r="E1312" s="1">
        <v>-3.2749621148341164E-3</v>
      </c>
      <c r="G1312" s="75">
        <v>1310</v>
      </c>
      <c r="H1312" s="1">
        <f t="shared" ca="1" si="42"/>
        <v>9.1869472059523637E-3</v>
      </c>
    </row>
    <row r="1313" spans="2:8" x14ac:dyDescent="0.3">
      <c r="B1313" s="72">
        <v>45385</v>
      </c>
      <c r="C1313" s="73">
        <v>2864.7750000000001</v>
      </c>
      <c r="D1313" s="74">
        <f t="shared" si="41"/>
        <v>0.1378765912656644</v>
      </c>
      <c r="E1313" s="1">
        <v>-3.2791733351888275E-3</v>
      </c>
      <c r="G1313" s="75">
        <v>1311</v>
      </c>
      <c r="H1313" s="1">
        <f t="shared" ca="1" si="42"/>
        <v>-8.6402939605458393E-3</v>
      </c>
    </row>
    <row r="1314" spans="2:8" x14ac:dyDescent="0.3">
      <c r="B1314" s="72">
        <v>45961</v>
      </c>
      <c r="C1314" s="73">
        <v>2517.65</v>
      </c>
      <c r="D1314" s="74">
        <f t="shared" si="41"/>
        <v>0.82580633464474151</v>
      </c>
      <c r="E1314" s="1">
        <v>-3.3056215360253004E-3</v>
      </c>
      <c r="G1314" s="75">
        <v>1312</v>
      </c>
      <c r="H1314" s="1">
        <f t="shared" ca="1" si="42"/>
        <v>-8.2843067562693613E-3</v>
      </c>
    </row>
    <row r="1315" spans="2:8" x14ac:dyDescent="0.3">
      <c r="B1315" s="72">
        <v>43493</v>
      </c>
      <c r="C1315" s="73">
        <v>1378.925</v>
      </c>
      <c r="D1315" s="74">
        <f t="shared" si="41"/>
        <v>-0.52401211608660758</v>
      </c>
      <c r="E1315" s="1">
        <v>-3.3068305023491473E-3</v>
      </c>
      <c r="G1315" s="75">
        <v>1313</v>
      </c>
      <c r="H1315" s="1">
        <f t="shared" ca="1" si="42"/>
        <v>4.834004592827781E-3</v>
      </c>
    </row>
    <row r="1316" spans="2:8" x14ac:dyDescent="0.3">
      <c r="B1316" s="72">
        <v>45498</v>
      </c>
      <c r="C1316" s="73">
        <v>2896.9749999999999</v>
      </c>
      <c r="D1316" s="74">
        <f t="shared" si="41"/>
        <v>9.7507842453816336E-3</v>
      </c>
      <c r="E1316" s="1">
        <v>-3.3114291612192943E-3</v>
      </c>
      <c r="G1316" s="75">
        <v>1314</v>
      </c>
      <c r="H1316" s="1">
        <f t="shared" ca="1" si="42"/>
        <v>-1.5068445468369116E-2</v>
      </c>
    </row>
    <row r="1317" spans="2:8" x14ac:dyDescent="0.3">
      <c r="B1317" s="72">
        <v>45394</v>
      </c>
      <c r="C1317" s="73">
        <v>2869</v>
      </c>
      <c r="D1317" s="74">
        <f t="shared" si="41"/>
        <v>1.0373164799659147</v>
      </c>
      <c r="E1317" s="1">
        <v>-3.3176425630960663E-3</v>
      </c>
      <c r="G1317" s="75">
        <v>1315</v>
      </c>
      <c r="H1317" s="1">
        <f t="shared" ca="1" si="42"/>
        <v>-9.2828240495640407E-3</v>
      </c>
    </row>
    <row r="1318" spans="2:8" x14ac:dyDescent="0.3">
      <c r="B1318" s="72">
        <v>43524</v>
      </c>
      <c r="C1318" s="73">
        <v>1408.2249999999999</v>
      </c>
      <c r="D1318" s="74">
        <f t="shared" si="41"/>
        <v>-0.41408184068734527</v>
      </c>
      <c r="E1318" s="1">
        <v>-3.3264327547463919E-3</v>
      </c>
      <c r="G1318" s="75">
        <v>1316</v>
      </c>
      <c r="H1318" s="1">
        <f t="shared" ca="1" si="42"/>
        <v>1.8880989125250706E-2</v>
      </c>
    </row>
    <row r="1319" spans="2:8" x14ac:dyDescent="0.3">
      <c r="B1319" s="72">
        <v>46063</v>
      </c>
      <c r="C1319" s="73">
        <v>2403.4499999999998</v>
      </c>
      <c r="D1319" s="74">
        <f t="shared" si="41"/>
        <v>-0.18468388245770265</v>
      </c>
      <c r="E1319" s="1">
        <v>-3.3381712626996398E-3</v>
      </c>
      <c r="G1319" s="75">
        <v>1317</v>
      </c>
      <c r="H1319" s="1">
        <f t="shared" ca="1" si="42"/>
        <v>8.179805845993475E-4</v>
      </c>
    </row>
    <row r="1320" spans="2:8" x14ac:dyDescent="0.3">
      <c r="B1320" s="72">
        <v>45597</v>
      </c>
      <c r="C1320" s="73">
        <v>2947.875</v>
      </c>
      <c r="D1320" s="74">
        <f t="shared" si="41"/>
        <v>1.4094772978053862</v>
      </c>
      <c r="E1320" s="1">
        <v>-3.3386865015636886E-3</v>
      </c>
      <c r="G1320" s="75">
        <v>1318</v>
      </c>
      <c r="H1320" s="1">
        <f t="shared" ca="1" si="42"/>
        <v>-4.2074218806236524E-3</v>
      </c>
    </row>
    <row r="1321" spans="2:8" x14ac:dyDescent="0.3">
      <c r="B1321" s="72">
        <v>43382</v>
      </c>
      <c r="C1321" s="73">
        <v>1223.45</v>
      </c>
      <c r="D1321" s="74">
        <f t="shared" si="41"/>
        <v>0.10960457101396712</v>
      </c>
      <c r="E1321" s="1">
        <v>-3.3399861512768596E-3</v>
      </c>
      <c r="G1321" s="75">
        <v>1319</v>
      </c>
      <c r="H1321" s="1">
        <f t="shared" ca="1" si="42"/>
        <v>1.6529872712752958E-2</v>
      </c>
    </row>
    <row r="1322" spans="2:8" x14ac:dyDescent="0.3">
      <c r="B1322" s="72">
        <v>43166</v>
      </c>
      <c r="C1322" s="73">
        <v>1102.5999999999999</v>
      </c>
      <c r="D1322" s="74">
        <f t="shared" si="41"/>
        <v>-0.2152313167259787</v>
      </c>
      <c r="E1322" s="1">
        <v>-3.3444816053512117E-3</v>
      </c>
      <c r="G1322" s="75">
        <v>1320</v>
      </c>
      <c r="H1322" s="1">
        <f t="shared" ca="1" si="42"/>
        <v>3.3978546778695847E-3</v>
      </c>
    </row>
    <row r="1323" spans="2:8" x14ac:dyDescent="0.3">
      <c r="B1323" s="72">
        <v>43489</v>
      </c>
      <c r="C1323" s="73">
        <v>1405</v>
      </c>
      <c r="D1323" s="74">
        <f t="shared" si="41"/>
        <v>-0.56402001473953689</v>
      </c>
      <c r="E1323" s="1">
        <v>-3.351717533561446E-3</v>
      </c>
      <c r="G1323" s="75">
        <v>1321</v>
      </c>
      <c r="H1323" s="1">
        <f t="shared" ca="1" si="42"/>
        <v>-1.6908729377260893E-2</v>
      </c>
    </row>
    <row r="1324" spans="2:8" x14ac:dyDescent="0.3">
      <c r="B1324" s="72">
        <v>45273</v>
      </c>
      <c r="C1324" s="73">
        <v>3222.625</v>
      </c>
      <c r="D1324" s="74">
        <f t="shared" si="41"/>
        <v>0.26462999480040417</v>
      </c>
      <c r="E1324" s="1">
        <v>-3.3709341971996784E-3</v>
      </c>
      <c r="G1324" s="75">
        <v>1322</v>
      </c>
      <c r="H1324" s="1">
        <f t="shared" ca="1" si="42"/>
        <v>-4.4652711421456397E-3</v>
      </c>
    </row>
    <row r="1325" spans="2:8" x14ac:dyDescent="0.3">
      <c r="B1325" s="72">
        <v>44287</v>
      </c>
      <c r="C1325" s="73">
        <v>2548.2750000000001</v>
      </c>
      <c r="D1325" s="74">
        <f t="shared" si="41"/>
        <v>0.175471371734994</v>
      </c>
      <c r="E1325" s="1">
        <v>-3.4024579825769974E-3</v>
      </c>
      <c r="G1325" s="75">
        <v>1323</v>
      </c>
      <c r="H1325" s="1">
        <f t="shared" ca="1" si="42"/>
        <v>1.1488590546472216E-2</v>
      </c>
    </row>
    <row r="1326" spans="2:8" x14ac:dyDescent="0.3">
      <c r="B1326" s="72">
        <v>44158</v>
      </c>
      <c r="C1326" s="73">
        <v>2167.875</v>
      </c>
      <c r="D1326" s="74">
        <f t="shared" si="41"/>
        <v>-3.0185429574786905E-2</v>
      </c>
      <c r="E1326" s="1">
        <v>-3.413322300372446E-3</v>
      </c>
      <c r="G1326" s="75">
        <v>1324</v>
      </c>
      <c r="H1326" s="1">
        <f t="shared" ca="1" si="42"/>
        <v>-9.9117917700609105E-3</v>
      </c>
    </row>
    <row r="1327" spans="2:8" x14ac:dyDescent="0.3">
      <c r="B1327" s="72">
        <v>45706</v>
      </c>
      <c r="C1327" s="73">
        <v>2235.35</v>
      </c>
      <c r="D1327" s="74">
        <f t="shared" si="41"/>
        <v>0.63366951691880435</v>
      </c>
      <c r="E1327" s="1">
        <v>-3.4217184382698282E-3</v>
      </c>
      <c r="G1327" s="75">
        <v>1325</v>
      </c>
      <c r="H1327" s="1">
        <f t="shared" ca="1" si="42"/>
        <v>6.2367091784885464E-4</v>
      </c>
    </row>
    <row r="1328" spans="2:8" x14ac:dyDescent="0.3">
      <c r="B1328" s="72">
        <v>43298</v>
      </c>
      <c r="C1328" s="73">
        <v>1368.3</v>
      </c>
      <c r="D1328" s="74">
        <f t="shared" si="41"/>
        <v>-0.42033467485702186</v>
      </c>
      <c r="E1328" s="1">
        <v>-3.4231609613984307E-3</v>
      </c>
      <c r="G1328" s="75">
        <v>1326</v>
      </c>
      <c r="H1328" s="1">
        <f t="shared" ca="1" si="42"/>
        <v>3.9324134575355781E-3</v>
      </c>
    </row>
    <row r="1329" spans="2:8" x14ac:dyDescent="0.3">
      <c r="B1329" s="72">
        <v>45862</v>
      </c>
      <c r="C1329" s="73">
        <v>2360.5</v>
      </c>
      <c r="D1329" s="74">
        <f t="shared" si="41"/>
        <v>-0.1878827496043487</v>
      </c>
      <c r="E1329" s="1">
        <v>-3.4407785025223807E-3</v>
      </c>
      <c r="G1329" s="75">
        <v>1327</v>
      </c>
      <c r="H1329" s="1">
        <f t="shared" ca="1" si="42"/>
        <v>1.8697247727634328E-2</v>
      </c>
    </row>
    <row r="1330" spans="2:8" x14ac:dyDescent="0.3">
      <c r="B1330" s="72">
        <v>45497</v>
      </c>
      <c r="C1330" s="73">
        <v>2906.6</v>
      </c>
      <c r="D1330" s="74">
        <f t="shared" si="41"/>
        <v>1.0824298594145316E-2</v>
      </c>
      <c r="E1330" s="1">
        <v>-3.4457339756227799E-3</v>
      </c>
      <c r="G1330" s="75">
        <v>1328</v>
      </c>
      <c r="H1330" s="1">
        <f t="shared" ca="1" si="42"/>
        <v>-7.6444309227362388E-3</v>
      </c>
    </row>
    <row r="1331" spans="2:8" x14ac:dyDescent="0.3">
      <c r="B1331" s="72">
        <v>45468</v>
      </c>
      <c r="C1331" s="73">
        <v>2875.4749999999999</v>
      </c>
      <c r="D1331" s="74">
        <f t="shared" si="41"/>
        <v>1.0133559725528636</v>
      </c>
      <c r="E1331" s="1">
        <v>-3.5347015862840659E-3</v>
      </c>
      <c r="G1331" s="75">
        <v>1329</v>
      </c>
      <c r="H1331" s="1">
        <f t="shared" ca="1" si="42"/>
        <v>-2.5410907060768382E-3</v>
      </c>
    </row>
    <row r="1332" spans="2:8" x14ac:dyDescent="0.3">
      <c r="B1332" s="72">
        <v>43537</v>
      </c>
      <c r="C1332" s="73">
        <v>1428.2</v>
      </c>
      <c r="D1332" s="74">
        <f t="shared" si="41"/>
        <v>0.26227407309205003</v>
      </c>
      <c r="E1332" s="1">
        <v>-3.5408417784445032E-3</v>
      </c>
      <c r="G1332" s="75">
        <v>1330</v>
      </c>
      <c r="H1332" s="1">
        <f t="shared" ca="1" si="42"/>
        <v>-9.7762148761183169E-3</v>
      </c>
    </row>
    <row r="1333" spans="2:8" x14ac:dyDescent="0.3">
      <c r="B1333" s="72">
        <v>43146</v>
      </c>
      <c r="C1333" s="73">
        <v>1131.45</v>
      </c>
      <c r="D1333" s="74">
        <f t="shared" si="41"/>
        <v>-0.53128689492325853</v>
      </c>
      <c r="E1333" s="1">
        <v>-3.5667107001320602E-3</v>
      </c>
      <c r="G1333" s="75">
        <v>1331</v>
      </c>
      <c r="H1333" s="1">
        <f t="shared" ca="1" si="42"/>
        <v>2.2310896631555166E-2</v>
      </c>
    </row>
    <row r="1334" spans="2:8" x14ac:dyDescent="0.3">
      <c r="B1334" s="72">
        <v>46078</v>
      </c>
      <c r="C1334" s="73">
        <v>2413.9499999999998</v>
      </c>
      <c r="D1334" s="74">
        <f t="shared" si="41"/>
        <v>-0.22080374435119438</v>
      </c>
      <c r="E1334" s="1">
        <v>-3.5705440435895696E-3</v>
      </c>
      <c r="G1334" s="75">
        <v>1332</v>
      </c>
      <c r="H1334" s="1">
        <f t="shared" ca="1" si="42"/>
        <v>-3.1144673556077721E-3</v>
      </c>
    </row>
    <row r="1335" spans="2:8" x14ac:dyDescent="0.3">
      <c r="B1335" s="72">
        <v>45065</v>
      </c>
      <c r="C1335" s="73">
        <v>3098</v>
      </c>
      <c r="D1335" s="74">
        <f t="shared" si="41"/>
        <v>1.4529870541193237</v>
      </c>
      <c r="E1335" s="1">
        <v>-3.5781771398705423E-3</v>
      </c>
      <c r="G1335" s="75">
        <v>1333</v>
      </c>
      <c r="H1335" s="1">
        <f t="shared" ca="1" si="42"/>
        <v>1.9077563332826179E-2</v>
      </c>
    </row>
    <row r="1336" spans="2:8" x14ac:dyDescent="0.3">
      <c r="B1336" s="72">
        <v>43272</v>
      </c>
      <c r="C1336" s="73">
        <v>1262.95</v>
      </c>
      <c r="D1336" s="74">
        <f t="shared" si="41"/>
        <v>-0.55243900278186298</v>
      </c>
      <c r="E1336" s="1">
        <v>-3.5897435897435537E-3</v>
      </c>
      <c r="G1336" s="75">
        <v>1334</v>
      </c>
      <c r="H1336" s="1">
        <f t="shared" ca="1" si="42"/>
        <v>1.1414600325188373E-2</v>
      </c>
    </row>
    <row r="1337" spans="2:8" x14ac:dyDescent="0.3">
      <c r="B1337" s="72">
        <v>44978</v>
      </c>
      <c r="C1337" s="73">
        <v>2821.85</v>
      </c>
      <c r="D1337" s="74">
        <f t="shared" si="41"/>
        <v>0.16010935701364898</v>
      </c>
      <c r="E1337" s="1">
        <v>-3.60163132713062E-3</v>
      </c>
      <c r="G1337" s="75">
        <v>1335</v>
      </c>
      <c r="H1337" s="1">
        <f t="shared" ca="1" si="42"/>
        <v>-9.0058469130898829E-3</v>
      </c>
    </row>
    <row r="1338" spans="2:8" x14ac:dyDescent="0.3">
      <c r="B1338" s="72">
        <v>45775</v>
      </c>
      <c r="C1338" s="73">
        <v>2432.4</v>
      </c>
      <c r="D1338" s="74">
        <f t="shared" si="41"/>
        <v>-0.20258331011195443</v>
      </c>
      <c r="E1338" s="1">
        <v>-3.6047845321971685E-3</v>
      </c>
      <c r="G1338" s="75">
        <v>1336</v>
      </c>
      <c r="H1338" s="1">
        <f t="shared" ca="1" si="42"/>
        <v>2.8800071110970729E-2</v>
      </c>
    </row>
    <row r="1339" spans="2:8" x14ac:dyDescent="0.3">
      <c r="B1339" s="72">
        <v>44921</v>
      </c>
      <c r="C1339" s="73">
        <v>3050.3500000000004</v>
      </c>
      <c r="D1339" s="74">
        <f t="shared" si="41"/>
        <v>1.2645088250032479</v>
      </c>
      <c r="E1339" s="1">
        <v>-3.6175963807703331E-3</v>
      </c>
      <c r="G1339" s="75">
        <v>1337</v>
      </c>
      <c r="H1339" s="1">
        <f t="shared" ca="1" si="42"/>
        <v>1.6702552415632999E-2</v>
      </c>
    </row>
    <row r="1340" spans="2:8" x14ac:dyDescent="0.3">
      <c r="B1340" s="72">
        <v>43437</v>
      </c>
      <c r="C1340" s="73">
        <v>1347.0250000000001</v>
      </c>
      <c r="D1340" s="74">
        <f t="shared" si="41"/>
        <v>-0.55883340292959305</v>
      </c>
      <c r="E1340" s="1">
        <v>-3.6428862014127403E-3</v>
      </c>
      <c r="G1340" s="75">
        <v>1338</v>
      </c>
      <c r="H1340" s="1">
        <f t="shared" ca="1" si="42"/>
        <v>-9.8154078121792101E-4</v>
      </c>
    </row>
    <row r="1341" spans="2:8" x14ac:dyDescent="0.3">
      <c r="B1341" s="72">
        <v>44915</v>
      </c>
      <c r="C1341" s="73">
        <v>3053.3249999999998</v>
      </c>
      <c r="D1341" s="74">
        <f t="shared" si="41"/>
        <v>0.37118703057111729</v>
      </c>
      <c r="E1341" s="1">
        <v>-3.6465981399902698E-3</v>
      </c>
      <c r="G1341" s="75">
        <v>1339</v>
      </c>
      <c r="H1341" s="1">
        <f t="shared" ca="1" si="42"/>
        <v>-9.2808077894599109E-3</v>
      </c>
    </row>
    <row r="1342" spans="2:8" x14ac:dyDescent="0.3">
      <c r="B1342" s="72">
        <v>45702</v>
      </c>
      <c r="C1342" s="73">
        <v>2226.7750000000001</v>
      </c>
      <c r="D1342" s="74">
        <f t="shared" si="41"/>
        <v>0.58588088667319516</v>
      </c>
      <c r="E1342" s="1">
        <v>-3.6689448427833951E-3</v>
      </c>
      <c r="G1342" s="75">
        <v>1340</v>
      </c>
      <c r="H1342" s="1">
        <f t="shared" ca="1" si="42"/>
        <v>1.4620870368823089E-2</v>
      </c>
    </row>
    <row r="1343" spans="2:8" x14ac:dyDescent="0.3">
      <c r="B1343" s="72">
        <v>43326</v>
      </c>
      <c r="C1343" s="73">
        <v>1404.125</v>
      </c>
      <c r="D1343" s="74">
        <f t="shared" si="41"/>
        <v>-0.51390812158138888</v>
      </c>
      <c r="E1343" s="1">
        <v>-3.6720357624352193E-3</v>
      </c>
      <c r="G1343" s="75">
        <v>1341</v>
      </c>
      <c r="H1343" s="1">
        <f t="shared" ca="1" si="42"/>
        <v>-8.0545665763663184E-3</v>
      </c>
    </row>
    <row r="1344" spans="2:8" x14ac:dyDescent="0.3">
      <c r="B1344" s="72">
        <v>45436</v>
      </c>
      <c r="C1344" s="73">
        <v>2888.6</v>
      </c>
      <c r="D1344" s="74">
        <f t="shared" si="41"/>
        <v>2.7336868323078393E-3</v>
      </c>
      <c r="E1344" s="1">
        <v>-3.6819549715015588E-3</v>
      </c>
      <c r="G1344" s="75">
        <v>1342</v>
      </c>
      <c r="H1344" s="1">
        <f t="shared" ca="1" si="42"/>
        <v>5.11385148487155E-3</v>
      </c>
    </row>
    <row r="1345" spans="2:8" x14ac:dyDescent="0.3">
      <c r="B1345" s="72">
        <v>45391</v>
      </c>
      <c r="C1345" s="73">
        <v>2880.7249999999999</v>
      </c>
      <c r="D1345" s="74">
        <f t="shared" si="41"/>
        <v>1.0532242832451308</v>
      </c>
      <c r="E1345" s="1">
        <v>-3.6833686394881645E-3</v>
      </c>
      <c r="G1345" s="75">
        <v>1343</v>
      </c>
      <c r="H1345" s="1">
        <f t="shared" ca="1" si="42"/>
        <v>1.3875738585457029E-2</v>
      </c>
    </row>
    <row r="1346" spans="2:8" x14ac:dyDescent="0.3">
      <c r="B1346" s="72">
        <v>43525</v>
      </c>
      <c r="C1346" s="73">
        <v>1403.0250000000001</v>
      </c>
      <c r="D1346" s="74">
        <f t="shared" si="41"/>
        <v>-0.58156128839844912</v>
      </c>
      <c r="E1346" s="1">
        <v>-3.6925917378258575E-3</v>
      </c>
      <c r="G1346" s="75">
        <v>1344</v>
      </c>
      <c r="H1346" s="1">
        <f t="shared" ca="1" si="42"/>
        <v>-5.2081339745397989E-3</v>
      </c>
    </row>
    <row r="1347" spans="2:8" x14ac:dyDescent="0.3">
      <c r="B1347" s="72">
        <v>44455</v>
      </c>
      <c r="C1347" s="73">
        <v>3353</v>
      </c>
      <c r="D1347" s="74">
        <f t="shared" ref="D1347:D1410" si="43">(C1347-C1348)/C1348</f>
        <v>0.10550609957138148</v>
      </c>
      <c r="E1347" s="1">
        <v>-3.6993566982126665E-3</v>
      </c>
      <c r="G1347" s="75">
        <v>1345</v>
      </c>
      <c r="H1347" s="1">
        <f t="shared" ca="1" si="42"/>
        <v>6.4917114645324393E-3</v>
      </c>
    </row>
    <row r="1348" spans="2:8" x14ac:dyDescent="0.3">
      <c r="B1348" s="72">
        <v>44693</v>
      </c>
      <c r="C1348" s="73">
        <v>3033</v>
      </c>
      <c r="D1348" s="74">
        <f t="shared" si="43"/>
        <v>0.39008879977083932</v>
      </c>
      <c r="E1348" s="1">
        <v>-3.703673288385606E-3</v>
      </c>
      <c r="G1348" s="75">
        <v>1346</v>
      </c>
      <c r="H1348" s="1">
        <f t="shared" ref="H1348:H1411" ca="1" si="44">_xlfn.NORM.INV(RAND(),$N$4,$N$5)</f>
        <v>1.4210308603793977E-3</v>
      </c>
    </row>
    <row r="1349" spans="2:8" x14ac:dyDescent="0.3">
      <c r="B1349" s="72">
        <v>44147</v>
      </c>
      <c r="C1349" s="73">
        <v>2181.875</v>
      </c>
      <c r="D1349" s="74">
        <f t="shared" si="43"/>
        <v>0.25393313314463867</v>
      </c>
      <c r="E1349" s="1">
        <v>-3.7782800264822458E-3</v>
      </c>
      <c r="G1349" s="75">
        <v>1347</v>
      </c>
      <c r="H1349" s="1">
        <f t="shared" ca="1" si="44"/>
        <v>7.9304137898082421E-3</v>
      </c>
    </row>
    <row r="1350" spans="2:8" x14ac:dyDescent="0.3">
      <c r="B1350" s="72">
        <v>43815</v>
      </c>
      <c r="C1350" s="73">
        <v>1740.0250000000001</v>
      </c>
      <c r="D1350" s="74">
        <f t="shared" si="43"/>
        <v>-0.27649688149688145</v>
      </c>
      <c r="E1350" s="1">
        <v>-3.7787160953266495E-3</v>
      </c>
      <c r="G1350" s="75">
        <v>1348</v>
      </c>
      <c r="H1350" s="1">
        <f t="shared" ca="1" si="44"/>
        <v>-7.7406776325991006E-4</v>
      </c>
    </row>
    <row r="1351" spans="2:8" x14ac:dyDescent="0.3">
      <c r="B1351" s="72">
        <v>45762</v>
      </c>
      <c r="C1351" s="73">
        <v>2405</v>
      </c>
      <c r="D1351" s="74">
        <f t="shared" si="43"/>
        <v>-0.22484367949461739</v>
      </c>
      <c r="E1351" s="1">
        <v>-3.7798374152125513E-3</v>
      </c>
      <c r="G1351" s="75">
        <v>1349</v>
      </c>
      <c r="H1351" s="1">
        <f t="shared" ca="1" si="44"/>
        <v>1.0504098099016182E-2</v>
      </c>
    </row>
    <row r="1352" spans="2:8" x14ac:dyDescent="0.3">
      <c r="B1352" s="72">
        <v>45217</v>
      </c>
      <c r="C1352" s="73">
        <v>3102.6</v>
      </c>
      <c r="D1352" s="74">
        <f t="shared" si="43"/>
        <v>1.7629627980497362</v>
      </c>
      <c r="E1352" s="1">
        <v>-3.7888517852556454E-3</v>
      </c>
      <c r="G1352" s="75">
        <v>1350</v>
      </c>
      <c r="H1352" s="1">
        <f t="shared" ca="1" si="44"/>
        <v>-9.6861573684009529E-3</v>
      </c>
    </row>
    <row r="1353" spans="2:8" x14ac:dyDescent="0.3">
      <c r="B1353" s="72">
        <v>43187</v>
      </c>
      <c r="C1353" s="73">
        <v>1122.925</v>
      </c>
      <c r="D1353" s="74">
        <f t="shared" si="43"/>
        <v>-0.51856417072177319</v>
      </c>
      <c r="E1353" s="1">
        <v>-3.7925833924770144E-3</v>
      </c>
      <c r="G1353" s="75">
        <v>1351</v>
      </c>
      <c r="H1353" s="1">
        <f t="shared" ca="1" si="44"/>
        <v>-6.8174478236386945E-3</v>
      </c>
    </row>
    <row r="1354" spans="2:8" x14ac:dyDescent="0.3">
      <c r="B1354" s="72">
        <v>45667</v>
      </c>
      <c r="C1354" s="73">
        <v>2332.4499999999998</v>
      </c>
      <c r="D1354" s="74">
        <f t="shared" si="43"/>
        <v>1.0744413563090605</v>
      </c>
      <c r="E1354" s="1">
        <v>-3.8012257885410316E-3</v>
      </c>
      <c r="G1354" s="75">
        <v>1352</v>
      </c>
      <c r="H1354" s="1">
        <f t="shared" ca="1" si="44"/>
        <v>1.2956804613449812E-2</v>
      </c>
    </row>
    <row r="1355" spans="2:8" x14ac:dyDescent="0.3">
      <c r="B1355" s="72">
        <v>43151</v>
      </c>
      <c r="C1355" s="73">
        <v>1124.375</v>
      </c>
      <c r="D1355" s="74">
        <f t="shared" si="43"/>
        <v>-0.6261491912021413</v>
      </c>
      <c r="E1355" s="1">
        <v>-3.8097769508494074E-3</v>
      </c>
      <c r="G1355" s="75">
        <v>1353</v>
      </c>
      <c r="H1355" s="1">
        <f t="shared" ca="1" si="44"/>
        <v>-6.7066830889942969E-3</v>
      </c>
    </row>
    <row r="1356" spans="2:8" x14ac:dyDescent="0.3">
      <c r="B1356" s="72">
        <v>44375</v>
      </c>
      <c r="C1356" s="73">
        <v>3007.55</v>
      </c>
      <c r="D1356" s="74">
        <f t="shared" si="43"/>
        <v>0.23742028389220332</v>
      </c>
      <c r="E1356" s="1">
        <v>-3.8751345532830397E-3</v>
      </c>
      <c r="G1356" s="75">
        <v>1354</v>
      </c>
      <c r="H1356" s="1">
        <f t="shared" ca="1" si="44"/>
        <v>-2.0186481884069327E-2</v>
      </c>
    </row>
    <row r="1357" spans="2:8" x14ac:dyDescent="0.3">
      <c r="B1357" s="72">
        <v>44280</v>
      </c>
      <c r="C1357" s="73">
        <v>2430.5</v>
      </c>
      <c r="D1357" s="74">
        <f t="shared" si="43"/>
        <v>-0.20114380561878073</v>
      </c>
      <c r="E1357" s="1">
        <v>-3.8934426229508198E-3</v>
      </c>
      <c r="G1357" s="75">
        <v>1355</v>
      </c>
      <c r="H1357" s="1">
        <f t="shared" ca="1" si="44"/>
        <v>-8.0018955469407828E-3</v>
      </c>
    </row>
    <row r="1358" spans="2:8" x14ac:dyDescent="0.3">
      <c r="B1358" s="72">
        <v>44929</v>
      </c>
      <c r="C1358" s="73">
        <v>3042.4749999999999</v>
      </c>
      <c r="D1358" s="74">
        <f t="shared" si="43"/>
        <v>0.71503664036076653</v>
      </c>
      <c r="E1358" s="1">
        <v>-3.9205094206812719E-3</v>
      </c>
      <c r="G1358" s="75">
        <v>1356</v>
      </c>
      <c r="H1358" s="1">
        <f t="shared" ca="1" si="44"/>
        <v>2.3171230121726376E-2</v>
      </c>
    </row>
    <row r="1359" spans="2:8" x14ac:dyDescent="0.3">
      <c r="B1359" s="72">
        <v>43762</v>
      </c>
      <c r="C1359" s="73">
        <v>1774</v>
      </c>
      <c r="D1359" s="74">
        <f t="shared" si="43"/>
        <v>-0.47445990683068806</v>
      </c>
      <c r="E1359" s="1">
        <v>-3.9303761931499155E-3</v>
      </c>
      <c r="G1359" s="75">
        <v>1357</v>
      </c>
      <c r="H1359" s="1">
        <f t="shared" ca="1" si="44"/>
        <v>2.2818462039689524E-2</v>
      </c>
    </row>
    <row r="1360" spans="2:8" x14ac:dyDescent="0.3">
      <c r="B1360" s="72">
        <v>45114</v>
      </c>
      <c r="C1360" s="73">
        <v>3375.5749999999998</v>
      </c>
      <c r="D1360" s="74">
        <f t="shared" si="43"/>
        <v>0.8151180297897509</v>
      </c>
      <c r="E1360" s="1">
        <v>-3.9319543214613216E-3</v>
      </c>
      <c r="G1360" s="75">
        <v>1358</v>
      </c>
      <c r="H1360" s="1">
        <f t="shared" ca="1" si="44"/>
        <v>-2.0371288975108749E-2</v>
      </c>
    </row>
    <row r="1361" spans="2:8" x14ac:dyDescent="0.3">
      <c r="B1361" s="72">
        <v>43896</v>
      </c>
      <c r="C1361" s="73">
        <v>1859.7</v>
      </c>
      <c r="D1361" s="74">
        <f t="shared" si="43"/>
        <v>-0.43225668579802173</v>
      </c>
      <c r="E1361" s="1">
        <v>-3.936691572266361E-3</v>
      </c>
      <c r="G1361" s="75">
        <v>1359</v>
      </c>
      <c r="H1361" s="1">
        <f t="shared" ca="1" si="44"/>
        <v>2.1235598292682688E-3</v>
      </c>
    </row>
    <row r="1362" spans="2:8" x14ac:dyDescent="0.3">
      <c r="B1362" s="72">
        <v>45301</v>
      </c>
      <c r="C1362" s="73">
        <v>3275.6</v>
      </c>
      <c r="D1362" s="74">
        <f t="shared" si="43"/>
        <v>0.37287034514553957</v>
      </c>
      <c r="E1362" s="1">
        <v>-3.9606218404348598E-3</v>
      </c>
      <c r="G1362" s="75">
        <v>1360</v>
      </c>
      <c r="H1362" s="1">
        <f t="shared" ca="1" si="44"/>
        <v>-3.8786932181204617E-2</v>
      </c>
    </row>
    <row r="1363" spans="2:8" x14ac:dyDescent="0.3">
      <c r="B1363" s="72">
        <v>46066</v>
      </c>
      <c r="C1363" s="73">
        <v>2385.9499999999998</v>
      </c>
      <c r="D1363" s="74">
        <f t="shared" si="43"/>
        <v>-0.23336814201943937</v>
      </c>
      <c r="E1363" s="1">
        <v>-3.9658519276127664E-3</v>
      </c>
      <c r="G1363" s="75">
        <v>1361</v>
      </c>
      <c r="H1363" s="1">
        <f t="shared" ca="1" si="44"/>
        <v>-1.6426350613043851E-2</v>
      </c>
    </row>
    <row r="1364" spans="2:8" x14ac:dyDescent="0.3">
      <c r="B1364" s="72">
        <v>44617</v>
      </c>
      <c r="C1364" s="73">
        <v>3112.25</v>
      </c>
      <c r="D1364" s="74">
        <f t="shared" si="43"/>
        <v>0.23215947106914508</v>
      </c>
      <c r="E1364" s="1">
        <v>-3.9684444657801963E-3</v>
      </c>
      <c r="G1364" s="75">
        <v>1362</v>
      </c>
      <c r="H1364" s="1">
        <f t="shared" ca="1" si="44"/>
        <v>-1.0211172987723866E-2</v>
      </c>
    </row>
    <row r="1365" spans="2:8" x14ac:dyDescent="0.3">
      <c r="B1365" s="72">
        <v>46135</v>
      </c>
      <c r="C1365" s="73">
        <v>2525.85</v>
      </c>
      <c r="D1365" s="74">
        <f t="shared" si="43"/>
        <v>0.80611369324276005</v>
      </c>
      <c r="E1365" s="1">
        <v>-4.0023659305994047E-3</v>
      </c>
      <c r="G1365" s="75">
        <v>1363</v>
      </c>
      <c r="H1365" s="1">
        <f t="shared" ca="1" si="44"/>
        <v>-1.9220469250868868E-2</v>
      </c>
    </row>
    <row r="1366" spans="2:8" x14ac:dyDescent="0.3">
      <c r="B1366" s="72">
        <v>43328</v>
      </c>
      <c r="C1366" s="73">
        <v>1398.5</v>
      </c>
      <c r="D1366" s="74">
        <f t="shared" si="43"/>
        <v>-0.52484498428607829</v>
      </c>
      <c r="E1366" s="1">
        <v>-4.0060535920947212E-3</v>
      </c>
      <c r="G1366" s="75">
        <v>1364</v>
      </c>
      <c r="H1366" s="1">
        <f t="shared" ca="1" si="44"/>
        <v>-5.071559927854909E-3</v>
      </c>
    </row>
    <row r="1367" spans="2:8" x14ac:dyDescent="0.3">
      <c r="B1367" s="72">
        <v>44361</v>
      </c>
      <c r="C1367" s="73">
        <v>2943.25</v>
      </c>
      <c r="D1367" s="74">
        <f t="shared" si="43"/>
        <v>1.4354149434794627E-2</v>
      </c>
      <c r="E1367" s="1">
        <v>-4.0100165815031338E-3</v>
      </c>
      <c r="G1367" s="75">
        <v>1365</v>
      </c>
      <c r="H1367" s="1">
        <f t="shared" ca="1" si="44"/>
        <v>1.788435914807123E-3</v>
      </c>
    </row>
    <row r="1368" spans="2:8" x14ac:dyDescent="0.3">
      <c r="B1368" s="72">
        <v>45482</v>
      </c>
      <c r="C1368" s="73">
        <v>2901.6</v>
      </c>
      <c r="D1368" s="74">
        <f t="shared" si="43"/>
        <v>0.10219082077433696</v>
      </c>
      <c r="E1368" s="1">
        <v>-4.0160642570282058E-3</v>
      </c>
      <c r="G1368" s="75">
        <v>1366</v>
      </c>
      <c r="H1368" s="1">
        <f t="shared" ca="1" si="44"/>
        <v>4.6844499904035754E-3</v>
      </c>
    </row>
    <row r="1369" spans="2:8" x14ac:dyDescent="0.3">
      <c r="B1369" s="72">
        <v>44295</v>
      </c>
      <c r="C1369" s="73">
        <v>2632.5749999999998</v>
      </c>
      <c r="D1369" s="74">
        <f t="shared" si="43"/>
        <v>0.52974417827621767</v>
      </c>
      <c r="E1369" s="1">
        <v>-4.0197487893462473E-3</v>
      </c>
      <c r="G1369" s="75">
        <v>1367</v>
      </c>
      <c r="H1369" s="1">
        <f t="shared" ca="1" si="44"/>
        <v>-8.1351622976068867E-3</v>
      </c>
    </row>
    <row r="1370" spans="2:8" x14ac:dyDescent="0.3">
      <c r="B1370" s="72">
        <v>44020</v>
      </c>
      <c r="C1370" s="73">
        <v>1720.925</v>
      </c>
      <c r="D1370" s="74">
        <f t="shared" si="43"/>
        <v>0.32063924487759965</v>
      </c>
      <c r="E1370" s="1">
        <v>-4.0222817044057273E-3</v>
      </c>
      <c r="G1370" s="75">
        <v>1368</v>
      </c>
      <c r="H1370" s="1">
        <f t="shared" ca="1" si="44"/>
        <v>6.9482305851014713E-3</v>
      </c>
    </row>
    <row r="1371" spans="2:8" x14ac:dyDescent="0.3">
      <c r="B1371" s="72">
        <v>43362</v>
      </c>
      <c r="C1371" s="73">
        <v>1303.0999999999999</v>
      </c>
      <c r="D1371" s="74">
        <f t="shared" si="43"/>
        <v>-0.54705110491236308</v>
      </c>
      <c r="E1371" s="1">
        <v>-4.0317187350722011E-3</v>
      </c>
      <c r="G1371" s="75">
        <v>1369</v>
      </c>
      <c r="H1371" s="1">
        <f t="shared" ca="1" si="44"/>
        <v>4.9920240942982795E-3</v>
      </c>
    </row>
    <row r="1372" spans="2:8" x14ac:dyDescent="0.3">
      <c r="B1372" s="72">
        <v>45439</v>
      </c>
      <c r="C1372" s="73">
        <v>2876.9250000000002</v>
      </c>
      <c r="D1372" s="74">
        <f t="shared" si="43"/>
        <v>-0.10459850606909425</v>
      </c>
      <c r="E1372" s="1">
        <v>-4.0417503288789477E-3</v>
      </c>
      <c r="G1372" s="75">
        <v>1370</v>
      </c>
      <c r="H1372" s="1">
        <f t="shared" ca="1" si="44"/>
        <v>-4.0797772972109526E-3</v>
      </c>
    </row>
    <row r="1373" spans="2:8" x14ac:dyDescent="0.3">
      <c r="B1373" s="72">
        <v>44848</v>
      </c>
      <c r="C1373" s="73">
        <v>3213</v>
      </c>
      <c r="D1373" s="74">
        <f t="shared" si="43"/>
        <v>1.6642343332158629</v>
      </c>
      <c r="E1373" s="1">
        <v>-4.045194587808677E-3</v>
      </c>
      <c r="G1373" s="75">
        <v>1371</v>
      </c>
      <c r="H1373" s="1">
        <f t="shared" ca="1" si="44"/>
        <v>3.8911603888676753E-3</v>
      </c>
    </row>
    <row r="1374" spans="2:8" x14ac:dyDescent="0.3">
      <c r="B1374" s="72">
        <v>43384</v>
      </c>
      <c r="C1374" s="73">
        <v>1205.9749999999999</v>
      </c>
      <c r="D1374" s="74">
        <f t="shared" si="43"/>
        <v>-0.49653495313837226</v>
      </c>
      <c r="E1374" s="1">
        <v>-4.0466604727986714E-3</v>
      </c>
      <c r="G1374" s="75">
        <v>1372</v>
      </c>
      <c r="H1374" s="1">
        <f t="shared" ca="1" si="44"/>
        <v>-1.0870772188930506E-2</v>
      </c>
    </row>
    <row r="1375" spans="2:8" x14ac:dyDescent="0.3">
      <c r="B1375" s="72">
        <v>45869</v>
      </c>
      <c r="C1375" s="73">
        <v>2395.35</v>
      </c>
      <c r="D1375" s="74">
        <f t="shared" si="43"/>
        <v>-0.27578231292517008</v>
      </c>
      <c r="E1375" s="1">
        <v>-4.0745899424153098E-3</v>
      </c>
      <c r="G1375" s="75">
        <v>1373</v>
      </c>
      <c r="H1375" s="1">
        <f t="shared" ca="1" si="44"/>
        <v>3.8963769223862533E-3</v>
      </c>
    </row>
    <row r="1376" spans="2:8" x14ac:dyDescent="0.3">
      <c r="B1376" s="72">
        <v>44481</v>
      </c>
      <c r="C1376" s="73">
        <v>3307.5</v>
      </c>
      <c r="D1376" s="74">
        <f t="shared" si="43"/>
        <v>0.14687448529348016</v>
      </c>
      <c r="E1376" s="1">
        <v>-4.0800349287123594E-3</v>
      </c>
      <c r="G1376" s="75">
        <v>1374</v>
      </c>
      <c r="H1376" s="1">
        <f t="shared" ca="1" si="44"/>
        <v>-2.847564247810196E-2</v>
      </c>
    </row>
    <row r="1377" spans="2:8" x14ac:dyDescent="0.3">
      <c r="B1377" s="72">
        <v>45602</v>
      </c>
      <c r="C1377" s="73">
        <v>2883.9250000000002</v>
      </c>
      <c r="D1377" s="74">
        <f t="shared" si="43"/>
        <v>2.6901678016646703E-2</v>
      </c>
      <c r="E1377" s="1">
        <v>-4.0835707502373539E-3</v>
      </c>
      <c r="G1377" s="75">
        <v>1375</v>
      </c>
      <c r="H1377" s="1">
        <f t="shared" ca="1" si="44"/>
        <v>1.1370560792654095E-2</v>
      </c>
    </row>
    <row r="1378" spans="2:8" x14ac:dyDescent="0.3">
      <c r="B1378" s="72">
        <v>45357</v>
      </c>
      <c r="C1378" s="73">
        <v>2808.375</v>
      </c>
      <c r="D1378" s="74">
        <f t="shared" si="43"/>
        <v>-2.3819041329208399E-2</v>
      </c>
      <c r="E1378" s="1">
        <v>-4.0958536131280726E-3</v>
      </c>
      <c r="G1378" s="75">
        <v>1376</v>
      </c>
      <c r="H1378" s="1">
        <f t="shared" ca="1" si="44"/>
        <v>5.9824101555004576E-3</v>
      </c>
    </row>
    <row r="1379" spans="2:8" x14ac:dyDescent="0.3">
      <c r="B1379" s="72">
        <v>45987</v>
      </c>
      <c r="C1379" s="73">
        <v>2876.8999999999996</v>
      </c>
      <c r="D1379" s="74">
        <f t="shared" si="43"/>
        <v>0.45133055870853811</v>
      </c>
      <c r="E1379" s="1">
        <v>-4.1021202942450414E-3</v>
      </c>
      <c r="G1379" s="75">
        <v>1377</v>
      </c>
      <c r="H1379" s="1">
        <f t="shared" ca="1" si="44"/>
        <v>7.8185071067944627E-3</v>
      </c>
    </row>
    <row r="1380" spans="2:8" x14ac:dyDescent="0.3">
      <c r="B1380" s="72">
        <v>44069</v>
      </c>
      <c r="C1380" s="73">
        <v>1982.25</v>
      </c>
      <c r="D1380" s="74">
        <f t="shared" si="43"/>
        <v>0.45670665613345329</v>
      </c>
      <c r="E1380" s="1">
        <v>-4.1071630430686689E-3</v>
      </c>
      <c r="G1380" s="75">
        <v>1378</v>
      </c>
      <c r="H1380" s="1">
        <f t="shared" ca="1" si="44"/>
        <v>-1.6130354421514947E-2</v>
      </c>
    </row>
    <row r="1381" spans="2:8" x14ac:dyDescent="0.3">
      <c r="B1381" s="72">
        <v>43642</v>
      </c>
      <c r="C1381" s="73">
        <v>1360.7750000000001</v>
      </c>
      <c r="D1381" s="74">
        <f t="shared" si="43"/>
        <v>-0.50775032556793509</v>
      </c>
      <c r="E1381" s="1">
        <v>-4.1166569086651048E-3</v>
      </c>
      <c r="G1381" s="75">
        <v>1379</v>
      </c>
      <c r="H1381" s="1">
        <f t="shared" ca="1" si="44"/>
        <v>2.5184921005008291E-2</v>
      </c>
    </row>
    <row r="1382" spans="2:8" x14ac:dyDescent="0.3">
      <c r="B1382" s="72">
        <v>46023</v>
      </c>
      <c r="C1382" s="73">
        <v>2764.3999999999996</v>
      </c>
      <c r="D1382" s="74">
        <f t="shared" si="43"/>
        <v>0.98477886272257309</v>
      </c>
      <c r="E1382" s="1">
        <v>-4.124862654682611E-3</v>
      </c>
      <c r="G1382" s="75">
        <v>1380</v>
      </c>
      <c r="H1382" s="1">
        <f t="shared" ca="1" si="44"/>
        <v>8.9101911789558619E-3</v>
      </c>
    </row>
    <row r="1383" spans="2:8" x14ac:dyDescent="0.3">
      <c r="B1383" s="72">
        <v>43522</v>
      </c>
      <c r="C1383" s="73">
        <v>1392.8</v>
      </c>
      <c r="D1383" s="74">
        <f t="shared" si="43"/>
        <v>-0.17196278350821914</v>
      </c>
      <c r="E1383" s="1">
        <v>-4.1292029387053715E-3</v>
      </c>
      <c r="G1383" s="75">
        <v>1381</v>
      </c>
      <c r="H1383" s="1">
        <f t="shared" ca="1" si="44"/>
        <v>1.0158355640823388E-2</v>
      </c>
    </row>
    <row r="1384" spans="2:8" x14ac:dyDescent="0.3">
      <c r="B1384" s="72">
        <v>44014</v>
      </c>
      <c r="C1384" s="73">
        <v>1682.05</v>
      </c>
      <c r="D1384" s="74">
        <f t="shared" si="43"/>
        <v>0.31307572209211548</v>
      </c>
      <c r="E1384" s="1">
        <v>-4.1296013972558941E-3</v>
      </c>
      <c r="G1384" s="75">
        <v>1382</v>
      </c>
      <c r="H1384" s="1">
        <f t="shared" ca="1" si="44"/>
        <v>1.7923583620537861E-2</v>
      </c>
    </row>
    <row r="1385" spans="2:8" x14ac:dyDescent="0.3">
      <c r="B1385" s="72">
        <v>43368</v>
      </c>
      <c r="C1385" s="73">
        <v>1281</v>
      </c>
      <c r="D1385" s="74">
        <f t="shared" si="43"/>
        <v>-0.44704638162864485</v>
      </c>
      <c r="E1385" s="1">
        <v>-4.1397003090199178E-3</v>
      </c>
      <c r="G1385" s="75">
        <v>1383</v>
      </c>
      <c r="H1385" s="1">
        <f t="shared" ca="1" si="44"/>
        <v>7.9181388178757618E-3</v>
      </c>
    </row>
    <row r="1386" spans="2:8" x14ac:dyDescent="0.3">
      <c r="B1386" s="72">
        <v>45805</v>
      </c>
      <c r="C1386" s="73">
        <v>2316.65</v>
      </c>
      <c r="D1386" s="74">
        <f t="shared" si="43"/>
        <v>-7.9214610783203063E-2</v>
      </c>
      <c r="E1386" s="1">
        <v>-4.1696219399487691E-3</v>
      </c>
      <c r="G1386" s="75">
        <v>1384</v>
      </c>
      <c r="H1386" s="1">
        <f t="shared" ca="1" si="44"/>
        <v>1.7616203236527586E-2</v>
      </c>
    </row>
    <row r="1387" spans="2:8" x14ac:dyDescent="0.3">
      <c r="B1387" s="72">
        <v>44176</v>
      </c>
      <c r="C1387" s="73">
        <v>2515.9499999999998</v>
      </c>
      <c r="D1387" s="74">
        <f t="shared" si="43"/>
        <v>-0.12060468367703607</v>
      </c>
      <c r="E1387" s="1">
        <v>-4.1757371858302719E-3</v>
      </c>
      <c r="G1387" s="75">
        <v>1385</v>
      </c>
      <c r="H1387" s="1">
        <f t="shared" ca="1" si="44"/>
        <v>-6.9070122292217212E-3</v>
      </c>
    </row>
    <row r="1388" spans="2:8" x14ac:dyDescent="0.3">
      <c r="B1388" s="72">
        <v>45006</v>
      </c>
      <c r="C1388" s="73">
        <v>2861</v>
      </c>
      <c r="D1388" s="74">
        <f t="shared" si="43"/>
        <v>-6.873090808108921E-3</v>
      </c>
      <c r="E1388" s="1">
        <v>-4.1854839411422078E-3</v>
      </c>
      <c r="G1388" s="75">
        <v>1386</v>
      </c>
      <c r="H1388" s="1">
        <f t="shared" ca="1" si="44"/>
        <v>-1.4584737477645588E-2</v>
      </c>
    </row>
    <row r="1389" spans="2:8" x14ac:dyDescent="0.3">
      <c r="B1389" s="72">
        <v>45443</v>
      </c>
      <c r="C1389" s="73">
        <v>2880.8</v>
      </c>
      <c r="D1389" s="74">
        <f t="shared" si="43"/>
        <v>0.82317574837035656</v>
      </c>
      <c r="E1389" s="1">
        <v>-4.1912597111919596E-3</v>
      </c>
      <c r="G1389" s="75">
        <v>1387</v>
      </c>
      <c r="H1389" s="1">
        <f t="shared" ca="1" si="44"/>
        <v>-9.3496210377498733E-3</v>
      </c>
    </row>
    <row r="1390" spans="2:8" x14ac:dyDescent="0.3">
      <c r="B1390" s="72">
        <v>43699</v>
      </c>
      <c r="C1390" s="73">
        <v>1580.1</v>
      </c>
      <c r="D1390" s="74">
        <f t="shared" si="43"/>
        <v>-1.2283169245194618E-2</v>
      </c>
      <c r="E1390" s="1">
        <v>-4.206645554662874E-3</v>
      </c>
      <c r="G1390" s="75">
        <v>1388</v>
      </c>
      <c r="H1390" s="1">
        <f t="shared" ca="1" si="44"/>
        <v>-6.1133142406009731E-3</v>
      </c>
    </row>
    <row r="1391" spans="2:8" x14ac:dyDescent="0.3">
      <c r="B1391" s="72">
        <v>44000</v>
      </c>
      <c r="C1391" s="73">
        <v>1599.75</v>
      </c>
      <c r="D1391" s="74">
        <f t="shared" si="43"/>
        <v>-0.3557253752982753</v>
      </c>
      <c r="E1391" s="1">
        <v>-4.217176825757514E-3</v>
      </c>
      <c r="G1391" s="75">
        <v>1389</v>
      </c>
      <c r="H1391" s="1">
        <f t="shared" ca="1" si="44"/>
        <v>-2.7443839727168406E-2</v>
      </c>
    </row>
    <row r="1392" spans="2:8" x14ac:dyDescent="0.3">
      <c r="B1392" s="72">
        <v>44242</v>
      </c>
      <c r="C1392" s="73">
        <v>2483.0250000000001</v>
      </c>
      <c r="D1392" s="74">
        <f t="shared" si="43"/>
        <v>-0.15676735775049666</v>
      </c>
      <c r="E1392" s="1">
        <v>-4.2408565928776943E-3</v>
      </c>
      <c r="G1392" s="75">
        <v>1390</v>
      </c>
      <c r="H1392" s="1">
        <f t="shared" ca="1" si="44"/>
        <v>9.3124276391843668E-3</v>
      </c>
    </row>
    <row r="1393" spans="2:8" x14ac:dyDescent="0.3">
      <c r="B1393" s="72">
        <v>45999</v>
      </c>
      <c r="C1393" s="73">
        <v>2944.65</v>
      </c>
      <c r="D1393" s="74">
        <f t="shared" si="43"/>
        <v>4.7265937583355594E-2</v>
      </c>
      <c r="E1393" s="1">
        <v>-4.2607151914785387E-3</v>
      </c>
      <c r="G1393" s="75">
        <v>1391</v>
      </c>
      <c r="H1393" s="1">
        <f t="shared" ca="1" si="44"/>
        <v>2.4097687390750603E-3</v>
      </c>
    </row>
    <row r="1394" spans="2:8" x14ac:dyDescent="0.3">
      <c r="B1394" s="72">
        <v>44336</v>
      </c>
      <c r="C1394" s="73">
        <v>2811.75</v>
      </c>
      <c r="D1394" s="74">
        <f t="shared" si="43"/>
        <v>0.16118441429721869</v>
      </c>
      <c r="E1394" s="1">
        <v>-4.2761148442271805E-3</v>
      </c>
      <c r="G1394" s="75">
        <v>1392</v>
      </c>
      <c r="H1394" s="1">
        <f t="shared" ca="1" si="44"/>
        <v>-2.2436947714902424E-2</v>
      </c>
    </row>
    <row r="1395" spans="2:8" x14ac:dyDescent="0.3">
      <c r="B1395" s="72">
        <v>45779</v>
      </c>
      <c r="C1395" s="73">
        <v>2421.4499999999998</v>
      </c>
      <c r="D1395" s="74">
        <f t="shared" si="43"/>
        <v>0.37709532949456165</v>
      </c>
      <c r="E1395" s="1">
        <v>-4.2765795587721657E-3</v>
      </c>
      <c r="G1395" s="75">
        <v>1393</v>
      </c>
      <c r="H1395" s="1">
        <f t="shared" ca="1" si="44"/>
        <v>-4.8636812048795906E-3</v>
      </c>
    </row>
    <row r="1396" spans="2:8" x14ac:dyDescent="0.3">
      <c r="B1396" s="72">
        <v>43735</v>
      </c>
      <c r="C1396" s="73">
        <v>1758.375</v>
      </c>
      <c r="D1396" s="74">
        <f t="shared" si="43"/>
        <v>-0.44011494618862634</v>
      </c>
      <c r="E1396" s="1">
        <v>-4.2894759194767942E-3</v>
      </c>
      <c r="G1396" s="75">
        <v>1394</v>
      </c>
      <c r="H1396" s="1">
        <f t="shared" ca="1" si="44"/>
        <v>-7.6013860974032913E-4</v>
      </c>
    </row>
    <row r="1397" spans="2:8" x14ac:dyDescent="0.3">
      <c r="B1397" s="72">
        <v>44900</v>
      </c>
      <c r="C1397" s="73">
        <v>3140.6</v>
      </c>
      <c r="D1397" s="74">
        <f t="shared" si="43"/>
        <v>8.6196014007176483E-2</v>
      </c>
      <c r="E1397" s="1">
        <v>-4.2959275874641925E-3</v>
      </c>
      <c r="G1397" s="75">
        <v>1395</v>
      </c>
      <c r="H1397" s="1">
        <f t="shared" ca="1" si="44"/>
        <v>-4.8308889954930419E-4</v>
      </c>
    </row>
    <row r="1398" spans="2:8" x14ac:dyDescent="0.3">
      <c r="B1398" s="72">
        <v>45390</v>
      </c>
      <c r="C1398" s="73">
        <v>2891.375</v>
      </c>
      <c r="D1398" s="74">
        <f t="shared" si="43"/>
        <v>-0.16355680914153467</v>
      </c>
      <c r="E1398" s="1">
        <v>-4.3045930007317807E-3</v>
      </c>
      <c r="G1398" s="75">
        <v>1396</v>
      </c>
      <c r="H1398" s="1">
        <f t="shared" ca="1" si="44"/>
        <v>1.8783357477864071E-3</v>
      </c>
    </row>
    <row r="1399" spans="2:8" x14ac:dyDescent="0.3">
      <c r="B1399" s="72">
        <v>44781</v>
      </c>
      <c r="C1399" s="73">
        <v>3456.75</v>
      </c>
      <c r="D1399" s="74">
        <f t="shared" si="43"/>
        <v>0.49497242945183262</v>
      </c>
      <c r="E1399" s="1">
        <v>-4.3205875999135883E-3</v>
      </c>
      <c r="G1399" s="75">
        <v>1397</v>
      </c>
      <c r="H1399" s="1">
        <f t="shared" ca="1" si="44"/>
        <v>8.0389564169585173E-4</v>
      </c>
    </row>
    <row r="1400" spans="2:8" x14ac:dyDescent="0.3">
      <c r="B1400" s="72">
        <v>46125</v>
      </c>
      <c r="C1400" s="73">
        <v>2312.25</v>
      </c>
      <c r="D1400" s="74">
        <f t="shared" si="43"/>
        <v>0.51293082295977643</v>
      </c>
      <c r="E1400" s="1">
        <v>-4.3276062524222458E-3</v>
      </c>
      <c r="G1400" s="75">
        <v>1398</v>
      </c>
      <c r="H1400" s="1">
        <f t="shared" ca="1" si="44"/>
        <v>-8.05008517917679E-3</v>
      </c>
    </row>
    <row r="1401" spans="2:8" x14ac:dyDescent="0.3">
      <c r="B1401" s="72">
        <v>43969</v>
      </c>
      <c r="C1401" s="73">
        <v>1528.3249999999998</v>
      </c>
      <c r="D1401" s="74">
        <f t="shared" si="43"/>
        <v>-0.50403212721077406</v>
      </c>
      <c r="E1401" s="1">
        <v>-4.3485342019545159E-3</v>
      </c>
      <c r="G1401" s="75">
        <v>1399</v>
      </c>
      <c r="H1401" s="1">
        <f t="shared" ca="1" si="44"/>
        <v>1.3474362734321177E-2</v>
      </c>
    </row>
    <row r="1402" spans="2:8" x14ac:dyDescent="0.3">
      <c r="B1402" s="72">
        <v>45243</v>
      </c>
      <c r="C1402" s="73">
        <v>3081.5</v>
      </c>
      <c r="D1402" s="74">
        <f t="shared" si="43"/>
        <v>7.1907174374897858E-3</v>
      </c>
      <c r="E1402" s="1">
        <v>-4.3618739903069463E-3</v>
      </c>
      <c r="G1402" s="75">
        <v>1400</v>
      </c>
      <c r="H1402" s="1">
        <f t="shared" ca="1" si="44"/>
        <v>-7.7831179222362032E-3</v>
      </c>
    </row>
    <row r="1403" spans="2:8" x14ac:dyDescent="0.3">
      <c r="B1403" s="72">
        <v>44879</v>
      </c>
      <c r="C1403" s="73">
        <v>3059.5</v>
      </c>
      <c r="D1403" s="74">
        <f t="shared" si="43"/>
        <v>-2.2266252286944697E-2</v>
      </c>
      <c r="E1403" s="1">
        <v>-4.3931012040351446E-3</v>
      </c>
      <c r="G1403" s="75">
        <v>1401</v>
      </c>
      <c r="H1403" s="1">
        <f t="shared" ca="1" si="44"/>
        <v>8.3217332247648781E-3</v>
      </c>
    </row>
    <row r="1404" spans="2:8" x14ac:dyDescent="0.3">
      <c r="B1404" s="72">
        <v>44526</v>
      </c>
      <c r="C1404" s="73">
        <v>3129.1750000000002</v>
      </c>
      <c r="D1404" s="74">
        <f t="shared" si="43"/>
        <v>-9.5902009036310555E-3</v>
      </c>
      <c r="E1404" s="1">
        <v>-4.4540949835755244E-3</v>
      </c>
      <c r="G1404" s="75">
        <v>1402</v>
      </c>
      <c r="H1404" s="1">
        <f t="shared" ca="1" si="44"/>
        <v>1.390741185985416E-2</v>
      </c>
    </row>
    <row r="1405" spans="2:8" x14ac:dyDescent="0.3">
      <c r="B1405" s="72">
        <v>45530</v>
      </c>
      <c r="C1405" s="73">
        <v>3159.4749999999999</v>
      </c>
      <c r="D1405" s="74">
        <f t="shared" si="43"/>
        <v>-2.8160349428257295E-2</v>
      </c>
      <c r="E1405" s="1">
        <v>-4.4743081758530003E-3</v>
      </c>
      <c r="G1405" s="75">
        <v>1403</v>
      </c>
      <c r="H1405" s="1">
        <f t="shared" ca="1" si="44"/>
        <v>7.8659518782628925E-3</v>
      </c>
    </row>
    <row r="1406" spans="2:8" x14ac:dyDescent="0.3">
      <c r="B1406" s="72">
        <v>44610</v>
      </c>
      <c r="C1406" s="73">
        <v>3251.0250000000001</v>
      </c>
      <c r="D1406" s="74">
        <f t="shared" si="43"/>
        <v>0.17364464219637007</v>
      </c>
      <c r="E1406" s="1">
        <v>-4.4860557158933724E-3</v>
      </c>
      <c r="G1406" s="75">
        <v>1404</v>
      </c>
      <c r="H1406" s="1">
        <f t="shared" ca="1" si="44"/>
        <v>4.4633608125765013E-3</v>
      </c>
    </row>
    <row r="1407" spans="2:8" x14ac:dyDescent="0.3">
      <c r="B1407" s="72">
        <v>45027</v>
      </c>
      <c r="C1407" s="73">
        <v>2770.0250000000001</v>
      </c>
      <c r="D1407" s="74">
        <f t="shared" si="43"/>
        <v>0.97344423467388586</v>
      </c>
      <c r="E1407" s="1">
        <v>-4.5012668235970927E-3</v>
      </c>
      <c r="G1407" s="75">
        <v>1405</v>
      </c>
      <c r="H1407" s="1">
        <f t="shared" ca="1" si="44"/>
        <v>9.7379745924541859E-4</v>
      </c>
    </row>
    <row r="1408" spans="2:8" x14ac:dyDescent="0.3">
      <c r="B1408" s="72">
        <v>43487</v>
      </c>
      <c r="C1408" s="73">
        <v>1403.65</v>
      </c>
      <c r="D1408" s="74">
        <f t="shared" si="43"/>
        <v>-0.55110133919648208</v>
      </c>
      <c r="E1408" s="1">
        <v>-4.503546099290716E-3</v>
      </c>
      <c r="G1408" s="75">
        <v>1406</v>
      </c>
      <c r="H1408" s="1">
        <f t="shared" ca="1" si="44"/>
        <v>1.1864681645947256E-2</v>
      </c>
    </row>
    <row r="1409" spans="2:8" x14ac:dyDescent="0.3">
      <c r="B1409" s="72">
        <v>44868</v>
      </c>
      <c r="C1409" s="73">
        <v>3126.875</v>
      </c>
      <c r="D1409" s="74">
        <f t="shared" si="43"/>
        <v>-6.1843684368436846E-2</v>
      </c>
      <c r="E1409" s="1">
        <v>-4.504898878550676E-3</v>
      </c>
      <c r="G1409" s="75">
        <v>1407</v>
      </c>
      <c r="H1409" s="1">
        <f t="shared" ca="1" si="44"/>
        <v>3.068687187120442E-3</v>
      </c>
    </row>
    <row r="1410" spans="2:8" x14ac:dyDescent="0.3">
      <c r="B1410" s="72">
        <v>45145</v>
      </c>
      <c r="C1410" s="73">
        <v>3333</v>
      </c>
      <c r="D1410" s="74">
        <f t="shared" si="43"/>
        <v>0.10980695752066531</v>
      </c>
      <c r="E1410" s="1">
        <v>-4.5248868778280816E-3</v>
      </c>
      <c r="G1410" s="75">
        <v>1408</v>
      </c>
      <c r="H1410" s="1">
        <f t="shared" ca="1" si="44"/>
        <v>5.6660023166378711E-3</v>
      </c>
    </row>
    <row r="1411" spans="2:8" x14ac:dyDescent="0.3">
      <c r="B1411" s="72">
        <v>44390</v>
      </c>
      <c r="C1411" s="73">
        <v>3003.2249999999999</v>
      </c>
      <c r="D1411" s="74">
        <f t="shared" ref="D1411:D1474" si="45">(C1411-C1412)/C1412</f>
        <v>1.9286247624219481E-2</v>
      </c>
      <c r="E1411" s="1">
        <v>-4.5492964749166906E-3</v>
      </c>
      <c r="G1411" s="75">
        <v>1409</v>
      </c>
      <c r="H1411" s="1">
        <f t="shared" ca="1" si="44"/>
        <v>-1.4230313311818512E-2</v>
      </c>
    </row>
    <row r="1412" spans="2:8" x14ac:dyDescent="0.3">
      <c r="B1412" s="72">
        <v>45323</v>
      </c>
      <c r="C1412" s="73">
        <v>2946.3999999999996</v>
      </c>
      <c r="D1412" s="74">
        <f t="shared" si="45"/>
        <v>1.6143744454303457</v>
      </c>
      <c r="E1412" s="1">
        <v>-4.586187383339632E-3</v>
      </c>
      <c r="G1412" s="75">
        <v>1410</v>
      </c>
      <c r="H1412" s="1">
        <f t="shared" ref="H1412:H1475" ca="1" si="46">_xlfn.NORM.INV(RAND(),$N$4,$N$5)</f>
        <v>-5.9929804925458142E-3</v>
      </c>
    </row>
    <row r="1413" spans="2:8" x14ac:dyDescent="0.3">
      <c r="B1413" s="72">
        <v>43171</v>
      </c>
      <c r="C1413" s="73">
        <v>1127</v>
      </c>
      <c r="D1413" s="74">
        <f t="shared" si="45"/>
        <v>-0.51708106139326615</v>
      </c>
      <c r="E1413" s="1">
        <v>-4.5928281222399267E-3</v>
      </c>
      <c r="G1413" s="75">
        <v>1411</v>
      </c>
      <c r="H1413" s="1">
        <f t="shared" ca="1" si="46"/>
        <v>1.810524890734445E-3</v>
      </c>
    </row>
    <row r="1414" spans="2:8" x14ac:dyDescent="0.3">
      <c r="B1414" s="72">
        <v>45748</v>
      </c>
      <c r="C1414" s="73">
        <v>2333.7249999999999</v>
      </c>
      <c r="D1414" s="74">
        <f t="shared" si="45"/>
        <v>-0.21023198362070422</v>
      </c>
      <c r="E1414" s="1">
        <v>-4.5958626572830414E-3</v>
      </c>
      <c r="G1414" s="75">
        <v>1412</v>
      </c>
      <c r="H1414" s="1">
        <f t="shared" ca="1" si="46"/>
        <v>-2.2428095638702482E-2</v>
      </c>
    </row>
    <row r="1415" spans="2:8" x14ac:dyDescent="0.3">
      <c r="B1415" s="72">
        <v>44937</v>
      </c>
      <c r="C1415" s="73">
        <v>2954.95</v>
      </c>
      <c r="D1415" s="74">
        <f t="shared" si="45"/>
        <v>0.59298642838852278</v>
      </c>
      <c r="E1415" s="1">
        <v>-4.5981270632621746E-3</v>
      </c>
      <c r="G1415" s="75">
        <v>1413</v>
      </c>
      <c r="H1415" s="1">
        <f t="shared" ca="1" si="46"/>
        <v>3.1811424511103822E-3</v>
      </c>
    </row>
    <row r="1416" spans="2:8" x14ac:dyDescent="0.3">
      <c r="B1416" s="72">
        <v>43871</v>
      </c>
      <c r="C1416" s="73">
        <v>1854.9749999999999</v>
      </c>
      <c r="D1416" s="74">
        <f t="shared" si="45"/>
        <v>-0.2363844063889346</v>
      </c>
      <c r="E1416" s="1">
        <v>-4.6014327493225544E-3</v>
      </c>
      <c r="G1416" s="75">
        <v>1414</v>
      </c>
      <c r="H1416" s="1">
        <f t="shared" ca="1" si="46"/>
        <v>-1.0928149359042877E-2</v>
      </c>
    </row>
    <row r="1417" spans="2:8" x14ac:dyDescent="0.3">
      <c r="B1417" s="72">
        <v>46058</v>
      </c>
      <c r="C1417" s="73">
        <v>2429.1999999999998</v>
      </c>
      <c r="D1417" s="74">
        <f t="shared" si="45"/>
        <v>-4.2113564668769789E-2</v>
      </c>
      <c r="E1417" s="1">
        <v>-4.6098055686451273E-3</v>
      </c>
      <c r="G1417" s="75">
        <v>1415</v>
      </c>
      <c r="H1417" s="1">
        <f t="shared" ca="1" si="46"/>
        <v>1.8323550063011625E-2</v>
      </c>
    </row>
    <row r="1418" spans="2:8" x14ac:dyDescent="0.3">
      <c r="B1418" s="72">
        <v>46134</v>
      </c>
      <c r="C1418" s="73">
        <v>2536</v>
      </c>
      <c r="D1418" s="74">
        <f t="shared" si="45"/>
        <v>-0.13293957758156466</v>
      </c>
      <c r="E1418" s="1">
        <v>-4.6509802382400491E-3</v>
      </c>
      <c r="G1418" s="75">
        <v>1416</v>
      </c>
      <c r="H1418" s="1">
        <f t="shared" ca="1" si="46"/>
        <v>-9.7876368577253809E-3</v>
      </c>
    </row>
    <row r="1419" spans="2:8" x14ac:dyDescent="0.3">
      <c r="B1419" s="72">
        <v>45328</v>
      </c>
      <c r="C1419" s="73">
        <v>2924.8249999999998</v>
      </c>
      <c r="D1419" s="74">
        <f t="shared" si="45"/>
        <v>-2.9997017342026271E-3</v>
      </c>
      <c r="E1419" s="1">
        <v>-4.6537348987579314E-3</v>
      </c>
      <c r="G1419" s="75">
        <v>1417</v>
      </c>
      <c r="H1419" s="1">
        <f t="shared" ca="1" si="46"/>
        <v>-4.182357015034186E-3</v>
      </c>
    </row>
    <row r="1420" spans="2:8" x14ac:dyDescent="0.3">
      <c r="B1420" s="72">
        <v>44756</v>
      </c>
      <c r="C1420" s="73">
        <v>2933.625</v>
      </c>
      <c r="D1420" s="74">
        <f t="shared" si="45"/>
        <v>6.242643730194658E-2</v>
      </c>
      <c r="E1420" s="1">
        <v>-4.7073791348600505E-3</v>
      </c>
      <c r="G1420" s="75">
        <v>1418</v>
      </c>
      <c r="H1420" s="1">
        <f t="shared" ca="1" si="46"/>
        <v>-8.3657710291173346E-3</v>
      </c>
    </row>
    <row r="1421" spans="2:8" x14ac:dyDescent="0.3">
      <c r="B1421" s="72">
        <v>45016</v>
      </c>
      <c r="C1421" s="73">
        <v>2761.25</v>
      </c>
      <c r="D1421" s="74">
        <f t="shared" si="45"/>
        <v>-0.16915531417137444</v>
      </c>
      <c r="E1421" s="1">
        <v>-4.7307952241495829E-3</v>
      </c>
      <c r="G1421" s="75">
        <v>1419</v>
      </c>
      <c r="H1421" s="1">
        <f t="shared" ca="1" si="46"/>
        <v>-2.499248473882118E-2</v>
      </c>
    </row>
    <row r="1422" spans="2:8" x14ac:dyDescent="0.3">
      <c r="B1422" s="72">
        <v>44841</v>
      </c>
      <c r="C1422" s="73">
        <v>3323.4250000000002</v>
      </c>
      <c r="D1422" s="74">
        <f t="shared" si="45"/>
        <v>3.9496113726287647E-2</v>
      </c>
      <c r="E1422" s="1">
        <v>-4.7316368318995362E-3</v>
      </c>
      <c r="G1422" s="75">
        <v>1420</v>
      </c>
      <c r="H1422" s="1">
        <f t="shared" ca="1" si="46"/>
        <v>4.415474437795594E-3</v>
      </c>
    </row>
    <row r="1423" spans="2:8" x14ac:dyDescent="0.3">
      <c r="B1423" s="72">
        <v>44599</v>
      </c>
      <c r="C1423" s="73">
        <v>3197.1499999999996</v>
      </c>
      <c r="D1423" s="74">
        <f t="shared" si="45"/>
        <v>1.8993833318218916</v>
      </c>
      <c r="E1423" s="1">
        <v>-4.7549748243151339E-3</v>
      </c>
      <c r="G1423" s="75">
        <v>1421</v>
      </c>
      <c r="H1423" s="1">
        <f t="shared" ca="1" si="46"/>
        <v>-9.6712017559490073E-3</v>
      </c>
    </row>
    <row r="1424" spans="2:8" x14ac:dyDescent="0.3">
      <c r="B1424" s="72">
        <v>43157</v>
      </c>
      <c r="C1424" s="73">
        <v>1102.7</v>
      </c>
      <c r="D1424" s="74">
        <f t="shared" si="45"/>
        <v>-0.63281276014784715</v>
      </c>
      <c r="E1424" s="1">
        <v>-4.7609377467901929E-3</v>
      </c>
      <c r="G1424" s="75">
        <v>1422</v>
      </c>
      <c r="H1424" s="1">
        <f t="shared" ca="1" si="46"/>
        <v>2.0997965373543925E-2</v>
      </c>
    </row>
    <row r="1425" spans="2:8" x14ac:dyDescent="0.3">
      <c r="B1425" s="72">
        <v>45341</v>
      </c>
      <c r="C1425" s="73">
        <v>3003.1</v>
      </c>
      <c r="D1425" s="74">
        <f t="shared" si="45"/>
        <v>0.74401115014953967</v>
      </c>
      <c r="E1425" s="1">
        <v>-4.7721623860812233E-3</v>
      </c>
      <c r="G1425" s="75">
        <v>1423</v>
      </c>
      <c r="H1425" s="1">
        <f t="shared" ca="1" si="46"/>
        <v>-1.3931542862814129E-2</v>
      </c>
    </row>
    <row r="1426" spans="2:8" x14ac:dyDescent="0.3">
      <c r="B1426" s="72">
        <v>43808</v>
      </c>
      <c r="C1426" s="73">
        <v>1721.95</v>
      </c>
      <c r="D1426" s="74">
        <f t="shared" si="45"/>
        <v>-0.41606049816029972</v>
      </c>
      <c r="E1426" s="1">
        <v>-4.7826149778207247E-3</v>
      </c>
      <c r="G1426" s="75">
        <v>1424</v>
      </c>
      <c r="H1426" s="1">
        <f t="shared" ca="1" si="46"/>
        <v>-2.7384192454676976E-3</v>
      </c>
    </row>
    <row r="1427" spans="2:8" x14ac:dyDescent="0.3">
      <c r="B1427" s="72">
        <v>44348</v>
      </c>
      <c r="C1427" s="73">
        <v>2948.85</v>
      </c>
      <c r="D1427" s="74">
        <f t="shared" si="45"/>
        <v>1.1996904313447587</v>
      </c>
      <c r="E1427" s="1">
        <v>-4.783962335788503E-3</v>
      </c>
      <c r="G1427" s="75">
        <v>1425</v>
      </c>
      <c r="H1427" s="1">
        <f t="shared" ca="1" si="46"/>
        <v>-7.0623922256068975E-3</v>
      </c>
    </row>
    <row r="1428" spans="2:8" x14ac:dyDescent="0.3">
      <c r="B1428" s="72">
        <v>43438</v>
      </c>
      <c r="C1428" s="73">
        <v>1340.575</v>
      </c>
      <c r="D1428" s="74">
        <f t="shared" si="45"/>
        <v>6.6593734460467471E-2</v>
      </c>
      <c r="E1428" s="1">
        <v>-4.7883298379763142E-3</v>
      </c>
      <c r="G1428" s="75">
        <v>1426</v>
      </c>
      <c r="H1428" s="1">
        <f t="shared" ca="1" si="46"/>
        <v>-4.6239122758021233E-3</v>
      </c>
    </row>
    <row r="1429" spans="2:8" x14ac:dyDescent="0.3">
      <c r="B1429" s="72">
        <v>43273</v>
      </c>
      <c r="C1429" s="73">
        <v>1256.875</v>
      </c>
      <c r="D1429" s="74">
        <f t="shared" si="45"/>
        <v>-0.54697003829691371</v>
      </c>
      <c r="E1429" s="1">
        <v>-4.8101666732650109E-3</v>
      </c>
      <c r="G1429" s="75">
        <v>1427</v>
      </c>
      <c r="H1429" s="1">
        <f t="shared" ca="1" si="46"/>
        <v>-8.9931239306425027E-3</v>
      </c>
    </row>
    <row r="1430" spans="2:8" x14ac:dyDescent="0.3">
      <c r="B1430" s="72">
        <v>45014</v>
      </c>
      <c r="C1430" s="73">
        <v>2774.375</v>
      </c>
      <c r="D1430" s="74">
        <f t="shared" si="45"/>
        <v>-0.12197070993978991</v>
      </c>
      <c r="E1430" s="1">
        <v>-4.8156252241911834E-3</v>
      </c>
      <c r="G1430" s="75">
        <v>1428</v>
      </c>
      <c r="H1430" s="1">
        <f t="shared" ca="1" si="46"/>
        <v>2.3908813845586643E-2</v>
      </c>
    </row>
    <row r="1431" spans="2:8" x14ac:dyDescent="0.3">
      <c r="B1431" s="72">
        <v>45311</v>
      </c>
      <c r="C1431" s="73">
        <v>3159.7749999999996</v>
      </c>
      <c r="D1431" s="74">
        <f t="shared" si="45"/>
        <v>0.2750796981558451</v>
      </c>
      <c r="E1431" s="1">
        <v>-4.8187838082565555E-3</v>
      </c>
      <c r="G1431" s="75">
        <v>1429</v>
      </c>
      <c r="H1431" s="1">
        <f t="shared" ca="1" si="46"/>
        <v>-2.6035984969216993E-2</v>
      </c>
    </row>
    <row r="1432" spans="2:8" x14ac:dyDescent="0.3">
      <c r="B1432" s="72">
        <v>45880</v>
      </c>
      <c r="C1432" s="73">
        <v>2478.1</v>
      </c>
      <c r="D1432" s="74">
        <f t="shared" si="45"/>
        <v>0.77485720424716653</v>
      </c>
      <c r="E1432" s="1">
        <v>-4.8190835709409265E-3</v>
      </c>
      <c r="G1432" s="75">
        <v>1430</v>
      </c>
      <c r="H1432" s="1">
        <f t="shared" ca="1" si="46"/>
        <v>-1.8684602885228409E-2</v>
      </c>
    </row>
    <row r="1433" spans="2:8" x14ac:dyDescent="0.3">
      <c r="B1433" s="72">
        <v>43529</v>
      </c>
      <c r="C1433" s="73">
        <v>1396.2249999999999</v>
      </c>
      <c r="D1433" s="74">
        <f t="shared" si="45"/>
        <v>-0.58071006539088132</v>
      </c>
      <c r="E1433" s="1">
        <v>-4.8466705867680057E-3</v>
      </c>
      <c r="G1433" s="75">
        <v>1431</v>
      </c>
      <c r="H1433" s="1">
        <f t="shared" ca="1" si="46"/>
        <v>-1.5863405617484415E-2</v>
      </c>
    </row>
    <row r="1434" spans="2:8" x14ac:dyDescent="0.3">
      <c r="B1434" s="72">
        <v>45147</v>
      </c>
      <c r="C1434" s="73">
        <v>3329.9749999999999</v>
      </c>
      <c r="D1434" s="74">
        <f t="shared" si="45"/>
        <v>1.3118404609830601</v>
      </c>
      <c r="E1434" s="1">
        <v>-4.8785225472911193E-3</v>
      </c>
      <c r="G1434" s="75">
        <v>1432</v>
      </c>
      <c r="H1434" s="1">
        <f t="shared" ca="1" si="46"/>
        <v>-4.5345852679892452E-3</v>
      </c>
    </row>
    <row r="1435" spans="2:8" x14ac:dyDescent="0.3">
      <c r="B1435" s="72">
        <v>43578</v>
      </c>
      <c r="C1435" s="73">
        <v>1440.4</v>
      </c>
      <c r="D1435" s="74">
        <f t="shared" si="45"/>
        <v>-0.4003580200657757</v>
      </c>
      <c r="E1435" s="1">
        <v>-4.887821896751114E-3</v>
      </c>
      <c r="G1435" s="75">
        <v>1433</v>
      </c>
      <c r="H1435" s="1">
        <f t="shared" ca="1" si="46"/>
        <v>3.2780303933031287E-3</v>
      </c>
    </row>
    <row r="1436" spans="2:8" x14ac:dyDescent="0.3">
      <c r="B1436" s="72">
        <v>46079</v>
      </c>
      <c r="C1436" s="73">
        <v>2402.1</v>
      </c>
      <c r="D1436" s="74">
        <f t="shared" si="45"/>
        <v>-0.16855021546875279</v>
      </c>
      <c r="E1436" s="1">
        <v>-4.9089666314546324E-3</v>
      </c>
      <c r="G1436" s="75">
        <v>1434</v>
      </c>
      <c r="H1436" s="1">
        <f t="shared" ca="1" si="46"/>
        <v>-5.0524524117284593E-3</v>
      </c>
    </row>
    <row r="1437" spans="2:8" x14ac:dyDescent="0.3">
      <c r="B1437" s="72">
        <v>45979</v>
      </c>
      <c r="C1437" s="73">
        <v>2889.05</v>
      </c>
      <c r="D1437" s="74">
        <f t="shared" si="45"/>
        <v>0.30339942703751321</v>
      </c>
      <c r="E1437" s="1">
        <v>-4.9596170073531957E-3</v>
      </c>
      <c r="G1437" s="75">
        <v>1435</v>
      </c>
      <c r="H1437" s="1">
        <f t="shared" ca="1" si="46"/>
        <v>1.0270698506803138E-2</v>
      </c>
    </row>
    <row r="1438" spans="2:8" x14ac:dyDescent="0.3">
      <c r="B1438" s="72">
        <v>45819</v>
      </c>
      <c r="C1438" s="73">
        <v>2216.5500000000002</v>
      </c>
      <c r="D1438" s="74">
        <f t="shared" si="45"/>
        <v>-0.11520268247410331</v>
      </c>
      <c r="E1438" s="1">
        <v>-4.9604956006463136E-3</v>
      </c>
      <c r="G1438" s="75">
        <v>1436</v>
      </c>
      <c r="H1438" s="1">
        <f t="shared" ca="1" si="46"/>
        <v>-1.6869015665286074E-2</v>
      </c>
    </row>
    <row r="1439" spans="2:8" x14ac:dyDescent="0.3">
      <c r="B1439" s="72">
        <v>45964</v>
      </c>
      <c r="C1439" s="73">
        <v>2505.15</v>
      </c>
      <c r="D1439" s="74">
        <f t="shared" si="45"/>
        <v>0.8269097538742024</v>
      </c>
      <c r="E1439" s="1">
        <v>-4.964947470855758E-3</v>
      </c>
      <c r="G1439" s="75">
        <v>1437</v>
      </c>
      <c r="H1439" s="1">
        <f t="shared" ca="1" si="46"/>
        <v>9.5398451056131952E-3</v>
      </c>
    </row>
    <row r="1440" spans="2:8" x14ac:dyDescent="0.3">
      <c r="B1440" s="72">
        <v>43346</v>
      </c>
      <c r="C1440" s="73">
        <v>1371.25</v>
      </c>
      <c r="D1440" s="74">
        <f t="shared" si="45"/>
        <v>-9.4794864177971366E-2</v>
      </c>
      <c r="E1440" s="1">
        <v>-4.970611711777019E-3</v>
      </c>
      <c r="G1440" s="75">
        <v>1438</v>
      </c>
      <c r="H1440" s="1">
        <f t="shared" ca="1" si="46"/>
        <v>-6.2983349379805076E-3</v>
      </c>
    </row>
    <row r="1441" spans="2:8" x14ac:dyDescent="0.3">
      <c r="B1441" s="72">
        <v>43676</v>
      </c>
      <c r="C1441" s="73">
        <v>1514.85</v>
      </c>
      <c r="D1441" s="74">
        <f t="shared" si="45"/>
        <v>0.33352406523030881</v>
      </c>
      <c r="E1441" s="1">
        <v>-4.9756145622937391E-3</v>
      </c>
      <c r="G1441" s="75">
        <v>1439</v>
      </c>
      <c r="H1441" s="1">
        <f t="shared" ca="1" si="46"/>
        <v>7.2754589883846955E-3</v>
      </c>
    </row>
    <row r="1442" spans="2:8" x14ac:dyDescent="0.3">
      <c r="B1442" s="72">
        <v>43133</v>
      </c>
      <c r="C1442" s="73">
        <v>1135.9749999999999</v>
      </c>
      <c r="D1442" s="74">
        <f t="shared" si="45"/>
        <v>-0.63459079540976759</v>
      </c>
      <c r="E1442" s="1">
        <v>-4.9926642871220318E-3</v>
      </c>
      <c r="G1442" s="75">
        <v>1440</v>
      </c>
      <c r="H1442" s="1">
        <f t="shared" ca="1" si="46"/>
        <v>-1.4532520688198764E-3</v>
      </c>
    </row>
    <row r="1443" spans="2:8" x14ac:dyDescent="0.3">
      <c r="B1443" s="72">
        <v>44924</v>
      </c>
      <c r="C1443" s="73">
        <v>3108.7750000000001</v>
      </c>
      <c r="D1443" s="74">
        <f t="shared" si="45"/>
        <v>4.875600910854351E-2</v>
      </c>
      <c r="E1443" s="1">
        <v>-5.000960184355396E-3</v>
      </c>
      <c r="G1443" s="75">
        <v>1441</v>
      </c>
      <c r="H1443" s="1">
        <f t="shared" ca="1" si="46"/>
        <v>1.3734013464090053E-2</v>
      </c>
    </row>
    <row r="1444" spans="2:8" x14ac:dyDescent="0.3">
      <c r="B1444" s="72">
        <v>45320</v>
      </c>
      <c r="C1444" s="73">
        <v>2964.25</v>
      </c>
      <c r="D1444" s="74">
        <f t="shared" si="45"/>
        <v>-3.3115606983552315E-2</v>
      </c>
      <c r="E1444" s="1">
        <v>-5.0014265814074792E-3</v>
      </c>
      <c r="G1444" s="75">
        <v>1442</v>
      </c>
      <c r="H1444" s="1">
        <f t="shared" ca="1" si="46"/>
        <v>-1.5065747970489684E-2</v>
      </c>
    </row>
    <row r="1445" spans="2:8" x14ac:dyDescent="0.3">
      <c r="B1445" s="72">
        <v>44917</v>
      </c>
      <c r="C1445" s="73">
        <v>3065.7750000000001</v>
      </c>
      <c r="D1445" s="74">
        <f t="shared" si="45"/>
        <v>0.36221854414982851</v>
      </c>
      <c r="E1445" s="1">
        <v>-5.0223123732251228E-3</v>
      </c>
      <c r="G1445" s="75">
        <v>1443</v>
      </c>
      <c r="H1445" s="1">
        <f t="shared" ca="1" si="46"/>
        <v>7.0318538661779638E-3</v>
      </c>
    </row>
    <row r="1446" spans="2:8" x14ac:dyDescent="0.3">
      <c r="B1446" s="72">
        <v>45685</v>
      </c>
      <c r="C1446" s="73">
        <v>2250.5749999999998</v>
      </c>
      <c r="D1446" s="74">
        <f t="shared" si="45"/>
        <v>-0.29751305121382154</v>
      </c>
      <c r="E1446" s="1">
        <v>-5.0398434995966319E-3</v>
      </c>
      <c r="G1446" s="75">
        <v>1444</v>
      </c>
      <c r="H1446" s="1">
        <f t="shared" ca="1" si="46"/>
        <v>-2.4622085487572078E-2</v>
      </c>
    </row>
    <row r="1447" spans="2:8" x14ac:dyDescent="0.3">
      <c r="B1447" s="72">
        <v>45086</v>
      </c>
      <c r="C1447" s="73">
        <v>3203.7250000000004</v>
      </c>
      <c r="D1447" s="74">
        <f t="shared" si="45"/>
        <v>0.29907953693003297</v>
      </c>
      <c r="E1447" s="1">
        <v>-5.0543478260868437E-3</v>
      </c>
      <c r="G1447" s="75">
        <v>1445</v>
      </c>
      <c r="H1447" s="1">
        <f t="shared" ca="1" si="46"/>
        <v>2.3600170180717833E-2</v>
      </c>
    </row>
    <row r="1448" spans="2:8" x14ac:dyDescent="0.3">
      <c r="B1448" s="72">
        <v>45630</v>
      </c>
      <c r="C1448" s="73">
        <v>2466.1499999999996</v>
      </c>
      <c r="D1448" s="74">
        <f t="shared" si="45"/>
        <v>-4.4701826422110957E-2</v>
      </c>
      <c r="E1448" s="1">
        <v>-5.0832072617248061E-3</v>
      </c>
      <c r="G1448" s="75">
        <v>1446</v>
      </c>
      <c r="H1448" s="1">
        <f t="shared" ca="1" si="46"/>
        <v>1.3335462303088784E-2</v>
      </c>
    </row>
    <row r="1449" spans="2:8" x14ac:dyDescent="0.3">
      <c r="B1449" s="72">
        <v>44321</v>
      </c>
      <c r="C1449" s="73">
        <v>2581.5500000000002</v>
      </c>
      <c r="D1449" s="74">
        <f t="shared" si="45"/>
        <v>0.38604850941598101</v>
      </c>
      <c r="E1449" s="1">
        <v>-5.0871952981982145E-3</v>
      </c>
      <c r="G1449" s="75">
        <v>1447</v>
      </c>
      <c r="H1449" s="1">
        <f t="shared" ca="1" si="46"/>
        <v>3.8169523606810456E-3</v>
      </c>
    </row>
    <row r="1450" spans="2:8" x14ac:dyDescent="0.3">
      <c r="B1450" s="72">
        <v>43881</v>
      </c>
      <c r="C1450" s="73">
        <v>1862.5250000000001</v>
      </c>
      <c r="D1450" s="74">
        <f t="shared" si="45"/>
        <v>-0.17384506198851149</v>
      </c>
      <c r="E1450" s="1">
        <v>-5.0880051280680879E-3</v>
      </c>
      <c r="G1450" s="75">
        <v>1448</v>
      </c>
      <c r="H1450" s="1">
        <f t="shared" ca="1" si="46"/>
        <v>1.0851251636029123E-2</v>
      </c>
    </row>
    <row r="1451" spans="2:8" x14ac:dyDescent="0.3">
      <c r="B1451" s="72">
        <v>45699</v>
      </c>
      <c r="C1451" s="73">
        <v>2254.4499999999998</v>
      </c>
      <c r="D1451" s="74">
        <f t="shared" si="45"/>
        <v>0.56114535004501076</v>
      </c>
      <c r="E1451" s="1">
        <v>-5.0970873786408567E-3</v>
      </c>
      <c r="G1451" s="75">
        <v>1449</v>
      </c>
      <c r="H1451" s="1">
        <f t="shared" ca="1" si="46"/>
        <v>-8.5540348467661523E-3</v>
      </c>
    </row>
    <row r="1452" spans="2:8" x14ac:dyDescent="0.3">
      <c r="B1452" s="72">
        <v>43588</v>
      </c>
      <c r="C1452" s="73">
        <v>1444.1</v>
      </c>
      <c r="D1452" s="74">
        <f t="shared" si="45"/>
        <v>0.22370985509702571</v>
      </c>
      <c r="E1452" s="1">
        <v>-5.0981743024458084E-3</v>
      </c>
      <c r="G1452" s="75">
        <v>1450</v>
      </c>
      <c r="H1452" s="1">
        <f t="shared" ca="1" si="46"/>
        <v>-1.4046827575250215E-2</v>
      </c>
    </row>
    <row r="1453" spans="2:8" x14ac:dyDescent="0.3">
      <c r="B1453" s="72">
        <v>43110</v>
      </c>
      <c r="C1453" s="73">
        <v>1180.0999999999999</v>
      </c>
      <c r="D1453" s="74">
        <f t="shared" si="45"/>
        <v>2.4014577955181225E-2</v>
      </c>
      <c r="E1453" s="1">
        <v>-5.100535345445501E-3</v>
      </c>
      <c r="G1453" s="75">
        <v>1451</v>
      </c>
      <c r="H1453" s="1">
        <f t="shared" ca="1" si="46"/>
        <v>5.0833410936745801E-3</v>
      </c>
    </row>
    <row r="1454" spans="2:8" x14ac:dyDescent="0.3">
      <c r="B1454" s="72">
        <v>43125</v>
      </c>
      <c r="C1454" s="73">
        <v>1152.4250000000002</v>
      </c>
      <c r="D1454" s="74">
        <f t="shared" si="45"/>
        <v>-2.8677988958658068E-2</v>
      </c>
      <c r="E1454" s="1">
        <v>-5.1150343160527717E-3</v>
      </c>
      <c r="G1454" s="75">
        <v>1452</v>
      </c>
      <c r="H1454" s="1">
        <f t="shared" ca="1" si="46"/>
        <v>-2.3275955352175183E-3</v>
      </c>
    </row>
    <row r="1455" spans="2:8" x14ac:dyDescent="0.3">
      <c r="B1455" s="72">
        <v>43119</v>
      </c>
      <c r="C1455" s="73">
        <v>1186.45</v>
      </c>
      <c r="D1455" s="74">
        <f t="shared" si="45"/>
        <v>-0.34208556298000936</v>
      </c>
      <c r="E1455" s="1">
        <v>-5.1150895140664203E-3</v>
      </c>
      <c r="G1455" s="75">
        <v>1453</v>
      </c>
      <c r="H1455" s="1">
        <f t="shared" ca="1" si="46"/>
        <v>-8.6517228854093072E-3</v>
      </c>
    </row>
    <row r="1456" spans="2:8" x14ac:dyDescent="0.3">
      <c r="B1456" s="72">
        <v>43892</v>
      </c>
      <c r="C1456" s="73">
        <v>1803.35</v>
      </c>
      <c r="D1456" s="74">
        <f t="shared" si="45"/>
        <v>0.59320611361427666</v>
      </c>
      <c r="E1456" s="1">
        <v>-5.1168884904489844E-3</v>
      </c>
      <c r="G1456" s="75">
        <v>1454</v>
      </c>
      <c r="H1456" s="1">
        <f t="shared" ca="1" si="46"/>
        <v>-1.9130628776476972E-3</v>
      </c>
    </row>
    <row r="1457" spans="2:8" x14ac:dyDescent="0.3">
      <c r="B1457" s="72">
        <v>43131</v>
      </c>
      <c r="C1457" s="73">
        <v>1131.9000000000001</v>
      </c>
      <c r="D1457" s="74">
        <f t="shared" si="45"/>
        <v>-0.36117617179783834</v>
      </c>
      <c r="E1457" s="1">
        <v>-5.1198664000525777E-3</v>
      </c>
      <c r="G1457" s="75">
        <v>1455</v>
      </c>
      <c r="H1457" s="1">
        <f t="shared" ca="1" si="46"/>
        <v>2.1682619641281181E-2</v>
      </c>
    </row>
    <row r="1458" spans="2:8" x14ac:dyDescent="0.3">
      <c r="B1458" s="72">
        <v>43782</v>
      </c>
      <c r="C1458" s="73">
        <v>1771.85</v>
      </c>
      <c r="D1458" s="74">
        <f t="shared" si="45"/>
        <v>0.59917868182946366</v>
      </c>
      <c r="E1458" s="1">
        <v>-5.1235980291694161E-3</v>
      </c>
      <c r="G1458" s="75">
        <v>1456</v>
      </c>
      <c r="H1458" s="1">
        <f t="shared" ca="1" si="46"/>
        <v>-3.1987027142230345E-4</v>
      </c>
    </row>
    <row r="1459" spans="2:8" x14ac:dyDescent="0.3">
      <c r="B1459" s="72">
        <v>43154</v>
      </c>
      <c r="C1459" s="73">
        <v>1107.9749999999999</v>
      </c>
      <c r="D1459" s="74">
        <f t="shared" si="45"/>
        <v>-0.3597000693481277</v>
      </c>
      <c r="E1459" s="1">
        <v>-5.1405225823831701E-3</v>
      </c>
      <c r="G1459" s="75">
        <v>1457</v>
      </c>
      <c r="H1459" s="1">
        <f t="shared" ca="1" si="46"/>
        <v>1.1543196497961507E-2</v>
      </c>
    </row>
    <row r="1460" spans="2:8" x14ac:dyDescent="0.3">
      <c r="B1460" s="72">
        <v>43745</v>
      </c>
      <c r="C1460" s="73">
        <v>1730.4</v>
      </c>
      <c r="D1460" s="74">
        <f t="shared" si="45"/>
        <v>-0.27835352503284183</v>
      </c>
      <c r="E1460" s="1">
        <v>-5.1741979993101071E-3</v>
      </c>
      <c r="G1460" s="75">
        <v>1458</v>
      </c>
      <c r="H1460" s="1">
        <f t="shared" ca="1" si="46"/>
        <v>-7.2127736413856725E-3</v>
      </c>
    </row>
    <row r="1461" spans="2:8" x14ac:dyDescent="0.3">
      <c r="B1461" s="72">
        <v>45638</v>
      </c>
      <c r="C1461" s="73">
        <v>2397.85</v>
      </c>
      <c r="D1461" s="74">
        <f t="shared" si="45"/>
        <v>-0.19320676631646239</v>
      </c>
      <c r="E1461" s="1">
        <v>-5.1756505865391223E-3</v>
      </c>
      <c r="G1461" s="75">
        <v>1459</v>
      </c>
      <c r="H1461" s="1">
        <f t="shared" ca="1" si="46"/>
        <v>-1.9878672300696284E-2</v>
      </c>
    </row>
    <row r="1462" spans="2:8" x14ac:dyDescent="0.3">
      <c r="B1462" s="72">
        <v>44424</v>
      </c>
      <c r="C1462" s="73">
        <v>2972.0749999999998</v>
      </c>
      <c r="D1462" s="74">
        <f t="shared" si="45"/>
        <v>0.24302593057298194</v>
      </c>
      <c r="E1462" s="1">
        <v>-5.1798296262825271E-3</v>
      </c>
      <c r="G1462" s="75">
        <v>1460</v>
      </c>
      <c r="H1462" s="1">
        <f t="shared" ca="1" si="46"/>
        <v>1.0643774026930586E-2</v>
      </c>
    </row>
    <row r="1463" spans="2:8" x14ac:dyDescent="0.3">
      <c r="B1463" s="72">
        <v>46064</v>
      </c>
      <c r="C1463" s="73">
        <v>2391</v>
      </c>
      <c r="D1463" s="74">
        <f t="shared" si="45"/>
        <v>-0.14936006332660334</v>
      </c>
      <c r="E1463" s="1">
        <v>-5.1800536728452097E-3</v>
      </c>
      <c r="G1463" s="75">
        <v>1461</v>
      </c>
      <c r="H1463" s="1">
        <f t="shared" ca="1" si="46"/>
        <v>-5.4372608946192374E-3</v>
      </c>
    </row>
    <row r="1464" spans="2:8" x14ac:dyDescent="0.3">
      <c r="B1464" s="72">
        <v>44998</v>
      </c>
      <c r="C1464" s="73">
        <v>2810.8249999999998</v>
      </c>
      <c r="D1464" s="74">
        <f t="shared" si="45"/>
        <v>-3.1192644739903321E-2</v>
      </c>
      <c r="E1464" s="1">
        <v>-5.1937710139798908E-3</v>
      </c>
      <c r="G1464" s="75">
        <v>1462</v>
      </c>
      <c r="H1464" s="1">
        <f t="shared" ca="1" si="46"/>
        <v>-1.0989788179007056E-2</v>
      </c>
    </row>
    <row r="1465" spans="2:8" x14ac:dyDescent="0.3">
      <c r="B1465" s="72">
        <v>45462</v>
      </c>
      <c r="C1465" s="73">
        <v>2901.3249999999998</v>
      </c>
      <c r="D1465" s="74">
        <f t="shared" si="45"/>
        <v>1.5408985418399965</v>
      </c>
      <c r="E1465" s="1">
        <v>-5.2031544659695466E-3</v>
      </c>
      <c r="G1465" s="75">
        <v>1463</v>
      </c>
      <c r="H1465" s="1">
        <f t="shared" ca="1" si="46"/>
        <v>1.4535961760505519E-3</v>
      </c>
    </row>
    <row r="1466" spans="2:8" x14ac:dyDescent="0.3">
      <c r="B1466" s="72">
        <v>43194</v>
      </c>
      <c r="C1466" s="73">
        <v>1141.8499999999999</v>
      </c>
      <c r="D1466" s="74">
        <f t="shared" si="45"/>
        <v>-0.62228856379679631</v>
      </c>
      <c r="E1466" s="1">
        <v>-5.2054973536907944E-3</v>
      </c>
      <c r="G1466" s="75">
        <v>1464</v>
      </c>
      <c r="H1466" s="1">
        <f t="shared" ca="1" si="46"/>
        <v>-4.6008202285011178E-4</v>
      </c>
    </row>
    <row r="1467" spans="2:8" x14ac:dyDescent="0.3">
      <c r="B1467" s="72">
        <v>44386</v>
      </c>
      <c r="C1467" s="73">
        <v>3023.0749999999998</v>
      </c>
      <c r="D1467" s="74">
        <f t="shared" si="45"/>
        <v>3.4271014853538523E-3</v>
      </c>
      <c r="E1467" s="1">
        <v>-5.2074763894831263E-3</v>
      </c>
      <c r="G1467" s="75">
        <v>1465</v>
      </c>
      <c r="H1467" s="1">
        <f t="shared" ca="1" si="46"/>
        <v>-1.0020573181460503E-2</v>
      </c>
    </row>
    <row r="1468" spans="2:8" x14ac:dyDescent="0.3">
      <c r="B1468" s="72">
        <v>44383</v>
      </c>
      <c r="C1468" s="73">
        <v>3012.75</v>
      </c>
      <c r="D1468" s="74">
        <f t="shared" si="45"/>
        <v>0.68923465096719938</v>
      </c>
      <c r="E1468" s="1">
        <v>-5.2170180449390572E-3</v>
      </c>
      <c r="G1468" s="75">
        <v>1466</v>
      </c>
      <c r="H1468" s="1">
        <f t="shared" ca="1" si="46"/>
        <v>-3.094087989902182E-2</v>
      </c>
    </row>
    <row r="1469" spans="2:8" x14ac:dyDescent="0.3">
      <c r="B1469" s="72">
        <v>43858</v>
      </c>
      <c r="C1469" s="73">
        <v>1783.5</v>
      </c>
      <c r="D1469" s="74">
        <f t="shared" si="45"/>
        <v>-0.23533699193963303</v>
      </c>
      <c r="E1469" s="1">
        <v>-5.2290315833507638E-3</v>
      </c>
      <c r="G1469" s="75">
        <v>1467</v>
      </c>
      <c r="H1469" s="1">
        <f t="shared" ca="1" si="46"/>
        <v>1.9721424406811024E-2</v>
      </c>
    </row>
    <row r="1470" spans="2:8" x14ac:dyDescent="0.3">
      <c r="B1470" s="72">
        <v>45939</v>
      </c>
      <c r="C1470" s="73">
        <v>2332.4</v>
      </c>
      <c r="D1470" s="74">
        <f t="shared" si="45"/>
        <v>0.36837782340862429</v>
      </c>
      <c r="E1470" s="1">
        <v>-5.2458736725379488E-3</v>
      </c>
      <c r="G1470" s="75">
        <v>1468</v>
      </c>
      <c r="H1470" s="1">
        <f t="shared" ca="1" si="46"/>
        <v>-1.9893708235502578E-3</v>
      </c>
    </row>
    <row r="1471" spans="2:8" x14ac:dyDescent="0.3">
      <c r="B1471" s="72">
        <v>44036</v>
      </c>
      <c r="C1471" s="73">
        <v>1704.5</v>
      </c>
      <c r="D1471" s="74">
        <f t="shared" si="45"/>
        <v>-0.47023675397633236</v>
      </c>
      <c r="E1471" s="1">
        <v>-5.2524073533702946E-3</v>
      </c>
      <c r="G1471" s="75">
        <v>1469</v>
      </c>
      <c r="H1471" s="1">
        <f t="shared" ca="1" si="46"/>
        <v>-7.1924030745222226E-3</v>
      </c>
    </row>
    <row r="1472" spans="2:8" x14ac:dyDescent="0.3">
      <c r="B1472" s="72">
        <v>45082</v>
      </c>
      <c r="C1472" s="73">
        <v>3217.4749999999999</v>
      </c>
      <c r="D1472" s="74">
        <f t="shared" si="45"/>
        <v>8.383581486222462E-2</v>
      </c>
      <c r="E1472" s="1">
        <v>-5.2558761468244463E-3</v>
      </c>
      <c r="G1472" s="75">
        <v>1470</v>
      </c>
      <c r="H1472" s="1">
        <f t="shared" ca="1" si="46"/>
        <v>8.3631797884907225E-3</v>
      </c>
    </row>
    <row r="1473" spans="2:8" x14ac:dyDescent="0.3">
      <c r="B1473" s="72">
        <v>44936</v>
      </c>
      <c r="C1473" s="73">
        <v>2968.6</v>
      </c>
      <c r="D1473" s="74">
        <f t="shared" si="45"/>
        <v>6.993926943107881E-2</v>
      </c>
      <c r="E1473" s="1">
        <v>-5.2691982274048269E-3</v>
      </c>
      <c r="G1473" s="75">
        <v>1471</v>
      </c>
      <c r="H1473" s="1">
        <f t="shared" ca="1" si="46"/>
        <v>-4.6979363163833074E-3</v>
      </c>
    </row>
    <row r="1474" spans="2:8" x14ac:dyDescent="0.3">
      <c r="B1474" s="72">
        <v>46009</v>
      </c>
      <c r="C1474" s="73">
        <v>2774.55</v>
      </c>
      <c r="D1474" s="74">
        <f t="shared" si="45"/>
        <v>-8.7086346025713704E-2</v>
      </c>
      <c r="E1474" s="1">
        <v>-5.2702339338531207E-3</v>
      </c>
      <c r="G1474" s="75">
        <v>1472</v>
      </c>
      <c r="H1474" s="1">
        <f t="shared" ca="1" si="46"/>
        <v>-7.9889989226930753E-3</v>
      </c>
    </row>
    <row r="1475" spans="2:8" x14ac:dyDescent="0.3">
      <c r="B1475" s="72">
        <v>44435</v>
      </c>
      <c r="C1475" s="73">
        <v>3039.2249999999999</v>
      </c>
      <c r="D1475" s="74">
        <f t="shared" ref="D1475:D1538" si="47">(C1475-C1476)/C1476</f>
        <v>0.76399146799773643</v>
      </c>
      <c r="E1475" s="1">
        <v>-5.2776277676861898E-3</v>
      </c>
      <c r="G1475" s="75">
        <v>1473</v>
      </c>
      <c r="H1475" s="1">
        <f t="shared" ca="1" si="46"/>
        <v>2.9487774882825366E-2</v>
      </c>
    </row>
    <row r="1476" spans="2:8" x14ac:dyDescent="0.3">
      <c r="B1476" s="72">
        <v>43790</v>
      </c>
      <c r="C1476" s="73">
        <v>1722.925</v>
      </c>
      <c r="D1476" s="74">
        <f t="shared" si="47"/>
        <v>-0.41197098976109214</v>
      </c>
      <c r="E1476" s="1">
        <v>-5.3257512340156082E-3</v>
      </c>
      <c r="G1476" s="75">
        <v>1474</v>
      </c>
      <c r="H1476" s="1">
        <f t="shared" ref="H1476:H1539" ca="1" si="48">_xlfn.NORM.INV(RAND(),$N$4,$N$5)</f>
        <v>-5.9591538749671578E-3</v>
      </c>
    </row>
    <row r="1477" spans="2:8" x14ac:dyDescent="0.3">
      <c r="B1477" s="72">
        <v>45478</v>
      </c>
      <c r="C1477" s="73">
        <v>2930</v>
      </c>
      <c r="D1477" s="74">
        <f t="shared" si="47"/>
        <v>4.3679593926710898E-2</v>
      </c>
      <c r="E1477" s="1">
        <v>-5.3382444050275937E-3</v>
      </c>
      <c r="G1477" s="75">
        <v>1475</v>
      </c>
      <c r="H1477" s="1">
        <f t="shared" ca="1" si="48"/>
        <v>-8.1498630070095876E-3</v>
      </c>
    </row>
    <row r="1478" spans="2:8" x14ac:dyDescent="0.3">
      <c r="B1478" s="72">
        <v>45351</v>
      </c>
      <c r="C1478" s="73">
        <v>2807.375</v>
      </c>
      <c r="D1478" s="74">
        <f t="shared" si="47"/>
        <v>1.1739845897703955</v>
      </c>
      <c r="E1478" s="1">
        <v>-5.3411043596874415E-3</v>
      </c>
      <c r="G1478" s="75">
        <v>1476</v>
      </c>
      <c r="H1478" s="1">
        <f t="shared" ca="1" si="48"/>
        <v>-1.0167945870807596E-3</v>
      </c>
    </row>
    <row r="1479" spans="2:8" x14ac:dyDescent="0.3">
      <c r="B1479" s="72">
        <v>43285</v>
      </c>
      <c r="C1479" s="73">
        <v>1291.3499999999999</v>
      </c>
      <c r="D1479" s="74">
        <f t="shared" si="47"/>
        <v>-0.62122445387949055</v>
      </c>
      <c r="E1479" s="1">
        <v>-5.3914583894943587E-3</v>
      </c>
      <c r="G1479" s="75">
        <v>1477</v>
      </c>
      <c r="H1479" s="1">
        <f t="shared" ca="1" si="48"/>
        <v>9.2356310002620246E-4</v>
      </c>
    </row>
    <row r="1480" spans="2:8" x14ac:dyDescent="0.3">
      <c r="B1480" s="72">
        <v>44810</v>
      </c>
      <c r="C1480" s="73">
        <v>3409.2750000000001</v>
      </c>
      <c r="D1480" s="74">
        <f t="shared" si="47"/>
        <v>1.1924598070739549</v>
      </c>
      <c r="E1480" s="1">
        <v>-5.3970870316750663E-3</v>
      </c>
      <c r="G1480" s="75">
        <v>1478</v>
      </c>
      <c r="H1480" s="1">
        <f t="shared" ca="1" si="48"/>
        <v>9.8402547739315852E-3</v>
      </c>
    </row>
    <row r="1481" spans="2:8" x14ac:dyDescent="0.3">
      <c r="B1481" s="72">
        <v>43685</v>
      </c>
      <c r="C1481" s="73">
        <v>1555</v>
      </c>
      <c r="D1481" s="74">
        <f t="shared" si="47"/>
        <v>-0.53778015575768379</v>
      </c>
      <c r="E1481" s="1">
        <v>-5.4047139339282006E-3</v>
      </c>
      <c r="G1481" s="75">
        <v>1479</v>
      </c>
      <c r="H1481" s="1">
        <f t="shared" ca="1" si="48"/>
        <v>-1.8882903812314542E-2</v>
      </c>
    </row>
    <row r="1482" spans="2:8" x14ac:dyDescent="0.3">
      <c r="B1482" s="72">
        <v>45296</v>
      </c>
      <c r="C1482" s="73">
        <v>3364.2</v>
      </c>
      <c r="D1482" s="74">
        <f t="shared" si="47"/>
        <v>1.5232130803270081</v>
      </c>
      <c r="E1482" s="1">
        <v>-5.4175504985181991E-3</v>
      </c>
      <c r="G1482" s="75">
        <v>1480</v>
      </c>
      <c r="H1482" s="1">
        <f t="shared" ca="1" si="48"/>
        <v>1.5279879949616762E-2</v>
      </c>
    </row>
    <row r="1483" spans="2:8" x14ac:dyDescent="0.3">
      <c r="B1483" s="72">
        <v>43439</v>
      </c>
      <c r="C1483" s="73">
        <v>1333.3</v>
      </c>
      <c r="D1483" s="74">
        <f t="shared" si="47"/>
        <v>-2.0280696597839765E-2</v>
      </c>
      <c r="E1483" s="1">
        <v>-5.4267758238070165E-3</v>
      </c>
      <c r="G1483" s="75">
        <v>1481</v>
      </c>
      <c r="H1483" s="1">
        <f t="shared" ca="1" si="48"/>
        <v>2.1289713082984661E-3</v>
      </c>
    </row>
    <row r="1484" spans="2:8" x14ac:dyDescent="0.3">
      <c r="B1484" s="72">
        <v>43607</v>
      </c>
      <c r="C1484" s="73">
        <v>1360.9</v>
      </c>
      <c r="D1484" s="74">
        <f t="shared" si="47"/>
        <v>-0.52939752578389077</v>
      </c>
      <c r="E1484" s="1">
        <v>-5.4445134651220951E-3</v>
      </c>
      <c r="G1484" s="75">
        <v>1482</v>
      </c>
      <c r="H1484" s="1">
        <f t="shared" ca="1" si="48"/>
        <v>6.4758639191814932E-3</v>
      </c>
    </row>
    <row r="1485" spans="2:8" x14ac:dyDescent="0.3">
      <c r="B1485" s="72">
        <v>45455</v>
      </c>
      <c r="C1485" s="73">
        <v>2891.8249999999998</v>
      </c>
      <c r="D1485" s="74">
        <f t="shared" si="47"/>
        <v>0.2786209336000971</v>
      </c>
      <c r="E1485" s="1">
        <v>-5.4510906480264689E-3</v>
      </c>
      <c r="G1485" s="75">
        <v>1483</v>
      </c>
      <c r="H1485" s="1">
        <f t="shared" ca="1" si="48"/>
        <v>3.453639755772437E-2</v>
      </c>
    </row>
    <row r="1486" spans="2:8" x14ac:dyDescent="0.3">
      <c r="B1486" s="72">
        <v>45671</v>
      </c>
      <c r="C1486" s="73">
        <v>2261.6750000000002</v>
      </c>
      <c r="D1486" s="74">
        <f t="shared" si="47"/>
        <v>-0.25253034346572362</v>
      </c>
      <c r="E1486" s="1">
        <v>-5.4855660356616359E-3</v>
      </c>
      <c r="G1486" s="75">
        <v>1484</v>
      </c>
      <c r="H1486" s="1">
        <f t="shared" ca="1" si="48"/>
        <v>-1.2016485536727494E-2</v>
      </c>
    </row>
    <row r="1487" spans="2:8" x14ac:dyDescent="0.3">
      <c r="B1487" s="72">
        <v>44930</v>
      </c>
      <c r="C1487" s="73">
        <v>3025.7750000000001</v>
      </c>
      <c r="D1487" s="74">
        <f t="shared" si="47"/>
        <v>8.5363010258985544E-2</v>
      </c>
      <c r="E1487" s="1">
        <v>-5.4889522510455533E-3</v>
      </c>
      <c r="G1487" s="75">
        <v>1485</v>
      </c>
      <c r="H1487" s="1">
        <f t="shared" ca="1" si="48"/>
        <v>1.3003342348791493E-2</v>
      </c>
    </row>
    <row r="1488" spans="2:8" x14ac:dyDescent="0.3">
      <c r="B1488" s="72">
        <v>45013</v>
      </c>
      <c r="C1488" s="73">
        <v>2787.8</v>
      </c>
      <c r="D1488" s="74">
        <f t="shared" si="47"/>
        <v>0.22041763341067283</v>
      </c>
      <c r="E1488" s="1">
        <v>-5.5114599126013797E-3</v>
      </c>
      <c r="G1488" s="75">
        <v>1486</v>
      </c>
      <c r="H1488" s="1">
        <f t="shared" ca="1" si="48"/>
        <v>5.5019236546081738E-3</v>
      </c>
    </row>
    <row r="1489" spans="2:8" x14ac:dyDescent="0.3">
      <c r="B1489" s="72">
        <v>45649</v>
      </c>
      <c r="C1489" s="73">
        <v>2284.3000000000002</v>
      </c>
      <c r="D1489" s="74">
        <f t="shared" si="47"/>
        <v>0.9237830554151929</v>
      </c>
      <c r="E1489" s="1">
        <v>-5.5289508053982667E-3</v>
      </c>
      <c r="G1489" s="75">
        <v>1487</v>
      </c>
      <c r="H1489" s="1">
        <f t="shared" ca="1" si="48"/>
        <v>-3.3042574078128951E-3</v>
      </c>
    </row>
    <row r="1490" spans="2:8" x14ac:dyDescent="0.3">
      <c r="B1490" s="72">
        <v>43117</v>
      </c>
      <c r="C1490" s="73">
        <v>1187.4000000000001</v>
      </c>
      <c r="D1490" s="74">
        <f t="shared" si="47"/>
        <v>-0.45428223452903455</v>
      </c>
      <c r="E1490" s="1">
        <v>-5.5484600406189143E-3</v>
      </c>
      <c r="G1490" s="75">
        <v>1488</v>
      </c>
      <c r="H1490" s="1">
        <f t="shared" ca="1" si="48"/>
        <v>-1.7172876673194101E-2</v>
      </c>
    </row>
    <row r="1491" spans="2:8" x14ac:dyDescent="0.3">
      <c r="B1491" s="72">
        <v>44154</v>
      </c>
      <c r="C1491" s="73">
        <v>2175.85</v>
      </c>
      <c r="D1491" s="74">
        <f t="shared" si="47"/>
        <v>-8.2326395478796416E-2</v>
      </c>
      <c r="E1491" s="1">
        <v>-5.575740956559618E-3</v>
      </c>
      <c r="G1491" s="75">
        <v>1489</v>
      </c>
      <c r="H1491" s="1">
        <f t="shared" ca="1" si="48"/>
        <v>-8.443908762007054E-4</v>
      </c>
    </row>
    <row r="1492" spans="2:8" x14ac:dyDescent="0.3">
      <c r="B1492" s="72">
        <v>45860</v>
      </c>
      <c r="C1492" s="73">
        <v>2371.0500000000002</v>
      </c>
      <c r="D1492" s="74">
        <f t="shared" si="47"/>
        <v>5.9734513274336536E-2</v>
      </c>
      <c r="E1492" s="1">
        <v>-5.5988928032208981E-3</v>
      </c>
      <c r="G1492" s="75">
        <v>1490</v>
      </c>
      <c r="H1492" s="1">
        <f t="shared" ca="1" si="48"/>
        <v>7.6062046829057416E-3</v>
      </c>
    </row>
    <row r="1493" spans="2:8" x14ac:dyDescent="0.3">
      <c r="B1493" s="72">
        <v>45713</v>
      </c>
      <c r="C1493" s="73">
        <v>2237.3999999999996</v>
      </c>
      <c r="D1493" s="74">
        <f t="shared" si="47"/>
        <v>-4.2434358348847893E-2</v>
      </c>
      <c r="E1493" s="1">
        <v>-5.6000000000001613E-3</v>
      </c>
      <c r="G1493" s="75">
        <v>1491</v>
      </c>
      <c r="H1493" s="1">
        <f t="shared" ca="1" si="48"/>
        <v>-9.5719857657326698E-3</v>
      </c>
    </row>
    <row r="1494" spans="2:8" x14ac:dyDescent="0.3">
      <c r="B1494" s="72">
        <v>45790</v>
      </c>
      <c r="C1494" s="73">
        <v>2336.5500000000002</v>
      </c>
      <c r="D1494" s="74">
        <f t="shared" si="47"/>
        <v>0.66613780194313232</v>
      </c>
      <c r="E1494" s="1">
        <v>-5.6176188956271172E-3</v>
      </c>
      <c r="G1494" s="75">
        <v>1492</v>
      </c>
      <c r="H1494" s="1">
        <f t="shared" ca="1" si="48"/>
        <v>-2.9357844947507011E-2</v>
      </c>
    </row>
    <row r="1495" spans="2:8" x14ac:dyDescent="0.3">
      <c r="B1495" s="72">
        <v>43341</v>
      </c>
      <c r="C1495" s="73">
        <v>1402.375</v>
      </c>
      <c r="D1495" s="74">
        <f t="shared" si="47"/>
        <v>-0.45012449271668592</v>
      </c>
      <c r="E1495" s="1">
        <v>-5.6369985641607752E-3</v>
      </c>
      <c r="G1495" s="75">
        <v>1493</v>
      </c>
      <c r="H1495" s="1">
        <f t="shared" ca="1" si="48"/>
        <v>1.5750700537677437E-2</v>
      </c>
    </row>
    <row r="1496" spans="2:8" x14ac:dyDescent="0.3">
      <c r="B1496" s="72">
        <v>44319</v>
      </c>
      <c r="C1496" s="73">
        <v>2550.35</v>
      </c>
      <c r="D1496" s="74">
        <f t="shared" si="47"/>
        <v>-0.18399244896653233</v>
      </c>
      <c r="E1496" s="1">
        <v>-5.6824273614239293E-3</v>
      </c>
      <c r="G1496" s="75">
        <v>1494</v>
      </c>
      <c r="H1496" s="1">
        <f t="shared" ca="1" si="48"/>
        <v>-4.9975794787572086E-3</v>
      </c>
    </row>
    <row r="1497" spans="2:8" x14ac:dyDescent="0.3">
      <c r="B1497" s="72">
        <v>45254</v>
      </c>
      <c r="C1497" s="73">
        <v>3125.4</v>
      </c>
      <c r="D1497" s="74">
        <f t="shared" si="47"/>
        <v>7.280403665945831E-2</v>
      </c>
      <c r="E1497" s="1">
        <v>-5.6867439215467939E-3</v>
      </c>
      <c r="G1497" s="75">
        <v>1495</v>
      </c>
      <c r="H1497" s="1">
        <f t="shared" ca="1" si="48"/>
        <v>2.8675860936980247E-3</v>
      </c>
    </row>
    <row r="1498" spans="2:8" x14ac:dyDescent="0.3">
      <c r="B1498" s="72">
        <v>45481</v>
      </c>
      <c r="C1498" s="73">
        <v>2913.3</v>
      </c>
      <c r="D1498" s="74">
        <f t="shared" si="47"/>
        <v>1.4018325632390978E-2</v>
      </c>
      <c r="E1498" s="1">
        <v>-5.6996587030716103E-3</v>
      </c>
      <c r="G1498" s="75">
        <v>1496</v>
      </c>
      <c r="H1498" s="1">
        <f t="shared" ca="1" si="48"/>
        <v>1.1066302927691243E-2</v>
      </c>
    </row>
    <row r="1499" spans="2:8" x14ac:dyDescent="0.3">
      <c r="B1499" s="72">
        <v>45005</v>
      </c>
      <c r="C1499" s="73">
        <v>2873.0250000000001</v>
      </c>
      <c r="D1499" s="74">
        <f t="shared" si="47"/>
        <v>3.6631787840519604E-2</v>
      </c>
      <c r="E1499" s="1">
        <v>-5.7016784910883921E-3</v>
      </c>
      <c r="G1499" s="75">
        <v>1497</v>
      </c>
      <c r="H1499" s="1">
        <f t="shared" ca="1" si="48"/>
        <v>-1.4317372050193394E-3</v>
      </c>
    </row>
    <row r="1500" spans="2:8" x14ac:dyDescent="0.3">
      <c r="B1500" s="72">
        <v>46003</v>
      </c>
      <c r="C1500" s="73">
        <v>2771.5</v>
      </c>
      <c r="D1500" s="74">
        <f t="shared" si="47"/>
        <v>1.3384732212542452</v>
      </c>
      <c r="E1500" s="1">
        <v>-5.7042405108702152E-3</v>
      </c>
      <c r="G1500" s="75">
        <v>1498</v>
      </c>
      <c r="H1500" s="1">
        <f t="shared" ca="1" si="48"/>
        <v>-9.73023980918181E-3</v>
      </c>
    </row>
    <row r="1501" spans="2:8" x14ac:dyDescent="0.3">
      <c r="B1501" s="72">
        <v>43399</v>
      </c>
      <c r="C1501" s="73">
        <v>1185.175</v>
      </c>
      <c r="D1501" s="74">
        <f t="shared" si="47"/>
        <v>-0.50344083543693896</v>
      </c>
      <c r="E1501" s="1">
        <v>-5.7048176345980035E-3</v>
      </c>
      <c r="G1501" s="75">
        <v>1499</v>
      </c>
      <c r="H1501" s="1">
        <f t="shared" ca="1" si="48"/>
        <v>1.56847359626206E-2</v>
      </c>
    </row>
    <row r="1502" spans="2:8" x14ac:dyDescent="0.3">
      <c r="B1502" s="72">
        <v>44263</v>
      </c>
      <c r="C1502" s="73">
        <v>2386.7750000000001</v>
      </c>
      <c r="D1502" s="74">
        <f t="shared" si="47"/>
        <v>1.1608084557408958</v>
      </c>
      <c r="E1502" s="1">
        <v>-5.7175588419078978E-3</v>
      </c>
      <c r="G1502" s="75">
        <v>1500</v>
      </c>
      <c r="H1502" s="1">
        <f t="shared" ca="1" si="48"/>
        <v>-9.1834889625813324E-3</v>
      </c>
    </row>
    <row r="1503" spans="2:8" x14ac:dyDescent="0.3">
      <c r="B1503" s="72">
        <v>43179</v>
      </c>
      <c r="C1503" s="73">
        <v>1104.575</v>
      </c>
      <c r="D1503" s="74">
        <f t="shared" si="47"/>
        <v>-0.22211658655962244</v>
      </c>
      <c r="E1503" s="1">
        <v>-5.738332058148431E-3</v>
      </c>
      <c r="G1503" s="75">
        <v>1501</v>
      </c>
      <c r="H1503" s="1">
        <f t="shared" ca="1" si="48"/>
        <v>7.1159689413958244E-3</v>
      </c>
    </row>
    <row r="1504" spans="2:8" x14ac:dyDescent="0.3">
      <c r="B1504" s="72">
        <v>43566</v>
      </c>
      <c r="C1504" s="73">
        <v>1419.9749999999999</v>
      </c>
      <c r="D1504" s="74">
        <f t="shared" si="47"/>
        <v>-0.50332289826684617</v>
      </c>
      <c r="E1504" s="1">
        <v>-5.7415932921386003E-3</v>
      </c>
      <c r="G1504" s="75">
        <v>1502</v>
      </c>
      <c r="H1504" s="1">
        <f t="shared" ca="1" si="48"/>
        <v>-1.4475173626422259E-2</v>
      </c>
    </row>
    <row r="1505" spans="2:8" x14ac:dyDescent="0.3">
      <c r="B1505" s="72">
        <v>45469</v>
      </c>
      <c r="C1505" s="73">
        <v>2858.95</v>
      </c>
      <c r="D1505" s="74">
        <f t="shared" si="47"/>
        <v>0.26314975589281348</v>
      </c>
      <c r="E1505" s="1">
        <v>-5.7468766029960582E-3</v>
      </c>
      <c r="G1505" s="75">
        <v>1503</v>
      </c>
      <c r="H1505" s="1">
        <f t="shared" ca="1" si="48"/>
        <v>1.9304041446652258E-2</v>
      </c>
    </row>
    <row r="1506" spans="2:8" x14ac:dyDescent="0.3">
      <c r="B1506" s="72">
        <v>45831</v>
      </c>
      <c r="C1506" s="73">
        <v>2263.3500000000004</v>
      </c>
      <c r="D1506" s="74">
        <f t="shared" si="47"/>
        <v>0.7298939524218977</v>
      </c>
      <c r="E1506" s="1">
        <v>-5.7545740077750247E-3</v>
      </c>
      <c r="G1506" s="75">
        <v>1504</v>
      </c>
      <c r="H1506" s="1">
        <f t="shared" ca="1" si="48"/>
        <v>-8.5719645773227882E-3</v>
      </c>
    </row>
    <row r="1507" spans="2:8" x14ac:dyDescent="0.3">
      <c r="B1507" s="72">
        <v>43361</v>
      </c>
      <c r="C1507" s="73">
        <v>1308.375</v>
      </c>
      <c r="D1507" s="74">
        <f t="shared" si="47"/>
        <v>-6.0834454912516822E-2</v>
      </c>
      <c r="E1507" s="1">
        <v>-5.7751856988163984E-3</v>
      </c>
      <c r="G1507" s="75">
        <v>1505</v>
      </c>
      <c r="H1507" s="1">
        <f t="shared" ca="1" si="48"/>
        <v>-7.6873708570214059E-3</v>
      </c>
    </row>
    <row r="1508" spans="2:8" x14ac:dyDescent="0.3">
      <c r="B1508" s="72">
        <v>43301</v>
      </c>
      <c r="C1508" s="73">
        <v>1393.125</v>
      </c>
      <c r="D1508" s="74">
        <f t="shared" si="47"/>
        <v>-0.55421426514351535</v>
      </c>
      <c r="E1508" s="1">
        <v>-5.7806562115291331E-3</v>
      </c>
      <c r="G1508" s="75">
        <v>1506</v>
      </c>
      <c r="H1508" s="1">
        <f t="shared" ca="1" si="48"/>
        <v>-1.6378996895410967E-2</v>
      </c>
    </row>
    <row r="1509" spans="2:8" x14ac:dyDescent="0.3">
      <c r="B1509" s="72">
        <v>44676</v>
      </c>
      <c r="C1509" s="73">
        <v>3125.1</v>
      </c>
      <c r="D1509" s="74">
        <f t="shared" si="47"/>
        <v>1.2676873956897179</v>
      </c>
      <c r="E1509" s="1">
        <v>-5.7821857775728121E-3</v>
      </c>
      <c r="G1509" s="75">
        <v>1507</v>
      </c>
      <c r="H1509" s="1">
        <f t="shared" ca="1" si="48"/>
        <v>3.9172309318615157E-3</v>
      </c>
    </row>
    <row r="1510" spans="2:8" x14ac:dyDescent="0.3">
      <c r="B1510" s="72">
        <v>43343</v>
      </c>
      <c r="C1510" s="73">
        <v>1378.1</v>
      </c>
      <c r="D1510" s="74">
        <f t="shared" si="47"/>
        <v>-3.2250136058004725E-2</v>
      </c>
      <c r="E1510" s="1">
        <v>-5.7895211470827598E-3</v>
      </c>
      <c r="G1510" s="75">
        <v>1508</v>
      </c>
      <c r="H1510" s="1">
        <f t="shared" ca="1" si="48"/>
        <v>2.8727856543129465E-2</v>
      </c>
    </row>
    <row r="1511" spans="2:8" x14ac:dyDescent="0.3">
      <c r="B1511" s="72">
        <v>43321</v>
      </c>
      <c r="C1511" s="73">
        <v>1424.0250000000001</v>
      </c>
      <c r="D1511" s="74">
        <f t="shared" si="47"/>
        <v>-0.57281706301887636</v>
      </c>
      <c r="E1511" s="1">
        <v>-5.794774230708781E-3</v>
      </c>
      <c r="G1511" s="75">
        <v>1509</v>
      </c>
      <c r="H1511" s="1">
        <f t="shared" ca="1" si="48"/>
        <v>-1.6371300797138055E-2</v>
      </c>
    </row>
    <row r="1512" spans="2:8" x14ac:dyDescent="0.3">
      <c r="B1512" s="72">
        <v>44456</v>
      </c>
      <c r="C1512" s="73">
        <v>3333.5250000000001</v>
      </c>
      <c r="D1512" s="74">
        <f t="shared" si="47"/>
        <v>0.38031303699716357</v>
      </c>
      <c r="E1512" s="1">
        <v>-5.8082314345362087E-3</v>
      </c>
      <c r="G1512" s="75">
        <v>1510</v>
      </c>
      <c r="H1512" s="1">
        <f t="shared" ca="1" si="48"/>
        <v>2.8439512109937307E-3</v>
      </c>
    </row>
    <row r="1513" spans="2:8" x14ac:dyDescent="0.3">
      <c r="B1513" s="72">
        <v>46059</v>
      </c>
      <c r="C1513" s="73">
        <v>2415.0500000000002</v>
      </c>
      <c r="D1513" s="74">
        <f t="shared" si="47"/>
        <v>-0.12024843815456347</v>
      </c>
      <c r="E1513" s="1">
        <v>-5.8249629507655352E-3</v>
      </c>
      <c r="G1513" s="75">
        <v>1511</v>
      </c>
      <c r="H1513" s="1">
        <f t="shared" ca="1" si="48"/>
        <v>3.3107752761336991E-2</v>
      </c>
    </row>
    <row r="1514" spans="2:8" x14ac:dyDescent="0.3">
      <c r="B1514" s="72">
        <v>45019</v>
      </c>
      <c r="C1514" s="73">
        <v>2745.15</v>
      </c>
      <c r="D1514" s="74">
        <f t="shared" si="47"/>
        <v>0.23442716940406746</v>
      </c>
      <c r="E1514" s="1">
        <v>-5.8306926210954851E-3</v>
      </c>
      <c r="G1514" s="75">
        <v>1512</v>
      </c>
      <c r="H1514" s="1">
        <f t="shared" ca="1" si="48"/>
        <v>4.9085211816572112E-2</v>
      </c>
    </row>
    <row r="1515" spans="2:8" x14ac:dyDescent="0.3">
      <c r="B1515" s="72">
        <v>45673</v>
      </c>
      <c r="C1515" s="73">
        <v>2223.8249999999998</v>
      </c>
      <c r="D1515" s="74">
        <f t="shared" si="47"/>
        <v>0.73760084386537206</v>
      </c>
      <c r="E1515" s="1">
        <v>-5.8340318524728388E-3</v>
      </c>
      <c r="G1515" s="75">
        <v>1513</v>
      </c>
      <c r="H1515" s="1">
        <f t="shared" ca="1" si="48"/>
        <v>1.9429075917523259E-2</v>
      </c>
    </row>
    <row r="1516" spans="2:8" x14ac:dyDescent="0.3">
      <c r="B1516" s="72">
        <v>43265</v>
      </c>
      <c r="C1516" s="73">
        <v>1279.825</v>
      </c>
      <c r="D1516" s="74">
        <f t="shared" si="47"/>
        <v>-0.6277766063417507</v>
      </c>
      <c r="E1516" s="1">
        <v>-5.8453412048004539E-3</v>
      </c>
      <c r="G1516" s="75">
        <v>1514</v>
      </c>
      <c r="H1516" s="1">
        <f t="shared" ca="1" si="48"/>
        <v>-1.2593613844969905E-2</v>
      </c>
    </row>
    <row r="1517" spans="2:8" x14ac:dyDescent="0.3">
      <c r="B1517" s="72">
        <v>44816</v>
      </c>
      <c r="C1517" s="73">
        <v>3438.3249999999998</v>
      </c>
      <c r="D1517" s="74">
        <f t="shared" si="47"/>
        <v>7.6478139039776974E-2</v>
      </c>
      <c r="E1517" s="1">
        <v>-5.8550125412922954E-3</v>
      </c>
      <c r="G1517" s="75">
        <v>1515</v>
      </c>
      <c r="H1517" s="1">
        <f t="shared" ca="1" si="48"/>
        <v>4.0647777399815694E-3</v>
      </c>
    </row>
    <row r="1518" spans="2:8" x14ac:dyDescent="0.3">
      <c r="B1518" s="72">
        <v>44851</v>
      </c>
      <c r="C1518" s="73">
        <v>3194.05</v>
      </c>
      <c r="D1518" s="74">
        <f t="shared" si="47"/>
        <v>0.36224250437156158</v>
      </c>
      <c r="E1518" s="1">
        <v>-5.897914721444077E-3</v>
      </c>
      <c r="G1518" s="75">
        <v>1516</v>
      </c>
      <c r="H1518" s="1">
        <f t="shared" ca="1" si="48"/>
        <v>-9.6862799140984574E-3</v>
      </c>
    </row>
    <row r="1519" spans="2:8" x14ac:dyDescent="0.3">
      <c r="B1519" s="72">
        <v>45938</v>
      </c>
      <c r="C1519" s="73">
        <v>2344.6999999999998</v>
      </c>
      <c r="D1519" s="74">
        <f t="shared" si="47"/>
        <v>0.36677353541241609</v>
      </c>
      <c r="E1519" s="1">
        <v>-5.9354729300038159E-3</v>
      </c>
      <c r="G1519" s="75">
        <v>1517</v>
      </c>
      <c r="H1519" s="1">
        <f t="shared" ca="1" si="48"/>
        <v>-4.8920135239277169E-3</v>
      </c>
    </row>
    <row r="1520" spans="2:8" x14ac:dyDescent="0.3">
      <c r="B1520" s="72">
        <v>43838</v>
      </c>
      <c r="C1520" s="73">
        <v>1715.5</v>
      </c>
      <c r="D1520" s="74">
        <f t="shared" si="47"/>
        <v>-0.38491601082805976</v>
      </c>
      <c r="E1520" s="1">
        <v>-5.9394466174127192E-3</v>
      </c>
      <c r="G1520" s="75">
        <v>1518</v>
      </c>
      <c r="H1520" s="1">
        <f t="shared" ca="1" si="48"/>
        <v>7.2328104577200677E-3</v>
      </c>
    </row>
    <row r="1521" spans="2:8" x14ac:dyDescent="0.3">
      <c r="B1521" s="72">
        <v>44951</v>
      </c>
      <c r="C1521" s="73">
        <v>2789.05</v>
      </c>
      <c r="D1521" s="74">
        <f t="shared" si="47"/>
        <v>0.55595536959553704</v>
      </c>
      <c r="E1521" s="1">
        <v>-5.9609198884441753E-3</v>
      </c>
      <c r="G1521" s="75">
        <v>1519</v>
      </c>
      <c r="H1521" s="1">
        <f t="shared" ca="1" si="48"/>
        <v>-4.2430303168523214E-3</v>
      </c>
    </row>
    <row r="1522" spans="2:8" x14ac:dyDescent="0.3">
      <c r="B1522" s="72">
        <v>43893</v>
      </c>
      <c r="C1522" s="73">
        <v>1792.5</v>
      </c>
      <c r="D1522" s="74">
        <f t="shared" si="47"/>
        <v>-0.41898155651356517</v>
      </c>
      <c r="E1522" s="1">
        <v>-6.016580253417201E-3</v>
      </c>
      <c r="G1522" s="75">
        <v>1520</v>
      </c>
      <c r="H1522" s="1">
        <f t="shared" ca="1" si="48"/>
        <v>2.1820689239415395E-2</v>
      </c>
    </row>
    <row r="1523" spans="2:8" x14ac:dyDescent="0.3">
      <c r="B1523" s="72">
        <v>44403</v>
      </c>
      <c r="C1523" s="73">
        <v>3085.1</v>
      </c>
      <c r="D1523" s="74">
        <f t="shared" si="47"/>
        <v>-2.0642038014364539E-2</v>
      </c>
      <c r="E1523" s="1">
        <v>-6.032878786658368E-3</v>
      </c>
      <c r="G1523" s="75">
        <v>1521</v>
      </c>
      <c r="H1523" s="1">
        <f t="shared" ca="1" si="48"/>
        <v>-1.067546213704706E-2</v>
      </c>
    </row>
    <row r="1524" spans="2:8" x14ac:dyDescent="0.3">
      <c r="B1524" s="72">
        <v>45212</v>
      </c>
      <c r="C1524" s="73">
        <v>3150.125</v>
      </c>
      <c r="D1524" s="74">
        <f t="shared" si="47"/>
        <v>6.4240407435873489E-2</v>
      </c>
      <c r="E1524" s="1">
        <v>-6.0423913986637611E-3</v>
      </c>
      <c r="G1524" s="75">
        <v>1522</v>
      </c>
      <c r="H1524" s="1">
        <f t="shared" ca="1" si="48"/>
        <v>-4.9816295584732872E-3</v>
      </c>
    </row>
    <row r="1525" spans="2:8" x14ac:dyDescent="0.3">
      <c r="B1525" s="72">
        <v>45322</v>
      </c>
      <c r="C1525" s="73">
        <v>2959.9750000000004</v>
      </c>
      <c r="D1525" s="74">
        <f t="shared" si="47"/>
        <v>0.30857989146652837</v>
      </c>
      <c r="E1525" s="1">
        <v>-6.0610639601748565E-3</v>
      </c>
      <c r="G1525" s="75">
        <v>1523</v>
      </c>
      <c r="H1525" s="1">
        <f t="shared" ca="1" si="48"/>
        <v>5.7215327989885664E-4</v>
      </c>
    </row>
    <row r="1526" spans="2:8" x14ac:dyDescent="0.3">
      <c r="B1526" s="72">
        <v>45684</v>
      </c>
      <c r="C1526" s="73">
        <v>2261.9749999999999</v>
      </c>
      <c r="D1526" s="74">
        <f t="shared" si="47"/>
        <v>-0.22933630881400976</v>
      </c>
      <c r="E1526" s="1">
        <v>-6.0747868881273715E-3</v>
      </c>
      <c r="G1526" s="75">
        <v>1524</v>
      </c>
      <c r="H1526" s="1">
        <f t="shared" ca="1" si="48"/>
        <v>-1.2256955122006728E-2</v>
      </c>
    </row>
    <row r="1527" spans="2:8" x14ac:dyDescent="0.3">
      <c r="B1527" s="72">
        <v>45418</v>
      </c>
      <c r="C1527" s="73">
        <v>2935.1</v>
      </c>
      <c r="D1527" s="74">
        <f t="shared" si="47"/>
        <v>7.2770467836257277E-2</v>
      </c>
      <c r="E1527" s="1">
        <v>-6.1037037037037344E-3</v>
      </c>
      <c r="G1527" s="75">
        <v>1525</v>
      </c>
      <c r="H1527" s="1">
        <f t="shared" ca="1" si="48"/>
        <v>-8.8215497740830959E-3</v>
      </c>
    </row>
    <row r="1528" spans="2:8" x14ac:dyDescent="0.3">
      <c r="B1528" s="72">
        <v>44981</v>
      </c>
      <c r="C1528" s="73">
        <v>2736</v>
      </c>
      <c r="D1528" s="74">
        <f t="shared" si="47"/>
        <v>7.0883400524482526E-2</v>
      </c>
      <c r="E1528" s="1">
        <v>-6.1119032266852488E-3</v>
      </c>
      <c r="G1528" s="75">
        <v>1526</v>
      </c>
      <c r="H1528" s="1">
        <f t="shared" ca="1" si="48"/>
        <v>2.7784515649040296E-2</v>
      </c>
    </row>
    <row r="1529" spans="2:8" x14ac:dyDescent="0.3">
      <c r="B1529" s="72">
        <v>44187</v>
      </c>
      <c r="C1529" s="73">
        <v>2554.8999999999996</v>
      </c>
      <c r="D1529" s="74">
        <f t="shared" si="47"/>
        <v>0.36592798524419234</v>
      </c>
      <c r="E1529" s="1">
        <v>-6.1461858637725849E-3</v>
      </c>
      <c r="G1529" s="75">
        <v>1527</v>
      </c>
      <c r="H1529" s="1">
        <f t="shared" ca="1" si="48"/>
        <v>1.072268905067039E-3</v>
      </c>
    </row>
    <row r="1530" spans="2:8" x14ac:dyDescent="0.3">
      <c r="B1530" s="72">
        <v>43879</v>
      </c>
      <c r="C1530" s="73">
        <v>1870.45</v>
      </c>
      <c r="D1530" s="74">
        <f t="shared" si="47"/>
        <v>-0.17672949746366043</v>
      </c>
      <c r="E1530" s="1">
        <v>-6.1634919369835603E-3</v>
      </c>
      <c r="G1530" s="75">
        <v>1528</v>
      </c>
      <c r="H1530" s="1">
        <f t="shared" ca="1" si="48"/>
        <v>3.3073151136256236E-3</v>
      </c>
    </row>
    <row r="1531" spans="2:8" x14ac:dyDescent="0.3">
      <c r="B1531" s="72">
        <v>45652</v>
      </c>
      <c r="C1531" s="73">
        <v>2271.9749999999999</v>
      </c>
      <c r="D1531" s="74">
        <f t="shared" si="47"/>
        <v>0.59837838788539666</v>
      </c>
      <c r="E1531" s="1">
        <v>-6.1677766477477381E-3</v>
      </c>
      <c r="G1531" s="75">
        <v>1529</v>
      </c>
      <c r="H1531" s="1">
        <f t="shared" ca="1" si="48"/>
        <v>5.9031237668309559E-4</v>
      </c>
    </row>
    <row r="1532" spans="2:8" x14ac:dyDescent="0.3">
      <c r="B1532" s="72">
        <v>43627</v>
      </c>
      <c r="C1532" s="73">
        <v>1421.425</v>
      </c>
      <c r="D1532" s="74">
        <f t="shared" si="47"/>
        <v>-0.18280728987007019</v>
      </c>
      <c r="E1532" s="1">
        <v>-6.1702499563013775E-3</v>
      </c>
      <c r="G1532" s="75">
        <v>1530</v>
      </c>
      <c r="H1532" s="1">
        <f t="shared" ca="1" si="48"/>
        <v>-1.2739393195140237E-2</v>
      </c>
    </row>
    <row r="1533" spans="2:8" x14ac:dyDescent="0.3">
      <c r="B1533" s="72">
        <v>43742</v>
      </c>
      <c r="C1533" s="73">
        <v>1739.4</v>
      </c>
      <c r="D1533" s="74">
        <f t="shared" si="47"/>
        <v>-0.38464804054233331</v>
      </c>
      <c r="E1533" s="1">
        <v>-6.1849190818322325E-3</v>
      </c>
      <c r="G1533" s="75">
        <v>1531</v>
      </c>
      <c r="H1533" s="1">
        <f t="shared" ca="1" si="48"/>
        <v>1.3523421405595534E-2</v>
      </c>
    </row>
    <row r="1534" spans="2:8" x14ac:dyDescent="0.3">
      <c r="B1534" s="72">
        <v>45035</v>
      </c>
      <c r="C1534" s="73">
        <v>2826.6750000000002</v>
      </c>
      <c r="D1534" s="74">
        <f t="shared" si="47"/>
        <v>0.18618338229122963</v>
      </c>
      <c r="E1534" s="1">
        <v>-6.1878686132668106E-3</v>
      </c>
      <c r="G1534" s="75">
        <v>1532</v>
      </c>
      <c r="H1534" s="1">
        <f t="shared" ca="1" si="48"/>
        <v>1.5962014298346261E-2</v>
      </c>
    </row>
    <row r="1535" spans="2:8" x14ac:dyDescent="0.3">
      <c r="B1535" s="72">
        <v>45639</v>
      </c>
      <c r="C1535" s="73">
        <v>2383</v>
      </c>
      <c r="D1535" s="74">
        <f t="shared" si="47"/>
        <v>0.14731406699486038</v>
      </c>
      <c r="E1535" s="1">
        <v>-6.1930479387784509E-3</v>
      </c>
      <c r="G1535" s="75">
        <v>1533</v>
      </c>
      <c r="H1535" s="1">
        <f t="shared" ca="1" si="48"/>
        <v>-4.8415801398234426E-3</v>
      </c>
    </row>
    <row r="1536" spans="2:8" x14ac:dyDescent="0.3">
      <c r="B1536" s="72">
        <v>44113</v>
      </c>
      <c r="C1536" s="73">
        <v>2077.0250000000001</v>
      </c>
      <c r="D1536" s="74">
        <f t="shared" si="47"/>
        <v>-0.32223038015989552</v>
      </c>
      <c r="E1536" s="1">
        <v>-6.2081339712918224E-3</v>
      </c>
      <c r="G1536" s="75">
        <v>1534</v>
      </c>
      <c r="H1536" s="1">
        <f t="shared" ca="1" si="48"/>
        <v>-1.432681969357175E-2</v>
      </c>
    </row>
    <row r="1537" spans="2:8" x14ac:dyDescent="0.3">
      <c r="B1537" s="72">
        <v>44914</v>
      </c>
      <c r="C1537" s="73">
        <v>3064.5</v>
      </c>
      <c r="D1537" s="74">
        <f t="shared" si="47"/>
        <v>0.67738580694600281</v>
      </c>
      <c r="E1537" s="1">
        <v>-6.2101730092585378E-3</v>
      </c>
      <c r="G1537" s="75">
        <v>1535</v>
      </c>
      <c r="H1537" s="1">
        <f t="shared" ca="1" si="48"/>
        <v>1.5734873630289484E-2</v>
      </c>
    </row>
    <row r="1538" spans="2:8" x14ac:dyDescent="0.3">
      <c r="B1538" s="72">
        <v>43847</v>
      </c>
      <c r="C1538" s="73">
        <v>1826.95</v>
      </c>
      <c r="D1538" s="74">
        <f t="shared" si="47"/>
        <v>-0.4412099801955971</v>
      </c>
      <c r="E1538" s="1">
        <v>-6.2147276806962422E-3</v>
      </c>
      <c r="G1538" s="75">
        <v>1536</v>
      </c>
      <c r="H1538" s="1">
        <f t="shared" ca="1" si="48"/>
        <v>7.0378382002430247E-3</v>
      </c>
    </row>
    <row r="1539" spans="2:8" x14ac:dyDescent="0.3">
      <c r="B1539" s="72">
        <v>45303</v>
      </c>
      <c r="C1539" s="73">
        <v>3269.4749999999999</v>
      </c>
      <c r="D1539" s="74">
        <f t="shared" ref="D1539:D1602" si="49">(C1539-C1540)/C1540</f>
        <v>1.3224001988918876</v>
      </c>
      <c r="E1539" s="1">
        <v>-6.2234988373683214E-3</v>
      </c>
      <c r="G1539" s="75">
        <v>1537</v>
      </c>
      <c r="H1539" s="1">
        <f t="shared" ca="1" si="48"/>
        <v>-2.1564472883144087E-2</v>
      </c>
    </row>
    <row r="1540" spans="2:8" x14ac:dyDescent="0.3">
      <c r="B1540" s="72">
        <v>43318</v>
      </c>
      <c r="C1540" s="73">
        <v>1407.8000000000002</v>
      </c>
      <c r="D1540" s="74">
        <f t="shared" si="49"/>
        <v>3.3247706422018485E-2</v>
      </c>
      <c r="E1540" s="1">
        <v>-6.2295949880877563E-3</v>
      </c>
      <c r="G1540" s="75">
        <v>1538</v>
      </c>
      <c r="H1540" s="1">
        <f t="shared" ref="H1540:H1603" ca="1" si="50">_xlfn.NORM.INV(RAND(),$N$4,$N$5)</f>
        <v>1.9859889899547973E-2</v>
      </c>
    </row>
    <row r="1541" spans="2:8" x14ac:dyDescent="0.3">
      <c r="B1541" s="72">
        <v>43293</v>
      </c>
      <c r="C1541" s="73">
        <v>1362.5</v>
      </c>
      <c r="D1541" s="74">
        <f t="shared" si="49"/>
        <v>-0.57955965624180328</v>
      </c>
      <c r="E1541" s="1">
        <v>-6.2360964224499145E-3</v>
      </c>
      <c r="G1541" s="75">
        <v>1539</v>
      </c>
      <c r="H1541" s="1">
        <f t="shared" ca="1" si="50"/>
        <v>5.9847263696680766E-3</v>
      </c>
    </row>
    <row r="1542" spans="2:8" x14ac:dyDescent="0.3">
      <c r="B1542" s="72">
        <v>45170</v>
      </c>
      <c r="C1542" s="73">
        <v>3240.6499999999996</v>
      </c>
      <c r="D1542" s="74">
        <f t="shared" si="49"/>
        <v>0.4313825088339221</v>
      </c>
      <c r="E1542" s="1">
        <v>-6.2404170499847792E-3</v>
      </c>
      <c r="G1542" s="75">
        <v>1540</v>
      </c>
      <c r="H1542" s="1">
        <f t="shared" ca="1" si="50"/>
        <v>4.6266007886281498E-4</v>
      </c>
    </row>
    <row r="1543" spans="2:8" x14ac:dyDescent="0.3">
      <c r="B1543" s="72">
        <v>46092</v>
      </c>
      <c r="C1543" s="73">
        <v>2264</v>
      </c>
      <c r="D1543" s="74">
        <f t="shared" si="49"/>
        <v>0.65243412889570118</v>
      </c>
      <c r="E1543" s="1">
        <v>-6.2984177145741036E-3</v>
      </c>
      <c r="G1543" s="75">
        <v>1541</v>
      </c>
      <c r="H1543" s="1">
        <f t="shared" ca="1" si="50"/>
        <v>-9.7835890825871685E-3</v>
      </c>
    </row>
    <row r="1544" spans="2:8" x14ac:dyDescent="0.3">
      <c r="B1544" s="72">
        <v>43594</v>
      </c>
      <c r="C1544" s="73">
        <v>1370.1</v>
      </c>
      <c r="D1544" s="74">
        <f t="shared" si="49"/>
        <v>-0.37382600946047861</v>
      </c>
      <c r="E1544" s="1">
        <v>-6.309834638816395E-3</v>
      </c>
      <c r="G1544" s="75">
        <v>1542</v>
      </c>
      <c r="H1544" s="1">
        <f t="shared" ca="1" si="50"/>
        <v>-2.3180777651513055E-2</v>
      </c>
    </row>
    <row r="1545" spans="2:8" x14ac:dyDescent="0.3">
      <c r="B1545" s="72">
        <v>44153</v>
      </c>
      <c r="C1545" s="73">
        <v>2188.0500000000002</v>
      </c>
      <c r="D1545" s="74">
        <f t="shared" si="49"/>
        <v>-3.4016158227009922E-2</v>
      </c>
      <c r="E1545" s="1">
        <v>-6.3125865709937274E-3</v>
      </c>
      <c r="G1545" s="75">
        <v>1543</v>
      </c>
      <c r="H1545" s="1">
        <f t="shared" ca="1" si="50"/>
        <v>3.1141408027361463E-3</v>
      </c>
    </row>
    <row r="1546" spans="2:8" x14ac:dyDescent="0.3">
      <c r="B1546" s="72">
        <v>45810</v>
      </c>
      <c r="C1546" s="73">
        <v>2265.1000000000004</v>
      </c>
      <c r="D1546" s="74">
        <f t="shared" si="49"/>
        <v>0.71634241982231184</v>
      </c>
      <c r="E1546" s="1">
        <v>-6.3171748190391031E-3</v>
      </c>
      <c r="G1546" s="75">
        <v>1544</v>
      </c>
      <c r="H1546" s="1">
        <f t="shared" ca="1" si="50"/>
        <v>-8.3574141292021963E-3</v>
      </c>
    </row>
    <row r="1547" spans="2:8" x14ac:dyDescent="0.3">
      <c r="B1547" s="72">
        <v>43426</v>
      </c>
      <c r="C1547" s="73">
        <v>1319.7249999999999</v>
      </c>
      <c r="D1547" s="74">
        <f t="shared" si="49"/>
        <v>-0.54266332833739084</v>
      </c>
      <c r="E1547" s="1">
        <v>-6.32470588235301E-3</v>
      </c>
      <c r="G1547" s="75">
        <v>1545</v>
      </c>
      <c r="H1547" s="1">
        <f t="shared" ca="1" si="50"/>
        <v>1.9017409243225036E-2</v>
      </c>
    </row>
    <row r="1548" spans="2:8" x14ac:dyDescent="0.3">
      <c r="B1548" s="72">
        <v>45467</v>
      </c>
      <c r="C1548" s="73">
        <v>2885.6750000000002</v>
      </c>
      <c r="D1548" s="74">
        <f t="shared" si="49"/>
        <v>-0.13739425462589303</v>
      </c>
      <c r="E1548" s="1">
        <v>-6.327370396515211E-3</v>
      </c>
      <c r="G1548" s="75">
        <v>1546</v>
      </c>
      <c r="H1548" s="1">
        <f t="shared" ca="1" si="50"/>
        <v>7.909592027789538E-3</v>
      </c>
    </row>
    <row r="1549" spans="2:8" x14ac:dyDescent="0.3">
      <c r="B1549" s="72">
        <v>45548</v>
      </c>
      <c r="C1549" s="73">
        <v>3345.3</v>
      </c>
      <c r="D1549" s="74">
        <f t="shared" si="49"/>
        <v>0.62090268188095077</v>
      </c>
      <c r="E1549" s="1">
        <v>-6.3416155525522133E-3</v>
      </c>
      <c r="G1549" s="75">
        <v>1547</v>
      </c>
      <c r="H1549" s="1">
        <f t="shared" ca="1" si="50"/>
        <v>-1.7518663657617004E-3</v>
      </c>
    </row>
    <row r="1550" spans="2:8" x14ac:dyDescent="0.3">
      <c r="B1550" s="72">
        <v>44116</v>
      </c>
      <c r="C1550" s="73">
        <v>2063.85</v>
      </c>
      <c r="D1550" s="74">
        <f t="shared" si="49"/>
        <v>0.59771627636926639</v>
      </c>
      <c r="E1550" s="1">
        <v>-6.3432072314970602E-3</v>
      </c>
      <c r="G1550" s="75">
        <v>1548</v>
      </c>
      <c r="H1550" s="1">
        <f t="shared" ca="1" si="50"/>
        <v>6.1706013921366135E-3</v>
      </c>
    </row>
    <row r="1551" spans="2:8" x14ac:dyDescent="0.3">
      <c r="B1551" s="72">
        <v>43355</v>
      </c>
      <c r="C1551" s="73">
        <v>1291.75</v>
      </c>
      <c r="D1551" s="74">
        <f t="shared" si="49"/>
        <v>-0.23520966237918331</v>
      </c>
      <c r="E1551" s="1">
        <v>-6.346153846153846E-3</v>
      </c>
      <c r="G1551" s="75">
        <v>1549</v>
      </c>
      <c r="H1551" s="1">
        <f t="shared" ca="1" si="50"/>
        <v>-7.6693634922630587E-3</v>
      </c>
    </row>
    <row r="1552" spans="2:8" x14ac:dyDescent="0.3">
      <c r="B1552" s="72">
        <v>44013</v>
      </c>
      <c r="C1552" s="73">
        <v>1689.0250000000001</v>
      </c>
      <c r="D1552" s="74">
        <f t="shared" si="49"/>
        <v>0.43271269827805581</v>
      </c>
      <c r="E1552" s="1">
        <v>-6.3535952230376388E-3</v>
      </c>
      <c r="G1552" s="75">
        <v>1550</v>
      </c>
      <c r="H1552" s="1">
        <f t="shared" ca="1" si="50"/>
        <v>-4.6793767268651018E-3</v>
      </c>
    </row>
    <row r="1553" spans="2:8" x14ac:dyDescent="0.3">
      <c r="B1553" s="72">
        <v>43122</v>
      </c>
      <c r="C1553" s="73">
        <v>1178.9000000000001</v>
      </c>
      <c r="D1553" s="74">
        <f t="shared" si="49"/>
        <v>-0.50645762250643667</v>
      </c>
      <c r="E1553" s="1">
        <v>-6.3635214294744443E-3</v>
      </c>
      <c r="G1553" s="75">
        <v>1551</v>
      </c>
      <c r="H1553" s="1">
        <f t="shared" ca="1" si="50"/>
        <v>-5.9249267043222382E-3</v>
      </c>
    </row>
    <row r="1554" spans="2:8" x14ac:dyDescent="0.3">
      <c r="B1554" s="72">
        <v>45856</v>
      </c>
      <c r="C1554" s="73">
        <v>2388.65</v>
      </c>
      <c r="D1554" s="74">
        <f t="shared" si="49"/>
        <v>0.68052062263653157</v>
      </c>
      <c r="E1554" s="1">
        <v>-6.3851913477537062E-3</v>
      </c>
      <c r="G1554" s="75">
        <v>1552</v>
      </c>
      <c r="H1554" s="1">
        <f t="shared" ca="1" si="50"/>
        <v>-1.133235796680644E-2</v>
      </c>
    </row>
    <row r="1555" spans="2:8" x14ac:dyDescent="0.3">
      <c r="B1555" s="72">
        <v>43630</v>
      </c>
      <c r="C1555" s="73">
        <v>1421.375</v>
      </c>
      <c r="D1555" s="74">
        <f t="shared" si="49"/>
        <v>2.6856668111544541E-2</v>
      </c>
      <c r="E1555" s="1">
        <v>-6.4136171402608654E-3</v>
      </c>
      <c r="G1555" s="75">
        <v>1553</v>
      </c>
      <c r="H1555" s="1">
        <f t="shared" ca="1" si="50"/>
        <v>3.8213902584348501E-2</v>
      </c>
    </row>
    <row r="1556" spans="2:8" x14ac:dyDescent="0.3">
      <c r="B1556" s="72">
        <v>43635</v>
      </c>
      <c r="C1556" s="73">
        <v>1384.2</v>
      </c>
      <c r="D1556" s="74">
        <f t="shared" si="49"/>
        <v>1.6934210042978331E-2</v>
      </c>
      <c r="E1556" s="1">
        <v>-6.4777763821348769E-3</v>
      </c>
      <c r="G1556" s="75">
        <v>1554</v>
      </c>
      <c r="H1556" s="1">
        <f t="shared" ca="1" si="50"/>
        <v>-1.5010848300149362E-2</v>
      </c>
    </row>
    <row r="1557" spans="2:8" x14ac:dyDescent="0.3">
      <c r="B1557" s="72">
        <v>43460</v>
      </c>
      <c r="C1557" s="73">
        <v>1361.15</v>
      </c>
      <c r="D1557" s="74">
        <f t="shared" si="49"/>
        <v>0.19872302950242193</v>
      </c>
      <c r="E1557" s="1">
        <v>-6.4779839783945543E-3</v>
      </c>
      <c r="G1557" s="75">
        <v>1555</v>
      </c>
      <c r="H1557" s="1">
        <f t="shared" ca="1" si="50"/>
        <v>3.0051720907311751E-2</v>
      </c>
    </row>
    <row r="1558" spans="2:8" x14ac:dyDescent="0.3">
      <c r="B1558" s="72">
        <v>43145</v>
      </c>
      <c r="C1558" s="73">
        <v>1135.5</v>
      </c>
      <c r="D1558" s="74">
        <f t="shared" si="49"/>
        <v>-0.18376882435395181</v>
      </c>
      <c r="E1558" s="1">
        <v>-6.5182203945929789E-3</v>
      </c>
      <c r="G1558" s="75">
        <v>1556</v>
      </c>
      <c r="H1558" s="1">
        <f t="shared" ca="1" si="50"/>
        <v>5.7712275338719986E-4</v>
      </c>
    </row>
    <row r="1559" spans="2:8" x14ac:dyDescent="0.3">
      <c r="B1559" s="72">
        <v>43482</v>
      </c>
      <c r="C1559" s="73">
        <v>1391.15</v>
      </c>
      <c r="D1559" s="74">
        <f t="shared" si="49"/>
        <v>-0.26198938992042436</v>
      </c>
      <c r="E1559" s="1">
        <v>-6.55205041686748E-3</v>
      </c>
      <c r="G1559" s="75">
        <v>1557</v>
      </c>
      <c r="H1559" s="1">
        <f t="shared" ca="1" si="50"/>
        <v>4.8238780027521702E-3</v>
      </c>
    </row>
    <row r="1560" spans="2:8" x14ac:dyDescent="0.3">
      <c r="B1560" s="72">
        <v>43874</v>
      </c>
      <c r="C1560" s="73">
        <v>1885</v>
      </c>
      <c r="D1560" s="74">
        <f t="shared" si="49"/>
        <v>0.46518722916383271</v>
      </c>
      <c r="E1560" s="1">
        <v>-6.5614377190440039E-3</v>
      </c>
      <c r="G1560" s="75">
        <v>1558</v>
      </c>
      <c r="H1560" s="1">
        <f t="shared" ca="1" si="50"/>
        <v>-1.0919836946612324E-2</v>
      </c>
    </row>
    <row r="1561" spans="2:8" x14ac:dyDescent="0.3">
      <c r="B1561" s="72">
        <v>43417</v>
      </c>
      <c r="C1561" s="73">
        <v>1286.5250000000001</v>
      </c>
      <c r="D1561" s="74">
        <f t="shared" si="49"/>
        <v>-0.62318957311268941</v>
      </c>
      <c r="E1561" s="1">
        <v>-6.5635798536707781E-3</v>
      </c>
      <c r="G1561" s="75">
        <v>1559</v>
      </c>
      <c r="H1561" s="1">
        <f t="shared" ca="1" si="50"/>
        <v>2.035660146233282E-2</v>
      </c>
    </row>
    <row r="1562" spans="2:8" x14ac:dyDescent="0.3">
      <c r="B1562" s="72">
        <v>44818</v>
      </c>
      <c r="C1562" s="73">
        <v>3414.25</v>
      </c>
      <c r="D1562" s="74">
        <f t="shared" si="49"/>
        <v>0.19172069564306848</v>
      </c>
      <c r="E1562" s="1">
        <v>-6.56856255410148E-3</v>
      </c>
      <c r="G1562" s="75">
        <v>1560</v>
      </c>
      <c r="H1562" s="1">
        <f t="shared" ca="1" si="50"/>
        <v>-1.7338018736752992E-2</v>
      </c>
    </row>
    <row r="1563" spans="2:8" x14ac:dyDescent="0.3">
      <c r="B1563" s="72">
        <v>45603</v>
      </c>
      <c r="C1563" s="73">
        <v>2864.9749999999999</v>
      </c>
      <c r="D1563" s="74">
        <f t="shared" si="49"/>
        <v>0.38387875860403331</v>
      </c>
      <c r="E1563" s="1">
        <v>-6.5709059701622866E-3</v>
      </c>
      <c r="G1563" s="75">
        <v>1561</v>
      </c>
      <c r="H1563" s="1">
        <f t="shared" ca="1" si="50"/>
        <v>3.4936242137420505E-2</v>
      </c>
    </row>
    <row r="1564" spans="2:8" x14ac:dyDescent="0.3">
      <c r="B1564" s="72">
        <v>44118</v>
      </c>
      <c r="C1564" s="73">
        <v>2070.25</v>
      </c>
      <c r="D1564" s="74">
        <f t="shared" si="49"/>
        <v>0.4773254361865345</v>
      </c>
      <c r="E1564" s="1">
        <v>-6.60980554455925E-3</v>
      </c>
      <c r="G1564" s="75">
        <v>1562</v>
      </c>
      <c r="H1564" s="1">
        <f t="shared" ca="1" si="50"/>
        <v>-5.6128473830504748E-3</v>
      </c>
    </row>
    <row r="1565" spans="2:8" x14ac:dyDescent="0.3">
      <c r="B1565" s="72">
        <v>43335</v>
      </c>
      <c r="C1565" s="73">
        <v>1401.35</v>
      </c>
      <c r="D1565" s="74">
        <f t="shared" si="49"/>
        <v>-7.5073479939092294E-3</v>
      </c>
      <c r="E1565" s="1">
        <v>-6.6103106668795233E-3</v>
      </c>
      <c r="G1565" s="75">
        <v>1563</v>
      </c>
      <c r="H1565" s="1">
        <f t="shared" ca="1" si="50"/>
        <v>6.056695176778727E-3</v>
      </c>
    </row>
    <row r="1566" spans="2:8" x14ac:dyDescent="0.3">
      <c r="B1566" s="72">
        <v>43633</v>
      </c>
      <c r="C1566" s="73">
        <v>1411.95</v>
      </c>
      <c r="D1566" s="74">
        <f t="shared" si="49"/>
        <v>-0.57239228037765277</v>
      </c>
      <c r="E1566" s="1">
        <v>-6.6309031747427347E-3</v>
      </c>
      <c r="G1566" s="75">
        <v>1564</v>
      </c>
      <c r="H1566" s="1">
        <f t="shared" ca="1" si="50"/>
        <v>-4.4008479184292782E-3</v>
      </c>
    </row>
    <row r="1567" spans="2:8" x14ac:dyDescent="0.3">
      <c r="B1567" s="72">
        <v>45097</v>
      </c>
      <c r="C1567" s="73">
        <v>3301.9749999999999</v>
      </c>
      <c r="D1567" s="74">
        <f t="shared" si="49"/>
        <v>0.3100216222649817</v>
      </c>
      <c r="E1567" s="1">
        <v>-6.6559369453385881E-3</v>
      </c>
      <c r="G1567" s="75">
        <v>1565</v>
      </c>
      <c r="H1567" s="1">
        <f t="shared" ca="1" si="50"/>
        <v>-1.4405092616131782E-2</v>
      </c>
    </row>
    <row r="1568" spans="2:8" x14ac:dyDescent="0.3">
      <c r="B1568" s="72">
        <v>44180</v>
      </c>
      <c r="C1568" s="73">
        <v>2520.5500000000002</v>
      </c>
      <c r="D1568" s="74">
        <f t="shared" si="49"/>
        <v>-0.19700855381576632</v>
      </c>
      <c r="E1568" s="1">
        <v>-6.6602297582216939E-3</v>
      </c>
      <c r="G1568" s="75">
        <v>1566</v>
      </c>
      <c r="H1568" s="1">
        <f t="shared" ca="1" si="50"/>
        <v>-1.31660850489218E-2</v>
      </c>
    </row>
    <row r="1569" spans="2:8" x14ac:dyDescent="0.3">
      <c r="B1569" s="72">
        <v>44910</v>
      </c>
      <c r="C1569" s="73">
        <v>3138.95</v>
      </c>
      <c r="D1569" s="74">
        <f t="shared" si="49"/>
        <v>5.7081277677684422E-2</v>
      </c>
      <c r="E1569" s="1">
        <v>-6.6613924050633487E-3</v>
      </c>
      <c r="G1569" s="75">
        <v>1567</v>
      </c>
      <c r="H1569" s="1">
        <f t="shared" ca="1" si="50"/>
        <v>2.6438847921289879E-2</v>
      </c>
    </row>
    <row r="1570" spans="2:8" x14ac:dyDescent="0.3">
      <c r="B1570" s="72">
        <v>45231</v>
      </c>
      <c r="C1570" s="73">
        <v>2969.45</v>
      </c>
      <c r="D1570" s="74">
        <f t="shared" si="49"/>
        <v>2.4522361668176069E-2</v>
      </c>
      <c r="E1570" s="1">
        <v>-6.6652728413130443E-3</v>
      </c>
      <c r="G1570" s="75">
        <v>1568</v>
      </c>
      <c r="H1570" s="1">
        <f t="shared" ca="1" si="50"/>
        <v>-1.9508729815135087E-2</v>
      </c>
    </row>
    <row r="1571" spans="2:8" x14ac:dyDescent="0.3">
      <c r="B1571" s="72">
        <v>44939</v>
      </c>
      <c r="C1571" s="73">
        <v>2898.375</v>
      </c>
      <c r="D1571" s="74">
        <f t="shared" si="49"/>
        <v>0.84668684294361263</v>
      </c>
      <c r="E1571" s="1">
        <v>-6.6999665858444545E-3</v>
      </c>
      <c r="G1571" s="75">
        <v>1569</v>
      </c>
      <c r="H1571" s="1">
        <f t="shared" ca="1" si="50"/>
        <v>-4.3523295058002474E-3</v>
      </c>
    </row>
    <row r="1572" spans="2:8" x14ac:dyDescent="0.3">
      <c r="B1572" s="72">
        <v>43700</v>
      </c>
      <c r="C1572" s="73">
        <v>1569.5</v>
      </c>
      <c r="D1572" s="74">
        <f t="shared" si="49"/>
        <v>-0.51143968871595336</v>
      </c>
      <c r="E1572" s="1">
        <v>-6.7084361749255809E-3</v>
      </c>
      <c r="G1572" s="75">
        <v>1570</v>
      </c>
      <c r="H1572" s="1">
        <f t="shared" ca="1" si="50"/>
        <v>-7.6028266167857787E-3</v>
      </c>
    </row>
    <row r="1573" spans="2:8" x14ac:dyDescent="0.3">
      <c r="B1573" s="72">
        <v>45175</v>
      </c>
      <c r="C1573" s="73">
        <v>3212.5</v>
      </c>
      <c r="D1573" s="74">
        <f t="shared" si="49"/>
        <v>0.9026325920222692</v>
      </c>
      <c r="E1573" s="1">
        <v>-6.7786391707954832E-3</v>
      </c>
      <c r="G1573" s="75">
        <v>1571</v>
      </c>
      <c r="H1573" s="1">
        <f t="shared" ca="1" si="50"/>
        <v>1.0000097503203277E-2</v>
      </c>
    </row>
    <row r="1574" spans="2:8" x14ac:dyDescent="0.3">
      <c r="B1574" s="72">
        <v>44027</v>
      </c>
      <c r="C1574" s="73">
        <v>1688.4499999999998</v>
      </c>
      <c r="D1574" s="74">
        <f t="shared" si="49"/>
        <v>-0.45344781542594953</v>
      </c>
      <c r="E1574" s="1">
        <v>-6.8233287256257973E-3</v>
      </c>
      <c r="G1574" s="75">
        <v>1572</v>
      </c>
      <c r="H1574" s="1">
        <f t="shared" ca="1" si="50"/>
        <v>1.5802352614441673E-2</v>
      </c>
    </row>
    <row r="1575" spans="2:8" x14ac:dyDescent="0.3">
      <c r="B1575" s="72">
        <v>45511</v>
      </c>
      <c r="C1575" s="73">
        <v>3089.2750000000001</v>
      </c>
      <c r="D1575" s="74">
        <f t="shared" si="49"/>
        <v>0.23491965142308929</v>
      </c>
      <c r="E1575" s="1">
        <v>-6.8316441758224091E-3</v>
      </c>
      <c r="G1575" s="75">
        <v>1573</v>
      </c>
      <c r="H1575" s="1">
        <f t="shared" ca="1" si="50"/>
        <v>6.6412231517512669E-3</v>
      </c>
    </row>
    <row r="1576" spans="2:8" x14ac:dyDescent="0.3">
      <c r="B1576" s="72">
        <v>45951</v>
      </c>
      <c r="C1576" s="73">
        <v>2501.6</v>
      </c>
      <c r="D1576" s="74">
        <f t="shared" si="49"/>
        <v>7.7776461337957667E-2</v>
      </c>
      <c r="E1576" s="1">
        <v>-6.8680773353446863E-3</v>
      </c>
      <c r="G1576" s="75">
        <v>1574</v>
      </c>
      <c r="H1576" s="1">
        <f t="shared" ca="1" si="50"/>
        <v>-1.1668473738206146E-2</v>
      </c>
    </row>
    <row r="1577" spans="2:8" x14ac:dyDescent="0.3">
      <c r="B1577" s="72">
        <v>45691</v>
      </c>
      <c r="C1577" s="73">
        <v>2321.0749999999998</v>
      </c>
      <c r="D1577" s="74">
        <f t="shared" si="49"/>
        <v>-0.23005539706760436</v>
      </c>
      <c r="E1577" s="1">
        <v>-6.8780352138289253E-3</v>
      </c>
      <c r="G1577" s="75">
        <v>1575</v>
      </c>
      <c r="H1577" s="1">
        <f t="shared" ca="1" si="50"/>
        <v>-1.2015157807765965E-2</v>
      </c>
    </row>
    <row r="1578" spans="2:8" x14ac:dyDescent="0.3">
      <c r="B1578" s="72">
        <v>44670</v>
      </c>
      <c r="C1578" s="73">
        <v>3014.6</v>
      </c>
      <c r="D1578" s="74">
        <f t="shared" si="49"/>
        <v>0.23731735347233637</v>
      </c>
      <c r="E1578" s="1">
        <v>-6.8851918958985642E-3</v>
      </c>
      <c r="G1578" s="75">
        <v>1576</v>
      </c>
      <c r="H1578" s="1">
        <f t="shared" ca="1" si="50"/>
        <v>-4.4397768552023311E-3</v>
      </c>
    </row>
    <row r="1579" spans="2:8" x14ac:dyDescent="0.3">
      <c r="B1579" s="72">
        <v>45874</v>
      </c>
      <c r="C1579" s="73">
        <v>2436.3999999999996</v>
      </c>
      <c r="D1579" s="74">
        <f t="shared" si="49"/>
        <v>0.92220907297830346</v>
      </c>
      <c r="E1579" s="1">
        <v>-6.8886805527251229E-3</v>
      </c>
      <c r="G1579" s="75">
        <v>1577</v>
      </c>
      <c r="H1579" s="1">
        <f t="shared" ca="1" si="50"/>
        <v>2.7481842665459173E-4</v>
      </c>
    </row>
    <row r="1580" spans="2:8" x14ac:dyDescent="0.3">
      <c r="B1580" s="72">
        <v>43271</v>
      </c>
      <c r="C1580" s="73">
        <v>1267.5</v>
      </c>
      <c r="D1580" s="74">
        <f t="shared" si="49"/>
        <v>6.3539678211071635E-2</v>
      </c>
      <c r="E1580" s="1">
        <v>-6.914383092080814E-3</v>
      </c>
      <c r="G1580" s="75">
        <v>1578</v>
      </c>
      <c r="H1580" s="1">
        <f t="shared" ca="1" si="50"/>
        <v>9.1403385986716257E-3</v>
      </c>
    </row>
    <row r="1581" spans="2:8" x14ac:dyDescent="0.3">
      <c r="B1581" s="72">
        <v>43403</v>
      </c>
      <c r="C1581" s="73">
        <v>1191.7750000000001</v>
      </c>
      <c r="D1581" s="74">
        <f t="shared" si="49"/>
        <v>-0.62331197205913724</v>
      </c>
      <c r="E1581" s="1">
        <v>-6.9369219231729179E-3</v>
      </c>
      <c r="G1581" s="75">
        <v>1579</v>
      </c>
      <c r="H1581" s="1">
        <f t="shared" ca="1" si="50"/>
        <v>-1.6063609733142768E-2</v>
      </c>
    </row>
    <row r="1582" spans="2:8" x14ac:dyDescent="0.3">
      <c r="B1582" s="72">
        <v>44908</v>
      </c>
      <c r="C1582" s="73">
        <v>3163.8249999999998</v>
      </c>
      <c r="D1582" s="74">
        <f t="shared" si="49"/>
        <v>0.10128443879770939</v>
      </c>
      <c r="E1582" s="1">
        <v>-6.9445534299031686E-3</v>
      </c>
      <c r="G1582" s="75">
        <v>1580</v>
      </c>
      <c r="H1582" s="1">
        <f t="shared" ca="1" si="50"/>
        <v>1.2752407030880793E-3</v>
      </c>
    </row>
    <row r="1583" spans="2:8" x14ac:dyDescent="0.3">
      <c r="B1583" s="72">
        <v>45989</v>
      </c>
      <c r="C1583" s="73">
        <v>2872.8500000000004</v>
      </c>
      <c r="D1583" s="74">
        <f t="shared" si="49"/>
        <v>3.1590286817182234E-2</v>
      </c>
      <c r="E1583" s="1">
        <v>-6.947925128329026E-3</v>
      </c>
      <c r="G1583" s="75">
        <v>1581</v>
      </c>
      <c r="H1583" s="1">
        <f t="shared" ca="1" si="50"/>
        <v>-3.8934824054928582E-2</v>
      </c>
    </row>
    <row r="1584" spans="2:8" x14ac:dyDescent="0.3">
      <c r="B1584" s="72">
        <v>44971</v>
      </c>
      <c r="C1584" s="73">
        <v>2784.875</v>
      </c>
      <c r="D1584" s="74">
        <f t="shared" si="49"/>
        <v>-7.3838504772356942E-2</v>
      </c>
      <c r="E1584" s="1">
        <v>-6.9976822963095028E-3</v>
      </c>
      <c r="G1584" s="75">
        <v>1582</v>
      </c>
      <c r="H1584" s="1">
        <f t="shared" ca="1" si="50"/>
        <v>-1.0426170376137862E-3</v>
      </c>
    </row>
    <row r="1585" spans="2:8" x14ac:dyDescent="0.3">
      <c r="B1585" s="72">
        <v>44690</v>
      </c>
      <c r="C1585" s="73">
        <v>3006.9</v>
      </c>
      <c r="D1585" s="74">
        <f t="shared" si="49"/>
        <v>0.23868177136972196</v>
      </c>
      <c r="E1585" s="1">
        <v>-7.0174859237488235E-3</v>
      </c>
      <c r="G1585" s="75">
        <v>1583</v>
      </c>
      <c r="H1585" s="1">
        <f t="shared" ca="1" si="50"/>
        <v>-2.4831329155028281E-2</v>
      </c>
    </row>
    <row r="1586" spans="2:8" x14ac:dyDescent="0.3">
      <c r="B1586" s="72">
        <v>45842</v>
      </c>
      <c r="C1586" s="73">
        <v>2427.5</v>
      </c>
      <c r="D1586" s="74">
        <f t="shared" si="49"/>
        <v>0.39459397351564063</v>
      </c>
      <c r="E1586" s="1">
        <v>-7.0356280934265221E-3</v>
      </c>
      <c r="G1586" s="75">
        <v>1584</v>
      </c>
      <c r="H1586" s="1">
        <f t="shared" ca="1" si="50"/>
        <v>2.0576145030161363E-3</v>
      </c>
    </row>
    <row r="1587" spans="2:8" x14ac:dyDescent="0.3">
      <c r="B1587" s="72">
        <v>44043</v>
      </c>
      <c r="C1587" s="73">
        <v>1740.65</v>
      </c>
      <c r="D1587" s="74">
        <f t="shared" si="49"/>
        <v>-0.22670428041493582</v>
      </c>
      <c r="E1587" s="1">
        <v>-7.0733863837311338E-3</v>
      </c>
      <c r="G1587" s="75">
        <v>1585</v>
      </c>
      <c r="H1587" s="1">
        <f t="shared" ca="1" si="50"/>
        <v>6.1198389139605275E-4</v>
      </c>
    </row>
    <row r="1588" spans="2:8" x14ac:dyDescent="0.3">
      <c r="B1588" s="72">
        <v>45812</v>
      </c>
      <c r="C1588" s="73">
        <v>2250.9499999999998</v>
      </c>
      <c r="D1588" s="74">
        <f t="shared" si="49"/>
        <v>-2.2643393686770045E-2</v>
      </c>
      <c r="E1588" s="1">
        <v>-7.0798411998236358E-3</v>
      </c>
      <c r="G1588" s="75">
        <v>1586</v>
      </c>
      <c r="H1588" s="1">
        <f t="shared" ca="1" si="50"/>
        <v>-1.7072935726299625E-2</v>
      </c>
    </row>
    <row r="1589" spans="2:8" x14ac:dyDescent="0.3">
      <c r="B1589" s="72">
        <v>45798</v>
      </c>
      <c r="C1589" s="73">
        <v>2303.1</v>
      </c>
      <c r="D1589" s="74">
        <f t="shared" si="49"/>
        <v>-0.27352732434350607</v>
      </c>
      <c r="E1589" s="1">
        <v>-7.0918928240392629E-3</v>
      </c>
      <c r="G1589" s="75">
        <v>1587</v>
      </c>
      <c r="H1589" s="1">
        <f t="shared" ca="1" si="50"/>
        <v>-8.6588545122092992E-4</v>
      </c>
    </row>
    <row r="1590" spans="2:8" x14ac:dyDescent="0.3">
      <c r="B1590" s="72">
        <v>45156</v>
      </c>
      <c r="C1590" s="73">
        <v>3170.25</v>
      </c>
      <c r="D1590" s="74">
        <f t="shared" si="49"/>
        <v>0.29904320924419686</v>
      </c>
      <c r="E1590" s="1">
        <v>-7.1249608518634509E-3</v>
      </c>
      <c r="G1590" s="75">
        <v>1588</v>
      </c>
      <c r="H1590" s="1">
        <f t="shared" ca="1" si="50"/>
        <v>-1.2636087980358087E-2</v>
      </c>
    </row>
    <row r="1591" spans="2:8" x14ac:dyDescent="0.3">
      <c r="B1591" s="72">
        <v>46057</v>
      </c>
      <c r="C1591" s="73">
        <v>2440.4499999999998</v>
      </c>
      <c r="D1591" s="74">
        <f t="shared" si="49"/>
        <v>-0.20656414591325845</v>
      </c>
      <c r="E1591" s="1">
        <v>-7.1399511798210663E-3</v>
      </c>
      <c r="G1591" s="75">
        <v>1589</v>
      </c>
      <c r="H1591" s="1">
        <f t="shared" ca="1" si="50"/>
        <v>1.5358047598918307E-2</v>
      </c>
    </row>
    <row r="1592" spans="2:8" x14ac:dyDescent="0.3">
      <c r="B1592" s="72">
        <v>45068</v>
      </c>
      <c r="C1592" s="73">
        <v>3075.8</v>
      </c>
      <c r="D1592" s="74">
        <f t="shared" si="49"/>
        <v>0.30262893201622054</v>
      </c>
      <c r="E1592" s="1">
        <v>-7.1659134925757964E-3</v>
      </c>
      <c r="G1592" s="75">
        <v>1590</v>
      </c>
      <c r="H1592" s="1">
        <f t="shared" ca="1" si="50"/>
        <v>1.6910886837903573E-2</v>
      </c>
    </row>
    <row r="1593" spans="2:8" x14ac:dyDescent="0.3">
      <c r="B1593" s="72">
        <v>44252</v>
      </c>
      <c r="C1593" s="73">
        <v>2361.2249999999999</v>
      </c>
      <c r="D1593" s="74">
        <f t="shared" si="49"/>
        <v>-0.22729727076379352</v>
      </c>
      <c r="E1593" s="1">
        <v>-7.1690616097800841E-3</v>
      </c>
      <c r="G1593" s="75">
        <v>1591</v>
      </c>
      <c r="H1593" s="1">
        <f t="shared" ca="1" si="50"/>
        <v>-6.1253331172006148E-3</v>
      </c>
    </row>
    <row r="1594" spans="2:8" x14ac:dyDescent="0.3">
      <c r="B1594" s="72">
        <v>44862</v>
      </c>
      <c r="C1594" s="73">
        <v>3055.8</v>
      </c>
      <c r="D1594" s="74">
        <f t="shared" si="49"/>
        <v>3.6567164179104536E-2</v>
      </c>
      <c r="E1594" s="1">
        <v>-7.2124756335282059E-3</v>
      </c>
      <c r="G1594" s="75">
        <v>1592</v>
      </c>
      <c r="H1594" s="1">
        <f t="shared" ca="1" si="50"/>
        <v>-2.1759389153429055E-2</v>
      </c>
    </row>
    <row r="1595" spans="2:8" x14ac:dyDescent="0.3">
      <c r="B1595" s="72">
        <v>45232</v>
      </c>
      <c r="C1595" s="73">
        <v>2948</v>
      </c>
      <c r="D1595" s="74">
        <f t="shared" si="49"/>
        <v>0.49254487000987263</v>
      </c>
      <c r="E1595" s="1">
        <v>-7.2235599185033654E-3</v>
      </c>
      <c r="G1595" s="75">
        <v>1593</v>
      </c>
      <c r="H1595" s="1">
        <f t="shared" ca="1" si="50"/>
        <v>-9.8235983917201401E-3</v>
      </c>
    </row>
    <row r="1596" spans="2:8" x14ac:dyDescent="0.3">
      <c r="B1596" s="72">
        <v>44071</v>
      </c>
      <c r="C1596" s="73">
        <v>1975.15</v>
      </c>
      <c r="D1596" s="74">
        <f t="shared" si="49"/>
        <v>-0.34476724416762733</v>
      </c>
      <c r="E1596" s="1">
        <v>-7.2253427325617917E-3</v>
      </c>
      <c r="G1596" s="75">
        <v>1594</v>
      </c>
      <c r="H1596" s="1">
        <f t="shared" ca="1" si="50"/>
        <v>-8.6246400681397484E-3</v>
      </c>
    </row>
    <row r="1597" spans="2:8" x14ac:dyDescent="0.3">
      <c r="B1597" s="72">
        <v>45518</v>
      </c>
      <c r="C1597" s="73">
        <v>3014.4250000000002</v>
      </c>
      <c r="D1597" s="74">
        <f t="shared" si="49"/>
        <v>-0.11571914693889522</v>
      </c>
      <c r="E1597" s="1">
        <v>-7.2371887761822906E-3</v>
      </c>
      <c r="G1597" s="75">
        <v>1595</v>
      </c>
      <c r="H1597" s="1">
        <f t="shared" ca="1" si="50"/>
        <v>-1.0748191081372944E-2</v>
      </c>
    </row>
    <row r="1598" spans="2:8" x14ac:dyDescent="0.3">
      <c r="B1598" s="72">
        <v>44785</v>
      </c>
      <c r="C1598" s="73">
        <v>3408.9</v>
      </c>
      <c r="D1598" s="74">
        <f t="shared" si="49"/>
        <v>0.12086936507414589</v>
      </c>
      <c r="E1598" s="1">
        <v>-7.3020333578432631E-3</v>
      </c>
      <c r="G1598" s="75">
        <v>1596</v>
      </c>
      <c r="H1598" s="1">
        <f t="shared" ca="1" si="50"/>
        <v>-7.7102874560326592E-3</v>
      </c>
    </row>
    <row r="1599" spans="2:8" x14ac:dyDescent="0.3">
      <c r="B1599" s="72">
        <v>44433</v>
      </c>
      <c r="C1599" s="73">
        <v>3041.3</v>
      </c>
      <c r="D1599" s="74">
        <f t="shared" si="49"/>
        <v>0.71810298562268737</v>
      </c>
      <c r="E1599" s="1">
        <v>-7.303320358719511E-3</v>
      </c>
      <c r="G1599" s="75">
        <v>1597</v>
      </c>
      <c r="H1599" s="1">
        <f t="shared" ca="1" si="50"/>
        <v>-8.8815686779092906E-3</v>
      </c>
    </row>
    <row r="1600" spans="2:8" x14ac:dyDescent="0.3">
      <c r="B1600" s="72">
        <v>43784</v>
      </c>
      <c r="C1600" s="73">
        <v>1770.15</v>
      </c>
      <c r="D1600" s="74">
        <f t="shared" si="49"/>
        <v>-0.28047070300591426</v>
      </c>
      <c r="E1600" s="1">
        <v>-7.3322211162359313E-3</v>
      </c>
      <c r="G1600" s="75">
        <v>1598</v>
      </c>
      <c r="H1600" s="1">
        <f t="shared" ca="1" si="50"/>
        <v>1.4996081350727691E-2</v>
      </c>
    </row>
    <row r="1601" spans="2:8" x14ac:dyDescent="0.3">
      <c r="B1601" s="72">
        <v>45849</v>
      </c>
      <c r="C1601" s="73">
        <v>2460.15</v>
      </c>
      <c r="D1601" s="74">
        <f t="shared" si="49"/>
        <v>1.1238399447489966</v>
      </c>
      <c r="E1601" s="1">
        <v>-7.4236953057231405E-3</v>
      </c>
      <c r="G1601" s="75">
        <v>1599</v>
      </c>
      <c r="H1601" s="1">
        <f t="shared" ca="1" si="50"/>
        <v>2.8864331508696179E-3</v>
      </c>
    </row>
    <row r="1602" spans="2:8" x14ac:dyDescent="0.3">
      <c r="B1602" s="72">
        <v>43124</v>
      </c>
      <c r="C1602" s="73">
        <v>1158.3499999999999</v>
      </c>
      <c r="D1602" s="74">
        <f t="shared" si="49"/>
        <v>-0.192970233222441</v>
      </c>
      <c r="E1602" s="1">
        <v>-7.4334311604294517E-3</v>
      </c>
      <c r="G1602" s="75">
        <v>1600</v>
      </c>
      <c r="H1602" s="1">
        <f t="shared" ca="1" si="50"/>
        <v>6.1403128846754633E-3</v>
      </c>
    </row>
    <row r="1603" spans="2:8" x14ac:dyDescent="0.3">
      <c r="B1603" s="72">
        <v>43509</v>
      </c>
      <c r="C1603" s="73">
        <v>1435.325</v>
      </c>
      <c r="D1603" s="74">
        <f t="shared" ref="D1603:D1666" si="51">(C1603-C1604)/C1604</f>
        <v>-0.49110973231696509</v>
      </c>
      <c r="E1603" s="1">
        <v>-7.4339159448852925E-3</v>
      </c>
      <c r="G1603" s="75">
        <v>1601</v>
      </c>
      <c r="H1603" s="1">
        <f t="shared" ca="1" si="50"/>
        <v>1.3079788616834594E-3</v>
      </c>
    </row>
    <row r="1604" spans="2:8" x14ac:dyDescent="0.3">
      <c r="B1604" s="72">
        <v>45370</v>
      </c>
      <c r="C1604" s="73">
        <v>2820.5</v>
      </c>
      <c r="D1604" s="74">
        <f t="shared" si="51"/>
        <v>0.3451289449524878</v>
      </c>
      <c r="E1604" s="1">
        <v>-7.4341266000967753E-3</v>
      </c>
      <c r="G1604" s="75">
        <v>1602</v>
      </c>
      <c r="H1604" s="1">
        <f t="shared" ref="H1604:H1667" ca="1" si="52">_xlfn.NORM.INV(RAND(),$N$4,$N$5)</f>
        <v>3.3495352909017504E-3</v>
      </c>
    </row>
    <row r="1605" spans="2:8" x14ac:dyDescent="0.3">
      <c r="B1605" s="72">
        <v>44126</v>
      </c>
      <c r="C1605" s="73">
        <v>2096.8249999999998</v>
      </c>
      <c r="D1605" s="74">
        <f t="shared" si="51"/>
        <v>0.63702547086952266</v>
      </c>
      <c r="E1605" s="1">
        <v>-7.4436108021113641E-3</v>
      </c>
      <c r="G1605" s="75">
        <v>1603</v>
      </c>
      <c r="H1605" s="1">
        <f t="shared" ca="1" si="52"/>
        <v>-1.4153143756614696E-2</v>
      </c>
    </row>
    <row r="1606" spans="2:8" x14ac:dyDescent="0.3">
      <c r="B1606" s="72">
        <v>43243</v>
      </c>
      <c r="C1606" s="73">
        <v>1280.875</v>
      </c>
      <c r="D1606" s="74">
        <f t="shared" si="51"/>
        <v>-0.57446366724528863</v>
      </c>
      <c r="E1606" s="1">
        <v>-7.4583494769469199E-3</v>
      </c>
      <c r="G1606" s="75">
        <v>1604</v>
      </c>
      <c r="H1606" s="1">
        <f t="shared" ca="1" si="52"/>
        <v>5.876104651654653E-3</v>
      </c>
    </row>
    <row r="1607" spans="2:8" x14ac:dyDescent="0.3">
      <c r="B1607" s="72">
        <v>44413</v>
      </c>
      <c r="C1607" s="73">
        <v>3010.0250000000001</v>
      </c>
      <c r="D1607" s="74">
        <f t="shared" si="51"/>
        <v>5.2042465813272785E-2</v>
      </c>
      <c r="E1607" s="1">
        <v>-7.4604718645409126E-3</v>
      </c>
      <c r="G1607" s="75">
        <v>1605</v>
      </c>
      <c r="H1607" s="1">
        <f t="shared" ca="1" si="52"/>
        <v>1.6591463999896402E-3</v>
      </c>
    </row>
    <row r="1608" spans="2:8" x14ac:dyDescent="0.3">
      <c r="B1608" s="72">
        <v>45364</v>
      </c>
      <c r="C1608" s="73">
        <v>2861.125</v>
      </c>
      <c r="D1608" s="74">
        <f t="shared" si="51"/>
        <v>0.60909116472639346</v>
      </c>
      <c r="E1608" s="1">
        <v>-7.475695317717114E-3</v>
      </c>
      <c r="G1608" s="75">
        <v>1606</v>
      </c>
      <c r="H1608" s="1">
        <f t="shared" ca="1" si="52"/>
        <v>2.3981960846166717E-2</v>
      </c>
    </row>
    <row r="1609" spans="2:8" x14ac:dyDescent="0.3">
      <c r="B1609" s="72">
        <v>43773</v>
      </c>
      <c r="C1609" s="73">
        <v>1778.1</v>
      </c>
      <c r="D1609" s="74">
        <f t="shared" si="51"/>
        <v>-0.45269022408273829</v>
      </c>
      <c r="E1609" s="1">
        <v>-7.4797655595869889E-3</v>
      </c>
      <c r="G1609" s="75">
        <v>1607</v>
      </c>
      <c r="H1609" s="1">
        <f t="shared" ca="1" si="52"/>
        <v>1.152076633502391E-2</v>
      </c>
    </row>
    <row r="1610" spans="2:8" x14ac:dyDescent="0.3">
      <c r="B1610" s="72">
        <v>45268</v>
      </c>
      <c r="C1610" s="73">
        <v>3248.8</v>
      </c>
      <c r="D1610" s="74">
        <f t="shared" si="51"/>
        <v>0.35657765622063997</v>
      </c>
      <c r="E1610" s="1">
        <v>-7.5151218916110025E-3</v>
      </c>
      <c r="G1610" s="75">
        <v>1608</v>
      </c>
      <c r="H1610" s="1">
        <f t="shared" ca="1" si="52"/>
        <v>-7.1833947844636148E-3</v>
      </c>
    </row>
    <row r="1611" spans="2:8" x14ac:dyDescent="0.3">
      <c r="B1611" s="72">
        <v>45636</v>
      </c>
      <c r="C1611" s="73">
        <v>2394.8500000000004</v>
      </c>
      <c r="D1611" s="74">
        <f t="shared" si="51"/>
        <v>-0.195454621806393</v>
      </c>
      <c r="E1611" s="1">
        <v>-7.5217571487773043E-3</v>
      </c>
      <c r="G1611" s="75">
        <v>1609</v>
      </c>
      <c r="H1611" s="1">
        <f t="shared" ca="1" si="52"/>
        <v>9.1302800174906315E-3</v>
      </c>
    </row>
    <row r="1612" spans="2:8" x14ac:dyDescent="0.3">
      <c r="B1612" s="72">
        <v>45589</v>
      </c>
      <c r="C1612" s="73">
        <v>2976.65</v>
      </c>
      <c r="D1612" s="74">
        <f t="shared" si="51"/>
        <v>-4.0973637366797336E-2</v>
      </c>
      <c r="E1612" s="1">
        <v>-7.5434896766718622E-3</v>
      </c>
      <c r="G1612" s="75">
        <v>1610</v>
      </c>
      <c r="H1612" s="1">
        <f t="shared" ca="1" si="52"/>
        <v>-3.5564283473720378E-3</v>
      </c>
    </row>
    <row r="1613" spans="2:8" x14ac:dyDescent="0.3">
      <c r="B1613" s="72">
        <v>44400</v>
      </c>
      <c r="C1613" s="73">
        <v>3103.8249999999998</v>
      </c>
      <c r="D1613" s="74">
        <f t="shared" si="51"/>
        <v>-4.6499322552973153E-3</v>
      </c>
      <c r="E1613" s="1">
        <v>-7.5699440447642465E-3</v>
      </c>
      <c r="G1613" s="75">
        <v>1611</v>
      </c>
      <c r="H1613" s="1">
        <f t="shared" ca="1" si="52"/>
        <v>-9.5623585191715928E-3</v>
      </c>
    </row>
    <row r="1614" spans="2:8" x14ac:dyDescent="0.3">
      <c r="B1614" s="72">
        <v>45533</v>
      </c>
      <c r="C1614" s="73">
        <v>3118.3249999999998</v>
      </c>
      <c r="D1614" s="74">
        <f t="shared" si="51"/>
        <v>-4.2129028789961553E-2</v>
      </c>
      <c r="E1614" s="1">
        <v>-7.5823878554493809E-3</v>
      </c>
      <c r="G1614" s="75">
        <v>1612</v>
      </c>
      <c r="H1614" s="1">
        <f t="shared" ca="1" si="52"/>
        <v>-2.8948575009490169E-3</v>
      </c>
    </row>
    <row r="1615" spans="2:8" x14ac:dyDescent="0.3">
      <c r="B1615" s="72">
        <v>44557</v>
      </c>
      <c r="C1615" s="73">
        <v>3255.4749999999999</v>
      </c>
      <c r="D1615" s="74">
        <f t="shared" si="51"/>
        <v>-1.2272730720511016E-2</v>
      </c>
      <c r="E1615" s="1">
        <v>-7.6284103033074507E-3</v>
      </c>
      <c r="G1615" s="75">
        <v>1613</v>
      </c>
      <c r="H1615" s="1">
        <f t="shared" ca="1" si="52"/>
        <v>-1.3027695041414541E-2</v>
      </c>
    </row>
    <row r="1616" spans="2:8" x14ac:dyDescent="0.3">
      <c r="B1616" s="72">
        <v>45281</v>
      </c>
      <c r="C1616" s="73">
        <v>3295.9250000000002</v>
      </c>
      <c r="D1616" s="74">
        <f t="shared" si="51"/>
        <v>0.76848473466759681</v>
      </c>
      <c r="E1616" s="1">
        <v>-7.6400806912955768E-3</v>
      </c>
      <c r="G1616" s="75">
        <v>1614</v>
      </c>
      <c r="H1616" s="1">
        <f t="shared" ca="1" si="52"/>
        <v>-1.4967091400496724E-2</v>
      </c>
    </row>
    <row r="1617" spans="2:8" x14ac:dyDescent="0.3">
      <c r="B1617" s="72">
        <v>43867</v>
      </c>
      <c r="C1617" s="73">
        <v>1863.7</v>
      </c>
      <c r="D1617" s="74">
        <f t="shared" si="51"/>
        <v>-0.4341192366667172</v>
      </c>
      <c r="E1617" s="1">
        <v>-7.6541139198381316E-3</v>
      </c>
      <c r="G1617" s="75">
        <v>1615</v>
      </c>
      <c r="H1617" s="1">
        <f t="shared" ca="1" si="52"/>
        <v>5.281081934791482E-3</v>
      </c>
    </row>
    <row r="1618" spans="2:8" x14ac:dyDescent="0.3">
      <c r="B1618" s="72">
        <v>44581</v>
      </c>
      <c r="C1618" s="73">
        <v>3293.45</v>
      </c>
      <c r="D1618" s="74">
        <f t="shared" si="51"/>
        <v>1.8911469077821179</v>
      </c>
      <c r="E1618" s="1">
        <v>-7.6607284094761573E-3</v>
      </c>
      <c r="G1618" s="75">
        <v>1616</v>
      </c>
      <c r="H1618" s="1">
        <f t="shared" ca="1" si="52"/>
        <v>-1.0029285349228598E-2</v>
      </c>
    </row>
    <row r="1619" spans="2:8" x14ac:dyDescent="0.3">
      <c r="B1619" s="72">
        <v>43175</v>
      </c>
      <c r="C1619" s="73">
        <v>1139.1500000000001</v>
      </c>
      <c r="D1619" s="74">
        <f t="shared" si="51"/>
        <v>-0.54060048797209281</v>
      </c>
      <c r="E1619" s="1">
        <v>-7.665839104490574E-3</v>
      </c>
      <c r="G1619" s="75">
        <v>1617</v>
      </c>
      <c r="H1619" s="1">
        <f t="shared" ca="1" si="52"/>
        <v>-7.6766276794400807E-3</v>
      </c>
    </row>
    <row r="1620" spans="2:8" x14ac:dyDescent="0.3">
      <c r="B1620" s="72">
        <v>45624</v>
      </c>
      <c r="C1620" s="73">
        <v>2479.65</v>
      </c>
      <c r="D1620" s="74">
        <f t="shared" si="51"/>
        <v>-0.13880109748897304</v>
      </c>
      <c r="E1620" s="1">
        <v>-7.673606595099588E-3</v>
      </c>
      <c r="G1620" s="75">
        <v>1618</v>
      </c>
      <c r="H1620" s="1">
        <f t="shared" ca="1" si="52"/>
        <v>-2.4079479583098834E-2</v>
      </c>
    </row>
    <row r="1621" spans="2:8" x14ac:dyDescent="0.3">
      <c r="B1621" s="72">
        <v>45981</v>
      </c>
      <c r="C1621" s="73">
        <v>2879.3</v>
      </c>
      <c r="D1621" s="74">
        <f t="shared" si="51"/>
        <v>1.0466840382877483E-2</v>
      </c>
      <c r="E1621" s="1">
        <v>-7.6854149434793656E-3</v>
      </c>
      <c r="G1621" s="75">
        <v>1619</v>
      </c>
      <c r="H1621" s="1">
        <f t="shared" ca="1" si="52"/>
        <v>7.6209947957444442E-3</v>
      </c>
    </row>
    <row r="1622" spans="2:8" x14ac:dyDescent="0.3">
      <c r="B1622" s="72">
        <v>45407</v>
      </c>
      <c r="C1622" s="73">
        <v>2849.4750000000004</v>
      </c>
      <c r="D1622" s="74">
        <f t="shared" si="51"/>
        <v>-6.9103234237177277E-2</v>
      </c>
      <c r="E1622" s="1">
        <v>-7.6874858525882595E-3</v>
      </c>
      <c r="G1622" s="75">
        <v>1620</v>
      </c>
      <c r="H1622" s="1">
        <f t="shared" ca="1" si="52"/>
        <v>1.1699194715449673E-2</v>
      </c>
    </row>
    <row r="1623" spans="2:8" x14ac:dyDescent="0.3">
      <c r="B1623" s="72">
        <v>45582</v>
      </c>
      <c r="C1623" s="73">
        <v>3061</v>
      </c>
      <c r="D1623" s="74">
        <f t="shared" si="51"/>
        <v>0.29876742261917394</v>
      </c>
      <c r="E1623" s="1">
        <v>-7.7232906242654994E-3</v>
      </c>
      <c r="G1623" s="75">
        <v>1621</v>
      </c>
      <c r="H1623" s="1">
        <f t="shared" ca="1" si="52"/>
        <v>-1.704279627060094E-2</v>
      </c>
    </row>
    <row r="1624" spans="2:8" x14ac:dyDescent="0.3">
      <c r="B1624" s="72">
        <v>45644</v>
      </c>
      <c r="C1624" s="73">
        <v>2356.85</v>
      </c>
      <c r="D1624" s="74">
        <f t="shared" si="51"/>
        <v>-0.25655523748688958</v>
      </c>
      <c r="E1624" s="1">
        <v>-7.7256652071404138E-3</v>
      </c>
      <c r="G1624" s="75">
        <v>1622</v>
      </c>
      <c r="H1624" s="1">
        <f t="shared" ca="1" si="52"/>
        <v>-2.818452040286498E-3</v>
      </c>
    </row>
    <row r="1625" spans="2:8" x14ac:dyDescent="0.3">
      <c r="B1625" s="72">
        <v>45203</v>
      </c>
      <c r="C1625" s="73">
        <v>3170.1750000000002</v>
      </c>
      <c r="D1625" s="74">
        <f t="shared" si="51"/>
        <v>-5.5251335464115585E-2</v>
      </c>
      <c r="E1625" s="1">
        <v>-7.7388963660834165E-3</v>
      </c>
      <c r="G1625" s="75">
        <v>1623</v>
      </c>
      <c r="H1625" s="1">
        <f t="shared" ca="1" si="52"/>
        <v>-8.9324996972956004E-4</v>
      </c>
    </row>
    <row r="1626" spans="2:8" x14ac:dyDescent="0.3">
      <c r="B1626" s="72">
        <v>45138</v>
      </c>
      <c r="C1626" s="73">
        <v>3355.5749999999998</v>
      </c>
      <c r="D1626" s="74">
        <f t="shared" si="51"/>
        <v>0.32202939090694194</v>
      </c>
      <c r="E1626" s="1">
        <v>-7.7400754047461176E-3</v>
      </c>
      <c r="G1626" s="75">
        <v>1624</v>
      </c>
      <c r="H1626" s="1">
        <f t="shared" ca="1" si="52"/>
        <v>6.6128110901999028E-3</v>
      </c>
    </row>
    <row r="1627" spans="2:8" x14ac:dyDescent="0.3">
      <c r="B1627" s="72">
        <v>45909</v>
      </c>
      <c r="C1627" s="73">
        <v>2538.1999999999998</v>
      </c>
      <c r="D1627" s="74">
        <f t="shared" si="51"/>
        <v>1.2518741959810138</v>
      </c>
      <c r="E1627" s="1">
        <v>-7.7404222048476079E-3</v>
      </c>
      <c r="G1627" s="75">
        <v>1625</v>
      </c>
      <c r="H1627" s="1">
        <f t="shared" ca="1" si="52"/>
        <v>-6.6767545379509408E-3</v>
      </c>
    </row>
    <row r="1628" spans="2:8" x14ac:dyDescent="0.3">
      <c r="B1628" s="72">
        <v>43136</v>
      </c>
      <c r="C1628" s="73">
        <v>1127.1500000000001</v>
      </c>
      <c r="D1628" s="74">
        <f t="shared" si="51"/>
        <v>1.7811589949658115E-2</v>
      </c>
      <c r="E1628" s="1">
        <v>-7.7686568806530241E-3</v>
      </c>
      <c r="G1628" s="75">
        <v>1626</v>
      </c>
      <c r="H1628" s="1">
        <f t="shared" ca="1" si="52"/>
        <v>1.2149814112041019E-2</v>
      </c>
    </row>
    <row r="1629" spans="2:8" x14ac:dyDescent="0.3">
      <c r="B1629" s="72">
        <v>43164</v>
      </c>
      <c r="C1629" s="73">
        <v>1107.425</v>
      </c>
      <c r="D1629" s="74">
        <f t="shared" si="51"/>
        <v>-0.54950676294111667</v>
      </c>
      <c r="E1629" s="1">
        <v>-7.7726010214138113E-3</v>
      </c>
      <c r="G1629" s="75">
        <v>1627</v>
      </c>
      <c r="H1629" s="1">
        <f t="shared" ca="1" si="52"/>
        <v>1.5483596772061126E-2</v>
      </c>
    </row>
    <row r="1630" spans="2:8" x14ac:dyDescent="0.3">
      <c r="B1630" s="72">
        <v>46141</v>
      </c>
      <c r="C1630" s="73">
        <v>2458.25</v>
      </c>
      <c r="D1630" s="74">
        <f t="shared" si="51"/>
        <v>-0.19269293924466338</v>
      </c>
      <c r="E1630" s="1">
        <v>-7.7899537849892755E-3</v>
      </c>
      <c r="G1630" s="75">
        <v>1628</v>
      </c>
      <c r="H1630" s="1">
        <f t="shared" ca="1" si="52"/>
        <v>6.1871001212767205E-3</v>
      </c>
    </row>
    <row r="1631" spans="2:8" x14ac:dyDescent="0.3">
      <c r="B1631" s="72">
        <v>45576</v>
      </c>
      <c r="C1631" s="73">
        <v>3045</v>
      </c>
      <c r="D1631" s="74">
        <f t="shared" si="51"/>
        <v>-3.4605202669498944E-2</v>
      </c>
      <c r="E1631" s="1">
        <v>-7.8201368523949169E-3</v>
      </c>
      <c r="G1631" s="75">
        <v>1629</v>
      </c>
      <c r="H1631" s="1">
        <f t="shared" ca="1" si="52"/>
        <v>6.3777720998258302E-3</v>
      </c>
    </row>
    <row r="1632" spans="2:8" x14ac:dyDescent="0.3">
      <c r="B1632" s="72">
        <v>44897</v>
      </c>
      <c r="C1632" s="73">
        <v>3154.15</v>
      </c>
      <c r="D1632" s="74">
        <f t="shared" si="51"/>
        <v>7.3455439694682326E-3</v>
      </c>
      <c r="E1632" s="1">
        <v>-7.8559352022962003E-3</v>
      </c>
      <c r="G1632" s="75">
        <v>1630</v>
      </c>
      <c r="H1632" s="1">
        <f t="shared" ca="1" si="52"/>
        <v>1.4720872021581649E-2</v>
      </c>
    </row>
    <row r="1633" spans="2:8" x14ac:dyDescent="0.3">
      <c r="B1633" s="72">
        <v>45260</v>
      </c>
      <c r="C1633" s="73">
        <v>3131.1499999999996</v>
      </c>
      <c r="D1633" s="74">
        <f t="shared" si="51"/>
        <v>-0.10570510531952884</v>
      </c>
      <c r="E1633" s="1">
        <v>-7.8738910012675425E-3</v>
      </c>
      <c r="G1633" s="75">
        <v>1631</v>
      </c>
      <c r="H1633" s="1">
        <f t="shared" ca="1" si="52"/>
        <v>1.835039636143208E-2</v>
      </c>
    </row>
    <row r="1634" spans="2:8" x14ac:dyDescent="0.3">
      <c r="B1634" s="72">
        <v>44792</v>
      </c>
      <c r="C1634" s="73">
        <v>3501.25</v>
      </c>
      <c r="D1634" s="74">
        <f t="shared" si="51"/>
        <v>1.4381539318605177</v>
      </c>
      <c r="E1634" s="1">
        <v>-7.8985584245386611E-3</v>
      </c>
      <c r="G1634" s="75">
        <v>1632</v>
      </c>
      <c r="H1634" s="1">
        <f t="shared" ca="1" si="52"/>
        <v>1.5081047463747979E-2</v>
      </c>
    </row>
    <row r="1635" spans="2:8" x14ac:dyDescent="0.3">
      <c r="B1635" s="72">
        <v>43620</v>
      </c>
      <c r="C1635" s="73">
        <v>1436.0250000000001</v>
      </c>
      <c r="D1635" s="74">
        <f t="shared" si="51"/>
        <v>-0.40181825755524542</v>
      </c>
      <c r="E1635" s="1">
        <v>-7.9103266032227292E-3</v>
      </c>
      <c r="G1635" s="75">
        <v>1633</v>
      </c>
      <c r="H1635" s="1">
        <f t="shared" ca="1" si="52"/>
        <v>4.8385256639249573E-3</v>
      </c>
    </row>
    <row r="1636" spans="2:8" x14ac:dyDescent="0.3">
      <c r="B1636" s="72">
        <v>45853</v>
      </c>
      <c r="C1636" s="73">
        <v>2400.65</v>
      </c>
      <c r="D1636" s="74">
        <f t="shared" si="51"/>
        <v>0.83968427304251214</v>
      </c>
      <c r="E1636" s="1">
        <v>-7.9138771799322633E-3</v>
      </c>
      <c r="G1636" s="75">
        <v>1634</v>
      </c>
      <c r="H1636" s="1">
        <f t="shared" ca="1" si="52"/>
        <v>2.7120620058482129E-3</v>
      </c>
    </row>
    <row r="1637" spans="2:8" x14ac:dyDescent="0.3">
      <c r="B1637" s="72">
        <v>43601</v>
      </c>
      <c r="C1637" s="73">
        <v>1304.925</v>
      </c>
      <c r="D1637" s="74">
        <f t="shared" si="51"/>
        <v>-0.4275389339767493</v>
      </c>
      <c r="E1637" s="1">
        <v>-7.9256471661534617E-3</v>
      </c>
      <c r="G1637" s="75">
        <v>1635</v>
      </c>
      <c r="H1637" s="1">
        <f t="shared" ca="1" si="52"/>
        <v>-1.9771386421979564E-2</v>
      </c>
    </row>
    <row r="1638" spans="2:8" x14ac:dyDescent="0.3">
      <c r="B1638" s="72">
        <v>45807</v>
      </c>
      <c r="C1638" s="73">
        <v>2279.5</v>
      </c>
      <c r="D1638" s="74">
        <f t="shared" si="51"/>
        <v>2.968910571309185E-2</v>
      </c>
      <c r="E1638" s="1">
        <v>-7.942552497007942E-3</v>
      </c>
      <c r="G1638" s="75">
        <v>1636</v>
      </c>
      <c r="H1638" s="1">
        <f t="shared" ca="1" si="52"/>
        <v>1.4916361462448244E-2</v>
      </c>
    </row>
    <row r="1639" spans="2:8" x14ac:dyDescent="0.3">
      <c r="B1639" s="72">
        <v>44145</v>
      </c>
      <c r="C1639" s="73">
        <v>2213.7750000000001</v>
      </c>
      <c r="D1639" s="74">
        <f t="shared" si="51"/>
        <v>0.5877037276101339</v>
      </c>
      <c r="E1639" s="1">
        <v>-7.9764292035892723E-3</v>
      </c>
      <c r="G1639" s="75">
        <v>1637</v>
      </c>
      <c r="H1639" s="1">
        <f t="shared" ca="1" si="52"/>
        <v>3.6877568765292896E-4</v>
      </c>
    </row>
    <row r="1640" spans="2:8" x14ac:dyDescent="0.3">
      <c r="B1640" s="72">
        <v>43475</v>
      </c>
      <c r="C1640" s="73">
        <v>1394.325</v>
      </c>
      <c r="D1640" s="74">
        <f t="shared" si="51"/>
        <v>-0.43721620148937462</v>
      </c>
      <c r="E1640" s="1">
        <v>-8.0038418440851605E-3</v>
      </c>
      <c r="G1640" s="75">
        <v>1638</v>
      </c>
      <c r="H1640" s="1">
        <f t="shared" ca="1" si="52"/>
        <v>-8.1148373082794416E-3</v>
      </c>
    </row>
    <row r="1641" spans="2:8" x14ac:dyDescent="0.3">
      <c r="B1641" s="72">
        <v>46140</v>
      </c>
      <c r="C1641" s="73">
        <v>2477.5500000000002</v>
      </c>
      <c r="D1641" s="74">
        <f t="shared" si="51"/>
        <v>0.22076866223207695</v>
      </c>
      <c r="E1641" s="1">
        <v>-8.0475647108281412E-3</v>
      </c>
      <c r="G1641" s="75">
        <v>1639</v>
      </c>
      <c r="H1641" s="1">
        <f t="shared" ca="1" si="52"/>
        <v>1.2910912137650625E-2</v>
      </c>
    </row>
    <row r="1642" spans="2:8" x14ac:dyDescent="0.3">
      <c r="B1642" s="72">
        <v>44088</v>
      </c>
      <c r="C1642" s="73">
        <v>2029.5</v>
      </c>
      <c r="D1642" s="74">
        <f t="shared" si="51"/>
        <v>-0.16216857770943199</v>
      </c>
      <c r="E1642" s="1">
        <v>-8.0523955571304186E-3</v>
      </c>
      <c r="G1642" s="75">
        <v>1640</v>
      </c>
      <c r="H1642" s="1">
        <f t="shared" ca="1" si="52"/>
        <v>1.1811435028319573E-2</v>
      </c>
    </row>
    <row r="1643" spans="2:8" x14ac:dyDescent="0.3">
      <c r="B1643" s="72">
        <v>44228</v>
      </c>
      <c r="C1643" s="73">
        <v>2422.3249999999998</v>
      </c>
      <c r="D1643" s="74">
        <f t="shared" si="51"/>
        <v>0.41901233121466852</v>
      </c>
      <c r="E1643" s="1">
        <v>-8.0569205569206315E-3</v>
      </c>
      <c r="G1643" s="75">
        <v>1641</v>
      </c>
      <c r="H1643" s="1">
        <f t="shared" ca="1" si="52"/>
        <v>-2.158872606753022E-3</v>
      </c>
    </row>
    <row r="1644" spans="2:8" x14ac:dyDescent="0.3">
      <c r="B1644" s="72">
        <v>44021</v>
      </c>
      <c r="C1644" s="73">
        <v>1707.05</v>
      </c>
      <c r="D1644" s="74">
        <f t="shared" si="51"/>
        <v>-0.41579397672826834</v>
      </c>
      <c r="E1644" s="1">
        <v>-8.0625245144326455E-3</v>
      </c>
      <c r="G1644" s="75">
        <v>1642</v>
      </c>
      <c r="H1644" s="1">
        <f t="shared" ca="1" si="52"/>
        <v>8.9061658659333638E-3</v>
      </c>
    </row>
    <row r="1645" spans="2:8" x14ac:dyDescent="0.3">
      <c r="B1645" s="72">
        <v>45449</v>
      </c>
      <c r="C1645" s="73">
        <v>2922</v>
      </c>
      <c r="D1645" s="74">
        <f t="shared" si="51"/>
        <v>0.1168017122764103</v>
      </c>
      <c r="E1645" s="1">
        <v>-8.1129705692657896E-3</v>
      </c>
      <c r="G1645" s="75">
        <v>1643</v>
      </c>
      <c r="H1645" s="1">
        <f t="shared" ca="1" si="52"/>
        <v>1.3456319399452509E-2</v>
      </c>
    </row>
    <row r="1646" spans="2:8" x14ac:dyDescent="0.3">
      <c r="B1646" s="72">
        <v>46157</v>
      </c>
      <c r="C1646" s="73">
        <v>2616.4</v>
      </c>
      <c r="D1646" s="74">
        <f t="shared" si="51"/>
        <v>-9.2559676062810375E-2</v>
      </c>
      <c r="E1646" s="1">
        <v>-8.1316223439542885E-3</v>
      </c>
      <c r="G1646" s="75">
        <v>1644</v>
      </c>
      <c r="H1646" s="1">
        <f t="shared" ca="1" si="52"/>
        <v>1.1853261526104062E-2</v>
      </c>
    </row>
    <row r="1647" spans="2:8" x14ac:dyDescent="0.3">
      <c r="B1647" s="72">
        <v>45044</v>
      </c>
      <c r="C1647" s="73">
        <v>2883.2749999999996</v>
      </c>
      <c r="D1647" s="74">
        <f t="shared" si="51"/>
        <v>-0.18309829226312335</v>
      </c>
      <c r="E1647" s="1">
        <v>-8.1357448162579157E-3</v>
      </c>
      <c r="G1647" s="75">
        <v>1645</v>
      </c>
      <c r="H1647" s="1">
        <f t="shared" ca="1" si="52"/>
        <v>1.9233807070705433E-2</v>
      </c>
    </row>
    <row r="1648" spans="2:8" x14ac:dyDescent="0.3">
      <c r="B1648" s="72">
        <v>44572</v>
      </c>
      <c r="C1648" s="73">
        <v>3529.5250000000001</v>
      </c>
      <c r="D1648" s="74">
        <f t="shared" si="51"/>
        <v>0.58445187645896945</v>
      </c>
      <c r="E1648" s="1">
        <v>-8.1424757622593526E-3</v>
      </c>
      <c r="G1648" s="75">
        <v>1646</v>
      </c>
      <c r="H1648" s="1">
        <f t="shared" ca="1" si="52"/>
        <v>7.8543169660967548E-3</v>
      </c>
    </row>
    <row r="1649" spans="2:8" x14ac:dyDescent="0.3">
      <c r="B1649" s="72">
        <v>45818</v>
      </c>
      <c r="C1649" s="73">
        <v>2227.6</v>
      </c>
      <c r="D1649" s="74">
        <f t="shared" si="51"/>
        <v>-3.0529866173430568E-2</v>
      </c>
      <c r="E1649" s="1">
        <v>-8.1481811300592993E-3</v>
      </c>
      <c r="G1649" s="75">
        <v>1647</v>
      </c>
      <c r="H1649" s="1">
        <f t="shared" ca="1" si="52"/>
        <v>-8.7025911508553915E-3</v>
      </c>
    </row>
    <row r="1650" spans="2:8" x14ac:dyDescent="0.3">
      <c r="B1650" s="72">
        <v>45806</v>
      </c>
      <c r="C1650" s="73">
        <v>2297.75</v>
      </c>
      <c r="D1650" s="74">
        <f t="shared" si="51"/>
        <v>-0.21412875257582101</v>
      </c>
      <c r="E1650" s="1">
        <v>-8.1583320743315087E-3</v>
      </c>
      <c r="G1650" s="75">
        <v>1648</v>
      </c>
      <c r="H1650" s="1">
        <f t="shared" ca="1" si="52"/>
        <v>-1.8280644235730913E-2</v>
      </c>
    </row>
    <row r="1651" spans="2:8" x14ac:dyDescent="0.3">
      <c r="B1651" s="72">
        <v>45600</v>
      </c>
      <c r="C1651" s="73">
        <v>2923.8249999999998</v>
      </c>
      <c r="D1651" s="74">
        <f t="shared" si="51"/>
        <v>4.8943459855062134E-2</v>
      </c>
      <c r="E1651" s="1">
        <v>-8.1584192002714436E-3</v>
      </c>
      <c r="G1651" s="75">
        <v>1649</v>
      </c>
      <c r="H1651" s="1">
        <f t="shared" ca="1" si="52"/>
        <v>-5.1760923545926506E-3</v>
      </c>
    </row>
    <row r="1652" spans="2:8" x14ac:dyDescent="0.3">
      <c r="B1652" s="72">
        <v>46002</v>
      </c>
      <c r="C1652" s="73">
        <v>2787.3999999999996</v>
      </c>
      <c r="D1652" s="74">
        <f t="shared" si="51"/>
        <v>1.0091903483322218</v>
      </c>
      <c r="E1652" s="1">
        <v>-8.1662426388173261E-3</v>
      </c>
      <c r="G1652" s="75">
        <v>1650</v>
      </c>
      <c r="H1652" s="1">
        <f t="shared" ca="1" si="52"/>
        <v>9.6136499144872083E-3</v>
      </c>
    </row>
    <row r="1653" spans="2:8" x14ac:dyDescent="0.3">
      <c r="B1653" s="72">
        <v>43532</v>
      </c>
      <c r="C1653" s="73">
        <v>1387.325</v>
      </c>
      <c r="D1653" s="74">
        <f t="shared" si="51"/>
        <v>0.21479389680611188</v>
      </c>
      <c r="E1653" s="1">
        <v>-8.1680071492403611E-3</v>
      </c>
      <c r="G1653" s="75">
        <v>1651</v>
      </c>
      <c r="H1653" s="1">
        <f t="shared" ca="1" si="52"/>
        <v>-1.8254589682386663E-2</v>
      </c>
    </row>
    <row r="1654" spans="2:8" x14ac:dyDescent="0.3">
      <c r="B1654" s="72">
        <v>43102</v>
      </c>
      <c r="C1654" s="73">
        <v>1142.0250000000001</v>
      </c>
      <c r="D1654" s="74">
        <f t="shared" si="51"/>
        <v>-1.7549519323827228E-2</v>
      </c>
      <c r="E1654" s="1">
        <v>-8.2714602058094437E-3</v>
      </c>
      <c r="G1654" s="75">
        <v>1652</v>
      </c>
      <c r="H1654" s="1">
        <f t="shared" ca="1" si="52"/>
        <v>1.791095874299192E-3</v>
      </c>
    </row>
    <row r="1655" spans="2:8" x14ac:dyDescent="0.3">
      <c r="B1655" s="72">
        <v>43215</v>
      </c>
      <c r="C1655" s="73">
        <v>1162.425</v>
      </c>
      <c r="D1655" s="74">
        <f t="shared" si="51"/>
        <v>-0.63059212355703154</v>
      </c>
      <c r="E1655" s="1">
        <v>-8.317870625120162E-3</v>
      </c>
      <c r="G1655" s="75">
        <v>1653</v>
      </c>
      <c r="H1655" s="1">
        <f t="shared" ca="1" si="52"/>
        <v>-2.7251836862133643E-3</v>
      </c>
    </row>
    <row r="1656" spans="2:8" x14ac:dyDescent="0.3">
      <c r="B1656" s="72">
        <v>44533</v>
      </c>
      <c r="C1656" s="73">
        <v>3146.7249999999999</v>
      </c>
      <c r="D1656" s="74">
        <f t="shared" si="51"/>
        <v>0.13087815133600464</v>
      </c>
      <c r="E1656" s="1">
        <v>-8.3198739413039482E-3</v>
      </c>
      <c r="G1656" s="75">
        <v>1654</v>
      </c>
      <c r="H1656" s="1">
        <f t="shared" ca="1" si="52"/>
        <v>-8.7705123625890884E-3</v>
      </c>
    </row>
    <row r="1657" spans="2:8" x14ac:dyDescent="0.3">
      <c r="B1657" s="72">
        <v>45026</v>
      </c>
      <c r="C1657" s="73">
        <v>2782.55</v>
      </c>
      <c r="D1657" s="74">
        <f t="shared" si="51"/>
        <v>0.11088709677419355</v>
      </c>
      <c r="E1657" s="1">
        <v>-8.3217505969563812E-3</v>
      </c>
      <c r="G1657" s="75">
        <v>1655</v>
      </c>
      <c r="H1657" s="1">
        <f t="shared" ca="1" si="52"/>
        <v>1.1623477205979485E-2</v>
      </c>
    </row>
    <row r="1658" spans="2:8" x14ac:dyDescent="0.3">
      <c r="B1658" s="72">
        <v>46136</v>
      </c>
      <c r="C1658" s="73">
        <v>2504.8000000000002</v>
      </c>
      <c r="D1658" s="74">
        <f t="shared" si="51"/>
        <v>0.81942325851674302</v>
      </c>
      <c r="E1658" s="1">
        <v>-8.3338282162439287E-3</v>
      </c>
      <c r="G1658" s="75">
        <v>1656</v>
      </c>
      <c r="H1658" s="1">
        <f t="shared" ca="1" si="52"/>
        <v>-5.6086576017404686E-3</v>
      </c>
    </row>
    <row r="1659" spans="2:8" x14ac:dyDescent="0.3">
      <c r="B1659" s="72">
        <v>43612</v>
      </c>
      <c r="C1659" s="73">
        <v>1376.7</v>
      </c>
      <c r="D1659" s="74">
        <f t="shared" si="51"/>
        <v>-0.10637262061243366</v>
      </c>
      <c r="E1659" s="1">
        <v>-8.355542750126151E-3</v>
      </c>
      <c r="G1659" s="75">
        <v>1657</v>
      </c>
      <c r="H1659" s="1">
        <f t="shared" ca="1" si="52"/>
        <v>-1.3761471748275442E-2</v>
      </c>
    </row>
    <row r="1660" spans="2:8" x14ac:dyDescent="0.3">
      <c r="B1660" s="72">
        <v>43721</v>
      </c>
      <c r="C1660" s="73">
        <v>1540.575</v>
      </c>
      <c r="D1660" s="74">
        <f t="shared" si="51"/>
        <v>-0.54312044959148265</v>
      </c>
      <c r="E1660" s="1">
        <v>-8.367796855639412E-3</v>
      </c>
      <c r="G1660" s="75">
        <v>1658</v>
      </c>
      <c r="H1660" s="1">
        <f t="shared" ca="1" si="52"/>
        <v>2.5705859964624202E-3</v>
      </c>
    </row>
    <row r="1661" spans="2:8" x14ac:dyDescent="0.3">
      <c r="B1661" s="72">
        <v>45293</v>
      </c>
      <c r="C1661" s="73">
        <v>3371.95</v>
      </c>
      <c r="D1661" s="74">
        <f t="shared" si="51"/>
        <v>0.37889506829148595</v>
      </c>
      <c r="E1661" s="1">
        <v>-8.3885339548152964E-3</v>
      </c>
      <c r="G1661" s="75">
        <v>1659</v>
      </c>
      <c r="H1661" s="1">
        <f t="shared" ca="1" si="52"/>
        <v>-1.1530249147283317E-2</v>
      </c>
    </row>
    <row r="1662" spans="2:8" x14ac:dyDescent="0.3">
      <c r="B1662" s="72">
        <v>45631</v>
      </c>
      <c r="C1662" s="73">
        <v>2445.4</v>
      </c>
      <c r="D1662" s="74">
        <f t="shared" si="51"/>
        <v>-0.23021956401983157</v>
      </c>
      <c r="E1662" s="1">
        <v>-8.4139245382476927E-3</v>
      </c>
      <c r="G1662" s="75">
        <v>1660</v>
      </c>
      <c r="H1662" s="1">
        <f t="shared" ca="1" si="52"/>
        <v>-2.1878887939057137E-2</v>
      </c>
    </row>
    <row r="1663" spans="2:8" x14ac:dyDescent="0.3">
      <c r="B1663" s="72">
        <v>45089</v>
      </c>
      <c r="C1663" s="73">
        <v>3176.75</v>
      </c>
      <c r="D1663" s="74">
        <f t="shared" si="51"/>
        <v>8.2450954502474597E-2</v>
      </c>
      <c r="E1663" s="1">
        <v>-8.419886226189938E-3</v>
      </c>
      <c r="G1663" s="75">
        <v>1661</v>
      </c>
      <c r="H1663" s="1">
        <f t="shared" ca="1" si="52"/>
        <v>1.5414398891254516E-2</v>
      </c>
    </row>
    <row r="1664" spans="2:8" x14ac:dyDescent="0.3">
      <c r="B1664" s="72">
        <v>45331</v>
      </c>
      <c r="C1664" s="73">
        <v>2934.7750000000001</v>
      </c>
      <c r="D1664" s="74">
        <f t="shared" si="51"/>
        <v>-0.1438250760332869</v>
      </c>
      <c r="E1664" s="1">
        <v>-8.4465880007770864E-3</v>
      </c>
      <c r="G1664" s="75">
        <v>1662</v>
      </c>
      <c r="H1664" s="1">
        <f t="shared" ca="1" si="52"/>
        <v>9.6784768324802519E-4</v>
      </c>
    </row>
    <row r="1665" spans="2:8" x14ac:dyDescent="0.3">
      <c r="B1665" s="72">
        <v>44809</v>
      </c>
      <c r="C1665" s="73">
        <v>3427.7750000000001</v>
      </c>
      <c r="D1665" s="74">
        <f t="shared" si="51"/>
        <v>0.1503951806420219</v>
      </c>
      <c r="E1665" s="1">
        <v>-8.4538617298235193E-3</v>
      </c>
      <c r="G1665" s="75">
        <v>1663</v>
      </c>
      <c r="H1665" s="1">
        <f t="shared" ca="1" si="52"/>
        <v>4.0011586700460433E-3</v>
      </c>
    </row>
    <row r="1666" spans="2:8" x14ac:dyDescent="0.3">
      <c r="B1666" s="72">
        <v>45344</v>
      </c>
      <c r="C1666" s="73">
        <v>2979.6499999999996</v>
      </c>
      <c r="D1666" s="74">
        <f t="shared" si="51"/>
        <v>-0.10673252040441605</v>
      </c>
      <c r="E1666" s="1">
        <v>-8.4771848092842599E-3</v>
      </c>
      <c r="G1666" s="75">
        <v>1664</v>
      </c>
      <c r="H1666" s="1">
        <f t="shared" ca="1" si="52"/>
        <v>-2.9349717025310041E-3</v>
      </c>
    </row>
    <row r="1667" spans="2:8" x14ac:dyDescent="0.3">
      <c r="B1667" s="72">
        <v>45299</v>
      </c>
      <c r="C1667" s="73">
        <v>3335.6750000000002</v>
      </c>
      <c r="D1667" s="74">
        <f t="shared" ref="D1667:D1730" si="53">(C1667-C1668)/C1668</f>
        <v>0.86033574077688868</v>
      </c>
      <c r="E1667" s="1">
        <v>-8.47898460258E-3</v>
      </c>
      <c r="G1667" s="75">
        <v>1665</v>
      </c>
      <c r="H1667" s="1">
        <f t="shared" ca="1" si="52"/>
        <v>1.5658104436440832E-3</v>
      </c>
    </row>
    <row r="1668" spans="2:8" x14ac:dyDescent="0.3">
      <c r="B1668" s="72">
        <v>43830</v>
      </c>
      <c r="C1668" s="73">
        <v>1793.05</v>
      </c>
      <c r="D1668" s="74">
        <f t="shared" si="53"/>
        <v>8.5709960641840721E-2</v>
      </c>
      <c r="E1668" s="1">
        <v>-8.5841062715121524E-3</v>
      </c>
      <c r="G1668" s="75">
        <v>1666</v>
      </c>
      <c r="H1668" s="1">
        <f t="shared" ref="H1668:H1731" ca="1" si="54">_xlfn.NORM.INV(RAND(),$N$4,$N$5)</f>
        <v>-1.1287146361223278E-2</v>
      </c>
    </row>
    <row r="1669" spans="2:8" x14ac:dyDescent="0.3">
      <c r="B1669" s="72">
        <v>43992</v>
      </c>
      <c r="C1669" s="73">
        <v>1651.5</v>
      </c>
      <c r="D1669" s="74">
        <f t="shared" si="53"/>
        <v>0.46322014751810758</v>
      </c>
      <c r="E1669" s="1">
        <v>-8.629098821940422E-3</v>
      </c>
      <c r="G1669" s="75">
        <v>1667</v>
      </c>
      <c r="H1669" s="1">
        <f t="shared" ca="1" si="54"/>
        <v>-1.4418474948783504E-2</v>
      </c>
    </row>
    <row r="1670" spans="2:8" x14ac:dyDescent="0.3">
      <c r="B1670" s="72">
        <v>43150</v>
      </c>
      <c r="C1670" s="73">
        <v>1128.675</v>
      </c>
      <c r="D1670" s="74">
        <f t="shared" si="53"/>
        <v>-0.59974999335088708</v>
      </c>
      <c r="E1670" s="1">
        <v>-8.6297760210804087E-3</v>
      </c>
      <c r="G1670" s="75">
        <v>1668</v>
      </c>
      <c r="H1670" s="1">
        <f t="shared" ca="1" si="54"/>
        <v>1.3025066227659723E-2</v>
      </c>
    </row>
    <row r="1671" spans="2:8" x14ac:dyDescent="0.3">
      <c r="B1671" s="72">
        <v>45356</v>
      </c>
      <c r="C1671" s="73">
        <v>2819.9250000000002</v>
      </c>
      <c r="D1671" s="74">
        <f t="shared" si="53"/>
        <v>0.20948959897061986</v>
      </c>
      <c r="E1671" s="1">
        <v>-8.6307666616861553E-3</v>
      </c>
      <c r="G1671" s="75">
        <v>1669</v>
      </c>
      <c r="H1671" s="1">
        <f t="shared" ca="1" si="54"/>
        <v>5.6340147292230349E-3</v>
      </c>
    </row>
    <row r="1672" spans="2:8" x14ac:dyDescent="0.3">
      <c r="B1672" s="72">
        <v>45944</v>
      </c>
      <c r="C1672" s="73">
        <v>2331.5</v>
      </c>
      <c r="D1672" s="74">
        <f t="shared" si="53"/>
        <v>-0.17910710513344125</v>
      </c>
      <c r="E1672" s="1">
        <v>-8.6316863678885022E-3</v>
      </c>
      <c r="G1672" s="75">
        <v>1670</v>
      </c>
      <c r="H1672" s="1">
        <f t="shared" ca="1" si="54"/>
        <v>9.7757653149600342E-4</v>
      </c>
    </row>
    <row r="1673" spans="2:8" x14ac:dyDescent="0.3">
      <c r="B1673" s="72">
        <v>45427</v>
      </c>
      <c r="C1673" s="73">
        <v>2840.2</v>
      </c>
      <c r="D1673" s="74">
        <f t="shared" si="53"/>
        <v>0.25686469742228113</v>
      </c>
      <c r="E1673" s="1">
        <v>-8.6561954624782486E-3</v>
      </c>
      <c r="G1673" s="75">
        <v>1671</v>
      </c>
      <c r="H1673" s="1">
        <f t="shared" ca="1" si="54"/>
        <v>-1.2383203711939534E-2</v>
      </c>
    </row>
    <row r="1674" spans="2:8" x14ac:dyDescent="0.3">
      <c r="B1674" s="72">
        <v>45695</v>
      </c>
      <c r="C1674" s="73">
        <v>2259.75</v>
      </c>
      <c r="D1674" s="74">
        <f t="shared" si="53"/>
        <v>-0.30703771849126033</v>
      </c>
      <c r="E1674" s="1">
        <v>-8.696796551988779E-3</v>
      </c>
      <c r="G1674" s="75">
        <v>1672</v>
      </c>
      <c r="H1674" s="1">
        <f t="shared" ca="1" si="54"/>
        <v>-2.6342579881433518E-2</v>
      </c>
    </row>
    <row r="1675" spans="2:8" x14ac:dyDescent="0.3">
      <c r="B1675" s="72">
        <v>45169</v>
      </c>
      <c r="C1675" s="73">
        <v>3261</v>
      </c>
      <c r="D1675" s="74">
        <f t="shared" si="53"/>
        <v>1.6819088348376752</v>
      </c>
      <c r="E1675" s="1">
        <v>-8.7015997264125854E-3</v>
      </c>
      <c r="G1675" s="75">
        <v>1673</v>
      </c>
      <c r="H1675" s="1">
        <f t="shared" ca="1" si="54"/>
        <v>-7.7106782905350928E-3</v>
      </c>
    </row>
    <row r="1676" spans="2:8" x14ac:dyDescent="0.3">
      <c r="B1676" s="72">
        <v>43378</v>
      </c>
      <c r="C1676" s="73">
        <v>1215.925</v>
      </c>
      <c r="D1676" s="74">
        <f t="shared" si="53"/>
        <v>-0.55255749770009199</v>
      </c>
      <c r="E1676" s="1">
        <v>-8.7029186368824032E-3</v>
      </c>
      <c r="G1676" s="75">
        <v>1674</v>
      </c>
      <c r="H1676" s="1">
        <f t="shared" ca="1" si="54"/>
        <v>1.7428068918630968E-2</v>
      </c>
    </row>
    <row r="1677" spans="2:8" x14ac:dyDescent="0.3">
      <c r="B1677" s="72">
        <v>44959</v>
      </c>
      <c r="C1677" s="73">
        <v>2717.5</v>
      </c>
      <c r="D1677" s="74">
        <f t="shared" si="53"/>
        <v>0.26849647575036167</v>
      </c>
      <c r="E1677" s="1">
        <v>-8.7181731961771692E-3</v>
      </c>
      <c r="G1677" s="75">
        <v>1675</v>
      </c>
      <c r="H1677" s="1">
        <f t="shared" ca="1" si="54"/>
        <v>1.9531312383212492E-2</v>
      </c>
    </row>
    <row r="1678" spans="2:8" x14ac:dyDescent="0.3">
      <c r="B1678" s="72">
        <v>45720</v>
      </c>
      <c r="C1678" s="73">
        <v>2142.3000000000002</v>
      </c>
      <c r="D1678" s="74">
        <f t="shared" si="53"/>
        <v>-0.34626182483979245</v>
      </c>
      <c r="E1678" s="1">
        <v>-8.7336749684777948E-3</v>
      </c>
      <c r="G1678" s="75">
        <v>1676</v>
      </c>
      <c r="H1678" s="1">
        <f t="shared" ca="1" si="54"/>
        <v>-2.0934491639728323E-4</v>
      </c>
    </row>
    <row r="1679" spans="2:8" x14ac:dyDescent="0.3">
      <c r="B1679" s="72">
        <v>44544</v>
      </c>
      <c r="C1679" s="73">
        <v>3277</v>
      </c>
      <c r="D1679" s="74">
        <f t="shared" si="53"/>
        <v>0.1270172904468346</v>
      </c>
      <c r="E1679" s="1">
        <v>-8.7644340928167662E-3</v>
      </c>
      <c r="G1679" s="75">
        <v>1677</v>
      </c>
      <c r="H1679" s="1">
        <f t="shared" ca="1" si="54"/>
        <v>-3.894136505140317E-3</v>
      </c>
    </row>
    <row r="1680" spans="2:8" x14ac:dyDescent="0.3">
      <c r="B1680" s="72">
        <v>45454</v>
      </c>
      <c r="C1680" s="73">
        <v>2907.6750000000002</v>
      </c>
      <c r="D1680" s="74">
        <f t="shared" si="53"/>
        <v>-0.12396339396678335</v>
      </c>
      <c r="E1680" s="1">
        <v>-8.7865823518381552E-3</v>
      </c>
      <c r="G1680" s="75">
        <v>1678</v>
      </c>
      <c r="H1680" s="1">
        <f t="shared" ca="1" si="54"/>
        <v>-1.3402143838619918E-2</v>
      </c>
    </row>
    <row r="1681" spans="2:8" x14ac:dyDescent="0.3">
      <c r="B1681" s="72">
        <v>44837</v>
      </c>
      <c r="C1681" s="73">
        <v>3319.125</v>
      </c>
      <c r="D1681" s="74">
        <f t="shared" si="53"/>
        <v>1.21275</v>
      </c>
      <c r="E1681" s="1">
        <v>-8.7947858417385966E-3</v>
      </c>
      <c r="G1681" s="75">
        <v>1679</v>
      </c>
      <c r="H1681" s="1">
        <f t="shared" ca="1" si="54"/>
        <v>-2.1199889901356683E-2</v>
      </c>
    </row>
    <row r="1682" spans="2:8" x14ac:dyDescent="0.3">
      <c r="B1682" s="72">
        <v>43563</v>
      </c>
      <c r="C1682" s="73">
        <v>1500</v>
      </c>
      <c r="D1682" s="74">
        <f t="shared" si="53"/>
        <v>-0.37862468931234466</v>
      </c>
      <c r="E1682" s="1">
        <v>-8.8051145656088715E-3</v>
      </c>
      <c r="G1682" s="75">
        <v>1680</v>
      </c>
      <c r="H1682" s="1">
        <f t="shared" ca="1" si="54"/>
        <v>1.6926865109193064E-2</v>
      </c>
    </row>
    <row r="1683" spans="2:8" x14ac:dyDescent="0.3">
      <c r="B1683" s="72">
        <v>44249</v>
      </c>
      <c r="C1683" s="73">
        <v>2414</v>
      </c>
      <c r="D1683" s="74">
        <f t="shared" si="53"/>
        <v>-0.13692471330633985</v>
      </c>
      <c r="E1683" s="1">
        <v>-8.8074072553326159E-3</v>
      </c>
      <c r="G1683" s="75">
        <v>1681</v>
      </c>
      <c r="H1683" s="1">
        <f t="shared" ca="1" si="54"/>
        <v>-1.9811441052684124E-2</v>
      </c>
    </row>
    <row r="1684" spans="2:8" x14ac:dyDescent="0.3">
      <c r="B1684" s="72">
        <v>44979</v>
      </c>
      <c r="C1684" s="73">
        <v>2796.9749999999999</v>
      </c>
      <c r="D1684" s="74">
        <f t="shared" si="53"/>
        <v>0.23171349304209957</v>
      </c>
      <c r="E1684" s="1">
        <v>-8.8151390045537511E-3</v>
      </c>
      <c r="G1684" s="75">
        <v>1682</v>
      </c>
      <c r="H1684" s="1">
        <f t="shared" ca="1" si="54"/>
        <v>9.626702395571984E-4</v>
      </c>
    </row>
    <row r="1685" spans="2:8" x14ac:dyDescent="0.3">
      <c r="B1685" s="72">
        <v>46121</v>
      </c>
      <c r="C1685" s="73">
        <v>2270.8000000000002</v>
      </c>
      <c r="D1685" s="74">
        <f t="shared" si="53"/>
        <v>3.520508758533461E-2</v>
      </c>
      <c r="E1685" s="1">
        <v>-8.8387420615001853E-3</v>
      </c>
      <c r="G1685" s="75">
        <v>1683</v>
      </c>
      <c r="H1685" s="1">
        <f t="shared" ca="1" si="54"/>
        <v>-1.8395467771853101E-2</v>
      </c>
    </row>
    <row r="1686" spans="2:8" x14ac:dyDescent="0.3">
      <c r="B1686" s="72">
        <v>45716</v>
      </c>
      <c r="C1686" s="73">
        <v>2193.5749999999998</v>
      </c>
      <c r="D1686" s="74">
        <f t="shared" si="53"/>
        <v>-0.31706880448318808</v>
      </c>
      <c r="E1686" s="1">
        <v>-8.8672510392192316E-3</v>
      </c>
      <c r="G1686" s="75">
        <v>1684</v>
      </c>
      <c r="H1686" s="1">
        <f t="shared" ca="1" si="54"/>
        <v>1.3478496368013206E-2</v>
      </c>
    </row>
    <row r="1687" spans="2:8" x14ac:dyDescent="0.3">
      <c r="B1687" s="72">
        <v>44602</v>
      </c>
      <c r="C1687" s="73">
        <v>3212</v>
      </c>
      <c r="D1687" s="74">
        <f t="shared" si="53"/>
        <v>-3.5225386908561203E-2</v>
      </c>
      <c r="E1687" s="1">
        <v>-8.9096308867204072E-3</v>
      </c>
      <c r="G1687" s="75">
        <v>1685</v>
      </c>
      <c r="H1687" s="1">
        <f t="shared" ca="1" si="54"/>
        <v>-4.8581826323330496E-3</v>
      </c>
    </row>
    <row r="1688" spans="2:8" x14ac:dyDescent="0.3">
      <c r="B1688" s="72">
        <v>44447</v>
      </c>
      <c r="C1688" s="73">
        <v>3329.2750000000001</v>
      </c>
      <c r="D1688" s="74">
        <f t="shared" si="53"/>
        <v>1.3501455925174271</v>
      </c>
      <c r="E1688" s="1">
        <v>-8.9157469356770745E-3</v>
      </c>
      <c r="G1688" s="75">
        <v>1686</v>
      </c>
      <c r="H1688" s="1">
        <f t="shared" ca="1" si="54"/>
        <v>4.0499338094134541E-3</v>
      </c>
    </row>
    <row r="1689" spans="2:8" x14ac:dyDescent="0.3">
      <c r="B1689" s="72">
        <v>43315</v>
      </c>
      <c r="C1689" s="73">
        <v>1416.625</v>
      </c>
      <c r="D1689" s="74">
        <f t="shared" si="53"/>
        <v>0.23195495260457422</v>
      </c>
      <c r="E1689" s="1">
        <v>-8.9199825098382167E-3</v>
      </c>
      <c r="G1689" s="75">
        <v>1687</v>
      </c>
      <c r="H1689" s="1">
        <f t="shared" ca="1" si="54"/>
        <v>1.4048793636054163E-2</v>
      </c>
    </row>
    <row r="1690" spans="2:8" x14ac:dyDescent="0.3">
      <c r="B1690" s="72">
        <v>43201</v>
      </c>
      <c r="C1690" s="73">
        <v>1149.9000000000001</v>
      </c>
      <c r="D1690" s="74">
        <f t="shared" si="53"/>
        <v>-0.64828677825611536</v>
      </c>
      <c r="E1690" s="1">
        <v>-8.9631991726278459E-3</v>
      </c>
      <c r="G1690" s="75">
        <v>1688</v>
      </c>
      <c r="H1690" s="1">
        <f t="shared" ca="1" si="54"/>
        <v>2.360717709706439E-3</v>
      </c>
    </row>
    <row r="1691" spans="2:8" x14ac:dyDescent="0.3">
      <c r="B1691" s="72">
        <v>45559</v>
      </c>
      <c r="C1691" s="73">
        <v>3269.4250000000002</v>
      </c>
      <c r="D1691" s="74">
        <f t="shared" si="53"/>
        <v>0.118717867560886</v>
      </c>
      <c r="E1691" s="1">
        <v>-8.9798578378624139E-3</v>
      </c>
      <c r="G1691" s="75">
        <v>1689</v>
      </c>
      <c r="H1691" s="1">
        <f t="shared" ca="1" si="54"/>
        <v>3.3601723649408057E-3</v>
      </c>
    </row>
    <row r="1692" spans="2:8" x14ac:dyDescent="0.3">
      <c r="B1692" s="72">
        <v>44354</v>
      </c>
      <c r="C1692" s="73">
        <v>2922.4749999999999</v>
      </c>
      <c r="D1692" s="74">
        <f t="shared" si="53"/>
        <v>0.69681970592077558</v>
      </c>
      <c r="E1692" s="1">
        <v>-8.9945744320108819E-3</v>
      </c>
      <c r="G1692" s="75">
        <v>1690</v>
      </c>
      <c r="H1692" s="1">
        <f t="shared" ca="1" si="54"/>
        <v>2.17944147290654E-2</v>
      </c>
    </row>
    <row r="1693" spans="2:8" x14ac:dyDescent="0.3">
      <c r="B1693" s="72">
        <v>43803</v>
      </c>
      <c r="C1693" s="73">
        <v>1722.325</v>
      </c>
      <c r="D1693" s="74">
        <f t="shared" si="53"/>
        <v>-0.42575289028181812</v>
      </c>
      <c r="E1693" s="1">
        <v>-9.0047325191673442E-3</v>
      </c>
      <c r="G1693" s="75">
        <v>1691</v>
      </c>
      <c r="H1693" s="1">
        <f t="shared" ca="1" si="54"/>
        <v>1.6145822174212243E-2</v>
      </c>
    </row>
    <row r="1694" spans="2:8" x14ac:dyDescent="0.3">
      <c r="B1694" s="72">
        <v>45588</v>
      </c>
      <c r="C1694" s="73">
        <v>2999.2750000000001</v>
      </c>
      <c r="D1694" s="74">
        <f t="shared" si="53"/>
        <v>0.22860683270522705</v>
      </c>
      <c r="E1694" s="1">
        <v>-9.0282825612898361E-3</v>
      </c>
      <c r="G1694" s="75">
        <v>1692</v>
      </c>
      <c r="H1694" s="1">
        <f t="shared" ca="1" si="54"/>
        <v>-1.455269318649014E-2</v>
      </c>
    </row>
    <row r="1695" spans="2:8" x14ac:dyDescent="0.3">
      <c r="B1695" s="72">
        <v>45772</v>
      </c>
      <c r="C1695" s="73">
        <v>2441.1999999999998</v>
      </c>
      <c r="D1695" s="74">
        <f t="shared" si="53"/>
        <v>-0.17464288732989611</v>
      </c>
      <c r="E1695" s="1">
        <v>-9.0320485497980482E-3</v>
      </c>
      <c r="G1695" s="75">
        <v>1693</v>
      </c>
      <c r="H1695" s="1">
        <f t="shared" ca="1" si="54"/>
        <v>-2.6814916989850216E-3</v>
      </c>
    </row>
    <row r="1696" spans="2:8" x14ac:dyDescent="0.3">
      <c r="B1696" s="72">
        <v>45596</v>
      </c>
      <c r="C1696" s="73">
        <v>2957.75</v>
      </c>
      <c r="D1696" s="74">
        <f t="shared" si="53"/>
        <v>1.1903580553189914</v>
      </c>
      <c r="E1696" s="1">
        <v>-9.0542838237388373E-3</v>
      </c>
      <c r="G1696" s="75">
        <v>1694</v>
      </c>
      <c r="H1696" s="1">
        <f t="shared" ca="1" si="54"/>
        <v>2.2804130906899304E-2</v>
      </c>
    </row>
    <row r="1697" spans="2:8" x14ac:dyDescent="0.3">
      <c r="B1697" s="72">
        <v>43648</v>
      </c>
      <c r="C1697" s="73">
        <v>1350.35</v>
      </c>
      <c r="D1697" s="74">
        <f t="shared" si="53"/>
        <v>-0.20515046722095509</v>
      </c>
      <c r="E1697" s="1">
        <v>-9.1174258406561473E-3</v>
      </c>
      <c r="G1697" s="75">
        <v>1695</v>
      </c>
      <c r="H1697" s="1">
        <f t="shared" ca="1" si="54"/>
        <v>1.6775646453409395E-2</v>
      </c>
    </row>
    <row r="1698" spans="2:8" x14ac:dyDescent="0.3">
      <c r="B1698" s="72">
        <v>43798</v>
      </c>
      <c r="C1698" s="73">
        <v>1698.875</v>
      </c>
      <c r="D1698" s="74">
        <f t="shared" si="53"/>
        <v>-0.45348753046009826</v>
      </c>
      <c r="E1698" s="1">
        <v>-9.2001283060683461E-3</v>
      </c>
      <c r="G1698" s="75">
        <v>1696</v>
      </c>
      <c r="H1698" s="1">
        <f t="shared" ca="1" si="54"/>
        <v>-1.0929681370135244E-2</v>
      </c>
    </row>
    <row r="1699" spans="2:8" x14ac:dyDescent="0.3">
      <c r="B1699" s="72">
        <v>44510</v>
      </c>
      <c r="C1699" s="73">
        <v>3108.5749999999998</v>
      </c>
      <c r="D1699" s="74">
        <f t="shared" si="53"/>
        <v>0.39083018276996023</v>
      </c>
      <c r="E1699" s="1">
        <v>-9.2191235059761543E-3</v>
      </c>
      <c r="G1699" s="75">
        <v>1697</v>
      </c>
      <c r="H1699" s="1">
        <f t="shared" ca="1" si="54"/>
        <v>-8.7246880784908609E-3</v>
      </c>
    </row>
    <row r="1700" spans="2:8" x14ac:dyDescent="0.3">
      <c r="B1700" s="72">
        <v>46108</v>
      </c>
      <c r="C1700" s="73">
        <v>2235.0500000000002</v>
      </c>
      <c r="D1700" s="74">
        <f t="shared" si="53"/>
        <v>0.11164716561182753</v>
      </c>
      <c r="E1700" s="1">
        <v>-9.2204712192742108E-3</v>
      </c>
      <c r="G1700" s="75">
        <v>1698</v>
      </c>
      <c r="H1700" s="1">
        <f t="shared" ca="1" si="54"/>
        <v>-1.1776453434376447E-2</v>
      </c>
    </row>
    <row r="1701" spans="2:8" x14ac:dyDescent="0.3">
      <c r="B1701" s="72">
        <v>44090</v>
      </c>
      <c r="C1701" s="73">
        <v>2010.575</v>
      </c>
      <c r="D1701" s="74">
        <f t="shared" si="53"/>
        <v>-3.947305560863739E-2</v>
      </c>
      <c r="E1701" s="1">
        <v>-9.2273197654364238E-3</v>
      </c>
      <c r="G1701" s="75">
        <v>1699</v>
      </c>
      <c r="H1701" s="1">
        <f t="shared" ca="1" si="54"/>
        <v>1.9178772271433685E-3</v>
      </c>
    </row>
    <row r="1702" spans="2:8" x14ac:dyDescent="0.3">
      <c r="B1702" s="72">
        <v>44130</v>
      </c>
      <c r="C1702" s="73">
        <v>2093.1999999999998</v>
      </c>
      <c r="D1702" s="74">
        <f t="shared" si="53"/>
        <v>-5.063836542168406E-2</v>
      </c>
      <c r="E1702" s="1">
        <v>-9.2298953945188621E-3</v>
      </c>
      <c r="G1702" s="75">
        <v>1700</v>
      </c>
      <c r="H1702" s="1">
        <f t="shared" ca="1" si="54"/>
        <v>-1.880417406598376E-2</v>
      </c>
    </row>
    <row r="1703" spans="2:8" x14ac:dyDescent="0.3">
      <c r="B1703" s="72">
        <v>46094</v>
      </c>
      <c r="C1703" s="73">
        <v>2204.85</v>
      </c>
      <c r="D1703" s="74">
        <f t="shared" si="53"/>
        <v>0.71124219022856905</v>
      </c>
      <c r="E1703" s="1">
        <v>-9.2565548540744173E-3</v>
      </c>
      <c r="G1703" s="75">
        <v>1701</v>
      </c>
      <c r="H1703" s="1">
        <f t="shared" ca="1" si="54"/>
        <v>-4.6426841688402014E-4</v>
      </c>
    </row>
    <row r="1704" spans="2:8" x14ac:dyDescent="0.3">
      <c r="B1704" s="72">
        <v>43374</v>
      </c>
      <c r="C1704" s="73">
        <v>1288.45</v>
      </c>
      <c r="D1704" s="74">
        <f t="shared" si="53"/>
        <v>0.1569094010954476</v>
      </c>
      <c r="E1704" s="1">
        <v>-9.2656670511341438E-3</v>
      </c>
      <c r="G1704" s="75">
        <v>1702</v>
      </c>
      <c r="H1704" s="1">
        <f t="shared" ca="1" si="54"/>
        <v>1.8497135172858944E-2</v>
      </c>
    </row>
    <row r="1705" spans="2:8" x14ac:dyDescent="0.3">
      <c r="B1705" s="72">
        <v>43153</v>
      </c>
      <c r="C1705" s="73">
        <v>1113.7</v>
      </c>
      <c r="D1705" s="74">
        <f t="shared" si="53"/>
        <v>-0.64510089784342306</v>
      </c>
      <c r="E1705" s="1">
        <v>-9.2738796841987815E-3</v>
      </c>
      <c r="G1705" s="75">
        <v>1703</v>
      </c>
      <c r="H1705" s="1">
        <f t="shared" ca="1" si="54"/>
        <v>1.1280930185691044E-2</v>
      </c>
    </row>
    <row r="1706" spans="2:8" x14ac:dyDescent="0.3">
      <c r="B1706" s="72">
        <v>44508</v>
      </c>
      <c r="C1706" s="73">
        <v>3138.0749999999998</v>
      </c>
      <c r="D1706" s="74">
        <f t="shared" si="53"/>
        <v>0.2346605551511812</v>
      </c>
      <c r="E1706" s="1">
        <v>-9.2896606156275246E-3</v>
      </c>
      <c r="G1706" s="75">
        <v>1704</v>
      </c>
      <c r="H1706" s="1">
        <f t="shared" ca="1" si="54"/>
        <v>-9.4297914634307728E-3</v>
      </c>
    </row>
    <row r="1707" spans="2:8" x14ac:dyDescent="0.3">
      <c r="B1707" s="72">
        <v>44327</v>
      </c>
      <c r="C1707" s="73">
        <v>2541.65</v>
      </c>
      <c r="D1707" s="74">
        <f t="shared" si="53"/>
        <v>5.4823514764167539E-2</v>
      </c>
      <c r="E1707" s="1">
        <v>-9.3253948919831721E-3</v>
      </c>
      <c r="G1707" s="75">
        <v>1705</v>
      </c>
      <c r="H1707" s="1">
        <f t="shared" ca="1" si="54"/>
        <v>9.974651297910234E-3</v>
      </c>
    </row>
    <row r="1708" spans="2:8" x14ac:dyDescent="0.3">
      <c r="B1708" s="72">
        <v>46072</v>
      </c>
      <c r="C1708" s="73">
        <v>2409.5500000000002</v>
      </c>
      <c r="D1708" s="74">
        <f t="shared" si="53"/>
        <v>8.0794375231281607E-2</v>
      </c>
      <c r="E1708" s="1">
        <v>-9.3736509959503073E-3</v>
      </c>
      <c r="G1708" s="75">
        <v>1706</v>
      </c>
      <c r="H1708" s="1">
        <f t="shared" ca="1" si="54"/>
        <v>1.3628120735387408E-2</v>
      </c>
    </row>
    <row r="1709" spans="2:8" x14ac:dyDescent="0.3">
      <c r="B1709" s="72">
        <v>45686</v>
      </c>
      <c r="C1709" s="73">
        <v>2229.4250000000002</v>
      </c>
      <c r="D1709" s="74">
        <f t="shared" si="53"/>
        <v>-0.26729329794838502</v>
      </c>
      <c r="E1709" s="1">
        <v>-9.3975983915220059E-3</v>
      </c>
      <c r="G1709" s="75">
        <v>1707</v>
      </c>
      <c r="H1709" s="1">
        <f t="shared" ca="1" si="54"/>
        <v>-3.739865148087146E-3</v>
      </c>
    </row>
    <row r="1710" spans="2:8" x14ac:dyDescent="0.3">
      <c r="B1710" s="72">
        <v>44537</v>
      </c>
      <c r="C1710" s="73">
        <v>3042.7249999999999</v>
      </c>
      <c r="D1710" s="74">
        <f t="shared" si="53"/>
        <v>-1.188572170849128E-2</v>
      </c>
      <c r="E1710" s="1">
        <v>-9.4087006063565994E-3</v>
      </c>
      <c r="G1710" s="75">
        <v>1708</v>
      </c>
      <c r="H1710" s="1">
        <f t="shared" ca="1" si="54"/>
        <v>-1.1696071728000719E-2</v>
      </c>
    </row>
    <row r="1711" spans="2:8" x14ac:dyDescent="0.3">
      <c r="B1711" s="72">
        <v>44511</v>
      </c>
      <c r="C1711" s="73">
        <v>3079.3249999999998</v>
      </c>
      <c r="D1711" s="74">
        <f t="shared" si="53"/>
        <v>1.3861487795428127</v>
      </c>
      <c r="E1711" s="1">
        <v>-9.4094561012682664E-3</v>
      </c>
      <c r="G1711" s="75">
        <v>1709</v>
      </c>
      <c r="H1711" s="1">
        <f t="shared" ca="1" si="54"/>
        <v>-1.3244888684921154E-2</v>
      </c>
    </row>
    <row r="1712" spans="2:8" x14ac:dyDescent="0.3">
      <c r="B1712" s="72">
        <v>43242</v>
      </c>
      <c r="C1712" s="73">
        <v>1290.5</v>
      </c>
      <c r="D1712" s="74">
        <f t="shared" si="53"/>
        <v>-0.54463655610444606</v>
      </c>
      <c r="E1712" s="1">
        <v>-9.4221949300532255E-3</v>
      </c>
      <c r="G1712" s="75">
        <v>1710</v>
      </c>
      <c r="H1712" s="1">
        <f t="shared" ca="1" si="54"/>
        <v>1.437782307965175E-2</v>
      </c>
    </row>
    <row r="1713" spans="2:8" x14ac:dyDescent="0.3">
      <c r="B1713" s="72">
        <v>45007</v>
      </c>
      <c r="C1713" s="73">
        <v>2834</v>
      </c>
      <c r="D1713" s="74">
        <f t="shared" si="53"/>
        <v>0.21206937108397661</v>
      </c>
      <c r="E1713" s="1">
        <v>-9.4372596994058023E-3</v>
      </c>
      <c r="G1713" s="75">
        <v>1711</v>
      </c>
      <c r="H1713" s="1">
        <f t="shared" ca="1" si="54"/>
        <v>4.5957313081117869E-4</v>
      </c>
    </row>
    <row r="1714" spans="2:8" x14ac:dyDescent="0.3">
      <c r="B1714" s="72">
        <v>45863</v>
      </c>
      <c r="C1714" s="73">
        <v>2338.15</v>
      </c>
      <c r="D1714" s="74">
        <f t="shared" si="53"/>
        <v>-0.24036712150747236</v>
      </c>
      <c r="E1714" s="1">
        <v>-9.4683329803007445E-3</v>
      </c>
      <c r="G1714" s="75">
        <v>1712</v>
      </c>
      <c r="H1714" s="1">
        <f t="shared" ca="1" si="54"/>
        <v>4.7273546128205326E-3</v>
      </c>
    </row>
    <row r="1715" spans="2:8" x14ac:dyDescent="0.3">
      <c r="B1715" s="72">
        <v>44861</v>
      </c>
      <c r="C1715" s="73">
        <v>3078</v>
      </c>
      <c r="D1715" s="74">
        <f t="shared" si="53"/>
        <v>0.23435996150144375</v>
      </c>
      <c r="E1715" s="1">
        <v>-9.4772240904921461E-3</v>
      </c>
      <c r="G1715" s="75">
        <v>1713</v>
      </c>
      <c r="H1715" s="1">
        <f t="shared" ca="1" si="54"/>
        <v>-3.9852722723620485E-3</v>
      </c>
    </row>
    <row r="1716" spans="2:8" x14ac:dyDescent="0.3">
      <c r="B1716" s="72">
        <v>44239</v>
      </c>
      <c r="C1716" s="73">
        <v>2493.6</v>
      </c>
      <c r="D1716" s="74">
        <f t="shared" si="53"/>
        <v>0.42089518219892297</v>
      </c>
      <c r="E1716" s="1">
        <v>-9.5132172151497565E-3</v>
      </c>
      <c r="G1716" s="75">
        <v>1714</v>
      </c>
      <c r="H1716" s="1">
        <f t="shared" ca="1" si="54"/>
        <v>-1.1722550809122621E-2</v>
      </c>
    </row>
    <row r="1717" spans="2:8" x14ac:dyDescent="0.3">
      <c r="B1717" s="72">
        <v>44041</v>
      </c>
      <c r="C1717" s="73">
        <v>1754.95</v>
      </c>
      <c r="D1717" s="74">
        <f t="shared" si="53"/>
        <v>3.2293167848004525E-2</v>
      </c>
      <c r="E1717" s="1">
        <v>-9.5380534469621386E-3</v>
      </c>
      <c r="G1717" s="75">
        <v>1715</v>
      </c>
      <c r="H1717" s="1">
        <f t="shared" ca="1" si="54"/>
        <v>-6.4513207668959825E-3</v>
      </c>
    </row>
    <row r="1718" spans="2:8" x14ac:dyDescent="0.3">
      <c r="B1718" s="72">
        <v>44026</v>
      </c>
      <c r="C1718" s="73">
        <v>1700.05</v>
      </c>
      <c r="D1718" s="74">
        <f t="shared" si="53"/>
        <v>-1.9154767056108492E-2</v>
      </c>
      <c r="E1718" s="1">
        <v>-9.5546039791430514E-3</v>
      </c>
      <c r="G1718" s="75">
        <v>1716</v>
      </c>
      <c r="H1718" s="1">
        <f t="shared" ca="1" si="54"/>
        <v>1.0362035150190893E-2</v>
      </c>
    </row>
    <row r="1719" spans="2:8" x14ac:dyDescent="0.3">
      <c r="B1719" s="72">
        <v>43788</v>
      </c>
      <c r="C1719" s="73">
        <v>1733.25</v>
      </c>
      <c r="D1719" s="74">
        <f t="shared" si="53"/>
        <v>-0.41861147682580147</v>
      </c>
      <c r="E1719" s="1">
        <v>-9.5572793897055162E-3</v>
      </c>
      <c r="G1719" s="75">
        <v>1717</v>
      </c>
      <c r="H1719" s="1">
        <f t="shared" ca="1" si="54"/>
        <v>-5.3130392611191197E-3</v>
      </c>
    </row>
    <row r="1720" spans="2:8" x14ac:dyDescent="0.3">
      <c r="B1720" s="72">
        <v>44414</v>
      </c>
      <c r="C1720" s="73">
        <v>2981.2249999999999</v>
      </c>
      <c r="D1720" s="74">
        <f t="shared" si="53"/>
        <v>-0.14034328885428612</v>
      </c>
      <c r="E1720" s="1">
        <v>-9.5680268436309276E-3</v>
      </c>
      <c r="G1720" s="75">
        <v>1718</v>
      </c>
      <c r="H1720" s="1">
        <f t="shared" ca="1" si="54"/>
        <v>3.1869421034848612E-3</v>
      </c>
    </row>
    <row r="1721" spans="2:8" x14ac:dyDescent="0.3">
      <c r="B1721" s="72">
        <v>44833</v>
      </c>
      <c r="C1721" s="73">
        <v>3467.9250000000002</v>
      </c>
      <c r="D1721" s="74">
        <f t="shared" si="53"/>
        <v>0.11600347551851209</v>
      </c>
      <c r="E1721" s="1">
        <v>-9.5746048065800272E-3</v>
      </c>
      <c r="G1721" s="75">
        <v>1719</v>
      </c>
      <c r="H1721" s="1">
        <f t="shared" ca="1" si="54"/>
        <v>-7.4821382178332629E-3</v>
      </c>
    </row>
    <row r="1722" spans="2:8" x14ac:dyDescent="0.3">
      <c r="B1722" s="72">
        <v>44859</v>
      </c>
      <c r="C1722" s="73">
        <v>3107.45</v>
      </c>
      <c r="D1722" s="74">
        <f t="shared" si="53"/>
        <v>7.3107139773806382E-2</v>
      </c>
      <c r="E1722" s="1">
        <v>-9.5776892430279471E-3</v>
      </c>
      <c r="G1722" s="75">
        <v>1720</v>
      </c>
      <c r="H1722" s="1">
        <f t="shared" ca="1" si="54"/>
        <v>1.1893808161581126E-2</v>
      </c>
    </row>
    <row r="1723" spans="2:8" x14ac:dyDescent="0.3">
      <c r="B1723" s="72">
        <v>45601</v>
      </c>
      <c r="C1723" s="73">
        <v>2895.75</v>
      </c>
      <c r="D1723" s="74">
        <f t="shared" si="53"/>
        <v>-0.11839922061711283</v>
      </c>
      <c r="E1723" s="1">
        <v>-9.6021478713670689E-3</v>
      </c>
      <c r="G1723" s="75">
        <v>1721</v>
      </c>
      <c r="H1723" s="1">
        <f t="shared" ca="1" si="54"/>
        <v>-2.9910793349751646E-2</v>
      </c>
    </row>
    <row r="1724" spans="2:8" x14ac:dyDescent="0.3">
      <c r="B1724" s="72">
        <v>45099</v>
      </c>
      <c r="C1724" s="73">
        <v>3284.6499999999996</v>
      </c>
      <c r="D1724" s="74">
        <f t="shared" si="53"/>
        <v>1.6033010362796964</v>
      </c>
      <c r="E1724" s="1">
        <v>-9.6034976631992654E-3</v>
      </c>
      <c r="G1724" s="75">
        <v>1722</v>
      </c>
      <c r="H1724" s="1">
        <f t="shared" ca="1" si="54"/>
        <v>-2.6714511440867221E-2</v>
      </c>
    </row>
    <row r="1725" spans="2:8" x14ac:dyDescent="0.3">
      <c r="B1725" s="72">
        <v>43279</v>
      </c>
      <c r="C1725" s="73">
        <v>1261.7249999999999</v>
      </c>
      <c r="D1725" s="74">
        <f t="shared" si="53"/>
        <v>-0.56740609946342557</v>
      </c>
      <c r="E1725" s="1">
        <v>-9.6350078492936347E-3</v>
      </c>
      <c r="G1725" s="75">
        <v>1723</v>
      </c>
      <c r="H1725" s="1">
        <f t="shared" ca="1" si="54"/>
        <v>-5.6634297205662276E-3</v>
      </c>
    </row>
    <row r="1726" spans="2:8" x14ac:dyDescent="0.3">
      <c r="B1726" s="72">
        <v>45496</v>
      </c>
      <c r="C1726" s="73">
        <v>2916.65</v>
      </c>
      <c r="D1726" s="74">
        <f t="shared" si="53"/>
        <v>0.24300539112276004</v>
      </c>
      <c r="E1726" s="1">
        <v>-9.7105508870214442E-3</v>
      </c>
      <c r="G1726" s="75">
        <v>1724</v>
      </c>
      <c r="H1726" s="1">
        <f t="shared" ca="1" si="54"/>
        <v>-2.1567526104596467E-2</v>
      </c>
    </row>
    <row r="1727" spans="2:8" x14ac:dyDescent="0.3">
      <c r="B1727" s="72">
        <v>45929</v>
      </c>
      <c r="C1727" s="73">
        <v>2346.4499999999998</v>
      </c>
      <c r="D1727" s="74">
        <f t="shared" si="53"/>
        <v>-0.27352802309651164</v>
      </c>
      <c r="E1727" s="1">
        <v>-9.7277906731378701E-3</v>
      </c>
      <c r="G1727" s="75">
        <v>1725</v>
      </c>
      <c r="H1727" s="1">
        <f t="shared" ca="1" si="54"/>
        <v>1.1545921211920626E-2</v>
      </c>
    </row>
    <row r="1728" spans="2:8" x14ac:dyDescent="0.3">
      <c r="B1728" s="72">
        <v>44523</v>
      </c>
      <c r="C1728" s="73">
        <v>3229.9250000000002</v>
      </c>
      <c r="D1728" s="74">
        <f t="shared" si="53"/>
        <v>5.4652168944180499E-2</v>
      </c>
      <c r="E1728" s="1">
        <v>-9.7418524082532546E-3</v>
      </c>
      <c r="G1728" s="75">
        <v>1726</v>
      </c>
      <c r="H1728" s="1">
        <f t="shared" ca="1" si="54"/>
        <v>5.9975772190466355E-3</v>
      </c>
    </row>
    <row r="1729" spans="2:8" x14ac:dyDescent="0.3">
      <c r="B1729" s="72">
        <v>45240</v>
      </c>
      <c r="C1729" s="73">
        <v>3062.55</v>
      </c>
      <c r="D1729" s="74">
        <f t="shared" si="53"/>
        <v>-0.10528276254957382</v>
      </c>
      <c r="E1729" s="1">
        <v>-9.7567678988594777E-3</v>
      </c>
      <c r="G1729" s="75">
        <v>1727</v>
      </c>
      <c r="H1729" s="1">
        <f t="shared" ca="1" si="54"/>
        <v>3.8581951237011414E-3</v>
      </c>
    </row>
    <row r="1730" spans="2:8" x14ac:dyDescent="0.3">
      <c r="B1730" s="72">
        <v>44783</v>
      </c>
      <c r="C1730" s="73">
        <v>3422.9250000000002</v>
      </c>
      <c r="D1730" s="74">
        <f t="shared" si="53"/>
        <v>2.3273020784287456E-2</v>
      </c>
      <c r="E1730" s="1">
        <v>-9.7852028639617613E-3</v>
      </c>
      <c r="G1730" s="75">
        <v>1728</v>
      </c>
      <c r="H1730" s="1">
        <f t="shared" ca="1" si="54"/>
        <v>6.2520782539949131E-3</v>
      </c>
    </row>
    <row r="1731" spans="2:8" x14ac:dyDescent="0.3">
      <c r="B1731" s="72">
        <v>44799</v>
      </c>
      <c r="C1731" s="73">
        <v>3345.0749999999998</v>
      </c>
      <c r="D1731" s="74">
        <f t="shared" ref="D1731:D1794" si="55">(C1731-C1732)/C1732</f>
        <v>0.37558342757273561</v>
      </c>
      <c r="E1731" s="1">
        <v>-9.7981898510291383E-3</v>
      </c>
      <c r="G1731" s="75">
        <v>1729</v>
      </c>
      <c r="H1731" s="1">
        <f t="shared" ca="1" si="54"/>
        <v>3.7563893056923661E-3</v>
      </c>
    </row>
    <row r="1732" spans="2:8" x14ac:dyDescent="0.3">
      <c r="B1732" s="72">
        <v>45769</v>
      </c>
      <c r="C1732" s="73">
        <v>2431.75</v>
      </c>
      <c r="D1732" s="74">
        <f t="shared" si="55"/>
        <v>0.21003657353270463</v>
      </c>
      <c r="E1732" s="1">
        <v>-9.8536207984689511E-3</v>
      </c>
      <c r="G1732" s="75">
        <v>1730</v>
      </c>
      <c r="H1732" s="1">
        <f t="shared" ref="H1732:H1795" ca="1" si="56">_xlfn.NORM.INV(RAND(),$N$4,$N$5)</f>
        <v>-4.3441118226025194E-3</v>
      </c>
    </row>
    <row r="1733" spans="2:8" x14ac:dyDescent="0.3">
      <c r="B1733" s="72">
        <v>44095</v>
      </c>
      <c r="C1733" s="73">
        <v>2009.65</v>
      </c>
      <c r="D1733" s="74">
        <f t="shared" si="55"/>
        <v>-0.21436669272869427</v>
      </c>
      <c r="E1733" s="1">
        <v>-9.8661115695861962E-3</v>
      </c>
      <c r="G1733" s="75">
        <v>1731</v>
      </c>
      <c r="H1733" s="1">
        <f t="shared" ca="1" si="56"/>
        <v>-5.882778663452228E-3</v>
      </c>
    </row>
    <row r="1734" spans="2:8" x14ac:dyDescent="0.3">
      <c r="B1734" s="72">
        <v>45908</v>
      </c>
      <c r="C1734" s="73">
        <v>2558</v>
      </c>
      <c r="D1734" s="74">
        <f t="shared" si="55"/>
        <v>2.4634488283597034E-2</v>
      </c>
      <c r="E1734" s="1">
        <v>-9.8703309463905563E-3</v>
      </c>
      <c r="G1734" s="75">
        <v>1732</v>
      </c>
      <c r="H1734" s="1">
        <f t="shared" ca="1" si="56"/>
        <v>1.1799177324048591E-3</v>
      </c>
    </row>
    <row r="1735" spans="2:8" x14ac:dyDescent="0.3">
      <c r="B1735" s="72">
        <v>45954</v>
      </c>
      <c r="C1735" s="73">
        <v>2496.5</v>
      </c>
      <c r="D1735" s="74">
        <f t="shared" si="55"/>
        <v>-0.11222140234524322</v>
      </c>
      <c r="E1735" s="1">
        <v>-9.8754660109463353E-3</v>
      </c>
      <c r="G1735" s="75">
        <v>1733</v>
      </c>
      <c r="H1735" s="1">
        <f t="shared" ca="1" si="56"/>
        <v>-1.3705319050464756E-2</v>
      </c>
    </row>
    <row r="1736" spans="2:8" x14ac:dyDescent="0.3">
      <c r="B1736" s="72">
        <v>45428</v>
      </c>
      <c r="C1736" s="73">
        <v>2812.0749999999998</v>
      </c>
      <c r="D1736" s="74">
        <f t="shared" si="55"/>
        <v>0.18238868099062339</v>
      </c>
      <c r="E1736" s="1">
        <v>-9.902471656925569E-3</v>
      </c>
      <c r="G1736" s="75">
        <v>1734</v>
      </c>
      <c r="H1736" s="1">
        <f t="shared" ca="1" si="56"/>
        <v>-7.2675274061908416E-3</v>
      </c>
    </row>
    <row r="1737" spans="2:8" x14ac:dyDescent="0.3">
      <c r="B1737" s="72">
        <v>46080</v>
      </c>
      <c r="C1737" s="73">
        <v>2378.3000000000002</v>
      </c>
      <c r="D1737" s="74">
        <f t="shared" si="55"/>
        <v>7.2441548486010005E-2</v>
      </c>
      <c r="E1737" s="1">
        <v>-9.9079971691435533E-3</v>
      </c>
      <c r="G1737" s="75">
        <v>1735</v>
      </c>
      <c r="H1737" s="1">
        <f t="shared" ca="1" si="56"/>
        <v>1.7496455663006992E-3</v>
      </c>
    </row>
    <row r="1738" spans="2:8" x14ac:dyDescent="0.3">
      <c r="B1738" s="72">
        <v>45733</v>
      </c>
      <c r="C1738" s="73">
        <v>2217.65</v>
      </c>
      <c r="D1738" s="74">
        <f t="shared" si="55"/>
        <v>-0.31299566294919451</v>
      </c>
      <c r="E1738" s="1">
        <v>-9.9113779940620209E-3</v>
      </c>
      <c r="G1738" s="75">
        <v>1736</v>
      </c>
      <c r="H1738" s="1">
        <f t="shared" ca="1" si="56"/>
        <v>-8.3323729070819061E-4</v>
      </c>
    </row>
    <row r="1739" spans="2:8" x14ac:dyDescent="0.3">
      <c r="B1739" s="72">
        <v>44550</v>
      </c>
      <c r="C1739" s="73">
        <v>3228</v>
      </c>
      <c r="D1739" s="74">
        <f t="shared" si="55"/>
        <v>0.12865159700005238</v>
      </c>
      <c r="E1739" s="1">
        <v>-9.967796350253029E-3</v>
      </c>
      <c r="G1739" s="75">
        <v>1737</v>
      </c>
      <c r="H1739" s="1">
        <f t="shared" ca="1" si="56"/>
        <v>-1.0002420611511974E-2</v>
      </c>
    </row>
    <row r="1740" spans="2:8" x14ac:dyDescent="0.3">
      <c r="B1740" s="72">
        <v>45349</v>
      </c>
      <c r="C1740" s="73">
        <v>2860.05</v>
      </c>
      <c r="D1740" s="74">
        <f t="shared" si="55"/>
        <v>0.9704099207716157</v>
      </c>
      <c r="E1740" s="1">
        <v>-9.9865000519228451E-3</v>
      </c>
      <c r="G1740" s="75">
        <v>1738</v>
      </c>
      <c r="H1740" s="1">
        <f t="shared" ca="1" si="56"/>
        <v>-4.7720050306257933E-4</v>
      </c>
    </row>
    <row r="1741" spans="2:8" x14ac:dyDescent="0.3">
      <c r="B1741" s="72">
        <v>43587</v>
      </c>
      <c r="C1741" s="73">
        <v>1451.5</v>
      </c>
      <c r="D1741" s="74">
        <f t="shared" si="55"/>
        <v>-9.8573180766662993E-2</v>
      </c>
      <c r="E1741" s="1">
        <v>-9.9921563277973538E-3</v>
      </c>
      <c r="G1741" s="75">
        <v>1739</v>
      </c>
      <c r="H1741" s="1">
        <f t="shared" ca="1" si="56"/>
        <v>2.9159872229526557E-2</v>
      </c>
    </row>
    <row r="1742" spans="2:8" x14ac:dyDescent="0.3">
      <c r="B1742" s="72">
        <v>43994</v>
      </c>
      <c r="C1742" s="73">
        <v>1610.2249999999999</v>
      </c>
      <c r="D1742" s="74">
        <f t="shared" si="55"/>
        <v>-0.13823737975140829</v>
      </c>
      <c r="E1742" s="1">
        <v>-1.0006148170919207E-2</v>
      </c>
      <c r="G1742" s="75">
        <v>1740</v>
      </c>
      <c r="H1742" s="1">
        <f t="shared" ca="1" si="56"/>
        <v>4.9225385377585397E-3</v>
      </c>
    </row>
    <row r="1743" spans="2:8" x14ac:dyDescent="0.3">
      <c r="B1743" s="72">
        <v>44063</v>
      </c>
      <c r="C1743" s="73">
        <v>1868.5250000000001</v>
      </c>
      <c r="D1743" s="74">
        <f t="shared" si="55"/>
        <v>-0.19121100301912108</v>
      </c>
      <c r="E1743" s="1">
        <v>-1.0039868077722789E-2</v>
      </c>
      <c r="G1743" s="75">
        <v>1741</v>
      </c>
      <c r="H1743" s="1">
        <f t="shared" ca="1" si="56"/>
        <v>-5.7472597097129926E-3</v>
      </c>
    </row>
    <row r="1744" spans="2:8" x14ac:dyDescent="0.3">
      <c r="B1744" s="72">
        <v>45749</v>
      </c>
      <c r="C1744" s="73">
        <v>2310.2750000000001</v>
      </c>
      <c r="D1744" s="74">
        <f t="shared" si="55"/>
        <v>0.97962768578222392</v>
      </c>
      <c r="E1744" s="1">
        <v>-1.0048313318835688E-2</v>
      </c>
      <c r="G1744" s="75">
        <v>1742</v>
      </c>
      <c r="H1744" s="1">
        <f t="shared" ca="1" si="56"/>
        <v>2.1124352308126156E-2</v>
      </c>
    </row>
    <row r="1745" spans="2:8" x14ac:dyDescent="0.3">
      <c r="B1745" s="72">
        <v>43123</v>
      </c>
      <c r="C1745" s="73">
        <v>1167.0250000000001</v>
      </c>
      <c r="D1745" s="74">
        <f t="shared" si="55"/>
        <v>-0.61220353063343713</v>
      </c>
      <c r="E1745" s="1">
        <v>-1.0072949359572482E-2</v>
      </c>
      <c r="G1745" s="75">
        <v>1743</v>
      </c>
      <c r="H1745" s="1">
        <f t="shared" ca="1" si="56"/>
        <v>1.5962067446418055E-2</v>
      </c>
    </row>
    <row r="1746" spans="2:8" x14ac:dyDescent="0.3">
      <c r="B1746" s="72">
        <v>45513</v>
      </c>
      <c r="C1746" s="73">
        <v>3009.375</v>
      </c>
      <c r="D1746" s="74">
        <f t="shared" si="55"/>
        <v>0.23748380862306478</v>
      </c>
      <c r="E1746" s="1">
        <v>-1.009029456752362E-2</v>
      </c>
      <c r="G1746" s="75">
        <v>1744</v>
      </c>
      <c r="H1746" s="1">
        <f t="shared" ca="1" si="56"/>
        <v>2.0943741128757326E-3</v>
      </c>
    </row>
    <row r="1747" spans="2:8" x14ac:dyDescent="0.3">
      <c r="B1747" s="72">
        <v>45777</v>
      </c>
      <c r="C1747" s="73">
        <v>2431.85</v>
      </c>
      <c r="D1747" s="74">
        <f t="shared" si="55"/>
        <v>0.34161781946072678</v>
      </c>
      <c r="E1747" s="1">
        <v>-1.0155486812113429E-2</v>
      </c>
      <c r="G1747" s="75">
        <v>1745</v>
      </c>
      <c r="H1747" s="1">
        <f t="shared" ca="1" si="56"/>
        <v>-6.2769436941610499E-3</v>
      </c>
    </row>
    <row r="1748" spans="2:8" x14ac:dyDescent="0.3">
      <c r="B1748" s="72">
        <v>43889</v>
      </c>
      <c r="C1748" s="73">
        <v>1812.625</v>
      </c>
      <c r="D1748" s="74">
        <f t="shared" si="55"/>
        <v>-0.42029854564934077</v>
      </c>
      <c r="E1748" s="1">
        <v>-1.0157135250993139E-2</v>
      </c>
      <c r="G1748" s="75">
        <v>1746</v>
      </c>
      <c r="H1748" s="1">
        <f t="shared" ca="1" si="56"/>
        <v>5.3807900880943216E-3</v>
      </c>
    </row>
    <row r="1749" spans="2:8" x14ac:dyDescent="0.3">
      <c r="B1749" s="72">
        <v>44705</v>
      </c>
      <c r="C1749" s="73">
        <v>3126.8249999999998</v>
      </c>
      <c r="D1749" s="74">
        <f t="shared" si="55"/>
        <v>0.10664484162095197</v>
      </c>
      <c r="E1749" s="1">
        <v>-1.0193018415492208E-2</v>
      </c>
      <c r="G1749" s="75">
        <v>1747</v>
      </c>
      <c r="H1749" s="1">
        <f t="shared" ca="1" si="56"/>
        <v>-1.0879990349994133E-2</v>
      </c>
    </row>
    <row r="1750" spans="2:8" x14ac:dyDescent="0.3">
      <c r="B1750" s="72">
        <v>44995</v>
      </c>
      <c r="C1750" s="73">
        <v>2825.5</v>
      </c>
      <c r="D1750" s="74">
        <f t="shared" si="55"/>
        <v>-9.1990037760102839E-2</v>
      </c>
      <c r="E1750" s="1">
        <v>-1.0211409454749142E-2</v>
      </c>
      <c r="G1750" s="75">
        <v>1748</v>
      </c>
      <c r="H1750" s="1">
        <f t="shared" ca="1" si="56"/>
        <v>1.0522107692890498E-2</v>
      </c>
    </row>
    <row r="1751" spans="2:8" x14ac:dyDescent="0.3">
      <c r="B1751" s="72">
        <v>45063</v>
      </c>
      <c r="C1751" s="73">
        <v>3111.75</v>
      </c>
      <c r="D1751" s="74">
        <f t="shared" si="55"/>
        <v>0.86209682245227703</v>
      </c>
      <c r="E1751" s="1">
        <v>-1.0265503613997865E-2</v>
      </c>
      <c r="G1751" s="75">
        <v>1749</v>
      </c>
      <c r="H1751" s="1">
        <f t="shared" ca="1" si="56"/>
        <v>2.3449115749360674E-2</v>
      </c>
    </row>
    <row r="1752" spans="2:8" x14ac:dyDescent="0.3">
      <c r="B1752" s="72">
        <v>44028</v>
      </c>
      <c r="C1752" s="73">
        <v>1671.1</v>
      </c>
      <c r="D1752" s="74">
        <f t="shared" si="55"/>
        <v>0.38007639103953744</v>
      </c>
      <c r="E1752" s="1">
        <v>-1.0275696644851734E-2</v>
      </c>
      <c r="G1752" s="75">
        <v>1750</v>
      </c>
      <c r="H1752" s="1">
        <f t="shared" ca="1" si="56"/>
        <v>8.0658726102046385E-3</v>
      </c>
    </row>
    <row r="1753" spans="2:8" x14ac:dyDescent="0.3">
      <c r="B1753" s="72">
        <v>43383</v>
      </c>
      <c r="C1753" s="73">
        <v>1210.875</v>
      </c>
      <c r="D1753" s="74">
        <f t="shared" si="55"/>
        <v>-0.52606240887697298</v>
      </c>
      <c r="E1753" s="1">
        <v>-1.0278311332706727E-2</v>
      </c>
      <c r="G1753" s="75">
        <v>1751</v>
      </c>
      <c r="H1753" s="1">
        <f t="shared" ca="1" si="56"/>
        <v>-1.280653526459931E-2</v>
      </c>
    </row>
    <row r="1754" spans="2:8" x14ac:dyDescent="0.3">
      <c r="B1754" s="72">
        <v>44322</v>
      </c>
      <c r="C1754" s="73">
        <v>2554.9250000000002</v>
      </c>
      <c r="D1754" s="74">
        <f t="shared" si="55"/>
        <v>-0.20537283259466599</v>
      </c>
      <c r="E1754" s="1">
        <v>-1.0313571304061513E-2</v>
      </c>
      <c r="G1754" s="75">
        <v>1752</v>
      </c>
      <c r="H1754" s="1">
        <f t="shared" ca="1" si="56"/>
        <v>-2.072601268451621E-2</v>
      </c>
    </row>
    <row r="1755" spans="2:8" x14ac:dyDescent="0.3">
      <c r="B1755" s="72">
        <v>45271</v>
      </c>
      <c r="C1755" s="73">
        <v>3215.25</v>
      </c>
      <c r="D1755" s="74">
        <f t="shared" si="55"/>
        <v>0.19422803710547584</v>
      </c>
      <c r="E1755" s="1">
        <v>-1.0326889928589073E-2</v>
      </c>
      <c r="G1755" s="75">
        <v>1753</v>
      </c>
      <c r="H1755" s="1">
        <f t="shared" ca="1" si="56"/>
        <v>1.8326731382694771E-2</v>
      </c>
    </row>
    <row r="1756" spans="2:8" x14ac:dyDescent="0.3">
      <c r="B1756" s="72">
        <v>44210</v>
      </c>
      <c r="C1756" s="73">
        <v>2692.3249999999998</v>
      </c>
      <c r="D1756" s="74">
        <f t="shared" si="55"/>
        <v>-0.15364302947902833</v>
      </c>
      <c r="E1756" s="1">
        <v>-1.0356552104392642E-2</v>
      </c>
      <c r="G1756" s="75">
        <v>1754</v>
      </c>
      <c r="H1756" s="1">
        <f t="shared" ca="1" si="56"/>
        <v>1.0282898183522866E-2</v>
      </c>
    </row>
    <row r="1757" spans="2:8" x14ac:dyDescent="0.3">
      <c r="B1757" s="72">
        <v>45152</v>
      </c>
      <c r="C1757" s="73">
        <v>3181.0749999999998</v>
      </c>
      <c r="D1757" s="74">
        <f t="shared" si="55"/>
        <v>0.44857695810564657</v>
      </c>
      <c r="E1757" s="1">
        <v>-1.0390499226156711E-2</v>
      </c>
      <c r="G1757" s="75">
        <v>1755</v>
      </c>
      <c r="H1757" s="1">
        <f t="shared" ca="1" si="56"/>
        <v>-3.292278577724532E-2</v>
      </c>
    </row>
    <row r="1758" spans="2:8" x14ac:dyDescent="0.3">
      <c r="B1758" s="72">
        <v>44137</v>
      </c>
      <c r="C1758" s="73">
        <v>2196</v>
      </c>
      <c r="D1758" s="74">
        <f t="shared" si="55"/>
        <v>0.23301516002245928</v>
      </c>
      <c r="E1758" s="1">
        <v>-1.0443070059819608E-2</v>
      </c>
      <c r="G1758" s="75">
        <v>1756</v>
      </c>
      <c r="H1758" s="1">
        <f t="shared" ca="1" si="56"/>
        <v>-9.4512251375400826E-4</v>
      </c>
    </row>
    <row r="1759" spans="2:8" x14ac:dyDescent="0.3">
      <c r="B1759" s="72">
        <v>43761</v>
      </c>
      <c r="C1759" s="73">
        <v>1781</v>
      </c>
      <c r="D1759" s="74">
        <f t="shared" si="55"/>
        <v>-0.29360436291522063</v>
      </c>
      <c r="E1759" s="1">
        <v>-1.0555555555555556E-2</v>
      </c>
      <c r="G1759" s="75">
        <v>1757</v>
      </c>
      <c r="H1759" s="1">
        <f t="shared" ca="1" si="56"/>
        <v>-6.4775573636803316E-3</v>
      </c>
    </row>
    <row r="1760" spans="2:8" x14ac:dyDescent="0.3">
      <c r="B1760" s="72">
        <v>44291</v>
      </c>
      <c r="C1760" s="73">
        <v>2521.25</v>
      </c>
      <c r="D1760" s="74">
        <f t="shared" si="55"/>
        <v>0.21636453546574033</v>
      </c>
      <c r="E1760" s="1">
        <v>-1.0605213330586413E-2</v>
      </c>
      <c r="G1760" s="75">
        <v>1758</v>
      </c>
      <c r="H1760" s="1">
        <f t="shared" ca="1" si="56"/>
        <v>2.4160324850501323E-2</v>
      </c>
    </row>
    <row r="1761" spans="2:8" x14ac:dyDescent="0.3">
      <c r="B1761" s="72">
        <v>44120</v>
      </c>
      <c r="C1761" s="73">
        <v>2072.7750000000001</v>
      </c>
      <c r="D1761" s="74">
        <f t="shared" si="55"/>
        <v>-5.3592219710978696E-2</v>
      </c>
      <c r="E1761" s="1">
        <v>-1.0620398324602331E-2</v>
      </c>
      <c r="G1761" s="75">
        <v>1759</v>
      </c>
      <c r="H1761" s="1">
        <f t="shared" ca="1" si="56"/>
        <v>-2.1330179767253096E-3</v>
      </c>
    </row>
    <row r="1762" spans="2:8" x14ac:dyDescent="0.3">
      <c r="B1762" s="72">
        <v>44146</v>
      </c>
      <c r="C1762" s="73">
        <v>2190.15</v>
      </c>
      <c r="D1762" s="74">
        <f t="shared" si="55"/>
        <v>-6.367833782223925E-2</v>
      </c>
      <c r="E1762" s="1">
        <v>-1.0671816241487955E-2</v>
      </c>
      <c r="G1762" s="75">
        <v>1760</v>
      </c>
      <c r="H1762" s="1">
        <f t="shared" ca="1" si="56"/>
        <v>6.9320971057765385E-3</v>
      </c>
    </row>
    <row r="1763" spans="2:8" x14ac:dyDescent="0.3">
      <c r="B1763" s="72">
        <v>45931</v>
      </c>
      <c r="C1763" s="73">
        <v>2339.1</v>
      </c>
      <c r="D1763" s="74">
        <f t="shared" si="55"/>
        <v>0.46967626407803603</v>
      </c>
      <c r="E1763" s="1">
        <v>-1.0700389105058442E-2</v>
      </c>
      <c r="G1763" s="75">
        <v>1761</v>
      </c>
      <c r="H1763" s="1">
        <f t="shared" ca="1" si="56"/>
        <v>3.5122413303605377E-5</v>
      </c>
    </row>
    <row r="1764" spans="2:8" x14ac:dyDescent="0.3">
      <c r="B1764" s="72">
        <v>43711</v>
      </c>
      <c r="C1764" s="73">
        <v>1591.5749999999998</v>
      </c>
      <c r="D1764" s="74">
        <f t="shared" si="55"/>
        <v>0.12933725963244155</v>
      </c>
      <c r="E1764" s="1">
        <v>-1.0706737941322811E-2</v>
      </c>
      <c r="G1764" s="75">
        <v>1762</v>
      </c>
      <c r="H1764" s="1">
        <f t="shared" ca="1" si="56"/>
        <v>1.8116463077446189E-3</v>
      </c>
    </row>
    <row r="1765" spans="2:8" x14ac:dyDescent="0.3">
      <c r="B1765" s="72">
        <v>43325</v>
      </c>
      <c r="C1765" s="73">
        <v>1409.3</v>
      </c>
      <c r="D1765" s="74">
        <f t="shared" si="55"/>
        <v>-0.12276497409003914</v>
      </c>
      <c r="E1765" s="1">
        <v>-1.0722496183072208E-2</v>
      </c>
      <c r="G1765" s="75">
        <v>1763</v>
      </c>
      <c r="H1765" s="1">
        <f t="shared" ca="1" si="56"/>
        <v>1.8025548754890378E-2</v>
      </c>
    </row>
    <row r="1766" spans="2:8" x14ac:dyDescent="0.3">
      <c r="B1766" s="72">
        <v>43999</v>
      </c>
      <c r="C1766" s="73">
        <v>1606.5250000000001</v>
      </c>
      <c r="D1766" s="74">
        <f t="shared" si="55"/>
        <v>0.12456468858827874</v>
      </c>
      <c r="E1766" s="1">
        <v>-1.0730010160411314E-2</v>
      </c>
      <c r="G1766" s="75">
        <v>1764</v>
      </c>
      <c r="H1766" s="1">
        <f t="shared" ca="1" si="56"/>
        <v>8.1616402512177666E-3</v>
      </c>
    </row>
    <row r="1767" spans="2:8" x14ac:dyDescent="0.3">
      <c r="B1767" s="72">
        <v>43591</v>
      </c>
      <c r="C1767" s="73">
        <v>1428.5749999999998</v>
      </c>
      <c r="D1767" s="74">
        <f t="shared" si="55"/>
        <v>-8.6588874680307015E-2</v>
      </c>
      <c r="E1767" s="1">
        <v>-1.0750640537358972E-2</v>
      </c>
      <c r="G1767" s="75">
        <v>1765</v>
      </c>
      <c r="H1767" s="1">
        <f t="shared" ca="1" si="56"/>
        <v>-4.0862119042856838E-3</v>
      </c>
    </row>
    <row r="1768" spans="2:8" x14ac:dyDescent="0.3">
      <c r="B1768" s="72">
        <v>43691</v>
      </c>
      <c r="C1768" s="73">
        <v>1564</v>
      </c>
      <c r="D1768" s="74">
        <f t="shared" si="55"/>
        <v>-0.29333092354961138</v>
      </c>
      <c r="E1768" s="1">
        <v>-1.0752688172043012E-2</v>
      </c>
      <c r="G1768" s="75">
        <v>1766</v>
      </c>
      <c r="H1768" s="1">
        <f t="shared" ca="1" si="56"/>
        <v>-1.3258778481148925E-2</v>
      </c>
    </row>
    <row r="1769" spans="2:8" x14ac:dyDescent="0.3">
      <c r="B1769" s="72">
        <v>45715</v>
      </c>
      <c r="C1769" s="73">
        <v>2213.1999999999998</v>
      </c>
      <c r="D1769" s="74">
        <f t="shared" si="55"/>
        <v>-0.1915251141552512</v>
      </c>
      <c r="E1769" s="1">
        <v>-1.0816125860373569E-2</v>
      </c>
      <c r="G1769" s="75">
        <v>1767</v>
      </c>
      <c r="H1769" s="1">
        <f t="shared" ca="1" si="56"/>
        <v>-5.1437493708277292E-3</v>
      </c>
    </row>
    <row r="1770" spans="2:8" x14ac:dyDescent="0.3">
      <c r="B1770" s="72">
        <v>44720</v>
      </c>
      <c r="C1770" s="73">
        <v>2737.5</v>
      </c>
      <c r="D1770" s="74">
        <f t="shared" si="55"/>
        <v>-0.15053062744367898</v>
      </c>
      <c r="E1770" s="1">
        <v>-1.0840108401084011E-2</v>
      </c>
      <c r="G1770" s="75">
        <v>1768</v>
      </c>
      <c r="H1770" s="1">
        <f t="shared" ca="1" si="56"/>
        <v>1.0595321974515709E-2</v>
      </c>
    </row>
    <row r="1771" spans="2:8" x14ac:dyDescent="0.3">
      <c r="B1771" s="72">
        <v>44488</v>
      </c>
      <c r="C1771" s="73">
        <v>3222.6</v>
      </c>
      <c r="D1771" s="74">
        <f t="shared" si="55"/>
        <v>0.15757428810043364</v>
      </c>
      <c r="E1771" s="1">
        <v>-1.0857971592783861E-2</v>
      </c>
      <c r="G1771" s="75">
        <v>1769</v>
      </c>
      <c r="H1771" s="1">
        <f t="shared" ca="1" si="56"/>
        <v>1.4403089195523064E-3</v>
      </c>
    </row>
    <row r="1772" spans="2:8" x14ac:dyDescent="0.3">
      <c r="B1772" s="72">
        <v>44949</v>
      </c>
      <c r="C1772" s="73">
        <v>2783.9250000000002</v>
      </c>
      <c r="D1772" s="74">
        <f t="shared" si="55"/>
        <v>-0.11400633324316149</v>
      </c>
      <c r="E1772" s="1">
        <v>-1.0863386036596133E-2</v>
      </c>
      <c r="G1772" s="75">
        <v>1770</v>
      </c>
      <c r="H1772" s="1">
        <f t="shared" ca="1" si="56"/>
        <v>7.0092341696712645E-3</v>
      </c>
    </row>
    <row r="1773" spans="2:8" x14ac:dyDescent="0.3">
      <c r="B1773" s="72">
        <v>45532</v>
      </c>
      <c r="C1773" s="73">
        <v>3142.15</v>
      </c>
      <c r="D1773" s="74">
        <f t="shared" si="55"/>
        <v>2.9740447007930784E-2</v>
      </c>
      <c r="E1773" s="1">
        <v>-1.0914985874261166E-2</v>
      </c>
      <c r="G1773" s="75">
        <v>1771</v>
      </c>
      <c r="H1773" s="1">
        <f t="shared" ca="1" si="56"/>
        <v>-8.2734384931438341E-3</v>
      </c>
    </row>
    <row r="1774" spans="2:8" x14ac:dyDescent="0.3">
      <c r="B1774" s="72">
        <v>44404</v>
      </c>
      <c r="C1774" s="73">
        <v>3051.4</v>
      </c>
      <c r="D1774" s="74">
        <f t="shared" si="55"/>
        <v>1.2218662394873852</v>
      </c>
      <c r="E1774" s="1">
        <v>-1.0923470876146582E-2</v>
      </c>
      <c r="G1774" s="75">
        <v>1772</v>
      </c>
      <c r="H1774" s="1">
        <f t="shared" ca="1" si="56"/>
        <v>-1.6351314370604024E-4</v>
      </c>
    </row>
    <row r="1775" spans="2:8" x14ac:dyDescent="0.3">
      <c r="B1775" s="72">
        <v>43514</v>
      </c>
      <c r="C1775" s="73">
        <v>1373.35</v>
      </c>
      <c r="D1775" s="74">
        <f t="shared" si="55"/>
        <v>-4.6317836186243563E-2</v>
      </c>
      <c r="E1775" s="1">
        <v>-1.0928863362201027E-2</v>
      </c>
      <c r="G1775" s="75">
        <v>1773</v>
      </c>
      <c r="H1775" s="1">
        <f t="shared" ca="1" si="56"/>
        <v>-2.0169685219101521E-2</v>
      </c>
    </row>
    <row r="1776" spans="2:8" x14ac:dyDescent="0.3">
      <c r="B1776" s="72">
        <v>43307</v>
      </c>
      <c r="C1776" s="73">
        <v>1440.05</v>
      </c>
      <c r="D1776" s="74">
        <f t="shared" si="55"/>
        <v>-0.35622240849399278</v>
      </c>
      <c r="E1776" s="1">
        <v>-1.093768780370539E-2</v>
      </c>
      <c r="G1776" s="75">
        <v>1774</v>
      </c>
      <c r="H1776" s="1">
        <f t="shared" ca="1" si="56"/>
        <v>9.717144408353007E-4</v>
      </c>
    </row>
    <row r="1777" spans="2:8" x14ac:dyDescent="0.3">
      <c r="B1777" s="72">
        <v>45672</v>
      </c>
      <c r="C1777" s="73">
        <v>2236.875</v>
      </c>
      <c r="D1777" s="74">
        <f t="shared" si="55"/>
        <v>-0.32742757490566327</v>
      </c>
      <c r="E1777" s="1">
        <v>-1.0965324372423172E-2</v>
      </c>
      <c r="G1777" s="75">
        <v>1775</v>
      </c>
      <c r="H1777" s="1">
        <f t="shared" ca="1" si="56"/>
        <v>-3.077388367906911E-3</v>
      </c>
    </row>
    <row r="1778" spans="2:8" x14ac:dyDescent="0.3">
      <c r="B1778" s="72">
        <v>45552</v>
      </c>
      <c r="C1778" s="73">
        <v>3325.8500000000004</v>
      </c>
      <c r="D1778" s="74">
        <f t="shared" si="55"/>
        <v>5.5172194990402941E-2</v>
      </c>
      <c r="E1778" s="1">
        <v>-1.097316184670274E-2</v>
      </c>
      <c r="G1778" s="75">
        <v>1776</v>
      </c>
      <c r="H1778" s="1">
        <f t="shared" ca="1" si="56"/>
        <v>1.4683127258228569E-2</v>
      </c>
    </row>
    <row r="1779" spans="2:8" x14ac:dyDescent="0.3">
      <c r="B1779" s="72">
        <v>45250</v>
      </c>
      <c r="C1779" s="73">
        <v>3151.95</v>
      </c>
      <c r="D1779" s="74">
        <f t="shared" si="55"/>
        <v>0.76185019564002221</v>
      </c>
      <c r="E1779" s="1">
        <v>-1.098228713974176E-2</v>
      </c>
      <c r="G1779" s="75">
        <v>1777</v>
      </c>
      <c r="H1779" s="1">
        <f t="shared" ca="1" si="56"/>
        <v>-6.5558774063019026E-3</v>
      </c>
    </row>
    <row r="1780" spans="2:8" x14ac:dyDescent="0.3">
      <c r="B1780" s="72">
        <v>44055</v>
      </c>
      <c r="C1780" s="73">
        <v>1789</v>
      </c>
      <c r="D1780" s="74">
        <f t="shared" si="55"/>
        <v>8.9957982008403853E-3</v>
      </c>
      <c r="E1780" s="1">
        <v>-1.1001160926529986E-2</v>
      </c>
      <c r="G1780" s="75">
        <v>1778</v>
      </c>
      <c r="H1780" s="1">
        <f t="shared" ca="1" si="56"/>
        <v>-7.0681434785568337E-3</v>
      </c>
    </row>
    <row r="1781" spans="2:8" x14ac:dyDescent="0.3">
      <c r="B1781" s="72">
        <v>43853</v>
      </c>
      <c r="C1781" s="73">
        <v>1773.05</v>
      </c>
      <c r="D1781" s="74">
        <f t="shared" si="55"/>
        <v>-0.40656012049200907</v>
      </c>
      <c r="E1781" s="1">
        <v>-1.1002496130300866E-2</v>
      </c>
      <c r="G1781" s="75">
        <v>1779</v>
      </c>
      <c r="H1781" s="1">
        <f t="shared" ca="1" si="56"/>
        <v>-2.2867274881298836E-2</v>
      </c>
    </row>
    <row r="1782" spans="2:8" x14ac:dyDescent="0.3">
      <c r="B1782" s="72">
        <v>44932</v>
      </c>
      <c r="C1782" s="73">
        <v>2987.75</v>
      </c>
      <c r="D1782" s="74">
        <f t="shared" si="55"/>
        <v>-4.0234500481850302E-2</v>
      </c>
      <c r="E1782" s="1">
        <v>-1.10062893081761E-2</v>
      </c>
      <c r="G1782" s="75">
        <v>1780</v>
      </c>
      <c r="H1782" s="1">
        <f t="shared" ca="1" si="56"/>
        <v>-2.4883205977303657E-2</v>
      </c>
    </row>
    <row r="1783" spans="2:8" x14ac:dyDescent="0.3">
      <c r="B1783" s="72">
        <v>44874</v>
      </c>
      <c r="C1783" s="73">
        <v>3113</v>
      </c>
      <c r="D1783" s="74">
        <f t="shared" si="55"/>
        <v>0.19344048611710124</v>
      </c>
      <c r="E1783" s="1">
        <v>-1.1031776918250453E-2</v>
      </c>
      <c r="G1783" s="75">
        <v>1781</v>
      </c>
      <c r="H1783" s="1">
        <f t="shared" ca="1" si="56"/>
        <v>8.0684291331801269E-3</v>
      </c>
    </row>
    <row r="1784" spans="2:8" x14ac:dyDescent="0.3">
      <c r="B1784" s="72">
        <v>44305</v>
      </c>
      <c r="C1784" s="73">
        <v>2608.4250000000002</v>
      </c>
      <c r="D1784" s="74">
        <f t="shared" si="55"/>
        <v>0.82487101005684316</v>
      </c>
      <c r="E1784" s="1">
        <v>-1.1061191992720551E-2</v>
      </c>
      <c r="G1784" s="75">
        <v>1782</v>
      </c>
      <c r="H1784" s="1">
        <f t="shared" ca="1" si="56"/>
        <v>4.6864279476234536E-3</v>
      </c>
    </row>
    <row r="1785" spans="2:8" x14ac:dyDescent="0.3">
      <c r="B1785" s="72">
        <v>43314</v>
      </c>
      <c r="C1785" s="73">
        <v>1429.375</v>
      </c>
      <c r="D1785" s="74">
        <f t="shared" si="55"/>
        <v>-0.49698675933664715</v>
      </c>
      <c r="E1785" s="1">
        <v>-1.1069791576580472E-2</v>
      </c>
      <c r="G1785" s="75">
        <v>1783</v>
      </c>
      <c r="H1785" s="1">
        <f t="shared" ca="1" si="56"/>
        <v>8.5282984739367563E-3</v>
      </c>
    </row>
    <row r="1786" spans="2:8" x14ac:dyDescent="0.3">
      <c r="B1786" s="72">
        <v>45369</v>
      </c>
      <c r="C1786" s="73">
        <v>2841.625</v>
      </c>
      <c r="D1786" s="74">
        <f t="shared" si="55"/>
        <v>-5.3989946068313525E-2</v>
      </c>
      <c r="E1786" s="1">
        <v>-1.1084140283106661E-2</v>
      </c>
      <c r="G1786" s="75">
        <v>1784</v>
      </c>
      <c r="H1786" s="1">
        <f t="shared" ca="1" si="56"/>
        <v>-1.0985074183587098E-2</v>
      </c>
    </row>
    <row r="1787" spans="2:8" x14ac:dyDescent="0.3">
      <c r="B1787" s="72">
        <v>44698</v>
      </c>
      <c r="C1787" s="73">
        <v>3003.8</v>
      </c>
      <c r="D1787" s="74">
        <f t="shared" si="55"/>
        <v>0.21387727061485926</v>
      </c>
      <c r="E1787" s="1">
        <v>-1.1110928215173413E-2</v>
      </c>
      <c r="G1787" s="75">
        <v>1785</v>
      </c>
      <c r="H1787" s="1">
        <f t="shared" ca="1" si="56"/>
        <v>4.3389940578914404E-3</v>
      </c>
    </row>
    <row r="1788" spans="2:8" x14ac:dyDescent="0.3">
      <c r="B1788" s="72">
        <v>45609</v>
      </c>
      <c r="C1788" s="73">
        <v>2474.5500000000002</v>
      </c>
      <c r="D1788" s="74">
        <f t="shared" si="55"/>
        <v>-0.26321430964024911</v>
      </c>
      <c r="E1788" s="1">
        <v>-1.1168831168831096E-2</v>
      </c>
      <c r="G1788" s="75">
        <v>1786</v>
      </c>
      <c r="H1788" s="1">
        <f t="shared" ca="1" si="56"/>
        <v>-2.4017797797255833E-3</v>
      </c>
    </row>
    <row r="1789" spans="2:8" x14ac:dyDescent="0.3">
      <c r="B1789" s="72">
        <v>45110</v>
      </c>
      <c r="C1789" s="73">
        <v>3358.5749999999998</v>
      </c>
      <c r="D1789" s="74">
        <f t="shared" si="55"/>
        <v>1.5795506912442394</v>
      </c>
      <c r="E1789" s="1">
        <v>-1.1216851774161603E-2</v>
      </c>
      <c r="G1789" s="75">
        <v>1787</v>
      </c>
      <c r="H1789" s="1">
        <f t="shared" ca="1" si="56"/>
        <v>-6.6982111500190804E-3</v>
      </c>
    </row>
    <row r="1790" spans="2:8" x14ac:dyDescent="0.3">
      <c r="B1790" s="72">
        <v>43238</v>
      </c>
      <c r="C1790" s="73">
        <v>1302</v>
      </c>
      <c r="D1790" s="74">
        <f t="shared" si="55"/>
        <v>-0.60067474313755564</v>
      </c>
      <c r="E1790" s="1">
        <v>-1.1220595773765519E-2</v>
      </c>
      <c r="G1790" s="75">
        <v>1788</v>
      </c>
      <c r="H1790" s="1">
        <f t="shared" ca="1" si="56"/>
        <v>1.923947266777519E-2</v>
      </c>
    </row>
    <row r="1791" spans="2:8" x14ac:dyDescent="0.3">
      <c r="B1791" s="72">
        <v>44547</v>
      </c>
      <c r="C1791" s="73">
        <v>3260.5</v>
      </c>
      <c r="D1791" s="74">
        <f t="shared" si="55"/>
        <v>-8.4240617967276388E-3</v>
      </c>
      <c r="E1791" s="1">
        <v>-1.1310570683486015E-2</v>
      </c>
      <c r="G1791" s="75">
        <v>1789</v>
      </c>
      <c r="H1791" s="1">
        <f t="shared" ca="1" si="56"/>
        <v>-9.0567834238097274E-3</v>
      </c>
    </row>
    <row r="1792" spans="2:8" x14ac:dyDescent="0.3">
      <c r="B1792" s="72">
        <v>45553</v>
      </c>
      <c r="C1792" s="73">
        <v>3288.2</v>
      </c>
      <c r="D1792" s="74">
        <f t="shared" si="55"/>
        <v>0.3193965171334564</v>
      </c>
      <c r="E1792" s="1">
        <v>-1.1320414330171398E-2</v>
      </c>
      <c r="G1792" s="75">
        <v>1790</v>
      </c>
      <c r="H1792" s="1">
        <f t="shared" ca="1" si="56"/>
        <v>1.8491249364775735E-2</v>
      </c>
    </row>
    <row r="1793" spans="2:8" x14ac:dyDescent="0.3">
      <c r="B1793" s="72">
        <v>45916</v>
      </c>
      <c r="C1793" s="73">
        <v>2492.1999999999998</v>
      </c>
      <c r="D1793" s="74">
        <f t="shared" si="55"/>
        <v>0.42413463049472133</v>
      </c>
      <c r="E1793" s="1">
        <v>-1.1325994247743798E-2</v>
      </c>
      <c r="G1793" s="75">
        <v>1791</v>
      </c>
      <c r="H1793" s="1">
        <f t="shared" ca="1" si="56"/>
        <v>-1.2361212901912451E-2</v>
      </c>
    </row>
    <row r="1794" spans="2:8" x14ac:dyDescent="0.3">
      <c r="B1794" s="72">
        <v>43787</v>
      </c>
      <c r="C1794" s="73">
        <v>1749.9749999999999</v>
      </c>
      <c r="D1794" s="74">
        <f t="shared" si="55"/>
        <v>-0.44324608079410155</v>
      </c>
      <c r="E1794" s="1">
        <v>-1.1397339208541751E-2</v>
      </c>
      <c r="G1794" s="75">
        <v>1792</v>
      </c>
      <c r="H1794" s="1">
        <f t="shared" ca="1" si="56"/>
        <v>1.5558174554653045E-3</v>
      </c>
    </row>
    <row r="1795" spans="2:8" x14ac:dyDescent="0.3">
      <c r="B1795" s="72">
        <v>44525</v>
      </c>
      <c r="C1795" s="73">
        <v>3143.1750000000002</v>
      </c>
      <c r="D1795" s="74">
        <f t="shared" ref="D1795:D1858" si="57">(C1795-C1796)/C1796</f>
        <v>0.97774142297588518</v>
      </c>
      <c r="E1795" s="1">
        <v>-1.1409205994747405E-2</v>
      </c>
      <c r="G1795" s="75">
        <v>1793</v>
      </c>
      <c r="H1795" s="1">
        <f t="shared" ca="1" si="56"/>
        <v>-3.4101840571158304E-4</v>
      </c>
    </row>
    <row r="1796" spans="2:8" x14ac:dyDescent="0.3">
      <c r="B1796" s="72">
        <v>43920</v>
      </c>
      <c r="C1796" s="73">
        <v>1589.2750000000001</v>
      </c>
      <c r="D1796" s="74">
        <f t="shared" si="57"/>
        <v>-0.38046603190691053</v>
      </c>
      <c r="E1796" s="1">
        <v>-1.1475843194576075E-2</v>
      </c>
      <c r="G1796" s="75">
        <v>1794</v>
      </c>
      <c r="H1796" s="1">
        <f t="shared" ref="H1796:H1859" ca="1" si="58">_xlfn.NORM.INV(RAND(),$N$4,$N$5)</f>
        <v>2.5470000490065495E-2</v>
      </c>
    </row>
    <row r="1797" spans="2:8" x14ac:dyDescent="0.3">
      <c r="B1797" s="72">
        <v>44301</v>
      </c>
      <c r="C1797" s="73">
        <v>2565.2750000000001</v>
      </c>
      <c r="D1797" s="74">
        <f t="shared" si="57"/>
        <v>-0.13924889481675348</v>
      </c>
      <c r="E1797" s="1">
        <v>-1.1511858659422383E-2</v>
      </c>
      <c r="G1797" s="75">
        <v>1795</v>
      </c>
      <c r="H1797" s="1">
        <f t="shared" ca="1" si="58"/>
        <v>-4.3460369248726387E-3</v>
      </c>
    </row>
    <row r="1798" spans="2:8" x14ac:dyDescent="0.3">
      <c r="B1798" s="72">
        <v>44407</v>
      </c>
      <c r="C1798" s="73">
        <v>2980.2750000000001</v>
      </c>
      <c r="D1798" s="74">
        <f t="shared" si="57"/>
        <v>1.1500766525385517</v>
      </c>
      <c r="E1798" s="1">
        <v>-1.1558393101446842E-2</v>
      </c>
      <c r="G1798" s="75">
        <v>1796</v>
      </c>
      <c r="H1798" s="1">
        <f t="shared" ca="1" si="58"/>
        <v>2.6072777595622692E-2</v>
      </c>
    </row>
    <row r="1799" spans="2:8" x14ac:dyDescent="0.3">
      <c r="B1799" s="72">
        <v>43342</v>
      </c>
      <c r="C1799" s="73">
        <v>1386.125</v>
      </c>
      <c r="D1799" s="74">
        <f t="shared" si="57"/>
        <v>-0.41641756483664527</v>
      </c>
      <c r="E1799" s="1">
        <v>-1.1587485515643106E-2</v>
      </c>
      <c r="G1799" s="75">
        <v>1797</v>
      </c>
      <c r="H1799" s="1">
        <f t="shared" ca="1" si="58"/>
        <v>1.9671739289339414E-2</v>
      </c>
    </row>
    <row r="1800" spans="2:8" x14ac:dyDescent="0.3">
      <c r="B1800" s="72">
        <v>45643</v>
      </c>
      <c r="C1800" s="73">
        <v>2375.1999999999998</v>
      </c>
      <c r="D1800" s="74">
        <f t="shared" si="57"/>
        <v>-0.10798986010703227</v>
      </c>
      <c r="E1800" s="1">
        <v>-1.1589438422005518E-2</v>
      </c>
      <c r="G1800" s="75">
        <v>1798</v>
      </c>
      <c r="H1800" s="1">
        <f t="shared" ca="1" si="58"/>
        <v>-1.8453350963191225E-2</v>
      </c>
    </row>
    <row r="1801" spans="2:8" x14ac:dyDescent="0.3">
      <c r="B1801" s="72">
        <v>44725</v>
      </c>
      <c r="C1801" s="73">
        <v>2662.75</v>
      </c>
      <c r="D1801" s="74">
        <f t="shared" si="57"/>
        <v>0.10008262755629002</v>
      </c>
      <c r="E1801" s="1">
        <v>-1.1599851521900519E-2</v>
      </c>
      <c r="G1801" s="75">
        <v>1799</v>
      </c>
      <c r="H1801" s="1">
        <f t="shared" ca="1" si="58"/>
        <v>2.9152511409949815E-3</v>
      </c>
    </row>
    <row r="1802" spans="2:8" x14ac:dyDescent="0.3">
      <c r="B1802" s="72">
        <v>45783</v>
      </c>
      <c r="C1802" s="73">
        <v>2420.5</v>
      </c>
      <c r="D1802" s="74">
        <f t="shared" si="57"/>
        <v>0.11527075438010445</v>
      </c>
      <c r="E1802" s="1">
        <v>-1.1657581511198294E-2</v>
      </c>
      <c r="G1802" s="75">
        <v>1800</v>
      </c>
      <c r="H1802" s="1">
        <f t="shared" ca="1" si="58"/>
        <v>6.8319031302076488E-3</v>
      </c>
    </row>
    <row r="1803" spans="2:8" x14ac:dyDescent="0.3">
      <c r="B1803" s="72">
        <v>44138</v>
      </c>
      <c r="C1803" s="73">
        <v>2170.3249999999998</v>
      </c>
      <c r="D1803" s="74">
        <f t="shared" si="57"/>
        <v>0.52148690805846687</v>
      </c>
      <c r="E1803" s="1">
        <v>-1.1691712204007368E-2</v>
      </c>
      <c r="G1803" s="75">
        <v>1801</v>
      </c>
      <c r="H1803" s="1">
        <f t="shared" ca="1" si="58"/>
        <v>-1.479318877155367E-2</v>
      </c>
    </row>
    <row r="1804" spans="2:8" x14ac:dyDescent="0.3">
      <c r="B1804" s="72">
        <v>43623</v>
      </c>
      <c r="C1804" s="73">
        <v>1426.4499999999998</v>
      </c>
      <c r="D1804" s="74">
        <f t="shared" si="57"/>
        <v>0.13776944704779751</v>
      </c>
      <c r="E1804" s="1">
        <v>-1.1725989434485273E-2</v>
      </c>
      <c r="G1804" s="75">
        <v>1802</v>
      </c>
      <c r="H1804" s="1">
        <f t="shared" ca="1" si="58"/>
        <v>1.9446154863006011E-2</v>
      </c>
    </row>
    <row r="1805" spans="2:8" x14ac:dyDescent="0.3">
      <c r="B1805" s="72">
        <v>43392</v>
      </c>
      <c r="C1805" s="73">
        <v>1253.7249999999999</v>
      </c>
      <c r="D1805" s="74">
        <f t="shared" si="57"/>
        <v>-0.5855180507802169</v>
      </c>
      <c r="E1805" s="1">
        <v>-1.1744999507340696E-2</v>
      </c>
      <c r="G1805" s="75">
        <v>1803</v>
      </c>
      <c r="H1805" s="1">
        <f t="shared" ca="1" si="58"/>
        <v>1.8567885787702061E-3</v>
      </c>
    </row>
    <row r="1806" spans="2:8" x14ac:dyDescent="0.3">
      <c r="B1806" s="72">
        <v>45583</v>
      </c>
      <c r="C1806" s="73">
        <v>3024.8</v>
      </c>
      <c r="D1806" s="74">
        <f t="shared" si="57"/>
        <v>9.7731809109054685E-2</v>
      </c>
      <c r="E1806" s="1">
        <v>-1.1826200588043064E-2</v>
      </c>
      <c r="G1806" s="75">
        <v>1804</v>
      </c>
      <c r="H1806" s="1">
        <f t="shared" ca="1" si="58"/>
        <v>1.1477140939718184E-2</v>
      </c>
    </row>
    <row r="1807" spans="2:8" x14ac:dyDescent="0.3">
      <c r="B1807" s="72">
        <v>46041</v>
      </c>
      <c r="C1807" s="73">
        <v>2755.5</v>
      </c>
      <c r="D1807" s="74">
        <f t="shared" si="57"/>
        <v>-0.13510883723850023</v>
      </c>
      <c r="E1807" s="1">
        <v>-1.1834319526627219E-2</v>
      </c>
      <c r="G1807" s="75">
        <v>1805</v>
      </c>
      <c r="H1807" s="1">
        <f t="shared" ca="1" si="58"/>
        <v>-8.8648356173493727E-3</v>
      </c>
    </row>
    <row r="1808" spans="2:8" x14ac:dyDescent="0.3">
      <c r="B1808" s="72">
        <v>44907</v>
      </c>
      <c r="C1808" s="73">
        <v>3185.95</v>
      </c>
      <c r="D1808" s="74">
        <f t="shared" si="57"/>
        <v>1.4164817869806776</v>
      </c>
      <c r="E1808" s="1">
        <v>-1.1855746043561644E-2</v>
      </c>
      <c r="G1808" s="75">
        <v>1806</v>
      </c>
      <c r="H1808" s="1">
        <f t="shared" ca="1" si="58"/>
        <v>9.9204211116477765E-3</v>
      </c>
    </row>
    <row r="1809" spans="2:8" x14ac:dyDescent="0.3">
      <c r="B1809" s="72">
        <v>43599</v>
      </c>
      <c r="C1809" s="73">
        <v>1318.425</v>
      </c>
      <c r="D1809" s="74">
        <f t="shared" si="57"/>
        <v>-0.24924193892803762</v>
      </c>
      <c r="E1809" s="1">
        <v>-1.2008692719847195E-2</v>
      </c>
      <c r="G1809" s="75">
        <v>1807</v>
      </c>
      <c r="H1809" s="1">
        <f t="shared" ca="1" si="58"/>
        <v>1.3628457093968963E-2</v>
      </c>
    </row>
    <row r="1810" spans="2:8" x14ac:dyDescent="0.3">
      <c r="B1810" s="72">
        <v>43733</v>
      </c>
      <c r="C1810" s="73">
        <v>1756.125</v>
      </c>
      <c r="D1810" s="74">
        <f t="shared" si="57"/>
        <v>-0.42765071579307595</v>
      </c>
      <c r="E1810" s="1">
        <v>-1.2011420695087082E-2</v>
      </c>
      <c r="G1810" s="75">
        <v>1808</v>
      </c>
      <c r="H1810" s="1">
        <f t="shared" ca="1" si="58"/>
        <v>6.542442182606298E-3</v>
      </c>
    </row>
    <row r="1811" spans="2:8" x14ac:dyDescent="0.3">
      <c r="B1811" s="72">
        <v>45572</v>
      </c>
      <c r="C1811" s="73">
        <v>3068.2750000000001</v>
      </c>
      <c r="D1811" s="74">
        <f t="shared" si="57"/>
        <v>0.35917739041839258</v>
      </c>
      <c r="E1811" s="1">
        <v>-1.2034517733807737E-2</v>
      </c>
      <c r="G1811" s="75">
        <v>1809</v>
      </c>
      <c r="H1811" s="1">
        <f t="shared" ca="1" si="58"/>
        <v>1.6146268289815496E-2</v>
      </c>
    </row>
    <row r="1812" spans="2:8" x14ac:dyDescent="0.3">
      <c r="B1812" s="72">
        <v>45679</v>
      </c>
      <c r="C1812" s="73">
        <v>2257.4499999999998</v>
      </c>
      <c r="D1812" s="74">
        <f t="shared" si="57"/>
        <v>-0.24225030629541991</v>
      </c>
      <c r="E1812" s="1">
        <v>-1.2056892778993515E-2</v>
      </c>
      <c r="G1812" s="75">
        <v>1810</v>
      </c>
      <c r="H1812" s="1">
        <f t="shared" ca="1" si="58"/>
        <v>-2.0702145122736266E-3</v>
      </c>
    </row>
    <row r="1813" spans="2:8" x14ac:dyDescent="0.3">
      <c r="B1813" s="72">
        <v>45316</v>
      </c>
      <c r="C1813" s="73">
        <v>2979.15</v>
      </c>
      <c r="D1813" s="74">
        <f t="shared" si="57"/>
        <v>-4.2704969393165301E-2</v>
      </c>
      <c r="E1813" s="1">
        <v>-1.2070766526835929E-2</v>
      </c>
      <c r="G1813" s="75">
        <v>1811</v>
      </c>
      <c r="H1813" s="1">
        <f t="shared" ca="1" si="58"/>
        <v>1.8876119752788401E-2</v>
      </c>
    </row>
    <row r="1814" spans="2:8" x14ac:dyDescent="0.3">
      <c r="B1814" s="72">
        <v>45215</v>
      </c>
      <c r="C1814" s="73">
        <v>3112.05</v>
      </c>
      <c r="D1814" s="74">
        <f t="shared" si="57"/>
        <v>1.277554156908665</v>
      </c>
      <c r="E1814" s="1">
        <v>-1.2086821951509803E-2</v>
      </c>
      <c r="G1814" s="75">
        <v>1812</v>
      </c>
      <c r="H1814" s="1">
        <f t="shared" ca="1" si="58"/>
        <v>-2.5181358512762078E-3</v>
      </c>
    </row>
    <row r="1815" spans="2:8" x14ac:dyDescent="0.3">
      <c r="B1815" s="72">
        <v>43641</v>
      </c>
      <c r="C1815" s="73">
        <v>1366.4</v>
      </c>
      <c r="D1815" s="74">
        <f t="shared" si="57"/>
        <v>-0.43003733288839763</v>
      </c>
      <c r="E1815" s="1">
        <v>-1.2092182557614033E-2</v>
      </c>
      <c r="G1815" s="75">
        <v>1813</v>
      </c>
      <c r="H1815" s="1">
        <f t="shared" ca="1" si="58"/>
        <v>-9.3080842402054294E-4</v>
      </c>
    </row>
    <row r="1816" spans="2:8" x14ac:dyDescent="0.3">
      <c r="B1816" s="72">
        <v>44232</v>
      </c>
      <c r="C1816" s="73">
        <v>2397.3500000000004</v>
      </c>
      <c r="D1816" s="74">
        <f t="shared" si="57"/>
        <v>-0.25764273272692073</v>
      </c>
      <c r="E1816" s="1">
        <v>-1.2216728471363673E-2</v>
      </c>
      <c r="G1816" s="75">
        <v>1814</v>
      </c>
      <c r="H1816" s="1">
        <f t="shared" ca="1" si="58"/>
        <v>4.6670525002542708E-3</v>
      </c>
    </row>
    <row r="1817" spans="2:8" x14ac:dyDescent="0.3">
      <c r="B1817" s="72">
        <v>45560</v>
      </c>
      <c r="C1817" s="73">
        <v>3229.375</v>
      </c>
      <c r="D1817" s="74">
        <f t="shared" si="57"/>
        <v>0.11028501684659289</v>
      </c>
      <c r="E1817" s="1">
        <v>-1.224986044946747E-2</v>
      </c>
      <c r="G1817" s="75">
        <v>1815</v>
      </c>
      <c r="H1817" s="1">
        <f t="shared" ca="1" si="58"/>
        <v>2.4654132585007191E-2</v>
      </c>
    </row>
    <row r="1818" spans="2:8" x14ac:dyDescent="0.3">
      <c r="B1818" s="72">
        <v>44945</v>
      </c>
      <c r="C1818" s="73">
        <v>2908.6</v>
      </c>
      <c r="D1818" s="74">
        <f t="shared" si="57"/>
        <v>0.20263383673933485</v>
      </c>
      <c r="E1818" s="1">
        <v>-1.2250927521713015E-2</v>
      </c>
      <c r="G1818" s="75">
        <v>1816</v>
      </c>
      <c r="H1818" s="1">
        <f t="shared" ca="1" si="58"/>
        <v>-1.7151400519047403E-2</v>
      </c>
    </row>
    <row r="1819" spans="2:8" x14ac:dyDescent="0.3">
      <c r="B1819" s="72">
        <v>44244</v>
      </c>
      <c r="C1819" s="73">
        <v>2418.5250000000001</v>
      </c>
      <c r="D1819" s="74">
        <f t="shared" si="57"/>
        <v>-0.12647632462888711</v>
      </c>
      <c r="E1819" s="1">
        <v>-1.2262359355536987E-2</v>
      </c>
      <c r="G1819" s="75">
        <v>1817</v>
      </c>
      <c r="H1819" s="1">
        <f t="shared" ca="1" si="58"/>
        <v>-4.8920954593543635E-3</v>
      </c>
    </row>
    <row r="1820" spans="2:8" x14ac:dyDescent="0.3">
      <c r="B1820" s="72">
        <v>46017</v>
      </c>
      <c r="C1820" s="73">
        <v>2768.7</v>
      </c>
      <c r="D1820" s="74">
        <f t="shared" si="57"/>
        <v>0.80101476614844203</v>
      </c>
      <c r="E1820" s="1">
        <v>-1.2360211889346707E-2</v>
      </c>
      <c r="G1820" s="75">
        <v>1818</v>
      </c>
      <c r="H1820" s="1">
        <f t="shared" ca="1" si="58"/>
        <v>-2.2679219000960763E-2</v>
      </c>
    </row>
    <row r="1821" spans="2:8" x14ac:dyDescent="0.3">
      <c r="B1821" s="72">
        <v>43965</v>
      </c>
      <c r="C1821" s="73">
        <v>1537.3</v>
      </c>
      <c r="D1821" s="74">
        <f t="shared" si="57"/>
        <v>0.14250678161346642</v>
      </c>
      <c r="E1821" s="1">
        <v>-1.238295616979578E-2</v>
      </c>
      <c r="G1821" s="75">
        <v>1819</v>
      </c>
      <c r="H1821" s="1">
        <f t="shared" ca="1" si="58"/>
        <v>-1.1465965184962196E-2</v>
      </c>
    </row>
    <row r="1822" spans="2:8" x14ac:dyDescent="0.3">
      <c r="B1822" s="72">
        <v>43654</v>
      </c>
      <c r="C1822" s="73">
        <v>1345.5500000000002</v>
      </c>
      <c r="D1822" s="74">
        <f t="shared" si="57"/>
        <v>-0.55702786785402703</v>
      </c>
      <c r="E1822" s="1">
        <v>-1.2404124922015387E-2</v>
      </c>
      <c r="G1822" s="75">
        <v>1820</v>
      </c>
      <c r="H1822" s="1">
        <f t="shared" ca="1" si="58"/>
        <v>1.3219184708508806E-2</v>
      </c>
    </row>
    <row r="1823" spans="2:8" x14ac:dyDescent="0.3">
      <c r="B1823" s="72">
        <v>44697</v>
      </c>
      <c r="C1823" s="73">
        <v>3037.55</v>
      </c>
      <c r="D1823" s="74">
        <f t="shared" si="57"/>
        <v>4.0996598610313836E-2</v>
      </c>
      <c r="E1823" s="1">
        <v>-1.2427762108736792E-2</v>
      </c>
      <c r="G1823" s="75">
        <v>1821</v>
      </c>
      <c r="H1823" s="1">
        <f t="shared" ca="1" si="58"/>
        <v>4.1338985142592563E-3</v>
      </c>
    </row>
    <row r="1824" spans="2:8" x14ac:dyDescent="0.3">
      <c r="B1824" s="72">
        <v>44938</v>
      </c>
      <c r="C1824" s="73">
        <v>2917.9250000000002</v>
      </c>
      <c r="D1824" s="74">
        <f t="shared" si="57"/>
        <v>0.15756223346226328</v>
      </c>
      <c r="E1824" s="1">
        <v>-1.2529822839641835E-2</v>
      </c>
      <c r="G1824" s="75">
        <v>1822</v>
      </c>
      <c r="H1824" s="1">
        <f t="shared" ca="1" si="58"/>
        <v>-2.8106057385535753E-2</v>
      </c>
    </row>
    <row r="1825" spans="2:8" x14ac:dyDescent="0.3">
      <c r="B1825" s="72">
        <v>45915</v>
      </c>
      <c r="C1825" s="73">
        <v>2520.75</v>
      </c>
      <c r="D1825" s="74">
        <f t="shared" si="57"/>
        <v>-9.7839216212588911E-2</v>
      </c>
      <c r="E1825" s="1">
        <v>-1.253550093036921E-2</v>
      </c>
      <c r="G1825" s="75">
        <v>1823</v>
      </c>
      <c r="H1825" s="1">
        <f t="shared" ca="1" si="58"/>
        <v>1.1014707285397374E-2</v>
      </c>
    </row>
    <row r="1826" spans="2:8" x14ac:dyDescent="0.3">
      <c r="B1826" s="72">
        <v>45401</v>
      </c>
      <c r="C1826" s="73">
        <v>2794.125</v>
      </c>
      <c r="D1826" s="74">
        <f t="shared" si="57"/>
        <v>-1.3696091495539126E-2</v>
      </c>
      <c r="E1826" s="1">
        <v>-1.2554556217199879E-2</v>
      </c>
      <c r="G1826" s="75">
        <v>1824</v>
      </c>
      <c r="H1826" s="1">
        <f t="shared" ca="1" si="58"/>
        <v>5.8825947691469177E-3</v>
      </c>
    </row>
    <row r="1827" spans="2:8" x14ac:dyDescent="0.3">
      <c r="B1827" s="72">
        <v>45397</v>
      </c>
      <c r="C1827" s="73">
        <v>2832.9250000000002</v>
      </c>
      <c r="D1827" s="74">
        <f t="shared" si="57"/>
        <v>-0.15003750375037497</v>
      </c>
      <c r="E1827" s="1">
        <v>-1.2574067619379511E-2</v>
      </c>
      <c r="G1827" s="75">
        <v>1825</v>
      </c>
      <c r="H1827" s="1">
        <f t="shared" ca="1" si="58"/>
        <v>-1.6419308704207481E-2</v>
      </c>
    </row>
    <row r="1828" spans="2:8" x14ac:dyDescent="0.3">
      <c r="B1828" s="72">
        <v>45117</v>
      </c>
      <c r="C1828" s="73">
        <v>3333</v>
      </c>
      <c r="D1828" s="74">
        <f t="shared" si="57"/>
        <v>7.5690460629825998E-2</v>
      </c>
      <c r="E1828" s="1">
        <v>-1.2612665990238647E-2</v>
      </c>
      <c r="G1828" s="75">
        <v>1826</v>
      </c>
      <c r="H1828" s="1">
        <f t="shared" ca="1" si="58"/>
        <v>-7.3868733231959149E-3</v>
      </c>
    </row>
    <row r="1829" spans="2:8" x14ac:dyDescent="0.3">
      <c r="B1829" s="72">
        <v>44686</v>
      </c>
      <c r="C1829" s="73">
        <v>3098.4749999999999</v>
      </c>
      <c r="D1829" s="74">
        <f t="shared" si="57"/>
        <v>0.22218168191858637</v>
      </c>
      <c r="E1829" s="1">
        <v>-1.2619201261920098E-2</v>
      </c>
      <c r="G1829" s="75">
        <v>1827</v>
      </c>
      <c r="H1829" s="1">
        <f t="shared" ca="1" si="58"/>
        <v>-1.9485654903228261E-2</v>
      </c>
    </row>
    <row r="1830" spans="2:8" x14ac:dyDescent="0.3">
      <c r="B1830" s="72">
        <v>45891</v>
      </c>
      <c r="C1830" s="73">
        <v>2535.1999999999998</v>
      </c>
      <c r="D1830" s="74">
        <f t="shared" si="57"/>
        <v>0.86820434406145774</v>
      </c>
      <c r="E1830" s="1">
        <v>-1.2638015305824498E-2</v>
      </c>
      <c r="G1830" s="75">
        <v>1828</v>
      </c>
      <c r="H1830" s="1">
        <f t="shared" ca="1" si="58"/>
        <v>-1.8022728379556017E-2</v>
      </c>
    </row>
    <row r="1831" spans="2:8" x14ac:dyDescent="0.3">
      <c r="B1831" s="72">
        <v>43614</v>
      </c>
      <c r="C1831" s="73">
        <v>1357.0250000000001</v>
      </c>
      <c r="D1831" s="74">
        <f t="shared" si="57"/>
        <v>-0.47557122844307037</v>
      </c>
      <c r="E1831" s="1">
        <v>-1.2659839569274325E-2</v>
      </c>
      <c r="G1831" s="75">
        <v>1829</v>
      </c>
      <c r="H1831" s="1">
        <f t="shared" ca="1" si="58"/>
        <v>5.0461449893097182E-3</v>
      </c>
    </row>
    <row r="1832" spans="2:8" x14ac:dyDescent="0.3">
      <c r="B1832" s="72">
        <v>44214</v>
      </c>
      <c r="C1832" s="73">
        <v>2587.625</v>
      </c>
      <c r="D1832" s="74">
        <f t="shared" si="57"/>
        <v>-0.22987351190476191</v>
      </c>
      <c r="E1832" s="1">
        <v>-1.2809018770028926E-2</v>
      </c>
      <c r="G1832" s="75">
        <v>1830</v>
      </c>
      <c r="H1832" s="1">
        <f t="shared" ca="1" si="58"/>
        <v>1.0610542285811504E-2</v>
      </c>
    </row>
    <row r="1833" spans="2:8" x14ac:dyDescent="0.3">
      <c r="B1833" s="72">
        <v>44578</v>
      </c>
      <c r="C1833" s="73">
        <v>3360</v>
      </c>
      <c r="D1833" s="74">
        <f t="shared" si="57"/>
        <v>9.4819159335288367E-2</v>
      </c>
      <c r="E1833" s="1">
        <v>-1.2925969447708578E-2</v>
      </c>
      <c r="G1833" s="75">
        <v>1831</v>
      </c>
      <c r="H1833" s="1">
        <f t="shared" ca="1" si="58"/>
        <v>1.293993187646169E-2</v>
      </c>
    </row>
    <row r="1834" spans="2:8" x14ac:dyDescent="0.3">
      <c r="B1834" s="72">
        <v>45575</v>
      </c>
      <c r="C1834" s="73">
        <v>3069</v>
      </c>
      <c r="D1834" s="74">
        <f t="shared" si="57"/>
        <v>-8.2744295171630497E-2</v>
      </c>
      <c r="E1834" s="1">
        <v>-1.2937307528403351E-2</v>
      </c>
      <c r="G1834" s="75">
        <v>1832</v>
      </c>
      <c r="H1834" s="1">
        <f t="shared" ca="1" si="58"/>
        <v>1.0170589596326354E-3</v>
      </c>
    </row>
    <row r="1835" spans="2:8" x14ac:dyDescent="0.3">
      <c r="B1835" s="72">
        <v>44468</v>
      </c>
      <c r="C1835" s="73">
        <v>3345.85</v>
      </c>
      <c r="D1835" s="74">
        <f t="shared" si="57"/>
        <v>1.5420045964785658</v>
      </c>
      <c r="E1835" s="1">
        <v>-1.2979925365429149E-2</v>
      </c>
      <c r="G1835" s="75">
        <v>1833</v>
      </c>
      <c r="H1835" s="1">
        <f t="shared" ca="1" si="58"/>
        <v>-5.8518450840656499E-3</v>
      </c>
    </row>
    <row r="1836" spans="2:8" x14ac:dyDescent="0.3">
      <c r="B1836" s="72">
        <v>43348</v>
      </c>
      <c r="C1836" s="73">
        <v>1316.2249999999999</v>
      </c>
      <c r="D1836" s="74">
        <f t="shared" si="57"/>
        <v>-0.1705945366898769</v>
      </c>
      <c r="E1836" s="1">
        <v>-1.2991638858685498E-2</v>
      </c>
      <c r="G1836" s="75">
        <v>1834</v>
      </c>
      <c r="H1836" s="1">
        <f t="shared" ca="1" si="58"/>
        <v>-1.8109209832273326E-3</v>
      </c>
    </row>
    <row r="1837" spans="2:8" x14ac:dyDescent="0.3">
      <c r="B1837" s="72">
        <v>43958</v>
      </c>
      <c r="C1837" s="73">
        <v>1586.95</v>
      </c>
      <c r="D1837" s="74">
        <f t="shared" si="57"/>
        <v>0.22143544352511069</v>
      </c>
      <c r="E1837" s="1">
        <v>-1.2998725005441965E-2</v>
      </c>
      <c r="G1837" s="75">
        <v>1835</v>
      </c>
      <c r="H1837" s="1">
        <f t="shared" ca="1" si="58"/>
        <v>-9.0700314783154819E-3</v>
      </c>
    </row>
    <row r="1838" spans="2:8" x14ac:dyDescent="0.3">
      <c r="B1838" s="72">
        <v>43353</v>
      </c>
      <c r="C1838" s="73">
        <v>1299.25</v>
      </c>
      <c r="D1838" s="74">
        <f t="shared" si="57"/>
        <v>-0.60509118541033435</v>
      </c>
      <c r="E1838" s="1">
        <v>-1.3027955028866674E-2</v>
      </c>
      <c r="G1838" s="75">
        <v>1836</v>
      </c>
      <c r="H1838" s="1">
        <f t="shared" ca="1" si="58"/>
        <v>-2.2737349665287935E-3</v>
      </c>
    </row>
    <row r="1839" spans="2:8" x14ac:dyDescent="0.3">
      <c r="B1839" s="72">
        <v>44459</v>
      </c>
      <c r="C1839" s="73">
        <v>3290</v>
      </c>
      <c r="D1839" s="74">
        <f t="shared" si="57"/>
        <v>0.3759645344095689</v>
      </c>
      <c r="E1839" s="1">
        <v>-1.3056749236918904E-2</v>
      </c>
      <c r="G1839" s="75">
        <v>1837</v>
      </c>
      <c r="H1839" s="1">
        <f t="shared" ca="1" si="58"/>
        <v>1.4934034887713141E-3</v>
      </c>
    </row>
    <row r="1840" spans="2:8" x14ac:dyDescent="0.3">
      <c r="B1840" s="72">
        <v>46054</v>
      </c>
      <c r="C1840" s="73">
        <v>2391.0500000000002</v>
      </c>
      <c r="D1840" s="74">
        <f t="shared" si="57"/>
        <v>-2.6405798281688955E-2</v>
      </c>
      <c r="E1840" s="1">
        <v>-1.3084305025281113E-2</v>
      </c>
      <c r="G1840" s="75">
        <v>1838</v>
      </c>
      <c r="H1840" s="1">
        <f t="shared" ca="1" si="58"/>
        <v>1.12895669119727E-2</v>
      </c>
    </row>
    <row r="1841" spans="2:8" x14ac:dyDescent="0.3">
      <c r="B1841" s="72">
        <v>45923</v>
      </c>
      <c r="C1841" s="73">
        <v>2455.9</v>
      </c>
      <c r="D1841" s="74">
        <f t="shared" si="57"/>
        <v>-0.12986943967120754</v>
      </c>
      <c r="E1841" s="1">
        <v>-1.3120090012256169E-2</v>
      </c>
      <c r="G1841" s="75">
        <v>1839</v>
      </c>
      <c r="H1841" s="1">
        <f t="shared" ca="1" si="58"/>
        <v>5.9689519873706107E-3</v>
      </c>
    </row>
    <row r="1842" spans="2:8" x14ac:dyDescent="0.3">
      <c r="B1842" s="72">
        <v>45350</v>
      </c>
      <c r="C1842" s="73">
        <v>2822.45</v>
      </c>
      <c r="D1842" s="74">
        <f t="shared" si="57"/>
        <v>-0.1393919990242713</v>
      </c>
      <c r="E1842" s="1">
        <v>-1.3146623310781407E-2</v>
      </c>
      <c r="G1842" s="75">
        <v>1840</v>
      </c>
      <c r="H1842" s="1">
        <f t="shared" ca="1" si="58"/>
        <v>-2.9413299359812733E-3</v>
      </c>
    </row>
    <row r="1843" spans="2:8" x14ac:dyDescent="0.3">
      <c r="B1843" s="72">
        <v>44844</v>
      </c>
      <c r="C1843" s="73">
        <v>3279.6</v>
      </c>
      <c r="D1843" s="74">
        <f t="shared" si="57"/>
        <v>0.89336951187830138</v>
      </c>
      <c r="E1843" s="1">
        <v>-1.3186697458194565E-2</v>
      </c>
      <c r="G1843" s="75">
        <v>1841</v>
      </c>
      <c r="H1843" s="1">
        <f t="shared" ca="1" si="58"/>
        <v>-8.3002691843753966E-4</v>
      </c>
    </row>
    <row r="1844" spans="2:8" x14ac:dyDescent="0.3">
      <c r="B1844" s="72">
        <v>43941</v>
      </c>
      <c r="C1844" s="73">
        <v>1732.15</v>
      </c>
      <c r="D1844" s="74">
        <f t="shared" si="57"/>
        <v>0.340517741748249</v>
      </c>
      <c r="E1844" s="1">
        <v>-1.3244844479890622E-2</v>
      </c>
      <c r="G1844" s="75">
        <v>1842</v>
      </c>
      <c r="H1844" s="1">
        <f t="shared" ca="1" si="58"/>
        <v>-1.7597963350054951E-2</v>
      </c>
    </row>
    <row r="1845" spans="2:8" x14ac:dyDescent="0.3">
      <c r="B1845" s="72">
        <v>43250</v>
      </c>
      <c r="C1845" s="73">
        <v>1292.1500000000001</v>
      </c>
      <c r="D1845" s="74">
        <f t="shared" si="57"/>
        <v>-0.2750504937163375</v>
      </c>
      <c r="E1845" s="1">
        <v>-1.3249331806032768E-2</v>
      </c>
      <c r="G1845" s="75">
        <v>1843</v>
      </c>
      <c r="H1845" s="1">
        <f t="shared" ca="1" si="58"/>
        <v>-6.3511725777417531E-4</v>
      </c>
    </row>
    <row r="1846" spans="2:8" x14ac:dyDescent="0.3">
      <c r="B1846" s="72">
        <v>43862</v>
      </c>
      <c r="C1846" s="73">
        <v>1782.4</v>
      </c>
      <c r="D1846" s="74">
        <f t="shared" si="57"/>
        <v>0.27933391950331082</v>
      </c>
      <c r="E1846" s="1">
        <v>-1.3258781520746157E-2</v>
      </c>
      <c r="G1846" s="75">
        <v>1844</v>
      </c>
      <c r="H1846" s="1">
        <f t="shared" ca="1" si="58"/>
        <v>-2.1957017664568586E-2</v>
      </c>
    </row>
    <row r="1847" spans="2:8" x14ac:dyDescent="0.3">
      <c r="B1847" s="72">
        <v>43634</v>
      </c>
      <c r="C1847" s="73">
        <v>1393.2249999999999</v>
      </c>
      <c r="D1847" s="74">
        <f t="shared" si="57"/>
        <v>-0.57429531739362927</v>
      </c>
      <c r="E1847" s="1">
        <v>-1.3261801055278258E-2</v>
      </c>
      <c r="G1847" s="75">
        <v>1845</v>
      </c>
      <c r="H1847" s="1">
        <f t="shared" ca="1" si="58"/>
        <v>2.7334058420644847E-2</v>
      </c>
    </row>
    <row r="1848" spans="2:8" x14ac:dyDescent="0.3">
      <c r="B1848" s="72">
        <v>44846</v>
      </c>
      <c r="C1848" s="73">
        <v>3272.75</v>
      </c>
      <c r="D1848" s="74">
        <f t="shared" si="57"/>
        <v>7.7954266610673381E-2</v>
      </c>
      <c r="E1848" s="1">
        <v>-1.3340367802230932E-2</v>
      </c>
      <c r="G1848" s="75">
        <v>1846</v>
      </c>
      <c r="H1848" s="1">
        <f t="shared" ca="1" si="58"/>
        <v>8.6536568822912739E-3</v>
      </c>
    </row>
    <row r="1849" spans="2:8" x14ac:dyDescent="0.3">
      <c r="B1849" s="72">
        <v>44700</v>
      </c>
      <c r="C1849" s="73">
        <v>3036.0749999999998</v>
      </c>
      <c r="D1849" s="74">
        <f t="shared" si="57"/>
        <v>0.18103045862994516</v>
      </c>
      <c r="E1849" s="1">
        <v>-1.3428543575745848E-2</v>
      </c>
      <c r="G1849" s="75">
        <v>1847</v>
      </c>
      <c r="H1849" s="1">
        <f t="shared" ca="1" si="58"/>
        <v>1.1974843427669666E-2</v>
      </c>
    </row>
    <row r="1850" spans="2:8" x14ac:dyDescent="0.3">
      <c r="B1850" s="72">
        <v>44186</v>
      </c>
      <c r="C1850" s="73">
        <v>2570.6999999999998</v>
      </c>
      <c r="D1850" s="74">
        <f t="shared" si="57"/>
        <v>0.59038604305864861</v>
      </c>
      <c r="E1850" s="1">
        <v>-1.3460486803350356E-2</v>
      </c>
      <c r="G1850" s="75">
        <v>1848</v>
      </c>
      <c r="H1850" s="1">
        <f t="shared" ca="1" si="58"/>
        <v>1.5368915689159919E-2</v>
      </c>
    </row>
    <row r="1851" spans="2:8" x14ac:dyDescent="0.3">
      <c r="B1851" s="72">
        <v>43978</v>
      </c>
      <c r="C1851" s="73">
        <v>1616.4</v>
      </c>
      <c r="D1851" s="74">
        <f t="shared" si="57"/>
        <v>-0.50816978548607938</v>
      </c>
      <c r="E1851" s="1">
        <v>-1.3472894002044473E-2</v>
      </c>
      <c r="G1851" s="75">
        <v>1849</v>
      </c>
      <c r="H1851" s="1">
        <f t="shared" ca="1" si="58"/>
        <v>5.0965499031700836E-3</v>
      </c>
    </row>
    <row r="1852" spans="2:8" x14ac:dyDescent="0.3">
      <c r="B1852" s="72">
        <v>45566</v>
      </c>
      <c r="C1852" s="73">
        <v>3286.5</v>
      </c>
      <c r="D1852" s="74">
        <f t="shared" si="57"/>
        <v>0.2318215892053973</v>
      </c>
      <c r="E1852" s="1">
        <v>-1.3529636883455969E-2</v>
      </c>
      <c r="G1852" s="75">
        <v>1850</v>
      </c>
      <c r="H1852" s="1">
        <f t="shared" ca="1" si="58"/>
        <v>1.2021888861841693E-2</v>
      </c>
    </row>
    <row r="1853" spans="2:8" x14ac:dyDescent="0.3">
      <c r="B1853" s="72">
        <v>46043</v>
      </c>
      <c r="C1853" s="73">
        <v>2668</v>
      </c>
      <c r="D1853" s="74">
        <f t="shared" si="57"/>
        <v>-4.5566337253499081E-2</v>
      </c>
      <c r="E1853" s="1">
        <v>-1.3568972529300781E-2</v>
      </c>
      <c r="G1853" s="75">
        <v>1851</v>
      </c>
      <c r="H1853" s="1">
        <f t="shared" ca="1" si="58"/>
        <v>1.2911294437053624E-2</v>
      </c>
    </row>
    <row r="1854" spans="2:8" x14ac:dyDescent="0.3">
      <c r="B1854" s="72">
        <v>45008</v>
      </c>
      <c r="C1854" s="73">
        <v>2795.375</v>
      </c>
      <c r="D1854" s="74">
        <f t="shared" si="57"/>
        <v>-7.0300157977883096E-2</v>
      </c>
      <c r="E1854" s="1">
        <v>-1.3629146083274524E-2</v>
      </c>
      <c r="G1854" s="75">
        <v>1852</v>
      </c>
      <c r="H1854" s="1">
        <f t="shared" ca="1" si="58"/>
        <v>1.2297235481607877E-2</v>
      </c>
    </row>
    <row r="1855" spans="2:8" x14ac:dyDescent="0.3">
      <c r="B1855" s="72">
        <v>44370</v>
      </c>
      <c r="C1855" s="73">
        <v>3006.75</v>
      </c>
      <c r="D1855" s="74">
        <f t="shared" si="57"/>
        <v>0.23971797884841367</v>
      </c>
      <c r="E1855" s="1">
        <v>-1.3703348340590824E-2</v>
      </c>
      <c r="G1855" s="75">
        <v>1853</v>
      </c>
      <c r="H1855" s="1">
        <f t="shared" ca="1" si="58"/>
        <v>1.3644345749842096E-3</v>
      </c>
    </row>
    <row r="1856" spans="2:8" x14ac:dyDescent="0.3">
      <c r="B1856" s="72">
        <v>45925</v>
      </c>
      <c r="C1856" s="73">
        <v>2425.35</v>
      </c>
      <c r="D1856" s="74">
        <f t="shared" si="57"/>
        <v>-0.23690337601862638</v>
      </c>
      <c r="E1856" s="1">
        <v>-1.3724533365865561E-2</v>
      </c>
      <c r="G1856" s="75">
        <v>1854</v>
      </c>
      <c r="H1856" s="1">
        <f t="shared" ca="1" si="58"/>
        <v>5.9187374104862685E-3</v>
      </c>
    </row>
    <row r="1857" spans="2:8" x14ac:dyDescent="0.3">
      <c r="B1857" s="72">
        <v>44489</v>
      </c>
      <c r="C1857" s="73">
        <v>3178.3</v>
      </c>
      <c r="D1857" s="74">
        <f t="shared" si="57"/>
        <v>0.10964475866282629</v>
      </c>
      <c r="E1857" s="1">
        <v>-1.3746664184199009E-2</v>
      </c>
      <c r="G1857" s="75">
        <v>1855</v>
      </c>
      <c r="H1857" s="1">
        <f t="shared" ca="1" si="58"/>
        <v>-2.8722271471859169E-3</v>
      </c>
    </row>
    <row r="1858" spans="2:8" x14ac:dyDescent="0.3">
      <c r="B1858" s="72">
        <v>44750</v>
      </c>
      <c r="C1858" s="73">
        <v>2864.25</v>
      </c>
      <c r="D1858" s="74">
        <f t="shared" si="57"/>
        <v>0.16977394784668468</v>
      </c>
      <c r="E1858" s="1">
        <v>-1.3823853463710263E-2</v>
      </c>
      <c r="G1858" s="75">
        <v>1856</v>
      </c>
      <c r="H1858" s="1">
        <f t="shared" ca="1" si="58"/>
        <v>-4.0484790141732795E-3</v>
      </c>
    </row>
    <row r="1859" spans="2:8" x14ac:dyDescent="0.3">
      <c r="B1859" s="72">
        <v>44243</v>
      </c>
      <c r="C1859" s="73">
        <v>2448.5500000000002</v>
      </c>
      <c r="D1859" s="74">
        <f t="shared" ref="D1859:D1922" si="59">(C1859-C1860)/C1860</f>
        <v>0.69784696460146312</v>
      </c>
      <c r="E1859" s="1">
        <v>-1.388427422196712E-2</v>
      </c>
      <c r="G1859" s="75">
        <v>1857</v>
      </c>
      <c r="H1859" s="1">
        <f t="shared" ca="1" si="58"/>
        <v>1.7345405152722256E-2</v>
      </c>
    </row>
    <row r="1860" spans="2:8" x14ac:dyDescent="0.3">
      <c r="B1860" s="72">
        <v>43507</v>
      </c>
      <c r="C1860" s="73">
        <v>1442.15</v>
      </c>
      <c r="D1860" s="74">
        <f t="shared" si="59"/>
        <v>-0.35613992008393414</v>
      </c>
      <c r="E1860" s="1">
        <v>-1.3914529914529853E-2</v>
      </c>
      <c r="G1860" s="75">
        <v>1858</v>
      </c>
      <c r="H1860" s="1">
        <f t="shared" ref="H1860:H1923" ca="1" si="60">_xlfn.NORM.INV(RAND(),$N$4,$N$5)</f>
        <v>3.2595765661200251E-3</v>
      </c>
    </row>
    <row r="1861" spans="2:8" x14ac:dyDescent="0.3">
      <c r="B1861" s="72">
        <v>45729</v>
      </c>
      <c r="C1861" s="73">
        <v>2239.85</v>
      </c>
      <c r="D1861" s="74">
        <f t="shared" si="59"/>
        <v>-0.14694316699515372</v>
      </c>
      <c r="E1861" s="1">
        <v>-1.3922671391936958E-2</v>
      </c>
      <c r="G1861" s="75">
        <v>1859</v>
      </c>
      <c r="H1861" s="1">
        <f t="shared" ca="1" si="60"/>
        <v>-9.6805012067578463E-3</v>
      </c>
    </row>
    <row r="1862" spans="2:8" x14ac:dyDescent="0.3">
      <c r="B1862" s="72">
        <v>44726</v>
      </c>
      <c r="C1862" s="73">
        <v>2625.6750000000002</v>
      </c>
      <c r="D1862" s="74">
        <f t="shared" si="59"/>
        <v>0.4707398019912899</v>
      </c>
      <c r="E1862" s="1">
        <v>-1.3923575251150058E-2</v>
      </c>
      <c r="G1862" s="75">
        <v>1860</v>
      </c>
      <c r="H1862" s="1">
        <f t="shared" ca="1" si="60"/>
        <v>-2.3045413309093817E-2</v>
      </c>
    </row>
    <row r="1863" spans="2:8" x14ac:dyDescent="0.3">
      <c r="B1863" s="72">
        <v>43754</v>
      </c>
      <c r="C1863" s="73">
        <v>1785.2750000000001</v>
      </c>
      <c r="D1863" s="74">
        <f t="shared" si="59"/>
        <v>-0.41356316364323198</v>
      </c>
      <c r="E1863" s="1">
        <v>-1.3932615299640932E-2</v>
      </c>
      <c r="G1863" s="75">
        <v>1861</v>
      </c>
      <c r="H1863" s="1">
        <f t="shared" ca="1" si="60"/>
        <v>-2.7148362127671537E-3</v>
      </c>
    </row>
    <row r="1864" spans="2:8" x14ac:dyDescent="0.3">
      <c r="B1864" s="72">
        <v>44692</v>
      </c>
      <c r="C1864" s="73">
        <v>3044.2750000000001</v>
      </c>
      <c r="D1864" s="74">
        <f t="shared" si="59"/>
        <v>0.69807979250045316</v>
      </c>
      <c r="E1864" s="1">
        <v>-1.3960079355439463E-2</v>
      </c>
      <c r="G1864" s="75">
        <v>1862</v>
      </c>
      <c r="H1864" s="1">
        <f t="shared" ca="1" si="60"/>
        <v>3.8918742992643258E-2</v>
      </c>
    </row>
    <row r="1865" spans="2:8" x14ac:dyDescent="0.3">
      <c r="B1865" s="72">
        <v>43852</v>
      </c>
      <c r="C1865" s="73">
        <v>1792.7750000000001</v>
      </c>
      <c r="D1865" s="74">
        <f t="shared" si="59"/>
        <v>4.4588492352512797E-2</v>
      </c>
      <c r="E1865" s="1">
        <v>-1.3983610163898213E-2</v>
      </c>
      <c r="G1865" s="75">
        <v>1863</v>
      </c>
      <c r="H1865" s="1">
        <f t="shared" ca="1" si="60"/>
        <v>2.540341791247331E-2</v>
      </c>
    </row>
    <row r="1866" spans="2:8" x14ac:dyDescent="0.3">
      <c r="B1866" s="72">
        <v>44046</v>
      </c>
      <c r="C1866" s="73">
        <v>1716.25</v>
      </c>
      <c r="D1866" s="74">
        <f t="shared" si="59"/>
        <v>-0.45308827864216117</v>
      </c>
      <c r="E1866" s="1">
        <v>-1.4017751989199488E-2</v>
      </c>
      <c r="G1866" s="75">
        <v>1864</v>
      </c>
      <c r="H1866" s="1">
        <f t="shared" ca="1" si="60"/>
        <v>4.7844143546383472E-3</v>
      </c>
    </row>
    <row r="1867" spans="2:8" x14ac:dyDescent="0.3">
      <c r="B1867" s="72">
        <v>44685</v>
      </c>
      <c r="C1867" s="73">
        <v>3138.0749999999998</v>
      </c>
      <c r="D1867" s="74">
        <f t="shared" si="59"/>
        <v>4.3069636031244744E-2</v>
      </c>
      <c r="E1867" s="1">
        <v>-1.4044348092466566E-2</v>
      </c>
      <c r="G1867" s="75">
        <v>1865</v>
      </c>
      <c r="H1867" s="1">
        <f t="shared" ca="1" si="60"/>
        <v>1.5131486200986922E-3</v>
      </c>
    </row>
    <row r="1868" spans="2:8" x14ac:dyDescent="0.3">
      <c r="B1868" s="72">
        <v>44405</v>
      </c>
      <c r="C1868" s="73">
        <v>3008.5</v>
      </c>
      <c r="D1868" s="74">
        <f t="shared" si="59"/>
        <v>-2.7634130575307045E-2</v>
      </c>
      <c r="E1868" s="1">
        <v>-1.4059120403749127E-2</v>
      </c>
      <c r="G1868" s="75">
        <v>1866</v>
      </c>
      <c r="H1868" s="1">
        <f t="shared" ca="1" si="60"/>
        <v>9.7793783907528095E-4</v>
      </c>
    </row>
    <row r="1869" spans="2:8" x14ac:dyDescent="0.3">
      <c r="B1869" s="72">
        <v>44664</v>
      </c>
      <c r="C1869" s="73">
        <v>3094</v>
      </c>
      <c r="D1869" s="74">
        <f t="shared" si="59"/>
        <v>9.8982431230466086E-3</v>
      </c>
      <c r="E1869" s="1">
        <v>-1.4060944035052779E-2</v>
      </c>
      <c r="G1869" s="75">
        <v>1867</v>
      </c>
      <c r="H1869" s="1">
        <f t="shared" ca="1" si="60"/>
        <v>7.978456424226987E-3</v>
      </c>
    </row>
    <row r="1870" spans="2:8" x14ac:dyDescent="0.3">
      <c r="B1870" s="72">
        <v>44432</v>
      </c>
      <c r="C1870" s="73">
        <v>3063.6750000000002</v>
      </c>
      <c r="D1870" s="74">
        <f t="shared" si="59"/>
        <v>0.23607552803050169</v>
      </c>
      <c r="E1870" s="1">
        <v>-1.4079181315719606E-2</v>
      </c>
      <c r="G1870" s="75">
        <v>1868</v>
      </c>
      <c r="H1870" s="1">
        <f t="shared" ca="1" si="60"/>
        <v>-4.562955947189108E-3</v>
      </c>
    </row>
    <row r="1871" spans="2:8" x14ac:dyDescent="0.3">
      <c r="B1871" s="72">
        <v>45848</v>
      </c>
      <c r="C1871" s="73">
        <v>2478.5500000000002</v>
      </c>
      <c r="D1871" s="74">
        <f t="shared" si="59"/>
        <v>2.7165354330708737E-2</v>
      </c>
      <c r="E1871" s="1">
        <v>-1.4081425644901306E-2</v>
      </c>
      <c r="G1871" s="75">
        <v>1869</v>
      </c>
      <c r="H1871" s="1">
        <f t="shared" ca="1" si="60"/>
        <v>-3.7001058693412773E-3</v>
      </c>
    </row>
    <row r="1872" spans="2:8" x14ac:dyDescent="0.3">
      <c r="B1872" s="72">
        <v>45635</v>
      </c>
      <c r="C1872" s="73">
        <v>2413</v>
      </c>
      <c r="D1872" s="74">
        <f t="shared" si="59"/>
        <v>-0.26625869474324376</v>
      </c>
      <c r="E1872" s="1">
        <v>-1.4096016343207354E-2</v>
      </c>
      <c r="G1872" s="75">
        <v>1870</v>
      </c>
      <c r="H1872" s="1">
        <f t="shared" ca="1" si="60"/>
        <v>-1.1290464402446214E-2</v>
      </c>
    </row>
    <row r="1873" spans="2:8" x14ac:dyDescent="0.3">
      <c r="B1873" s="72">
        <v>45300</v>
      </c>
      <c r="C1873" s="73">
        <v>3288.625</v>
      </c>
      <c r="D1873" s="74">
        <f t="shared" si="59"/>
        <v>0.41778577741372236</v>
      </c>
      <c r="E1873" s="1">
        <v>-1.4105091173450705E-2</v>
      </c>
      <c r="G1873" s="75">
        <v>1871</v>
      </c>
      <c r="H1873" s="1">
        <f t="shared" ca="1" si="60"/>
        <v>-2.5347790117419625E-3</v>
      </c>
    </row>
    <row r="1874" spans="2:8" x14ac:dyDescent="0.3">
      <c r="B1874" s="72">
        <v>45797</v>
      </c>
      <c r="C1874" s="73">
        <v>2319.5500000000002</v>
      </c>
      <c r="D1874" s="74">
        <f t="shared" si="59"/>
        <v>1.361213074637305E-2</v>
      </c>
      <c r="E1874" s="1">
        <v>-1.4111146530655538E-2</v>
      </c>
      <c r="G1874" s="75">
        <v>1872</v>
      </c>
      <c r="H1874" s="1">
        <f t="shared" ca="1" si="60"/>
        <v>5.8337116047451204E-3</v>
      </c>
    </row>
    <row r="1875" spans="2:8" x14ac:dyDescent="0.3">
      <c r="B1875" s="72">
        <v>45786</v>
      </c>
      <c r="C1875" s="73">
        <v>2288.4</v>
      </c>
      <c r="D1875" s="74">
        <f t="shared" si="59"/>
        <v>-8.436530959287783E-2</v>
      </c>
      <c r="E1875" s="1">
        <v>-1.4173092663593715E-2</v>
      </c>
      <c r="G1875" s="75">
        <v>1873</v>
      </c>
      <c r="H1875" s="1">
        <f t="shared" ca="1" si="60"/>
        <v>-4.8439038709137336E-3</v>
      </c>
    </row>
    <row r="1876" spans="2:8" x14ac:dyDescent="0.3">
      <c r="B1876" s="72">
        <v>45894</v>
      </c>
      <c r="C1876" s="73">
        <v>2499.25</v>
      </c>
      <c r="D1876" s="74">
        <f t="shared" si="59"/>
        <v>-0.22202334630350196</v>
      </c>
      <c r="E1876" s="1">
        <v>-1.4180340801514603E-2</v>
      </c>
      <c r="G1876" s="75">
        <v>1874</v>
      </c>
      <c r="H1876" s="1">
        <f t="shared" ca="1" si="60"/>
        <v>-1.1220946400041136E-2</v>
      </c>
    </row>
    <row r="1877" spans="2:8" x14ac:dyDescent="0.3">
      <c r="B1877" s="72">
        <v>45184</v>
      </c>
      <c r="C1877" s="73">
        <v>3212.5</v>
      </c>
      <c r="D1877" s="74">
        <f t="shared" si="59"/>
        <v>0.14309605565143135</v>
      </c>
      <c r="E1877" s="1">
        <v>-1.4184995665482638E-2</v>
      </c>
      <c r="G1877" s="75">
        <v>1875</v>
      </c>
      <c r="H1877" s="1">
        <f t="shared" ca="1" si="60"/>
        <v>-2.1577973097636233E-2</v>
      </c>
    </row>
    <row r="1878" spans="2:8" x14ac:dyDescent="0.3">
      <c r="B1878" s="72">
        <v>46001</v>
      </c>
      <c r="C1878" s="73">
        <v>2810.35</v>
      </c>
      <c r="D1878" s="74">
        <f t="shared" si="59"/>
        <v>-0.12885727127601873</v>
      </c>
      <c r="E1878" s="1">
        <v>-1.4258155033321673E-2</v>
      </c>
      <c r="G1878" s="75">
        <v>1876</v>
      </c>
      <c r="H1878" s="1">
        <f t="shared" ca="1" si="60"/>
        <v>1.5089907117015475E-4</v>
      </c>
    </row>
    <row r="1879" spans="2:8" x14ac:dyDescent="0.3">
      <c r="B1879" s="72">
        <v>44847</v>
      </c>
      <c r="C1879" s="73">
        <v>3226.05</v>
      </c>
      <c r="D1879" s="74">
        <f t="shared" si="59"/>
        <v>0.34717654796579911</v>
      </c>
      <c r="E1879" s="1">
        <v>-1.4269345351768334E-2</v>
      </c>
      <c r="G1879" s="75">
        <v>1877</v>
      </c>
      <c r="H1879" s="1">
        <f t="shared" ca="1" si="60"/>
        <v>1.0828279188753639E-2</v>
      </c>
    </row>
    <row r="1880" spans="2:8" x14ac:dyDescent="0.3">
      <c r="B1880" s="72">
        <v>44274</v>
      </c>
      <c r="C1880" s="73">
        <v>2394.6750000000002</v>
      </c>
      <c r="D1880" s="74">
        <f t="shared" si="59"/>
        <v>0.4165274101240739</v>
      </c>
      <c r="E1880" s="1">
        <v>-1.4303796165759386E-2</v>
      </c>
      <c r="G1880" s="75">
        <v>1878</v>
      </c>
      <c r="H1880" s="1">
        <f t="shared" ca="1" si="60"/>
        <v>-2.4152446858325103E-2</v>
      </c>
    </row>
    <row r="1881" spans="2:8" x14ac:dyDescent="0.3">
      <c r="B1881" s="72">
        <v>44008</v>
      </c>
      <c r="C1881" s="73">
        <v>1690.5250000000001</v>
      </c>
      <c r="D1881" s="74">
        <f t="shared" si="59"/>
        <v>-0.2242985293780255</v>
      </c>
      <c r="E1881" s="1">
        <v>-1.4314242817369476E-2</v>
      </c>
      <c r="G1881" s="75">
        <v>1879</v>
      </c>
      <c r="H1881" s="1">
        <f t="shared" ca="1" si="60"/>
        <v>1.4300778318853928E-2</v>
      </c>
    </row>
    <row r="1882" spans="2:8" x14ac:dyDescent="0.3">
      <c r="B1882" s="72">
        <v>44160</v>
      </c>
      <c r="C1882" s="73">
        <v>2179.35</v>
      </c>
      <c r="D1882" s="74">
        <f t="shared" si="59"/>
        <v>-0.2181423548826863</v>
      </c>
      <c r="E1882" s="1">
        <v>-1.4314789687924058E-2</v>
      </c>
      <c r="G1882" s="75">
        <v>1880</v>
      </c>
      <c r="H1882" s="1">
        <f t="shared" ca="1" si="60"/>
        <v>-1.7044515914943579E-2</v>
      </c>
    </row>
    <row r="1883" spans="2:8" x14ac:dyDescent="0.3">
      <c r="B1883" s="72">
        <v>46030</v>
      </c>
      <c r="C1883" s="73">
        <v>2787.3999999999996</v>
      </c>
      <c r="D1883" s="74">
        <f t="shared" si="59"/>
        <v>-0.14199525964231852</v>
      </c>
      <c r="E1883" s="1">
        <v>-1.4321581385480394E-2</v>
      </c>
      <c r="G1883" s="75">
        <v>1881</v>
      </c>
      <c r="H1883" s="1">
        <f t="shared" ca="1" si="60"/>
        <v>6.4638722312576752E-3</v>
      </c>
    </row>
    <row r="1884" spans="2:8" x14ac:dyDescent="0.3">
      <c r="B1884" s="72">
        <v>45308</v>
      </c>
      <c r="C1884" s="73">
        <v>3248.7</v>
      </c>
      <c r="D1884" s="74">
        <f t="shared" si="59"/>
        <v>0.5129232058864619</v>
      </c>
      <c r="E1884" s="1">
        <v>-1.463473816709383E-2</v>
      </c>
      <c r="G1884" s="75">
        <v>1882</v>
      </c>
      <c r="H1884" s="1">
        <f t="shared" ca="1" si="60"/>
        <v>-2.7535526529898463E-2</v>
      </c>
    </row>
    <row r="1885" spans="2:8" x14ac:dyDescent="0.3">
      <c r="B1885" s="72">
        <v>44161</v>
      </c>
      <c r="C1885" s="73">
        <v>2147.3000000000002</v>
      </c>
      <c r="D1885" s="74">
        <f t="shared" si="59"/>
        <v>-0.26094064602729344</v>
      </c>
      <c r="E1885" s="1">
        <v>-1.4706219744419083E-2</v>
      </c>
      <c r="G1885" s="75">
        <v>1883</v>
      </c>
      <c r="H1885" s="1">
        <f t="shared" ca="1" si="60"/>
        <v>-5.8911763151244471E-3</v>
      </c>
    </row>
    <row r="1886" spans="2:8" x14ac:dyDescent="0.3">
      <c r="B1886" s="72">
        <v>44349</v>
      </c>
      <c r="C1886" s="73">
        <v>2905.45</v>
      </c>
      <c r="D1886" s="74">
        <f t="shared" si="59"/>
        <v>1.2676682926829266</v>
      </c>
      <c r="E1886" s="1">
        <v>-1.4717601776963933E-2</v>
      </c>
      <c r="G1886" s="75">
        <v>1884</v>
      </c>
      <c r="H1886" s="1">
        <f t="shared" ca="1" si="60"/>
        <v>1.4175633637958821E-2</v>
      </c>
    </row>
    <row r="1887" spans="2:8" x14ac:dyDescent="0.3">
      <c r="B1887" s="72">
        <v>43255</v>
      </c>
      <c r="C1887" s="73">
        <v>1281.25</v>
      </c>
      <c r="D1887" s="74">
        <f t="shared" si="59"/>
        <v>-0.40715120247087816</v>
      </c>
      <c r="E1887" s="1">
        <v>-1.4726238080590657E-2</v>
      </c>
      <c r="G1887" s="75">
        <v>1885</v>
      </c>
      <c r="H1887" s="1">
        <f t="shared" ca="1" si="60"/>
        <v>7.2881630522809489E-3</v>
      </c>
    </row>
    <row r="1888" spans="2:8" x14ac:dyDescent="0.3">
      <c r="B1888" s="72">
        <v>45719</v>
      </c>
      <c r="C1888" s="73">
        <v>2161.1750000000002</v>
      </c>
      <c r="D1888" s="74">
        <f t="shared" si="59"/>
        <v>-0.29688160848488782</v>
      </c>
      <c r="E1888" s="1">
        <v>-1.4770409035478448E-2</v>
      </c>
      <c r="G1888" s="75">
        <v>1886</v>
      </c>
      <c r="H1888" s="1">
        <f t="shared" ca="1" si="60"/>
        <v>5.8242515704016616E-3</v>
      </c>
    </row>
    <row r="1889" spans="2:8" x14ac:dyDescent="0.3">
      <c r="B1889" s="72">
        <v>44641</v>
      </c>
      <c r="C1889" s="73">
        <v>3073.7</v>
      </c>
      <c r="D1889" s="74">
        <f t="shared" si="59"/>
        <v>4.0935375445547907E-2</v>
      </c>
      <c r="E1889" s="1">
        <v>-1.4808166928427281E-2</v>
      </c>
      <c r="G1889" s="75">
        <v>1887</v>
      </c>
      <c r="H1889" s="1">
        <f t="shared" ca="1" si="60"/>
        <v>7.312803215792571E-3</v>
      </c>
    </row>
    <row r="1890" spans="2:8" x14ac:dyDescent="0.3">
      <c r="B1890" s="72">
        <v>45226</v>
      </c>
      <c r="C1890" s="73">
        <v>2952.8249999999998</v>
      </c>
      <c r="D1890" s="74">
        <f t="shared" si="59"/>
        <v>0.19914109931166116</v>
      </c>
      <c r="E1890" s="1">
        <v>-1.4904086738949185E-2</v>
      </c>
      <c r="G1890" s="75">
        <v>1888</v>
      </c>
      <c r="H1890" s="1">
        <f t="shared" ca="1" si="60"/>
        <v>1.0548863218684125E-2</v>
      </c>
    </row>
    <row r="1891" spans="2:8" x14ac:dyDescent="0.3">
      <c r="B1891" s="72">
        <v>46051</v>
      </c>
      <c r="C1891" s="73">
        <v>2462.4499999999998</v>
      </c>
      <c r="D1891" s="74">
        <f t="shared" si="59"/>
        <v>-0.2974465049928674</v>
      </c>
      <c r="E1891" s="1">
        <v>-1.4921492149214994E-2</v>
      </c>
      <c r="G1891" s="75">
        <v>1889</v>
      </c>
      <c r="H1891" s="1">
        <f t="shared" ca="1" si="60"/>
        <v>5.0503672232222472E-3</v>
      </c>
    </row>
    <row r="1892" spans="2:8" x14ac:dyDescent="0.3">
      <c r="B1892" s="72">
        <v>44574</v>
      </c>
      <c r="C1892" s="73">
        <v>3505</v>
      </c>
      <c r="D1892" s="74">
        <f t="shared" si="59"/>
        <v>0.14750609766079006</v>
      </c>
      <c r="E1892" s="1">
        <v>-1.4958300838198796E-2</v>
      </c>
      <c r="G1892" s="75">
        <v>1890</v>
      </c>
      <c r="H1892" s="1">
        <f t="shared" ca="1" si="60"/>
        <v>-1.3560629728071668E-2</v>
      </c>
    </row>
    <row r="1893" spans="2:8" x14ac:dyDescent="0.3">
      <c r="B1893" s="72">
        <v>44928</v>
      </c>
      <c r="C1893" s="73">
        <v>3054.45</v>
      </c>
      <c r="D1893" s="74">
        <f t="shared" si="59"/>
        <v>-2.6664011153156801E-2</v>
      </c>
      <c r="E1893" s="1">
        <v>-1.5019227513483533E-2</v>
      </c>
      <c r="G1893" s="75">
        <v>1891</v>
      </c>
      <c r="H1893" s="1">
        <f t="shared" ca="1" si="60"/>
        <v>-1.2711514105814153E-2</v>
      </c>
    </row>
    <row r="1894" spans="2:8" x14ac:dyDescent="0.3">
      <c r="B1894" s="72">
        <v>44663</v>
      </c>
      <c r="C1894" s="73">
        <v>3138.125</v>
      </c>
      <c r="D1894" s="74">
        <f t="shared" si="59"/>
        <v>1.2600421310383318</v>
      </c>
      <c r="E1894" s="1">
        <v>-1.5026679221594477E-2</v>
      </c>
      <c r="G1894" s="75">
        <v>1892</v>
      </c>
      <c r="H1894" s="1">
        <f t="shared" ca="1" si="60"/>
        <v>-1.3462142091105324E-3</v>
      </c>
    </row>
    <row r="1895" spans="2:8" x14ac:dyDescent="0.3">
      <c r="B1895" s="72">
        <v>43511</v>
      </c>
      <c r="C1895" s="73">
        <v>1388.5250000000001</v>
      </c>
      <c r="D1895" s="74">
        <f t="shared" si="59"/>
        <v>-0.14631109744850901</v>
      </c>
      <c r="E1895" s="1">
        <v>-1.5108258117142165E-2</v>
      </c>
      <c r="G1895" s="75">
        <v>1893</v>
      </c>
      <c r="H1895" s="1">
        <f t="shared" ca="1" si="60"/>
        <v>-1.307660599681979E-2</v>
      </c>
    </row>
    <row r="1896" spans="2:8" x14ac:dyDescent="0.3">
      <c r="B1896" s="72">
        <v>43993</v>
      </c>
      <c r="C1896" s="73">
        <v>1626.5</v>
      </c>
      <c r="D1896" s="74">
        <f t="shared" si="59"/>
        <v>-0.45157673795213732</v>
      </c>
      <c r="E1896" s="1">
        <v>-1.5137753557372086E-2</v>
      </c>
      <c r="G1896" s="75">
        <v>1894</v>
      </c>
      <c r="H1896" s="1">
        <f t="shared" ca="1" si="60"/>
        <v>6.436606294278736E-3</v>
      </c>
    </row>
    <row r="1897" spans="2:8" x14ac:dyDescent="0.3">
      <c r="B1897" s="72">
        <v>45488</v>
      </c>
      <c r="C1897" s="73">
        <v>2965.7750000000001</v>
      </c>
      <c r="D1897" s="74">
        <f t="shared" si="59"/>
        <v>0.65547027630477261</v>
      </c>
      <c r="E1897" s="1">
        <v>-1.5167112188480542E-2</v>
      </c>
      <c r="G1897" s="75">
        <v>1895</v>
      </c>
      <c r="H1897" s="1">
        <f t="shared" ca="1" si="60"/>
        <v>-1.2760098338067447E-2</v>
      </c>
    </row>
    <row r="1898" spans="2:8" x14ac:dyDescent="0.3">
      <c r="B1898" s="72">
        <v>43770</v>
      </c>
      <c r="C1898" s="73">
        <v>1791.5</v>
      </c>
      <c r="D1898" s="74">
        <f t="shared" si="59"/>
        <v>-0.43518321471077376</v>
      </c>
      <c r="E1898" s="1">
        <v>-1.5199406316136706E-2</v>
      </c>
      <c r="G1898" s="75">
        <v>1896</v>
      </c>
      <c r="H1898" s="1">
        <f t="shared" ca="1" si="60"/>
        <v>1.1142777992433779E-2</v>
      </c>
    </row>
    <row r="1899" spans="2:8" x14ac:dyDescent="0.3">
      <c r="B1899" s="72">
        <v>44854</v>
      </c>
      <c r="C1899" s="73">
        <v>3171.8249999999998</v>
      </c>
      <c r="D1899" s="74">
        <f t="shared" si="59"/>
        <v>0.31029247738257532</v>
      </c>
      <c r="E1899" s="1">
        <v>-1.5274640836379669E-2</v>
      </c>
      <c r="G1899" s="75">
        <v>1897</v>
      </c>
      <c r="H1899" s="1">
        <f t="shared" ca="1" si="60"/>
        <v>-7.9938067954802954E-3</v>
      </c>
    </row>
    <row r="1900" spans="2:8" x14ac:dyDescent="0.3">
      <c r="B1900" s="72">
        <v>46142</v>
      </c>
      <c r="C1900" s="73">
        <v>2420.6999999999998</v>
      </c>
      <c r="D1900" s="74">
        <f t="shared" si="59"/>
        <v>0.74969280809541006</v>
      </c>
      <c r="E1900" s="1">
        <v>-1.5275094070985531E-2</v>
      </c>
      <c r="G1900" s="75">
        <v>1898</v>
      </c>
      <c r="H1900" s="1">
        <f t="shared" ca="1" si="60"/>
        <v>9.4024209548504139E-3</v>
      </c>
    </row>
    <row r="1901" spans="2:8" x14ac:dyDescent="0.3">
      <c r="B1901" s="72">
        <v>43490</v>
      </c>
      <c r="C1901" s="73">
        <v>1383.5</v>
      </c>
      <c r="D1901" s="74">
        <f t="shared" si="59"/>
        <v>-0.22317831524866993</v>
      </c>
      <c r="E1901" s="1">
        <v>-1.5302491103202847E-2</v>
      </c>
      <c r="G1901" s="75">
        <v>1899</v>
      </c>
      <c r="H1901" s="1">
        <f t="shared" ca="1" si="60"/>
        <v>-8.9986675851321252E-3</v>
      </c>
    </row>
    <row r="1902" spans="2:8" x14ac:dyDescent="0.3">
      <c r="B1902" s="72">
        <v>43780</v>
      </c>
      <c r="C1902" s="73">
        <v>1780.9749999999999</v>
      </c>
      <c r="D1902" s="74">
        <f t="shared" si="59"/>
        <v>0.23040121591046478</v>
      </c>
      <c r="E1902" s="1">
        <v>-1.5383126934984545E-2</v>
      </c>
      <c r="G1902" s="75">
        <v>1900</v>
      </c>
      <c r="H1902" s="1">
        <f t="shared" ca="1" si="60"/>
        <v>-8.9773934109499028E-3</v>
      </c>
    </row>
    <row r="1903" spans="2:8" x14ac:dyDescent="0.3">
      <c r="B1903" s="72">
        <v>43577</v>
      </c>
      <c r="C1903" s="73">
        <v>1447.4749999999999</v>
      </c>
      <c r="D1903" s="74">
        <f t="shared" si="59"/>
        <v>-0.21053995091355338</v>
      </c>
      <c r="E1903" s="1">
        <v>-1.5390109516359432E-2</v>
      </c>
      <c r="G1903" s="75">
        <v>1901</v>
      </c>
      <c r="H1903" s="1">
        <f t="shared" ca="1" si="60"/>
        <v>-2.8979777979596922E-3</v>
      </c>
    </row>
    <row r="1904" spans="2:8" x14ac:dyDescent="0.3">
      <c r="B1904" s="72">
        <v>43885</v>
      </c>
      <c r="C1904" s="73">
        <v>1833.5</v>
      </c>
      <c r="D1904" s="74">
        <f t="shared" si="59"/>
        <v>-0.42332793407664843</v>
      </c>
      <c r="E1904" s="1">
        <v>-1.558368344049078E-2</v>
      </c>
      <c r="G1904" s="75">
        <v>1902</v>
      </c>
      <c r="H1904" s="1">
        <f t="shared" ca="1" si="60"/>
        <v>2.7639486426879668E-2</v>
      </c>
    </row>
    <row r="1905" spans="2:8" x14ac:dyDescent="0.3">
      <c r="B1905" s="72">
        <v>44524</v>
      </c>
      <c r="C1905" s="73">
        <v>3179.45</v>
      </c>
      <c r="D1905" s="74">
        <f t="shared" si="59"/>
        <v>1.5505485028979402</v>
      </c>
      <c r="E1905" s="1">
        <v>-1.562729784747335E-2</v>
      </c>
      <c r="G1905" s="75">
        <v>1903</v>
      </c>
      <c r="H1905" s="1">
        <f t="shared" ca="1" si="60"/>
        <v>1.186314019749867E-2</v>
      </c>
    </row>
    <row r="1906" spans="2:8" x14ac:dyDescent="0.3">
      <c r="B1906" s="72">
        <v>43409</v>
      </c>
      <c r="C1906" s="73">
        <v>1246.575</v>
      </c>
      <c r="D1906" s="74">
        <f t="shared" si="59"/>
        <v>-0.63226248949068531</v>
      </c>
      <c r="E1906" s="1">
        <v>-1.5654611497157331E-2</v>
      </c>
      <c r="G1906" s="75">
        <v>1904</v>
      </c>
      <c r="H1906" s="1">
        <f t="shared" ca="1" si="60"/>
        <v>-3.0584706697839546E-2</v>
      </c>
    </row>
    <row r="1907" spans="2:8" x14ac:dyDescent="0.3">
      <c r="B1907" s="72">
        <v>44467</v>
      </c>
      <c r="C1907" s="73">
        <v>3389.85</v>
      </c>
      <c r="D1907" s="74">
        <f t="shared" si="59"/>
        <v>0.13193087903831702</v>
      </c>
      <c r="E1907" s="1">
        <v>-1.5672979898804357E-2</v>
      </c>
      <c r="G1907" s="75">
        <v>1905</v>
      </c>
      <c r="H1907" s="1">
        <f t="shared" ca="1" si="60"/>
        <v>1.753701900454422E-2</v>
      </c>
    </row>
    <row r="1908" spans="2:8" x14ac:dyDescent="0.3">
      <c r="B1908" s="72">
        <v>44644</v>
      </c>
      <c r="C1908" s="73">
        <v>2994.75</v>
      </c>
      <c r="D1908" s="74">
        <f t="shared" si="59"/>
        <v>-9.0439708126741528E-2</v>
      </c>
      <c r="E1908" s="1">
        <v>-1.5678154119213077E-2</v>
      </c>
      <c r="G1908" s="75">
        <v>1906</v>
      </c>
      <c r="H1908" s="1">
        <f t="shared" ca="1" si="60"/>
        <v>-8.3227693663747923E-3</v>
      </c>
    </row>
    <row r="1909" spans="2:8" x14ac:dyDescent="0.3">
      <c r="B1909" s="72">
        <v>44802</v>
      </c>
      <c r="C1909" s="73">
        <v>3292.5249999999996</v>
      </c>
      <c r="D1909" s="74">
        <f t="shared" si="59"/>
        <v>1.8939550418598519</v>
      </c>
      <c r="E1909" s="1">
        <v>-1.5709662713093184E-2</v>
      </c>
      <c r="G1909" s="75">
        <v>1907</v>
      </c>
      <c r="H1909" s="1">
        <f t="shared" ca="1" si="60"/>
        <v>-3.6327851118659847E-3</v>
      </c>
    </row>
    <row r="1910" spans="2:8" x14ac:dyDescent="0.3">
      <c r="B1910" s="72">
        <v>43130</v>
      </c>
      <c r="C1910" s="73">
        <v>1137.7249999999999</v>
      </c>
      <c r="D1910" s="74">
        <f t="shared" si="59"/>
        <v>-0.35482087415115476</v>
      </c>
      <c r="E1910" s="1">
        <v>-1.5744966152648351E-2</v>
      </c>
      <c r="G1910" s="75">
        <v>1908</v>
      </c>
      <c r="H1910" s="1">
        <f t="shared" ca="1" si="60"/>
        <v>1.5520484006657672E-2</v>
      </c>
    </row>
    <row r="1911" spans="2:8" x14ac:dyDescent="0.3">
      <c r="B1911" s="72">
        <v>43833</v>
      </c>
      <c r="C1911" s="73">
        <v>1763.425</v>
      </c>
      <c r="D1911" s="74">
        <f t="shared" si="59"/>
        <v>-0.31248477050985901</v>
      </c>
      <c r="E1911" s="1">
        <v>-1.5753634917534193E-2</v>
      </c>
      <c r="G1911" s="75">
        <v>1909</v>
      </c>
      <c r="H1911" s="1">
        <f t="shared" ca="1" si="60"/>
        <v>7.1534164160144227E-3</v>
      </c>
    </row>
    <row r="1912" spans="2:8" x14ac:dyDescent="0.3">
      <c r="B1912" s="72">
        <v>44316</v>
      </c>
      <c r="C1912" s="73">
        <v>2564.9250000000002</v>
      </c>
      <c r="D1912" s="74">
        <f t="shared" si="59"/>
        <v>-6.8257154014512239E-2</v>
      </c>
      <c r="E1912" s="1">
        <v>-1.5761703760552501E-2</v>
      </c>
      <c r="G1912" s="75">
        <v>1910</v>
      </c>
      <c r="H1912" s="1">
        <f t="shared" ca="1" si="60"/>
        <v>-1.4906979027972531E-2</v>
      </c>
    </row>
    <row r="1913" spans="2:8" x14ac:dyDescent="0.3">
      <c r="B1913" s="72">
        <v>44980</v>
      </c>
      <c r="C1913" s="73">
        <v>2752.8249999999998</v>
      </c>
      <c r="D1913" s="74">
        <f t="shared" si="59"/>
        <v>0.79855609819838935</v>
      </c>
      <c r="E1913" s="1">
        <v>-1.5784910483647545E-2</v>
      </c>
      <c r="G1913" s="75">
        <v>1911</v>
      </c>
      <c r="H1913" s="1">
        <f t="shared" ca="1" si="60"/>
        <v>5.7463737966570916E-4</v>
      </c>
    </row>
    <row r="1914" spans="2:8" x14ac:dyDescent="0.3">
      <c r="B1914" s="72">
        <v>43713</v>
      </c>
      <c r="C1914" s="73">
        <v>1530.575</v>
      </c>
      <c r="D1914" s="74">
        <f t="shared" si="59"/>
        <v>-0.12549815023782648</v>
      </c>
      <c r="E1914" s="1">
        <v>-1.5833976337448416E-2</v>
      </c>
      <c r="G1914" s="75">
        <v>1912</v>
      </c>
      <c r="H1914" s="1">
        <f t="shared" ca="1" si="60"/>
        <v>2.8499266885437698E-3</v>
      </c>
    </row>
    <row r="1915" spans="2:8" x14ac:dyDescent="0.3">
      <c r="B1915" s="72">
        <v>43741</v>
      </c>
      <c r="C1915" s="73">
        <v>1750.2249999999999</v>
      </c>
      <c r="D1915" s="74">
        <f t="shared" si="59"/>
        <v>-0.23848630539299934</v>
      </c>
      <c r="E1915" s="1">
        <v>-1.587056144395408E-2</v>
      </c>
      <c r="G1915" s="75">
        <v>1913</v>
      </c>
      <c r="H1915" s="1">
        <f t="shared" ca="1" si="60"/>
        <v>-1.143868990017595E-4</v>
      </c>
    </row>
    <row r="1916" spans="2:8" x14ac:dyDescent="0.3">
      <c r="B1916" s="72">
        <v>45663</v>
      </c>
      <c r="C1916" s="73">
        <v>2298.35</v>
      </c>
      <c r="D1916" s="74">
        <f t="shared" si="59"/>
        <v>-0.24397625039061865</v>
      </c>
      <c r="E1916" s="1">
        <v>-1.5927725803344082E-2</v>
      </c>
      <c r="G1916" s="75">
        <v>1914</v>
      </c>
      <c r="H1916" s="1">
        <f t="shared" ca="1" si="60"/>
        <v>-4.5265134668719832E-3</v>
      </c>
    </row>
    <row r="1917" spans="2:8" x14ac:dyDescent="0.3">
      <c r="B1917" s="72">
        <v>45512</v>
      </c>
      <c r="C1917" s="73">
        <v>3040.05</v>
      </c>
      <c r="D1917" s="74">
        <f t="shared" si="59"/>
        <v>0.87700856679786998</v>
      </c>
      <c r="E1917" s="1">
        <v>-1.5934159309223008E-2</v>
      </c>
      <c r="G1917" s="75">
        <v>1915</v>
      </c>
      <c r="H1917" s="1">
        <f t="shared" ca="1" si="60"/>
        <v>-1.3041742303375252E-2</v>
      </c>
    </row>
    <row r="1918" spans="2:8" x14ac:dyDescent="0.3">
      <c r="B1918" s="72">
        <v>43922</v>
      </c>
      <c r="C1918" s="73">
        <v>1619.625</v>
      </c>
      <c r="D1918" s="74">
        <f t="shared" si="59"/>
        <v>-0.3689977598129931</v>
      </c>
      <c r="E1918" s="1">
        <v>-1.5963910322619897E-2</v>
      </c>
      <c r="G1918" s="75">
        <v>1916</v>
      </c>
      <c r="H1918" s="1">
        <f t="shared" ca="1" si="60"/>
        <v>-1.217665443575904E-2</v>
      </c>
    </row>
    <row r="1919" spans="2:8" x14ac:dyDescent="0.3">
      <c r="B1919" s="72">
        <v>44306</v>
      </c>
      <c r="C1919" s="73">
        <v>2566.75</v>
      </c>
      <c r="D1919" s="74">
        <f t="shared" si="59"/>
        <v>5.4128421528162877E-2</v>
      </c>
      <c r="E1919" s="1">
        <v>-1.597707428812413E-2</v>
      </c>
      <c r="G1919" s="75">
        <v>1917</v>
      </c>
      <c r="H1919" s="1">
        <f t="shared" ca="1" si="60"/>
        <v>-1.5521701088115838E-2</v>
      </c>
    </row>
    <row r="1920" spans="2:8" x14ac:dyDescent="0.3">
      <c r="B1920" s="72">
        <v>46147</v>
      </c>
      <c r="C1920" s="73">
        <v>2434.9499999999998</v>
      </c>
      <c r="D1920" s="74">
        <f t="shared" si="59"/>
        <v>0.33920910790892095</v>
      </c>
      <c r="E1920" s="1">
        <v>-1.6042672701190176E-2</v>
      </c>
      <c r="G1920" s="75">
        <v>1918</v>
      </c>
      <c r="H1920" s="1">
        <f t="shared" ca="1" si="60"/>
        <v>6.7525263207586107E-3</v>
      </c>
    </row>
    <row r="1921" spans="2:8" x14ac:dyDescent="0.3">
      <c r="B1921" s="72">
        <v>43851</v>
      </c>
      <c r="C1921" s="73">
        <v>1818.1999999999998</v>
      </c>
      <c r="D1921" s="74">
        <f t="shared" si="59"/>
        <v>-0.2495304922092664</v>
      </c>
      <c r="E1921" s="1">
        <v>-1.6085609535019082E-2</v>
      </c>
      <c r="G1921" s="75">
        <v>1919</v>
      </c>
      <c r="H1921" s="1">
        <f t="shared" ca="1" si="60"/>
        <v>-2.4464586203604513E-3</v>
      </c>
    </row>
    <row r="1922" spans="2:8" x14ac:dyDescent="0.3">
      <c r="B1922" s="72">
        <v>46052</v>
      </c>
      <c r="C1922" s="73">
        <v>2422.75</v>
      </c>
      <c r="D1922" s="74">
        <f t="shared" si="59"/>
        <v>-0.19658105486561328</v>
      </c>
      <c r="E1922" s="1">
        <v>-1.6122154764563676E-2</v>
      </c>
      <c r="G1922" s="75">
        <v>1920</v>
      </c>
      <c r="H1922" s="1">
        <f t="shared" ca="1" si="60"/>
        <v>6.4383178076578311E-3</v>
      </c>
    </row>
    <row r="1923" spans="2:8" x14ac:dyDescent="0.3">
      <c r="B1923" s="72">
        <v>45315</v>
      </c>
      <c r="C1923" s="73">
        <v>3015.55</v>
      </c>
      <c r="D1923" s="74">
        <f t="shared" ref="D1923:D1986" si="61">(C1923-C1924)/C1924</f>
        <v>0.77911178630953282</v>
      </c>
      <c r="E1923" s="1">
        <v>-1.6222035543303589E-2</v>
      </c>
      <c r="G1923" s="75">
        <v>1921</v>
      </c>
      <c r="H1923" s="1">
        <f t="shared" ca="1" si="60"/>
        <v>-5.215962389374924E-3</v>
      </c>
    </row>
    <row r="1924" spans="2:8" x14ac:dyDescent="0.3">
      <c r="B1924" s="72">
        <v>43791</v>
      </c>
      <c r="C1924" s="73">
        <v>1694.9749999999999</v>
      </c>
      <c r="D1924" s="74">
        <f t="shared" si="61"/>
        <v>-0.40436279936042735</v>
      </c>
      <c r="E1924" s="1">
        <v>-1.6222412467170683E-2</v>
      </c>
      <c r="G1924" s="75">
        <v>1922</v>
      </c>
      <c r="H1924" s="1">
        <f t="shared" ref="H1924:H1987" ca="1" si="62">_xlfn.NORM.INV(RAND(),$N$4,$N$5)</f>
        <v>2.2430261014349417E-4</v>
      </c>
    </row>
    <row r="1925" spans="2:8" x14ac:dyDescent="0.3">
      <c r="B1925" s="72">
        <v>46036</v>
      </c>
      <c r="C1925" s="73">
        <v>2845.65</v>
      </c>
      <c r="D1925" s="74">
        <f t="shared" si="61"/>
        <v>1.0638598781549176</v>
      </c>
      <c r="E1925" s="1">
        <v>-1.6248077022799162E-2</v>
      </c>
      <c r="G1925" s="75">
        <v>1923</v>
      </c>
      <c r="H1925" s="1">
        <f t="shared" ca="1" si="62"/>
        <v>2.7382425786118346E-2</v>
      </c>
    </row>
    <row r="1926" spans="2:8" x14ac:dyDescent="0.3">
      <c r="B1926" s="72">
        <v>43593</v>
      </c>
      <c r="C1926" s="73">
        <v>1378.8</v>
      </c>
      <c r="D1926" s="74">
        <f t="shared" si="61"/>
        <v>-0.58455802041354377</v>
      </c>
      <c r="E1926" s="1">
        <v>-1.6249576369441427E-2</v>
      </c>
      <c r="G1926" s="75">
        <v>1924</v>
      </c>
      <c r="H1926" s="1">
        <f t="shared" ca="1" si="62"/>
        <v>-2.8506286224385196E-3</v>
      </c>
    </row>
    <row r="1927" spans="2:8" x14ac:dyDescent="0.3">
      <c r="B1927" s="72">
        <v>44580</v>
      </c>
      <c r="C1927" s="73">
        <v>3318.875</v>
      </c>
      <c r="D1927" s="74">
        <f t="shared" si="61"/>
        <v>0.37154930159517308</v>
      </c>
      <c r="E1927" s="1">
        <v>-1.6257993760605834E-2</v>
      </c>
      <c r="G1927" s="75">
        <v>1925</v>
      </c>
      <c r="H1927" s="1">
        <f t="shared" ca="1" si="62"/>
        <v>-2.321367823769557E-2</v>
      </c>
    </row>
    <row r="1928" spans="2:8" x14ac:dyDescent="0.3">
      <c r="B1928" s="72">
        <v>45852</v>
      </c>
      <c r="C1928" s="73">
        <v>2419.8000000000002</v>
      </c>
      <c r="D1928" s="74">
        <f t="shared" si="61"/>
        <v>5.2979700180587883E-2</v>
      </c>
      <c r="E1928" s="1">
        <v>-1.6401438936650168E-2</v>
      </c>
      <c r="G1928" s="75">
        <v>1926</v>
      </c>
      <c r="H1928" s="1">
        <f t="shared" ca="1" si="62"/>
        <v>2.9066718793536801E-3</v>
      </c>
    </row>
    <row r="1929" spans="2:8" x14ac:dyDescent="0.3">
      <c r="B1929" s="72">
        <v>45791</v>
      </c>
      <c r="C1929" s="73">
        <v>2298.0500000000002</v>
      </c>
      <c r="D1929" s="74">
        <f t="shared" si="61"/>
        <v>1.0730233187497185</v>
      </c>
      <c r="E1929" s="1">
        <v>-1.6477284885835955E-2</v>
      </c>
      <c r="G1929" s="75">
        <v>1927</v>
      </c>
      <c r="H1929" s="1">
        <f t="shared" ca="1" si="62"/>
        <v>-1.917091568635592E-2</v>
      </c>
    </row>
    <row r="1930" spans="2:8" x14ac:dyDescent="0.3">
      <c r="B1930" s="72">
        <v>43137</v>
      </c>
      <c r="C1930" s="73">
        <v>1108.55</v>
      </c>
      <c r="D1930" s="74">
        <f t="shared" si="61"/>
        <v>-0.66151145038167936</v>
      </c>
      <c r="E1930" s="1">
        <v>-1.6501796566561804E-2</v>
      </c>
      <c r="G1930" s="75">
        <v>1928</v>
      </c>
      <c r="H1930" s="1">
        <f t="shared" ca="1" si="62"/>
        <v>-6.3844398195205881E-3</v>
      </c>
    </row>
    <row r="1931" spans="2:8" x14ac:dyDescent="0.3">
      <c r="B1931" s="72">
        <v>45148</v>
      </c>
      <c r="C1931" s="73">
        <v>3275</v>
      </c>
      <c r="D1931" s="74">
        <f t="shared" si="61"/>
        <v>0.15322992411571038</v>
      </c>
      <c r="E1931" s="1">
        <v>-1.6509132951448558E-2</v>
      </c>
      <c r="G1931" s="75">
        <v>1929</v>
      </c>
      <c r="H1931" s="1">
        <f t="shared" ca="1" si="62"/>
        <v>2.6907869251175261E-3</v>
      </c>
    </row>
    <row r="1932" spans="2:8" x14ac:dyDescent="0.3">
      <c r="B1932" s="72">
        <v>44718</v>
      </c>
      <c r="C1932" s="73">
        <v>2839.85</v>
      </c>
      <c r="D1932" s="74">
        <f t="shared" si="61"/>
        <v>-6.9252576897235393E-2</v>
      </c>
      <c r="E1932" s="1">
        <v>-1.6578794725952091E-2</v>
      </c>
      <c r="G1932" s="75">
        <v>1930</v>
      </c>
      <c r="H1932" s="1">
        <f t="shared" ca="1" si="62"/>
        <v>5.1187211952371464E-3</v>
      </c>
    </row>
    <row r="1933" spans="2:8" x14ac:dyDescent="0.3">
      <c r="B1933" s="72">
        <v>44622</v>
      </c>
      <c r="C1933" s="73">
        <v>3051.1499999999996</v>
      </c>
      <c r="D1933" s="74">
        <f t="shared" si="61"/>
        <v>0.7661461875750688</v>
      </c>
      <c r="E1933" s="1">
        <v>-1.6630408508581215E-2</v>
      </c>
      <c r="G1933" s="75">
        <v>1931</v>
      </c>
      <c r="H1933" s="1">
        <f t="shared" ca="1" si="62"/>
        <v>1.5435807188799208E-2</v>
      </c>
    </row>
    <row r="1934" spans="2:8" x14ac:dyDescent="0.3">
      <c r="B1934" s="72">
        <v>43906</v>
      </c>
      <c r="C1934" s="73">
        <v>1727.575</v>
      </c>
      <c r="D1934" s="74">
        <f t="shared" si="61"/>
        <v>-0.22069852153417605</v>
      </c>
      <c r="E1934" s="1">
        <v>-1.6635359744990842E-2</v>
      </c>
      <c r="G1934" s="75">
        <v>1932</v>
      </c>
      <c r="H1934" s="1">
        <f t="shared" ca="1" si="62"/>
        <v>2.3308376076761748E-2</v>
      </c>
    </row>
    <row r="1935" spans="2:8" x14ac:dyDescent="0.3">
      <c r="B1935" s="72">
        <v>45700</v>
      </c>
      <c r="C1935" s="73">
        <v>2216.8249999999998</v>
      </c>
      <c r="D1935" s="74">
        <f t="shared" si="61"/>
        <v>0.15077542015443504</v>
      </c>
      <c r="E1935" s="1">
        <v>-1.6689214664330546E-2</v>
      </c>
      <c r="G1935" s="75">
        <v>1933</v>
      </c>
      <c r="H1935" s="1">
        <f t="shared" ca="1" si="62"/>
        <v>1.0172274630153803E-2</v>
      </c>
    </row>
    <row r="1936" spans="2:8" x14ac:dyDescent="0.3">
      <c r="B1936" s="72">
        <v>44098</v>
      </c>
      <c r="C1936" s="73">
        <v>1926.375</v>
      </c>
      <c r="D1936" s="74">
        <f t="shared" si="61"/>
        <v>-0.38231474652900244</v>
      </c>
      <c r="E1936" s="1">
        <v>-1.6729193783018192E-2</v>
      </c>
      <c r="G1936" s="75">
        <v>1934</v>
      </c>
      <c r="H1936" s="1">
        <f t="shared" ca="1" si="62"/>
        <v>3.0352629840533722E-3</v>
      </c>
    </row>
    <row r="1937" spans="2:8" x14ac:dyDescent="0.3">
      <c r="B1937" s="72">
        <v>44855</v>
      </c>
      <c r="C1937" s="73">
        <v>3118.7</v>
      </c>
      <c r="D1937" s="74">
        <f t="shared" si="61"/>
        <v>0.15571613859551597</v>
      </c>
      <c r="E1937" s="1">
        <v>-1.6749032497063995E-2</v>
      </c>
      <c r="G1937" s="75">
        <v>1935</v>
      </c>
      <c r="H1937" s="1">
        <f t="shared" ca="1" si="62"/>
        <v>3.6511647584956143E-4</v>
      </c>
    </row>
    <row r="1938" spans="2:8" x14ac:dyDescent="0.3">
      <c r="B1938" s="72">
        <v>44741</v>
      </c>
      <c r="C1938" s="73">
        <v>2698.5</v>
      </c>
      <c r="D1938" s="74">
        <f t="shared" si="61"/>
        <v>1.2580645161290323</v>
      </c>
      <c r="E1938" s="1">
        <v>-1.6778706891840259E-2</v>
      </c>
      <c r="G1938" s="75">
        <v>1936</v>
      </c>
      <c r="H1938" s="1">
        <f t="shared" ca="1" si="62"/>
        <v>-2.3814435113472945E-2</v>
      </c>
    </row>
    <row r="1939" spans="2:8" x14ac:dyDescent="0.3">
      <c r="B1939" s="72">
        <v>43224</v>
      </c>
      <c r="C1939" s="73">
        <v>1195.05</v>
      </c>
      <c r="D1939" s="74">
        <f t="shared" si="61"/>
        <v>-0.24220038046924544</v>
      </c>
      <c r="E1939" s="1">
        <v>-1.6824352118469804E-2</v>
      </c>
      <c r="G1939" s="75">
        <v>1937</v>
      </c>
      <c r="H1939" s="1">
        <f t="shared" ca="1" si="62"/>
        <v>-8.7970713948320595E-3</v>
      </c>
    </row>
    <row r="1940" spans="2:8" x14ac:dyDescent="0.3">
      <c r="B1940" s="72">
        <v>43962</v>
      </c>
      <c r="C1940" s="73">
        <v>1577</v>
      </c>
      <c r="D1940" s="74">
        <f t="shared" si="61"/>
        <v>-0.42934684277184731</v>
      </c>
      <c r="E1940" s="1">
        <v>-1.683291770573566E-2</v>
      </c>
      <c r="G1940" s="75">
        <v>1938</v>
      </c>
      <c r="H1940" s="1">
        <f t="shared" ca="1" si="62"/>
        <v>7.566228959413876E-3</v>
      </c>
    </row>
    <row r="1941" spans="2:8" x14ac:dyDescent="0.3">
      <c r="B1941" s="72">
        <v>44999</v>
      </c>
      <c r="C1941" s="73">
        <v>2763.5</v>
      </c>
      <c r="D1941" s="74">
        <f t="shared" si="61"/>
        <v>0.82466449877024139</v>
      </c>
      <c r="E1941" s="1">
        <v>-1.6836693853228082E-2</v>
      </c>
      <c r="G1941" s="75">
        <v>1939</v>
      </c>
      <c r="H1941" s="1">
        <f t="shared" ca="1" si="62"/>
        <v>-1.779146951112924E-2</v>
      </c>
    </row>
    <row r="1942" spans="2:8" x14ac:dyDescent="0.3">
      <c r="B1942" s="72">
        <v>43724</v>
      </c>
      <c r="C1942" s="73">
        <v>1514.5250000000001</v>
      </c>
      <c r="D1942" s="74">
        <f t="shared" si="61"/>
        <v>-5.804334981497019E-2</v>
      </c>
      <c r="E1942" s="1">
        <v>-1.6909270889116045E-2</v>
      </c>
      <c r="G1942" s="75">
        <v>1940</v>
      </c>
      <c r="H1942" s="1">
        <f t="shared" ca="1" si="62"/>
        <v>-4.7366087955075884E-3</v>
      </c>
    </row>
    <row r="1943" spans="2:8" x14ac:dyDescent="0.3">
      <c r="B1943" s="72">
        <v>43957</v>
      </c>
      <c r="C1943" s="73">
        <v>1607.85</v>
      </c>
      <c r="D1943" s="74">
        <f t="shared" si="61"/>
        <v>-0.34252036925341706</v>
      </c>
      <c r="E1943" s="1">
        <v>-1.6951225104321194E-2</v>
      </c>
      <c r="G1943" s="75">
        <v>1941</v>
      </c>
      <c r="H1943" s="1">
        <f t="shared" ca="1" si="62"/>
        <v>3.5197749113019543E-3</v>
      </c>
    </row>
    <row r="1944" spans="2:8" x14ac:dyDescent="0.3">
      <c r="B1944" s="72">
        <v>45617</v>
      </c>
      <c r="C1944" s="73">
        <v>2445.4749999999999</v>
      </c>
      <c r="D1944" s="74">
        <f t="shared" si="61"/>
        <v>9.8867644746006469E-2</v>
      </c>
      <c r="E1944" s="1">
        <v>-1.7003145380912556E-2</v>
      </c>
      <c r="G1944" s="75">
        <v>1942</v>
      </c>
      <c r="H1944" s="1">
        <f t="shared" ca="1" si="62"/>
        <v>-7.8356004708615042E-3</v>
      </c>
    </row>
    <row r="1945" spans="2:8" x14ac:dyDescent="0.3">
      <c r="B1945" s="72">
        <v>46093</v>
      </c>
      <c r="C1945" s="73">
        <v>2225.4499999999998</v>
      </c>
      <c r="D1945" s="74">
        <f t="shared" si="61"/>
        <v>-0.1852197631208011</v>
      </c>
      <c r="E1945" s="1">
        <v>-1.7027385159010682E-2</v>
      </c>
      <c r="G1945" s="75">
        <v>1943</v>
      </c>
      <c r="H1945" s="1">
        <f t="shared" ca="1" si="62"/>
        <v>3.5095128183421521E-4</v>
      </c>
    </row>
    <row r="1946" spans="2:8" x14ac:dyDescent="0.3">
      <c r="B1946" s="72">
        <v>45422</v>
      </c>
      <c r="C1946" s="73">
        <v>2731.35</v>
      </c>
      <c r="D1946" s="74">
        <f t="shared" si="61"/>
        <v>-0.10732903014952205</v>
      </c>
      <c r="E1946" s="1">
        <v>-1.7102244613377747E-2</v>
      </c>
      <c r="G1946" s="75">
        <v>1944</v>
      </c>
      <c r="H1946" s="1">
        <f t="shared" ca="1" si="62"/>
        <v>6.5051701903845391E-3</v>
      </c>
    </row>
    <row r="1947" spans="2:8" x14ac:dyDescent="0.3">
      <c r="B1947" s="72">
        <v>44875</v>
      </c>
      <c r="C1947" s="73">
        <v>3059.75</v>
      </c>
      <c r="D1947" s="74">
        <f t="shared" si="61"/>
        <v>-2.9066907833150843E-2</v>
      </c>
      <c r="E1947" s="1">
        <v>-1.7105685833601027E-2</v>
      </c>
      <c r="G1947" s="75">
        <v>1945</v>
      </c>
      <c r="H1947" s="1">
        <f t="shared" ca="1" si="62"/>
        <v>1.9748137715407876E-3</v>
      </c>
    </row>
    <row r="1948" spans="2:8" x14ac:dyDescent="0.3">
      <c r="B1948" s="72">
        <v>44606</v>
      </c>
      <c r="C1948" s="73">
        <v>3151.35</v>
      </c>
      <c r="D1948" s="74">
        <f t="shared" si="61"/>
        <v>0.24929633300297321</v>
      </c>
      <c r="E1948" s="1">
        <v>-1.7115143197997645E-2</v>
      </c>
      <c r="G1948" s="75">
        <v>1946</v>
      </c>
      <c r="H1948" s="1">
        <f t="shared" ca="1" si="62"/>
        <v>-9.3545640306344942E-3</v>
      </c>
    </row>
    <row r="1949" spans="2:8" x14ac:dyDescent="0.3">
      <c r="B1949" s="72">
        <v>44308</v>
      </c>
      <c r="C1949" s="73">
        <v>2522.5</v>
      </c>
      <c r="D1949" s="74">
        <f t="shared" si="61"/>
        <v>8.6675569723861548E-2</v>
      </c>
      <c r="E1949" s="1">
        <v>-1.7239700009739945E-2</v>
      </c>
      <c r="G1949" s="75">
        <v>1947</v>
      </c>
      <c r="H1949" s="1">
        <f t="shared" ca="1" si="62"/>
        <v>-1.153453693740962E-2</v>
      </c>
    </row>
    <row r="1950" spans="2:8" x14ac:dyDescent="0.3">
      <c r="B1950" s="72">
        <v>45785</v>
      </c>
      <c r="C1950" s="73">
        <v>2321.3000000000002</v>
      </c>
      <c r="D1950" s="74">
        <f t="shared" si="61"/>
        <v>-0.31011731839424622</v>
      </c>
      <c r="E1950" s="1">
        <v>-1.7272765759281879E-2</v>
      </c>
      <c r="G1950" s="75">
        <v>1948</v>
      </c>
      <c r="H1950" s="1">
        <f t="shared" ca="1" si="62"/>
        <v>-2.6568612186097067E-2</v>
      </c>
    </row>
    <row r="1951" spans="2:8" x14ac:dyDescent="0.3">
      <c r="B1951" s="72">
        <v>44820</v>
      </c>
      <c r="C1951" s="73">
        <v>3364.7750000000001</v>
      </c>
      <c r="D1951" s="74">
        <f t="shared" si="61"/>
        <v>4.2905324737346155E-3</v>
      </c>
      <c r="E1951" s="1">
        <v>-1.7275495228429388E-2</v>
      </c>
      <c r="G1951" s="75">
        <v>1949</v>
      </c>
      <c r="H1951" s="1">
        <f t="shared" ca="1" si="62"/>
        <v>6.9912830946623457E-3</v>
      </c>
    </row>
    <row r="1952" spans="2:8" x14ac:dyDescent="0.3">
      <c r="B1952" s="72">
        <v>44796</v>
      </c>
      <c r="C1952" s="73">
        <v>3350.3999999999996</v>
      </c>
      <c r="D1952" s="74">
        <f t="shared" si="61"/>
        <v>6.4345505662595018E-2</v>
      </c>
      <c r="E1952" s="1">
        <v>-1.7297891842346577E-2</v>
      </c>
      <c r="G1952" s="75">
        <v>1950</v>
      </c>
      <c r="H1952" s="1">
        <f t="shared" ca="1" si="62"/>
        <v>2.5078904982791805E-2</v>
      </c>
    </row>
    <row r="1953" spans="2:8" x14ac:dyDescent="0.3">
      <c r="B1953" s="72">
        <v>45208</v>
      </c>
      <c r="C1953" s="73">
        <v>3147.85</v>
      </c>
      <c r="D1953" s="74">
        <f t="shared" si="61"/>
        <v>-7.1156683387429948E-2</v>
      </c>
      <c r="E1953" s="1">
        <v>-1.7371624785391008E-2</v>
      </c>
      <c r="G1953" s="75">
        <v>1951</v>
      </c>
      <c r="H1953" s="1">
        <f t="shared" ca="1" si="62"/>
        <v>-1.5566961183665394E-2</v>
      </c>
    </row>
    <row r="1954" spans="2:8" x14ac:dyDescent="0.3">
      <c r="B1954" s="72">
        <v>45133</v>
      </c>
      <c r="C1954" s="73">
        <v>3389</v>
      </c>
      <c r="D1954" s="74">
        <f t="shared" si="61"/>
        <v>9.9022262578437853E-2</v>
      </c>
      <c r="E1954" s="1">
        <v>-1.7382101799098226E-2</v>
      </c>
      <c r="G1954" s="75">
        <v>1952</v>
      </c>
      <c r="H1954" s="1">
        <f t="shared" ca="1" si="62"/>
        <v>-5.9614819241452768E-4</v>
      </c>
    </row>
    <row r="1955" spans="2:8" x14ac:dyDescent="0.3">
      <c r="B1955" s="72">
        <v>44911</v>
      </c>
      <c r="C1955" s="73">
        <v>3083.65</v>
      </c>
      <c r="D1955" s="74">
        <f t="shared" si="61"/>
        <v>1.6719088467203884</v>
      </c>
      <c r="E1955" s="1">
        <v>-1.7617356122270101E-2</v>
      </c>
      <c r="G1955" s="75">
        <v>1953</v>
      </c>
      <c r="H1955" s="1">
        <f t="shared" ca="1" si="62"/>
        <v>3.7352973960615519E-3</v>
      </c>
    </row>
    <row r="1956" spans="2:8" x14ac:dyDescent="0.3">
      <c r="B1956" s="72">
        <v>43210</v>
      </c>
      <c r="C1956" s="73">
        <v>1154.0999999999999</v>
      </c>
      <c r="D1956" s="74">
        <f t="shared" si="61"/>
        <v>-0.47773554167797999</v>
      </c>
      <c r="E1956" s="1">
        <v>-1.7620020429009231E-2</v>
      </c>
      <c r="G1956" s="75">
        <v>1954</v>
      </c>
      <c r="H1956" s="1">
        <f t="shared" ca="1" si="62"/>
        <v>-1.2480811150836252E-3</v>
      </c>
    </row>
    <row r="1957" spans="2:8" x14ac:dyDescent="0.3">
      <c r="B1957" s="72">
        <v>46100</v>
      </c>
      <c r="C1957" s="73">
        <v>2209.8000000000002</v>
      </c>
      <c r="D1957" s="74">
        <f t="shared" si="61"/>
        <v>6.3070652792642659E-3</v>
      </c>
      <c r="E1957" s="1">
        <v>-1.7648366303622945E-2</v>
      </c>
      <c r="G1957" s="75">
        <v>1955</v>
      </c>
      <c r="H1957" s="1">
        <f t="shared" ca="1" si="62"/>
        <v>-1.2347954483449608E-2</v>
      </c>
    </row>
    <row r="1958" spans="2:8" x14ac:dyDescent="0.3">
      <c r="B1958" s="72">
        <v>45821</v>
      </c>
      <c r="C1958" s="73">
        <v>2195.9499999999998</v>
      </c>
      <c r="D1958" s="74">
        <f t="shared" si="61"/>
        <v>0.19028131606049092</v>
      </c>
      <c r="E1958" s="1">
        <v>-1.771376171411973E-2</v>
      </c>
      <c r="G1958" s="75">
        <v>1956</v>
      </c>
      <c r="H1958" s="1">
        <f t="shared" ca="1" si="62"/>
        <v>3.8348279747491658E-3</v>
      </c>
    </row>
    <row r="1959" spans="2:8" x14ac:dyDescent="0.3">
      <c r="B1959" s="72">
        <v>43902</v>
      </c>
      <c r="C1959" s="73">
        <v>1844.9</v>
      </c>
      <c r="D1959" s="74">
        <f t="shared" si="61"/>
        <v>0.30860213147021798</v>
      </c>
      <c r="E1959" s="1">
        <v>-1.7755889791028837E-2</v>
      </c>
      <c r="G1959" s="75">
        <v>1957</v>
      </c>
      <c r="H1959" s="1">
        <f t="shared" ca="1" si="62"/>
        <v>-7.4346651328222289E-3</v>
      </c>
    </row>
    <row r="1960" spans="2:8" x14ac:dyDescent="0.3">
      <c r="B1960" s="72">
        <v>43510</v>
      </c>
      <c r="C1960" s="73">
        <v>1409.825</v>
      </c>
      <c r="D1960" s="74">
        <f t="shared" si="61"/>
        <v>-0.5329926958941319</v>
      </c>
      <c r="E1960" s="1">
        <v>-1.776601118213645E-2</v>
      </c>
      <c r="G1960" s="75">
        <v>1958</v>
      </c>
      <c r="H1960" s="1">
        <f t="shared" ca="1" si="62"/>
        <v>-4.0310755830392691E-3</v>
      </c>
    </row>
    <row r="1961" spans="2:8" x14ac:dyDescent="0.3">
      <c r="B1961" s="72">
        <v>44642</v>
      </c>
      <c r="C1961" s="73">
        <v>3018.85</v>
      </c>
      <c r="D1961" s="74">
        <f t="shared" si="61"/>
        <v>-4.6026228472112525E-2</v>
      </c>
      <c r="E1961" s="1">
        <v>-1.7844942577349747E-2</v>
      </c>
      <c r="G1961" s="75">
        <v>1959</v>
      </c>
      <c r="H1961" s="1">
        <f t="shared" ca="1" si="62"/>
        <v>-2.0537553624449616E-3</v>
      </c>
    </row>
    <row r="1962" spans="2:8" x14ac:dyDescent="0.3">
      <c r="B1962" s="72">
        <v>45198</v>
      </c>
      <c r="C1962" s="73">
        <v>3164.5</v>
      </c>
      <c r="D1962" s="74">
        <f t="shared" si="61"/>
        <v>0.30387309435517101</v>
      </c>
      <c r="E1962" s="1">
        <v>-1.7846058348851643E-2</v>
      </c>
      <c r="G1962" s="75">
        <v>1960</v>
      </c>
      <c r="H1962" s="1">
        <f t="shared" ca="1" si="62"/>
        <v>3.0146860205216761E-2</v>
      </c>
    </row>
    <row r="1963" spans="2:8" x14ac:dyDescent="0.3">
      <c r="B1963" s="72">
        <v>44231</v>
      </c>
      <c r="C1963" s="73">
        <v>2427</v>
      </c>
      <c r="D1963" s="74">
        <f t="shared" si="61"/>
        <v>0.37196156020350479</v>
      </c>
      <c r="E1963" s="1">
        <v>-1.7846303265752057E-2</v>
      </c>
      <c r="G1963" s="75">
        <v>1961</v>
      </c>
      <c r="H1963" s="1">
        <f t="shared" ca="1" si="62"/>
        <v>-7.1572893239090088E-3</v>
      </c>
    </row>
    <row r="1964" spans="2:8" x14ac:dyDescent="0.3">
      <c r="B1964" s="72">
        <v>43951</v>
      </c>
      <c r="C1964" s="73">
        <v>1769</v>
      </c>
      <c r="D1964" s="74">
        <f t="shared" si="61"/>
        <v>3.226935869755497E-2</v>
      </c>
      <c r="E1964" s="1">
        <v>-1.8013267090399427E-2</v>
      </c>
      <c r="G1964" s="75">
        <v>1962</v>
      </c>
      <c r="H1964" s="1">
        <f t="shared" ca="1" si="62"/>
        <v>-6.2553962506280893E-3</v>
      </c>
    </row>
    <row r="1965" spans="2:8" x14ac:dyDescent="0.3">
      <c r="B1965" s="72">
        <v>44034</v>
      </c>
      <c r="C1965" s="73">
        <v>1713.7</v>
      </c>
      <c r="D1965" s="74">
        <f t="shared" si="61"/>
        <v>-0.40980670713332473</v>
      </c>
      <c r="E1965" s="1">
        <v>-1.8147962472248057E-2</v>
      </c>
      <c r="G1965" s="75">
        <v>1963</v>
      </c>
      <c r="H1965" s="1">
        <f t="shared" ca="1" si="62"/>
        <v>2.072156128193272E-2</v>
      </c>
    </row>
    <row r="1966" spans="2:8" x14ac:dyDescent="0.3">
      <c r="B1966" s="72">
        <v>44494</v>
      </c>
      <c r="C1966" s="73">
        <v>2903.625</v>
      </c>
      <c r="D1966" s="74">
        <f t="shared" si="61"/>
        <v>-2.5848891331603104E-3</v>
      </c>
      <c r="E1966" s="1">
        <v>-1.8232996906223115E-2</v>
      </c>
      <c r="G1966" s="75">
        <v>1964</v>
      </c>
      <c r="H1966" s="1">
        <f t="shared" ca="1" si="62"/>
        <v>2.5253809231196262E-2</v>
      </c>
    </row>
    <row r="1967" spans="2:8" x14ac:dyDescent="0.3">
      <c r="B1967" s="72">
        <v>44631</v>
      </c>
      <c r="C1967" s="73">
        <v>2911.1499999999996</v>
      </c>
      <c r="D1967" s="74">
        <f t="shared" si="61"/>
        <v>0.61600377473701717</v>
      </c>
      <c r="E1967" s="1">
        <v>-1.8360534124629173E-2</v>
      </c>
      <c r="G1967" s="75">
        <v>1965</v>
      </c>
      <c r="H1967" s="1">
        <f t="shared" ca="1" si="62"/>
        <v>2.3286206794095972E-3</v>
      </c>
    </row>
    <row r="1968" spans="2:8" x14ac:dyDescent="0.3">
      <c r="B1968" s="72">
        <v>43950</v>
      </c>
      <c r="C1968" s="73">
        <v>1801.45</v>
      </c>
      <c r="D1968" s="74">
        <f t="shared" si="61"/>
        <v>-0.33395570673272446</v>
      </c>
      <c r="E1968" s="1">
        <v>-1.8363621502329532E-2</v>
      </c>
      <c r="G1968" s="75">
        <v>1966</v>
      </c>
      <c r="H1968" s="1">
        <f t="shared" ca="1" si="62"/>
        <v>-7.3622083984839163E-3</v>
      </c>
    </row>
    <row r="1969" spans="2:8" x14ac:dyDescent="0.3">
      <c r="B1969" s="72">
        <v>46042</v>
      </c>
      <c r="C1969" s="73">
        <v>2704.7</v>
      </c>
      <c r="D1969" s="74">
        <f t="shared" si="61"/>
        <v>-0.1585873276351504</v>
      </c>
      <c r="E1969" s="1">
        <v>-1.8435855561604132E-2</v>
      </c>
      <c r="G1969" s="75">
        <v>1967</v>
      </c>
      <c r="H1969" s="1">
        <f t="shared" ca="1" si="62"/>
        <v>-8.6125120480072086E-3</v>
      </c>
    </row>
    <row r="1970" spans="2:8" x14ac:dyDescent="0.3">
      <c r="B1970" s="72">
        <v>45149</v>
      </c>
      <c r="C1970" s="73">
        <v>3214.4749999999999</v>
      </c>
      <c r="D1970" s="74">
        <f t="shared" si="61"/>
        <v>0.17122114736477737</v>
      </c>
      <c r="E1970" s="1">
        <v>-1.8480916030534381E-2</v>
      </c>
      <c r="G1970" s="75">
        <v>1968</v>
      </c>
      <c r="H1970" s="1">
        <f t="shared" ca="1" si="62"/>
        <v>6.0147380224558743E-3</v>
      </c>
    </row>
    <row r="1971" spans="2:8" x14ac:dyDescent="0.3">
      <c r="B1971" s="72">
        <v>44740</v>
      </c>
      <c r="C1971" s="73">
        <v>2744.55</v>
      </c>
      <c r="D1971" s="74">
        <f t="shared" si="61"/>
        <v>-0.16422796412747226</v>
      </c>
      <c r="E1971" s="1">
        <v>-1.8515372855444072E-2</v>
      </c>
      <c r="G1971" s="75">
        <v>1969</v>
      </c>
      <c r="H1971" s="1">
        <f t="shared" ca="1" si="62"/>
        <v>-4.1777250711150108E-3</v>
      </c>
    </row>
    <row r="1972" spans="2:8" x14ac:dyDescent="0.3">
      <c r="B1972" s="72">
        <v>44469</v>
      </c>
      <c r="C1972" s="73">
        <v>3283.85</v>
      </c>
      <c r="D1972" s="74">
        <f t="shared" si="61"/>
        <v>1.1893063102103403</v>
      </c>
      <c r="E1972" s="1">
        <v>-1.8530418279361E-2</v>
      </c>
      <c r="G1972" s="75">
        <v>1970</v>
      </c>
      <c r="H1972" s="1">
        <f t="shared" ca="1" si="62"/>
        <v>3.1014480655757134E-3</v>
      </c>
    </row>
    <row r="1973" spans="2:8" x14ac:dyDescent="0.3">
      <c r="B1973" s="72">
        <v>43970</v>
      </c>
      <c r="C1973" s="73">
        <v>1499.95</v>
      </c>
      <c r="D1973" s="74">
        <f t="shared" si="61"/>
        <v>0.19235278920487303</v>
      </c>
      <c r="E1973" s="1">
        <v>-1.8566077241424287E-2</v>
      </c>
      <c r="G1973" s="75">
        <v>1971</v>
      </c>
      <c r="H1973" s="1">
        <f t="shared" ca="1" si="62"/>
        <v>1.0219755776312785E-2</v>
      </c>
    </row>
    <row r="1974" spans="2:8" x14ac:dyDescent="0.3">
      <c r="B1974" s="72">
        <v>43257</v>
      </c>
      <c r="C1974" s="73">
        <v>1257.9749999999999</v>
      </c>
      <c r="D1974" s="74">
        <f t="shared" si="61"/>
        <v>-0.4726135077348762</v>
      </c>
      <c r="E1974" s="1">
        <v>-1.8682840259765621E-2</v>
      </c>
      <c r="G1974" s="75">
        <v>1972</v>
      </c>
      <c r="H1974" s="1">
        <f t="shared" ca="1" si="62"/>
        <v>6.9343495000970343E-3</v>
      </c>
    </row>
    <row r="1975" spans="2:8" x14ac:dyDescent="0.3">
      <c r="B1975" s="72">
        <v>44270</v>
      </c>
      <c r="C1975" s="73">
        <v>2385.3000000000002</v>
      </c>
      <c r="D1975" s="74">
        <f t="shared" si="61"/>
        <v>0.70187110928776586</v>
      </c>
      <c r="E1975" s="1">
        <v>-1.8728209558483082E-2</v>
      </c>
      <c r="G1975" s="75">
        <v>1973</v>
      </c>
      <c r="H1975" s="1">
        <f t="shared" ca="1" si="62"/>
        <v>-9.3913935690786154E-3</v>
      </c>
    </row>
    <row r="1976" spans="2:8" x14ac:dyDescent="0.3">
      <c r="B1976" s="72">
        <v>43592</v>
      </c>
      <c r="C1976" s="73">
        <v>1401.5749999999998</v>
      </c>
      <c r="D1976" s="74">
        <f t="shared" si="61"/>
        <v>-0.53827211332564662</v>
      </c>
      <c r="E1976" s="1">
        <v>-1.8899952750118128E-2</v>
      </c>
      <c r="G1976" s="75">
        <v>1974</v>
      </c>
      <c r="H1976" s="1">
        <f t="shared" ca="1" si="62"/>
        <v>-3.1219129273157955E-3</v>
      </c>
    </row>
    <row r="1977" spans="2:8" x14ac:dyDescent="0.3">
      <c r="B1977" s="72">
        <v>44669</v>
      </c>
      <c r="C1977" s="73">
        <v>3035.5</v>
      </c>
      <c r="D1977" s="74">
        <f t="shared" si="61"/>
        <v>0.17541142303969023</v>
      </c>
      <c r="E1977" s="1">
        <v>-1.8907563025210083E-2</v>
      </c>
      <c r="G1977" s="75">
        <v>1975</v>
      </c>
      <c r="H1977" s="1">
        <f t="shared" ca="1" si="62"/>
        <v>-1.3908745417748874E-2</v>
      </c>
    </row>
    <row r="1978" spans="2:8" x14ac:dyDescent="0.3">
      <c r="B1978" s="72">
        <v>44298</v>
      </c>
      <c r="C1978" s="73">
        <v>2582.5</v>
      </c>
      <c r="D1978" s="74">
        <f t="shared" si="61"/>
        <v>-0.2073297063359909</v>
      </c>
      <c r="E1978" s="1">
        <v>-1.902130043778423E-2</v>
      </c>
      <c r="G1978" s="75">
        <v>1976</v>
      </c>
      <c r="H1978" s="1">
        <f t="shared" ca="1" si="62"/>
        <v>1.0949991202001904E-2</v>
      </c>
    </row>
    <row r="1979" spans="2:8" x14ac:dyDescent="0.3">
      <c r="B1979" s="72">
        <v>44487</v>
      </c>
      <c r="C1979" s="73">
        <v>3257.9749999999999</v>
      </c>
      <c r="D1979" s="74">
        <f t="shared" si="61"/>
        <v>1.2812155373116039</v>
      </c>
      <c r="E1979" s="1">
        <v>-1.9118012328859919E-2</v>
      </c>
      <c r="G1979" s="75">
        <v>1977</v>
      </c>
      <c r="H1979" s="1">
        <f t="shared" ca="1" si="62"/>
        <v>-3.5174425641584642E-2</v>
      </c>
    </row>
    <row r="1980" spans="2:8" x14ac:dyDescent="0.3">
      <c r="B1980" s="72">
        <v>43565</v>
      </c>
      <c r="C1980" s="73">
        <v>1428.175</v>
      </c>
      <c r="D1980" s="74">
        <f t="shared" si="61"/>
        <v>-0.1672813142282408</v>
      </c>
      <c r="E1980" s="1">
        <v>-1.9144260155901392E-2</v>
      </c>
      <c r="G1980" s="75">
        <v>1978</v>
      </c>
      <c r="H1980" s="1">
        <f t="shared" ca="1" si="62"/>
        <v>-3.4203733244288878E-3</v>
      </c>
    </row>
    <row r="1981" spans="2:8" x14ac:dyDescent="0.3">
      <c r="B1981" s="72">
        <v>44007</v>
      </c>
      <c r="C1981" s="73">
        <v>1715.075</v>
      </c>
      <c r="D1981" s="74">
        <f t="shared" si="61"/>
        <v>-0.46039674049836393</v>
      </c>
      <c r="E1981" s="1">
        <v>-1.9326710027875036E-2</v>
      </c>
      <c r="G1981" s="75">
        <v>1979</v>
      </c>
      <c r="H1981" s="1">
        <f t="shared" ca="1" si="62"/>
        <v>-1.2573193412925281E-2</v>
      </c>
    </row>
    <row r="1982" spans="2:8" x14ac:dyDescent="0.3">
      <c r="B1982" s="72">
        <v>44614</v>
      </c>
      <c r="C1982" s="73">
        <v>3178.4</v>
      </c>
      <c r="D1982" s="74">
        <f t="shared" si="61"/>
        <v>0.93784199856722616</v>
      </c>
      <c r="E1982" s="1">
        <v>-1.940579397155465E-2</v>
      </c>
      <c r="G1982" s="75">
        <v>1980</v>
      </c>
      <c r="H1982" s="1">
        <f t="shared" ca="1" si="62"/>
        <v>7.706080143914577E-3</v>
      </c>
    </row>
    <row r="1983" spans="2:8" x14ac:dyDescent="0.3">
      <c r="B1983" s="72">
        <v>43987</v>
      </c>
      <c r="C1983" s="73">
        <v>1640.175</v>
      </c>
      <c r="D1983" s="74">
        <f t="shared" si="61"/>
        <v>-0.41180742334588488</v>
      </c>
      <c r="E1983" s="1">
        <v>-1.9796211079901992E-2</v>
      </c>
      <c r="G1983" s="75">
        <v>1981</v>
      </c>
      <c r="H1983" s="1">
        <f t="shared" ca="1" si="62"/>
        <v>2.8498582618591583E-3</v>
      </c>
    </row>
    <row r="1984" spans="2:8" x14ac:dyDescent="0.3">
      <c r="B1984" s="72">
        <v>46038</v>
      </c>
      <c r="C1984" s="73">
        <v>2788.5</v>
      </c>
      <c r="D1984" s="74">
        <f t="shared" si="61"/>
        <v>0.14871266735324407</v>
      </c>
      <c r="E1984" s="1">
        <v>-2.0083285013968721E-2</v>
      </c>
      <c r="G1984" s="75">
        <v>1982</v>
      </c>
      <c r="H1984" s="1">
        <f t="shared" ca="1" si="62"/>
        <v>1.0478215095822316E-2</v>
      </c>
    </row>
    <row r="1985" spans="2:8" x14ac:dyDescent="0.3">
      <c r="B1985" s="72">
        <v>44224</v>
      </c>
      <c r="C1985" s="73">
        <v>2427.5</v>
      </c>
      <c r="D1985" s="74">
        <f t="shared" si="61"/>
        <v>0.84170096542306005</v>
      </c>
      <c r="E1985" s="1">
        <v>-2.0290381491459106E-2</v>
      </c>
      <c r="G1985" s="75">
        <v>1983</v>
      </c>
      <c r="H1985" s="1">
        <f t="shared" ca="1" si="62"/>
        <v>-2.9988981284711194E-3</v>
      </c>
    </row>
    <row r="1986" spans="2:8" x14ac:dyDescent="0.3">
      <c r="B1986" s="72">
        <v>43655</v>
      </c>
      <c r="C1986" s="73">
        <v>1318.075</v>
      </c>
      <c r="D1986" s="74">
        <f t="shared" si="61"/>
        <v>2.6318350820501803E-2</v>
      </c>
      <c r="E1986" s="1">
        <v>-2.0419159451525497E-2</v>
      </c>
      <c r="G1986" s="75">
        <v>1984</v>
      </c>
      <c r="H1986" s="1">
        <f t="shared" ca="1" si="62"/>
        <v>1.3922042498021432E-2</v>
      </c>
    </row>
    <row r="1987" spans="2:8" x14ac:dyDescent="0.3">
      <c r="B1987" s="72">
        <v>43444</v>
      </c>
      <c r="C1987" s="73">
        <v>1284.2750000000001</v>
      </c>
      <c r="D1987" s="74">
        <f t="shared" ref="D1987:D2050" si="63">(C1987-C1988)/C1988</f>
        <v>-0.59649205488920831</v>
      </c>
      <c r="E1987" s="1">
        <v>-2.0534624771201916E-2</v>
      </c>
      <c r="G1987" s="75">
        <v>1985</v>
      </c>
      <c r="H1987" s="1">
        <f t="shared" ca="1" si="62"/>
        <v>7.0203015509165021E-3</v>
      </c>
    </row>
    <row r="1988" spans="2:8" x14ac:dyDescent="0.3">
      <c r="B1988" s="72">
        <v>44683</v>
      </c>
      <c r="C1988" s="73">
        <v>3182.7750000000001</v>
      </c>
      <c r="D1988" s="74">
        <f t="shared" si="63"/>
        <v>1.4374605119565009</v>
      </c>
      <c r="E1988" s="1">
        <v>-2.0579139291923745E-2</v>
      </c>
      <c r="G1988" s="75">
        <v>1986</v>
      </c>
      <c r="H1988" s="1">
        <f t="shared" ref="H1988:H2051" ca="1" si="64">_xlfn.NORM.INV(RAND(),$N$4,$N$5)</f>
        <v>-1.0432113988093865E-2</v>
      </c>
    </row>
    <row r="1989" spans="2:8" x14ac:dyDescent="0.3">
      <c r="B1989" s="72">
        <v>43440</v>
      </c>
      <c r="C1989" s="73">
        <v>1305.7750000000001</v>
      </c>
      <c r="D1989" s="74">
        <f t="shared" si="63"/>
        <v>-0.48344442906026858</v>
      </c>
      <c r="E1989" s="1">
        <v>-2.0644266106652563E-2</v>
      </c>
      <c r="G1989" s="75">
        <v>1987</v>
      </c>
      <c r="H1989" s="1">
        <f t="shared" ca="1" si="64"/>
        <v>-1.6219557697374022E-2</v>
      </c>
    </row>
    <row r="1990" spans="2:8" x14ac:dyDescent="0.3">
      <c r="B1990" s="72">
        <v>46154</v>
      </c>
      <c r="C1990" s="73">
        <v>2527.85</v>
      </c>
      <c r="D1990" s="74">
        <f t="shared" si="63"/>
        <v>-0.21544072004965861</v>
      </c>
      <c r="E1990" s="1">
        <v>-2.0763524375835254E-2</v>
      </c>
      <c r="G1990" s="75">
        <v>1988</v>
      </c>
      <c r="H1990" s="1">
        <f t="shared" ca="1" si="64"/>
        <v>1.6791448706690235E-2</v>
      </c>
    </row>
    <row r="1991" spans="2:8" x14ac:dyDescent="0.3">
      <c r="B1991" s="72">
        <v>45197</v>
      </c>
      <c r="C1991" s="73">
        <v>3222</v>
      </c>
      <c r="D1991" s="74">
        <f t="shared" si="63"/>
        <v>0.14878596641352024</v>
      </c>
      <c r="E1991" s="1">
        <v>-2.0772866108468676E-2</v>
      </c>
      <c r="G1991" s="75">
        <v>1989</v>
      </c>
      <c r="H1991" s="1">
        <f t="shared" ca="1" si="64"/>
        <v>-9.0044424790398266E-3</v>
      </c>
    </row>
    <row r="1992" spans="2:8" x14ac:dyDescent="0.3">
      <c r="B1992" s="72">
        <v>45604</v>
      </c>
      <c r="C1992" s="73">
        <v>2804.7</v>
      </c>
      <c r="D1992" s="74">
        <f t="shared" si="63"/>
        <v>2.7607305768772752E-2</v>
      </c>
      <c r="E1992" s="1">
        <v>-2.1038577998062843E-2</v>
      </c>
      <c r="G1992" s="75">
        <v>1990</v>
      </c>
      <c r="H1992" s="1">
        <f t="shared" ca="1" si="64"/>
        <v>-1.4707183885636044E-2</v>
      </c>
    </row>
    <row r="1993" spans="2:8" x14ac:dyDescent="0.3">
      <c r="B1993" s="72">
        <v>44953</v>
      </c>
      <c r="C1993" s="73">
        <v>2729.35</v>
      </c>
      <c r="D1993" s="74">
        <f t="shared" si="63"/>
        <v>0.41228671591011984</v>
      </c>
      <c r="E1993" s="1">
        <v>-2.1405137950198192E-2</v>
      </c>
      <c r="G1993" s="75">
        <v>1991</v>
      </c>
      <c r="H1993" s="1">
        <f t="shared" ca="1" si="64"/>
        <v>-1.5889885333223584E-2</v>
      </c>
    </row>
    <row r="1994" spans="2:8" x14ac:dyDescent="0.3">
      <c r="B1994" s="72">
        <v>44074</v>
      </c>
      <c r="C1994" s="73">
        <v>1932.575</v>
      </c>
      <c r="D1994" s="74">
        <f t="shared" si="63"/>
        <v>-0.16338744588744586</v>
      </c>
      <c r="E1994" s="1">
        <v>-2.155532491203202E-2</v>
      </c>
      <c r="G1994" s="75">
        <v>1992</v>
      </c>
      <c r="H1994" s="1">
        <f t="shared" ca="1" si="64"/>
        <v>1.2799295974071506E-2</v>
      </c>
    </row>
    <row r="1995" spans="2:8" x14ac:dyDescent="0.3">
      <c r="B1995" s="72">
        <v>44253</v>
      </c>
      <c r="C1995" s="73">
        <v>2310</v>
      </c>
      <c r="D1995" s="74">
        <f t="shared" si="63"/>
        <v>-0.15089138026098145</v>
      </c>
      <c r="E1995" s="1">
        <v>-2.1694247689229069E-2</v>
      </c>
      <c r="G1995" s="75">
        <v>1993</v>
      </c>
      <c r="H1995" s="1">
        <f t="shared" ca="1" si="64"/>
        <v>-2.337664178027031E-2</v>
      </c>
    </row>
    <row r="1996" spans="2:8" x14ac:dyDescent="0.3">
      <c r="B1996" s="72">
        <v>44209</v>
      </c>
      <c r="C1996" s="73">
        <v>2720.5</v>
      </c>
      <c r="D1996" s="74">
        <f t="shared" si="63"/>
        <v>-0.15288146412474016</v>
      </c>
      <c r="E1996" s="1">
        <v>-2.1781145779959123E-2</v>
      </c>
      <c r="G1996" s="75">
        <v>1994</v>
      </c>
      <c r="H1996" s="1">
        <f t="shared" ca="1" si="64"/>
        <v>-5.7060667110172469E-3</v>
      </c>
    </row>
    <row r="1997" spans="2:8" x14ac:dyDescent="0.3">
      <c r="B1997" s="72">
        <v>44470</v>
      </c>
      <c r="C1997" s="73">
        <v>3211.4749999999999</v>
      </c>
      <c r="D1997" s="74">
        <f t="shared" si="63"/>
        <v>3.4074992352647535E-2</v>
      </c>
      <c r="E1997" s="1">
        <v>-2.2039679035278713E-2</v>
      </c>
      <c r="G1997" s="75">
        <v>1995</v>
      </c>
      <c r="H1997" s="1">
        <f t="shared" ca="1" si="64"/>
        <v>2.0216441003844687E-2</v>
      </c>
    </row>
    <row r="1998" spans="2:8" x14ac:dyDescent="0.3">
      <c r="B1998" s="72">
        <v>45569</v>
      </c>
      <c r="C1998" s="73">
        <v>3105.65</v>
      </c>
      <c r="D1998" s="74">
        <f t="shared" si="63"/>
        <v>2.5593183957201591E-2</v>
      </c>
      <c r="E1998" s="1">
        <v>-2.2212077325105387E-2</v>
      </c>
      <c r="G1998" s="75">
        <v>1996</v>
      </c>
      <c r="H1998" s="1">
        <f t="shared" ca="1" si="64"/>
        <v>-4.0168695063721857E-3</v>
      </c>
    </row>
    <row r="1999" spans="2:8" x14ac:dyDescent="0.3">
      <c r="B1999" s="72">
        <v>44687</v>
      </c>
      <c r="C1999" s="73">
        <v>3028.15</v>
      </c>
      <c r="D1999" s="74">
        <f t="shared" si="63"/>
        <v>0.94711291152263399</v>
      </c>
      <c r="E1999" s="1">
        <v>-2.26966491580535E-2</v>
      </c>
      <c r="G1999" s="75">
        <v>1997</v>
      </c>
      <c r="H1999" s="1">
        <f t="shared" ca="1" si="64"/>
        <v>-1.4694274359173302E-2</v>
      </c>
    </row>
    <row r="2000" spans="2:8" x14ac:dyDescent="0.3">
      <c r="B2000" s="72">
        <v>43712</v>
      </c>
      <c r="C2000" s="73">
        <v>1555.1999999999998</v>
      </c>
      <c r="D2000" s="74">
        <f t="shared" si="63"/>
        <v>-0.34365899978898512</v>
      </c>
      <c r="E2000" s="1">
        <v>-2.28547193817445E-2</v>
      </c>
      <c r="G2000" s="75">
        <v>1998</v>
      </c>
      <c r="H2000" s="1">
        <f t="shared" ca="1" si="64"/>
        <v>1.2042788503303934E-2</v>
      </c>
    </row>
    <row r="2001" spans="2:8" x14ac:dyDescent="0.3">
      <c r="B2001" s="72">
        <v>45926</v>
      </c>
      <c r="C2001" s="73">
        <v>2369.5</v>
      </c>
      <c r="D2001" s="74">
        <f t="shared" si="63"/>
        <v>-0.27906410685490002</v>
      </c>
      <c r="E2001" s="1">
        <v>-2.3027604263302168E-2</v>
      </c>
      <c r="G2001" s="75">
        <v>1999</v>
      </c>
      <c r="H2001" s="1">
        <f t="shared" ca="1" si="64"/>
        <v>-9.9740077983620692E-3</v>
      </c>
    </row>
    <row r="2002" spans="2:8" x14ac:dyDescent="0.3">
      <c r="B2002" s="72">
        <v>44823</v>
      </c>
      <c r="C2002" s="73">
        <v>3286.7</v>
      </c>
      <c r="D2002" s="74">
        <f t="shared" si="63"/>
        <v>0.39414634146341454</v>
      </c>
      <c r="E2002" s="1">
        <v>-2.3203631743578774E-2</v>
      </c>
      <c r="G2002" s="75">
        <v>2000</v>
      </c>
      <c r="H2002" s="1">
        <f t="shared" ca="1" si="64"/>
        <v>8.1051843115106294E-3</v>
      </c>
    </row>
    <row r="2003" spans="2:8" x14ac:dyDescent="0.3">
      <c r="B2003" s="72">
        <v>44250</v>
      </c>
      <c r="C2003" s="73">
        <v>2357.5</v>
      </c>
      <c r="D2003" s="74">
        <f t="shared" si="63"/>
        <v>-0.16883345819928605</v>
      </c>
      <c r="E2003" s="1">
        <v>-2.3405136702568351E-2</v>
      </c>
      <c r="G2003" s="75">
        <v>2001</v>
      </c>
      <c r="H2003" s="1">
        <f t="shared" ca="1" si="64"/>
        <v>-2.0851101899829302E-2</v>
      </c>
    </row>
    <row r="2004" spans="2:8" x14ac:dyDescent="0.3">
      <c r="B2004" s="72">
        <v>45447</v>
      </c>
      <c r="C2004" s="73">
        <v>2836.375</v>
      </c>
      <c r="D2004" s="74">
        <f t="shared" si="63"/>
        <v>1.9884397220499336E-2</v>
      </c>
      <c r="E2004" s="1">
        <v>-2.3631466166384139E-2</v>
      </c>
      <c r="G2004" s="75">
        <v>2002</v>
      </c>
      <c r="H2004" s="1">
        <f t="shared" ca="1" si="64"/>
        <v>-4.3336179771593843E-3</v>
      </c>
    </row>
    <row r="2005" spans="2:8" x14ac:dyDescent="0.3">
      <c r="B2005" s="72">
        <v>44208</v>
      </c>
      <c r="C2005" s="73">
        <v>2781.0749999999998</v>
      </c>
      <c r="D2005" s="74">
        <f t="shared" si="63"/>
        <v>-0.19364589222806941</v>
      </c>
      <c r="E2005" s="1">
        <v>-2.3850264564192952E-2</v>
      </c>
      <c r="G2005" s="75">
        <v>2003</v>
      </c>
      <c r="H2005" s="1">
        <f t="shared" ca="1" si="64"/>
        <v>2.4770448842722794E-3</v>
      </c>
    </row>
    <row r="2006" spans="2:8" x14ac:dyDescent="0.3">
      <c r="B2006" s="72">
        <v>45132</v>
      </c>
      <c r="C2006" s="73">
        <v>3448.95</v>
      </c>
      <c r="D2006" s="74">
        <f t="shared" si="63"/>
        <v>0.12284214381638378</v>
      </c>
      <c r="E2006" s="1">
        <v>-2.3859053279558531E-2</v>
      </c>
      <c r="G2006" s="75">
        <v>2004</v>
      </c>
      <c r="H2006" s="1">
        <f t="shared" ca="1" si="64"/>
        <v>1.243902846191907E-2</v>
      </c>
    </row>
    <row r="2007" spans="2:8" x14ac:dyDescent="0.3">
      <c r="B2007" s="72">
        <v>44536</v>
      </c>
      <c r="C2007" s="73">
        <v>3071.625</v>
      </c>
      <c r="D2007" s="74">
        <f t="shared" si="63"/>
        <v>1.4424984593364212</v>
      </c>
      <c r="E2007" s="1">
        <v>-2.3866082991046218E-2</v>
      </c>
      <c r="G2007" s="75">
        <v>2005</v>
      </c>
      <c r="H2007" s="1">
        <f t="shared" ca="1" si="64"/>
        <v>-1.9704183012669543E-2</v>
      </c>
    </row>
    <row r="2008" spans="2:8" x14ac:dyDescent="0.3">
      <c r="B2008" s="72">
        <v>43376</v>
      </c>
      <c r="C2008" s="73">
        <v>1257.575</v>
      </c>
      <c r="D2008" s="74">
        <f t="shared" si="63"/>
        <v>-0.46760298039879766</v>
      </c>
      <c r="E2008" s="1">
        <v>-2.3962901160308896E-2</v>
      </c>
      <c r="G2008" s="75">
        <v>2006</v>
      </c>
      <c r="H2008" s="1">
        <f t="shared" ca="1" si="64"/>
        <v>1.1238638513817378E-2</v>
      </c>
    </row>
    <row r="2009" spans="2:8" x14ac:dyDescent="0.3">
      <c r="B2009" s="72">
        <v>45784</v>
      </c>
      <c r="C2009" s="73">
        <v>2362.1</v>
      </c>
      <c r="D2009" s="74">
        <f t="shared" si="63"/>
        <v>0.40327635116068367</v>
      </c>
      <c r="E2009" s="1">
        <v>-2.4127246436686671E-2</v>
      </c>
      <c r="G2009" s="75">
        <v>2007</v>
      </c>
      <c r="H2009" s="1">
        <f t="shared" ca="1" si="64"/>
        <v>1.5609364189009628E-2</v>
      </c>
    </row>
    <row r="2010" spans="2:8" x14ac:dyDescent="0.3">
      <c r="B2010" s="72">
        <v>43908</v>
      </c>
      <c r="C2010" s="73">
        <v>1683.2750000000001</v>
      </c>
      <c r="D2010" s="74">
        <f t="shared" si="63"/>
        <v>-0.14163511428972092</v>
      </c>
      <c r="E2010" s="1">
        <v>-2.4131833729491563E-2</v>
      </c>
      <c r="G2010" s="75">
        <v>2008</v>
      </c>
      <c r="H2010" s="1">
        <f t="shared" ca="1" si="64"/>
        <v>-5.5700963880277038E-3</v>
      </c>
    </row>
    <row r="2011" spans="2:8" x14ac:dyDescent="0.3">
      <c r="B2011" s="72">
        <v>44096</v>
      </c>
      <c r="C2011" s="73">
        <v>1961.0250000000001</v>
      </c>
      <c r="D2011" s="74">
        <f t="shared" si="63"/>
        <v>-0.3876580796252927</v>
      </c>
      <c r="E2011" s="1">
        <v>-2.4195755479809917E-2</v>
      </c>
      <c r="G2011" s="75">
        <v>2009</v>
      </c>
      <c r="H2011" s="1">
        <f t="shared" ca="1" si="64"/>
        <v>-6.907569778184108E-3</v>
      </c>
    </row>
    <row r="2012" spans="2:8" x14ac:dyDescent="0.3">
      <c r="B2012" s="72">
        <v>44585</v>
      </c>
      <c r="C2012" s="73">
        <v>3202.5</v>
      </c>
      <c r="D2012" s="74">
        <f t="shared" si="63"/>
        <v>1.6108755910647319</v>
      </c>
      <c r="E2012" s="1">
        <v>-2.4624240486088876E-2</v>
      </c>
      <c r="G2012" s="75">
        <v>2010</v>
      </c>
      <c r="H2012" s="1">
        <f t="shared" ca="1" si="64"/>
        <v>1.3150621257891636E-2</v>
      </c>
    </row>
    <row r="2013" spans="2:8" x14ac:dyDescent="0.3">
      <c r="B2013" s="72">
        <v>43377</v>
      </c>
      <c r="C2013" s="73">
        <v>1226.5999999999999</v>
      </c>
      <c r="D2013" s="74">
        <f t="shared" si="63"/>
        <v>-0.45571529996450139</v>
      </c>
      <c r="E2013" s="1">
        <v>-2.4630737729360187E-2</v>
      </c>
      <c r="G2013" s="75">
        <v>2011</v>
      </c>
      <c r="H2013" s="1">
        <f t="shared" ca="1" si="64"/>
        <v>-1.5801680605453856E-2</v>
      </c>
    </row>
    <row r="2014" spans="2:8" x14ac:dyDescent="0.3">
      <c r="B2014" s="72">
        <v>46085</v>
      </c>
      <c r="C2014" s="73">
        <v>2253.6000000000004</v>
      </c>
      <c r="D2014" s="74">
        <f t="shared" si="63"/>
        <v>1.0285341374499304</v>
      </c>
      <c r="E2014" s="1">
        <v>-2.4711126498463434E-2</v>
      </c>
      <c r="G2014" s="75">
        <v>2012</v>
      </c>
      <c r="H2014" s="1">
        <f t="shared" ca="1" si="64"/>
        <v>-6.2616629014896237E-3</v>
      </c>
    </row>
    <row r="2015" spans="2:8" x14ac:dyDescent="0.3">
      <c r="B2015" s="72">
        <v>43178</v>
      </c>
      <c r="C2015" s="73">
        <v>1110.95</v>
      </c>
      <c r="D2015" s="74">
        <f t="shared" si="63"/>
        <v>-0.61196297589940618</v>
      </c>
      <c r="E2015" s="1">
        <v>-2.4755300004389275E-2</v>
      </c>
      <c r="G2015" s="75">
        <v>2013</v>
      </c>
      <c r="H2015" s="1">
        <f t="shared" ca="1" si="64"/>
        <v>2.9324941858875891E-2</v>
      </c>
    </row>
    <row r="2016" spans="2:8" x14ac:dyDescent="0.3">
      <c r="B2016" s="72">
        <v>45420</v>
      </c>
      <c r="C2016" s="73">
        <v>2863</v>
      </c>
      <c r="D2016" s="74">
        <f t="shared" si="63"/>
        <v>0.25893190862520055</v>
      </c>
      <c r="E2016" s="1">
        <v>-2.4855456875484263E-2</v>
      </c>
      <c r="G2016" s="75">
        <v>2014</v>
      </c>
      <c r="H2016" s="1">
        <f t="shared" ca="1" si="64"/>
        <v>1.5570083386220174E-2</v>
      </c>
    </row>
    <row r="2017" spans="2:8" x14ac:dyDescent="0.3">
      <c r="B2017" s="72">
        <v>45670</v>
      </c>
      <c r="C2017" s="73">
        <v>2274.15</v>
      </c>
      <c r="D2017" s="74">
        <f t="shared" si="63"/>
        <v>-0.17826558265582654</v>
      </c>
      <c r="E2017" s="1">
        <v>-2.4995176745482104E-2</v>
      </c>
      <c r="G2017" s="75">
        <v>2015</v>
      </c>
      <c r="H2017" s="1">
        <f t="shared" ca="1" si="64"/>
        <v>-1.1836141128627934E-2</v>
      </c>
    </row>
    <row r="2018" spans="2:8" x14ac:dyDescent="0.3">
      <c r="B2018" s="72">
        <v>44719</v>
      </c>
      <c r="C2018" s="73">
        <v>2767.5</v>
      </c>
      <c r="D2018" s="74">
        <f t="shared" si="63"/>
        <v>0.28870779976717115</v>
      </c>
      <c r="E2018" s="1">
        <v>-2.547669771290734E-2</v>
      </c>
      <c r="G2018" s="75">
        <v>2016</v>
      </c>
      <c r="H2018" s="1">
        <f t="shared" ca="1" si="64"/>
        <v>1.8068267942296041E-3</v>
      </c>
    </row>
    <row r="2019" spans="2:8" x14ac:dyDescent="0.3">
      <c r="B2019" s="72">
        <v>46104</v>
      </c>
      <c r="C2019" s="73">
        <v>2147.5</v>
      </c>
      <c r="D2019" s="74">
        <f t="shared" si="63"/>
        <v>-1.3528101242564055E-2</v>
      </c>
      <c r="E2019" s="1">
        <v>-2.5966662886948634E-2</v>
      </c>
      <c r="G2019" s="75">
        <v>2017</v>
      </c>
      <c r="H2019" s="1">
        <f t="shared" ca="1" si="64"/>
        <v>-9.8272787126823125E-3</v>
      </c>
    </row>
    <row r="2020" spans="2:8" x14ac:dyDescent="0.3">
      <c r="B2020" s="72">
        <v>46111</v>
      </c>
      <c r="C2020" s="73">
        <v>2176.9499999999998</v>
      </c>
      <c r="D2020" s="74">
        <f t="shared" si="63"/>
        <v>-5.15102334244667E-2</v>
      </c>
      <c r="E2020" s="1">
        <v>-2.5994944184694016E-2</v>
      </c>
      <c r="G2020" s="75">
        <v>2018</v>
      </c>
      <c r="H2020" s="1">
        <f t="shared" ca="1" si="64"/>
        <v>-8.878750376511672E-3</v>
      </c>
    </row>
    <row r="2021" spans="2:8" x14ac:dyDescent="0.3">
      <c r="B2021" s="72">
        <v>45645</v>
      </c>
      <c r="C2021" s="73">
        <v>2295.1750000000002</v>
      </c>
      <c r="D2021" s="74">
        <f t="shared" si="63"/>
        <v>-0.13898918660376827</v>
      </c>
      <c r="E2021" s="1">
        <v>-2.6168402740946489E-2</v>
      </c>
      <c r="G2021" s="75">
        <v>2019</v>
      </c>
      <c r="H2021" s="1">
        <f t="shared" ca="1" si="64"/>
        <v>-1.7686759997003809E-2</v>
      </c>
    </row>
    <row r="2022" spans="2:8" x14ac:dyDescent="0.3">
      <c r="B2022" s="72">
        <v>44721</v>
      </c>
      <c r="C2022" s="73">
        <v>2665.6750000000002</v>
      </c>
      <c r="D2022" s="74">
        <f t="shared" si="63"/>
        <v>-0.21813382218148483</v>
      </c>
      <c r="E2022" s="1">
        <v>-2.6237442922374364E-2</v>
      </c>
      <c r="G2022" s="75">
        <v>2020</v>
      </c>
      <c r="H2022" s="1">
        <f t="shared" ca="1" si="64"/>
        <v>-2.3783660249804137E-2</v>
      </c>
    </row>
    <row r="2023" spans="2:8" x14ac:dyDescent="0.3">
      <c r="B2023" s="72">
        <v>44795</v>
      </c>
      <c r="C2023" s="73">
        <v>3409.375</v>
      </c>
      <c r="D2023" s="74">
        <f t="shared" si="63"/>
        <v>0.50060519366197187</v>
      </c>
      <c r="E2023" s="1">
        <v>-2.6240628347018922E-2</v>
      </c>
      <c r="G2023" s="75">
        <v>2021</v>
      </c>
      <c r="H2023" s="1">
        <f t="shared" ca="1" si="64"/>
        <v>1.0036736934504353E-2</v>
      </c>
    </row>
    <row r="2024" spans="2:8" x14ac:dyDescent="0.3">
      <c r="B2024" s="72">
        <v>45754</v>
      </c>
      <c r="C2024" s="73">
        <v>2272</v>
      </c>
      <c r="D2024" s="74">
        <f t="shared" si="63"/>
        <v>-0.13322142530138861</v>
      </c>
      <c r="E2024" s="1">
        <v>-2.6303101730326243E-2</v>
      </c>
      <c r="G2024" s="75">
        <v>2022</v>
      </c>
      <c r="H2024" s="1">
        <f t="shared" ca="1" si="64"/>
        <v>4.0880182191789594E-3</v>
      </c>
    </row>
    <row r="2025" spans="2:8" x14ac:dyDescent="0.3">
      <c r="B2025" s="72">
        <v>44211</v>
      </c>
      <c r="C2025" s="73">
        <v>2621.1999999999998</v>
      </c>
      <c r="D2025" s="74">
        <f t="shared" si="63"/>
        <v>0.2114153668399768</v>
      </c>
      <c r="E2025" s="1">
        <v>-2.6417687314867263E-2</v>
      </c>
      <c r="G2025" s="75">
        <v>2023</v>
      </c>
      <c r="H2025" s="1">
        <f t="shared" ca="1" si="64"/>
        <v>7.7078870803878891E-3</v>
      </c>
    </row>
    <row r="2026" spans="2:8" x14ac:dyDescent="0.3">
      <c r="B2026" s="72">
        <v>46114</v>
      </c>
      <c r="C2026" s="73">
        <v>2163.75</v>
      </c>
      <c r="D2026" s="74">
        <f t="shared" si="63"/>
        <v>-0.2538664459732064</v>
      </c>
      <c r="E2026" s="1">
        <v>-2.6434195725534307E-2</v>
      </c>
      <c r="G2026" s="75">
        <v>2024</v>
      </c>
      <c r="H2026" s="1">
        <f t="shared" ca="1" si="64"/>
        <v>-3.0204361254811338E-3</v>
      </c>
    </row>
    <row r="2027" spans="2:8" x14ac:dyDescent="0.3">
      <c r="B2027" s="72">
        <v>45491</v>
      </c>
      <c r="C2027" s="73">
        <v>2899.95</v>
      </c>
      <c r="D2027" s="74">
        <f t="shared" si="63"/>
        <v>1.2863506455109883</v>
      </c>
      <c r="E2027" s="1">
        <v>-2.6445878689707877E-2</v>
      </c>
      <c r="G2027" s="75">
        <v>2025</v>
      </c>
      <c r="H2027" s="1">
        <f t="shared" ca="1" si="64"/>
        <v>-1.4059828757173591E-2</v>
      </c>
    </row>
    <row r="2028" spans="2:8" x14ac:dyDescent="0.3">
      <c r="B2028" s="72">
        <v>43364</v>
      </c>
      <c r="C2028" s="73">
        <v>1268.375</v>
      </c>
      <c r="D2028" s="74">
        <f t="shared" si="63"/>
        <v>-0.57685571309424521</v>
      </c>
      <c r="E2028" s="1">
        <v>-2.6647993246872774E-2</v>
      </c>
      <c r="G2028" s="75">
        <v>2026</v>
      </c>
      <c r="H2028" s="1">
        <f t="shared" ca="1" si="64"/>
        <v>-2.1922584473004717E-3</v>
      </c>
    </row>
    <row r="2029" spans="2:8" x14ac:dyDescent="0.3">
      <c r="B2029" s="72">
        <v>45225</v>
      </c>
      <c r="C2029" s="73">
        <v>2997.5</v>
      </c>
      <c r="D2029" s="74">
        <f t="shared" si="63"/>
        <v>0.74679487179487181</v>
      </c>
      <c r="E2029" s="1">
        <v>-2.6785714285714284E-2</v>
      </c>
      <c r="G2029" s="75">
        <v>2027</v>
      </c>
      <c r="H2029" s="1">
        <f t="shared" ca="1" si="64"/>
        <v>-9.1660752815915965E-3</v>
      </c>
    </row>
    <row r="2030" spans="2:8" x14ac:dyDescent="0.3">
      <c r="B2030" s="72">
        <v>43836</v>
      </c>
      <c r="C2030" s="73">
        <v>1716</v>
      </c>
      <c r="D2030" s="74">
        <f t="shared" si="63"/>
        <v>0.25253188810423161</v>
      </c>
      <c r="E2030" s="1">
        <v>-2.689368700114831E-2</v>
      </c>
      <c r="G2030" s="75">
        <v>2028</v>
      </c>
      <c r="H2030" s="1">
        <f t="shared" ca="1" si="64"/>
        <v>7.5021470953301325E-3</v>
      </c>
    </row>
    <row r="2031" spans="2:8" x14ac:dyDescent="0.3">
      <c r="B2031" s="72">
        <v>43458</v>
      </c>
      <c r="C2031" s="73">
        <v>1370.0250000000001</v>
      </c>
      <c r="D2031" s="74">
        <f t="shared" si="63"/>
        <v>2.7351805331633713E-2</v>
      </c>
      <c r="E2031" s="1">
        <v>-2.7039982955755857E-2</v>
      </c>
      <c r="G2031" s="75">
        <v>2029</v>
      </c>
      <c r="H2031" s="1">
        <f t="shared" ca="1" si="64"/>
        <v>-1.6291177353213288E-3</v>
      </c>
    </row>
    <row r="2032" spans="2:8" x14ac:dyDescent="0.3">
      <c r="B2032" s="72">
        <v>43347</v>
      </c>
      <c r="C2032" s="73">
        <v>1333.55</v>
      </c>
      <c r="D2032" s="74">
        <f t="shared" si="63"/>
        <v>9.3903164284395879E-2</v>
      </c>
      <c r="E2032" s="1">
        <v>-2.7493163172288091E-2</v>
      </c>
      <c r="G2032" s="75">
        <v>2030</v>
      </c>
      <c r="H2032" s="1">
        <f t="shared" ca="1" si="64"/>
        <v>-8.2489645483535025E-3</v>
      </c>
    </row>
    <row r="2033" spans="2:8" x14ac:dyDescent="0.3">
      <c r="B2033" s="72">
        <v>43395</v>
      </c>
      <c r="C2033" s="73">
        <v>1219.075</v>
      </c>
      <c r="D2033" s="74">
        <f t="shared" si="63"/>
        <v>-0.53265286563158898</v>
      </c>
      <c r="E2033" s="1">
        <v>-2.763763983329667E-2</v>
      </c>
      <c r="G2033" s="75">
        <v>2031</v>
      </c>
      <c r="H2033" s="1">
        <f t="shared" ca="1" si="64"/>
        <v>1.2776110672989357E-2</v>
      </c>
    </row>
    <row r="2034" spans="2:8" x14ac:dyDescent="0.3">
      <c r="B2034" s="72">
        <v>44729</v>
      </c>
      <c r="C2034" s="73">
        <v>2608.5</v>
      </c>
      <c r="D2034" s="74">
        <f t="shared" si="63"/>
        <v>0.95825982508164109</v>
      </c>
      <c r="E2034" s="1">
        <v>-2.7667763188548924E-2</v>
      </c>
      <c r="G2034" s="75">
        <v>2032</v>
      </c>
      <c r="H2034" s="1">
        <f t="shared" ca="1" si="64"/>
        <v>1.2994404948301843E-2</v>
      </c>
    </row>
    <row r="2035" spans="2:8" x14ac:dyDescent="0.3">
      <c r="B2035" s="72">
        <v>43595</v>
      </c>
      <c r="C2035" s="73">
        <v>1332.05</v>
      </c>
      <c r="D2035" s="74">
        <f t="shared" si="63"/>
        <v>-0.50285975535795935</v>
      </c>
      <c r="E2035" s="1">
        <v>-2.7771695496679044E-2</v>
      </c>
      <c r="G2035" s="75">
        <v>2033</v>
      </c>
      <c r="H2035" s="1">
        <f t="shared" ca="1" si="64"/>
        <v>5.6782595634151667E-3</v>
      </c>
    </row>
    <row r="2036" spans="2:8" x14ac:dyDescent="0.3">
      <c r="B2036" s="72">
        <v>44218</v>
      </c>
      <c r="C2036" s="73">
        <v>2679.4250000000002</v>
      </c>
      <c r="D2036" s="74">
        <f t="shared" si="63"/>
        <v>0.15957285671008803</v>
      </c>
      <c r="E2036" s="1">
        <v>-2.7776013933362868E-2</v>
      </c>
      <c r="G2036" s="75">
        <v>2034</v>
      </c>
      <c r="H2036" s="1">
        <f t="shared" ca="1" si="64"/>
        <v>-9.3733493020760304E-3</v>
      </c>
    </row>
    <row r="2037" spans="2:8" x14ac:dyDescent="0.3">
      <c r="B2037" s="72">
        <v>46083</v>
      </c>
      <c r="C2037" s="73">
        <v>2310.6999999999998</v>
      </c>
      <c r="D2037" s="74">
        <f t="shared" si="63"/>
        <v>0.51459238017206055</v>
      </c>
      <c r="E2037" s="1">
        <v>-2.8423663961653432E-2</v>
      </c>
      <c r="G2037" s="75">
        <v>2035</v>
      </c>
      <c r="H2037" s="1">
        <f t="shared" ca="1" si="64"/>
        <v>-5.8904418469784084E-4</v>
      </c>
    </row>
    <row r="2038" spans="2:8" x14ac:dyDescent="0.3">
      <c r="B2038" s="72">
        <v>43914</v>
      </c>
      <c r="C2038" s="73">
        <v>1525.625</v>
      </c>
      <c r="D2038" s="74">
        <f t="shared" si="63"/>
        <v>-0.55181404230317277</v>
      </c>
      <c r="E2038" s="1">
        <v>-2.8496378253601847E-2</v>
      </c>
      <c r="G2038" s="75">
        <v>2036</v>
      </c>
      <c r="H2038" s="1">
        <f t="shared" ca="1" si="64"/>
        <v>2.5015617790787897E-2</v>
      </c>
    </row>
    <row r="2039" spans="2:8" x14ac:dyDescent="0.3">
      <c r="B2039" s="72">
        <v>44575</v>
      </c>
      <c r="C2039" s="73">
        <v>3404</v>
      </c>
      <c r="D2039" s="74">
        <f t="shared" si="63"/>
        <v>1.3378318052264686</v>
      </c>
      <c r="E2039" s="1">
        <v>-2.8815977175463622E-2</v>
      </c>
      <c r="G2039" s="75">
        <v>2037</v>
      </c>
      <c r="H2039" s="1">
        <f t="shared" ca="1" si="64"/>
        <v>-8.4894433560971892E-3</v>
      </c>
    </row>
    <row r="2040" spans="2:8" x14ac:dyDescent="0.3">
      <c r="B2040" s="72">
        <v>43564</v>
      </c>
      <c r="C2040" s="73">
        <v>1456.0500000000002</v>
      </c>
      <c r="D2040" s="74">
        <f t="shared" si="63"/>
        <v>-0.53824198650609278</v>
      </c>
      <c r="E2040" s="1">
        <v>-2.9299999999999878E-2</v>
      </c>
      <c r="G2040" s="75">
        <v>2038</v>
      </c>
      <c r="H2040" s="1">
        <f t="shared" ca="1" si="64"/>
        <v>-3.5762861271389059E-3</v>
      </c>
    </row>
    <row r="2041" spans="2:8" x14ac:dyDescent="0.3">
      <c r="B2041" s="72">
        <v>45309</v>
      </c>
      <c r="C2041" s="73">
        <v>3153.2749999999996</v>
      </c>
      <c r="D2041" s="74">
        <f t="shared" si="63"/>
        <v>0.13473078134137004</v>
      </c>
      <c r="E2041" s="1">
        <v>-2.937328777664918E-2</v>
      </c>
      <c r="G2041" s="75">
        <v>2039</v>
      </c>
      <c r="H2041" s="1">
        <f t="shared" ca="1" si="64"/>
        <v>-4.9698459373764053E-3</v>
      </c>
    </row>
    <row r="2042" spans="2:8" x14ac:dyDescent="0.3">
      <c r="B2042" s="72">
        <v>45421</v>
      </c>
      <c r="C2042" s="73">
        <v>2778.875</v>
      </c>
      <c r="D2042" s="74">
        <f t="shared" si="63"/>
        <v>-9.3433704969374712E-2</v>
      </c>
      <c r="E2042" s="1">
        <v>-2.9383513796716731E-2</v>
      </c>
      <c r="G2042" s="75">
        <v>2040</v>
      </c>
      <c r="H2042" s="1">
        <f t="shared" ca="1" si="64"/>
        <v>1.8151244554463195E-2</v>
      </c>
    </row>
    <row r="2043" spans="2:8" x14ac:dyDescent="0.3">
      <c r="B2043" s="72">
        <v>45314</v>
      </c>
      <c r="C2043" s="73">
        <v>3065.2750000000001</v>
      </c>
      <c r="D2043" s="74">
        <f t="shared" si="63"/>
        <v>0.83187414091914191</v>
      </c>
      <c r="E2043" s="1">
        <v>-2.9907192758977953E-2</v>
      </c>
      <c r="G2043" s="75">
        <v>2041</v>
      </c>
      <c r="H2043" s="1">
        <f t="shared" ca="1" si="64"/>
        <v>2.9662827678006442E-4</v>
      </c>
    </row>
    <row r="2044" spans="2:8" x14ac:dyDescent="0.3">
      <c r="B2044" s="72">
        <v>43986</v>
      </c>
      <c r="C2044" s="73">
        <v>1673.3</v>
      </c>
      <c r="D2044" s="74">
        <f t="shared" si="63"/>
        <v>-0.43402672078471166</v>
      </c>
      <c r="E2044" s="1">
        <v>-2.9928837485687785E-2</v>
      </c>
      <c r="G2044" s="75">
        <v>2042</v>
      </c>
      <c r="H2044" s="1">
        <f t="shared" ca="1" si="64"/>
        <v>5.3799123512232108E-3</v>
      </c>
    </row>
    <row r="2045" spans="2:8" x14ac:dyDescent="0.3">
      <c r="B2045" s="72">
        <v>44623</v>
      </c>
      <c r="C2045" s="73">
        <v>2956.5</v>
      </c>
      <c r="D2045" s="74">
        <f t="shared" si="63"/>
        <v>0.9350404974228913</v>
      </c>
      <c r="E2045" s="1">
        <v>-3.1021090408534371E-2</v>
      </c>
      <c r="G2045" s="75">
        <v>2043</v>
      </c>
      <c r="H2045" s="1">
        <f t="shared" ca="1" si="64"/>
        <v>-7.72917209596308E-4</v>
      </c>
    </row>
    <row r="2046" spans="2:8" x14ac:dyDescent="0.3">
      <c r="B2046" s="72">
        <v>43963</v>
      </c>
      <c r="C2046" s="73">
        <v>1527.875</v>
      </c>
      <c r="D2046" s="74">
        <f t="shared" si="63"/>
        <v>-0.46409154682567522</v>
      </c>
      <c r="E2046" s="1">
        <v>-3.1150919467343056E-2</v>
      </c>
      <c r="G2046" s="75">
        <v>2044</v>
      </c>
      <c r="H2046" s="1">
        <f t="shared" ca="1" si="64"/>
        <v>-1.0370635692338988E-2</v>
      </c>
    </row>
    <row r="2047" spans="2:8" x14ac:dyDescent="0.3">
      <c r="B2047" s="72">
        <v>46000</v>
      </c>
      <c r="C2047" s="73">
        <v>2851</v>
      </c>
      <c r="D2047" s="74">
        <f t="shared" si="63"/>
        <v>0.25794211083656898</v>
      </c>
      <c r="E2047" s="1">
        <v>-3.1803440137197998E-2</v>
      </c>
      <c r="G2047" s="75">
        <v>2045</v>
      </c>
      <c r="H2047" s="1">
        <f t="shared" ca="1" si="64"/>
        <v>2.6504221687647479E-2</v>
      </c>
    </row>
    <row r="2048" spans="2:8" x14ac:dyDescent="0.3">
      <c r="B2048" s="72">
        <v>45693</v>
      </c>
      <c r="C2048" s="73">
        <v>2266.4</v>
      </c>
      <c r="D2048" s="74">
        <f t="shared" si="63"/>
        <v>-0.19474151714336468</v>
      </c>
      <c r="E2048" s="1">
        <v>-3.1939090414001552E-2</v>
      </c>
      <c r="G2048" s="75">
        <v>2046</v>
      </c>
      <c r="H2048" s="1">
        <f t="shared" ca="1" si="64"/>
        <v>7.2072457525369808E-3</v>
      </c>
    </row>
    <row r="2049" spans="2:8" x14ac:dyDescent="0.3">
      <c r="B2049" s="72">
        <v>44946</v>
      </c>
      <c r="C2049" s="73">
        <v>2814.5</v>
      </c>
      <c r="D2049" s="74">
        <f t="shared" si="63"/>
        <v>-2.575374710097272E-2</v>
      </c>
      <c r="E2049" s="1">
        <v>-3.2352334456439494E-2</v>
      </c>
      <c r="G2049" s="75">
        <v>2047</v>
      </c>
      <c r="H2049" s="1">
        <f t="shared" ca="1" si="64"/>
        <v>1.0962482887814637E-2</v>
      </c>
    </row>
    <row r="2050" spans="2:8" x14ac:dyDescent="0.3">
      <c r="B2050" s="72">
        <v>45348</v>
      </c>
      <c r="C2050" s="73">
        <v>2888.9</v>
      </c>
      <c r="D2050" s="74">
        <f t="shared" si="63"/>
        <v>0.68818115412710013</v>
      </c>
      <c r="E2050" s="1">
        <v>-3.2388799571275398E-2</v>
      </c>
      <c r="G2050" s="75">
        <v>2048</v>
      </c>
      <c r="H2050" s="1">
        <f t="shared" ca="1" si="64"/>
        <v>-1.4130548142505793E-2</v>
      </c>
    </row>
    <row r="2051" spans="2:8" x14ac:dyDescent="0.3">
      <c r="B2051" s="72">
        <v>43955</v>
      </c>
      <c r="C2051" s="73">
        <v>1711.25</v>
      </c>
      <c r="D2051" s="74">
        <f t="shared" ref="D2051:D2072" si="65">(C2051-C2052)/C2052</f>
        <v>9.231628500757999E-2</v>
      </c>
      <c r="E2051" s="1">
        <v>-3.2645562464669306E-2</v>
      </c>
      <c r="G2051" s="75">
        <v>2049</v>
      </c>
      <c r="H2051" s="1">
        <f t="shared" ca="1" si="64"/>
        <v>3.1095271896034692E-3</v>
      </c>
    </row>
    <row r="2052" spans="2:8" x14ac:dyDescent="0.3">
      <c r="B2052" s="72">
        <v>43924</v>
      </c>
      <c r="C2052" s="73">
        <v>1566.625</v>
      </c>
      <c r="D2052" s="74">
        <f t="shared" si="65"/>
        <v>-0.47029636016297277</v>
      </c>
      <c r="E2052" s="1">
        <v>-3.2723624295747475E-2</v>
      </c>
      <c r="G2052" s="75">
        <v>2050</v>
      </c>
      <c r="H2052" s="1">
        <f t="shared" ref="H2052:H2073" ca="1" si="66">_xlfn.NORM.INV(RAND(),$N$4,$N$5)</f>
        <v>-2.1116013065967591E-3</v>
      </c>
    </row>
    <row r="2053" spans="2:8" x14ac:dyDescent="0.3">
      <c r="B2053" s="72">
        <v>44491</v>
      </c>
      <c r="C2053" s="73">
        <v>2957.55</v>
      </c>
      <c r="D2053" s="74">
        <f t="shared" si="65"/>
        <v>-6.8840123417920673E-2</v>
      </c>
      <c r="E2053" s="1">
        <v>-3.2832453114014171E-2</v>
      </c>
      <c r="G2053" s="75">
        <v>2051</v>
      </c>
      <c r="H2053" s="1">
        <f t="shared" ca="1" si="66"/>
        <v>6.2294409645000859E-3</v>
      </c>
    </row>
    <row r="2054" spans="2:8" x14ac:dyDescent="0.3">
      <c r="B2054" s="72">
        <v>45568</v>
      </c>
      <c r="C2054" s="73">
        <v>3176.2</v>
      </c>
      <c r="D2054" s="74">
        <f t="shared" si="65"/>
        <v>-5.1477120864845495E-2</v>
      </c>
      <c r="E2054" s="1">
        <v>-3.3561539631827224E-2</v>
      </c>
      <c r="G2054" s="75">
        <v>2052</v>
      </c>
      <c r="H2054" s="1">
        <f t="shared" ca="1" si="66"/>
        <v>-2.9493011842320633E-3</v>
      </c>
    </row>
    <row r="2055" spans="2:8" x14ac:dyDescent="0.3">
      <c r="B2055" s="72">
        <v>44834</v>
      </c>
      <c r="C2055" s="73">
        <v>3348.5749999999998</v>
      </c>
      <c r="D2055" s="74">
        <f t="shared" si="65"/>
        <v>0.35144434018423776</v>
      </c>
      <c r="E2055" s="1">
        <v>-3.4415392489745414E-2</v>
      </c>
      <c r="G2055" s="75">
        <v>2053</v>
      </c>
      <c r="H2055" s="1">
        <f t="shared" ca="1" si="66"/>
        <v>-3.7532627075839847E-3</v>
      </c>
    </row>
    <row r="2056" spans="2:8" x14ac:dyDescent="0.3">
      <c r="B2056" s="72">
        <v>44223</v>
      </c>
      <c r="C2056" s="73">
        <v>2477.7750000000001</v>
      </c>
      <c r="D2056" s="74">
        <f t="shared" si="65"/>
        <v>-6.1573276270191386E-2</v>
      </c>
      <c r="E2056" s="1">
        <v>-3.4476376035070595E-2</v>
      </c>
      <c r="G2056" s="75">
        <v>2054</v>
      </c>
      <c r="H2056" s="1">
        <f t="shared" ca="1" si="66"/>
        <v>1.4204727693027252E-2</v>
      </c>
    </row>
    <row r="2057" spans="2:8" x14ac:dyDescent="0.3">
      <c r="B2057" s="72">
        <v>46049</v>
      </c>
      <c r="C2057" s="73">
        <v>2640.35</v>
      </c>
      <c r="D2057" s="74">
        <f t="shared" si="65"/>
        <v>-8.7473954911492617E-3</v>
      </c>
      <c r="E2057" s="1">
        <v>-3.5259513674479943E-2</v>
      </c>
      <c r="G2057" s="75">
        <v>2055</v>
      </c>
      <c r="H2057" s="1">
        <f t="shared" ca="1" si="66"/>
        <v>2.3561531445117478E-2</v>
      </c>
    </row>
    <row r="2058" spans="2:8" x14ac:dyDescent="0.3">
      <c r="B2058" s="72">
        <v>44627</v>
      </c>
      <c r="C2058" s="73">
        <v>2663.6499999999996</v>
      </c>
      <c r="D2058" s="74">
        <f t="shared" si="65"/>
        <v>0.21278969175431381</v>
      </c>
      <c r="E2058" s="1">
        <v>-3.5931123718523139E-2</v>
      </c>
      <c r="G2058" s="75">
        <v>2056</v>
      </c>
      <c r="H2058" s="1">
        <f t="shared" ca="1" si="66"/>
        <v>-2.1240817106518487E-2</v>
      </c>
    </row>
    <row r="2059" spans="2:8" x14ac:dyDescent="0.3">
      <c r="B2059" s="72">
        <v>46090</v>
      </c>
      <c r="C2059" s="73">
        <v>2196.3000000000002</v>
      </c>
      <c r="D2059" s="74">
        <f t="shared" si="65"/>
        <v>-0.28780582713166974</v>
      </c>
      <c r="E2059" s="1">
        <v>-3.7048404068747806E-2</v>
      </c>
      <c r="G2059" s="75">
        <v>2057</v>
      </c>
      <c r="H2059" s="1">
        <f t="shared" ca="1" si="66"/>
        <v>6.8535833401645535E-3</v>
      </c>
    </row>
    <row r="2060" spans="2:8" x14ac:dyDescent="0.3">
      <c r="B2060" s="72">
        <v>44586</v>
      </c>
      <c r="C2060" s="73">
        <v>3083.85</v>
      </c>
      <c r="D2060" s="74">
        <f t="shared" si="65"/>
        <v>8.4697264507268243E-3</v>
      </c>
      <c r="E2060" s="1">
        <v>-3.7049180327868879E-2</v>
      </c>
      <c r="G2060" s="75">
        <v>2058</v>
      </c>
      <c r="H2060" s="1">
        <f t="shared" ca="1" si="66"/>
        <v>6.2680614311229257E-3</v>
      </c>
    </row>
    <row r="2061" spans="2:8" x14ac:dyDescent="0.3">
      <c r="B2061" s="72">
        <v>44490</v>
      </c>
      <c r="C2061" s="73">
        <v>3057.95</v>
      </c>
      <c r="D2061" s="74">
        <f t="shared" si="65"/>
        <v>0.19160253287871401</v>
      </c>
      <c r="E2061" s="1">
        <v>-3.7866154862662545E-2</v>
      </c>
      <c r="G2061" s="75">
        <v>2059</v>
      </c>
      <c r="H2061" s="1">
        <f t="shared" ca="1" si="66"/>
        <v>1.4282357819666735E-2</v>
      </c>
    </row>
    <row r="2062" spans="2:8" x14ac:dyDescent="0.3">
      <c r="B2062" s="72">
        <v>44221</v>
      </c>
      <c r="C2062" s="73">
        <v>2566.25</v>
      </c>
      <c r="D2062" s="74">
        <f t="shared" si="65"/>
        <v>-0.17870801529771338</v>
      </c>
      <c r="E2062" s="1">
        <v>-4.2238539985258096E-2</v>
      </c>
      <c r="G2062" s="75">
        <v>2060</v>
      </c>
      <c r="H2062" s="1">
        <f t="shared" ca="1" si="66"/>
        <v>-4.2663843867951515E-4</v>
      </c>
    </row>
    <row r="2063" spans="2:8" x14ac:dyDescent="0.3">
      <c r="B2063" s="72">
        <v>44616</v>
      </c>
      <c r="C2063" s="73">
        <v>3124.65</v>
      </c>
      <c r="D2063" s="74">
        <f t="shared" si="65"/>
        <v>0.91042905400241503</v>
      </c>
      <c r="E2063" s="1">
        <v>-4.2531676599917183E-2</v>
      </c>
      <c r="G2063" s="75">
        <v>2061</v>
      </c>
      <c r="H2063" s="1">
        <f t="shared" ca="1" si="66"/>
        <v>-5.2244640192048916E-4</v>
      </c>
    </row>
    <row r="2064" spans="2:8" x14ac:dyDescent="0.3">
      <c r="B2064" s="72">
        <v>43956</v>
      </c>
      <c r="C2064" s="73">
        <v>1635.575</v>
      </c>
      <c r="D2064" s="74">
        <f t="shared" si="65"/>
        <v>-6.9003301457194854E-2</v>
      </c>
      <c r="E2064" s="1">
        <v>-4.4222059897735547E-2</v>
      </c>
      <c r="G2064" s="75">
        <v>2062</v>
      </c>
      <c r="H2064" s="1">
        <f t="shared" ca="1" si="66"/>
        <v>7.4859391625346312E-3</v>
      </c>
    </row>
    <row r="2065" spans="2:8" x14ac:dyDescent="0.3">
      <c r="B2065" s="72">
        <v>43903</v>
      </c>
      <c r="C2065" s="73">
        <v>1756.8</v>
      </c>
      <c r="D2065" s="74">
        <f t="shared" si="65"/>
        <v>-0.37015891226214703</v>
      </c>
      <c r="E2065" s="1">
        <v>-4.7753265759661843E-2</v>
      </c>
      <c r="G2065" s="75">
        <v>2063</v>
      </c>
      <c r="H2065" s="1">
        <f t="shared" ca="1" si="66"/>
        <v>8.2279124588961264E-3</v>
      </c>
    </row>
    <row r="2066" spans="2:8" x14ac:dyDescent="0.3">
      <c r="B2066" s="72">
        <v>44707</v>
      </c>
      <c r="C2066" s="73">
        <v>2789.2750000000001</v>
      </c>
      <c r="D2066" s="74">
        <f t="shared" si="65"/>
        <v>0.11582158215821586</v>
      </c>
      <c r="E2066" s="1">
        <v>-4.8889229877414626E-2</v>
      </c>
      <c r="G2066" s="75">
        <v>2064</v>
      </c>
      <c r="H2066" s="1">
        <f t="shared" ca="1" si="66"/>
        <v>-1.2507827329649784E-2</v>
      </c>
    </row>
    <row r="2067" spans="2:8" x14ac:dyDescent="0.3">
      <c r="B2067" s="72">
        <v>46050</v>
      </c>
      <c r="C2067" s="73">
        <v>2499.75</v>
      </c>
      <c r="D2067" s="74">
        <f t="shared" si="65"/>
        <v>1.166161178509532</v>
      </c>
      <c r="E2067" s="1">
        <v>-5.3250516030071741E-2</v>
      </c>
      <c r="G2067" s="75">
        <v>2065</v>
      </c>
      <c r="H2067" s="1">
        <f t="shared" ca="1" si="66"/>
        <v>1.6735351045808165E-3</v>
      </c>
    </row>
    <row r="2068" spans="2:8" x14ac:dyDescent="0.3">
      <c r="B2068" s="72">
        <v>43396</v>
      </c>
      <c r="C2068" s="73">
        <v>1154</v>
      </c>
      <c r="D2068" s="74">
        <f t="shared" si="65"/>
        <v>-0.26514367587359705</v>
      </c>
      <c r="E2068" s="1">
        <v>-5.3380636958349603E-2</v>
      </c>
      <c r="G2068" s="75">
        <v>2066</v>
      </c>
      <c r="H2068" s="1">
        <f t="shared" ca="1" si="66"/>
        <v>-6.0561604608916153E-3</v>
      </c>
    </row>
    <row r="2069" spans="2:8" x14ac:dyDescent="0.3">
      <c r="B2069" s="72">
        <v>43913</v>
      </c>
      <c r="C2069" s="73">
        <v>1570.375</v>
      </c>
      <c r="D2069" s="74">
        <f t="shared" si="65"/>
        <v>-0.4645201438971579</v>
      </c>
      <c r="E2069" s="1">
        <v>-5.6250845114860448E-2</v>
      </c>
      <c r="G2069" s="75">
        <v>2067</v>
      </c>
      <c r="H2069" s="1">
        <f t="shared" ca="1" si="66"/>
        <v>-2.3882813787477006E-2</v>
      </c>
    </row>
    <row r="2070" spans="2:8" x14ac:dyDescent="0.3">
      <c r="B2070" s="72">
        <v>44706</v>
      </c>
      <c r="C2070" s="73">
        <v>2932.65</v>
      </c>
      <c r="D2070" s="74">
        <f t="shared" si="65"/>
        <v>6.1429463340481515E-2</v>
      </c>
      <c r="E2070" s="1">
        <v>-6.2099733755486712E-2</v>
      </c>
      <c r="G2070" s="75">
        <v>2068</v>
      </c>
      <c r="H2070" s="1">
        <f t="shared" ca="1" si="66"/>
        <v>8.4359109149176846E-3</v>
      </c>
    </row>
    <row r="2071" spans="2:8" x14ac:dyDescent="0.3">
      <c r="B2071" s="72">
        <v>44624</v>
      </c>
      <c r="C2071" s="73">
        <v>2762.9250000000002</v>
      </c>
      <c r="D2071" s="74">
        <f t="shared" si="65"/>
        <v>0.79111226358523901</v>
      </c>
      <c r="E2071" s="1">
        <v>-6.5474378488077051E-2</v>
      </c>
      <c r="G2071" s="75">
        <v>2069</v>
      </c>
      <c r="H2071" s="1">
        <f t="shared" ca="1" si="66"/>
        <v>-1.1897565179397167E-4</v>
      </c>
    </row>
    <row r="2072" spans="2:8" x14ac:dyDescent="0.3">
      <c r="B2072" s="72">
        <v>43909</v>
      </c>
      <c r="C2072" s="73">
        <v>1542.575</v>
      </c>
      <c r="D2072" s="74">
        <f t="shared" si="65"/>
        <v>-0.38358641358641354</v>
      </c>
      <c r="E2072" s="1">
        <v>-8.3587054996955359E-2</v>
      </c>
      <c r="G2072" s="75">
        <v>2070</v>
      </c>
      <c r="H2072" s="1">
        <f t="shared" ca="1" si="66"/>
        <v>2.4836810599877918E-3</v>
      </c>
    </row>
    <row r="2073" spans="2:8" x14ac:dyDescent="0.3">
      <c r="B2073" s="72">
        <v>45608</v>
      </c>
      <c r="C2073" s="73">
        <v>2502.5</v>
      </c>
      <c r="D2073" s="74" t="e">
        <f>(C2073-C2075)/C2075</f>
        <v>#DIV/0!</v>
      </c>
      <c r="E2073" s="1">
        <v>-0.10774770920241018</v>
      </c>
      <c r="G2073" s="75">
        <v>2071</v>
      </c>
      <c r="H2073" s="1">
        <f t="shared" ca="1" si="66"/>
        <v>-7.1302086033101161E-3</v>
      </c>
    </row>
    <row r="2074" spans="2:8" x14ac:dyDescent="0.3">
      <c r="G2074" s="75"/>
    </row>
    <row r="2075" spans="2:8" x14ac:dyDescent="0.3">
      <c r="B2075" s="72"/>
      <c r="C2075" s="73"/>
      <c r="D2075" s="74"/>
      <c r="G2075" s="75"/>
    </row>
    <row r="2076" spans="2:8" x14ac:dyDescent="0.3">
      <c r="B2076" s="72"/>
      <c r="C2076" s="73"/>
      <c r="D2076" s="74"/>
      <c r="G2076" s="75"/>
    </row>
    <row r="2077" spans="2:8" x14ac:dyDescent="0.3">
      <c r="B2077" s="72"/>
      <c r="C2077" s="73"/>
      <c r="D2077" s="74"/>
      <c r="G2077" s="75"/>
    </row>
    <row r="2078" spans="2:8" x14ac:dyDescent="0.3">
      <c r="B2078" s="72"/>
      <c r="C2078" s="73"/>
      <c r="D2078" s="74"/>
      <c r="G2078" s="75"/>
    </row>
    <row r="2079" spans="2:8" x14ac:dyDescent="0.3">
      <c r="B2079" s="72"/>
      <c r="C2079" s="73"/>
      <c r="D2079" s="74"/>
      <c r="G2079" s="75"/>
    </row>
    <row r="2080" spans="2:8" x14ac:dyDescent="0.3">
      <c r="B2080" s="72"/>
      <c r="C2080" s="73"/>
      <c r="D2080" s="74"/>
      <c r="G2080" s="75"/>
    </row>
    <row r="2081" spans="2:7" x14ac:dyDescent="0.3">
      <c r="B2081" s="72"/>
      <c r="C2081" s="73"/>
      <c r="D2081" s="74"/>
      <c r="G2081" s="75"/>
    </row>
    <row r="2082" spans="2:7" x14ac:dyDescent="0.3">
      <c r="B2082" s="72"/>
      <c r="C2082" s="73"/>
      <c r="D2082" s="74"/>
      <c r="G2082" s="75"/>
    </row>
    <row r="2083" spans="2:7" x14ac:dyDescent="0.3">
      <c r="B2083" s="72"/>
      <c r="C2083" s="73"/>
      <c r="D2083" s="74"/>
      <c r="G2083" s="75"/>
    </row>
    <row r="2084" spans="2:7" x14ac:dyDescent="0.3">
      <c r="B2084" s="72"/>
      <c r="C2084" s="73"/>
      <c r="D2084" s="74"/>
      <c r="G2084" s="75"/>
    </row>
    <row r="2085" spans="2:7" x14ac:dyDescent="0.3">
      <c r="B2085" s="72"/>
      <c r="C2085" s="73"/>
      <c r="D2085" s="74"/>
      <c r="G2085" s="75"/>
    </row>
    <row r="2086" spans="2:7" x14ac:dyDescent="0.3">
      <c r="B2086" s="72"/>
      <c r="C2086" s="73"/>
      <c r="D2086" s="74"/>
      <c r="G2086" s="75"/>
    </row>
    <row r="2087" spans="2:7" x14ac:dyDescent="0.3">
      <c r="B2087" s="72"/>
      <c r="C2087" s="73"/>
      <c r="D2087" s="74"/>
      <c r="G2087" s="75"/>
    </row>
    <row r="2088" spans="2:7" x14ac:dyDescent="0.3">
      <c r="B2088" s="72"/>
      <c r="C2088" s="73"/>
      <c r="D2088" s="74"/>
      <c r="G2088" s="75"/>
    </row>
    <row r="2089" spans="2:7" x14ac:dyDescent="0.3">
      <c r="B2089" s="72"/>
      <c r="C2089" s="73"/>
      <c r="D2089" s="74"/>
      <c r="G2089" s="75"/>
    </row>
    <row r="2090" spans="2:7" x14ac:dyDescent="0.3">
      <c r="B2090" s="72"/>
      <c r="C2090" s="73"/>
      <c r="D2090" s="74"/>
      <c r="G2090" s="75"/>
    </row>
    <row r="2091" spans="2:7" x14ac:dyDescent="0.3">
      <c r="B2091" s="72"/>
      <c r="C2091" s="73"/>
      <c r="D2091" s="74"/>
      <c r="G2091" s="75"/>
    </row>
    <row r="2092" spans="2:7" x14ac:dyDescent="0.3">
      <c r="B2092" s="72"/>
      <c r="C2092" s="73"/>
      <c r="D2092" s="74"/>
      <c r="G2092" s="75"/>
    </row>
    <row r="2093" spans="2:7" x14ac:dyDescent="0.3">
      <c r="B2093" s="72"/>
      <c r="C2093" s="73"/>
      <c r="D2093" s="74"/>
      <c r="G2093" s="75"/>
    </row>
    <row r="2094" spans="2:7" x14ac:dyDescent="0.3">
      <c r="B2094" s="72"/>
      <c r="C2094" s="73"/>
      <c r="D2094" s="74"/>
      <c r="G2094" s="75"/>
    </row>
    <row r="2095" spans="2:7" x14ac:dyDescent="0.3">
      <c r="B2095" s="72"/>
      <c r="C2095" s="73"/>
      <c r="D2095" s="74"/>
      <c r="G2095" s="75"/>
    </row>
    <row r="2096" spans="2:7" x14ac:dyDescent="0.3">
      <c r="B2096" s="72"/>
      <c r="C2096" s="73"/>
      <c r="D2096" s="74"/>
      <c r="G2096" s="75"/>
    </row>
    <row r="2097" spans="2:7" x14ac:dyDescent="0.3">
      <c r="B2097" s="72"/>
      <c r="C2097" s="73"/>
      <c r="D2097" s="74"/>
      <c r="G2097" s="75"/>
    </row>
    <row r="2098" spans="2:7" x14ac:dyDescent="0.3">
      <c r="B2098" s="72"/>
      <c r="C2098" s="73"/>
      <c r="D2098" s="74"/>
      <c r="G2098" s="75"/>
    </row>
    <row r="2099" spans="2:7" x14ac:dyDescent="0.3">
      <c r="B2099" s="72"/>
      <c r="C2099" s="73"/>
      <c r="D2099" s="74"/>
      <c r="G2099" s="75"/>
    </row>
    <row r="2100" spans="2:7" x14ac:dyDescent="0.3">
      <c r="B2100" s="72"/>
      <c r="C2100" s="73"/>
      <c r="D2100" s="74"/>
      <c r="G2100" s="75"/>
    </row>
    <row r="2101" spans="2:7" x14ac:dyDescent="0.3">
      <c r="B2101" s="72"/>
      <c r="C2101" s="73"/>
      <c r="D2101" s="74"/>
      <c r="G2101" s="75"/>
    </row>
    <row r="2102" spans="2:7" x14ac:dyDescent="0.3">
      <c r="B2102" s="72"/>
      <c r="C2102" s="73"/>
      <c r="D2102" s="74"/>
      <c r="G2102" s="75"/>
    </row>
    <row r="2103" spans="2:7" x14ac:dyDescent="0.3">
      <c r="B2103" s="72"/>
      <c r="C2103" s="73"/>
      <c r="D2103" s="74"/>
      <c r="G2103" s="75"/>
    </row>
    <row r="2104" spans="2:7" x14ac:dyDescent="0.3">
      <c r="B2104" s="72"/>
      <c r="C2104" s="73"/>
      <c r="D2104" s="74"/>
      <c r="G2104" s="75"/>
    </row>
    <row r="2105" spans="2:7" x14ac:dyDescent="0.3">
      <c r="B2105" s="72"/>
      <c r="C2105" s="73"/>
      <c r="D2105" s="74"/>
      <c r="G2105" s="75"/>
    </row>
    <row r="2106" spans="2:7" x14ac:dyDescent="0.3">
      <c r="B2106" s="72"/>
      <c r="C2106" s="73"/>
      <c r="D2106" s="74"/>
      <c r="G2106" s="75"/>
    </row>
    <row r="2107" spans="2:7" x14ac:dyDescent="0.3">
      <c r="B2107" s="72"/>
      <c r="C2107" s="73"/>
      <c r="D2107" s="74"/>
      <c r="G2107" s="75"/>
    </row>
    <row r="2108" spans="2:7" x14ac:dyDescent="0.3">
      <c r="B2108" s="72"/>
      <c r="C2108" s="73"/>
      <c r="D2108" s="74"/>
      <c r="G2108" s="75"/>
    </row>
    <row r="2109" spans="2:7" x14ac:dyDescent="0.3">
      <c r="B2109" s="72"/>
      <c r="C2109" s="73"/>
      <c r="D2109" s="74"/>
      <c r="G2109" s="75"/>
    </row>
    <row r="2110" spans="2:7" x14ac:dyDescent="0.3">
      <c r="B2110" s="72"/>
      <c r="C2110" s="73"/>
      <c r="D2110" s="74"/>
      <c r="G2110" s="75"/>
    </row>
    <row r="2111" spans="2:7" x14ac:dyDescent="0.3">
      <c r="B2111" s="72"/>
      <c r="C2111" s="73"/>
      <c r="D2111" s="74"/>
      <c r="G2111" s="75"/>
    </row>
    <row r="2112" spans="2:7" x14ac:dyDescent="0.3">
      <c r="B2112" s="72"/>
      <c r="C2112" s="73"/>
      <c r="D2112" s="74"/>
      <c r="G2112" s="75"/>
    </row>
    <row r="2113" spans="2:7" x14ac:dyDescent="0.3">
      <c r="B2113" s="72"/>
      <c r="C2113" s="73"/>
      <c r="D2113" s="74"/>
      <c r="G2113" s="75"/>
    </row>
    <row r="2114" spans="2:7" x14ac:dyDescent="0.3">
      <c r="B2114" s="72"/>
      <c r="C2114" s="73"/>
      <c r="D2114" s="74"/>
      <c r="G2114" s="75"/>
    </row>
    <row r="2115" spans="2:7" x14ac:dyDescent="0.3">
      <c r="B2115" s="72"/>
      <c r="C2115" s="73"/>
      <c r="D2115" s="74"/>
      <c r="G2115" s="75"/>
    </row>
    <row r="2116" spans="2:7" x14ac:dyDescent="0.3">
      <c r="B2116" s="72"/>
      <c r="C2116" s="73"/>
      <c r="D2116" s="74"/>
      <c r="G2116" s="75"/>
    </row>
    <row r="2117" spans="2:7" x14ac:dyDescent="0.3">
      <c r="B2117" s="72"/>
      <c r="C2117" s="73"/>
      <c r="D2117" s="74"/>
      <c r="G2117" s="75"/>
    </row>
    <row r="2118" spans="2:7" x14ac:dyDescent="0.3">
      <c r="B2118" s="72"/>
      <c r="C2118" s="73"/>
      <c r="D2118" s="74"/>
      <c r="G2118" s="75"/>
    </row>
    <row r="2119" spans="2:7" x14ac:dyDescent="0.3">
      <c r="B2119" s="72"/>
      <c r="C2119" s="73"/>
      <c r="D2119" s="74"/>
      <c r="G2119" s="75"/>
    </row>
    <row r="2120" spans="2:7" x14ac:dyDescent="0.3">
      <c r="B2120" s="72"/>
      <c r="C2120" s="73"/>
      <c r="D2120" s="74"/>
      <c r="G2120" s="75"/>
    </row>
    <row r="2121" spans="2:7" x14ac:dyDescent="0.3">
      <c r="B2121" s="72"/>
      <c r="C2121" s="73"/>
      <c r="D2121" s="74"/>
      <c r="G2121" s="75"/>
    </row>
    <row r="2122" spans="2:7" x14ac:dyDescent="0.3">
      <c r="B2122" s="72"/>
      <c r="C2122" s="73"/>
      <c r="D2122" s="74"/>
      <c r="G2122" s="75"/>
    </row>
    <row r="2123" spans="2:7" x14ac:dyDescent="0.3">
      <c r="B2123" s="72"/>
      <c r="C2123" s="73"/>
      <c r="D2123" s="74"/>
      <c r="G2123" s="75"/>
    </row>
    <row r="2124" spans="2:7" x14ac:dyDescent="0.3">
      <c r="B2124" s="72"/>
      <c r="C2124" s="73"/>
      <c r="D2124" s="74"/>
      <c r="G2124" s="75"/>
    </row>
    <row r="2125" spans="2:7" x14ac:dyDescent="0.3">
      <c r="B2125" s="72"/>
      <c r="C2125" s="73"/>
      <c r="D2125" s="74"/>
      <c r="G2125" s="75"/>
    </row>
    <row r="2126" spans="2:7" x14ac:dyDescent="0.3">
      <c r="B2126" s="72"/>
      <c r="C2126" s="73"/>
      <c r="D2126" s="74"/>
      <c r="G2126" s="75"/>
    </row>
    <row r="2127" spans="2:7" x14ac:dyDescent="0.3">
      <c r="B2127" s="72"/>
      <c r="C2127" s="73"/>
      <c r="D2127" s="74"/>
      <c r="G2127" s="75"/>
    </row>
    <row r="2128" spans="2:7" x14ac:dyDescent="0.3">
      <c r="B2128" s="72"/>
      <c r="C2128" s="73"/>
      <c r="D2128" s="74"/>
      <c r="G2128" s="75"/>
    </row>
    <row r="2129" spans="2:7" x14ac:dyDescent="0.3">
      <c r="B2129" s="72"/>
      <c r="C2129" s="73"/>
      <c r="D2129" s="74"/>
      <c r="G2129" s="75"/>
    </row>
    <row r="2130" spans="2:7" x14ac:dyDescent="0.3">
      <c r="B2130" s="72"/>
      <c r="C2130" s="73"/>
      <c r="D2130" s="74"/>
      <c r="G2130" s="75"/>
    </row>
    <row r="2131" spans="2:7" x14ac:dyDescent="0.3">
      <c r="B2131" s="72"/>
      <c r="C2131" s="73"/>
      <c r="D2131" s="74"/>
      <c r="G2131" s="75"/>
    </row>
    <row r="2132" spans="2:7" x14ac:dyDescent="0.3">
      <c r="B2132" s="72"/>
      <c r="C2132" s="73"/>
      <c r="D2132" s="74"/>
      <c r="G2132" s="75"/>
    </row>
    <row r="2133" spans="2:7" x14ac:dyDescent="0.3">
      <c r="B2133" s="72"/>
      <c r="C2133" s="73"/>
      <c r="D2133" s="74"/>
      <c r="G2133" s="75"/>
    </row>
    <row r="2134" spans="2:7" x14ac:dyDescent="0.3">
      <c r="B2134" s="72"/>
      <c r="C2134" s="73"/>
      <c r="D2134" s="74"/>
      <c r="G2134" s="75"/>
    </row>
    <row r="2135" spans="2:7" x14ac:dyDescent="0.3">
      <c r="B2135" s="72"/>
      <c r="C2135" s="73"/>
      <c r="D2135" s="74"/>
      <c r="G2135" s="75"/>
    </row>
    <row r="2136" spans="2:7" x14ac:dyDescent="0.3">
      <c r="B2136" s="72"/>
      <c r="C2136" s="73"/>
      <c r="D2136" s="74"/>
      <c r="G2136" s="75"/>
    </row>
    <row r="2137" spans="2:7" x14ac:dyDescent="0.3">
      <c r="B2137" s="72"/>
      <c r="C2137" s="73"/>
      <c r="D2137" s="74"/>
      <c r="G2137" s="75"/>
    </row>
    <row r="2138" spans="2:7" x14ac:dyDescent="0.3">
      <c r="B2138" s="72"/>
      <c r="C2138" s="73"/>
      <c r="D2138" s="74"/>
      <c r="G2138" s="75"/>
    </row>
    <row r="2139" spans="2:7" x14ac:dyDescent="0.3">
      <c r="B2139" s="72"/>
      <c r="C2139" s="73"/>
      <c r="D2139" s="74"/>
      <c r="G2139" s="75"/>
    </row>
    <row r="2140" spans="2:7" x14ac:dyDescent="0.3">
      <c r="B2140" s="72"/>
      <c r="C2140" s="73"/>
      <c r="D2140" s="74"/>
      <c r="G2140" s="75"/>
    </row>
    <row r="2141" spans="2:7" x14ac:dyDescent="0.3">
      <c r="B2141" s="72"/>
      <c r="C2141" s="73"/>
      <c r="D2141" s="74"/>
      <c r="G2141" s="75"/>
    </row>
    <row r="2142" spans="2:7" x14ac:dyDescent="0.3">
      <c r="B2142" s="72"/>
      <c r="C2142" s="73"/>
      <c r="D2142" s="74"/>
      <c r="G2142" s="75"/>
    </row>
    <row r="2143" spans="2:7" x14ac:dyDescent="0.3">
      <c r="B2143" s="72"/>
      <c r="C2143" s="73"/>
      <c r="D2143" s="74"/>
      <c r="G2143" s="75"/>
    </row>
    <row r="2144" spans="2:7" x14ac:dyDescent="0.3">
      <c r="B2144" s="72"/>
      <c r="C2144" s="73"/>
      <c r="D2144" s="74"/>
      <c r="G2144" s="75"/>
    </row>
    <row r="2145" spans="2:7" x14ac:dyDescent="0.3">
      <c r="B2145" s="72"/>
      <c r="C2145" s="73"/>
      <c r="D2145" s="74"/>
      <c r="G2145" s="75"/>
    </row>
    <row r="2146" spans="2:7" x14ac:dyDescent="0.3">
      <c r="B2146" s="72"/>
      <c r="C2146" s="73"/>
      <c r="D2146" s="74"/>
      <c r="G2146" s="75"/>
    </row>
    <row r="2147" spans="2:7" x14ac:dyDescent="0.3">
      <c r="B2147" s="72"/>
      <c r="C2147" s="73"/>
      <c r="D2147" s="74"/>
      <c r="G2147" s="75"/>
    </row>
    <row r="2148" spans="2:7" x14ac:dyDescent="0.3">
      <c r="B2148" s="72"/>
      <c r="C2148" s="73"/>
      <c r="D2148" s="74"/>
      <c r="G2148" s="75"/>
    </row>
    <row r="2149" spans="2:7" x14ac:dyDescent="0.3">
      <c r="B2149" s="72"/>
      <c r="C2149" s="73"/>
      <c r="D2149" s="74"/>
      <c r="G2149" s="75"/>
    </row>
    <row r="2150" spans="2:7" x14ac:dyDescent="0.3">
      <c r="B2150" s="72"/>
      <c r="C2150" s="73"/>
      <c r="D2150" s="74"/>
      <c r="G2150" s="75"/>
    </row>
    <row r="2151" spans="2:7" x14ac:dyDescent="0.3">
      <c r="B2151" s="72"/>
      <c r="C2151" s="73"/>
      <c r="D2151" s="74"/>
      <c r="G2151" s="75"/>
    </row>
    <row r="2152" spans="2:7" x14ac:dyDescent="0.3">
      <c r="B2152" s="72"/>
      <c r="C2152" s="73"/>
      <c r="D2152" s="74"/>
      <c r="G2152" s="75"/>
    </row>
    <row r="2153" spans="2:7" x14ac:dyDescent="0.3">
      <c r="B2153" s="72"/>
      <c r="C2153" s="73"/>
      <c r="D2153" s="74"/>
      <c r="G2153" s="75"/>
    </row>
    <row r="2154" spans="2:7" x14ac:dyDescent="0.3">
      <c r="B2154" s="72"/>
      <c r="C2154" s="73"/>
      <c r="D2154" s="74"/>
      <c r="G2154" s="75"/>
    </row>
    <row r="2155" spans="2:7" x14ac:dyDescent="0.3">
      <c r="B2155" s="72"/>
      <c r="C2155" s="73"/>
      <c r="D2155" s="74"/>
      <c r="G2155" s="75"/>
    </row>
    <row r="2156" spans="2:7" x14ac:dyDescent="0.3">
      <c r="B2156" s="72"/>
      <c r="C2156" s="73"/>
      <c r="D2156" s="74"/>
      <c r="G2156" s="75"/>
    </row>
    <row r="2157" spans="2:7" x14ac:dyDescent="0.3">
      <c r="B2157" s="72"/>
      <c r="C2157" s="73"/>
      <c r="D2157" s="74"/>
      <c r="G2157" s="75"/>
    </row>
    <row r="2158" spans="2:7" x14ac:dyDescent="0.3">
      <c r="B2158" s="72"/>
      <c r="C2158" s="73"/>
      <c r="D2158" s="74"/>
      <c r="G2158" s="75"/>
    </row>
    <row r="2159" spans="2:7" x14ac:dyDescent="0.3">
      <c r="B2159" s="72"/>
      <c r="C2159" s="73"/>
      <c r="D2159" s="74"/>
      <c r="G2159" s="75"/>
    </row>
    <row r="2160" spans="2:7" x14ac:dyDescent="0.3">
      <c r="B2160" s="72"/>
      <c r="C2160" s="73"/>
      <c r="D2160" s="74"/>
      <c r="G2160" s="75"/>
    </row>
    <row r="2161" spans="2:7" x14ac:dyDescent="0.3">
      <c r="B2161" s="72"/>
      <c r="C2161" s="73"/>
      <c r="D2161" s="74"/>
      <c r="G2161" s="75"/>
    </row>
    <row r="2162" spans="2:7" x14ac:dyDescent="0.3">
      <c r="B2162" s="72"/>
      <c r="C2162" s="73"/>
      <c r="D2162" s="74"/>
      <c r="G2162" s="75"/>
    </row>
    <row r="2163" spans="2:7" x14ac:dyDescent="0.3">
      <c r="B2163" s="72"/>
      <c r="C2163" s="73"/>
      <c r="D2163" s="74"/>
      <c r="G2163" s="75"/>
    </row>
    <row r="2164" spans="2:7" x14ac:dyDescent="0.3">
      <c r="B2164" s="72"/>
      <c r="C2164" s="73"/>
      <c r="D2164" s="74"/>
      <c r="G2164" s="75"/>
    </row>
    <row r="2165" spans="2:7" x14ac:dyDescent="0.3">
      <c r="B2165" s="72"/>
      <c r="C2165" s="73"/>
      <c r="D2165" s="74"/>
      <c r="G2165" s="75"/>
    </row>
    <row r="2166" spans="2:7" x14ac:dyDescent="0.3">
      <c r="B2166" s="72"/>
      <c r="C2166" s="73"/>
      <c r="D2166" s="74"/>
      <c r="G2166" s="75"/>
    </row>
    <row r="2167" spans="2:7" x14ac:dyDescent="0.3">
      <c r="B2167" s="72"/>
      <c r="C2167" s="73"/>
      <c r="D2167" s="74"/>
      <c r="G2167" s="75"/>
    </row>
    <row r="2168" spans="2:7" x14ac:dyDescent="0.3">
      <c r="B2168" s="72"/>
      <c r="C2168" s="73"/>
      <c r="D2168" s="74"/>
      <c r="G2168" s="75"/>
    </row>
    <row r="2169" spans="2:7" x14ac:dyDescent="0.3">
      <c r="B2169" s="72"/>
      <c r="C2169" s="73"/>
      <c r="D2169" s="74"/>
      <c r="G2169" s="75"/>
    </row>
    <row r="2170" spans="2:7" x14ac:dyDescent="0.3">
      <c r="B2170" s="72"/>
      <c r="C2170" s="73"/>
      <c r="D2170" s="74"/>
      <c r="G2170" s="75"/>
    </row>
    <row r="2171" spans="2:7" x14ac:dyDescent="0.3">
      <c r="B2171" s="72"/>
      <c r="C2171" s="73"/>
      <c r="D2171" s="74"/>
      <c r="G2171" s="75"/>
    </row>
    <row r="2172" spans="2:7" x14ac:dyDescent="0.3">
      <c r="B2172" s="72"/>
      <c r="C2172" s="73"/>
      <c r="D2172" s="74"/>
      <c r="G2172" s="75"/>
    </row>
    <row r="2173" spans="2:7" x14ac:dyDescent="0.3">
      <c r="B2173" s="72"/>
      <c r="C2173" s="73"/>
      <c r="D2173" s="74"/>
      <c r="G2173" s="75"/>
    </row>
    <row r="2174" spans="2:7" x14ac:dyDescent="0.3">
      <c r="B2174" s="72"/>
      <c r="C2174" s="73"/>
      <c r="D2174" s="74"/>
      <c r="G2174" s="75"/>
    </row>
    <row r="2175" spans="2:7" x14ac:dyDescent="0.3">
      <c r="B2175" s="72"/>
      <c r="C2175" s="73"/>
      <c r="D2175" s="74"/>
      <c r="G2175" s="75"/>
    </row>
    <row r="2176" spans="2:7" x14ac:dyDescent="0.3">
      <c r="B2176" s="72"/>
      <c r="C2176" s="73"/>
      <c r="D2176" s="74"/>
      <c r="G2176" s="75"/>
    </row>
    <row r="2177" spans="2:7" x14ac:dyDescent="0.3">
      <c r="B2177" s="72"/>
      <c r="C2177" s="73"/>
      <c r="D2177" s="74"/>
      <c r="G2177" s="75"/>
    </row>
    <row r="2178" spans="2:7" x14ac:dyDescent="0.3">
      <c r="B2178" s="72"/>
      <c r="C2178" s="73"/>
      <c r="D2178" s="74"/>
      <c r="G2178" s="75"/>
    </row>
    <row r="2179" spans="2:7" x14ac:dyDescent="0.3">
      <c r="B2179" s="72"/>
      <c r="C2179" s="73"/>
      <c r="D2179" s="74"/>
      <c r="G2179" s="75"/>
    </row>
    <row r="2180" spans="2:7" x14ac:dyDescent="0.3">
      <c r="B2180" s="72"/>
      <c r="C2180" s="73"/>
      <c r="D2180" s="74"/>
      <c r="G2180" s="75"/>
    </row>
    <row r="2181" spans="2:7" x14ac:dyDescent="0.3">
      <c r="B2181" s="72"/>
      <c r="C2181" s="73"/>
      <c r="D2181" s="74"/>
      <c r="G2181" s="75"/>
    </row>
    <row r="2182" spans="2:7" x14ac:dyDescent="0.3">
      <c r="B2182" s="72"/>
      <c r="C2182" s="73"/>
      <c r="D2182" s="74"/>
      <c r="G2182" s="75"/>
    </row>
    <row r="2183" spans="2:7" x14ac:dyDescent="0.3">
      <c r="B2183" s="72"/>
      <c r="C2183" s="73"/>
      <c r="D2183" s="74"/>
      <c r="G2183" s="75"/>
    </row>
    <row r="2184" spans="2:7" x14ac:dyDescent="0.3">
      <c r="B2184" s="72"/>
      <c r="C2184" s="73"/>
      <c r="D2184" s="74"/>
      <c r="G2184" s="75"/>
    </row>
    <row r="2185" spans="2:7" x14ac:dyDescent="0.3">
      <c r="B2185" s="72"/>
      <c r="C2185" s="73"/>
      <c r="D2185" s="74"/>
      <c r="G2185" s="75"/>
    </row>
    <row r="2186" spans="2:7" x14ac:dyDescent="0.3">
      <c r="B2186" s="72"/>
      <c r="C2186" s="73"/>
      <c r="D2186" s="74"/>
      <c r="G2186" s="75"/>
    </row>
    <row r="2187" spans="2:7" x14ac:dyDescent="0.3">
      <c r="B2187" s="72"/>
      <c r="C2187" s="73"/>
      <c r="D2187" s="74"/>
      <c r="G2187" s="75"/>
    </row>
    <row r="2188" spans="2:7" x14ac:dyDescent="0.3">
      <c r="B2188" s="72"/>
      <c r="C2188" s="73"/>
      <c r="D2188" s="74"/>
      <c r="G2188" s="75"/>
    </row>
    <row r="2189" spans="2:7" x14ac:dyDescent="0.3">
      <c r="B2189" s="72"/>
      <c r="C2189" s="73"/>
      <c r="D2189" s="74"/>
      <c r="G2189" s="75"/>
    </row>
    <row r="2190" spans="2:7" x14ac:dyDescent="0.3">
      <c r="B2190" s="72"/>
      <c r="C2190" s="73"/>
      <c r="D2190" s="74"/>
      <c r="G2190" s="75"/>
    </row>
    <row r="2191" spans="2:7" x14ac:dyDescent="0.3">
      <c r="B2191" s="72"/>
      <c r="C2191" s="73"/>
      <c r="D2191" s="74"/>
      <c r="G2191" s="75"/>
    </row>
    <row r="2192" spans="2:7" x14ac:dyDescent="0.3">
      <c r="B2192" s="72"/>
      <c r="C2192" s="73"/>
      <c r="D2192" s="74"/>
      <c r="G2192" s="75"/>
    </row>
    <row r="2193" spans="2:7" x14ac:dyDescent="0.3">
      <c r="B2193" s="72"/>
      <c r="C2193" s="73"/>
      <c r="D2193" s="74"/>
      <c r="G2193" s="75"/>
    </row>
    <row r="2194" spans="2:7" x14ac:dyDescent="0.3">
      <c r="B2194" s="72"/>
      <c r="C2194" s="73"/>
      <c r="D2194" s="74"/>
      <c r="G2194" s="75"/>
    </row>
    <row r="2195" spans="2:7" x14ac:dyDescent="0.3">
      <c r="B2195" s="72"/>
      <c r="C2195" s="73"/>
      <c r="D2195" s="74"/>
      <c r="G2195" s="75"/>
    </row>
    <row r="2196" spans="2:7" x14ac:dyDescent="0.3">
      <c r="B2196" s="72"/>
      <c r="C2196" s="73"/>
      <c r="D2196" s="74"/>
      <c r="G2196" s="75"/>
    </row>
    <row r="2197" spans="2:7" x14ac:dyDescent="0.3">
      <c r="B2197" s="72"/>
      <c r="C2197" s="73"/>
      <c r="D2197" s="74"/>
      <c r="G2197" s="75"/>
    </row>
    <row r="2198" spans="2:7" x14ac:dyDescent="0.3">
      <c r="B2198" s="72"/>
      <c r="C2198" s="73"/>
      <c r="D2198" s="74"/>
      <c r="G2198" s="75"/>
    </row>
    <row r="2199" spans="2:7" x14ac:dyDescent="0.3">
      <c r="B2199" s="72"/>
      <c r="C2199" s="73"/>
      <c r="D2199" s="74"/>
      <c r="G2199" s="75"/>
    </row>
    <row r="2200" spans="2:7" x14ac:dyDescent="0.3">
      <c r="B2200" s="72"/>
      <c r="C2200" s="73"/>
      <c r="D2200" s="74"/>
      <c r="G2200" s="75"/>
    </row>
    <row r="2201" spans="2:7" x14ac:dyDescent="0.3">
      <c r="B2201" s="72"/>
      <c r="C2201" s="73"/>
      <c r="D2201" s="74"/>
      <c r="G2201" s="75"/>
    </row>
    <row r="2202" spans="2:7" x14ac:dyDescent="0.3">
      <c r="B2202" s="72"/>
      <c r="C2202" s="73"/>
      <c r="D2202" s="74"/>
      <c r="G2202" s="75"/>
    </row>
    <row r="2203" spans="2:7" x14ac:dyDescent="0.3">
      <c r="B2203" s="72"/>
      <c r="C2203" s="73"/>
      <c r="D2203" s="74"/>
      <c r="G2203" s="75"/>
    </row>
    <row r="2204" spans="2:7" x14ac:dyDescent="0.3">
      <c r="B2204" s="72"/>
      <c r="C2204" s="73"/>
      <c r="D2204" s="74"/>
      <c r="G2204" s="75"/>
    </row>
    <row r="2205" spans="2:7" x14ac:dyDescent="0.3">
      <c r="B2205" s="72"/>
      <c r="C2205" s="73"/>
      <c r="D2205" s="74"/>
      <c r="G2205" s="75"/>
    </row>
    <row r="2206" spans="2:7" x14ac:dyDescent="0.3">
      <c r="B2206" s="72"/>
      <c r="C2206" s="73"/>
      <c r="D2206" s="74"/>
      <c r="G2206" s="75"/>
    </row>
    <row r="2207" spans="2:7" x14ac:dyDescent="0.3">
      <c r="B2207" s="72"/>
      <c r="C2207" s="73"/>
      <c r="D2207" s="74"/>
      <c r="G2207" s="75"/>
    </row>
    <row r="2208" spans="2:7" x14ac:dyDescent="0.3">
      <c r="B2208" s="72"/>
      <c r="C2208" s="73"/>
      <c r="D2208" s="74"/>
      <c r="G2208" s="75"/>
    </row>
    <row r="2209" spans="2:7" x14ac:dyDescent="0.3">
      <c r="B2209" s="72"/>
      <c r="C2209" s="73"/>
      <c r="D2209" s="74"/>
      <c r="G2209" s="75"/>
    </row>
    <row r="2210" spans="2:7" x14ac:dyDescent="0.3">
      <c r="B2210" s="72"/>
      <c r="C2210" s="73"/>
      <c r="D2210" s="74"/>
      <c r="G2210" s="75"/>
    </row>
    <row r="2211" spans="2:7" x14ac:dyDescent="0.3">
      <c r="B2211" s="72"/>
      <c r="C2211" s="73"/>
      <c r="D2211" s="74"/>
      <c r="G2211" s="75"/>
    </row>
    <row r="2212" spans="2:7" x14ac:dyDescent="0.3">
      <c r="B2212" s="72"/>
      <c r="C2212" s="73"/>
      <c r="D2212" s="74"/>
      <c r="G2212" s="75"/>
    </row>
    <row r="2213" spans="2:7" x14ac:dyDescent="0.3">
      <c r="B2213" s="72"/>
      <c r="C2213" s="73"/>
      <c r="D2213" s="74"/>
      <c r="G2213" s="75"/>
    </row>
    <row r="2214" spans="2:7" x14ac:dyDescent="0.3">
      <c r="B2214" s="72"/>
      <c r="C2214" s="73"/>
      <c r="D2214" s="74"/>
      <c r="G2214" s="75"/>
    </row>
    <row r="2215" spans="2:7" x14ac:dyDescent="0.3">
      <c r="B2215" s="72"/>
      <c r="C2215" s="73"/>
      <c r="D2215" s="74"/>
      <c r="G2215" s="75"/>
    </row>
    <row r="2216" spans="2:7" x14ac:dyDescent="0.3">
      <c r="B2216" s="72"/>
      <c r="C2216" s="73"/>
      <c r="D2216" s="74"/>
      <c r="G2216" s="75"/>
    </row>
    <row r="2217" spans="2:7" x14ac:dyDescent="0.3">
      <c r="B2217" s="72"/>
      <c r="C2217" s="73"/>
      <c r="D2217" s="74"/>
      <c r="G2217" s="75"/>
    </row>
    <row r="2218" spans="2:7" x14ac:dyDescent="0.3">
      <c r="B2218" s="72"/>
      <c r="C2218" s="73"/>
      <c r="D2218" s="74"/>
      <c r="G2218" s="75"/>
    </row>
    <row r="2219" spans="2:7" x14ac:dyDescent="0.3">
      <c r="B2219" s="72"/>
      <c r="C2219" s="73"/>
      <c r="D2219" s="74"/>
      <c r="G2219" s="75"/>
    </row>
    <row r="2220" spans="2:7" x14ac:dyDescent="0.3">
      <c r="B2220" s="72"/>
      <c r="C2220" s="73"/>
      <c r="D2220" s="74"/>
      <c r="G2220" s="75"/>
    </row>
    <row r="2221" spans="2:7" x14ac:dyDescent="0.3">
      <c r="B2221" s="72"/>
      <c r="C2221" s="73"/>
      <c r="D2221" s="74"/>
      <c r="G2221" s="75"/>
    </row>
    <row r="2222" spans="2:7" x14ac:dyDescent="0.3">
      <c r="B2222" s="72"/>
      <c r="C2222" s="73"/>
      <c r="D2222" s="74"/>
      <c r="G2222" s="75"/>
    </row>
    <row r="2223" spans="2:7" x14ac:dyDescent="0.3">
      <c r="B2223" s="72"/>
      <c r="C2223" s="73"/>
      <c r="D2223" s="74"/>
      <c r="G2223" s="75"/>
    </row>
    <row r="2224" spans="2:7" x14ac:dyDescent="0.3">
      <c r="B2224" s="72"/>
      <c r="C2224" s="73"/>
      <c r="D2224" s="74"/>
      <c r="G2224" s="75"/>
    </row>
    <row r="2225" spans="2:7" x14ac:dyDescent="0.3">
      <c r="B2225" s="72"/>
      <c r="C2225" s="73"/>
      <c r="D2225" s="74"/>
      <c r="G2225" s="75"/>
    </row>
    <row r="2226" spans="2:7" x14ac:dyDescent="0.3">
      <c r="B2226" s="72"/>
      <c r="C2226" s="73"/>
      <c r="D2226" s="74"/>
      <c r="G2226" s="75"/>
    </row>
    <row r="2227" spans="2:7" x14ac:dyDescent="0.3">
      <c r="B2227" s="72"/>
      <c r="C2227" s="73"/>
      <c r="D2227" s="74"/>
      <c r="G2227" s="75"/>
    </row>
    <row r="2228" spans="2:7" x14ac:dyDescent="0.3">
      <c r="B2228" s="72"/>
      <c r="C2228" s="73"/>
      <c r="D2228" s="74"/>
      <c r="G2228" s="75"/>
    </row>
    <row r="2229" spans="2:7" x14ac:dyDescent="0.3">
      <c r="B2229" s="72"/>
      <c r="C2229" s="73"/>
      <c r="D2229" s="74"/>
      <c r="G2229" s="75"/>
    </row>
    <row r="2230" spans="2:7" x14ac:dyDescent="0.3">
      <c r="B2230" s="72"/>
      <c r="C2230" s="73"/>
      <c r="D2230" s="74"/>
      <c r="G2230" s="75"/>
    </row>
    <row r="2231" spans="2:7" x14ac:dyDescent="0.3">
      <c r="B2231" s="72"/>
      <c r="C2231" s="73"/>
      <c r="D2231" s="74"/>
      <c r="G2231" s="75"/>
    </row>
    <row r="2232" spans="2:7" x14ac:dyDescent="0.3">
      <c r="B2232" s="72"/>
      <c r="C2232" s="73"/>
      <c r="D2232" s="74"/>
      <c r="G2232" s="75"/>
    </row>
    <row r="2233" spans="2:7" x14ac:dyDescent="0.3">
      <c r="B2233" s="72"/>
      <c r="C2233" s="73"/>
      <c r="D2233" s="74"/>
      <c r="G2233" s="75"/>
    </row>
    <row r="2234" spans="2:7" x14ac:dyDescent="0.3">
      <c r="B2234" s="72"/>
      <c r="C2234" s="73"/>
      <c r="D2234" s="74"/>
      <c r="G2234" s="75"/>
    </row>
    <row r="2235" spans="2:7" x14ac:dyDescent="0.3">
      <c r="B2235" s="72"/>
      <c r="C2235" s="73"/>
      <c r="D2235" s="74"/>
      <c r="G2235" s="75"/>
    </row>
    <row r="2236" spans="2:7" x14ac:dyDescent="0.3">
      <c r="B2236" s="72"/>
      <c r="C2236" s="73"/>
      <c r="D2236" s="74"/>
      <c r="G2236" s="75"/>
    </row>
    <row r="2237" spans="2:7" x14ac:dyDescent="0.3">
      <c r="B2237" s="72"/>
      <c r="C2237" s="73"/>
      <c r="D2237" s="74"/>
      <c r="G2237" s="75"/>
    </row>
    <row r="2238" spans="2:7" x14ac:dyDescent="0.3">
      <c r="B2238" s="72"/>
      <c r="C2238" s="73"/>
      <c r="D2238" s="74"/>
      <c r="G2238" s="75"/>
    </row>
    <row r="2239" spans="2:7" x14ac:dyDescent="0.3">
      <c r="B2239" s="72"/>
      <c r="C2239" s="73"/>
      <c r="D2239" s="74"/>
      <c r="G2239" s="75"/>
    </row>
    <row r="2240" spans="2:7" x14ac:dyDescent="0.3">
      <c r="B2240" s="72"/>
      <c r="C2240" s="73"/>
      <c r="D2240" s="74"/>
      <c r="G2240" s="75"/>
    </row>
    <row r="2241" spans="2:7" x14ac:dyDescent="0.3">
      <c r="B2241" s="72"/>
      <c r="C2241" s="73"/>
      <c r="D2241" s="74"/>
      <c r="G2241" s="75"/>
    </row>
    <row r="2242" spans="2:7" x14ac:dyDescent="0.3">
      <c r="B2242" s="72"/>
      <c r="C2242" s="73"/>
      <c r="D2242" s="74"/>
      <c r="G2242" s="75"/>
    </row>
    <row r="2243" spans="2:7" x14ac:dyDescent="0.3">
      <c r="B2243" s="72"/>
      <c r="C2243" s="73"/>
      <c r="D2243" s="74"/>
      <c r="G2243" s="75"/>
    </row>
    <row r="2244" spans="2:7" x14ac:dyDescent="0.3">
      <c r="B2244" s="72"/>
      <c r="C2244" s="73"/>
      <c r="D2244" s="74"/>
      <c r="G2244" s="75"/>
    </row>
    <row r="2245" spans="2:7" x14ac:dyDescent="0.3">
      <c r="B2245" s="72"/>
      <c r="C2245" s="73"/>
      <c r="D2245" s="74"/>
      <c r="G2245" s="75"/>
    </row>
    <row r="2246" spans="2:7" x14ac:dyDescent="0.3">
      <c r="B2246" s="72"/>
      <c r="C2246" s="73"/>
      <c r="D2246" s="74"/>
      <c r="G2246" s="75"/>
    </row>
    <row r="2247" spans="2:7" x14ac:dyDescent="0.3">
      <c r="B2247" s="72"/>
      <c r="C2247" s="73"/>
      <c r="D2247" s="74"/>
      <c r="G2247" s="75"/>
    </row>
    <row r="2248" spans="2:7" x14ac:dyDescent="0.3">
      <c r="B2248" s="72"/>
      <c r="C2248" s="73"/>
      <c r="D2248" s="74"/>
      <c r="G2248" s="75"/>
    </row>
    <row r="2249" spans="2:7" x14ac:dyDescent="0.3">
      <c r="B2249" s="72"/>
      <c r="C2249" s="73"/>
      <c r="D2249" s="74"/>
      <c r="G2249" s="75"/>
    </row>
    <row r="2250" spans="2:7" x14ac:dyDescent="0.3">
      <c r="B2250" s="72"/>
      <c r="C2250" s="73"/>
      <c r="D2250" s="74"/>
      <c r="G2250" s="75"/>
    </row>
    <row r="2251" spans="2:7" x14ac:dyDescent="0.3">
      <c r="B2251" s="72"/>
      <c r="C2251" s="73"/>
      <c r="D2251" s="74"/>
      <c r="G2251" s="75"/>
    </row>
    <row r="2252" spans="2:7" x14ac:dyDescent="0.3">
      <c r="B2252" s="72"/>
      <c r="C2252" s="73"/>
      <c r="D2252" s="74"/>
      <c r="G2252" s="75"/>
    </row>
    <row r="2253" spans="2:7" x14ac:dyDescent="0.3">
      <c r="B2253" s="72"/>
      <c r="C2253" s="73"/>
      <c r="D2253" s="74"/>
      <c r="G2253" s="75"/>
    </row>
    <row r="2254" spans="2:7" x14ac:dyDescent="0.3">
      <c r="B2254" s="72"/>
      <c r="C2254" s="73"/>
      <c r="D2254" s="74"/>
      <c r="G2254" s="75"/>
    </row>
    <row r="2255" spans="2:7" x14ac:dyDescent="0.3">
      <c r="B2255" s="72"/>
      <c r="C2255" s="73"/>
      <c r="D2255" s="74"/>
      <c r="G2255" s="75"/>
    </row>
    <row r="2256" spans="2:7" x14ac:dyDescent="0.3">
      <c r="B2256" s="72"/>
      <c r="C2256" s="73"/>
      <c r="D2256" s="74"/>
      <c r="G2256" s="75"/>
    </row>
    <row r="2257" spans="2:7" x14ac:dyDescent="0.3">
      <c r="B2257" s="72"/>
      <c r="C2257" s="73"/>
      <c r="D2257" s="74"/>
      <c r="G2257" s="75"/>
    </row>
    <row r="2258" spans="2:7" x14ac:dyDescent="0.3">
      <c r="B2258" s="72"/>
      <c r="C2258" s="73"/>
      <c r="D2258" s="74"/>
      <c r="G2258" s="75"/>
    </row>
    <row r="2259" spans="2:7" x14ac:dyDescent="0.3">
      <c r="B2259" s="72"/>
      <c r="C2259" s="73"/>
      <c r="D2259" s="74"/>
      <c r="G2259" s="75"/>
    </row>
    <row r="2260" spans="2:7" x14ac:dyDescent="0.3">
      <c r="B2260" s="72"/>
      <c r="C2260" s="73"/>
      <c r="D2260" s="74"/>
      <c r="G2260" s="75"/>
    </row>
    <row r="2261" spans="2:7" x14ac:dyDescent="0.3">
      <c r="B2261" s="72"/>
      <c r="C2261" s="73"/>
      <c r="D2261" s="74"/>
      <c r="G2261" s="75"/>
    </row>
    <row r="2262" spans="2:7" x14ac:dyDescent="0.3">
      <c r="B2262" s="72"/>
      <c r="C2262" s="73"/>
      <c r="D2262" s="74"/>
      <c r="G2262" s="75"/>
    </row>
    <row r="2263" spans="2:7" x14ac:dyDescent="0.3">
      <c r="B2263" s="72"/>
      <c r="C2263" s="73"/>
      <c r="D2263" s="74"/>
      <c r="G2263" s="75"/>
    </row>
    <row r="2264" spans="2:7" x14ac:dyDescent="0.3">
      <c r="B2264" s="72"/>
      <c r="C2264" s="73"/>
      <c r="D2264" s="74"/>
      <c r="G2264" s="75"/>
    </row>
    <row r="2265" spans="2:7" x14ac:dyDescent="0.3">
      <c r="B2265" s="72"/>
      <c r="C2265" s="73"/>
      <c r="D2265" s="74"/>
      <c r="G2265" s="75"/>
    </row>
    <row r="2266" spans="2:7" x14ac:dyDescent="0.3">
      <c r="B2266" s="72"/>
      <c r="C2266" s="73"/>
      <c r="D2266" s="74"/>
      <c r="G2266" s="75"/>
    </row>
    <row r="2267" spans="2:7" x14ac:dyDescent="0.3">
      <c r="B2267" s="72"/>
      <c r="C2267" s="73"/>
      <c r="D2267" s="74"/>
      <c r="G2267" s="75"/>
    </row>
    <row r="2268" spans="2:7" x14ac:dyDescent="0.3">
      <c r="B2268" s="72"/>
      <c r="C2268" s="73"/>
      <c r="D2268" s="74"/>
      <c r="G2268" s="75"/>
    </row>
    <row r="2269" spans="2:7" x14ac:dyDescent="0.3">
      <c r="B2269" s="72"/>
      <c r="C2269" s="73"/>
      <c r="D2269" s="74"/>
      <c r="G2269" s="75"/>
    </row>
    <row r="2270" spans="2:7" x14ac:dyDescent="0.3">
      <c r="B2270" s="72"/>
      <c r="C2270" s="73"/>
      <c r="D2270" s="74"/>
      <c r="G2270" s="75"/>
    </row>
    <row r="2271" spans="2:7" x14ac:dyDescent="0.3">
      <c r="B2271" s="72"/>
      <c r="C2271" s="73"/>
      <c r="D2271" s="74"/>
      <c r="G2271" s="75"/>
    </row>
    <row r="2272" spans="2:7" x14ac:dyDescent="0.3">
      <c r="B2272" s="72"/>
      <c r="C2272" s="73"/>
      <c r="D2272" s="74"/>
      <c r="G2272" s="75"/>
    </row>
    <row r="2273" spans="2:7" x14ac:dyDescent="0.3">
      <c r="B2273" s="72"/>
      <c r="C2273" s="73"/>
      <c r="D2273" s="74"/>
      <c r="G2273" s="75"/>
    </row>
    <row r="2274" spans="2:7" x14ac:dyDescent="0.3">
      <c r="B2274" s="72"/>
      <c r="C2274" s="73"/>
      <c r="D2274" s="74"/>
      <c r="G2274" s="75"/>
    </row>
    <row r="2275" spans="2:7" x14ac:dyDescent="0.3">
      <c r="B2275" s="72"/>
      <c r="C2275" s="73"/>
      <c r="D2275" s="74"/>
      <c r="G2275" s="75"/>
    </row>
    <row r="2276" spans="2:7" x14ac:dyDescent="0.3">
      <c r="B2276" s="72"/>
      <c r="C2276" s="73"/>
      <c r="D2276" s="74"/>
      <c r="G2276" s="75"/>
    </row>
    <row r="2277" spans="2:7" x14ac:dyDescent="0.3">
      <c r="B2277" s="72"/>
      <c r="C2277" s="73"/>
      <c r="D2277" s="74"/>
      <c r="G2277" s="75"/>
    </row>
    <row r="2278" spans="2:7" x14ac:dyDescent="0.3">
      <c r="B2278" s="72"/>
      <c r="C2278" s="73"/>
      <c r="D2278" s="74"/>
      <c r="G2278" s="75"/>
    </row>
    <row r="2279" spans="2:7" x14ac:dyDescent="0.3">
      <c r="B2279" s="72"/>
      <c r="C2279" s="73"/>
      <c r="D2279" s="74"/>
      <c r="G2279" s="75"/>
    </row>
    <row r="2280" spans="2:7" x14ac:dyDescent="0.3">
      <c r="B2280" s="72"/>
      <c r="C2280" s="73"/>
      <c r="D2280" s="74"/>
      <c r="G2280" s="75"/>
    </row>
    <row r="2281" spans="2:7" x14ac:dyDescent="0.3">
      <c r="B2281" s="72"/>
      <c r="C2281" s="73"/>
      <c r="D2281" s="74"/>
      <c r="G2281" s="75"/>
    </row>
    <row r="2282" spans="2:7" x14ac:dyDescent="0.3">
      <c r="B2282" s="72"/>
      <c r="C2282" s="73"/>
      <c r="D2282" s="74"/>
      <c r="G2282" s="75"/>
    </row>
    <row r="2283" spans="2:7" x14ac:dyDescent="0.3">
      <c r="B2283" s="72"/>
      <c r="C2283" s="73"/>
      <c r="D2283" s="74"/>
      <c r="G2283" s="75"/>
    </row>
    <row r="2284" spans="2:7" x14ac:dyDescent="0.3">
      <c r="B2284" s="72"/>
      <c r="C2284" s="73"/>
      <c r="D2284" s="74"/>
      <c r="G2284" s="75"/>
    </row>
    <row r="2285" spans="2:7" x14ac:dyDescent="0.3">
      <c r="B2285" s="72"/>
      <c r="C2285" s="73"/>
      <c r="D2285" s="74"/>
      <c r="G2285" s="75"/>
    </row>
    <row r="2286" spans="2:7" x14ac:dyDescent="0.3">
      <c r="B2286" s="72"/>
      <c r="C2286" s="73"/>
      <c r="D2286" s="74"/>
      <c r="G2286" s="75"/>
    </row>
    <row r="2287" spans="2:7" x14ac:dyDescent="0.3">
      <c r="B2287" s="72"/>
      <c r="C2287" s="73"/>
      <c r="D2287" s="74"/>
      <c r="G2287" s="75"/>
    </row>
    <row r="2288" spans="2:7" x14ac:dyDescent="0.3">
      <c r="B2288" s="72"/>
      <c r="C2288" s="73"/>
      <c r="D2288" s="74"/>
      <c r="G2288" s="75"/>
    </row>
    <row r="2289" spans="2:7" x14ac:dyDescent="0.3">
      <c r="B2289" s="72"/>
      <c r="C2289" s="73"/>
      <c r="D2289" s="74"/>
      <c r="G2289" s="75"/>
    </row>
    <row r="2290" spans="2:7" x14ac:dyDescent="0.3">
      <c r="B2290" s="72"/>
      <c r="C2290" s="73"/>
      <c r="D2290" s="74"/>
      <c r="G2290" s="75"/>
    </row>
    <row r="2291" spans="2:7" x14ac:dyDescent="0.3">
      <c r="B2291" s="72"/>
      <c r="C2291" s="73"/>
      <c r="D2291" s="74"/>
      <c r="G2291" s="75"/>
    </row>
    <row r="2292" spans="2:7" x14ac:dyDescent="0.3">
      <c r="B2292" s="72"/>
      <c r="C2292" s="73"/>
      <c r="D2292" s="74"/>
      <c r="G2292" s="75"/>
    </row>
    <row r="2293" spans="2:7" x14ac:dyDescent="0.3">
      <c r="B2293" s="72"/>
      <c r="C2293" s="73"/>
      <c r="D2293" s="74"/>
      <c r="G2293" s="75"/>
    </row>
    <row r="2294" spans="2:7" x14ac:dyDescent="0.3">
      <c r="B2294" s="72"/>
      <c r="C2294" s="73"/>
      <c r="D2294" s="74"/>
      <c r="G2294" s="75"/>
    </row>
    <row r="2295" spans="2:7" x14ac:dyDescent="0.3">
      <c r="B2295" s="72"/>
      <c r="C2295" s="73"/>
      <c r="D2295" s="74"/>
      <c r="G2295" s="75"/>
    </row>
    <row r="2296" spans="2:7" x14ac:dyDescent="0.3">
      <c r="B2296" s="72"/>
      <c r="C2296" s="73"/>
      <c r="D2296" s="74"/>
      <c r="G2296" s="75"/>
    </row>
    <row r="2297" spans="2:7" x14ac:dyDescent="0.3">
      <c r="B2297" s="72"/>
      <c r="C2297" s="73"/>
      <c r="D2297" s="74"/>
      <c r="G2297" s="75"/>
    </row>
    <row r="2298" spans="2:7" x14ac:dyDescent="0.3">
      <c r="B2298" s="72"/>
      <c r="C2298" s="73"/>
      <c r="D2298" s="74"/>
      <c r="G2298" s="75"/>
    </row>
    <row r="2299" spans="2:7" x14ac:dyDescent="0.3">
      <c r="B2299" s="72"/>
      <c r="C2299" s="73"/>
      <c r="D2299" s="74"/>
      <c r="G2299" s="75"/>
    </row>
    <row r="2300" spans="2:7" x14ac:dyDescent="0.3">
      <c r="B2300" s="72"/>
      <c r="C2300" s="73"/>
      <c r="D2300" s="74"/>
      <c r="G2300" s="75"/>
    </row>
    <row r="2301" spans="2:7" x14ac:dyDescent="0.3">
      <c r="B2301" s="72"/>
      <c r="C2301" s="73"/>
      <c r="D2301" s="74"/>
      <c r="G2301" s="75"/>
    </row>
    <row r="2302" spans="2:7" x14ac:dyDescent="0.3">
      <c r="B2302" s="72"/>
      <c r="C2302" s="73"/>
      <c r="D2302" s="74"/>
      <c r="G2302" s="75"/>
    </row>
    <row r="2303" spans="2:7" x14ac:dyDescent="0.3">
      <c r="B2303" s="72"/>
      <c r="C2303" s="73"/>
      <c r="D2303" s="74"/>
      <c r="G2303" s="75"/>
    </row>
    <row r="2304" spans="2:7" x14ac:dyDescent="0.3">
      <c r="B2304" s="72"/>
      <c r="C2304" s="73"/>
      <c r="D2304" s="74"/>
      <c r="G2304" s="75"/>
    </row>
    <row r="2305" spans="2:7" x14ac:dyDescent="0.3">
      <c r="B2305" s="72"/>
      <c r="C2305" s="73"/>
      <c r="D2305" s="74"/>
      <c r="G2305" s="75"/>
    </row>
    <row r="2306" spans="2:7" x14ac:dyDescent="0.3">
      <c r="B2306" s="72"/>
      <c r="C2306" s="73"/>
      <c r="D2306" s="74"/>
      <c r="G2306" s="75"/>
    </row>
    <row r="2307" spans="2:7" x14ac:dyDescent="0.3">
      <c r="B2307" s="72"/>
      <c r="C2307" s="73"/>
      <c r="D2307" s="74"/>
      <c r="G2307" s="75"/>
    </row>
    <row r="2308" spans="2:7" x14ac:dyDescent="0.3">
      <c r="B2308" s="72"/>
      <c r="C2308" s="73"/>
      <c r="D2308" s="74"/>
      <c r="G2308" s="75"/>
    </row>
    <row r="2309" spans="2:7" x14ac:dyDescent="0.3">
      <c r="B2309" s="72"/>
      <c r="C2309" s="73"/>
      <c r="D2309" s="74"/>
      <c r="G2309" s="75"/>
    </row>
    <row r="2310" spans="2:7" x14ac:dyDescent="0.3">
      <c r="B2310" s="72"/>
      <c r="C2310" s="73"/>
      <c r="D2310" s="74"/>
      <c r="G2310" s="75"/>
    </row>
    <row r="2311" spans="2:7" x14ac:dyDescent="0.3">
      <c r="B2311" s="72"/>
      <c r="C2311" s="73"/>
      <c r="D2311" s="74"/>
      <c r="G2311" s="75"/>
    </row>
    <row r="2312" spans="2:7" x14ac:dyDescent="0.3">
      <c r="B2312" s="72"/>
      <c r="C2312" s="73"/>
      <c r="D2312" s="74"/>
      <c r="G2312" s="75"/>
    </row>
    <row r="2313" spans="2:7" x14ac:dyDescent="0.3">
      <c r="B2313" s="72"/>
      <c r="C2313" s="73"/>
      <c r="D2313" s="74"/>
      <c r="G2313" s="75"/>
    </row>
    <row r="2314" spans="2:7" x14ac:dyDescent="0.3">
      <c r="B2314" s="72"/>
      <c r="C2314" s="73"/>
      <c r="D2314" s="74"/>
      <c r="G2314" s="75"/>
    </row>
    <row r="2315" spans="2:7" x14ac:dyDescent="0.3">
      <c r="B2315" s="72"/>
      <c r="C2315" s="73"/>
      <c r="D2315" s="74"/>
      <c r="G2315" s="75"/>
    </row>
    <row r="2316" spans="2:7" x14ac:dyDescent="0.3">
      <c r="B2316" s="72"/>
      <c r="C2316" s="73"/>
      <c r="D2316" s="74"/>
      <c r="G2316" s="75"/>
    </row>
    <row r="2317" spans="2:7" x14ac:dyDescent="0.3">
      <c r="B2317" s="72"/>
      <c r="C2317" s="73"/>
      <c r="D2317" s="74"/>
      <c r="G2317" s="75"/>
    </row>
    <row r="2318" spans="2:7" x14ac:dyDescent="0.3">
      <c r="B2318" s="72"/>
      <c r="C2318" s="73"/>
      <c r="D2318" s="74"/>
      <c r="G2318" s="75"/>
    </row>
    <row r="2319" spans="2:7" x14ac:dyDescent="0.3">
      <c r="B2319" s="72"/>
      <c r="C2319" s="73"/>
      <c r="D2319" s="74"/>
      <c r="G2319" s="75"/>
    </row>
    <row r="2320" spans="2:7" x14ac:dyDescent="0.3">
      <c r="G2320" s="75"/>
    </row>
    <row r="2321" spans="2:7" x14ac:dyDescent="0.3">
      <c r="B2321" s="72"/>
    </row>
    <row r="2322" spans="2:7" x14ac:dyDescent="0.3">
      <c r="B2322" s="72"/>
      <c r="G2322" s="75"/>
    </row>
    <row r="2323" spans="2:7" x14ac:dyDescent="0.3">
      <c r="B2323" s="72"/>
      <c r="C2323" s="73"/>
      <c r="D2323" s="74"/>
      <c r="G2323" s="75"/>
    </row>
    <row r="2324" spans="2:7" x14ac:dyDescent="0.3">
      <c r="B2324" s="72"/>
      <c r="C2324" s="73"/>
      <c r="D2324" s="74"/>
      <c r="G2324" s="75"/>
    </row>
    <row r="2325" spans="2:7" x14ac:dyDescent="0.3">
      <c r="B2325" s="72"/>
      <c r="C2325" s="73"/>
      <c r="D2325" s="74"/>
      <c r="G2325" s="75"/>
    </row>
    <row r="2326" spans="2:7" x14ac:dyDescent="0.3">
      <c r="B2326" s="72"/>
      <c r="C2326" s="73"/>
      <c r="D2326" s="74"/>
      <c r="G2326" s="75"/>
    </row>
    <row r="2327" spans="2:7" x14ac:dyDescent="0.3">
      <c r="B2327" s="72"/>
      <c r="C2327" s="73"/>
      <c r="D2327" s="74"/>
      <c r="G2327" s="75"/>
    </row>
    <row r="2328" spans="2:7" x14ac:dyDescent="0.3">
      <c r="B2328" s="72"/>
      <c r="C2328" s="73"/>
      <c r="D2328" s="74"/>
      <c r="G2328" s="75"/>
    </row>
    <row r="2329" spans="2:7" x14ac:dyDescent="0.3">
      <c r="B2329" s="72"/>
      <c r="C2329" s="73"/>
      <c r="D2329" s="74"/>
      <c r="G2329" s="75"/>
    </row>
    <row r="2330" spans="2:7" x14ac:dyDescent="0.3">
      <c r="B2330" s="72"/>
      <c r="C2330" s="73"/>
      <c r="D2330" s="74"/>
      <c r="G2330" s="75"/>
    </row>
    <row r="2331" spans="2:7" x14ac:dyDescent="0.3">
      <c r="B2331" s="72"/>
      <c r="C2331" s="73"/>
      <c r="D2331" s="74"/>
      <c r="G2331" s="75"/>
    </row>
    <row r="2332" spans="2:7" x14ac:dyDescent="0.3">
      <c r="B2332" s="72"/>
      <c r="C2332" s="73"/>
      <c r="D2332" s="74"/>
      <c r="G2332" s="75"/>
    </row>
    <row r="2333" spans="2:7" x14ac:dyDescent="0.3">
      <c r="B2333" s="72"/>
      <c r="C2333" s="73"/>
      <c r="D2333" s="74"/>
      <c r="G2333" s="75"/>
    </row>
    <row r="2334" spans="2:7" x14ac:dyDescent="0.3">
      <c r="B2334" s="72"/>
      <c r="C2334" s="73"/>
      <c r="D2334" s="74"/>
      <c r="G2334" s="75"/>
    </row>
    <row r="2335" spans="2:7" x14ac:dyDescent="0.3">
      <c r="B2335" s="72"/>
      <c r="C2335" s="73"/>
      <c r="D2335" s="74"/>
      <c r="G2335" s="75"/>
    </row>
    <row r="2336" spans="2:7" x14ac:dyDescent="0.3">
      <c r="B2336" s="72"/>
      <c r="C2336" s="73"/>
      <c r="D2336" s="74"/>
      <c r="G2336" s="75"/>
    </row>
    <row r="2337" spans="2:7" x14ac:dyDescent="0.3">
      <c r="B2337" s="72"/>
      <c r="C2337" s="73"/>
      <c r="D2337" s="74"/>
      <c r="G2337" s="75"/>
    </row>
    <row r="2338" spans="2:7" x14ac:dyDescent="0.3">
      <c r="B2338" s="72"/>
      <c r="C2338" s="73"/>
      <c r="D2338" s="74"/>
      <c r="G2338" s="75"/>
    </row>
    <row r="2339" spans="2:7" x14ac:dyDescent="0.3">
      <c r="B2339" s="72"/>
      <c r="C2339" s="73"/>
      <c r="D2339" s="74"/>
      <c r="G2339" s="75"/>
    </row>
    <row r="2340" spans="2:7" x14ac:dyDescent="0.3">
      <c r="B2340" s="72"/>
      <c r="C2340" s="73"/>
      <c r="D2340" s="74"/>
      <c r="G2340" s="75"/>
    </row>
    <row r="2341" spans="2:7" x14ac:dyDescent="0.3">
      <c r="B2341" s="72"/>
      <c r="C2341" s="73"/>
      <c r="D2341" s="74"/>
      <c r="G2341" s="75"/>
    </row>
    <row r="2342" spans="2:7" x14ac:dyDescent="0.3">
      <c r="B2342" s="72"/>
      <c r="C2342" s="73"/>
      <c r="D2342" s="74"/>
      <c r="G2342" s="75"/>
    </row>
    <row r="2343" spans="2:7" x14ac:dyDescent="0.3">
      <c r="B2343" s="72"/>
      <c r="C2343" s="73"/>
      <c r="D2343" s="74"/>
      <c r="G2343" s="75"/>
    </row>
    <row r="2344" spans="2:7" x14ac:dyDescent="0.3">
      <c r="B2344" s="72"/>
      <c r="C2344" s="73"/>
      <c r="D2344" s="74"/>
      <c r="G2344" s="75"/>
    </row>
    <row r="2345" spans="2:7" x14ac:dyDescent="0.3">
      <c r="B2345" s="72"/>
      <c r="C2345" s="73"/>
      <c r="D2345" s="74"/>
      <c r="G2345" s="75"/>
    </row>
    <row r="2346" spans="2:7" x14ac:dyDescent="0.3">
      <c r="B2346" s="72"/>
      <c r="C2346" s="73"/>
      <c r="D2346" s="74"/>
      <c r="G2346" s="75"/>
    </row>
    <row r="2347" spans="2:7" x14ac:dyDescent="0.3">
      <c r="B2347" s="72"/>
      <c r="C2347" s="73"/>
      <c r="D2347" s="74"/>
      <c r="G2347" s="75"/>
    </row>
    <row r="2348" spans="2:7" x14ac:dyDescent="0.3">
      <c r="B2348" s="72"/>
      <c r="C2348" s="73"/>
      <c r="D2348" s="74"/>
      <c r="G2348" s="75"/>
    </row>
    <row r="2349" spans="2:7" x14ac:dyDescent="0.3">
      <c r="B2349" s="72"/>
      <c r="C2349" s="73"/>
      <c r="D2349" s="74"/>
      <c r="G2349" s="75"/>
    </row>
    <row r="2350" spans="2:7" x14ac:dyDescent="0.3">
      <c r="B2350" s="72"/>
      <c r="C2350" s="73"/>
      <c r="D2350" s="74"/>
      <c r="G2350" s="75"/>
    </row>
    <row r="2351" spans="2:7" x14ac:dyDescent="0.3">
      <c r="B2351" s="72"/>
      <c r="C2351" s="73"/>
      <c r="D2351" s="74"/>
      <c r="G2351" s="75"/>
    </row>
    <row r="2352" spans="2:7" x14ac:dyDescent="0.3">
      <c r="B2352" s="72"/>
      <c r="C2352" s="73"/>
      <c r="D2352" s="74"/>
      <c r="G2352" s="75"/>
    </row>
    <row r="2353" spans="2:7" x14ac:dyDescent="0.3">
      <c r="B2353" s="72"/>
      <c r="C2353" s="73"/>
      <c r="D2353" s="74"/>
      <c r="G2353" s="75"/>
    </row>
    <row r="2354" spans="2:7" x14ac:dyDescent="0.3">
      <c r="B2354" s="72"/>
      <c r="C2354" s="73"/>
      <c r="D2354" s="74"/>
      <c r="G2354" s="75"/>
    </row>
    <row r="2355" spans="2:7" x14ac:dyDescent="0.3">
      <c r="B2355" s="72"/>
      <c r="C2355" s="73"/>
      <c r="D2355" s="74"/>
      <c r="G2355" s="75"/>
    </row>
    <row r="2356" spans="2:7" x14ac:dyDescent="0.3">
      <c r="B2356" s="72"/>
      <c r="C2356" s="73"/>
      <c r="D2356" s="74"/>
      <c r="G2356" s="75"/>
    </row>
    <row r="2357" spans="2:7" x14ac:dyDescent="0.3">
      <c r="B2357" s="72"/>
      <c r="C2357" s="73"/>
      <c r="D2357" s="74"/>
      <c r="G2357" s="75"/>
    </row>
    <row r="2358" spans="2:7" x14ac:dyDescent="0.3">
      <c r="B2358" s="72"/>
      <c r="C2358" s="73"/>
      <c r="D2358" s="74"/>
      <c r="G2358" s="75"/>
    </row>
    <row r="2359" spans="2:7" x14ac:dyDescent="0.3">
      <c r="B2359" s="72"/>
      <c r="C2359" s="73"/>
      <c r="D2359" s="74"/>
      <c r="G2359" s="75"/>
    </row>
    <row r="2360" spans="2:7" x14ac:dyDescent="0.3">
      <c r="B2360" s="72"/>
      <c r="C2360" s="73"/>
      <c r="D2360" s="74"/>
      <c r="G2360" s="75"/>
    </row>
    <row r="2361" spans="2:7" x14ac:dyDescent="0.3">
      <c r="B2361" s="72"/>
      <c r="C2361" s="73"/>
      <c r="D2361" s="74"/>
      <c r="G2361" s="75"/>
    </row>
    <row r="2362" spans="2:7" x14ac:dyDescent="0.3">
      <c r="B2362" s="72"/>
      <c r="C2362" s="73"/>
      <c r="D2362" s="74"/>
      <c r="G2362" s="75"/>
    </row>
    <row r="2363" spans="2:7" x14ac:dyDescent="0.3">
      <c r="B2363" s="72"/>
      <c r="C2363" s="73"/>
      <c r="D2363" s="74"/>
      <c r="G2363" s="75"/>
    </row>
    <row r="2364" spans="2:7" x14ac:dyDescent="0.3">
      <c r="B2364" s="72"/>
      <c r="C2364" s="73"/>
      <c r="D2364" s="74"/>
      <c r="G2364" s="75"/>
    </row>
    <row r="2365" spans="2:7" x14ac:dyDescent="0.3">
      <c r="B2365" s="72"/>
      <c r="C2365" s="73"/>
      <c r="D2365" s="74"/>
      <c r="G2365" s="75"/>
    </row>
    <row r="2366" spans="2:7" x14ac:dyDescent="0.3">
      <c r="B2366" s="72"/>
      <c r="C2366" s="73"/>
      <c r="D2366" s="74"/>
      <c r="G2366" s="75"/>
    </row>
    <row r="2367" spans="2:7" x14ac:dyDescent="0.3">
      <c r="B2367" s="72"/>
      <c r="C2367" s="73"/>
      <c r="D2367" s="74"/>
      <c r="G2367" s="75"/>
    </row>
    <row r="2368" spans="2:7" x14ac:dyDescent="0.3">
      <c r="B2368" s="72"/>
      <c r="C2368" s="73"/>
      <c r="D2368" s="74"/>
      <c r="G2368" s="75"/>
    </row>
    <row r="2369" spans="2:7" x14ac:dyDescent="0.3">
      <c r="B2369" s="72"/>
      <c r="C2369" s="73"/>
      <c r="D2369" s="74"/>
      <c r="G2369" s="75"/>
    </row>
    <row r="2370" spans="2:7" x14ac:dyDescent="0.3">
      <c r="B2370" s="72"/>
      <c r="C2370" s="73"/>
      <c r="D2370" s="74"/>
      <c r="G2370" s="75"/>
    </row>
    <row r="2371" spans="2:7" x14ac:dyDescent="0.3">
      <c r="B2371" s="72"/>
      <c r="C2371" s="73"/>
      <c r="D2371" s="74"/>
      <c r="G2371" s="75"/>
    </row>
    <row r="2372" spans="2:7" x14ac:dyDescent="0.3">
      <c r="B2372" s="72"/>
      <c r="C2372" s="73"/>
      <c r="D2372" s="74"/>
      <c r="G2372" s="75"/>
    </row>
    <row r="2373" spans="2:7" x14ac:dyDescent="0.3">
      <c r="B2373" s="72"/>
      <c r="C2373" s="73"/>
      <c r="D2373" s="74"/>
      <c r="G2373" s="75"/>
    </row>
    <row r="2374" spans="2:7" x14ac:dyDescent="0.3">
      <c r="B2374" s="72"/>
      <c r="C2374" s="73"/>
      <c r="D2374" s="74"/>
      <c r="G2374" s="75"/>
    </row>
    <row r="2375" spans="2:7" x14ac:dyDescent="0.3">
      <c r="B2375" s="72"/>
      <c r="C2375" s="73"/>
      <c r="D2375" s="74"/>
      <c r="G2375" s="75"/>
    </row>
    <row r="2376" spans="2:7" x14ac:dyDescent="0.3">
      <c r="B2376" s="72"/>
      <c r="C2376" s="73"/>
      <c r="D2376" s="74"/>
      <c r="G2376" s="75"/>
    </row>
    <row r="2377" spans="2:7" x14ac:dyDescent="0.3">
      <c r="B2377" s="72"/>
      <c r="C2377" s="73"/>
      <c r="D2377" s="74"/>
      <c r="G2377" s="75"/>
    </row>
    <row r="2378" spans="2:7" x14ac:dyDescent="0.3">
      <c r="B2378" s="72"/>
      <c r="C2378" s="73"/>
      <c r="D2378" s="74"/>
      <c r="G2378" s="75"/>
    </row>
    <row r="2379" spans="2:7" x14ac:dyDescent="0.3">
      <c r="B2379" s="72"/>
      <c r="C2379" s="73"/>
      <c r="D2379" s="74"/>
      <c r="G2379" s="75"/>
    </row>
    <row r="2380" spans="2:7" x14ac:dyDescent="0.3">
      <c r="B2380" s="72"/>
      <c r="C2380" s="73"/>
      <c r="D2380" s="74"/>
      <c r="G2380" s="75"/>
    </row>
    <row r="2381" spans="2:7" x14ac:dyDescent="0.3">
      <c r="B2381" s="72"/>
      <c r="C2381" s="73"/>
      <c r="D2381" s="74"/>
      <c r="G2381" s="75"/>
    </row>
    <row r="2382" spans="2:7" x14ac:dyDescent="0.3">
      <c r="B2382" s="72"/>
      <c r="C2382" s="73"/>
      <c r="D2382" s="74"/>
      <c r="G2382" s="75"/>
    </row>
    <row r="2383" spans="2:7" x14ac:dyDescent="0.3">
      <c r="B2383" s="72"/>
      <c r="C2383" s="73"/>
      <c r="D2383" s="74"/>
      <c r="G2383" s="75"/>
    </row>
    <row r="2384" spans="2:7" x14ac:dyDescent="0.3">
      <c r="B2384" s="72"/>
      <c r="C2384" s="73"/>
      <c r="D2384" s="74"/>
      <c r="G2384" s="75"/>
    </row>
    <row r="2385" spans="2:7" x14ac:dyDescent="0.3">
      <c r="B2385" s="72"/>
      <c r="C2385" s="73"/>
      <c r="D2385" s="74"/>
      <c r="G2385" s="75"/>
    </row>
    <row r="2386" spans="2:7" x14ac:dyDescent="0.3">
      <c r="B2386" s="72"/>
      <c r="C2386" s="73"/>
      <c r="D2386" s="74"/>
      <c r="G2386" s="75"/>
    </row>
    <row r="2387" spans="2:7" x14ac:dyDescent="0.3">
      <c r="B2387" s="72"/>
      <c r="C2387" s="73"/>
      <c r="D2387" s="74"/>
      <c r="G2387" s="75"/>
    </row>
    <row r="2388" spans="2:7" x14ac:dyDescent="0.3">
      <c r="B2388" s="72"/>
      <c r="C2388" s="73"/>
      <c r="D2388" s="74"/>
      <c r="G2388" s="75"/>
    </row>
    <row r="2389" spans="2:7" x14ac:dyDescent="0.3">
      <c r="B2389" s="72"/>
      <c r="C2389" s="73"/>
      <c r="D2389" s="74"/>
      <c r="G2389" s="75"/>
    </row>
    <row r="2390" spans="2:7" x14ac:dyDescent="0.3">
      <c r="B2390" s="72"/>
      <c r="C2390" s="73"/>
      <c r="D2390" s="74"/>
      <c r="G2390" s="75"/>
    </row>
    <row r="2391" spans="2:7" x14ac:dyDescent="0.3">
      <c r="B2391" s="72"/>
      <c r="C2391" s="73"/>
      <c r="D2391" s="74"/>
      <c r="G2391" s="75"/>
    </row>
    <row r="2392" spans="2:7" x14ac:dyDescent="0.3">
      <c r="B2392" s="72"/>
      <c r="C2392" s="73"/>
      <c r="D2392" s="74"/>
      <c r="G2392" s="75"/>
    </row>
    <row r="2393" spans="2:7" x14ac:dyDescent="0.3">
      <c r="B2393" s="72"/>
      <c r="C2393" s="73"/>
      <c r="D2393" s="74"/>
      <c r="G2393" s="75"/>
    </row>
    <row r="2394" spans="2:7" x14ac:dyDescent="0.3">
      <c r="B2394" s="72"/>
      <c r="C2394" s="73"/>
      <c r="D2394" s="74"/>
      <c r="G2394" s="75"/>
    </row>
    <row r="2395" spans="2:7" x14ac:dyDescent="0.3">
      <c r="B2395" s="72"/>
      <c r="C2395" s="73"/>
      <c r="D2395" s="74"/>
      <c r="G2395" s="75"/>
    </row>
    <row r="2396" spans="2:7" x14ac:dyDescent="0.3">
      <c r="B2396" s="72"/>
      <c r="C2396" s="73"/>
      <c r="D2396" s="74"/>
      <c r="G2396" s="75"/>
    </row>
    <row r="2397" spans="2:7" x14ac:dyDescent="0.3">
      <c r="B2397" s="72"/>
      <c r="C2397" s="73"/>
      <c r="D2397" s="74"/>
      <c r="G2397" s="75"/>
    </row>
    <row r="2398" spans="2:7" x14ac:dyDescent="0.3">
      <c r="B2398" s="72"/>
      <c r="C2398" s="73"/>
      <c r="D2398" s="74"/>
      <c r="G2398" s="75"/>
    </row>
    <row r="2399" spans="2:7" x14ac:dyDescent="0.3">
      <c r="B2399" s="72"/>
      <c r="C2399" s="73"/>
      <c r="D2399" s="74"/>
      <c r="G2399" s="75"/>
    </row>
    <row r="2400" spans="2:7" x14ac:dyDescent="0.3">
      <c r="B2400" s="72"/>
      <c r="C2400" s="73"/>
      <c r="D2400" s="74"/>
      <c r="G2400" s="75"/>
    </row>
    <row r="2401" spans="2:7" x14ac:dyDescent="0.3">
      <c r="B2401" s="72"/>
      <c r="C2401" s="73"/>
      <c r="D2401" s="74"/>
      <c r="G2401" s="75"/>
    </row>
    <row r="2402" spans="2:7" x14ac:dyDescent="0.3">
      <c r="B2402" s="72"/>
      <c r="C2402" s="73"/>
      <c r="D2402" s="74"/>
      <c r="G2402" s="75"/>
    </row>
    <row r="2403" spans="2:7" x14ac:dyDescent="0.3">
      <c r="B2403" s="72"/>
      <c r="C2403" s="73"/>
      <c r="D2403" s="74"/>
      <c r="G2403" s="75"/>
    </row>
    <row r="2404" spans="2:7" x14ac:dyDescent="0.3">
      <c r="B2404" s="72"/>
      <c r="C2404" s="73"/>
      <c r="D2404" s="74"/>
      <c r="G2404" s="75"/>
    </row>
    <row r="2405" spans="2:7" x14ac:dyDescent="0.3">
      <c r="B2405" s="72"/>
      <c r="C2405" s="73"/>
      <c r="D2405" s="74"/>
      <c r="G2405" s="75"/>
    </row>
    <row r="2406" spans="2:7" x14ac:dyDescent="0.3">
      <c r="B2406" s="72"/>
      <c r="C2406" s="73"/>
      <c r="D2406" s="74"/>
      <c r="G2406" s="75"/>
    </row>
    <row r="2407" spans="2:7" x14ac:dyDescent="0.3">
      <c r="B2407" s="72"/>
      <c r="C2407" s="73"/>
      <c r="D2407" s="74"/>
      <c r="G2407" s="75"/>
    </row>
    <row r="2408" spans="2:7" x14ac:dyDescent="0.3">
      <c r="B2408" s="72"/>
      <c r="C2408" s="73"/>
      <c r="D2408" s="74"/>
      <c r="G2408" s="75"/>
    </row>
    <row r="2409" spans="2:7" x14ac:dyDescent="0.3">
      <c r="B2409" s="72"/>
      <c r="C2409" s="73"/>
      <c r="D2409" s="74"/>
      <c r="G2409" s="75"/>
    </row>
    <row r="2410" spans="2:7" x14ac:dyDescent="0.3">
      <c r="B2410" s="72"/>
      <c r="C2410" s="73"/>
      <c r="D2410" s="74"/>
      <c r="G2410" s="75"/>
    </row>
    <row r="2411" spans="2:7" x14ac:dyDescent="0.3">
      <c r="B2411" s="72"/>
      <c r="C2411" s="73"/>
      <c r="D2411" s="74"/>
      <c r="G2411" s="75"/>
    </row>
    <row r="2412" spans="2:7" x14ac:dyDescent="0.3">
      <c r="B2412" s="72"/>
      <c r="C2412" s="73"/>
      <c r="D2412" s="74"/>
      <c r="G2412" s="75"/>
    </row>
    <row r="2413" spans="2:7" x14ac:dyDescent="0.3">
      <c r="B2413" s="72"/>
      <c r="C2413" s="73"/>
      <c r="D2413" s="74"/>
      <c r="G2413" s="75"/>
    </row>
    <row r="2414" spans="2:7" x14ac:dyDescent="0.3">
      <c r="B2414" s="72"/>
      <c r="C2414" s="73"/>
      <c r="D2414" s="74"/>
      <c r="G2414" s="75"/>
    </row>
    <row r="2415" spans="2:7" x14ac:dyDescent="0.3">
      <c r="B2415" s="72"/>
      <c r="C2415" s="73"/>
      <c r="D2415" s="74"/>
      <c r="G2415" s="75"/>
    </row>
    <row r="2416" spans="2:7" x14ac:dyDescent="0.3">
      <c r="B2416" s="72"/>
      <c r="C2416" s="73"/>
      <c r="D2416" s="74"/>
      <c r="G2416" s="75"/>
    </row>
    <row r="2417" spans="2:7" x14ac:dyDescent="0.3">
      <c r="B2417" s="72"/>
      <c r="C2417" s="73"/>
      <c r="D2417" s="74"/>
      <c r="G2417" s="75"/>
    </row>
    <row r="2418" spans="2:7" x14ac:dyDescent="0.3">
      <c r="B2418" s="72"/>
      <c r="C2418" s="73"/>
      <c r="D2418" s="74"/>
      <c r="G2418" s="75"/>
    </row>
    <row r="2419" spans="2:7" x14ac:dyDescent="0.3">
      <c r="B2419" s="72"/>
      <c r="C2419" s="73"/>
      <c r="D2419" s="74"/>
      <c r="G2419" s="75"/>
    </row>
    <row r="2420" spans="2:7" x14ac:dyDescent="0.3">
      <c r="B2420" s="72"/>
      <c r="C2420" s="73"/>
      <c r="D2420" s="74"/>
      <c r="G2420" s="75"/>
    </row>
    <row r="2421" spans="2:7" x14ac:dyDescent="0.3">
      <c r="B2421" s="72"/>
      <c r="C2421" s="73"/>
      <c r="D2421" s="74"/>
      <c r="G2421" s="75"/>
    </row>
    <row r="2422" spans="2:7" x14ac:dyDescent="0.3">
      <c r="B2422" s="72"/>
      <c r="C2422" s="73"/>
      <c r="D2422" s="74"/>
      <c r="G2422" s="75"/>
    </row>
    <row r="2423" spans="2:7" x14ac:dyDescent="0.3">
      <c r="B2423" s="72"/>
      <c r="C2423" s="73"/>
      <c r="D2423" s="74"/>
      <c r="G2423" s="75"/>
    </row>
    <row r="2424" spans="2:7" x14ac:dyDescent="0.3">
      <c r="B2424" s="72"/>
      <c r="C2424" s="73"/>
      <c r="D2424" s="74"/>
      <c r="G2424" s="75"/>
    </row>
    <row r="2425" spans="2:7" x14ac:dyDescent="0.3">
      <c r="B2425" s="72"/>
      <c r="C2425" s="73"/>
      <c r="D2425" s="74"/>
      <c r="G2425" s="75"/>
    </row>
    <row r="2426" spans="2:7" x14ac:dyDescent="0.3">
      <c r="B2426" s="72"/>
      <c r="C2426" s="73"/>
      <c r="D2426" s="74"/>
      <c r="G2426" s="75"/>
    </row>
    <row r="2427" spans="2:7" x14ac:dyDescent="0.3">
      <c r="B2427" s="72"/>
      <c r="C2427" s="73"/>
      <c r="D2427" s="74"/>
      <c r="G2427" s="75"/>
    </row>
    <row r="2428" spans="2:7" x14ac:dyDescent="0.3">
      <c r="B2428" s="72"/>
      <c r="C2428" s="73"/>
      <c r="D2428" s="74"/>
      <c r="G2428" s="75"/>
    </row>
    <row r="2429" spans="2:7" x14ac:dyDescent="0.3">
      <c r="B2429" s="72"/>
      <c r="C2429" s="73"/>
      <c r="D2429" s="74"/>
      <c r="G2429" s="75"/>
    </row>
    <row r="2430" spans="2:7" x14ac:dyDescent="0.3">
      <c r="B2430" s="72"/>
      <c r="C2430" s="73"/>
      <c r="D2430" s="74"/>
      <c r="G2430" s="75"/>
    </row>
    <row r="2431" spans="2:7" x14ac:dyDescent="0.3">
      <c r="B2431" s="72"/>
      <c r="C2431" s="73"/>
      <c r="D2431" s="74"/>
      <c r="G2431" s="75"/>
    </row>
    <row r="2432" spans="2:7" x14ac:dyDescent="0.3">
      <c r="B2432" s="72"/>
      <c r="C2432" s="73"/>
      <c r="D2432" s="74"/>
      <c r="G2432" s="75"/>
    </row>
    <row r="2433" spans="2:7" x14ac:dyDescent="0.3">
      <c r="B2433" s="72"/>
      <c r="C2433" s="73"/>
      <c r="D2433" s="74"/>
      <c r="G2433" s="75"/>
    </row>
    <row r="2434" spans="2:7" x14ac:dyDescent="0.3">
      <c r="B2434" s="72"/>
      <c r="C2434" s="73"/>
      <c r="D2434" s="74"/>
      <c r="G2434" s="75"/>
    </row>
    <row r="2435" spans="2:7" x14ac:dyDescent="0.3">
      <c r="B2435" s="72"/>
      <c r="C2435" s="73"/>
      <c r="D2435" s="74"/>
      <c r="G2435" s="75"/>
    </row>
    <row r="2436" spans="2:7" x14ac:dyDescent="0.3">
      <c r="B2436" s="72"/>
      <c r="C2436" s="73"/>
      <c r="D2436" s="74"/>
      <c r="G2436" s="75"/>
    </row>
    <row r="2437" spans="2:7" x14ac:dyDescent="0.3">
      <c r="B2437" s="72"/>
      <c r="C2437" s="73"/>
      <c r="D2437" s="74"/>
      <c r="G2437" s="75"/>
    </row>
    <row r="2438" spans="2:7" x14ac:dyDescent="0.3">
      <c r="B2438" s="72"/>
      <c r="C2438" s="73"/>
      <c r="D2438" s="74"/>
      <c r="G2438" s="75"/>
    </row>
    <row r="2439" spans="2:7" x14ac:dyDescent="0.3">
      <c r="B2439" s="72"/>
      <c r="C2439" s="73"/>
      <c r="D2439" s="74"/>
      <c r="G2439" s="75"/>
    </row>
    <row r="2440" spans="2:7" x14ac:dyDescent="0.3">
      <c r="B2440" s="72"/>
      <c r="C2440" s="73"/>
      <c r="D2440" s="74"/>
      <c r="G2440" s="75"/>
    </row>
    <row r="2441" spans="2:7" x14ac:dyDescent="0.3">
      <c r="B2441" s="72"/>
      <c r="C2441" s="73"/>
      <c r="D2441" s="74"/>
      <c r="G2441" s="75"/>
    </row>
    <row r="2442" spans="2:7" x14ac:dyDescent="0.3">
      <c r="B2442" s="72"/>
      <c r="C2442" s="73"/>
      <c r="D2442" s="74"/>
      <c r="G2442" s="75"/>
    </row>
    <row r="2443" spans="2:7" x14ac:dyDescent="0.3">
      <c r="B2443" s="72"/>
      <c r="C2443" s="73"/>
      <c r="D2443" s="74"/>
      <c r="G2443" s="75"/>
    </row>
    <row r="2444" spans="2:7" x14ac:dyDescent="0.3">
      <c r="B2444" s="72"/>
      <c r="C2444" s="73"/>
      <c r="D2444" s="74"/>
      <c r="G2444" s="75"/>
    </row>
    <row r="2445" spans="2:7" x14ac:dyDescent="0.3">
      <c r="B2445" s="72"/>
      <c r="C2445" s="73"/>
      <c r="D2445" s="74"/>
      <c r="G2445" s="75"/>
    </row>
    <row r="2446" spans="2:7" x14ac:dyDescent="0.3">
      <c r="B2446" s="72"/>
      <c r="C2446" s="73"/>
      <c r="D2446" s="74"/>
      <c r="G2446" s="75"/>
    </row>
    <row r="2447" spans="2:7" x14ac:dyDescent="0.3">
      <c r="B2447" s="72"/>
      <c r="C2447" s="73"/>
      <c r="D2447" s="74"/>
      <c r="G2447" s="75"/>
    </row>
    <row r="2448" spans="2:7" x14ac:dyDescent="0.3">
      <c r="B2448" s="72"/>
      <c r="C2448" s="73"/>
      <c r="D2448" s="74"/>
      <c r="G2448" s="75"/>
    </row>
    <row r="2449" spans="2:7" x14ac:dyDescent="0.3">
      <c r="B2449" s="72"/>
      <c r="C2449" s="73"/>
      <c r="D2449" s="74"/>
      <c r="G2449" s="75"/>
    </row>
    <row r="2450" spans="2:7" x14ac:dyDescent="0.3">
      <c r="B2450" s="72"/>
      <c r="C2450" s="73"/>
      <c r="D2450" s="74"/>
      <c r="G2450" s="75"/>
    </row>
    <row r="2451" spans="2:7" x14ac:dyDescent="0.3">
      <c r="B2451" s="72"/>
      <c r="C2451" s="73"/>
      <c r="D2451" s="74"/>
      <c r="G2451" s="75"/>
    </row>
    <row r="2452" spans="2:7" x14ac:dyDescent="0.3">
      <c r="B2452" s="72"/>
      <c r="C2452" s="73"/>
      <c r="D2452" s="74"/>
      <c r="G2452" s="75"/>
    </row>
    <row r="2453" spans="2:7" x14ac:dyDescent="0.3">
      <c r="B2453" s="72"/>
      <c r="C2453" s="73"/>
      <c r="D2453" s="74"/>
      <c r="G2453" s="75"/>
    </row>
    <row r="2454" spans="2:7" x14ac:dyDescent="0.3">
      <c r="B2454" s="72"/>
      <c r="C2454" s="73"/>
      <c r="D2454" s="74"/>
      <c r="G2454" s="75"/>
    </row>
    <row r="2455" spans="2:7" x14ac:dyDescent="0.3">
      <c r="B2455" s="72"/>
      <c r="C2455" s="73"/>
      <c r="D2455" s="74"/>
      <c r="G2455" s="75"/>
    </row>
    <row r="2456" spans="2:7" x14ac:dyDescent="0.3">
      <c r="B2456" s="72"/>
      <c r="C2456" s="73"/>
      <c r="D2456" s="74"/>
      <c r="G2456" s="75"/>
    </row>
    <row r="2457" spans="2:7" x14ac:dyDescent="0.3">
      <c r="B2457" s="72"/>
      <c r="C2457" s="73"/>
      <c r="D2457" s="74"/>
      <c r="G2457" s="75"/>
    </row>
    <row r="2458" spans="2:7" x14ac:dyDescent="0.3">
      <c r="B2458" s="72"/>
      <c r="C2458" s="73"/>
      <c r="D2458" s="74"/>
      <c r="G2458" s="75"/>
    </row>
    <row r="2459" spans="2:7" x14ac:dyDescent="0.3">
      <c r="B2459" s="72"/>
      <c r="C2459" s="73"/>
      <c r="D2459" s="74"/>
      <c r="G2459" s="75"/>
    </row>
    <row r="2460" spans="2:7" x14ac:dyDescent="0.3">
      <c r="B2460" s="72"/>
      <c r="C2460" s="73"/>
      <c r="D2460" s="74"/>
      <c r="G2460" s="75"/>
    </row>
    <row r="2461" spans="2:7" x14ac:dyDescent="0.3">
      <c r="B2461" s="72"/>
      <c r="C2461" s="73"/>
      <c r="D2461" s="74"/>
      <c r="G2461" s="75"/>
    </row>
    <row r="2462" spans="2:7" x14ac:dyDescent="0.3">
      <c r="B2462" s="72"/>
      <c r="C2462" s="73"/>
      <c r="D2462" s="74"/>
      <c r="G2462" s="75"/>
    </row>
    <row r="2463" spans="2:7" x14ac:dyDescent="0.3">
      <c r="B2463" s="72"/>
      <c r="C2463" s="73"/>
      <c r="D2463" s="74"/>
      <c r="G2463" s="75"/>
    </row>
    <row r="2464" spans="2:7" x14ac:dyDescent="0.3">
      <c r="B2464" s="72"/>
      <c r="C2464" s="73"/>
      <c r="D2464" s="74"/>
      <c r="G2464" s="75"/>
    </row>
    <row r="2465" spans="2:7" x14ac:dyDescent="0.3">
      <c r="B2465" s="72"/>
      <c r="C2465" s="73"/>
      <c r="D2465" s="74"/>
      <c r="G2465" s="75"/>
    </row>
    <row r="2466" spans="2:7" x14ac:dyDescent="0.3">
      <c r="B2466" s="72"/>
      <c r="C2466" s="73"/>
      <c r="D2466" s="74"/>
      <c r="G2466" s="75"/>
    </row>
    <row r="2467" spans="2:7" x14ac:dyDescent="0.3">
      <c r="B2467" s="72"/>
      <c r="C2467" s="73"/>
      <c r="D2467" s="74"/>
      <c r="G2467" s="75"/>
    </row>
    <row r="2468" spans="2:7" x14ac:dyDescent="0.3">
      <c r="B2468" s="72"/>
      <c r="C2468" s="73"/>
      <c r="D2468" s="74"/>
      <c r="G2468" s="75"/>
    </row>
    <row r="2469" spans="2:7" x14ac:dyDescent="0.3">
      <c r="B2469" s="72"/>
      <c r="C2469" s="73"/>
      <c r="D2469" s="74"/>
      <c r="G2469" s="75"/>
    </row>
    <row r="2470" spans="2:7" x14ac:dyDescent="0.3">
      <c r="B2470" s="72"/>
      <c r="C2470" s="73"/>
      <c r="D2470" s="74"/>
      <c r="G2470" s="75"/>
    </row>
    <row r="2471" spans="2:7" x14ac:dyDescent="0.3">
      <c r="B2471" s="72"/>
      <c r="C2471" s="73"/>
      <c r="D2471" s="74"/>
      <c r="G2471" s="75"/>
    </row>
    <row r="2472" spans="2:7" x14ac:dyDescent="0.3">
      <c r="B2472" s="72"/>
      <c r="C2472" s="73"/>
      <c r="D2472" s="74"/>
      <c r="G2472" s="75"/>
    </row>
    <row r="2473" spans="2:7" x14ac:dyDescent="0.3">
      <c r="B2473" s="72"/>
      <c r="C2473" s="73"/>
      <c r="D2473" s="74"/>
      <c r="G2473" s="75"/>
    </row>
    <row r="2474" spans="2:7" x14ac:dyDescent="0.3">
      <c r="B2474" s="72"/>
      <c r="C2474" s="73"/>
      <c r="D2474" s="74"/>
      <c r="G2474" s="75"/>
    </row>
    <row r="2475" spans="2:7" x14ac:dyDescent="0.3">
      <c r="B2475" s="72"/>
      <c r="C2475" s="73"/>
      <c r="D2475" s="74"/>
      <c r="G2475" s="75"/>
    </row>
    <row r="2476" spans="2:7" x14ac:dyDescent="0.3">
      <c r="B2476" s="72"/>
      <c r="C2476" s="73"/>
      <c r="D2476" s="74"/>
      <c r="G2476" s="75"/>
    </row>
    <row r="2477" spans="2:7" x14ac:dyDescent="0.3">
      <c r="B2477" s="72"/>
      <c r="C2477" s="73"/>
      <c r="D2477" s="74"/>
      <c r="G2477" s="75"/>
    </row>
    <row r="2478" spans="2:7" x14ac:dyDescent="0.3">
      <c r="B2478" s="72"/>
      <c r="C2478" s="73"/>
      <c r="D2478" s="74"/>
      <c r="G2478" s="75"/>
    </row>
    <row r="2479" spans="2:7" x14ac:dyDescent="0.3">
      <c r="B2479" s="72"/>
      <c r="C2479" s="73"/>
      <c r="D2479" s="74"/>
      <c r="G2479" s="75"/>
    </row>
    <row r="2480" spans="2:7" x14ac:dyDescent="0.3">
      <c r="B2480" s="72"/>
      <c r="C2480" s="73"/>
      <c r="D2480" s="74"/>
      <c r="G2480" s="75"/>
    </row>
    <row r="2481" spans="2:7" x14ac:dyDescent="0.3">
      <c r="B2481" s="72"/>
      <c r="C2481" s="73"/>
      <c r="D2481" s="74"/>
      <c r="G2481" s="75"/>
    </row>
    <row r="2482" spans="2:7" x14ac:dyDescent="0.3">
      <c r="B2482" s="72"/>
      <c r="C2482" s="73"/>
      <c r="D2482" s="74"/>
      <c r="G2482" s="75"/>
    </row>
    <row r="2483" spans="2:7" x14ac:dyDescent="0.3">
      <c r="B2483" s="72"/>
      <c r="C2483" s="73"/>
      <c r="D2483" s="74"/>
      <c r="G2483" s="75"/>
    </row>
    <row r="2484" spans="2:7" x14ac:dyDescent="0.3">
      <c r="B2484" s="72"/>
      <c r="C2484" s="73"/>
      <c r="D2484" s="74"/>
      <c r="G2484" s="75"/>
    </row>
    <row r="2485" spans="2:7" x14ac:dyDescent="0.3">
      <c r="B2485" s="72"/>
      <c r="C2485" s="73"/>
      <c r="D2485" s="74"/>
      <c r="G2485" s="75"/>
    </row>
    <row r="2486" spans="2:7" x14ac:dyDescent="0.3">
      <c r="B2486" s="72"/>
      <c r="C2486" s="73"/>
      <c r="D2486" s="74"/>
      <c r="G2486" s="75"/>
    </row>
    <row r="2487" spans="2:7" x14ac:dyDescent="0.3">
      <c r="B2487" s="72"/>
      <c r="C2487" s="73"/>
      <c r="D2487" s="74"/>
      <c r="G2487" s="75"/>
    </row>
    <row r="2488" spans="2:7" x14ac:dyDescent="0.3">
      <c r="B2488" s="72"/>
      <c r="C2488" s="73"/>
      <c r="D2488" s="74"/>
      <c r="G2488" s="75"/>
    </row>
    <row r="2489" spans="2:7" x14ac:dyDescent="0.3">
      <c r="B2489" s="72"/>
      <c r="C2489" s="73"/>
      <c r="D2489" s="74"/>
      <c r="G2489" s="75"/>
    </row>
    <row r="2490" spans="2:7" x14ac:dyDescent="0.3">
      <c r="B2490" s="72"/>
      <c r="C2490" s="73"/>
      <c r="D2490" s="74"/>
      <c r="G2490" s="75"/>
    </row>
    <row r="2491" spans="2:7" x14ac:dyDescent="0.3">
      <c r="B2491" s="72"/>
      <c r="C2491" s="73"/>
      <c r="D2491" s="74"/>
      <c r="G2491" s="75"/>
    </row>
    <row r="2492" spans="2:7" x14ac:dyDescent="0.3">
      <c r="B2492" s="72"/>
      <c r="C2492" s="73"/>
      <c r="D2492" s="74"/>
      <c r="G2492" s="75"/>
    </row>
    <row r="2493" spans="2:7" x14ac:dyDescent="0.3">
      <c r="B2493" s="72"/>
      <c r="C2493" s="73"/>
      <c r="D2493" s="74"/>
      <c r="G2493" s="75"/>
    </row>
    <row r="2494" spans="2:7" x14ac:dyDescent="0.3">
      <c r="B2494" s="72"/>
      <c r="C2494" s="73"/>
      <c r="D2494" s="74"/>
      <c r="G2494" s="75"/>
    </row>
    <row r="2495" spans="2:7" x14ac:dyDescent="0.3">
      <c r="B2495" s="72"/>
      <c r="C2495" s="73"/>
      <c r="D2495" s="74"/>
      <c r="G2495" s="75"/>
    </row>
    <row r="2496" spans="2:7" x14ac:dyDescent="0.3">
      <c r="B2496" s="72"/>
      <c r="C2496" s="73"/>
      <c r="D2496" s="74"/>
      <c r="G2496" s="75"/>
    </row>
    <row r="2497" spans="2:7" x14ac:dyDescent="0.3">
      <c r="B2497" s="72"/>
      <c r="C2497" s="73"/>
      <c r="D2497" s="74"/>
      <c r="G2497" s="75"/>
    </row>
    <row r="2498" spans="2:7" x14ac:dyDescent="0.3">
      <c r="B2498" s="72"/>
      <c r="C2498" s="73"/>
      <c r="D2498" s="74"/>
      <c r="G2498" s="75"/>
    </row>
    <row r="2499" spans="2:7" x14ac:dyDescent="0.3">
      <c r="B2499" s="72"/>
      <c r="C2499" s="73"/>
      <c r="D2499" s="74"/>
      <c r="G2499" s="75"/>
    </row>
    <row r="2500" spans="2:7" x14ac:dyDescent="0.3">
      <c r="B2500" s="72"/>
      <c r="C2500" s="73"/>
      <c r="D2500" s="74"/>
      <c r="G2500" s="75"/>
    </row>
    <row r="2501" spans="2:7" x14ac:dyDescent="0.3">
      <c r="B2501" s="72"/>
      <c r="C2501" s="73"/>
      <c r="D2501" s="74"/>
      <c r="G2501" s="75"/>
    </row>
    <row r="2502" spans="2:7" x14ac:dyDescent="0.3">
      <c r="B2502" s="72"/>
      <c r="C2502" s="73"/>
      <c r="D2502" s="74"/>
      <c r="G2502" s="75"/>
    </row>
    <row r="2503" spans="2:7" x14ac:dyDescent="0.3">
      <c r="B2503" s="72"/>
      <c r="C2503" s="73"/>
      <c r="D2503" s="74"/>
      <c r="G2503" s="75"/>
    </row>
    <row r="2504" spans="2:7" x14ac:dyDescent="0.3">
      <c r="B2504" s="72"/>
      <c r="C2504" s="73"/>
      <c r="D2504" s="74"/>
      <c r="G2504" s="75"/>
    </row>
    <row r="2505" spans="2:7" x14ac:dyDescent="0.3">
      <c r="B2505" s="72"/>
      <c r="C2505" s="73"/>
      <c r="D2505" s="74"/>
      <c r="G2505" s="75"/>
    </row>
    <row r="2506" spans="2:7" x14ac:dyDescent="0.3">
      <c r="B2506" s="72"/>
      <c r="C2506" s="73"/>
      <c r="D2506" s="74"/>
      <c r="G2506" s="75"/>
    </row>
    <row r="2507" spans="2:7" x14ac:dyDescent="0.3">
      <c r="B2507" s="72"/>
      <c r="C2507" s="73"/>
      <c r="D2507" s="74"/>
      <c r="G2507" s="75"/>
    </row>
    <row r="2508" spans="2:7" x14ac:dyDescent="0.3">
      <c r="B2508" s="72"/>
      <c r="C2508" s="73"/>
      <c r="D2508" s="74"/>
      <c r="G2508" s="75"/>
    </row>
    <row r="2509" spans="2:7" x14ac:dyDescent="0.3">
      <c r="B2509" s="72"/>
      <c r="C2509" s="73"/>
      <c r="D2509" s="74"/>
      <c r="G2509" s="75"/>
    </row>
    <row r="2510" spans="2:7" x14ac:dyDescent="0.3">
      <c r="B2510" s="72"/>
      <c r="C2510" s="73"/>
      <c r="D2510" s="74"/>
      <c r="G2510" s="75"/>
    </row>
    <row r="2511" spans="2:7" x14ac:dyDescent="0.3">
      <c r="B2511" s="72"/>
      <c r="C2511" s="73"/>
      <c r="D2511" s="74"/>
      <c r="G2511" s="75"/>
    </row>
    <row r="2512" spans="2:7" x14ac:dyDescent="0.3">
      <c r="B2512" s="72"/>
      <c r="C2512" s="73"/>
      <c r="D2512" s="74"/>
      <c r="G2512" s="75"/>
    </row>
    <row r="2513" spans="2:7" x14ac:dyDescent="0.3">
      <c r="B2513" s="72"/>
      <c r="C2513" s="73"/>
      <c r="D2513" s="74"/>
      <c r="G2513" s="75"/>
    </row>
    <row r="2514" spans="2:7" x14ac:dyDescent="0.3">
      <c r="B2514" s="72"/>
      <c r="C2514" s="73"/>
      <c r="D2514" s="74"/>
      <c r="G2514" s="75"/>
    </row>
    <row r="2515" spans="2:7" x14ac:dyDescent="0.3">
      <c r="B2515" s="72"/>
      <c r="C2515" s="73"/>
      <c r="D2515" s="74"/>
      <c r="G2515" s="75"/>
    </row>
    <row r="2516" spans="2:7" x14ac:dyDescent="0.3">
      <c r="B2516" s="72"/>
      <c r="C2516" s="73"/>
      <c r="D2516" s="74"/>
      <c r="G2516" s="75"/>
    </row>
    <row r="2517" spans="2:7" x14ac:dyDescent="0.3">
      <c r="B2517" s="72"/>
      <c r="C2517" s="73"/>
      <c r="D2517" s="74"/>
      <c r="G2517" s="75"/>
    </row>
    <row r="2518" spans="2:7" x14ac:dyDescent="0.3">
      <c r="B2518" s="72"/>
      <c r="C2518" s="73"/>
      <c r="D2518" s="74"/>
      <c r="G2518" s="75"/>
    </row>
    <row r="2519" spans="2:7" x14ac:dyDescent="0.3">
      <c r="B2519" s="72"/>
      <c r="C2519" s="73"/>
      <c r="D2519" s="74"/>
      <c r="G2519" s="75"/>
    </row>
    <row r="2520" spans="2:7" x14ac:dyDescent="0.3">
      <c r="B2520" s="72"/>
      <c r="C2520" s="73"/>
      <c r="D2520" s="74"/>
      <c r="G2520" s="75"/>
    </row>
    <row r="2521" spans="2:7" x14ac:dyDescent="0.3">
      <c r="B2521" s="72"/>
      <c r="C2521" s="73"/>
      <c r="D2521" s="74"/>
      <c r="G2521" s="75"/>
    </row>
    <row r="2522" spans="2:7" x14ac:dyDescent="0.3">
      <c r="B2522" s="72"/>
      <c r="C2522" s="73"/>
      <c r="D2522" s="74"/>
      <c r="G2522" s="75"/>
    </row>
    <row r="2523" spans="2:7" x14ac:dyDescent="0.3">
      <c r="B2523" s="72"/>
      <c r="C2523" s="73"/>
      <c r="D2523" s="74"/>
      <c r="G2523" s="75"/>
    </row>
    <row r="2524" spans="2:7" x14ac:dyDescent="0.3">
      <c r="B2524" s="72"/>
      <c r="C2524" s="73"/>
      <c r="D2524" s="74"/>
      <c r="G2524" s="75"/>
    </row>
    <row r="2525" spans="2:7" x14ac:dyDescent="0.3">
      <c r="B2525" s="72"/>
      <c r="C2525" s="73"/>
      <c r="D2525" s="74"/>
      <c r="G2525" s="75"/>
    </row>
    <row r="2526" spans="2:7" x14ac:dyDescent="0.3">
      <c r="B2526" s="72"/>
      <c r="C2526" s="73"/>
      <c r="D2526" s="74"/>
      <c r="G2526" s="75"/>
    </row>
    <row r="2527" spans="2:7" x14ac:dyDescent="0.3">
      <c r="B2527" s="72"/>
      <c r="C2527" s="73"/>
      <c r="D2527" s="74"/>
      <c r="G2527" s="75"/>
    </row>
    <row r="2528" spans="2:7" x14ac:dyDescent="0.3">
      <c r="B2528" s="72"/>
      <c r="C2528" s="73"/>
      <c r="D2528" s="74"/>
      <c r="G2528" s="75"/>
    </row>
    <row r="2529" spans="2:7" x14ac:dyDescent="0.3">
      <c r="B2529" s="72"/>
      <c r="C2529" s="73"/>
      <c r="D2529" s="74"/>
      <c r="G2529" s="75"/>
    </row>
    <row r="2530" spans="2:7" x14ac:dyDescent="0.3">
      <c r="B2530" s="72"/>
      <c r="C2530" s="73"/>
      <c r="D2530" s="74"/>
      <c r="G2530" s="75"/>
    </row>
    <row r="2531" spans="2:7" x14ac:dyDescent="0.3">
      <c r="B2531" s="72"/>
      <c r="C2531" s="73"/>
      <c r="D2531" s="74"/>
      <c r="G2531" s="75"/>
    </row>
    <row r="2532" spans="2:7" x14ac:dyDescent="0.3">
      <c r="B2532" s="72"/>
      <c r="C2532" s="73"/>
      <c r="D2532" s="74"/>
      <c r="G2532" s="75"/>
    </row>
    <row r="2533" spans="2:7" x14ac:dyDescent="0.3">
      <c r="B2533" s="72"/>
      <c r="C2533" s="73"/>
      <c r="D2533" s="74"/>
      <c r="G2533" s="75"/>
    </row>
    <row r="2534" spans="2:7" x14ac:dyDescent="0.3">
      <c r="B2534" s="72"/>
      <c r="C2534" s="73"/>
      <c r="D2534" s="74"/>
      <c r="G2534" s="75"/>
    </row>
    <row r="2535" spans="2:7" x14ac:dyDescent="0.3">
      <c r="B2535" s="72"/>
      <c r="C2535" s="73"/>
      <c r="D2535" s="74"/>
      <c r="G2535" s="75"/>
    </row>
    <row r="2536" spans="2:7" x14ac:dyDescent="0.3">
      <c r="B2536" s="72"/>
      <c r="C2536" s="73"/>
      <c r="D2536" s="74"/>
      <c r="G2536" s="75"/>
    </row>
    <row r="2537" spans="2:7" x14ac:dyDescent="0.3">
      <c r="B2537" s="72"/>
      <c r="C2537" s="73"/>
      <c r="D2537" s="74"/>
      <c r="G2537" s="75"/>
    </row>
    <row r="2538" spans="2:7" x14ac:dyDescent="0.3">
      <c r="B2538" s="72"/>
      <c r="C2538" s="73"/>
      <c r="D2538" s="74"/>
      <c r="G2538" s="75"/>
    </row>
    <row r="2539" spans="2:7" x14ac:dyDescent="0.3">
      <c r="B2539" s="72"/>
      <c r="C2539" s="73"/>
      <c r="D2539" s="74"/>
      <c r="G2539" s="75"/>
    </row>
    <row r="2540" spans="2:7" x14ac:dyDescent="0.3">
      <c r="B2540" s="72"/>
      <c r="C2540" s="73"/>
      <c r="D2540" s="74"/>
      <c r="G2540" s="75"/>
    </row>
    <row r="2541" spans="2:7" x14ac:dyDescent="0.3">
      <c r="B2541" s="72"/>
      <c r="C2541" s="73"/>
      <c r="D2541" s="74"/>
      <c r="G2541" s="75"/>
    </row>
    <row r="2542" spans="2:7" x14ac:dyDescent="0.3">
      <c r="B2542" s="72"/>
      <c r="C2542" s="73"/>
      <c r="D2542" s="74"/>
      <c r="G2542" s="75"/>
    </row>
    <row r="2543" spans="2:7" x14ac:dyDescent="0.3">
      <c r="B2543" s="72"/>
      <c r="C2543" s="73"/>
      <c r="D2543" s="74"/>
      <c r="G2543" s="75"/>
    </row>
    <row r="2544" spans="2:7" x14ac:dyDescent="0.3">
      <c r="B2544" s="72"/>
      <c r="C2544" s="73"/>
      <c r="D2544" s="74"/>
      <c r="G2544" s="75"/>
    </row>
    <row r="2545" spans="2:7" x14ac:dyDescent="0.3">
      <c r="B2545" s="72"/>
      <c r="C2545" s="73"/>
      <c r="D2545" s="74"/>
      <c r="G2545" s="75"/>
    </row>
    <row r="2546" spans="2:7" x14ac:dyDescent="0.3">
      <c r="B2546" s="72"/>
      <c r="C2546" s="73"/>
      <c r="D2546" s="74"/>
      <c r="G2546" s="75"/>
    </row>
    <row r="2547" spans="2:7" x14ac:dyDescent="0.3">
      <c r="B2547" s="72"/>
      <c r="C2547" s="73"/>
      <c r="D2547" s="74"/>
      <c r="G2547" s="75"/>
    </row>
    <row r="2548" spans="2:7" x14ac:dyDescent="0.3">
      <c r="B2548" s="72"/>
      <c r="C2548" s="73"/>
      <c r="D2548" s="74"/>
      <c r="G2548" s="75"/>
    </row>
    <row r="2549" spans="2:7" x14ac:dyDescent="0.3">
      <c r="B2549" s="72"/>
      <c r="C2549" s="73"/>
      <c r="D2549" s="74"/>
      <c r="G2549" s="75"/>
    </row>
    <row r="2550" spans="2:7" x14ac:dyDescent="0.3">
      <c r="B2550" s="72"/>
      <c r="C2550" s="73"/>
      <c r="D2550" s="74"/>
      <c r="G2550" s="75"/>
    </row>
    <row r="2551" spans="2:7" x14ac:dyDescent="0.3">
      <c r="B2551" s="72"/>
      <c r="C2551" s="73"/>
      <c r="D2551" s="74"/>
      <c r="G2551" s="75"/>
    </row>
    <row r="2552" spans="2:7" x14ac:dyDescent="0.3">
      <c r="B2552" s="72"/>
      <c r="C2552" s="73"/>
      <c r="D2552" s="74"/>
      <c r="G2552" s="75"/>
    </row>
    <row r="2553" spans="2:7" x14ac:dyDescent="0.3">
      <c r="B2553" s="72"/>
      <c r="C2553" s="73"/>
      <c r="D2553" s="74"/>
      <c r="G2553" s="75"/>
    </row>
    <row r="2554" spans="2:7" x14ac:dyDescent="0.3">
      <c r="B2554" s="72"/>
      <c r="C2554" s="73"/>
      <c r="D2554" s="74"/>
      <c r="G2554" s="75"/>
    </row>
    <row r="2555" spans="2:7" x14ac:dyDescent="0.3">
      <c r="B2555" s="72"/>
      <c r="C2555" s="73"/>
      <c r="D2555" s="74"/>
      <c r="G2555" s="75"/>
    </row>
    <row r="2556" spans="2:7" x14ac:dyDescent="0.3">
      <c r="B2556" s="72"/>
      <c r="C2556" s="73"/>
      <c r="D2556" s="74"/>
      <c r="G2556" s="75"/>
    </row>
    <row r="2557" spans="2:7" x14ac:dyDescent="0.3">
      <c r="B2557" s="72"/>
      <c r="C2557" s="73"/>
      <c r="D2557" s="74"/>
      <c r="G2557" s="75"/>
    </row>
    <row r="2558" spans="2:7" x14ac:dyDescent="0.3">
      <c r="B2558" s="72"/>
      <c r="C2558" s="73"/>
      <c r="D2558" s="74"/>
      <c r="G2558" s="75"/>
    </row>
    <row r="2559" spans="2:7" x14ac:dyDescent="0.3">
      <c r="B2559" s="72"/>
      <c r="C2559" s="73"/>
      <c r="D2559" s="74"/>
      <c r="G2559" s="75"/>
    </row>
    <row r="2560" spans="2:7" x14ac:dyDescent="0.3">
      <c r="B2560" s="72"/>
      <c r="C2560" s="73"/>
      <c r="D2560" s="74"/>
      <c r="G2560" s="75"/>
    </row>
    <row r="2561" spans="2:7" x14ac:dyDescent="0.3">
      <c r="B2561" s="72"/>
      <c r="C2561" s="73"/>
      <c r="D2561" s="74"/>
      <c r="G2561" s="75"/>
    </row>
    <row r="2562" spans="2:7" x14ac:dyDescent="0.3">
      <c r="B2562" s="72"/>
      <c r="C2562" s="73"/>
      <c r="D2562" s="74"/>
      <c r="G2562" s="75"/>
    </row>
    <row r="2563" spans="2:7" x14ac:dyDescent="0.3">
      <c r="B2563" s="72"/>
      <c r="C2563" s="73"/>
      <c r="D2563" s="74"/>
      <c r="G2563" s="75"/>
    </row>
    <row r="2564" spans="2:7" x14ac:dyDescent="0.3">
      <c r="B2564" s="72"/>
      <c r="C2564" s="73"/>
      <c r="D2564" s="74"/>
      <c r="G2564" s="75"/>
    </row>
    <row r="2565" spans="2:7" x14ac:dyDescent="0.3">
      <c r="B2565" s="72"/>
      <c r="C2565" s="73"/>
      <c r="D2565" s="74"/>
      <c r="G2565" s="75"/>
    </row>
    <row r="2566" spans="2:7" x14ac:dyDescent="0.3">
      <c r="B2566" s="72"/>
      <c r="C2566" s="73"/>
      <c r="D2566" s="74"/>
      <c r="G2566" s="75"/>
    </row>
    <row r="2567" spans="2:7" x14ac:dyDescent="0.3">
      <c r="B2567" s="72"/>
      <c r="C2567" s="73"/>
      <c r="D2567" s="74"/>
      <c r="G2567" s="75"/>
    </row>
    <row r="2568" spans="2:7" x14ac:dyDescent="0.3">
      <c r="B2568" s="72"/>
      <c r="C2568" s="73"/>
      <c r="D2568" s="74"/>
      <c r="G2568" s="75"/>
    </row>
    <row r="2569" spans="2:7" x14ac:dyDescent="0.3">
      <c r="B2569" s="72"/>
      <c r="C2569" s="73"/>
      <c r="D2569" s="74"/>
      <c r="G2569" s="75"/>
    </row>
    <row r="2570" spans="2:7" x14ac:dyDescent="0.3">
      <c r="B2570" s="72"/>
      <c r="C2570" s="73"/>
      <c r="D2570" s="74"/>
      <c r="G2570" s="75"/>
    </row>
    <row r="2571" spans="2:7" x14ac:dyDescent="0.3">
      <c r="B2571" s="72"/>
      <c r="C2571" s="73"/>
      <c r="D2571" s="74"/>
      <c r="G2571" s="75"/>
    </row>
    <row r="2572" spans="2:7" x14ac:dyDescent="0.3">
      <c r="B2572" s="72"/>
      <c r="C2572" s="73"/>
      <c r="D2572" s="74"/>
      <c r="G2572" s="75"/>
    </row>
    <row r="2573" spans="2:7" x14ac:dyDescent="0.3">
      <c r="B2573" s="72"/>
      <c r="C2573" s="73"/>
      <c r="D2573" s="74"/>
      <c r="G2573" s="75"/>
    </row>
    <row r="2574" spans="2:7" x14ac:dyDescent="0.3">
      <c r="B2574" s="72"/>
      <c r="C2574" s="73"/>
      <c r="D2574" s="74"/>
      <c r="G2574" s="75"/>
    </row>
    <row r="2575" spans="2:7" x14ac:dyDescent="0.3">
      <c r="B2575" s="72"/>
      <c r="C2575" s="73"/>
      <c r="D2575" s="74"/>
      <c r="G2575" s="75"/>
    </row>
    <row r="2576" spans="2:7" x14ac:dyDescent="0.3">
      <c r="B2576" s="72"/>
      <c r="C2576" s="73"/>
      <c r="D2576" s="74"/>
      <c r="G2576" s="75"/>
    </row>
    <row r="2577" spans="2:7" x14ac:dyDescent="0.3">
      <c r="B2577" s="72"/>
      <c r="C2577" s="73"/>
      <c r="D2577" s="74"/>
      <c r="G2577" s="75"/>
    </row>
    <row r="2578" spans="2:7" x14ac:dyDescent="0.3">
      <c r="B2578" s="72"/>
      <c r="C2578" s="73"/>
      <c r="D2578" s="74"/>
      <c r="G2578" s="75"/>
    </row>
    <row r="2579" spans="2:7" x14ac:dyDescent="0.3">
      <c r="B2579" s="72"/>
      <c r="C2579" s="73"/>
      <c r="D2579" s="74"/>
      <c r="G2579" s="75"/>
    </row>
    <row r="2580" spans="2:7" x14ac:dyDescent="0.3">
      <c r="B2580" s="72"/>
      <c r="C2580" s="73"/>
      <c r="D2580" s="74"/>
      <c r="G2580" s="75"/>
    </row>
    <row r="2581" spans="2:7" x14ac:dyDescent="0.3">
      <c r="B2581" s="72"/>
      <c r="C2581" s="73"/>
      <c r="D2581" s="74"/>
      <c r="G2581" s="75"/>
    </row>
    <row r="2582" spans="2:7" x14ac:dyDescent="0.3">
      <c r="B2582" s="72"/>
      <c r="C2582" s="73"/>
      <c r="D2582" s="74"/>
      <c r="G2582" s="75"/>
    </row>
    <row r="2583" spans="2:7" x14ac:dyDescent="0.3">
      <c r="B2583" s="72"/>
      <c r="C2583" s="73"/>
      <c r="D2583" s="74"/>
      <c r="G2583" s="75"/>
    </row>
    <row r="2584" spans="2:7" x14ac:dyDescent="0.3">
      <c r="B2584" s="72"/>
      <c r="C2584" s="73"/>
      <c r="D2584" s="74"/>
      <c r="G2584" s="75"/>
    </row>
    <row r="2585" spans="2:7" x14ac:dyDescent="0.3">
      <c r="B2585" s="72"/>
      <c r="C2585" s="73"/>
      <c r="D2585" s="74"/>
      <c r="G2585" s="75"/>
    </row>
    <row r="2586" spans="2:7" x14ac:dyDescent="0.3">
      <c r="B2586" s="72"/>
      <c r="C2586" s="73"/>
      <c r="D2586" s="74"/>
      <c r="G2586" s="75"/>
    </row>
    <row r="2587" spans="2:7" x14ac:dyDescent="0.3">
      <c r="B2587" s="72"/>
      <c r="C2587" s="73"/>
      <c r="D2587" s="74"/>
      <c r="G2587" s="75"/>
    </row>
    <row r="2588" spans="2:7" x14ac:dyDescent="0.3">
      <c r="B2588" s="72"/>
      <c r="C2588" s="73"/>
      <c r="D2588" s="74"/>
      <c r="G2588" s="75"/>
    </row>
    <row r="2589" spans="2:7" x14ac:dyDescent="0.3">
      <c r="B2589" s="72"/>
      <c r="C2589" s="73"/>
      <c r="D2589" s="74"/>
      <c r="G2589" s="75"/>
    </row>
    <row r="2590" spans="2:7" x14ac:dyDescent="0.3">
      <c r="B2590" s="72"/>
      <c r="C2590" s="73"/>
      <c r="D2590" s="74"/>
      <c r="G2590" s="75"/>
    </row>
    <row r="2591" spans="2:7" x14ac:dyDescent="0.3">
      <c r="B2591" s="72"/>
      <c r="C2591" s="73"/>
      <c r="D2591" s="74"/>
      <c r="G2591" s="75"/>
    </row>
    <row r="2592" spans="2:7" x14ac:dyDescent="0.3">
      <c r="B2592" s="72"/>
      <c r="C2592" s="73"/>
      <c r="D2592" s="74"/>
      <c r="G2592" s="75"/>
    </row>
    <row r="2593" spans="2:7" x14ac:dyDescent="0.3">
      <c r="B2593" s="72"/>
      <c r="C2593" s="73"/>
      <c r="D2593" s="74"/>
      <c r="G2593" s="75"/>
    </row>
    <row r="2594" spans="2:7" x14ac:dyDescent="0.3">
      <c r="B2594" s="72"/>
      <c r="C2594" s="73"/>
      <c r="D2594" s="74"/>
      <c r="G2594" s="75"/>
    </row>
    <row r="2595" spans="2:7" x14ac:dyDescent="0.3">
      <c r="B2595" s="72"/>
      <c r="C2595" s="73"/>
      <c r="D2595" s="74"/>
      <c r="G2595" s="75"/>
    </row>
    <row r="2596" spans="2:7" x14ac:dyDescent="0.3">
      <c r="B2596" s="72"/>
      <c r="C2596" s="73"/>
      <c r="D2596" s="74"/>
      <c r="G2596" s="75"/>
    </row>
    <row r="2597" spans="2:7" x14ac:dyDescent="0.3">
      <c r="B2597" s="72"/>
      <c r="C2597" s="73"/>
      <c r="D2597" s="74"/>
      <c r="G2597" s="75"/>
    </row>
    <row r="2598" spans="2:7" x14ac:dyDescent="0.3">
      <c r="B2598" s="72"/>
      <c r="C2598" s="73"/>
      <c r="D2598" s="74"/>
      <c r="G2598" s="75"/>
    </row>
    <row r="2599" spans="2:7" x14ac:dyDescent="0.3">
      <c r="B2599" s="72"/>
      <c r="C2599" s="73"/>
      <c r="D2599" s="74"/>
      <c r="G2599" s="75"/>
    </row>
    <row r="2600" spans="2:7" x14ac:dyDescent="0.3">
      <c r="B2600" s="72"/>
      <c r="C2600" s="73"/>
      <c r="D2600" s="74"/>
      <c r="G2600" s="75"/>
    </row>
    <row r="2601" spans="2:7" x14ac:dyDescent="0.3">
      <c r="B2601" s="72"/>
      <c r="C2601" s="73"/>
      <c r="D2601" s="74"/>
      <c r="G2601" s="75"/>
    </row>
    <row r="2602" spans="2:7" x14ac:dyDescent="0.3">
      <c r="B2602" s="72"/>
      <c r="C2602" s="73"/>
      <c r="D2602" s="74"/>
      <c r="G2602" s="75"/>
    </row>
    <row r="2603" spans="2:7" x14ac:dyDescent="0.3">
      <c r="B2603" s="72"/>
      <c r="C2603" s="73"/>
      <c r="D2603" s="74"/>
      <c r="G2603" s="75"/>
    </row>
    <row r="2604" spans="2:7" x14ac:dyDescent="0.3">
      <c r="B2604" s="72"/>
      <c r="C2604" s="73"/>
      <c r="D2604" s="74"/>
      <c r="G2604" s="75"/>
    </row>
    <row r="2605" spans="2:7" x14ac:dyDescent="0.3">
      <c r="B2605" s="72"/>
      <c r="C2605" s="73"/>
      <c r="D2605" s="74"/>
      <c r="G2605" s="75"/>
    </row>
    <row r="2606" spans="2:7" x14ac:dyDescent="0.3">
      <c r="B2606" s="72"/>
      <c r="C2606" s="73"/>
      <c r="D2606" s="74"/>
      <c r="G2606" s="75"/>
    </row>
    <row r="2607" spans="2:7" x14ac:dyDescent="0.3">
      <c r="B2607" s="72"/>
      <c r="C2607" s="73"/>
      <c r="D2607" s="74"/>
      <c r="G2607" s="75"/>
    </row>
    <row r="2608" spans="2:7" x14ac:dyDescent="0.3">
      <c r="B2608" s="72"/>
      <c r="C2608" s="73"/>
      <c r="D2608" s="74"/>
      <c r="G2608" s="75"/>
    </row>
    <row r="2609" spans="2:7" x14ac:dyDescent="0.3">
      <c r="B2609" s="72"/>
      <c r="C2609" s="73"/>
      <c r="D2609" s="74"/>
      <c r="G2609" s="75"/>
    </row>
    <row r="2610" spans="2:7" x14ac:dyDescent="0.3">
      <c r="B2610" s="72"/>
      <c r="C2610" s="73"/>
      <c r="D2610" s="74"/>
      <c r="G2610" s="75"/>
    </row>
    <row r="2611" spans="2:7" x14ac:dyDescent="0.3">
      <c r="B2611" s="72"/>
      <c r="C2611" s="73"/>
      <c r="D2611" s="74"/>
      <c r="G2611" s="75"/>
    </row>
    <row r="2612" spans="2:7" x14ac:dyDescent="0.3">
      <c r="B2612" s="72"/>
      <c r="C2612" s="73"/>
      <c r="D2612" s="74"/>
      <c r="G2612" s="75"/>
    </row>
    <row r="2613" spans="2:7" x14ac:dyDescent="0.3">
      <c r="B2613" s="72"/>
      <c r="C2613" s="73"/>
      <c r="D2613" s="74"/>
      <c r="G2613" s="75"/>
    </row>
    <row r="2614" spans="2:7" x14ac:dyDescent="0.3">
      <c r="B2614" s="72"/>
      <c r="C2614" s="73"/>
      <c r="D2614" s="74"/>
      <c r="G2614" s="75"/>
    </row>
    <row r="2615" spans="2:7" x14ac:dyDescent="0.3">
      <c r="B2615" s="72"/>
      <c r="C2615" s="73"/>
      <c r="D2615" s="74"/>
      <c r="G2615" s="75"/>
    </row>
    <row r="2616" spans="2:7" x14ac:dyDescent="0.3">
      <c r="B2616" s="72"/>
      <c r="C2616" s="73"/>
      <c r="D2616" s="74"/>
      <c r="G2616" s="75"/>
    </row>
    <row r="2617" spans="2:7" x14ac:dyDescent="0.3">
      <c r="B2617" s="72"/>
      <c r="C2617" s="73"/>
      <c r="D2617" s="74"/>
      <c r="G2617" s="75"/>
    </row>
    <row r="2618" spans="2:7" x14ac:dyDescent="0.3">
      <c r="B2618" s="72"/>
      <c r="C2618" s="73"/>
      <c r="D2618" s="74"/>
      <c r="G2618" s="75"/>
    </row>
    <row r="2619" spans="2:7" x14ac:dyDescent="0.3">
      <c r="B2619" s="72"/>
      <c r="C2619" s="73"/>
      <c r="D2619" s="74"/>
      <c r="G2619" s="75"/>
    </row>
    <row r="2620" spans="2:7" x14ac:dyDescent="0.3">
      <c r="B2620" s="72"/>
      <c r="C2620" s="73"/>
      <c r="D2620" s="74"/>
      <c r="G2620" s="75"/>
    </row>
    <row r="2621" spans="2:7" x14ac:dyDescent="0.3">
      <c r="B2621" s="72"/>
      <c r="C2621" s="73"/>
      <c r="D2621" s="74"/>
      <c r="G2621" s="75"/>
    </row>
    <row r="2622" spans="2:7" x14ac:dyDescent="0.3">
      <c r="B2622" s="72"/>
      <c r="C2622" s="73"/>
      <c r="D2622" s="74"/>
      <c r="G2622" s="75"/>
    </row>
    <row r="2623" spans="2:7" x14ac:dyDescent="0.3">
      <c r="B2623" s="72"/>
      <c r="C2623" s="73"/>
      <c r="D2623" s="74"/>
      <c r="G2623" s="75"/>
    </row>
    <row r="2624" spans="2:7" x14ac:dyDescent="0.3">
      <c r="B2624" s="72"/>
      <c r="C2624" s="73"/>
      <c r="D2624" s="74"/>
      <c r="G2624" s="75"/>
    </row>
    <row r="2625" spans="2:7" x14ac:dyDescent="0.3">
      <c r="B2625" s="72"/>
      <c r="C2625" s="73"/>
      <c r="D2625" s="74"/>
      <c r="G2625" s="75"/>
    </row>
    <row r="2626" spans="2:7" x14ac:dyDescent="0.3">
      <c r="B2626" s="72"/>
      <c r="C2626" s="73"/>
      <c r="D2626" s="74"/>
      <c r="G2626" s="75"/>
    </row>
    <row r="2627" spans="2:7" x14ac:dyDescent="0.3">
      <c r="B2627" s="72"/>
      <c r="C2627" s="73"/>
      <c r="D2627" s="74"/>
      <c r="G2627" s="75"/>
    </row>
    <row r="2628" spans="2:7" x14ac:dyDescent="0.3">
      <c r="B2628" s="72"/>
      <c r="C2628" s="73"/>
      <c r="D2628" s="74"/>
      <c r="G2628" s="75"/>
    </row>
    <row r="2629" spans="2:7" x14ac:dyDescent="0.3">
      <c r="B2629" s="72"/>
      <c r="C2629" s="73"/>
      <c r="D2629" s="74"/>
      <c r="G2629" s="75"/>
    </row>
    <row r="2630" spans="2:7" x14ac:dyDescent="0.3">
      <c r="B2630" s="72"/>
      <c r="C2630" s="73"/>
      <c r="D2630" s="74"/>
      <c r="G2630" s="75"/>
    </row>
    <row r="2631" spans="2:7" x14ac:dyDescent="0.3">
      <c r="B2631" s="72"/>
      <c r="C2631" s="73"/>
      <c r="D2631" s="74"/>
      <c r="G2631" s="75"/>
    </row>
    <row r="2632" spans="2:7" x14ac:dyDescent="0.3">
      <c r="B2632" s="72"/>
      <c r="C2632" s="73"/>
      <c r="D2632" s="74"/>
      <c r="G2632" s="75"/>
    </row>
    <row r="2633" spans="2:7" x14ac:dyDescent="0.3">
      <c r="B2633" s="72"/>
      <c r="C2633" s="73"/>
      <c r="D2633" s="74"/>
      <c r="G2633" s="75"/>
    </row>
    <row r="2634" spans="2:7" x14ac:dyDescent="0.3">
      <c r="B2634" s="72"/>
      <c r="C2634" s="73"/>
      <c r="D2634" s="74"/>
      <c r="G2634" s="75"/>
    </row>
    <row r="2635" spans="2:7" x14ac:dyDescent="0.3">
      <c r="B2635" s="72"/>
      <c r="C2635" s="73"/>
      <c r="D2635" s="74"/>
      <c r="G2635" s="75"/>
    </row>
    <row r="2636" spans="2:7" x14ac:dyDescent="0.3">
      <c r="B2636" s="72"/>
      <c r="C2636" s="73"/>
      <c r="D2636" s="74"/>
      <c r="G2636" s="75"/>
    </row>
    <row r="2637" spans="2:7" x14ac:dyDescent="0.3">
      <c r="B2637" s="72"/>
      <c r="C2637" s="73"/>
      <c r="D2637" s="74"/>
      <c r="G2637" s="75"/>
    </row>
    <row r="2638" spans="2:7" x14ac:dyDescent="0.3">
      <c r="B2638" s="72"/>
      <c r="C2638" s="73"/>
      <c r="D2638" s="74"/>
      <c r="G2638" s="75"/>
    </row>
    <row r="2639" spans="2:7" x14ac:dyDescent="0.3">
      <c r="B2639" s="72"/>
      <c r="C2639" s="73"/>
      <c r="D2639" s="74"/>
      <c r="G2639" s="75"/>
    </row>
    <row r="2640" spans="2:7" x14ac:dyDescent="0.3">
      <c r="B2640" s="72"/>
      <c r="C2640" s="73"/>
      <c r="D2640" s="74"/>
      <c r="G2640" s="75"/>
    </row>
    <row r="2641" spans="2:7" x14ac:dyDescent="0.3">
      <c r="B2641" s="72"/>
      <c r="C2641" s="73"/>
      <c r="D2641" s="74"/>
      <c r="G2641" s="75"/>
    </row>
    <row r="2642" spans="2:7" x14ac:dyDescent="0.3">
      <c r="B2642" s="72"/>
      <c r="C2642" s="73"/>
      <c r="D2642" s="74"/>
      <c r="G2642" s="75"/>
    </row>
    <row r="2643" spans="2:7" x14ac:dyDescent="0.3">
      <c r="B2643" s="72"/>
      <c r="C2643" s="73"/>
      <c r="D2643" s="74"/>
      <c r="G2643" s="75"/>
    </row>
    <row r="2644" spans="2:7" x14ac:dyDescent="0.3">
      <c r="B2644" s="72"/>
      <c r="C2644" s="73"/>
      <c r="D2644" s="74"/>
      <c r="G2644" s="75"/>
    </row>
    <row r="2645" spans="2:7" x14ac:dyDescent="0.3">
      <c r="B2645" s="72"/>
      <c r="C2645" s="73"/>
      <c r="D2645" s="74"/>
      <c r="G2645" s="75"/>
    </row>
    <row r="2646" spans="2:7" x14ac:dyDescent="0.3">
      <c r="B2646" s="72"/>
      <c r="C2646" s="73"/>
      <c r="D2646" s="74"/>
      <c r="G2646" s="75"/>
    </row>
    <row r="2647" spans="2:7" x14ac:dyDescent="0.3">
      <c r="B2647" s="72"/>
      <c r="C2647" s="73"/>
      <c r="D2647" s="74"/>
      <c r="G2647" s="75"/>
    </row>
    <row r="2648" spans="2:7" x14ac:dyDescent="0.3">
      <c r="B2648" s="72"/>
      <c r="C2648" s="73"/>
      <c r="D2648" s="74"/>
      <c r="G2648" s="75"/>
    </row>
    <row r="2649" spans="2:7" x14ac:dyDescent="0.3">
      <c r="B2649" s="72"/>
      <c r="C2649" s="73"/>
      <c r="D2649" s="74"/>
      <c r="G2649" s="75"/>
    </row>
    <row r="2650" spans="2:7" x14ac:dyDescent="0.3">
      <c r="B2650" s="72"/>
      <c r="C2650" s="73"/>
      <c r="D2650" s="74"/>
      <c r="G2650" s="75"/>
    </row>
    <row r="2651" spans="2:7" x14ac:dyDescent="0.3">
      <c r="B2651" s="72"/>
      <c r="C2651" s="73"/>
      <c r="D2651" s="74"/>
      <c r="G2651" s="75"/>
    </row>
    <row r="2652" spans="2:7" x14ac:dyDescent="0.3">
      <c r="B2652" s="72"/>
      <c r="C2652" s="73"/>
      <c r="D2652" s="74"/>
      <c r="G2652" s="75"/>
    </row>
    <row r="2653" spans="2:7" x14ac:dyDescent="0.3">
      <c r="B2653" s="72"/>
      <c r="C2653" s="73"/>
      <c r="D2653" s="74"/>
      <c r="G2653" s="75"/>
    </row>
    <row r="2654" spans="2:7" x14ac:dyDescent="0.3">
      <c r="B2654" s="72"/>
      <c r="C2654" s="73"/>
      <c r="D2654" s="74"/>
      <c r="G2654" s="75"/>
    </row>
    <row r="2655" spans="2:7" x14ac:dyDescent="0.3">
      <c r="B2655" s="72"/>
      <c r="C2655" s="73"/>
      <c r="D2655" s="74"/>
      <c r="G2655" s="75"/>
    </row>
    <row r="2656" spans="2:7" x14ac:dyDescent="0.3">
      <c r="B2656" s="72"/>
      <c r="C2656" s="73"/>
      <c r="D2656" s="74"/>
      <c r="G2656" s="75"/>
    </row>
    <row r="2657" spans="2:7" x14ac:dyDescent="0.3">
      <c r="B2657" s="72"/>
      <c r="C2657" s="73"/>
      <c r="D2657" s="74"/>
      <c r="G2657" s="75"/>
    </row>
    <row r="2658" spans="2:7" x14ac:dyDescent="0.3">
      <c r="B2658" s="72"/>
      <c r="C2658" s="73"/>
      <c r="D2658" s="74"/>
      <c r="G2658" s="75"/>
    </row>
    <row r="2659" spans="2:7" x14ac:dyDescent="0.3">
      <c r="B2659" s="72"/>
      <c r="C2659" s="73"/>
      <c r="D2659" s="74"/>
      <c r="G2659" s="75"/>
    </row>
    <row r="2660" spans="2:7" x14ac:dyDescent="0.3">
      <c r="B2660" s="72"/>
      <c r="C2660" s="73"/>
      <c r="D2660" s="74"/>
      <c r="G2660" s="75"/>
    </row>
    <row r="2661" spans="2:7" x14ac:dyDescent="0.3">
      <c r="B2661" s="72"/>
      <c r="C2661" s="73"/>
      <c r="D2661" s="74"/>
      <c r="G2661" s="75"/>
    </row>
    <row r="2662" spans="2:7" x14ac:dyDescent="0.3">
      <c r="B2662" s="72"/>
      <c r="C2662" s="73"/>
      <c r="D2662" s="74"/>
      <c r="G2662" s="75"/>
    </row>
    <row r="2663" spans="2:7" x14ac:dyDescent="0.3">
      <c r="B2663" s="72"/>
      <c r="C2663" s="73"/>
      <c r="D2663" s="74"/>
      <c r="G2663" s="75"/>
    </row>
    <row r="2664" spans="2:7" x14ac:dyDescent="0.3">
      <c r="B2664" s="72"/>
      <c r="C2664" s="73"/>
      <c r="D2664" s="74"/>
      <c r="G2664" s="75"/>
    </row>
    <row r="2665" spans="2:7" x14ac:dyDescent="0.3">
      <c r="B2665" s="72"/>
      <c r="C2665" s="73"/>
      <c r="D2665" s="74"/>
      <c r="G2665" s="75"/>
    </row>
    <row r="2666" spans="2:7" x14ac:dyDescent="0.3">
      <c r="B2666" s="72"/>
      <c r="C2666" s="73"/>
      <c r="D2666" s="74"/>
      <c r="G2666" s="75"/>
    </row>
    <row r="2667" spans="2:7" x14ac:dyDescent="0.3">
      <c r="B2667" s="72"/>
      <c r="C2667" s="73"/>
      <c r="D2667" s="74"/>
      <c r="G2667" s="75"/>
    </row>
    <row r="2668" spans="2:7" x14ac:dyDescent="0.3">
      <c r="B2668" s="72"/>
      <c r="C2668" s="73"/>
      <c r="D2668" s="74"/>
      <c r="G2668" s="75"/>
    </row>
    <row r="2669" spans="2:7" x14ac:dyDescent="0.3">
      <c r="B2669" s="72"/>
      <c r="C2669" s="73"/>
      <c r="D2669" s="74"/>
      <c r="G2669" s="75"/>
    </row>
    <row r="2670" spans="2:7" x14ac:dyDescent="0.3">
      <c r="B2670" s="72"/>
      <c r="C2670" s="73"/>
      <c r="D2670" s="74"/>
      <c r="G2670" s="75"/>
    </row>
    <row r="2671" spans="2:7" x14ac:dyDescent="0.3">
      <c r="B2671" s="72"/>
      <c r="C2671" s="73"/>
      <c r="D2671" s="74"/>
      <c r="G2671" s="75"/>
    </row>
    <row r="2672" spans="2:7" x14ac:dyDescent="0.3">
      <c r="B2672" s="72"/>
      <c r="C2672" s="73"/>
      <c r="D2672" s="74"/>
      <c r="G2672" s="75"/>
    </row>
    <row r="2673" spans="2:7" x14ac:dyDescent="0.3">
      <c r="B2673" s="72"/>
      <c r="C2673" s="73"/>
      <c r="D2673" s="74"/>
      <c r="G2673" s="75"/>
    </row>
    <row r="2674" spans="2:7" x14ac:dyDescent="0.3">
      <c r="B2674" s="72"/>
      <c r="C2674" s="73"/>
      <c r="D2674" s="74"/>
      <c r="G2674" s="75"/>
    </row>
    <row r="2675" spans="2:7" x14ac:dyDescent="0.3">
      <c r="B2675" s="72"/>
      <c r="C2675" s="73"/>
      <c r="D2675" s="74"/>
      <c r="G2675" s="75"/>
    </row>
    <row r="2676" spans="2:7" x14ac:dyDescent="0.3">
      <c r="B2676" s="72"/>
      <c r="C2676" s="73"/>
      <c r="D2676" s="74"/>
      <c r="G2676" s="75"/>
    </row>
    <row r="2677" spans="2:7" x14ac:dyDescent="0.3">
      <c r="B2677" s="72"/>
      <c r="C2677" s="73"/>
      <c r="D2677" s="74"/>
      <c r="G2677" s="75"/>
    </row>
    <row r="2678" spans="2:7" x14ac:dyDescent="0.3">
      <c r="B2678" s="72"/>
      <c r="C2678" s="73"/>
      <c r="D2678" s="74"/>
      <c r="G2678" s="75"/>
    </row>
    <row r="2679" spans="2:7" x14ac:dyDescent="0.3">
      <c r="B2679" s="72"/>
      <c r="C2679" s="73"/>
      <c r="D2679" s="74"/>
      <c r="G2679" s="75"/>
    </row>
    <row r="2680" spans="2:7" x14ac:dyDescent="0.3">
      <c r="B2680" s="72"/>
      <c r="C2680" s="73"/>
      <c r="D2680" s="74"/>
      <c r="G2680" s="75"/>
    </row>
    <row r="2681" spans="2:7" x14ac:dyDescent="0.3">
      <c r="B2681" s="72"/>
      <c r="C2681" s="73"/>
      <c r="D2681" s="74"/>
      <c r="G2681" s="75"/>
    </row>
    <row r="2682" spans="2:7" x14ac:dyDescent="0.3">
      <c r="B2682" s="72"/>
      <c r="C2682" s="73"/>
      <c r="D2682" s="74"/>
      <c r="G2682" s="75"/>
    </row>
    <row r="2683" spans="2:7" x14ac:dyDescent="0.3">
      <c r="B2683" s="72"/>
      <c r="C2683" s="73"/>
      <c r="D2683" s="74"/>
      <c r="G2683" s="75"/>
    </row>
    <row r="2684" spans="2:7" x14ac:dyDescent="0.3">
      <c r="B2684" s="72"/>
      <c r="C2684" s="73"/>
      <c r="D2684" s="74"/>
      <c r="G2684" s="75"/>
    </row>
    <row r="2685" spans="2:7" x14ac:dyDescent="0.3">
      <c r="B2685" s="72"/>
      <c r="C2685" s="73"/>
      <c r="D2685" s="74"/>
      <c r="G2685" s="75"/>
    </row>
    <row r="2686" spans="2:7" x14ac:dyDescent="0.3">
      <c r="B2686" s="72"/>
      <c r="C2686" s="73"/>
      <c r="D2686" s="74"/>
      <c r="G2686" s="75"/>
    </row>
    <row r="2687" spans="2:7" x14ac:dyDescent="0.3">
      <c r="B2687" s="72"/>
      <c r="C2687" s="73"/>
      <c r="D2687" s="74"/>
      <c r="G2687" s="75"/>
    </row>
    <row r="2688" spans="2:7" x14ac:dyDescent="0.3">
      <c r="B2688" s="72"/>
      <c r="C2688" s="73"/>
      <c r="D2688" s="74"/>
      <c r="G2688" s="75"/>
    </row>
    <row r="2689" spans="2:7" x14ac:dyDescent="0.3">
      <c r="B2689" s="72"/>
      <c r="C2689" s="73"/>
      <c r="D2689" s="74"/>
      <c r="G2689" s="75"/>
    </row>
    <row r="2690" spans="2:7" x14ac:dyDescent="0.3">
      <c r="B2690" s="72"/>
      <c r="C2690" s="73"/>
      <c r="D2690" s="74"/>
      <c r="G2690" s="75"/>
    </row>
    <row r="2691" spans="2:7" x14ac:dyDescent="0.3">
      <c r="B2691" s="72"/>
      <c r="C2691" s="73"/>
      <c r="D2691" s="74"/>
      <c r="G2691" s="75"/>
    </row>
    <row r="2692" spans="2:7" x14ac:dyDescent="0.3">
      <c r="B2692" s="72"/>
      <c r="C2692" s="73"/>
      <c r="D2692" s="74"/>
      <c r="G2692" s="75"/>
    </row>
    <row r="2693" spans="2:7" x14ac:dyDescent="0.3">
      <c r="B2693" s="72"/>
      <c r="C2693" s="73"/>
      <c r="D2693" s="74"/>
      <c r="G2693" s="75"/>
    </row>
    <row r="2694" spans="2:7" x14ac:dyDescent="0.3">
      <c r="B2694" s="72"/>
      <c r="C2694" s="73"/>
      <c r="D2694" s="74"/>
      <c r="G2694" s="75"/>
    </row>
    <row r="2695" spans="2:7" x14ac:dyDescent="0.3">
      <c r="B2695" s="72"/>
      <c r="C2695" s="73"/>
      <c r="D2695" s="74"/>
      <c r="G2695" s="75"/>
    </row>
    <row r="2696" spans="2:7" x14ac:dyDescent="0.3">
      <c r="B2696" s="72"/>
      <c r="C2696" s="73"/>
      <c r="D2696" s="74"/>
      <c r="G2696" s="75"/>
    </row>
    <row r="2697" spans="2:7" x14ac:dyDescent="0.3">
      <c r="B2697" s="72"/>
      <c r="C2697" s="73"/>
      <c r="D2697" s="74"/>
      <c r="G2697" s="75"/>
    </row>
    <row r="2698" spans="2:7" x14ac:dyDescent="0.3">
      <c r="B2698" s="72"/>
      <c r="C2698" s="73"/>
      <c r="D2698" s="74"/>
      <c r="G2698" s="75"/>
    </row>
    <row r="2699" spans="2:7" x14ac:dyDescent="0.3">
      <c r="B2699" s="72"/>
      <c r="C2699" s="73"/>
      <c r="D2699" s="74"/>
      <c r="G2699" s="75"/>
    </row>
    <row r="2700" spans="2:7" x14ac:dyDescent="0.3">
      <c r="B2700" s="72"/>
      <c r="C2700" s="73"/>
      <c r="D2700" s="74"/>
      <c r="G2700" s="75"/>
    </row>
    <row r="2701" spans="2:7" x14ac:dyDescent="0.3">
      <c r="B2701" s="72"/>
      <c r="C2701" s="73"/>
      <c r="D2701" s="74"/>
      <c r="G2701" s="75"/>
    </row>
    <row r="2702" spans="2:7" x14ac:dyDescent="0.3">
      <c r="B2702" s="72"/>
      <c r="C2702" s="73"/>
      <c r="D2702" s="74"/>
      <c r="G2702" s="75"/>
    </row>
    <row r="2703" spans="2:7" x14ac:dyDescent="0.3">
      <c r="B2703" s="72"/>
      <c r="C2703" s="73"/>
      <c r="D2703" s="74"/>
      <c r="G2703" s="75"/>
    </row>
    <row r="2704" spans="2:7" x14ac:dyDescent="0.3">
      <c r="B2704" s="72"/>
      <c r="C2704" s="73"/>
      <c r="D2704" s="74"/>
      <c r="G2704" s="75"/>
    </row>
    <row r="2705" spans="2:7" x14ac:dyDescent="0.3">
      <c r="B2705" s="72"/>
      <c r="C2705" s="73"/>
      <c r="D2705" s="74"/>
      <c r="G2705" s="75"/>
    </row>
    <row r="2706" spans="2:7" x14ac:dyDescent="0.3">
      <c r="B2706" s="72"/>
      <c r="C2706" s="73"/>
      <c r="D2706" s="74"/>
      <c r="G2706" s="75"/>
    </row>
    <row r="2707" spans="2:7" x14ac:dyDescent="0.3">
      <c r="B2707" s="72"/>
      <c r="C2707" s="73"/>
      <c r="D2707" s="74"/>
      <c r="G2707" s="75"/>
    </row>
    <row r="2708" spans="2:7" x14ac:dyDescent="0.3">
      <c r="B2708" s="72"/>
      <c r="C2708" s="73"/>
      <c r="D2708" s="74"/>
      <c r="G2708" s="75"/>
    </row>
    <row r="2709" spans="2:7" x14ac:dyDescent="0.3">
      <c r="B2709" s="72"/>
      <c r="C2709" s="73"/>
      <c r="D2709" s="74"/>
      <c r="G2709" s="75"/>
    </row>
    <row r="2710" spans="2:7" x14ac:dyDescent="0.3">
      <c r="B2710" s="72"/>
      <c r="C2710" s="73"/>
      <c r="D2710" s="74"/>
      <c r="G2710" s="75"/>
    </row>
    <row r="2711" spans="2:7" x14ac:dyDescent="0.3">
      <c r="B2711" s="72"/>
      <c r="C2711" s="73"/>
      <c r="D2711" s="74"/>
      <c r="G2711" s="75"/>
    </row>
    <row r="2712" spans="2:7" x14ac:dyDescent="0.3">
      <c r="B2712" s="72"/>
      <c r="C2712" s="73"/>
      <c r="D2712" s="74"/>
      <c r="G2712" s="75"/>
    </row>
    <row r="2713" spans="2:7" x14ac:dyDescent="0.3">
      <c r="B2713" s="72"/>
      <c r="C2713" s="73"/>
      <c r="D2713" s="74"/>
      <c r="G2713" s="75"/>
    </row>
    <row r="2714" spans="2:7" x14ac:dyDescent="0.3">
      <c r="B2714" s="72"/>
      <c r="C2714" s="73"/>
      <c r="D2714" s="74"/>
      <c r="G2714" s="75"/>
    </row>
    <row r="2715" spans="2:7" x14ac:dyDescent="0.3">
      <c r="B2715" s="72"/>
      <c r="C2715" s="73"/>
      <c r="D2715" s="74"/>
      <c r="G2715" s="75"/>
    </row>
    <row r="2716" spans="2:7" x14ac:dyDescent="0.3">
      <c r="B2716" s="72"/>
      <c r="C2716" s="73"/>
      <c r="D2716" s="74"/>
      <c r="G2716" s="75"/>
    </row>
    <row r="2717" spans="2:7" x14ac:dyDescent="0.3">
      <c r="B2717" s="72"/>
      <c r="C2717" s="73"/>
      <c r="D2717" s="74"/>
      <c r="G2717" s="75"/>
    </row>
    <row r="2718" spans="2:7" x14ac:dyDescent="0.3">
      <c r="B2718" s="72"/>
      <c r="C2718" s="73"/>
      <c r="D2718" s="74"/>
      <c r="G2718" s="75"/>
    </row>
    <row r="2719" spans="2:7" x14ac:dyDescent="0.3">
      <c r="B2719" s="72"/>
      <c r="C2719" s="73"/>
      <c r="D2719" s="74"/>
      <c r="G2719" s="75"/>
    </row>
    <row r="2720" spans="2:7" x14ac:dyDescent="0.3">
      <c r="B2720" s="72"/>
      <c r="C2720" s="73"/>
      <c r="D2720" s="74"/>
      <c r="G2720" s="75"/>
    </row>
    <row r="2721" spans="2:7" x14ac:dyDescent="0.3">
      <c r="B2721" s="72"/>
      <c r="C2721" s="73"/>
      <c r="D2721" s="74"/>
      <c r="G2721" s="75"/>
    </row>
    <row r="2722" spans="2:7" x14ac:dyDescent="0.3">
      <c r="B2722" s="72"/>
      <c r="C2722" s="73"/>
      <c r="D2722" s="74"/>
      <c r="G2722" s="75"/>
    </row>
    <row r="2723" spans="2:7" x14ac:dyDescent="0.3">
      <c r="B2723" s="72"/>
      <c r="C2723" s="73"/>
      <c r="D2723" s="74"/>
      <c r="G2723" s="75"/>
    </row>
    <row r="2724" spans="2:7" x14ac:dyDescent="0.3">
      <c r="B2724" s="72"/>
      <c r="C2724" s="73"/>
      <c r="D2724" s="74"/>
      <c r="G2724" s="75"/>
    </row>
    <row r="2725" spans="2:7" x14ac:dyDescent="0.3">
      <c r="B2725" s="72"/>
      <c r="C2725" s="73"/>
      <c r="D2725" s="74"/>
      <c r="G2725" s="75"/>
    </row>
    <row r="2726" spans="2:7" x14ac:dyDescent="0.3">
      <c r="B2726" s="72"/>
      <c r="C2726" s="73"/>
      <c r="D2726" s="74"/>
      <c r="G2726" s="75"/>
    </row>
    <row r="2727" spans="2:7" x14ac:dyDescent="0.3">
      <c r="B2727" s="72"/>
      <c r="C2727" s="73"/>
      <c r="D2727" s="74"/>
      <c r="G2727" s="75"/>
    </row>
    <row r="2728" spans="2:7" x14ac:dyDescent="0.3">
      <c r="B2728" s="72"/>
      <c r="C2728" s="73"/>
      <c r="D2728" s="74"/>
      <c r="G2728" s="75"/>
    </row>
    <row r="2729" spans="2:7" x14ac:dyDescent="0.3">
      <c r="B2729" s="72"/>
      <c r="C2729" s="73"/>
      <c r="D2729" s="74"/>
      <c r="G2729" s="75"/>
    </row>
    <row r="2730" spans="2:7" x14ac:dyDescent="0.3">
      <c r="B2730" s="72"/>
      <c r="C2730" s="73"/>
      <c r="D2730" s="74"/>
      <c r="G2730" s="75"/>
    </row>
    <row r="2731" spans="2:7" x14ac:dyDescent="0.3">
      <c r="B2731" s="72"/>
      <c r="C2731" s="73"/>
      <c r="D2731" s="74"/>
      <c r="G2731" s="75"/>
    </row>
    <row r="2732" spans="2:7" x14ac:dyDescent="0.3">
      <c r="B2732" s="72"/>
      <c r="C2732" s="73"/>
      <c r="D2732" s="74"/>
      <c r="G2732" s="75"/>
    </row>
    <row r="2733" spans="2:7" x14ac:dyDescent="0.3">
      <c r="B2733" s="72"/>
      <c r="C2733" s="73"/>
      <c r="D2733" s="74"/>
      <c r="G2733" s="75"/>
    </row>
    <row r="2734" spans="2:7" x14ac:dyDescent="0.3">
      <c r="B2734" s="72"/>
      <c r="C2734" s="73"/>
      <c r="D2734" s="74"/>
      <c r="G2734" s="75"/>
    </row>
    <row r="2735" spans="2:7" x14ac:dyDescent="0.3">
      <c r="B2735" s="72"/>
      <c r="C2735" s="73"/>
      <c r="D2735" s="74"/>
      <c r="G2735" s="75"/>
    </row>
    <row r="2736" spans="2:7" x14ac:dyDescent="0.3">
      <c r="B2736" s="72"/>
      <c r="C2736" s="73"/>
      <c r="D2736" s="74"/>
      <c r="G2736" s="75"/>
    </row>
    <row r="2737" spans="2:7" x14ac:dyDescent="0.3">
      <c r="B2737" s="72"/>
      <c r="C2737" s="73"/>
      <c r="D2737" s="74"/>
      <c r="G2737" s="75"/>
    </row>
    <row r="2738" spans="2:7" x14ac:dyDescent="0.3">
      <c r="B2738" s="72"/>
      <c r="C2738" s="73"/>
      <c r="D2738" s="74"/>
      <c r="G2738" s="75"/>
    </row>
    <row r="2739" spans="2:7" x14ac:dyDescent="0.3">
      <c r="B2739" s="72"/>
      <c r="C2739" s="73"/>
      <c r="D2739" s="74"/>
      <c r="G2739" s="75"/>
    </row>
    <row r="2740" spans="2:7" x14ac:dyDescent="0.3">
      <c r="B2740" s="72"/>
      <c r="C2740" s="73"/>
      <c r="D2740" s="74"/>
      <c r="G2740" s="75"/>
    </row>
    <row r="2741" spans="2:7" x14ac:dyDescent="0.3">
      <c r="B2741" s="72"/>
      <c r="C2741" s="73"/>
      <c r="D2741" s="74"/>
      <c r="G2741" s="75"/>
    </row>
    <row r="2742" spans="2:7" x14ac:dyDescent="0.3">
      <c r="B2742" s="72"/>
      <c r="C2742" s="73"/>
      <c r="D2742" s="74"/>
      <c r="G2742" s="75"/>
    </row>
    <row r="2743" spans="2:7" x14ac:dyDescent="0.3">
      <c r="B2743" s="72"/>
      <c r="C2743" s="73"/>
      <c r="D2743" s="74"/>
      <c r="G2743" s="75"/>
    </row>
    <row r="2744" spans="2:7" x14ac:dyDescent="0.3">
      <c r="B2744" s="72"/>
      <c r="C2744" s="73"/>
      <c r="D2744" s="74"/>
      <c r="G2744" s="75"/>
    </row>
    <row r="2745" spans="2:7" x14ac:dyDescent="0.3">
      <c r="B2745" s="72"/>
      <c r="C2745" s="73"/>
      <c r="D2745" s="74"/>
      <c r="G2745" s="75"/>
    </row>
    <row r="2746" spans="2:7" x14ac:dyDescent="0.3">
      <c r="B2746" s="72"/>
      <c r="C2746" s="73"/>
      <c r="D2746" s="74"/>
      <c r="G2746" s="75"/>
    </row>
    <row r="2747" spans="2:7" x14ac:dyDescent="0.3">
      <c r="B2747" s="72"/>
      <c r="C2747" s="73"/>
      <c r="D2747" s="74"/>
      <c r="G2747" s="75"/>
    </row>
    <row r="2748" spans="2:7" x14ac:dyDescent="0.3">
      <c r="B2748" s="72"/>
      <c r="C2748" s="73"/>
      <c r="D2748" s="74"/>
      <c r="G2748" s="75"/>
    </row>
    <row r="2749" spans="2:7" x14ac:dyDescent="0.3">
      <c r="B2749" s="72"/>
      <c r="C2749" s="73"/>
      <c r="D2749" s="74"/>
      <c r="G2749" s="75"/>
    </row>
    <row r="2750" spans="2:7" x14ac:dyDescent="0.3">
      <c r="B2750" s="72"/>
      <c r="C2750" s="73"/>
      <c r="D2750" s="74"/>
      <c r="G2750" s="75"/>
    </row>
    <row r="2751" spans="2:7" x14ac:dyDescent="0.3">
      <c r="B2751" s="72"/>
      <c r="C2751" s="73"/>
      <c r="D2751" s="74"/>
      <c r="G2751" s="75"/>
    </row>
    <row r="2752" spans="2:7" x14ac:dyDescent="0.3">
      <c r="B2752" s="72"/>
      <c r="C2752" s="73"/>
      <c r="D2752" s="74"/>
      <c r="G2752" s="75"/>
    </row>
    <row r="2753" spans="2:7" x14ac:dyDescent="0.3">
      <c r="B2753" s="72"/>
      <c r="C2753" s="73"/>
      <c r="D2753" s="74"/>
      <c r="G2753" s="75"/>
    </row>
    <row r="2754" spans="2:7" x14ac:dyDescent="0.3">
      <c r="B2754" s="72"/>
      <c r="C2754" s="73"/>
      <c r="D2754" s="74"/>
      <c r="G2754" s="75"/>
    </row>
    <row r="2755" spans="2:7" x14ac:dyDescent="0.3">
      <c r="B2755" s="72"/>
      <c r="C2755" s="73"/>
      <c r="D2755" s="74"/>
      <c r="G2755" s="75"/>
    </row>
    <row r="2756" spans="2:7" x14ac:dyDescent="0.3">
      <c r="B2756" s="72"/>
      <c r="C2756" s="73"/>
      <c r="D2756" s="74"/>
      <c r="G2756" s="75"/>
    </row>
    <row r="2757" spans="2:7" x14ac:dyDescent="0.3">
      <c r="B2757" s="72"/>
      <c r="C2757" s="73"/>
      <c r="D2757" s="74"/>
      <c r="G2757" s="75"/>
    </row>
    <row r="2758" spans="2:7" x14ac:dyDescent="0.3">
      <c r="B2758" s="72"/>
      <c r="C2758" s="73"/>
      <c r="D2758" s="74"/>
      <c r="G2758" s="75"/>
    </row>
    <row r="2759" spans="2:7" x14ac:dyDescent="0.3">
      <c r="B2759" s="72"/>
      <c r="C2759" s="73"/>
      <c r="D2759" s="74"/>
      <c r="G2759" s="75"/>
    </row>
    <row r="2760" spans="2:7" x14ac:dyDescent="0.3">
      <c r="B2760" s="72"/>
      <c r="C2760" s="73"/>
      <c r="D2760" s="74"/>
      <c r="G2760" s="75"/>
    </row>
    <row r="2761" spans="2:7" x14ac:dyDescent="0.3">
      <c r="B2761" s="72"/>
      <c r="C2761" s="73"/>
      <c r="D2761" s="74"/>
      <c r="G2761" s="75"/>
    </row>
    <row r="2762" spans="2:7" x14ac:dyDescent="0.3">
      <c r="B2762" s="72"/>
      <c r="C2762" s="73"/>
      <c r="D2762" s="74"/>
      <c r="G2762" s="75"/>
    </row>
    <row r="2763" spans="2:7" x14ac:dyDescent="0.3">
      <c r="B2763" s="72"/>
      <c r="C2763" s="73"/>
      <c r="D2763" s="74"/>
      <c r="G2763" s="75"/>
    </row>
    <row r="2764" spans="2:7" x14ac:dyDescent="0.3">
      <c r="B2764" s="72"/>
      <c r="C2764" s="73"/>
      <c r="D2764" s="74"/>
      <c r="G2764" s="75"/>
    </row>
    <row r="2765" spans="2:7" x14ac:dyDescent="0.3">
      <c r="B2765" s="72"/>
      <c r="C2765" s="73"/>
      <c r="D2765" s="74"/>
      <c r="G2765" s="75"/>
    </row>
    <row r="2766" spans="2:7" x14ac:dyDescent="0.3">
      <c r="B2766" s="72"/>
      <c r="C2766" s="73"/>
      <c r="D2766" s="74"/>
      <c r="G2766" s="75"/>
    </row>
    <row r="2767" spans="2:7" x14ac:dyDescent="0.3">
      <c r="B2767" s="72"/>
      <c r="C2767" s="73"/>
      <c r="D2767" s="74"/>
      <c r="G2767" s="75"/>
    </row>
    <row r="2768" spans="2:7" x14ac:dyDescent="0.3">
      <c r="B2768" s="72"/>
      <c r="C2768" s="73"/>
      <c r="D2768" s="74"/>
      <c r="G2768" s="75"/>
    </row>
    <row r="2769" spans="2:7" x14ac:dyDescent="0.3">
      <c r="B2769" s="72"/>
      <c r="C2769" s="73"/>
      <c r="D2769" s="74"/>
      <c r="G2769" s="75"/>
    </row>
    <row r="2770" spans="2:7" x14ac:dyDescent="0.3">
      <c r="B2770" s="72"/>
      <c r="C2770" s="73"/>
      <c r="D2770" s="74"/>
      <c r="G2770" s="75"/>
    </row>
    <row r="2771" spans="2:7" x14ac:dyDescent="0.3">
      <c r="B2771" s="72"/>
      <c r="C2771" s="73"/>
      <c r="D2771" s="74"/>
      <c r="G2771" s="75"/>
    </row>
    <row r="2772" spans="2:7" x14ac:dyDescent="0.3">
      <c r="B2772" s="72"/>
      <c r="C2772" s="73"/>
      <c r="D2772" s="74"/>
      <c r="G2772" s="75"/>
    </row>
    <row r="2773" spans="2:7" x14ac:dyDescent="0.3">
      <c r="B2773" s="72"/>
      <c r="C2773" s="73"/>
      <c r="D2773" s="74"/>
      <c r="G2773" s="75"/>
    </row>
    <row r="2774" spans="2:7" x14ac:dyDescent="0.3">
      <c r="B2774" s="72"/>
      <c r="C2774" s="73"/>
      <c r="D2774" s="74"/>
      <c r="G2774" s="75"/>
    </row>
    <row r="2775" spans="2:7" x14ac:dyDescent="0.3">
      <c r="B2775" s="72"/>
      <c r="C2775" s="73"/>
      <c r="D2775" s="74"/>
      <c r="G2775" s="75"/>
    </row>
    <row r="2776" spans="2:7" x14ac:dyDescent="0.3">
      <c r="B2776" s="72"/>
      <c r="C2776" s="73"/>
      <c r="D2776" s="74"/>
      <c r="G2776" s="75"/>
    </row>
    <row r="2777" spans="2:7" x14ac:dyDescent="0.3">
      <c r="B2777" s="72"/>
      <c r="C2777" s="73"/>
      <c r="D2777" s="74"/>
      <c r="G2777" s="75"/>
    </row>
    <row r="2778" spans="2:7" x14ac:dyDescent="0.3">
      <c r="B2778" s="72"/>
      <c r="C2778" s="73"/>
      <c r="D2778" s="74"/>
      <c r="G2778" s="75"/>
    </row>
    <row r="2779" spans="2:7" x14ac:dyDescent="0.3">
      <c r="B2779" s="72"/>
      <c r="C2779" s="73"/>
      <c r="D2779" s="74"/>
      <c r="G2779" s="75"/>
    </row>
    <row r="2780" spans="2:7" x14ac:dyDescent="0.3">
      <c r="B2780" s="72"/>
      <c r="C2780" s="73"/>
      <c r="D2780" s="74"/>
      <c r="G2780" s="75"/>
    </row>
    <row r="2781" spans="2:7" x14ac:dyDescent="0.3">
      <c r="B2781" s="72"/>
      <c r="C2781" s="73"/>
      <c r="D2781" s="74"/>
      <c r="G2781" s="75"/>
    </row>
    <row r="2782" spans="2:7" x14ac:dyDescent="0.3">
      <c r="B2782" s="72"/>
      <c r="C2782" s="73"/>
      <c r="D2782" s="74"/>
      <c r="G2782" s="75"/>
    </row>
    <row r="2783" spans="2:7" x14ac:dyDescent="0.3">
      <c r="B2783" s="72"/>
      <c r="C2783" s="73"/>
      <c r="D2783" s="74"/>
      <c r="G2783" s="75"/>
    </row>
    <row r="2784" spans="2:7" x14ac:dyDescent="0.3">
      <c r="B2784" s="72"/>
      <c r="C2784" s="73"/>
      <c r="D2784" s="74"/>
      <c r="G2784" s="75"/>
    </row>
    <row r="2785" spans="2:7" x14ac:dyDescent="0.3">
      <c r="B2785" s="72"/>
      <c r="C2785" s="73"/>
      <c r="D2785" s="74"/>
      <c r="G2785" s="75"/>
    </row>
    <row r="2786" spans="2:7" x14ac:dyDescent="0.3">
      <c r="B2786" s="72"/>
      <c r="C2786" s="73"/>
      <c r="D2786" s="74"/>
      <c r="G2786" s="75"/>
    </row>
    <row r="2787" spans="2:7" x14ac:dyDescent="0.3">
      <c r="B2787" s="72"/>
      <c r="C2787" s="73"/>
      <c r="D2787" s="74"/>
      <c r="G2787" s="75"/>
    </row>
    <row r="2788" spans="2:7" x14ac:dyDescent="0.3">
      <c r="B2788" s="72"/>
      <c r="C2788" s="73"/>
      <c r="D2788" s="74"/>
      <c r="G2788" s="75"/>
    </row>
    <row r="2789" spans="2:7" x14ac:dyDescent="0.3">
      <c r="B2789" s="72"/>
      <c r="C2789" s="73"/>
      <c r="D2789" s="74"/>
      <c r="G2789" s="75"/>
    </row>
    <row r="2790" spans="2:7" x14ac:dyDescent="0.3">
      <c r="B2790" s="72"/>
      <c r="C2790" s="73"/>
      <c r="D2790" s="74"/>
      <c r="G2790" s="75"/>
    </row>
    <row r="2791" spans="2:7" x14ac:dyDescent="0.3">
      <c r="B2791" s="72"/>
      <c r="C2791" s="73"/>
      <c r="D2791" s="74"/>
      <c r="G2791" s="75"/>
    </row>
    <row r="2792" spans="2:7" x14ac:dyDescent="0.3">
      <c r="B2792" s="72"/>
      <c r="C2792" s="73"/>
      <c r="D2792" s="74"/>
      <c r="G2792" s="75"/>
    </row>
    <row r="2793" spans="2:7" x14ac:dyDescent="0.3">
      <c r="B2793" s="72"/>
      <c r="C2793" s="73"/>
      <c r="D2793" s="74"/>
      <c r="G2793" s="75"/>
    </row>
    <row r="2794" spans="2:7" x14ac:dyDescent="0.3">
      <c r="B2794" s="72"/>
      <c r="C2794" s="73"/>
      <c r="D2794" s="74"/>
      <c r="G2794" s="75"/>
    </row>
    <row r="2795" spans="2:7" x14ac:dyDescent="0.3">
      <c r="B2795" s="72"/>
      <c r="C2795" s="73"/>
      <c r="D2795" s="74"/>
      <c r="G2795" s="75"/>
    </row>
    <row r="2796" spans="2:7" x14ac:dyDescent="0.3">
      <c r="B2796" s="72"/>
      <c r="C2796" s="73"/>
      <c r="D2796" s="74"/>
      <c r="G2796" s="75"/>
    </row>
    <row r="2797" spans="2:7" x14ac:dyDescent="0.3">
      <c r="B2797" s="72"/>
      <c r="C2797" s="73"/>
      <c r="D2797" s="74"/>
      <c r="G2797" s="75"/>
    </row>
    <row r="2798" spans="2:7" x14ac:dyDescent="0.3">
      <c r="B2798" s="72"/>
      <c r="C2798" s="73"/>
      <c r="D2798" s="74"/>
      <c r="G2798" s="75"/>
    </row>
    <row r="2799" spans="2:7" x14ac:dyDescent="0.3">
      <c r="B2799" s="72"/>
      <c r="C2799" s="73"/>
      <c r="D2799" s="74"/>
      <c r="G2799" s="75"/>
    </row>
    <row r="2800" spans="2:7" x14ac:dyDescent="0.3">
      <c r="B2800" s="72"/>
      <c r="C2800" s="73"/>
      <c r="D2800" s="74"/>
      <c r="G2800" s="75"/>
    </row>
    <row r="2801" spans="2:7" x14ac:dyDescent="0.3">
      <c r="B2801" s="72"/>
      <c r="C2801" s="73"/>
      <c r="D2801" s="74"/>
      <c r="G2801" s="75"/>
    </row>
    <row r="2802" spans="2:7" x14ac:dyDescent="0.3">
      <c r="B2802" s="72"/>
      <c r="C2802" s="73"/>
      <c r="D2802" s="74"/>
      <c r="G2802" s="75"/>
    </row>
    <row r="2803" spans="2:7" x14ac:dyDescent="0.3">
      <c r="B2803" s="72"/>
      <c r="C2803" s="73"/>
      <c r="D2803" s="74"/>
      <c r="G2803" s="75"/>
    </row>
    <row r="2804" spans="2:7" x14ac:dyDescent="0.3">
      <c r="B2804" s="72"/>
      <c r="C2804" s="73"/>
      <c r="D2804" s="74"/>
      <c r="G2804" s="75"/>
    </row>
    <row r="2805" spans="2:7" x14ac:dyDescent="0.3">
      <c r="B2805" s="72"/>
      <c r="C2805" s="73"/>
      <c r="D2805" s="74"/>
      <c r="G2805" s="75"/>
    </row>
    <row r="2806" spans="2:7" x14ac:dyDescent="0.3">
      <c r="B2806" s="72"/>
      <c r="C2806" s="73"/>
      <c r="D2806" s="74"/>
      <c r="G2806" s="75"/>
    </row>
    <row r="2807" spans="2:7" x14ac:dyDescent="0.3">
      <c r="B2807" s="72"/>
      <c r="C2807" s="73"/>
      <c r="D2807" s="74"/>
      <c r="G2807" s="75"/>
    </row>
    <row r="2808" spans="2:7" x14ac:dyDescent="0.3">
      <c r="B2808" s="72"/>
      <c r="C2808" s="73"/>
      <c r="D2808" s="74"/>
      <c r="G2808" s="75"/>
    </row>
    <row r="2809" spans="2:7" x14ac:dyDescent="0.3">
      <c r="B2809" s="72"/>
      <c r="C2809" s="73"/>
      <c r="D2809" s="74"/>
      <c r="G2809" s="75"/>
    </row>
    <row r="2810" spans="2:7" x14ac:dyDescent="0.3">
      <c r="B2810" s="72"/>
      <c r="C2810" s="73"/>
      <c r="D2810" s="74"/>
      <c r="G2810" s="75"/>
    </row>
    <row r="2811" spans="2:7" x14ac:dyDescent="0.3">
      <c r="B2811" s="72"/>
      <c r="C2811" s="73"/>
      <c r="D2811" s="74"/>
      <c r="G2811" s="75"/>
    </row>
    <row r="2812" spans="2:7" x14ac:dyDescent="0.3">
      <c r="B2812" s="72"/>
      <c r="C2812" s="73"/>
      <c r="D2812" s="74"/>
      <c r="G2812" s="75"/>
    </row>
    <row r="2813" spans="2:7" x14ac:dyDescent="0.3">
      <c r="B2813" s="72"/>
      <c r="C2813" s="73"/>
      <c r="D2813" s="74"/>
      <c r="G2813" s="75"/>
    </row>
    <row r="2814" spans="2:7" x14ac:dyDescent="0.3">
      <c r="B2814" s="72"/>
      <c r="C2814" s="73"/>
      <c r="D2814" s="74"/>
      <c r="G2814" s="75"/>
    </row>
    <row r="2815" spans="2:7" x14ac:dyDescent="0.3">
      <c r="B2815" s="72"/>
      <c r="C2815" s="73"/>
      <c r="D2815" s="74"/>
      <c r="G2815" s="75"/>
    </row>
    <row r="2816" spans="2:7" x14ac:dyDescent="0.3">
      <c r="B2816" s="72"/>
      <c r="C2816" s="73"/>
      <c r="D2816" s="74"/>
      <c r="G2816" s="75"/>
    </row>
    <row r="2817" spans="2:7" x14ac:dyDescent="0.3">
      <c r="B2817" s="72"/>
      <c r="C2817" s="73"/>
      <c r="D2817" s="74"/>
      <c r="G2817" s="75"/>
    </row>
    <row r="2818" spans="2:7" x14ac:dyDescent="0.3">
      <c r="B2818" s="72"/>
      <c r="C2818" s="73"/>
      <c r="D2818" s="74"/>
      <c r="G2818" s="75"/>
    </row>
    <row r="2819" spans="2:7" x14ac:dyDescent="0.3">
      <c r="B2819" s="72"/>
      <c r="C2819" s="73"/>
      <c r="D2819" s="74"/>
      <c r="G2819" s="75"/>
    </row>
    <row r="2820" spans="2:7" x14ac:dyDescent="0.3">
      <c r="B2820" s="72"/>
      <c r="C2820" s="73"/>
      <c r="D2820" s="74"/>
      <c r="G2820" s="75"/>
    </row>
    <row r="2821" spans="2:7" x14ac:dyDescent="0.3">
      <c r="B2821" s="72"/>
      <c r="C2821" s="73"/>
      <c r="D2821" s="74"/>
      <c r="G2821" s="75"/>
    </row>
    <row r="2822" spans="2:7" x14ac:dyDescent="0.3">
      <c r="B2822" s="72"/>
      <c r="C2822" s="73"/>
      <c r="D2822" s="74"/>
      <c r="G2822" s="75"/>
    </row>
    <row r="2823" spans="2:7" x14ac:dyDescent="0.3">
      <c r="B2823" s="72"/>
      <c r="C2823" s="73"/>
      <c r="D2823" s="74"/>
      <c r="G2823" s="75"/>
    </row>
    <row r="2824" spans="2:7" x14ac:dyDescent="0.3">
      <c r="B2824" s="72"/>
      <c r="C2824" s="73"/>
      <c r="D2824" s="74"/>
      <c r="G2824" s="75"/>
    </row>
    <row r="2825" spans="2:7" x14ac:dyDescent="0.3">
      <c r="B2825" s="72"/>
      <c r="C2825" s="73"/>
      <c r="D2825" s="74"/>
      <c r="G2825" s="75"/>
    </row>
    <row r="2826" spans="2:7" x14ac:dyDescent="0.3">
      <c r="B2826" s="72"/>
      <c r="C2826" s="73"/>
      <c r="D2826" s="74"/>
      <c r="G2826" s="75"/>
    </row>
    <row r="2827" spans="2:7" x14ac:dyDescent="0.3">
      <c r="B2827" s="72"/>
      <c r="C2827" s="73"/>
      <c r="D2827" s="74"/>
      <c r="G2827" s="75"/>
    </row>
    <row r="2828" spans="2:7" x14ac:dyDescent="0.3">
      <c r="B2828" s="72"/>
      <c r="C2828" s="73"/>
      <c r="D2828" s="74"/>
      <c r="G2828" s="75"/>
    </row>
    <row r="2829" spans="2:7" x14ac:dyDescent="0.3">
      <c r="B2829" s="72"/>
      <c r="C2829" s="73"/>
      <c r="D2829" s="74"/>
      <c r="G2829" s="75"/>
    </row>
    <row r="2830" spans="2:7" x14ac:dyDescent="0.3">
      <c r="B2830" s="72"/>
      <c r="C2830" s="73"/>
      <c r="D2830" s="74"/>
      <c r="G2830" s="75"/>
    </row>
    <row r="2831" spans="2:7" x14ac:dyDescent="0.3">
      <c r="B2831" s="72"/>
      <c r="C2831" s="73"/>
      <c r="D2831" s="74"/>
      <c r="G2831" s="75"/>
    </row>
    <row r="2832" spans="2:7" x14ac:dyDescent="0.3">
      <c r="B2832" s="72"/>
      <c r="C2832" s="73"/>
      <c r="D2832" s="74"/>
      <c r="G2832" s="75"/>
    </row>
    <row r="2833" spans="2:7" x14ac:dyDescent="0.3">
      <c r="B2833" s="72"/>
      <c r="C2833" s="73"/>
      <c r="D2833" s="74"/>
      <c r="G2833" s="75"/>
    </row>
    <row r="2834" spans="2:7" x14ac:dyDescent="0.3">
      <c r="B2834" s="72"/>
      <c r="C2834" s="73"/>
      <c r="D2834" s="74"/>
      <c r="G2834" s="75"/>
    </row>
    <row r="2835" spans="2:7" x14ac:dyDescent="0.3">
      <c r="B2835" s="72"/>
      <c r="C2835" s="73"/>
      <c r="D2835" s="74"/>
      <c r="G2835" s="75"/>
    </row>
    <row r="2836" spans="2:7" x14ac:dyDescent="0.3">
      <c r="B2836" s="72"/>
      <c r="C2836" s="73"/>
      <c r="D2836" s="74"/>
      <c r="G2836" s="75"/>
    </row>
    <row r="2837" spans="2:7" x14ac:dyDescent="0.3">
      <c r="B2837" s="72"/>
      <c r="C2837" s="73"/>
      <c r="D2837" s="74"/>
      <c r="G2837" s="75"/>
    </row>
    <row r="2838" spans="2:7" x14ac:dyDescent="0.3">
      <c r="B2838" s="72"/>
      <c r="C2838" s="73"/>
      <c r="D2838" s="74"/>
      <c r="G2838" s="75"/>
    </row>
    <row r="2839" spans="2:7" x14ac:dyDescent="0.3">
      <c r="B2839" s="72"/>
      <c r="C2839" s="73"/>
      <c r="D2839" s="74"/>
      <c r="G2839" s="75"/>
    </row>
    <row r="2840" spans="2:7" x14ac:dyDescent="0.3">
      <c r="B2840" s="72"/>
      <c r="C2840" s="73"/>
      <c r="D2840" s="74"/>
      <c r="G2840" s="75"/>
    </row>
    <row r="2841" spans="2:7" x14ac:dyDescent="0.3">
      <c r="B2841" s="72"/>
      <c r="C2841" s="73"/>
      <c r="D2841" s="74"/>
      <c r="G2841" s="75"/>
    </row>
    <row r="2842" spans="2:7" x14ac:dyDescent="0.3">
      <c r="B2842" s="72"/>
      <c r="C2842" s="73"/>
      <c r="D2842" s="74"/>
      <c r="G2842" s="75"/>
    </row>
    <row r="2843" spans="2:7" x14ac:dyDescent="0.3">
      <c r="B2843" s="72"/>
      <c r="C2843" s="73"/>
      <c r="D2843" s="74"/>
      <c r="G2843" s="75"/>
    </row>
    <row r="2844" spans="2:7" x14ac:dyDescent="0.3">
      <c r="B2844" s="72"/>
      <c r="C2844" s="73"/>
      <c r="D2844" s="74"/>
      <c r="G2844" s="75"/>
    </row>
    <row r="2845" spans="2:7" x14ac:dyDescent="0.3">
      <c r="B2845" s="72"/>
      <c r="C2845" s="73"/>
      <c r="D2845" s="74"/>
      <c r="G2845" s="75"/>
    </row>
    <row r="2846" spans="2:7" x14ac:dyDescent="0.3">
      <c r="B2846" s="72"/>
      <c r="C2846" s="73"/>
      <c r="D2846" s="74"/>
      <c r="G2846" s="75"/>
    </row>
    <row r="2847" spans="2:7" x14ac:dyDescent="0.3">
      <c r="B2847" s="72"/>
      <c r="C2847" s="73"/>
      <c r="D2847" s="74"/>
      <c r="G2847" s="75"/>
    </row>
    <row r="2848" spans="2:7" x14ac:dyDescent="0.3">
      <c r="B2848" s="72"/>
      <c r="C2848" s="73"/>
      <c r="D2848" s="74"/>
      <c r="G2848" s="75"/>
    </row>
    <row r="2849" spans="2:7" x14ac:dyDescent="0.3">
      <c r="B2849" s="72"/>
      <c r="C2849" s="73"/>
      <c r="D2849" s="74"/>
      <c r="G2849" s="75"/>
    </row>
    <row r="2850" spans="2:7" x14ac:dyDescent="0.3">
      <c r="B2850" s="72"/>
      <c r="C2850" s="73"/>
      <c r="D2850" s="74"/>
      <c r="G2850" s="75"/>
    </row>
    <row r="2851" spans="2:7" x14ac:dyDescent="0.3">
      <c r="B2851" s="72"/>
      <c r="C2851" s="73"/>
      <c r="D2851" s="74"/>
      <c r="G2851" s="75"/>
    </row>
    <row r="2852" spans="2:7" x14ac:dyDescent="0.3">
      <c r="B2852" s="72"/>
      <c r="C2852" s="73"/>
      <c r="D2852" s="74"/>
      <c r="G2852" s="75"/>
    </row>
    <row r="2853" spans="2:7" x14ac:dyDescent="0.3">
      <c r="B2853" s="72"/>
      <c r="C2853" s="73"/>
      <c r="D2853" s="74"/>
      <c r="G2853" s="75"/>
    </row>
    <row r="2854" spans="2:7" x14ac:dyDescent="0.3">
      <c r="B2854" s="72"/>
      <c r="C2854" s="73"/>
      <c r="D2854" s="74"/>
      <c r="G2854" s="75"/>
    </row>
    <row r="2855" spans="2:7" x14ac:dyDescent="0.3">
      <c r="B2855" s="72"/>
      <c r="C2855" s="73"/>
      <c r="D2855" s="74"/>
      <c r="G2855" s="75"/>
    </row>
    <row r="2856" spans="2:7" x14ac:dyDescent="0.3">
      <c r="B2856" s="72"/>
      <c r="C2856" s="73"/>
      <c r="D2856" s="74"/>
      <c r="G2856" s="75"/>
    </row>
    <row r="2857" spans="2:7" x14ac:dyDescent="0.3">
      <c r="B2857" s="72"/>
      <c r="C2857" s="73"/>
      <c r="D2857" s="74"/>
      <c r="G2857" s="75"/>
    </row>
    <row r="2858" spans="2:7" x14ac:dyDescent="0.3">
      <c r="B2858" s="72"/>
      <c r="C2858" s="73"/>
      <c r="D2858" s="74"/>
      <c r="G2858" s="75"/>
    </row>
    <row r="2859" spans="2:7" x14ac:dyDescent="0.3">
      <c r="B2859" s="72"/>
      <c r="C2859" s="73"/>
      <c r="D2859" s="74"/>
      <c r="G2859" s="75"/>
    </row>
    <row r="2860" spans="2:7" x14ac:dyDescent="0.3">
      <c r="B2860" s="72"/>
      <c r="C2860" s="73"/>
      <c r="D2860" s="74"/>
      <c r="G2860" s="75"/>
    </row>
    <row r="2861" spans="2:7" x14ac:dyDescent="0.3">
      <c r="B2861" s="72"/>
      <c r="C2861" s="73"/>
      <c r="D2861" s="74"/>
      <c r="G2861" s="75"/>
    </row>
    <row r="2862" spans="2:7" x14ac:dyDescent="0.3">
      <c r="B2862" s="72"/>
      <c r="C2862" s="73"/>
      <c r="D2862" s="74"/>
      <c r="G2862" s="75"/>
    </row>
    <row r="2863" spans="2:7" x14ac:dyDescent="0.3">
      <c r="B2863" s="72"/>
      <c r="C2863" s="73"/>
      <c r="D2863" s="74"/>
      <c r="G2863" s="75"/>
    </row>
    <row r="2864" spans="2:7" x14ac:dyDescent="0.3">
      <c r="B2864" s="72"/>
      <c r="C2864" s="73"/>
      <c r="D2864" s="74"/>
      <c r="G2864" s="75"/>
    </row>
    <row r="2865" spans="2:7" x14ac:dyDescent="0.3">
      <c r="B2865" s="72"/>
      <c r="C2865" s="73"/>
      <c r="D2865" s="74"/>
      <c r="G2865" s="75"/>
    </row>
    <row r="2866" spans="2:7" x14ac:dyDescent="0.3">
      <c r="B2866" s="72"/>
      <c r="C2866" s="73"/>
      <c r="D2866" s="74"/>
      <c r="G2866" s="75"/>
    </row>
    <row r="2867" spans="2:7" x14ac:dyDescent="0.3">
      <c r="B2867" s="72"/>
      <c r="C2867" s="73"/>
      <c r="D2867" s="74"/>
      <c r="G2867" s="75"/>
    </row>
    <row r="2868" spans="2:7" x14ac:dyDescent="0.3">
      <c r="B2868" s="72"/>
      <c r="C2868" s="73"/>
      <c r="D2868" s="74"/>
      <c r="G2868" s="75"/>
    </row>
    <row r="2869" spans="2:7" x14ac:dyDescent="0.3">
      <c r="B2869" s="72"/>
      <c r="C2869" s="73"/>
      <c r="D2869" s="74"/>
      <c r="G2869" s="75"/>
    </row>
    <row r="2870" spans="2:7" x14ac:dyDescent="0.3">
      <c r="B2870" s="72"/>
      <c r="C2870" s="73"/>
      <c r="D2870" s="74"/>
      <c r="G2870" s="75"/>
    </row>
    <row r="2871" spans="2:7" x14ac:dyDescent="0.3">
      <c r="B2871" s="72"/>
      <c r="C2871" s="73"/>
      <c r="D2871" s="74"/>
      <c r="G2871" s="75"/>
    </row>
    <row r="2872" spans="2:7" x14ac:dyDescent="0.3">
      <c r="B2872" s="72"/>
      <c r="C2872" s="73"/>
      <c r="D2872" s="74"/>
      <c r="G2872" s="75"/>
    </row>
    <row r="2873" spans="2:7" x14ac:dyDescent="0.3">
      <c r="B2873" s="72"/>
      <c r="C2873" s="73"/>
      <c r="D2873" s="74"/>
      <c r="G2873" s="75"/>
    </row>
    <row r="2874" spans="2:7" x14ac:dyDescent="0.3">
      <c r="B2874" s="72"/>
      <c r="C2874" s="73"/>
      <c r="D2874" s="74"/>
      <c r="G2874" s="75"/>
    </row>
    <row r="2875" spans="2:7" x14ac:dyDescent="0.3">
      <c r="B2875" s="72"/>
      <c r="C2875" s="73"/>
      <c r="D2875" s="74"/>
      <c r="G2875" s="75"/>
    </row>
    <row r="2876" spans="2:7" x14ac:dyDescent="0.3">
      <c r="B2876" s="72"/>
      <c r="C2876" s="73"/>
      <c r="D2876" s="74"/>
      <c r="G2876" s="75"/>
    </row>
    <row r="2877" spans="2:7" x14ac:dyDescent="0.3">
      <c r="B2877" s="72"/>
      <c r="C2877" s="73"/>
      <c r="D2877" s="74"/>
      <c r="G2877" s="75"/>
    </row>
    <row r="2878" spans="2:7" x14ac:dyDescent="0.3">
      <c r="B2878" s="72"/>
      <c r="C2878" s="73"/>
      <c r="D2878" s="74"/>
      <c r="G2878" s="75"/>
    </row>
    <row r="2879" spans="2:7" x14ac:dyDescent="0.3">
      <c r="B2879" s="72"/>
      <c r="C2879" s="73"/>
      <c r="D2879" s="74"/>
      <c r="G2879" s="75"/>
    </row>
    <row r="2880" spans="2:7" x14ac:dyDescent="0.3">
      <c r="B2880" s="72"/>
      <c r="C2880" s="73"/>
      <c r="D2880" s="74"/>
      <c r="G2880" s="75"/>
    </row>
    <row r="2881" spans="2:7" x14ac:dyDescent="0.3">
      <c r="B2881" s="72"/>
      <c r="C2881" s="73"/>
      <c r="D2881" s="74"/>
      <c r="G2881" s="75"/>
    </row>
    <row r="2882" spans="2:7" x14ac:dyDescent="0.3">
      <c r="B2882" s="72"/>
      <c r="C2882" s="73"/>
      <c r="D2882" s="74"/>
      <c r="G2882" s="75"/>
    </row>
    <row r="2883" spans="2:7" x14ac:dyDescent="0.3">
      <c r="B2883" s="72"/>
      <c r="C2883" s="73"/>
      <c r="D2883" s="74"/>
      <c r="G2883" s="75"/>
    </row>
    <row r="2884" spans="2:7" x14ac:dyDescent="0.3">
      <c r="B2884" s="72"/>
      <c r="C2884" s="73"/>
      <c r="D2884" s="74"/>
      <c r="G2884" s="75"/>
    </row>
    <row r="2885" spans="2:7" x14ac:dyDescent="0.3">
      <c r="B2885" s="72"/>
      <c r="C2885" s="73"/>
      <c r="D2885" s="74"/>
      <c r="G2885" s="75"/>
    </row>
    <row r="2886" spans="2:7" x14ac:dyDescent="0.3">
      <c r="B2886" s="72"/>
      <c r="C2886" s="73"/>
      <c r="D2886" s="74"/>
      <c r="G2886" s="75"/>
    </row>
    <row r="2887" spans="2:7" x14ac:dyDescent="0.3">
      <c r="B2887" s="72"/>
      <c r="C2887" s="73"/>
      <c r="D2887" s="74"/>
      <c r="G2887" s="75"/>
    </row>
    <row r="2888" spans="2:7" x14ac:dyDescent="0.3">
      <c r="B2888" s="72"/>
      <c r="C2888" s="73"/>
      <c r="D2888" s="74"/>
      <c r="G2888" s="75"/>
    </row>
    <row r="2889" spans="2:7" x14ac:dyDescent="0.3">
      <c r="B2889" s="72"/>
      <c r="C2889" s="73"/>
      <c r="D2889" s="74"/>
      <c r="G2889" s="75"/>
    </row>
    <row r="2890" spans="2:7" x14ac:dyDescent="0.3">
      <c r="B2890" s="72"/>
      <c r="C2890" s="73"/>
      <c r="D2890" s="74"/>
      <c r="G2890" s="75"/>
    </row>
    <row r="2891" spans="2:7" x14ac:dyDescent="0.3">
      <c r="B2891" s="72"/>
      <c r="C2891" s="73"/>
      <c r="D2891" s="74"/>
      <c r="G2891" s="75"/>
    </row>
    <row r="2892" spans="2:7" x14ac:dyDescent="0.3">
      <c r="B2892" s="72"/>
      <c r="C2892" s="73"/>
      <c r="D2892" s="74"/>
      <c r="G2892" s="75"/>
    </row>
    <row r="2893" spans="2:7" x14ac:dyDescent="0.3">
      <c r="B2893" s="72"/>
      <c r="C2893" s="73"/>
      <c r="D2893" s="74"/>
      <c r="G2893" s="75"/>
    </row>
    <row r="2894" spans="2:7" x14ac:dyDescent="0.3">
      <c r="B2894" s="72"/>
      <c r="C2894" s="73"/>
      <c r="D2894" s="74"/>
      <c r="G2894" s="75"/>
    </row>
    <row r="2895" spans="2:7" x14ac:dyDescent="0.3">
      <c r="B2895" s="72"/>
      <c r="C2895" s="73"/>
      <c r="D2895" s="74"/>
      <c r="G2895" s="75"/>
    </row>
    <row r="2896" spans="2:7" x14ac:dyDescent="0.3">
      <c r="B2896" s="72"/>
      <c r="C2896" s="73"/>
      <c r="D2896" s="74"/>
      <c r="G2896" s="75"/>
    </row>
    <row r="2897" spans="2:7" x14ac:dyDescent="0.3">
      <c r="B2897" s="72"/>
      <c r="C2897" s="73"/>
      <c r="D2897" s="74"/>
      <c r="G2897" s="75"/>
    </row>
    <row r="2898" spans="2:7" x14ac:dyDescent="0.3">
      <c r="B2898" s="72"/>
      <c r="C2898" s="73"/>
      <c r="D2898" s="74"/>
      <c r="G2898" s="75"/>
    </row>
    <row r="2899" spans="2:7" x14ac:dyDescent="0.3">
      <c r="B2899" s="72"/>
      <c r="C2899" s="73"/>
      <c r="D2899" s="74"/>
      <c r="G2899" s="75"/>
    </row>
    <row r="2900" spans="2:7" x14ac:dyDescent="0.3">
      <c r="B2900" s="72"/>
      <c r="C2900" s="73"/>
      <c r="D2900" s="74"/>
      <c r="G2900" s="75"/>
    </row>
    <row r="2901" spans="2:7" x14ac:dyDescent="0.3">
      <c r="B2901" s="72"/>
      <c r="C2901" s="73"/>
      <c r="D2901" s="74"/>
      <c r="G2901" s="75"/>
    </row>
    <row r="2902" spans="2:7" x14ac:dyDescent="0.3">
      <c r="B2902" s="72"/>
      <c r="C2902" s="73"/>
      <c r="D2902" s="74"/>
      <c r="G2902" s="75"/>
    </row>
    <row r="2903" spans="2:7" x14ac:dyDescent="0.3">
      <c r="B2903" s="72"/>
      <c r="C2903" s="73"/>
      <c r="D2903" s="74"/>
      <c r="G2903" s="75"/>
    </row>
    <row r="2904" spans="2:7" x14ac:dyDescent="0.3">
      <c r="B2904" s="72"/>
      <c r="C2904" s="73"/>
      <c r="D2904" s="74"/>
      <c r="G2904" s="75"/>
    </row>
    <row r="2905" spans="2:7" x14ac:dyDescent="0.3">
      <c r="B2905" s="72"/>
      <c r="C2905" s="73"/>
      <c r="D2905" s="74"/>
      <c r="G2905" s="75"/>
    </row>
    <row r="2906" spans="2:7" x14ac:dyDescent="0.3">
      <c r="B2906" s="72"/>
      <c r="C2906" s="73"/>
      <c r="D2906" s="74"/>
      <c r="G2906" s="75"/>
    </row>
    <row r="2907" spans="2:7" x14ac:dyDescent="0.3">
      <c r="B2907" s="72"/>
      <c r="C2907" s="73"/>
      <c r="D2907" s="74"/>
      <c r="G2907" s="75"/>
    </row>
    <row r="2908" spans="2:7" x14ac:dyDescent="0.3">
      <c r="B2908" s="72"/>
      <c r="C2908" s="73"/>
      <c r="D2908" s="74"/>
      <c r="G2908" s="75"/>
    </row>
    <row r="2909" spans="2:7" x14ac:dyDescent="0.3">
      <c r="B2909" s="72"/>
      <c r="C2909" s="73"/>
      <c r="D2909" s="74"/>
      <c r="G2909" s="75"/>
    </row>
    <row r="2910" spans="2:7" x14ac:dyDescent="0.3">
      <c r="B2910" s="72"/>
      <c r="C2910" s="73"/>
      <c r="D2910" s="74"/>
      <c r="G2910" s="75"/>
    </row>
    <row r="2911" spans="2:7" x14ac:dyDescent="0.3">
      <c r="B2911" s="72"/>
      <c r="C2911" s="73"/>
      <c r="D2911" s="74"/>
      <c r="G2911" s="75"/>
    </row>
    <row r="2912" spans="2:7" x14ac:dyDescent="0.3">
      <c r="B2912" s="72"/>
      <c r="C2912" s="73"/>
      <c r="D2912" s="74"/>
      <c r="G2912" s="75"/>
    </row>
    <row r="2913" spans="2:7" x14ac:dyDescent="0.3">
      <c r="B2913" s="72"/>
      <c r="C2913" s="73"/>
      <c r="D2913" s="74"/>
      <c r="G2913" s="75"/>
    </row>
    <row r="2914" spans="2:7" x14ac:dyDescent="0.3">
      <c r="B2914" s="72"/>
      <c r="C2914" s="73"/>
      <c r="D2914" s="74"/>
      <c r="G2914" s="75"/>
    </row>
    <row r="2915" spans="2:7" x14ac:dyDescent="0.3">
      <c r="B2915" s="72"/>
      <c r="C2915" s="73"/>
      <c r="D2915" s="74"/>
      <c r="G2915" s="75"/>
    </row>
    <row r="2916" spans="2:7" x14ac:dyDescent="0.3">
      <c r="B2916" s="72"/>
      <c r="C2916" s="73"/>
      <c r="D2916" s="74"/>
      <c r="G2916" s="75"/>
    </row>
    <row r="2917" spans="2:7" x14ac:dyDescent="0.3">
      <c r="B2917" s="72"/>
      <c r="C2917" s="73"/>
      <c r="D2917" s="74"/>
      <c r="G2917" s="75"/>
    </row>
    <row r="2918" spans="2:7" x14ac:dyDescent="0.3">
      <c r="B2918" s="72"/>
      <c r="C2918" s="73"/>
      <c r="D2918" s="74"/>
      <c r="G2918" s="75"/>
    </row>
    <row r="2919" spans="2:7" x14ac:dyDescent="0.3">
      <c r="B2919" s="72"/>
      <c r="C2919" s="73"/>
      <c r="D2919" s="74"/>
      <c r="G2919" s="75"/>
    </row>
    <row r="2920" spans="2:7" x14ac:dyDescent="0.3">
      <c r="B2920" s="72"/>
      <c r="C2920" s="73"/>
      <c r="D2920" s="74"/>
      <c r="G2920" s="75"/>
    </row>
    <row r="2921" spans="2:7" x14ac:dyDescent="0.3">
      <c r="B2921" s="72"/>
      <c r="C2921" s="73"/>
      <c r="D2921" s="74"/>
      <c r="G2921" s="75"/>
    </row>
    <row r="2922" spans="2:7" x14ac:dyDescent="0.3">
      <c r="B2922" s="72"/>
      <c r="C2922" s="73"/>
      <c r="D2922" s="74"/>
      <c r="G2922" s="75"/>
    </row>
    <row r="2923" spans="2:7" x14ac:dyDescent="0.3">
      <c r="B2923" s="72"/>
      <c r="C2923" s="73"/>
      <c r="D2923" s="74"/>
      <c r="G2923" s="75"/>
    </row>
    <row r="2924" spans="2:7" x14ac:dyDescent="0.3">
      <c r="B2924" s="72"/>
      <c r="C2924" s="73"/>
      <c r="D2924" s="74"/>
      <c r="G2924" s="75"/>
    </row>
    <row r="2925" spans="2:7" x14ac:dyDescent="0.3">
      <c r="B2925" s="72"/>
      <c r="C2925" s="73"/>
      <c r="D2925" s="74"/>
      <c r="G2925" s="75"/>
    </row>
    <row r="2926" spans="2:7" x14ac:dyDescent="0.3">
      <c r="B2926" s="72"/>
      <c r="C2926" s="73"/>
      <c r="D2926" s="74"/>
      <c r="G2926" s="75"/>
    </row>
    <row r="2927" spans="2:7" x14ac:dyDescent="0.3">
      <c r="B2927" s="72"/>
      <c r="C2927" s="73"/>
      <c r="D2927" s="74"/>
      <c r="G2927" s="75"/>
    </row>
    <row r="2928" spans="2:7" x14ac:dyDescent="0.3">
      <c r="B2928" s="72"/>
      <c r="C2928" s="73"/>
      <c r="D2928" s="74"/>
      <c r="G2928" s="75"/>
    </row>
    <row r="2929" spans="2:7" x14ac:dyDescent="0.3">
      <c r="B2929" s="72"/>
      <c r="C2929" s="73"/>
      <c r="D2929" s="74"/>
      <c r="G2929" s="75"/>
    </row>
    <row r="2930" spans="2:7" x14ac:dyDescent="0.3">
      <c r="B2930" s="72"/>
      <c r="C2930" s="73"/>
      <c r="D2930" s="74"/>
      <c r="G2930" s="75"/>
    </row>
    <row r="2931" spans="2:7" x14ac:dyDescent="0.3">
      <c r="B2931" s="72"/>
      <c r="C2931" s="73"/>
      <c r="D2931" s="74"/>
      <c r="G2931" s="75"/>
    </row>
    <row r="2932" spans="2:7" x14ac:dyDescent="0.3">
      <c r="B2932" s="72"/>
      <c r="C2932" s="73"/>
      <c r="D2932" s="74"/>
      <c r="G2932" s="75"/>
    </row>
    <row r="2933" spans="2:7" x14ac:dyDescent="0.3">
      <c r="B2933" s="72"/>
      <c r="C2933" s="73"/>
      <c r="D2933" s="74"/>
      <c r="G2933" s="75"/>
    </row>
    <row r="2934" spans="2:7" x14ac:dyDescent="0.3">
      <c r="B2934" s="72"/>
      <c r="C2934" s="73"/>
      <c r="D2934" s="74"/>
      <c r="G2934" s="75"/>
    </row>
    <row r="2935" spans="2:7" x14ac:dyDescent="0.3">
      <c r="B2935" s="72"/>
      <c r="C2935" s="73"/>
      <c r="D2935" s="74"/>
      <c r="G2935" s="75"/>
    </row>
    <row r="2936" spans="2:7" x14ac:dyDescent="0.3">
      <c r="B2936" s="72"/>
      <c r="C2936" s="73"/>
      <c r="D2936" s="74"/>
      <c r="G2936" s="75"/>
    </row>
    <row r="2937" spans="2:7" x14ac:dyDescent="0.3">
      <c r="B2937" s="72"/>
      <c r="C2937" s="73"/>
      <c r="D2937" s="74"/>
      <c r="G2937" s="75"/>
    </row>
    <row r="2938" spans="2:7" x14ac:dyDescent="0.3">
      <c r="B2938" s="72"/>
      <c r="C2938" s="73"/>
      <c r="D2938" s="74"/>
      <c r="G2938" s="75"/>
    </row>
    <row r="2939" spans="2:7" x14ac:dyDescent="0.3">
      <c r="B2939" s="72"/>
      <c r="C2939" s="73"/>
      <c r="D2939" s="74"/>
      <c r="G2939" s="75"/>
    </row>
    <row r="2940" spans="2:7" x14ac:dyDescent="0.3">
      <c r="B2940" s="72"/>
      <c r="C2940" s="73"/>
      <c r="D2940" s="74"/>
      <c r="G2940" s="75"/>
    </row>
    <row r="2941" spans="2:7" x14ac:dyDescent="0.3">
      <c r="B2941" s="72"/>
      <c r="C2941" s="73"/>
      <c r="D2941" s="74"/>
      <c r="G2941" s="75"/>
    </row>
    <row r="2942" spans="2:7" x14ac:dyDescent="0.3">
      <c r="B2942" s="72"/>
      <c r="C2942" s="73"/>
      <c r="D2942" s="74"/>
      <c r="G2942" s="75"/>
    </row>
    <row r="2943" spans="2:7" x14ac:dyDescent="0.3">
      <c r="B2943" s="72"/>
      <c r="C2943" s="73"/>
      <c r="D2943" s="74"/>
      <c r="G2943" s="75"/>
    </row>
    <row r="2944" spans="2:7" x14ac:dyDescent="0.3">
      <c r="B2944" s="72"/>
      <c r="C2944" s="73"/>
      <c r="D2944" s="74"/>
      <c r="G2944" s="75"/>
    </row>
    <row r="2945" spans="2:7" x14ac:dyDescent="0.3">
      <c r="B2945" s="72"/>
      <c r="C2945" s="73"/>
      <c r="D2945" s="74"/>
      <c r="G2945" s="75"/>
    </row>
    <row r="2946" spans="2:7" x14ac:dyDescent="0.3">
      <c r="B2946" s="72"/>
      <c r="C2946" s="73"/>
      <c r="D2946" s="74"/>
      <c r="G2946" s="75"/>
    </row>
    <row r="2947" spans="2:7" x14ac:dyDescent="0.3">
      <c r="B2947" s="72"/>
      <c r="C2947" s="73"/>
      <c r="D2947" s="74"/>
      <c r="G2947" s="75"/>
    </row>
    <row r="2948" spans="2:7" x14ac:dyDescent="0.3">
      <c r="B2948" s="72"/>
      <c r="C2948" s="73"/>
      <c r="D2948" s="74"/>
      <c r="G2948" s="75"/>
    </row>
    <row r="2949" spans="2:7" x14ac:dyDescent="0.3">
      <c r="B2949" s="72"/>
      <c r="C2949" s="73"/>
      <c r="D2949" s="74"/>
      <c r="G2949" s="75"/>
    </row>
    <row r="2950" spans="2:7" x14ac:dyDescent="0.3">
      <c r="B2950" s="72"/>
      <c r="C2950" s="73"/>
      <c r="D2950" s="74"/>
      <c r="G2950" s="75"/>
    </row>
    <row r="2951" spans="2:7" x14ac:dyDescent="0.3">
      <c r="B2951" s="72"/>
      <c r="C2951" s="73"/>
      <c r="D2951" s="74"/>
      <c r="G2951" s="75"/>
    </row>
    <row r="2952" spans="2:7" x14ac:dyDescent="0.3">
      <c r="B2952" s="72"/>
      <c r="C2952" s="73"/>
      <c r="D2952" s="74"/>
      <c r="G2952" s="75"/>
    </row>
    <row r="2953" spans="2:7" x14ac:dyDescent="0.3">
      <c r="B2953" s="72"/>
      <c r="C2953" s="73"/>
      <c r="D2953" s="74"/>
      <c r="G2953" s="75"/>
    </row>
    <row r="2954" spans="2:7" x14ac:dyDescent="0.3">
      <c r="B2954" s="72"/>
      <c r="C2954" s="73"/>
      <c r="D2954" s="74"/>
      <c r="G2954" s="75"/>
    </row>
    <row r="2955" spans="2:7" x14ac:dyDescent="0.3">
      <c r="B2955" s="72"/>
      <c r="C2955" s="73"/>
      <c r="D2955" s="74"/>
      <c r="G2955" s="75"/>
    </row>
    <row r="2956" spans="2:7" x14ac:dyDescent="0.3">
      <c r="B2956" s="72"/>
      <c r="C2956" s="73"/>
      <c r="D2956" s="74"/>
      <c r="G2956" s="75"/>
    </row>
    <row r="2957" spans="2:7" x14ac:dyDescent="0.3">
      <c r="B2957" s="72"/>
      <c r="C2957" s="73"/>
      <c r="D2957" s="74"/>
      <c r="G2957" s="75"/>
    </row>
    <row r="2958" spans="2:7" x14ac:dyDescent="0.3">
      <c r="B2958" s="72"/>
      <c r="C2958" s="73"/>
      <c r="D2958" s="74"/>
      <c r="G2958" s="75"/>
    </row>
    <row r="2959" spans="2:7" x14ac:dyDescent="0.3">
      <c r="B2959" s="72"/>
      <c r="C2959" s="73"/>
      <c r="D2959" s="74"/>
      <c r="G2959" s="75"/>
    </row>
    <row r="2960" spans="2:7" x14ac:dyDescent="0.3">
      <c r="B2960" s="72"/>
      <c r="C2960" s="73"/>
      <c r="D2960" s="74"/>
      <c r="G2960" s="75"/>
    </row>
    <row r="2961" spans="2:7" x14ac:dyDescent="0.3">
      <c r="B2961" s="72"/>
      <c r="C2961" s="73"/>
      <c r="D2961" s="74"/>
      <c r="G2961" s="75"/>
    </row>
    <row r="2962" spans="2:7" x14ac:dyDescent="0.3">
      <c r="B2962" s="72"/>
      <c r="C2962" s="73"/>
      <c r="D2962" s="74"/>
      <c r="G2962" s="75"/>
    </row>
    <row r="2963" spans="2:7" x14ac:dyDescent="0.3">
      <c r="B2963" s="72"/>
      <c r="C2963" s="73"/>
      <c r="D2963" s="74"/>
      <c r="G2963" s="75"/>
    </row>
    <row r="2964" spans="2:7" x14ac:dyDescent="0.3">
      <c r="B2964" s="72"/>
      <c r="C2964" s="73"/>
      <c r="D2964" s="74"/>
      <c r="G2964" s="75"/>
    </row>
    <row r="2965" spans="2:7" x14ac:dyDescent="0.3">
      <c r="B2965" s="72"/>
      <c r="C2965" s="73"/>
      <c r="D2965" s="74"/>
      <c r="G2965" s="75"/>
    </row>
    <row r="2966" spans="2:7" x14ac:dyDescent="0.3">
      <c r="B2966" s="72"/>
      <c r="C2966" s="73"/>
      <c r="D2966" s="74"/>
      <c r="G2966" s="75"/>
    </row>
    <row r="2967" spans="2:7" x14ac:dyDescent="0.3">
      <c r="B2967" s="72"/>
      <c r="C2967" s="73"/>
      <c r="D2967" s="74"/>
      <c r="G2967" s="75"/>
    </row>
    <row r="2968" spans="2:7" x14ac:dyDescent="0.3">
      <c r="B2968" s="72"/>
      <c r="C2968" s="73"/>
      <c r="D2968" s="74"/>
      <c r="G2968" s="75"/>
    </row>
    <row r="2969" spans="2:7" x14ac:dyDescent="0.3">
      <c r="B2969" s="72"/>
      <c r="C2969" s="73"/>
      <c r="D2969" s="74"/>
      <c r="G2969" s="75"/>
    </row>
    <row r="2970" spans="2:7" x14ac:dyDescent="0.3">
      <c r="B2970" s="72"/>
      <c r="C2970" s="73"/>
      <c r="D2970" s="74"/>
      <c r="G2970" s="75"/>
    </row>
    <row r="2971" spans="2:7" x14ac:dyDescent="0.3">
      <c r="B2971" s="72"/>
      <c r="C2971" s="73"/>
      <c r="D2971" s="74"/>
      <c r="G2971" s="75"/>
    </row>
    <row r="2972" spans="2:7" x14ac:dyDescent="0.3">
      <c r="B2972" s="72"/>
      <c r="C2972" s="73"/>
      <c r="D2972" s="74"/>
      <c r="G2972" s="75"/>
    </row>
    <row r="2973" spans="2:7" x14ac:dyDescent="0.3">
      <c r="B2973" s="72"/>
      <c r="C2973" s="73"/>
      <c r="D2973" s="74"/>
      <c r="G2973" s="75"/>
    </row>
    <row r="2974" spans="2:7" x14ac:dyDescent="0.3">
      <c r="B2974" s="72"/>
      <c r="C2974" s="73"/>
      <c r="D2974" s="74"/>
      <c r="G2974" s="75"/>
    </row>
    <row r="2975" spans="2:7" x14ac:dyDescent="0.3">
      <c r="B2975" s="72"/>
      <c r="C2975" s="73"/>
      <c r="D2975" s="74"/>
      <c r="G2975" s="75"/>
    </row>
    <row r="2976" spans="2:7" x14ac:dyDescent="0.3">
      <c r="B2976" s="72"/>
      <c r="C2976" s="73"/>
      <c r="D2976" s="74"/>
      <c r="G2976" s="75"/>
    </row>
    <row r="2977" spans="2:7" x14ac:dyDescent="0.3">
      <c r="B2977" s="72"/>
      <c r="C2977" s="73"/>
      <c r="D2977" s="74"/>
      <c r="G2977" s="75"/>
    </row>
    <row r="2978" spans="2:7" x14ac:dyDescent="0.3">
      <c r="B2978" s="72"/>
      <c r="C2978" s="73"/>
      <c r="D2978" s="74"/>
      <c r="G2978" s="75"/>
    </row>
    <row r="2979" spans="2:7" x14ac:dyDescent="0.3">
      <c r="B2979" s="72"/>
      <c r="C2979" s="73"/>
      <c r="D2979" s="74"/>
      <c r="G2979" s="75"/>
    </row>
    <row r="2980" spans="2:7" x14ac:dyDescent="0.3">
      <c r="B2980" s="72"/>
      <c r="C2980" s="73"/>
      <c r="D2980" s="74"/>
      <c r="G2980" s="75"/>
    </row>
    <row r="2981" spans="2:7" x14ac:dyDescent="0.3">
      <c r="B2981" s="72"/>
      <c r="C2981" s="73"/>
      <c r="D2981" s="74"/>
      <c r="G2981" s="75"/>
    </row>
    <row r="2982" spans="2:7" x14ac:dyDescent="0.3">
      <c r="B2982" s="72"/>
      <c r="C2982" s="73"/>
      <c r="D2982" s="74"/>
      <c r="G2982" s="75"/>
    </row>
    <row r="2983" spans="2:7" x14ac:dyDescent="0.3">
      <c r="B2983" s="72"/>
      <c r="C2983" s="73"/>
      <c r="D2983" s="74"/>
      <c r="G2983" s="75"/>
    </row>
    <row r="2984" spans="2:7" x14ac:dyDescent="0.3">
      <c r="B2984" s="72"/>
      <c r="C2984" s="73"/>
      <c r="D2984" s="74"/>
      <c r="G2984" s="75"/>
    </row>
    <row r="2985" spans="2:7" x14ac:dyDescent="0.3">
      <c r="B2985" s="72"/>
      <c r="C2985" s="73"/>
      <c r="D2985" s="74"/>
      <c r="G2985" s="75"/>
    </row>
    <row r="2986" spans="2:7" x14ac:dyDescent="0.3">
      <c r="B2986" s="72"/>
      <c r="C2986" s="73"/>
      <c r="D2986" s="74"/>
      <c r="G2986" s="75"/>
    </row>
    <row r="2987" spans="2:7" x14ac:dyDescent="0.3">
      <c r="B2987" s="72"/>
      <c r="C2987" s="73"/>
      <c r="D2987" s="74"/>
      <c r="G2987" s="75"/>
    </row>
    <row r="2988" spans="2:7" x14ac:dyDescent="0.3">
      <c r="B2988" s="72"/>
      <c r="C2988" s="73"/>
      <c r="D2988" s="74"/>
      <c r="G2988" s="75"/>
    </row>
    <row r="2989" spans="2:7" x14ac:dyDescent="0.3">
      <c r="B2989" s="72"/>
      <c r="C2989" s="73"/>
      <c r="D2989" s="74"/>
      <c r="G2989" s="75"/>
    </row>
    <row r="2990" spans="2:7" x14ac:dyDescent="0.3">
      <c r="B2990" s="72"/>
      <c r="C2990" s="73"/>
      <c r="D2990" s="74"/>
      <c r="G2990" s="75"/>
    </row>
    <row r="2991" spans="2:7" x14ac:dyDescent="0.3">
      <c r="B2991" s="72"/>
      <c r="C2991" s="73"/>
      <c r="D2991" s="74"/>
      <c r="G2991" s="75"/>
    </row>
    <row r="2992" spans="2:7" x14ac:dyDescent="0.3">
      <c r="B2992" s="72"/>
      <c r="C2992" s="73"/>
      <c r="D2992" s="74"/>
      <c r="G2992" s="75"/>
    </row>
    <row r="2993" spans="2:7" x14ac:dyDescent="0.3">
      <c r="B2993" s="72"/>
      <c r="C2993" s="73"/>
      <c r="D2993" s="74"/>
      <c r="G2993" s="75"/>
    </row>
    <row r="2994" spans="2:7" x14ac:dyDescent="0.3">
      <c r="B2994" s="72"/>
      <c r="C2994" s="73"/>
      <c r="D2994" s="74"/>
      <c r="G2994" s="75"/>
    </row>
    <row r="2995" spans="2:7" x14ac:dyDescent="0.3">
      <c r="B2995" s="72"/>
      <c r="C2995" s="73"/>
      <c r="D2995" s="74"/>
      <c r="G2995" s="75"/>
    </row>
    <row r="2996" spans="2:7" x14ac:dyDescent="0.3">
      <c r="B2996" s="72"/>
      <c r="C2996" s="73"/>
      <c r="D2996" s="74"/>
      <c r="G2996" s="75"/>
    </row>
    <row r="2997" spans="2:7" x14ac:dyDescent="0.3">
      <c r="B2997" s="72"/>
      <c r="C2997" s="73"/>
      <c r="D2997" s="74"/>
      <c r="G2997" s="75"/>
    </row>
    <row r="2998" spans="2:7" x14ac:dyDescent="0.3">
      <c r="B2998" s="72"/>
      <c r="C2998" s="73"/>
      <c r="D2998" s="74"/>
      <c r="G2998" s="75"/>
    </row>
    <row r="2999" spans="2:7" x14ac:dyDescent="0.3">
      <c r="B2999" s="72"/>
      <c r="C2999" s="73"/>
      <c r="D2999" s="74"/>
      <c r="G2999" s="75"/>
    </row>
    <row r="3000" spans="2:7" x14ac:dyDescent="0.3">
      <c r="B3000" s="72"/>
      <c r="C3000" s="73"/>
      <c r="D3000" s="74"/>
      <c r="G3000" s="75"/>
    </row>
    <row r="3001" spans="2:7" x14ac:dyDescent="0.3">
      <c r="B3001" s="72"/>
      <c r="C3001" s="73"/>
      <c r="D3001" s="74"/>
      <c r="G3001" s="75"/>
    </row>
    <row r="3002" spans="2:7" x14ac:dyDescent="0.3">
      <c r="B3002" s="72"/>
      <c r="C3002" s="73"/>
      <c r="D3002" s="74"/>
      <c r="G3002" s="75"/>
    </row>
    <row r="3003" spans="2:7" x14ac:dyDescent="0.3">
      <c r="B3003" s="72"/>
      <c r="C3003" s="73"/>
      <c r="D3003" s="74"/>
      <c r="G3003" s="75"/>
    </row>
    <row r="3004" spans="2:7" x14ac:dyDescent="0.3">
      <c r="B3004" s="72"/>
      <c r="C3004" s="73"/>
      <c r="D3004" s="74"/>
      <c r="G3004" s="75"/>
    </row>
    <row r="3005" spans="2:7" x14ac:dyDescent="0.3">
      <c r="B3005" s="72"/>
      <c r="C3005" s="73"/>
      <c r="D3005" s="74"/>
      <c r="G3005" s="75"/>
    </row>
    <row r="3006" spans="2:7" x14ac:dyDescent="0.3">
      <c r="B3006" s="72"/>
      <c r="C3006" s="73"/>
      <c r="D3006" s="74"/>
      <c r="G3006" s="75"/>
    </row>
    <row r="3007" spans="2:7" x14ac:dyDescent="0.3">
      <c r="B3007" s="72"/>
      <c r="C3007" s="73"/>
      <c r="D3007" s="74"/>
      <c r="G3007" s="75"/>
    </row>
    <row r="3008" spans="2:7" x14ac:dyDescent="0.3">
      <c r="B3008" s="72"/>
      <c r="C3008" s="73"/>
      <c r="D3008" s="74"/>
      <c r="G3008" s="75"/>
    </row>
    <row r="3009" spans="2:7" x14ac:dyDescent="0.3">
      <c r="B3009" s="72"/>
      <c r="C3009" s="73"/>
      <c r="D3009" s="74"/>
      <c r="G3009" s="75"/>
    </row>
    <row r="3010" spans="2:7" x14ac:dyDescent="0.3">
      <c r="B3010" s="72"/>
      <c r="C3010" s="73"/>
      <c r="D3010" s="74"/>
      <c r="G3010" s="75"/>
    </row>
    <row r="3011" spans="2:7" x14ac:dyDescent="0.3">
      <c r="B3011" s="72"/>
      <c r="C3011" s="73"/>
      <c r="D3011" s="74"/>
      <c r="G3011" s="75"/>
    </row>
    <row r="3012" spans="2:7" x14ac:dyDescent="0.3">
      <c r="B3012" s="72"/>
      <c r="C3012" s="73"/>
      <c r="D3012" s="74"/>
      <c r="G3012" s="75"/>
    </row>
    <row r="3013" spans="2:7" x14ac:dyDescent="0.3">
      <c r="B3013" s="72"/>
      <c r="C3013" s="73"/>
      <c r="D3013" s="74"/>
      <c r="G3013" s="75"/>
    </row>
    <row r="3014" spans="2:7" x14ac:dyDescent="0.3">
      <c r="B3014" s="72"/>
      <c r="C3014" s="73"/>
      <c r="D3014" s="74"/>
      <c r="G3014" s="75"/>
    </row>
    <row r="3015" spans="2:7" x14ac:dyDescent="0.3">
      <c r="B3015" s="72"/>
      <c r="C3015" s="73"/>
      <c r="D3015" s="74"/>
      <c r="G3015" s="75"/>
    </row>
    <row r="3016" spans="2:7" x14ac:dyDescent="0.3">
      <c r="B3016" s="72"/>
      <c r="C3016" s="73"/>
      <c r="D3016" s="74"/>
      <c r="G3016" s="75"/>
    </row>
    <row r="3017" spans="2:7" x14ac:dyDescent="0.3">
      <c r="B3017" s="72"/>
      <c r="C3017" s="73"/>
      <c r="D3017" s="74"/>
      <c r="G3017" s="75"/>
    </row>
    <row r="3018" spans="2:7" x14ac:dyDescent="0.3">
      <c r="B3018" s="72"/>
      <c r="C3018" s="73"/>
      <c r="D3018" s="74"/>
      <c r="G3018" s="75"/>
    </row>
    <row r="3019" spans="2:7" x14ac:dyDescent="0.3">
      <c r="B3019" s="72"/>
      <c r="C3019" s="73"/>
      <c r="D3019" s="74"/>
      <c r="G3019" s="75"/>
    </row>
    <row r="3020" spans="2:7" x14ac:dyDescent="0.3">
      <c r="B3020" s="72"/>
      <c r="C3020" s="73"/>
      <c r="D3020" s="74"/>
      <c r="G3020" s="75"/>
    </row>
    <row r="3021" spans="2:7" x14ac:dyDescent="0.3">
      <c r="B3021" s="72"/>
      <c r="C3021" s="73"/>
      <c r="D3021" s="74"/>
      <c r="G3021" s="75"/>
    </row>
    <row r="3022" spans="2:7" x14ac:dyDescent="0.3">
      <c r="B3022" s="72"/>
      <c r="C3022" s="73"/>
      <c r="D3022" s="74"/>
      <c r="G3022" s="75"/>
    </row>
    <row r="3023" spans="2:7" x14ac:dyDescent="0.3">
      <c r="B3023" s="72"/>
      <c r="C3023" s="73"/>
      <c r="D3023" s="74"/>
      <c r="G3023" s="75"/>
    </row>
    <row r="3024" spans="2:7" x14ac:dyDescent="0.3">
      <c r="B3024" s="72"/>
      <c r="C3024" s="73"/>
      <c r="D3024" s="74"/>
      <c r="G3024" s="75"/>
    </row>
    <row r="3025" spans="2:7" x14ac:dyDescent="0.3">
      <c r="B3025" s="72"/>
      <c r="C3025" s="73"/>
      <c r="D3025" s="74"/>
      <c r="G3025" s="75"/>
    </row>
    <row r="3026" spans="2:7" x14ac:dyDescent="0.3">
      <c r="B3026" s="72"/>
      <c r="C3026" s="73"/>
      <c r="D3026" s="74"/>
      <c r="G3026" s="75"/>
    </row>
    <row r="3027" spans="2:7" x14ac:dyDescent="0.3">
      <c r="B3027" s="72"/>
      <c r="C3027" s="73"/>
      <c r="D3027" s="74"/>
      <c r="G3027" s="75"/>
    </row>
    <row r="3028" spans="2:7" x14ac:dyDescent="0.3">
      <c r="B3028" s="72"/>
      <c r="C3028" s="73"/>
      <c r="D3028" s="74"/>
      <c r="G3028" s="75"/>
    </row>
    <row r="3029" spans="2:7" x14ac:dyDescent="0.3">
      <c r="B3029" s="72"/>
      <c r="C3029" s="73"/>
      <c r="D3029" s="74"/>
      <c r="G3029" s="75"/>
    </row>
    <row r="3030" spans="2:7" x14ac:dyDescent="0.3">
      <c r="B3030" s="72"/>
      <c r="C3030" s="73"/>
      <c r="D3030" s="74"/>
      <c r="G3030" s="75"/>
    </row>
    <row r="3031" spans="2:7" x14ac:dyDescent="0.3">
      <c r="B3031" s="72"/>
      <c r="C3031" s="73"/>
      <c r="D3031" s="74"/>
      <c r="G3031" s="75"/>
    </row>
    <row r="3032" spans="2:7" x14ac:dyDescent="0.3">
      <c r="B3032" s="72"/>
      <c r="C3032" s="73"/>
      <c r="D3032" s="74"/>
      <c r="G3032" s="75"/>
    </row>
    <row r="3033" spans="2:7" x14ac:dyDescent="0.3">
      <c r="B3033" s="72"/>
      <c r="C3033" s="73"/>
      <c r="D3033" s="74"/>
      <c r="G3033" s="75"/>
    </row>
    <row r="3034" spans="2:7" x14ac:dyDescent="0.3">
      <c r="B3034" s="72"/>
      <c r="C3034" s="73"/>
      <c r="D3034" s="74"/>
      <c r="G3034" s="75"/>
    </row>
    <row r="3035" spans="2:7" x14ac:dyDescent="0.3">
      <c r="B3035" s="72"/>
      <c r="C3035" s="73"/>
      <c r="D3035" s="74"/>
      <c r="G3035" s="75"/>
    </row>
    <row r="3036" spans="2:7" x14ac:dyDescent="0.3">
      <c r="B3036" s="72"/>
      <c r="C3036" s="73"/>
      <c r="D3036" s="74"/>
      <c r="G3036" s="75"/>
    </row>
    <row r="3037" spans="2:7" x14ac:dyDescent="0.3">
      <c r="B3037" s="72"/>
      <c r="C3037" s="73"/>
      <c r="D3037" s="74"/>
      <c r="G3037" s="75"/>
    </row>
    <row r="3038" spans="2:7" x14ac:dyDescent="0.3">
      <c r="B3038" s="72"/>
      <c r="C3038" s="73"/>
      <c r="D3038" s="74"/>
      <c r="G3038" s="75"/>
    </row>
    <row r="3039" spans="2:7" x14ac:dyDescent="0.3">
      <c r="B3039" s="72"/>
      <c r="C3039" s="73"/>
      <c r="D3039" s="74"/>
      <c r="G3039" s="75"/>
    </row>
    <row r="3040" spans="2:7" x14ac:dyDescent="0.3">
      <c r="B3040" s="72"/>
      <c r="C3040" s="73"/>
      <c r="D3040" s="74"/>
      <c r="G3040" s="75"/>
    </row>
    <row r="3041" spans="2:7" x14ac:dyDescent="0.3">
      <c r="B3041" s="72"/>
      <c r="C3041" s="73"/>
      <c r="D3041" s="74"/>
      <c r="G3041" s="75"/>
    </row>
    <row r="3042" spans="2:7" x14ac:dyDescent="0.3">
      <c r="B3042" s="72"/>
      <c r="C3042" s="73"/>
      <c r="D3042" s="74"/>
      <c r="G3042" s="75"/>
    </row>
    <row r="3043" spans="2:7" x14ac:dyDescent="0.3">
      <c r="B3043" s="72"/>
      <c r="C3043" s="73"/>
      <c r="D3043" s="74"/>
      <c r="G3043" s="75"/>
    </row>
    <row r="3044" spans="2:7" x14ac:dyDescent="0.3">
      <c r="B3044" s="72"/>
      <c r="C3044" s="73"/>
      <c r="D3044" s="74"/>
      <c r="G3044" s="75"/>
    </row>
    <row r="3045" spans="2:7" x14ac:dyDescent="0.3">
      <c r="B3045" s="72"/>
      <c r="C3045" s="73"/>
      <c r="D3045" s="74"/>
      <c r="G3045" s="75"/>
    </row>
    <row r="3046" spans="2:7" x14ac:dyDescent="0.3">
      <c r="B3046" s="72"/>
      <c r="C3046" s="73"/>
      <c r="D3046" s="74"/>
      <c r="G3046" s="75"/>
    </row>
    <row r="3047" spans="2:7" x14ac:dyDescent="0.3">
      <c r="B3047" s="72"/>
      <c r="C3047" s="73"/>
      <c r="D3047" s="74"/>
      <c r="G3047" s="75"/>
    </row>
    <row r="3048" spans="2:7" x14ac:dyDescent="0.3">
      <c r="B3048" s="72"/>
      <c r="C3048" s="73"/>
      <c r="D3048" s="74"/>
      <c r="G3048" s="75"/>
    </row>
    <row r="3049" spans="2:7" x14ac:dyDescent="0.3">
      <c r="B3049" s="72"/>
      <c r="C3049" s="73"/>
      <c r="D3049" s="74"/>
      <c r="G3049" s="75"/>
    </row>
    <row r="3050" spans="2:7" x14ac:dyDescent="0.3">
      <c r="B3050" s="72"/>
      <c r="C3050" s="73"/>
      <c r="D3050" s="74"/>
      <c r="G3050" s="75"/>
    </row>
    <row r="3051" spans="2:7" x14ac:dyDescent="0.3">
      <c r="B3051" s="72"/>
      <c r="C3051" s="73"/>
      <c r="D3051" s="74"/>
      <c r="G3051" s="75"/>
    </row>
    <row r="3052" spans="2:7" x14ac:dyDescent="0.3">
      <c r="B3052" s="72"/>
      <c r="C3052" s="73"/>
      <c r="D3052" s="74"/>
      <c r="G3052" s="75"/>
    </row>
    <row r="3053" spans="2:7" x14ac:dyDescent="0.3">
      <c r="B3053" s="72"/>
      <c r="C3053" s="73"/>
      <c r="D3053" s="74"/>
      <c r="G3053" s="75"/>
    </row>
    <row r="3054" spans="2:7" x14ac:dyDescent="0.3">
      <c r="B3054" s="72"/>
      <c r="C3054" s="73"/>
      <c r="D3054" s="74"/>
      <c r="G3054" s="75"/>
    </row>
    <row r="3055" spans="2:7" x14ac:dyDescent="0.3">
      <c r="B3055" s="72"/>
      <c r="C3055" s="73"/>
      <c r="D3055" s="74"/>
      <c r="G3055" s="75"/>
    </row>
    <row r="3056" spans="2:7" x14ac:dyDescent="0.3">
      <c r="B3056" s="72"/>
      <c r="C3056" s="73"/>
      <c r="D3056" s="74"/>
      <c r="G3056" s="75"/>
    </row>
    <row r="3057" spans="2:7" x14ac:dyDescent="0.3">
      <c r="B3057" s="72"/>
      <c r="C3057" s="73"/>
      <c r="D3057" s="74"/>
      <c r="G3057" s="75"/>
    </row>
    <row r="3058" spans="2:7" x14ac:dyDescent="0.3">
      <c r="B3058" s="72"/>
      <c r="C3058" s="73"/>
      <c r="D3058" s="74"/>
      <c r="G3058" s="75"/>
    </row>
    <row r="3059" spans="2:7" x14ac:dyDescent="0.3">
      <c r="B3059" s="72"/>
      <c r="C3059" s="73"/>
      <c r="D3059" s="74"/>
      <c r="G3059" s="75"/>
    </row>
    <row r="3060" spans="2:7" x14ac:dyDescent="0.3">
      <c r="B3060" s="72"/>
      <c r="C3060" s="73"/>
      <c r="D3060" s="74"/>
      <c r="G3060" s="75"/>
    </row>
    <row r="3061" spans="2:7" x14ac:dyDescent="0.3">
      <c r="B3061" s="72"/>
      <c r="C3061" s="73"/>
      <c r="D3061" s="74"/>
      <c r="G3061" s="75"/>
    </row>
    <row r="3062" spans="2:7" x14ac:dyDescent="0.3">
      <c r="B3062" s="72"/>
      <c r="C3062" s="73"/>
      <c r="D3062" s="74"/>
      <c r="G3062" s="75"/>
    </row>
    <row r="3063" spans="2:7" x14ac:dyDescent="0.3">
      <c r="B3063" s="72"/>
      <c r="C3063" s="73"/>
      <c r="D3063" s="74"/>
      <c r="G3063" s="75"/>
    </row>
    <row r="3064" spans="2:7" x14ac:dyDescent="0.3">
      <c r="B3064" s="72"/>
      <c r="C3064" s="73"/>
      <c r="D3064" s="74"/>
      <c r="G3064" s="75"/>
    </row>
    <row r="3065" spans="2:7" x14ac:dyDescent="0.3">
      <c r="B3065" s="72"/>
      <c r="C3065" s="73"/>
      <c r="D3065" s="74"/>
      <c r="G3065" s="75"/>
    </row>
    <row r="3066" spans="2:7" x14ac:dyDescent="0.3">
      <c r="B3066" s="72"/>
      <c r="C3066" s="73"/>
      <c r="D3066" s="74"/>
      <c r="G3066" s="75"/>
    </row>
    <row r="3067" spans="2:7" x14ac:dyDescent="0.3">
      <c r="B3067" s="72"/>
      <c r="C3067" s="73"/>
      <c r="D3067" s="74"/>
      <c r="G3067" s="75"/>
    </row>
    <row r="3068" spans="2:7" x14ac:dyDescent="0.3">
      <c r="B3068" s="72"/>
      <c r="C3068" s="73"/>
      <c r="D3068" s="74"/>
      <c r="G3068" s="75"/>
    </row>
    <row r="3069" spans="2:7" x14ac:dyDescent="0.3">
      <c r="B3069" s="72"/>
      <c r="C3069" s="73"/>
      <c r="D3069" s="74"/>
      <c r="G3069" s="75"/>
    </row>
    <row r="3070" spans="2:7" x14ac:dyDescent="0.3">
      <c r="B3070" s="72"/>
      <c r="C3070" s="73"/>
      <c r="D3070" s="74"/>
      <c r="G3070" s="75"/>
    </row>
    <row r="3071" spans="2:7" x14ac:dyDescent="0.3">
      <c r="B3071" s="72"/>
      <c r="C3071" s="73"/>
      <c r="D3071" s="74"/>
      <c r="G3071" s="75"/>
    </row>
    <row r="3072" spans="2:7" x14ac:dyDescent="0.3">
      <c r="B3072" s="72"/>
      <c r="C3072" s="73"/>
      <c r="D3072" s="74"/>
      <c r="G3072" s="75"/>
    </row>
    <row r="3073" spans="2:7" x14ac:dyDescent="0.3">
      <c r="B3073" s="72"/>
      <c r="C3073" s="73"/>
      <c r="D3073" s="74"/>
      <c r="G3073" s="75"/>
    </row>
    <row r="3074" spans="2:7" x14ac:dyDescent="0.3">
      <c r="B3074" s="72"/>
      <c r="C3074" s="73"/>
      <c r="D3074" s="74"/>
      <c r="G3074" s="75"/>
    </row>
    <row r="3075" spans="2:7" x14ac:dyDescent="0.3">
      <c r="B3075" s="72"/>
      <c r="C3075" s="73"/>
      <c r="D3075" s="74"/>
      <c r="G3075" s="75"/>
    </row>
    <row r="3076" spans="2:7" x14ac:dyDescent="0.3">
      <c r="B3076" s="72"/>
      <c r="C3076" s="73"/>
      <c r="D3076" s="74"/>
      <c r="G3076" s="75"/>
    </row>
    <row r="3077" spans="2:7" x14ac:dyDescent="0.3">
      <c r="B3077" s="72"/>
      <c r="C3077" s="73"/>
      <c r="D3077" s="74"/>
      <c r="G3077" s="75"/>
    </row>
    <row r="3078" spans="2:7" x14ac:dyDescent="0.3">
      <c r="B3078" s="72"/>
      <c r="C3078" s="73"/>
      <c r="D3078" s="74"/>
      <c r="G3078" s="75"/>
    </row>
    <row r="3079" spans="2:7" x14ac:dyDescent="0.3">
      <c r="B3079" s="72"/>
      <c r="C3079" s="73"/>
      <c r="D3079" s="74"/>
      <c r="G3079" s="75"/>
    </row>
    <row r="3080" spans="2:7" x14ac:dyDescent="0.3">
      <c r="B3080" s="72"/>
      <c r="C3080" s="73"/>
      <c r="D3080" s="74"/>
      <c r="G3080" s="75"/>
    </row>
    <row r="3081" spans="2:7" x14ac:dyDescent="0.3">
      <c r="B3081" s="72"/>
      <c r="C3081" s="73"/>
      <c r="D3081" s="74"/>
      <c r="G3081" s="75"/>
    </row>
    <row r="3082" spans="2:7" x14ac:dyDescent="0.3">
      <c r="B3082" s="72"/>
      <c r="C3082" s="73"/>
      <c r="D3082" s="74"/>
      <c r="G3082" s="75"/>
    </row>
    <row r="3083" spans="2:7" x14ac:dyDescent="0.3">
      <c r="B3083" s="72"/>
      <c r="C3083" s="73"/>
      <c r="D3083" s="74"/>
      <c r="G3083" s="75"/>
    </row>
    <row r="3084" spans="2:7" x14ac:dyDescent="0.3">
      <c r="B3084" s="72"/>
      <c r="C3084" s="73"/>
      <c r="D3084" s="74"/>
      <c r="G3084" s="75"/>
    </row>
    <row r="3085" spans="2:7" x14ac:dyDescent="0.3">
      <c r="B3085" s="72"/>
      <c r="C3085" s="73"/>
      <c r="D3085" s="74"/>
      <c r="G3085" s="75"/>
    </row>
    <row r="3086" spans="2:7" x14ac:dyDescent="0.3">
      <c r="B3086" s="72"/>
      <c r="C3086" s="73"/>
      <c r="D3086" s="74"/>
      <c r="G3086" s="75"/>
    </row>
    <row r="3087" spans="2:7" x14ac:dyDescent="0.3">
      <c r="B3087" s="72"/>
      <c r="C3087" s="73"/>
      <c r="D3087" s="74"/>
      <c r="G3087" s="75"/>
    </row>
    <row r="3088" spans="2:7" x14ac:dyDescent="0.3">
      <c r="B3088" s="72"/>
      <c r="C3088" s="73"/>
      <c r="D3088" s="74"/>
      <c r="G3088" s="75"/>
    </row>
    <row r="3089" spans="2:7" x14ac:dyDescent="0.3">
      <c r="B3089" s="72"/>
      <c r="C3089" s="73"/>
      <c r="D3089" s="74"/>
      <c r="G3089" s="75"/>
    </row>
    <row r="3090" spans="2:7" x14ac:dyDescent="0.3">
      <c r="B3090" s="72"/>
      <c r="C3090" s="73"/>
      <c r="D3090" s="74"/>
      <c r="G3090" s="75"/>
    </row>
    <row r="3091" spans="2:7" x14ac:dyDescent="0.3">
      <c r="B3091" s="72"/>
      <c r="C3091" s="73"/>
      <c r="D3091" s="74"/>
      <c r="G3091" s="75"/>
    </row>
    <row r="3092" spans="2:7" x14ac:dyDescent="0.3">
      <c r="B3092" s="72"/>
      <c r="C3092" s="73"/>
      <c r="D3092" s="74"/>
      <c r="G3092" s="75"/>
    </row>
    <row r="3093" spans="2:7" x14ac:dyDescent="0.3">
      <c r="B3093" s="72"/>
      <c r="C3093" s="73"/>
      <c r="D3093" s="74"/>
      <c r="G3093" s="75"/>
    </row>
    <row r="3094" spans="2:7" x14ac:dyDescent="0.3">
      <c r="B3094" s="72"/>
      <c r="C3094" s="73"/>
      <c r="D3094" s="74"/>
      <c r="G3094" s="75"/>
    </row>
    <row r="3095" spans="2:7" x14ac:dyDescent="0.3">
      <c r="B3095" s="72"/>
      <c r="C3095" s="73"/>
      <c r="D3095" s="74"/>
      <c r="G3095" s="75"/>
    </row>
    <row r="3096" spans="2:7" x14ac:dyDescent="0.3">
      <c r="B3096" s="72"/>
      <c r="C3096" s="73"/>
      <c r="D3096" s="74"/>
      <c r="G3096" s="75"/>
    </row>
    <row r="3097" spans="2:7" x14ac:dyDescent="0.3">
      <c r="B3097" s="72"/>
      <c r="C3097" s="73"/>
      <c r="D3097" s="74"/>
      <c r="G3097" s="75"/>
    </row>
    <row r="3098" spans="2:7" x14ac:dyDescent="0.3">
      <c r="B3098" s="72"/>
      <c r="C3098" s="73"/>
      <c r="D3098" s="74"/>
      <c r="G3098" s="75"/>
    </row>
    <row r="3099" spans="2:7" x14ac:dyDescent="0.3">
      <c r="B3099" s="72"/>
      <c r="C3099" s="73"/>
      <c r="D3099" s="74"/>
      <c r="G3099" s="75"/>
    </row>
    <row r="3100" spans="2:7" x14ac:dyDescent="0.3">
      <c r="B3100" s="72"/>
      <c r="C3100" s="73"/>
      <c r="D3100" s="74"/>
      <c r="G3100" s="75"/>
    </row>
    <row r="3101" spans="2:7" x14ac:dyDescent="0.3">
      <c r="B3101" s="72"/>
      <c r="C3101" s="73"/>
      <c r="D3101" s="74"/>
      <c r="G3101" s="75"/>
    </row>
    <row r="3102" spans="2:7" x14ac:dyDescent="0.3">
      <c r="B3102" s="72"/>
      <c r="C3102" s="73"/>
      <c r="D3102" s="74"/>
      <c r="G3102" s="75"/>
    </row>
    <row r="3103" spans="2:7" x14ac:dyDescent="0.3">
      <c r="B3103" s="72"/>
      <c r="C3103" s="73"/>
      <c r="D3103" s="74"/>
      <c r="G3103" s="75"/>
    </row>
    <row r="3104" spans="2:7" x14ac:dyDescent="0.3">
      <c r="B3104" s="72"/>
      <c r="C3104" s="73"/>
      <c r="D3104" s="74"/>
      <c r="G3104" s="75"/>
    </row>
    <row r="3105" spans="2:7" x14ac:dyDescent="0.3">
      <c r="B3105" s="72"/>
      <c r="C3105" s="73"/>
      <c r="D3105" s="74"/>
      <c r="G3105" s="75"/>
    </row>
    <row r="3106" spans="2:7" x14ac:dyDescent="0.3">
      <c r="B3106" s="72"/>
      <c r="C3106" s="73"/>
      <c r="D3106" s="74"/>
      <c r="G3106" s="75"/>
    </row>
    <row r="3107" spans="2:7" x14ac:dyDescent="0.3">
      <c r="B3107" s="72"/>
      <c r="C3107" s="73"/>
      <c r="D3107" s="74"/>
      <c r="G3107" s="75"/>
    </row>
    <row r="3108" spans="2:7" x14ac:dyDescent="0.3">
      <c r="B3108" s="72"/>
      <c r="C3108" s="73"/>
      <c r="D3108" s="74"/>
      <c r="G3108" s="75"/>
    </row>
    <row r="3109" spans="2:7" x14ac:dyDescent="0.3">
      <c r="B3109" s="72"/>
      <c r="C3109" s="73"/>
      <c r="D3109" s="74"/>
      <c r="G3109" s="75"/>
    </row>
    <row r="3110" spans="2:7" x14ac:dyDescent="0.3">
      <c r="B3110" s="72"/>
      <c r="C3110" s="73"/>
      <c r="D3110" s="74"/>
      <c r="G3110" s="75"/>
    </row>
    <row r="3111" spans="2:7" x14ac:dyDescent="0.3">
      <c r="B3111" s="72"/>
      <c r="C3111" s="73"/>
      <c r="D3111" s="74"/>
      <c r="G3111" s="75"/>
    </row>
    <row r="3112" spans="2:7" x14ac:dyDescent="0.3">
      <c r="B3112" s="72"/>
      <c r="C3112" s="73"/>
      <c r="D3112" s="74"/>
      <c r="G3112" s="75"/>
    </row>
    <row r="3113" spans="2:7" x14ac:dyDescent="0.3">
      <c r="B3113" s="72"/>
      <c r="C3113" s="73"/>
      <c r="D3113" s="74"/>
      <c r="G3113" s="75"/>
    </row>
    <row r="3114" spans="2:7" x14ac:dyDescent="0.3">
      <c r="B3114" s="72"/>
      <c r="C3114" s="73"/>
      <c r="D3114" s="74"/>
      <c r="G3114" s="75"/>
    </row>
    <row r="3115" spans="2:7" x14ac:dyDescent="0.3">
      <c r="B3115" s="72"/>
      <c r="C3115" s="73"/>
      <c r="D3115" s="74"/>
      <c r="G3115" s="75"/>
    </row>
    <row r="3116" spans="2:7" x14ac:dyDescent="0.3">
      <c r="B3116" s="72"/>
      <c r="C3116" s="73"/>
      <c r="D3116" s="74"/>
      <c r="G3116" s="75"/>
    </row>
    <row r="3117" spans="2:7" x14ac:dyDescent="0.3">
      <c r="B3117" s="72"/>
      <c r="C3117" s="73"/>
      <c r="D3117" s="74"/>
      <c r="G3117" s="75"/>
    </row>
    <row r="3118" spans="2:7" x14ac:dyDescent="0.3">
      <c r="B3118" s="72"/>
      <c r="C3118" s="73"/>
      <c r="D3118" s="74"/>
      <c r="G3118" s="75"/>
    </row>
    <row r="3119" spans="2:7" x14ac:dyDescent="0.3">
      <c r="B3119" s="72"/>
      <c r="C3119" s="73"/>
      <c r="D3119" s="74"/>
      <c r="G3119" s="75"/>
    </row>
    <row r="3120" spans="2:7" x14ac:dyDescent="0.3">
      <c r="B3120" s="72"/>
      <c r="C3120" s="73"/>
      <c r="D3120" s="74"/>
      <c r="G3120" s="75"/>
    </row>
    <row r="3121" spans="2:7" x14ac:dyDescent="0.3">
      <c r="B3121" s="72"/>
      <c r="C3121" s="73"/>
      <c r="D3121" s="74"/>
      <c r="G3121" s="75"/>
    </row>
    <row r="3122" spans="2:7" x14ac:dyDescent="0.3">
      <c r="B3122" s="72"/>
      <c r="C3122" s="73"/>
      <c r="D3122" s="74"/>
      <c r="G3122" s="75"/>
    </row>
    <row r="3123" spans="2:7" x14ac:dyDescent="0.3">
      <c r="B3123" s="72"/>
      <c r="C3123" s="73"/>
      <c r="D3123" s="74"/>
      <c r="G3123" s="75"/>
    </row>
    <row r="3124" spans="2:7" x14ac:dyDescent="0.3">
      <c r="B3124" s="72"/>
      <c r="C3124" s="73"/>
      <c r="D3124" s="74"/>
      <c r="G3124" s="75"/>
    </row>
    <row r="3125" spans="2:7" x14ac:dyDescent="0.3">
      <c r="B3125" s="72"/>
      <c r="C3125" s="73"/>
      <c r="D3125" s="74"/>
      <c r="G3125" s="75"/>
    </row>
    <row r="3126" spans="2:7" x14ac:dyDescent="0.3">
      <c r="B3126" s="72"/>
      <c r="C3126" s="73"/>
      <c r="D3126" s="74"/>
      <c r="G3126" s="75"/>
    </row>
    <row r="3127" spans="2:7" x14ac:dyDescent="0.3">
      <c r="B3127" s="72"/>
      <c r="C3127" s="73"/>
      <c r="D3127" s="74"/>
      <c r="G3127" s="75"/>
    </row>
    <row r="3128" spans="2:7" x14ac:dyDescent="0.3">
      <c r="B3128" s="72"/>
      <c r="C3128" s="73"/>
      <c r="D3128" s="74"/>
      <c r="G3128" s="75"/>
    </row>
    <row r="3129" spans="2:7" x14ac:dyDescent="0.3">
      <c r="B3129" s="72"/>
      <c r="C3129" s="73"/>
      <c r="D3129" s="74"/>
      <c r="G3129" s="75"/>
    </row>
    <row r="3130" spans="2:7" x14ac:dyDescent="0.3">
      <c r="B3130" s="72"/>
      <c r="C3130" s="73"/>
      <c r="D3130" s="74"/>
      <c r="G3130" s="75"/>
    </row>
    <row r="3131" spans="2:7" x14ac:dyDescent="0.3">
      <c r="B3131" s="72"/>
      <c r="C3131" s="73"/>
      <c r="D3131" s="74"/>
      <c r="G3131" s="75"/>
    </row>
    <row r="3132" spans="2:7" x14ac:dyDescent="0.3">
      <c r="B3132" s="72"/>
      <c r="C3132" s="73"/>
      <c r="D3132" s="74"/>
      <c r="G3132" s="75"/>
    </row>
    <row r="3133" spans="2:7" x14ac:dyDescent="0.3">
      <c r="B3133" s="72"/>
      <c r="C3133" s="73"/>
      <c r="D3133" s="74"/>
      <c r="G3133" s="75"/>
    </row>
    <row r="3134" spans="2:7" x14ac:dyDescent="0.3">
      <c r="B3134" s="72"/>
      <c r="C3134" s="73"/>
      <c r="D3134" s="74"/>
      <c r="G3134" s="75"/>
    </row>
    <row r="3135" spans="2:7" x14ac:dyDescent="0.3">
      <c r="B3135" s="72"/>
      <c r="C3135" s="73"/>
      <c r="D3135" s="74"/>
      <c r="G3135" s="75"/>
    </row>
    <row r="3136" spans="2:7" x14ac:dyDescent="0.3">
      <c r="B3136" s="72"/>
      <c r="C3136" s="73"/>
      <c r="D3136" s="74"/>
      <c r="G3136" s="75"/>
    </row>
    <row r="3137" spans="2:7" x14ac:dyDescent="0.3">
      <c r="B3137" s="72"/>
      <c r="C3137" s="73"/>
      <c r="D3137" s="74"/>
      <c r="G3137" s="75"/>
    </row>
    <row r="3138" spans="2:7" x14ac:dyDescent="0.3">
      <c r="B3138" s="72"/>
      <c r="C3138" s="73"/>
      <c r="D3138" s="74"/>
      <c r="G3138" s="75"/>
    </row>
    <row r="3139" spans="2:7" x14ac:dyDescent="0.3">
      <c r="B3139" s="72"/>
      <c r="C3139" s="73"/>
      <c r="D3139" s="74"/>
      <c r="G3139" s="75"/>
    </row>
    <row r="3140" spans="2:7" x14ac:dyDescent="0.3">
      <c r="B3140" s="72"/>
      <c r="C3140" s="73"/>
      <c r="D3140" s="74"/>
      <c r="G3140" s="75"/>
    </row>
    <row r="3141" spans="2:7" x14ac:dyDescent="0.3">
      <c r="B3141" s="72"/>
      <c r="C3141" s="73"/>
      <c r="D3141" s="74"/>
      <c r="G3141" s="75"/>
    </row>
    <row r="3142" spans="2:7" x14ac:dyDescent="0.3">
      <c r="B3142" s="72"/>
      <c r="C3142" s="73"/>
      <c r="D3142" s="74"/>
      <c r="G3142" s="75"/>
    </row>
    <row r="3143" spans="2:7" x14ac:dyDescent="0.3">
      <c r="B3143" s="72"/>
      <c r="C3143" s="73"/>
      <c r="D3143" s="74"/>
      <c r="G3143" s="75"/>
    </row>
    <row r="3144" spans="2:7" x14ac:dyDescent="0.3">
      <c r="B3144" s="72"/>
      <c r="C3144" s="73"/>
      <c r="D3144" s="74"/>
      <c r="G3144" s="75"/>
    </row>
    <row r="3145" spans="2:7" x14ac:dyDescent="0.3">
      <c r="B3145" s="72"/>
      <c r="C3145" s="73"/>
      <c r="D3145" s="74"/>
      <c r="G3145" s="75"/>
    </row>
    <row r="3146" spans="2:7" x14ac:dyDescent="0.3">
      <c r="B3146" s="72"/>
      <c r="C3146" s="73"/>
      <c r="D3146" s="74"/>
      <c r="G3146" s="75"/>
    </row>
    <row r="3147" spans="2:7" x14ac:dyDescent="0.3">
      <c r="B3147" s="72"/>
      <c r="C3147" s="73"/>
      <c r="D3147" s="74"/>
      <c r="G3147" s="75"/>
    </row>
    <row r="3148" spans="2:7" x14ac:dyDescent="0.3">
      <c r="B3148" s="72"/>
      <c r="C3148" s="73"/>
      <c r="D3148" s="74"/>
      <c r="G3148" s="75"/>
    </row>
    <row r="3149" spans="2:7" x14ac:dyDescent="0.3">
      <c r="B3149" s="72"/>
      <c r="C3149" s="73"/>
      <c r="D3149" s="74"/>
      <c r="G3149" s="75"/>
    </row>
    <row r="3150" spans="2:7" x14ac:dyDescent="0.3">
      <c r="B3150" s="72"/>
      <c r="C3150" s="73"/>
      <c r="D3150" s="74"/>
      <c r="G3150" s="75"/>
    </row>
    <row r="3151" spans="2:7" x14ac:dyDescent="0.3">
      <c r="B3151" s="72"/>
      <c r="C3151" s="73"/>
      <c r="D3151" s="74"/>
      <c r="G3151" s="75"/>
    </row>
    <row r="3152" spans="2:7" x14ac:dyDescent="0.3">
      <c r="B3152" s="72"/>
      <c r="C3152" s="73"/>
      <c r="D3152" s="74"/>
      <c r="G3152" s="75"/>
    </row>
    <row r="3153" spans="2:7" x14ac:dyDescent="0.3">
      <c r="B3153" s="72"/>
      <c r="C3153" s="73"/>
      <c r="D3153" s="74"/>
      <c r="G3153" s="75"/>
    </row>
    <row r="3154" spans="2:7" x14ac:dyDescent="0.3">
      <c r="B3154" s="72"/>
      <c r="C3154" s="73"/>
      <c r="D3154" s="74"/>
      <c r="G3154" s="75"/>
    </row>
    <row r="3155" spans="2:7" x14ac:dyDescent="0.3">
      <c r="B3155" s="72"/>
      <c r="C3155" s="73"/>
      <c r="D3155" s="74"/>
      <c r="G3155" s="75"/>
    </row>
    <row r="3156" spans="2:7" x14ac:dyDescent="0.3">
      <c r="B3156" s="72"/>
      <c r="C3156" s="73"/>
      <c r="D3156" s="74"/>
      <c r="G3156" s="75"/>
    </row>
    <row r="3157" spans="2:7" x14ac:dyDescent="0.3">
      <c r="B3157" s="72"/>
      <c r="C3157" s="73"/>
      <c r="D3157" s="74"/>
      <c r="G3157" s="75"/>
    </row>
    <row r="3158" spans="2:7" x14ac:dyDescent="0.3">
      <c r="B3158" s="72"/>
      <c r="C3158" s="73"/>
      <c r="D3158" s="74"/>
      <c r="G3158" s="75"/>
    </row>
    <row r="3159" spans="2:7" x14ac:dyDescent="0.3">
      <c r="B3159" s="72"/>
      <c r="C3159" s="73"/>
      <c r="D3159" s="74"/>
      <c r="G3159" s="75"/>
    </row>
    <row r="3160" spans="2:7" x14ac:dyDescent="0.3">
      <c r="B3160" s="72"/>
      <c r="C3160" s="73"/>
      <c r="D3160" s="74"/>
      <c r="G3160" s="75"/>
    </row>
    <row r="3161" spans="2:7" x14ac:dyDescent="0.3">
      <c r="B3161" s="72"/>
      <c r="C3161" s="73"/>
      <c r="D3161" s="74"/>
      <c r="G3161" s="75"/>
    </row>
    <row r="3162" spans="2:7" x14ac:dyDescent="0.3">
      <c r="B3162" s="72"/>
      <c r="C3162" s="73"/>
      <c r="D3162" s="74"/>
      <c r="G3162" s="75"/>
    </row>
    <row r="3163" spans="2:7" x14ac:dyDescent="0.3">
      <c r="B3163" s="72"/>
      <c r="C3163" s="73"/>
      <c r="D3163" s="74"/>
      <c r="G3163" s="75"/>
    </row>
    <row r="3164" spans="2:7" x14ac:dyDescent="0.3">
      <c r="B3164" s="72"/>
      <c r="C3164" s="73"/>
      <c r="D3164" s="74"/>
      <c r="G3164" s="75"/>
    </row>
    <row r="3165" spans="2:7" x14ac:dyDescent="0.3">
      <c r="B3165" s="72"/>
      <c r="C3165" s="73"/>
      <c r="D3165" s="74"/>
      <c r="G3165" s="75"/>
    </row>
    <row r="3166" spans="2:7" x14ac:dyDescent="0.3">
      <c r="B3166" s="72"/>
      <c r="C3166" s="73"/>
      <c r="D3166" s="74"/>
      <c r="G3166" s="75"/>
    </row>
    <row r="3167" spans="2:7" x14ac:dyDescent="0.3">
      <c r="B3167" s="72"/>
      <c r="C3167" s="73"/>
      <c r="D3167" s="74"/>
      <c r="G3167" s="75"/>
    </row>
    <row r="3168" spans="2:7" x14ac:dyDescent="0.3">
      <c r="B3168" s="72"/>
      <c r="C3168" s="73"/>
      <c r="D3168" s="74"/>
      <c r="G3168" s="75"/>
    </row>
    <row r="3169" spans="2:7" x14ac:dyDescent="0.3">
      <c r="B3169" s="72"/>
      <c r="C3169" s="73"/>
      <c r="D3169" s="74"/>
      <c r="G3169" s="75"/>
    </row>
    <row r="3170" spans="2:7" x14ac:dyDescent="0.3">
      <c r="B3170" s="72"/>
      <c r="C3170" s="73"/>
      <c r="D3170" s="74"/>
      <c r="G3170" s="75"/>
    </row>
    <row r="3171" spans="2:7" x14ac:dyDescent="0.3">
      <c r="B3171" s="72"/>
      <c r="C3171" s="73"/>
      <c r="D3171" s="74"/>
      <c r="G3171" s="75"/>
    </row>
    <row r="3172" spans="2:7" x14ac:dyDescent="0.3">
      <c r="B3172" s="72"/>
      <c r="C3172" s="73"/>
      <c r="D3172" s="74"/>
      <c r="G3172" s="75"/>
    </row>
    <row r="3173" spans="2:7" x14ac:dyDescent="0.3">
      <c r="B3173" s="72"/>
      <c r="C3173" s="73"/>
      <c r="D3173" s="74"/>
      <c r="G3173" s="75"/>
    </row>
    <row r="3174" spans="2:7" x14ac:dyDescent="0.3">
      <c r="B3174" s="72"/>
      <c r="C3174" s="73"/>
      <c r="D3174" s="74"/>
      <c r="G3174" s="75"/>
    </row>
    <row r="3175" spans="2:7" x14ac:dyDescent="0.3">
      <c r="B3175" s="72"/>
      <c r="C3175" s="73"/>
      <c r="D3175" s="74"/>
      <c r="G3175" s="75"/>
    </row>
    <row r="3176" spans="2:7" x14ac:dyDescent="0.3">
      <c r="B3176" s="72"/>
      <c r="C3176" s="73"/>
      <c r="D3176" s="74"/>
      <c r="G3176" s="75"/>
    </row>
    <row r="3177" spans="2:7" x14ac:dyDescent="0.3">
      <c r="B3177" s="72"/>
      <c r="C3177" s="73"/>
      <c r="D3177" s="74"/>
      <c r="G3177" s="75"/>
    </row>
    <row r="3178" spans="2:7" x14ac:dyDescent="0.3">
      <c r="B3178" s="72"/>
      <c r="C3178" s="73"/>
      <c r="D3178" s="74"/>
      <c r="G3178" s="75"/>
    </row>
    <row r="3179" spans="2:7" x14ac:dyDescent="0.3">
      <c r="B3179" s="72"/>
      <c r="C3179" s="73"/>
      <c r="D3179" s="74"/>
      <c r="G3179" s="75"/>
    </row>
    <row r="3180" spans="2:7" x14ac:dyDescent="0.3">
      <c r="B3180" s="72"/>
      <c r="C3180" s="73"/>
      <c r="D3180" s="74"/>
      <c r="G3180" s="75"/>
    </row>
    <row r="3181" spans="2:7" x14ac:dyDescent="0.3">
      <c r="B3181" s="72"/>
      <c r="C3181" s="73"/>
      <c r="D3181" s="74"/>
      <c r="G3181" s="75"/>
    </row>
    <row r="3182" spans="2:7" x14ac:dyDescent="0.3">
      <c r="B3182" s="72"/>
      <c r="C3182" s="73"/>
      <c r="D3182" s="74"/>
      <c r="G3182" s="75"/>
    </row>
    <row r="3183" spans="2:7" x14ac:dyDescent="0.3">
      <c r="B3183" s="72"/>
      <c r="C3183" s="73"/>
      <c r="D3183" s="74"/>
      <c r="G3183" s="75"/>
    </row>
    <row r="3184" spans="2:7" x14ac:dyDescent="0.3">
      <c r="B3184" s="72"/>
      <c r="C3184" s="73"/>
      <c r="D3184" s="74"/>
      <c r="G3184" s="75"/>
    </row>
    <row r="3185" spans="2:7" x14ac:dyDescent="0.3">
      <c r="B3185" s="72"/>
      <c r="C3185" s="73"/>
      <c r="D3185" s="74"/>
      <c r="G3185" s="75"/>
    </row>
    <row r="3186" spans="2:7" x14ac:dyDescent="0.3">
      <c r="B3186" s="72"/>
      <c r="C3186" s="73"/>
      <c r="D3186" s="74"/>
      <c r="G3186" s="75"/>
    </row>
    <row r="3187" spans="2:7" x14ac:dyDescent="0.3">
      <c r="B3187" s="72"/>
      <c r="C3187" s="73"/>
      <c r="D3187" s="74"/>
      <c r="G3187" s="75"/>
    </row>
    <row r="3188" spans="2:7" x14ac:dyDescent="0.3">
      <c r="B3188" s="72"/>
      <c r="C3188" s="73"/>
      <c r="D3188" s="74"/>
      <c r="G3188" s="75"/>
    </row>
    <row r="3189" spans="2:7" x14ac:dyDescent="0.3">
      <c r="B3189" s="72"/>
      <c r="C3189" s="73"/>
      <c r="D3189" s="74"/>
      <c r="G3189" s="75"/>
    </row>
    <row r="3190" spans="2:7" x14ac:dyDescent="0.3">
      <c r="B3190" s="72"/>
      <c r="C3190" s="73"/>
      <c r="D3190" s="74"/>
      <c r="G3190" s="75"/>
    </row>
    <row r="3191" spans="2:7" x14ac:dyDescent="0.3">
      <c r="B3191" s="72"/>
      <c r="C3191" s="73"/>
      <c r="D3191" s="74"/>
      <c r="G3191" s="75"/>
    </row>
    <row r="3192" spans="2:7" x14ac:dyDescent="0.3">
      <c r="B3192" s="72"/>
      <c r="C3192" s="73"/>
      <c r="D3192" s="74"/>
      <c r="G3192" s="75"/>
    </row>
    <row r="3193" spans="2:7" x14ac:dyDescent="0.3">
      <c r="B3193" s="72"/>
      <c r="C3193" s="73"/>
      <c r="D3193" s="74"/>
      <c r="G3193" s="75"/>
    </row>
    <row r="3194" spans="2:7" x14ac:dyDescent="0.3">
      <c r="B3194" s="72"/>
      <c r="C3194" s="73"/>
      <c r="D3194" s="74"/>
      <c r="G3194" s="75"/>
    </row>
    <row r="3195" spans="2:7" x14ac:dyDescent="0.3">
      <c r="B3195" s="72"/>
      <c r="C3195" s="73"/>
      <c r="D3195" s="74"/>
      <c r="G3195" s="75"/>
    </row>
    <row r="3196" spans="2:7" x14ac:dyDescent="0.3">
      <c r="B3196" s="72"/>
      <c r="C3196" s="73"/>
      <c r="D3196" s="74"/>
      <c r="G3196" s="75"/>
    </row>
    <row r="3197" spans="2:7" x14ac:dyDescent="0.3">
      <c r="B3197" s="72"/>
      <c r="C3197" s="73"/>
      <c r="D3197" s="74"/>
      <c r="G3197" s="75"/>
    </row>
    <row r="3198" spans="2:7" x14ac:dyDescent="0.3">
      <c r="B3198" s="72"/>
      <c r="C3198" s="73"/>
      <c r="D3198" s="74"/>
      <c r="G3198" s="75"/>
    </row>
    <row r="3199" spans="2:7" x14ac:dyDescent="0.3">
      <c r="B3199" s="72"/>
      <c r="C3199" s="73"/>
      <c r="D3199" s="74"/>
      <c r="G3199" s="75"/>
    </row>
    <row r="3200" spans="2:7" x14ac:dyDescent="0.3">
      <c r="B3200" s="72"/>
      <c r="C3200" s="73"/>
      <c r="D3200" s="74"/>
      <c r="G3200" s="75"/>
    </row>
    <row r="3201" spans="2:7" x14ac:dyDescent="0.3">
      <c r="B3201" s="72"/>
      <c r="C3201" s="73"/>
      <c r="D3201" s="74"/>
      <c r="G3201" s="75"/>
    </row>
    <row r="3202" spans="2:7" x14ac:dyDescent="0.3">
      <c r="B3202" s="72"/>
      <c r="C3202" s="73"/>
      <c r="D3202" s="74"/>
      <c r="G3202" s="75"/>
    </row>
    <row r="3203" spans="2:7" x14ac:dyDescent="0.3">
      <c r="B3203" s="72"/>
      <c r="C3203" s="73"/>
      <c r="D3203" s="74"/>
      <c r="G3203" s="75"/>
    </row>
    <row r="3204" spans="2:7" x14ac:dyDescent="0.3">
      <c r="B3204" s="72"/>
      <c r="C3204" s="73"/>
      <c r="D3204" s="74"/>
      <c r="G3204" s="75"/>
    </row>
    <row r="3205" spans="2:7" x14ac:dyDescent="0.3">
      <c r="B3205" s="72"/>
      <c r="C3205" s="73"/>
      <c r="D3205" s="74"/>
      <c r="G3205" s="75"/>
    </row>
    <row r="3206" spans="2:7" x14ac:dyDescent="0.3">
      <c r="B3206" s="72"/>
      <c r="C3206" s="73"/>
      <c r="D3206" s="74"/>
      <c r="G3206" s="75"/>
    </row>
    <row r="3207" spans="2:7" x14ac:dyDescent="0.3">
      <c r="B3207" s="72"/>
      <c r="C3207" s="73"/>
      <c r="D3207" s="74"/>
      <c r="G3207" s="75"/>
    </row>
    <row r="3208" spans="2:7" x14ac:dyDescent="0.3">
      <c r="B3208" s="72"/>
      <c r="C3208" s="73"/>
      <c r="D3208" s="74"/>
      <c r="G3208" s="75"/>
    </row>
    <row r="3209" spans="2:7" x14ac:dyDescent="0.3">
      <c r="B3209" s="72"/>
      <c r="C3209" s="73"/>
      <c r="D3209" s="74"/>
      <c r="G3209" s="75"/>
    </row>
    <row r="3210" spans="2:7" x14ac:dyDescent="0.3">
      <c r="B3210" s="72"/>
      <c r="C3210" s="73"/>
      <c r="D3210" s="74"/>
      <c r="G3210" s="75"/>
    </row>
    <row r="3211" spans="2:7" x14ac:dyDescent="0.3">
      <c r="B3211" s="72"/>
      <c r="C3211" s="73"/>
      <c r="D3211" s="74"/>
      <c r="G3211" s="75"/>
    </row>
    <row r="3212" spans="2:7" x14ac:dyDescent="0.3">
      <c r="B3212" s="72"/>
      <c r="C3212" s="73"/>
      <c r="D3212" s="74"/>
      <c r="G3212" s="75"/>
    </row>
    <row r="3213" spans="2:7" x14ac:dyDescent="0.3">
      <c r="B3213" s="72"/>
      <c r="C3213" s="73"/>
      <c r="D3213" s="74"/>
      <c r="G3213" s="75"/>
    </row>
    <row r="3214" spans="2:7" x14ac:dyDescent="0.3">
      <c r="B3214" s="72"/>
      <c r="C3214" s="73"/>
      <c r="D3214" s="74"/>
      <c r="G3214" s="75"/>
    </row>
    <row r="3215" spans="2:7" x14ac:dyDescent="0.3">
      <c r="B3215" s="72"/>
      <c r="C3215" s="73"/>
      <c r="D3215" s="74"/>
      <c r="G3215" s="75"/>
    </row>
    <row r="3216" spans="2:7" x14ac:dyDescent="0.3">
      <c r="B3216" s="72"/>
      <c r="C3216" s="73"/>
      <c r="D3216" s="74"/>
      <c r="G3216" s="75"/>
    </row>
    <row r="3217" spans="2:7" x14ac:dyDescent="0.3">
      <c r="B3217" s="72"/>
      <c r="C3217" s="73"/>
      <c r="D3217" s="74"/>
      <c r="G3217" s="75"/>
    </row>
    <row r="3218" spans="2:7" x14ac:dyDescent="0.3">
      <c r="B3218" s="72"/>
      <c r="C3218" s="73"/>
      <c r="D3218" s="74"/>
      <c r="G3218" s="75"/>
    </row>
    <row r="3219" spans="2:7" x14ac:dyDescent="0.3">
      <c r="B3219" s="72"/>
      <c r="C3219" s="73"/>
      <c r="D3219" s="74"/>
      <c r="G3219" s="75"/>
    </row>
    <row r="3220" spans="2:7" x14ac:dyDescent="0.3">
      <c r="B3220" s="72"/>
      <c r="C3220" s="73"/>
      <c r="D3220" s="74"/>
      <c r="G3220" s="75"/>
    </row>
    <row r="3221" spans="2:7" x14ac:dyDescent="0.3">
      <c r="B3221" s="72"/>
      <c r="C3221" s="73"/>
      <c r="D3221" s="74"/>
      <c r="G3221" s="75"/>
    </row>
    <row r="3222" spans="2:7" x14ac:dyDescent="0.3">
      <c r="B3222" s="72"/>
      <c r="C3222" s="73"/>
      <c r="D3222" s="74"/>
      <c r="G3222" s="75"/>
    </row>
    <row r="3223" spans="2:7" x14ac:dyDescent="0.3">
      <c r="B3223" s="72"/>
      <c r="C3223" s="73"/>
      <c r="D3223" s="74"/>
      <c r="G3223" s="75"/>
    </row>
    <row r="3224" spans="2:7" x14ac:dyDescent="0.3">
      <c r="B3224" s="72"/>
      <c r="C3224" s="73"/>
      <c r="D3224" s="74"/>
      <c r="G3224" s="75"/>
    </row>
    <row r="3225" spans="2:7" x14ac:dyDescent="0.3">
      <c r="B3225" s="72"/>
      <c r="C3225" s="73"/>
      <c r="D3225" s="74"/>
      <c r="G3225" s="75"/>
    </row>
    <row r="3226" spans="2:7" x14ac:dyDescent="0.3">
      <c r="B3226" s="72"/>
      <c r="C3226" s="73"/>
      <c r="D3226" s="74"/>
      <c r="G3226" s="75"/>
    </row>
    <row r="3227" spans="2:7" x14ac:dyDescent="0.3">
      <c r="B3227" s="72"/>
      <c r="C3227" s="73"/>
      <c r="D3227" s="74"/>
      <c r="G3227" s="75"/>
    </row>
    <row r="3228" spans="2:7" x14ac:dyDescent="0.3">
      <c r="B3228" s="72"/>
      <c r="C3228" s="73"/>
      <c r="D3228" s="74"/>
      <c r="G3228" s="75"/>
    </row>
    <row r="3229" spans="2:7" x14ac:dyDescent="0.3">
      <c r="B3229" s="72"/>
      <c r="C3229" s="73"/>
      <c r="D3229" s="74"/>
      <c r="G3229" s="75"/>
    </row>
    <row r="3230" spans="2:7" x14ac:dyDescent="0.3">
      <c r="B3230" s="72"/>
      <c r="C3230" s="73"/>
      <c r="D3230" s="74"/>
      <c r="G3230" s="75"/>
    </row>
    <row r="3231" spans="2:7" x14ac:dyDescent="0.3">
      <c r="B3231" s="72"/>
      <c r="C3231" s="73"/>
      <c r="D3231" s="74"/>
      <c r="G3231" s="75"/>
    </row>
    <row r="3232" spans="2:7" x14ac:dyDescent="0.3">
      <c r="B3232" s="72"/>
      <c r="C3232" s="73"/>
      <c r="D3232" s="74"/>
      <c r="G3232" s="75"/>
    </row>
    <row r="3233" spans="2:7" x14ac:dyDescent="0.3">
      <c r="B3233" s="72"/>
      <c r="C3233" s="73"/>
      <c r="D3233" s="74"/>
      <c r="G3233" s="75"/>
    </row>
    <row r="3234" spans="2:7" x14ac:dyDescent="0.3">
      <c r="B3234" s="72"/>
      <c r="C3234" s="73"/>
      <c r="D3234" s="74"/>
      <c r="G3234" s="75"/>
    </row>
    <row r="3235" spans="2:7" x14ac:dyDescent="0.3">
      <c r="B3235" s="72"/>
      <c r="C3235" s="73"/>
      <c r="D3235" s="74"/>
      <c r="G3235" s="75"/>
    </row>
    <row r="3236" spans="2:7" x14ac:dyDescent="0.3">
      <c r="B3236" s="72"/>
      <c r="C3236" s="73"/>
      <c r="D3236" s="74"/>
      <c r="G3236" s="75"/>
    </row>
    <row r="3237" spans="2:7" x14ac:dyDescent="0.3">
      <c r="B3237" s="72"/>
      <c r="C3237" s="73"/>
      <c r="D3237" s="74"/>
      <c r="G3237" s="75"/>
    </row>
    <row r="3238" spans="2:7" x14ac:dyDescent="0.3">
      <c r="B3238" s="72"/>
      <c r="C3238" s="73"/>
      <c r="D3238" s="74"/>
      <c r="G3238" s="75"/>
    </row>
    <row r="3239" spans="2:7" x14ac:dyDescent="0.3">
      <c r="B3239" s="72"/>
      <c r="C3239" s="73"/>
      <c r="D3239" s="74"/>
      <c r="G3239" s="75"/>
    </row>
    <row r="3240" spans="2:7" x14ac:dyDescent="0.3">
      <c r="B3240" s="72"/>
      <c r="C3240" s="73"/>
      <c r="D3240" s="74"/>
      <c r="G3240" s="75"/>
    </row>
    <row r="3241" spans="2:7" x14ac:dyDescent="0.3">
      <c r="B3241" s="72"/>
      <c r="C3241" s="73"/>
      <c r="D3241" s="74"/>
      <c r="G3241" s="75"/>
    </row>
    <row r="3242" spans="2:7" x14ac:dyDescent="0.3">
      <c r="B3242" s="72"/>
      <c r="C3242" s="73"/>
      <c r="D3242" s="74"/>
      <c r="G3242" s="75"/>
    </row>
    <row r="3243" spans="2:7" x14ac:dyDescent="0.3">
      <c r="B3243" s="72"/>
      <c r="C3243" s="73"/>
      <c r="D3243" s="74"/>
      <c r="G3243" s="75"/>
    </row>
    <row r="3244" spans="2:7" x14ac:dyDescent="0.3">
      <c r="B3244" s="72"/>
      <c r="C3244" s="73"/>
      <c r="D3244" s="74"/>
      <c r="G3244" s="75"/>
    </row>
    <row r="3245" spans="2:7" x14ac:dyDescent="0.3">
      <c r="B3245" s="72"/>
      <c r="C3245" s="73"/>
      <c r="D3245" s="74"/>
      <c r="G3245" s="75"/>
    </row>
    <row r="3246" spans="2:7" x14ac:dyDescent="0.3">
      <c r="B3246" s="72"/>
      <c r="C3246" s="73"/>
      <c r="D3246" s="74"/>
      <c r="G3246" s="75"/>
    </row>
    <row r="3247" spans="2:7" x14ac:dyDescent="0.3">
      <c r="B3247" s="72"/>
      <c r="C3247" s="73"/>
      <c r="D3247" s="74"/>
      <c r="G3247" s="75"/>
    </row>
    <row r="3248" spans="2:7" x14ac:dyDescent="0.3">
      <c r="B3248" s="72"/>
      <c r="C3248" s="73"/>
      <c r="D3248" s="74"/>
      <c r="G3248" s="75"/>
    </row>
    <row r="3249" spans="2:7" x14ac:dyDescent="0.3">
      <c r="B3249" s="72"/>
      <c r="C3249" s="73"/>
      <c r="D3249" s="74"/>
      <c r="G3249" s="75"/>
    </row>
    <row r="3250" spans="2:7" x14ac:dyDescent="0.3">
      <c r="B3250" s="72"/>
      <c r="C3250" s="73"/>
      <c r="D3250" s="74"/>
      <c r="G3250" s="75"/>
    </row>
    <row r="3251" spans="2:7" x14ac:dyDescent="0.3">
      <c r="B3251" s="72"/>
      <c r="C3251" s="73"/>
      <c r="D3251" s="74"/>
      <c r="G3251" s="75"/>
    </row>
    <row r="3252" spans="2:7" x14ac:dyDescent="0.3">
      <c r="B3252" s="72"/>
      <c r="C3252" s="73"/>
      <c r="D3252" s="74"/>
      <c r="G3252" s="75"/>
    </row>
    <row r="3253" spans="2:7" x14ac:dyDescent="0.3">
      <c r="B3253" s="72"/>
      <c r="C3253" s="73"/>
      <c r="D3253" s="74"/>
      <c r="G3253" s="75"/>
    </row>
    <row r="3254" spans="2:7" x14ac:dyDescent="0.3">
      <c r="B3254" s="72"/>
      <c r="C3254" s="73"/>
      <c r="D3254" s="74"/>
      <c r="G3254" s="75"/>
    </row>
    <row r="3255" spans="2:7" x14ac:dyDescent="0.3">
      <c r="B3255" s="72"/>
      <c r="C3255" s="73"/>
      <c r="D3255" s="74"/>
      <c r="G3255" s="75"/>
    </row>
    <row r="3256" spans="2:7" x14ac:dyDescent="0.3">
      <c r="B3256" s="72"/>
      <c r="C3256" s="73"/>
      <c r="D3256" s="74"/>
      <c r="G3256" s="75"/>
    </row>
    <row r="3257" spans="2:7" x14ac:dyDescent="0.3">
      <c r="B3257" s="72"/>
      <c r="C3257" s="73"/>
      <c r="D3257" s="74"/>
      <c r="G3257" s="75"/>
    </row>
    <row r="3258" spans="2:7" x14ac:dyDescent="0.3">
      <c r="B3258" s="72"/>
      <c r="C3258" s="73"/>
      <c r="D3258" s="74"/>
      <c r="G3258" s="75"/>
    </row>
    <row r="3259" spans="2:7" x14ac:dyDescent="0.3">
      <c r="B3259" s="72"/>
      <c r="C3259" s="73"/>
      <c r="D3259" s="74"/>
      <c r="G3259" s="75"/>
    </row>
    <row r="3260" spans="2:7" x14ac:dyDescent="0.3">
      <c r="B3260" s="72"/>
      <c r="C3260" s="73"/>
      <c r="D3260" s="74"/>
      <c r="G3260" s="75"/>
    </row>
    <row r="3261" spans="2:7" x14ac:dyDescent="0.3">
      <c r="B3261" s="72"/>
      <c r="C3261" s="73"/>
      <c r="D3261" s="74"/>
      <c r="G3261" s="75"/>
    </row>
    <row r="3262" spans="2:7" x14ac:dyDescent="0.3">
      <c r="B3262" s="72"/>
      <c r="C3262" s="73"/>
      <c r="D3262" s="74"/>
      <c r="G3262" s="75"/>
    </row>
    <row r="3263" spans="2:7" x14ac:dyDescent="0.3">
      <c r="B3263" s="72"/>
      <c r="C3263" s="73"/>
      <c r="D3263" s="74"/>
      <c r="G3263" s="75"/>
    </row>
    <row r="3264" spans="2:7" x14ac:dyDescent="0.3">
      <c r="B3264" s="72"/>
      <c r="C3264" s="73"/>
      <c r="D3264" s="74"/>
      <c r="G3264" s="75"/>
    </row>
    <row r="3265" spans="2:7" x14ac:dyDescent="0.3">
      <c r="B3265" s="72"/>
      <c r="C3265" s="73"/>
      <c r="D3265" s="74"/>
      <c r="G3265" s="75"/>
    </row>
    <row r="3266" spans="2:7" x14ac:dyDescent="0.3">
      <c r="B3266" s="72"/>
      <c r="C3266" s="73"/>
      <c r="D3266" s="74"/>
      <c r="G3266" s="75"/>
    </row>
    <row r="3267" spans="2:7" x14ac:dyDescent="0.3">
      <c r="B3267" s="72"/>
      <c r="C3267" s="73"/>
      <c r="D3267" s="74"/>
      <c r="G3267" s="75"/>
    </row>
    <row r="3268" spans="2:7" x14ac:dyDescent="0.3">
      <c r="B3268" s="72"/>
      <c r="C3268" s="73"/>
      <c r="D3268" s="74"/>
      <c r="G3268" s="75"/>
    </row>
    <row r="3269" spans="2:7" x14ac:dyDescent="0.3">
      <c r="B3269" s="72"/>
      <c r="C3269" s="73"/>
      <c r="D3269" s="74"/>
      <c r="G3269" s="75"/>
    </row>
    <row r="3270" spans="2:7" x14ac:dyDescent="0.3">
      <c r="B3270" s="72"/>
      <c r="C3270" s="73"/>
      <c r="D3270" s="74"/>
      <c r="G3270" s="75"/>
    </row>
    <row r="3271" spans="2:7" x14ac:dyDescent="0.3">
      <c r="B3271" s="72"/>
      <c r="C3271" s="73"/>
      <c r="D3271" s="74"/>
      <c r="G3271" s="75"/>
    </row>
    <row r="3272" spans="2:7" x14ac:dyDescent="0.3">
      <c r="B3272" s="72"/>
      <c r="C3272" s="73"/>
      <c r="D3272" s="74"/>
      <c r="G3272" s="75"/>
    </row>
    <row r="3273" spans="2:7" x14ac:dyDescent="0.3">
      <c r="B3273" s="72"/>
      <c r="C3273" s="73"/>
      <c r="D3273" s="74"/>
      <c r="G3273" s="75"/>
    </row>
    <row r="3274" spans="2:7" x14ac:dyDescent="0.3">
      <c r="B3274" s="72"/>
      <c r="C3274" s="73"/>
      <c r="D3274" s="74"/>
      <c r="G3274" s="75"/>
    </row>
    <row r="3275" spans="2:7" x14ac:dyDescent="0.3">
      <c r="B3275" s="72"/>
      <c r="C3275" s="73"/>
      <c r="D3275" s="74"/>
      <c r="G3275" s="75"/>
    </row>
    <row r="3276" spans="2:7" x14ac:dyDescent="0.3">
      <c r="B3276" s="72"/>
      <c r="C3276" s="73"/>
      <c r="D3276" s="74"/>
      <c r="G3276" s="75"/>
    </row>
    <row r="3277" spans="2:7" x14ac:dyDescent="0.3">
      <c r="B3277" s="72"/>
      <c r="C3277" s="73"/>
      <c r="D3277" s="74"/>
      <c r="G3277" s="75"/>
    </row>
    <row r="3278" spans="2:7" x14ac:dyDescent="0.3">
      <c r="B3278" s="72"/>
      <c r="C3278" s="73"/>
      <c r="D3278" s="74"/>
      <c r="G3278" s="75"/>
    </row>
    <row r="3279" spans="2:7" x14ac:dyDescent="0.3">
      <c r="B3279" s="72"/>
      <c r="C3279" s="73"/>
      <c r="D3279" s="74"/>
      <c r="G3279" s="75"/>
    </row>
    <row r="3280" spans="2:7" x14ac:dyDescent="0.3">
      <c r="B3280" s="72"/>
      <c r="C3280" s="73"/>
      <c r="D3280" s="74"/>
      <c r="G3280" s="75"/>
    </row>
    <row r="3281" spans="2:7" x14ac:dyDescent="0.3">
      <c r="B3281" s="72"/>
      <c r="C3281" s="73"/>
      <c r="D3281" s="74"/>
      <c r="G3281" s="75"/>
    </row>
    <row r="3282" spans="2:7" x14ac:dyDescent="0.3">
      <c r="B3282" s="72"/>
      <c r="C3282" s="73"/>
      <c r="D3282" s="74"/>
      <c r="G3282" s="75"/>
    </row>
    <row r="3283" spans="2:7" x14ac:dyDescent="0.3">
      <c r="B3283" s="72"/>
      <c r="C3283" s="73"/>
      <c r="D3283" s="74"/>
      <c r="G3283" s="75"/>
    </row>
    <row r="3284" spans="2:7" x14ac:dyDescent="0.3">
      <c r="B3284" s="72"/>
      <c r="C3284" s="73"/>
      <c r="D3284" s="74"/>
      <c r="G3284" s="75"/>
    </row>
    <row r="3285" spans="2:7" x14ac:dyDescent="0.3">
      <c r="B3285" s="72"/>
      <c r="C3285" s="73"/>
      <c r="D3285" s="74"/>
      <c r="G3285" s="75"/>
    </row>
    <row r="3286" spans="2:7" x14ac:dyDescent="0.3">
      <c r="B3286" s="72"/>
      <c r="C3286" s="73"/>
      <c r="D3286" s="74"/>
      <c r="G3286" s="75"/>
    </row>
    <row r="3287" spans="2:7" x14ac:dyDescent="0.3">
      <c r="B3287" s="72"/>
      <c r="C3287" s="73"/>
      <c r="D3287" s="74"/>
      <c r="G3287" s="75"/>
    </row>
    <row r="3288" spans="2:7" x14ac:dyDescent="0.3">
      <c r="B3288" s="72"/>
      <c r="C3288" s="73"/>
      <c r="D3288" s="74"/>
      <c r="G3288" s="75"/>
    </row>
    <row r="3289" spans="2:7" x14ac:dyDescent="0.3">
      <c r="B3289" s="72"/>
      <c r="C3289" s="73"/>
      <c r="D3289" s="74"/>
      <c r="G3289" s="75"/>
    </row>
    <row r="3290" spans="2:7" x14ac:dyDescent="0.3">
      <c r="B3290" s="72"/>
      <c r="C3290" s="73"/>
      <c r="D3290" s="74"/>
      <c r="G3290" s="75"/>
    </row>
    <row r="3291" spans="2:7" x14ac:dyDescent="0.3">
      <c r="B3291" s="72"/>
      <c r="C3291" s="73"/>
      <c r="D3291" s="74"/>
      <c r="G3291" s="75"/>
    </row>
    <row r="3292" spans="2:7" x14ac:dyDescent="0.3">
      <c r="B3292" s="72"/>
      <c r="C3292" s="73"/>
      <c r="D3292" s="74"/>
      <c r="G3292" s="75"/>
    </row>
    <row r="3293" spans="2:7" x14ac:dyDescent="0.3">
      <c r="B3293" s="72"/>
      <c r="C3293" s="73"/>
      <c r="D3293" s="74"/>
      <c r="G3293" s="75"/>
    </row>
    <row r="3294" spans="2:7" x14ac:dyDescent="0.3">
      <c r="B3294" s="72"/>
      <c r="C3294" s="73"/>
      <c r="D3294" s="74"/>
      <c r="G3294" s="75"/>
    </row>
    <row r="3295" spans="2:7" x14ac:dyDescent="0.3">
      <c r="B3295" s="72"/>
      <c r="C3295" s="73"/>
      <c r="D3295" s="74"/>
      <c r="G3295" s="75"/>
    </row>
    <row r="3296" spans="2:7" x14ac:dyDescent="0.3">
      <c r="B3296" s="72"/>
      <c r="C3296" s="73"/>
      <c r="D3296" s="74"/>
      <c r="G3296" s="75"/>
    </row>
    <row r="3297" spans="2:7" x14ac:dyDescent="0.3">
      <c r="B3297" s="72"/>
      <c r="C3297" s="73"/>
      <c r="D3297" s="74"/>
      <c r="G3297" s="75"/>
    </row>
    <row r="3298" spans="2:7" x14ac:dyDescent="0.3">
      <c r="B3298" s="72"/>
      <c r="C3298" s="73"/>
      <c r="D3298" s="74"/>
      <c r="G3298" s="75"/>
    </row>
    <row r="3299" spans="2:7" x14ac:dyDescent="0.3">
      <c r="B3299" s="72"/>
      <c r="C3299" s="73"/>
      <c r="D3299" s="74"/>
      <c r="G3299" s="75"/>
    </row>
    <row r="3300" spans="2:7" x14ac:dyDescent="0.3">
      <c r="B3300" s="72"/>
      <c r="C3300" s="73"/>
      <c r="D3300" s="74"/>
      <c r="G3300" s="75"/>
    </row>
    <row r="3301" spans="2:7" x14ac:dyDescent="0.3">
      <c r="B3301" s="72"/>
      <c r="C3301" s="73"/>
      <c r="D3301" s="74"/>
      <c r="G3301" s="75"/>
    </row>
    <row r="3302" spans="2:7" x14ac:dyDescent="0.3">
      <c r="B3302" s="72"/>
      <c r="C3302" s="73"/>
      <c r="D3302" s="74"/>
      <c r="G3302" s="75"/>
    </row>
    <row r="3303" spans="2:7" x14ac:dyDescent="0.3">
      <c r="B3303" s="72"/>
      <c r="C3303" s="73"/>
      <c r="D3303" s="74"/>
      <c r="G3303" s="75"/>
    </row>
    <row r="3304" spans="2:7" x14ac:dyDescent="0.3">
      <c r="B3304" s="72"/>
      <c r="C3304" s="73"/>
      <c r="D3304" s="74"/>
      <c r="G3304" s="75"/>
    </row>
    <row r="3305" spans="2:7" x14ac:dyDescent="0.3">
      <c r="B3305" s="72"/>
      <c r="C3305" s="73"/>
      <c r="D3305" s="74"/>
      <c r="G3305" s="75"/>
    </row>
    <row r="3306" spans="2:7" x14ac:dyDescent="0.3">
      <c r="B3306" s="72"/>
      <c r="C3306" s="73"/>
      <c r="D3306" s="74"/>
      <c r="G3306" s="75"/>
    </row>
    <row r="3307" spans="2:7" x14ac:dyDescent="0.3">
      <c r="B3307" s="72"/>
      <c r="C3307" s="73"/>
      <c r="D3307" s="74"/>
      <c r="G3307" s="75"/>
    </row>
    <row r="3308" spans="2:7" x14ac:dyDescent="0.3">
      <c r="B3308" s="72"/>
      <c r="C3308" s="73"/>
      <c r="D3308" s="74"/>
      <c r="G3308" s="75"/>
    </row>
    <row r="3309" spans="2:7" x14ac:dyDescent="0.3">
      <c r="B3309" s="72"/>
      <c r="C3309" s="73"/>
      <c r="D3309" s="74"/>
      <c r="G3309" s="75"/>
    </row>
    <row r="3310" spans="2:7" x14ac:dyDescent="0.3">
      <c r="B3310" s="72"/>
      <c r="C3310" s="73"/>
      <c r="D3310" s="74"/>
      <c r="G3310" s="75"/>
    </row>
    <row r="3311" spans="2:7" x14ac:dyDescent="0.3">
      <c r="B3311" s="72"/>
      <c r="C3311" s="73"/>
      <c r="D3311" s="74"/>
      <c r="G3311" s="75"/>
    </row>
    <row r="3312" spans="2:7" x14ac:dyDescent="0.3">
      <c r="B3312" s="72"/>
      <c r="C3312" s="73"/>
      <c r="D3312" s="74"/>
      <c r="G3312" s="75"/>
    </row>
    <row r="3313" spans="2:7" x14ac:dyDescent="0.3">
      <c r="B3313" s="72"/>
      <c r="C3313" s="73"/>
      <c r="D3313" s="74"/>
      <c r="G3313" s="75"/>
    </row>
    <row r="3314" spans="2:7" x14ac:dyDescent="0.3">
      <c r="B3314" s="72"/>
      <c r="C3314" s="73"/>
      <c r="D3314" s="74"/>
      <c r="G3314" s="75"/>
    </row>
    <row r="3315" spans="2:7" x14ac:dyDescent="0.3">
      <c r="B3315" s="72"/>
      <c r="C3315" s="73"/>
      <c r="D3315" s="74"/>
      <c r="G3315" s="75"/>
    </row>
    <row r="3316" spans="2:7" x14ac:dyDescent="0.3">
      <c r="B3316" s="72"/>
      <c r="C3316" s="73"/>
      <c r="D3316" s="74"/>
      <c r="G3316" s="75"/>
    </row>
    <row r="3317" spans="2:7" x14ac:dyDescent="0.3">
      <c r="B3317" s="72"/>
      <c r="C3317" s="73"/>
      <c r="D3317" s="74"/>
      <c r="G3317" s="75"/>
    </row>
    <row r="3318" spans="2:7" x14ac:dyDescent="0.3">
      <c r="B3318" s="72"/>
      <c r="C3318" s="73"/>
      <c r="D3318" s="74"/>
      <c r="G3318" s="75"/>
    </row>
    <row r="3319" spans="2:7" x14ac:dyDescent="0.3">
      <c r="B3319" s="72"/>
      <c r="C3319" s="73"/>
      <c r="D3319" s="74"/>
      <c r="G3319" s="75"/>
    </row>
    <row r="3320" spans="2:7" x14ac:dyDescent="0.3">
      <c r="B3320" s="72"/>
      <c r="C3320" s="73"/>
      <c r="D3320" s="74"/>
      <c r="G3320" s="75"/>
    </row>
    <row r="3321" spans="2:7" x14ac:dyDescent="0.3">
      <c r="B3321" s="72"/>
      <c r="C3321" s="73"/>
      <c r="D3321" s="74"/>
      <c r="G3321" s="75"/>
    </row>
    <row r="3322" spans="2:7" x14ac:dyDescent="0.3">
      <c r="B3322" s="72"/>
      <c r="C3322" s="73"/>
      <c r="D3322" s="74"/>
      <c r="G3322" s="75"/>
    </row>
    <row r="3323" spans="2:7" x14ac:dyDescent="0.3">
      <c r="B3323" s="72"/>
      <c r="C3323" s="73"/>
      <c r="D3323" s="74"/>
      <c r="G3323" s="75"/>
    </row>
    <row r="3324" spans="2:7" x14ac:dyDescent="0.3">
      <c r="B3324" s="72"/>
      <c r="C3324" s="73"/>
      <c r="D3324" s="74"/>
      <c r="G3324" s="75"/>
    </row>
    <row r="3325" spans="2:7" x14ac:dyDescent="0.3">
      <c r="B3325" s="72"/>
      <c r="C3325" s="73"/>
      <c r="D3325" s="74"/>
      <c r="G3325" s="75"/>
    </row>
    <row r="3326" spans="2:7" x14ac:dyDescent="0.3">
      <c r="B3326" s="72"/>
      <c r="C3326" s="73"/>
      <c r="D3326" s="74"/>
      <c r="G3326" s="75"/>
    </row>
    <row r="3327" spans="2:7" x14ac:dyDescent="0.3">
      <c r="B3327" s="72"/>
      <c r="C3327" s="73"/>
      <c r="D3327" s="74"/>
      <c r="G3327" s="75"/>
    </row>
    <row r="3328" spans="2:7" x14ac:dyDescent="0.3">
      <c r="B3328" s="72"/>
      <c r="C3328" s="73"/>
      <c r="D3328" s="74"/>
      <c r="G3328" s="75"/>
    </row>
    <row r="3329" spans="2:7" x14ac:dyDescent="0.3">
      <c r="B3329" s="72"/>
      <c r="C3329" s="73"/>
      <c r="D3329" s="74"/>
      <c r="G3329" s="75"/>
    </row>
    <row r="3330" spans="2:7" x14ac:dyDescent="0.3">
      <c r="B3330" s="72"/>
      <c r="C3330" s="73"/>
      <c r="D3330" s="74"/>
      <c r="G3330" s="75"/>
    </row>
    <row r="3331" spans="2:7" x14ac:dyDescent="0.3">
      <c r="B3331" s="72"/>
      <c r="C3331" s="73"/>
      <c r="D3331" s="74"/>
      <c r="G3331" s="75"/>
    </row>
    <row r="3332" spans="2:7" x14ac:dyDescent="0.3">
      <c r="B3332" s="72"/>
      <c r="C3332" s="73"/>
      <c r="D3332" s="74"/>
      <c r="G3332" s="75"/>
    </row>
    <row r="3333" spans="2:7" x14ac:dyDescent="0.3">
      <c r="B3333" s="72"/>
      <c r="C3333" s="73"/>
      <c r="D3333" s="74"/>
      <c r="G3333" s="75"/>
    </row>
    <row r="3334" spans="2:7" x14ac:dyDescent="0.3">
      <c r="B3334" s="72"/>
      <c r="C3334" s="73"/>
      <c r="D3334" s="74"/>
      <c r="G3334" s="75"/>
    </row>
    <row r="3335" spans="2:7" x14ac:dyDescent="0.3">
      <c r="B3335" s="72"/>
      <c r="C3335" s="73"/>
      <c r="D3335" s="74"/>
      <c r="G3335" s="75"/>
    </row>
    <row r="3336" spans="2:7" x14ac:dyDescent="0.3">
      <c r="B3336" s="72"/>
      <c r="C3336" s="73"/>
      <c r="D3336" s="74"/>
      <c r="G3336" s="75"/>
    </row>
    <row r="3337" spans="2:7" x14ac:dyDescent="0.3">
      <c r="B3337" s="72"/>
      <c r="C3337" s="73"/>
      <c r="D3337" s="74"/>
      <c r="G3337" s="75"/>
    </row>
    <row r="3338" spans="2:7" x14ac:dyDescent="0.3">
      <c r="B3338" s="72"/>
      <c r="C3338" s="73"/>
      <c r="D3338" s="74"/>
      <c r="G3338" s="75"/>
    </row>
    <row r="3339" spans="2:7" x14ac:dyDescent="0.3">
      <c r="B3339" s="72"/>
      <c r="C3339" s="73"/>
      <c r="D3339" s="74"/>
      <c r="G3339" s="75"/>
    </row>
    <row r="3340" spans="2:7" x14ac:dyDescent="0.3">
      <c r="B3340" s="72"/>
      <c r="C3340" s="73"/>
      <c r="D3340" s="74"/>
      <c r="G3340" s="75"/>
    </row>
    <row r="3341" spans="2:7" x14ac:dyDescent="0.3">
      <c r="B3341" s="72"/>
      <c r="C3341" s="73"/>
      <c r="D3341" s="74"/>
      <c r="G3341" s="75"/>
    </row>
    <row r="3342" spans="2:7" x14ac:dyDescent="0.3">
      <c r="B3342" s="72"/>
      <c r="C3342" s="73"/>
      <c r="D3342" s="74"/>
      <c r="G3342" s="75"/>
    </row>
    <row r="3343" spans="2:7" x14ac:dyDescent="0.3">
      <c r="B3343" s="72"/>
      <c r="C3343" s="73"/>
      <c r="D3343" s="74"/>
      <c r="G3343" s="75"/>
    </row>
    <row r="3344" spans="2:7" x14ac:dyDescent="0.3">
      <c r="B3344" s="72"/>
      <c r="C3344" s="73"/>
      <c r="D3344" s="74"/>
      <c r="G3344" s="75"/>
    </row>
    <row r="3345" spans="2:7" x14ac:dyDescent="0.3">
      <c r="B3345" s="72"/>
      <c r="C3345" s="73"/>
      <c r="D3345" s="74"/>
      <c r="G3345" s="75"/>
    </row>
    <row r="3346" spans="2:7" x14ac:dyDescent="0.3">
      <c r="B3346" s="72"/>
      <c r="C3346" s="73"/>
      <c r="D3346" s="74"/>
      <c r="G3346" s="75"/>
    </row>
    <row r="3347" spans="2:7" x14ac:dyDescent="0.3">
      <c r="B3347" s="72"/>
      <c r="C3347" s="73"/>
      <c r="D3347" s="74"/>
      <c r="G3347" s="75"/>
    </row>
    <row r="3348" spans="2:7" x14ac:dyDescent="0.3">
      <c r="B3348" s="72"/>
      <c r="C3348" s="73"/>
      <c r="D3348" s="74"/>
      <c r="G3348" s="75"/>
    </row>
    <row r="3349" spans="2:7" x14ac:dyDescent="0.3">
      <c r="B3349" s="72"/>
      <c r="C3349" s="73"/>
      <c r="D3349" s="74"/>
      <c r="G3349" s="75"/>
    </row>
    <row r="3350" spans="2:7" x14ac:dyDescent="0.3">
      <c r="B3350" s="72"/>
      <c r="C3350" s="73"/>
      <c r="D3350" s="74"/>
      <c r="G3350" s="75"/>
    </row>
    <row r="3351" spans="2:7" x14ac:dyDescent="0.3">
      <c r="B3351" s="72"/>
      <c r="C3351" s="73"/>
      <c r="D3351" s="74"/>
      <c r="G3351" s="75"/>
    </row>
    <row r="3352" spans="2:7" x14ac:dyDescent="0.3">
      <c r="B3352" s="72"/>
      <c r="C3352" s="73"/>
      <c r="D3352" s="74"/>
      <c r="G3352" s="75"/>
    </row>
    <row r="3353" spans="2:7" x14ac:dyDescent="0.3">
      <c r="B3353" s="72"/>
      <c r="C3353" s="73"/>
      <c r="D3353" s="74"/>
      <c r="G3353" s="75"/>
    </row>
    <row r="3354" spans="2:7" x14ac:dyDescent="0.3">
      <c r="B3354" s="72"/>
      <c r="C3354" s="73"/>
      <c r="D3354" s="74"/>
      <c r="G3354" s="75"/>
    </row>
    <row r="3355" spans="2:7" x14ac:dyDescent="0.3">
      <c r="B3355" s="72"/>
      <c r="C3355" s="73"/>
      <c r="D3355" s="74"/>
      <c r="G3355" s="75"/>
    </row>
    <row r="3356" spans="2:7" x14ac:dyDescent="0.3">
      <c r="B3356" s="72"/>
      <c r="C3356" s="73"/>
      <c r="D3356" s="74"/>
      <c r="G3356" s="75"/>
    </row>
    <row r="3357" spans="2:7" x14ac:dyDescent="0.3">
      <c r="B3357" s="72"/>
      <c r="C3357" s="73"/>
      <c r="D3357" s="74"/>
      <c r="G3357" s="75"/>
    </row>
    <row r="3358" spans="2:7" x14ac:dyDescent="0.3">
      <c r="B3358" s="72"/>
      <c r="C3358" s="73"/>
      <c r="D3358" s="74"/>
      <c r="G3358" s="75"/>
    </row>
    <row r="3359" spans="2:7" x14ac:dyDescent="0.3">
      <c r="B3359" s="72"/>
      <c r="C3359" s="73"/>
      <c r="D3359" s="74"/>
      <c r="G3359" s="75"/>
    </row>
    <row r="3360" spans="2:7" x14ac:dyDescent="0.3">
      <c r="B3360" s="72"/>
      <c r="C3360" s="73"/>
      <c r="D3360" s="74"/>
      <c r="G3360" s="75"/>
    </row>
    <row r="3361" spans="2:7" x14ac:dyDescent="0.3">
      <c r="B3361" s="72"/>
      <c r="C3361" s="73"/>
      <c r="D3361" s="74"/>
      <c r="G3361" s="75"/>
    </row>
    <row r="3362" spans="2:7" x14ac:dyDescent="0.3">
      <c r="B3362" s="72"/>
      <c r="C3362" s="73"/>
      <c r="D3362" s="74"/>
      <c r="G3362" s="75"/>
    </row>
    <row r="3363" spans="2:7" x14ac:dyDescent="0.3">
      <c r="B3363" s="72"/>
      <c r="C3363" s="73"/>
      <c r="D3363" s="74"/>
      <c r="G3363" s="75"/>
    </row>
    <row r="3364" spans="2:7" x14ac:dyDescent="0.3">
      <c r="B3364" s="72"/>
      <c r="C3364" s="73"/>
      <c r="D3364" s="74"/>
      <c r="G3364" s="75"/>
    </row>
    <row r="3365" spans="2:7" x14ac:dyDescent="0.3">
      <c r="B3365" s="72"/>
      <c r="C3365" s="73"/>
      <c r="D3365" s="74"/>
      <c r="G3365" s="75"/>
    </row>
    <row r="3366" spans="2:7" x14ac:dyDescent="0.3">
      <c r="B3366" s="72"/>
      <c r="C3366" s="73"/>
      <c r="D3366" s="74"/>
      <c r="G3366" s="75"/>
    </row>
    <row r="3367" spans="2:7" x14ac:dyDescent="0.3">
      <c r="B3367" s="72"/>
      <c r="C3367" s="73"/>
      <c r="D3367" s="74"/>
      <c r="G3367" s="75"/>
    </row>
    <row r="3368" spans="2:7" x14ac:dyDescent="0.3">
      <c r="B3368" s="72"/>
      <c r="C3368" s="73"/>
      <c r="D3368" s="74"/>
      <c r="G3368" s="75"/>
    </row>
    <row r="3369" spans="2:7" x14ac:dyDescent="0.3">
      <c r="B3369" s="72"/>
      <c r="C3369" s="73"/>
      <c r="D3369" s="74"/>
      <c r="G3369" s="75"/>
    </row>
    <row r="3370" spans="2:7" x14ac:dyDescent="0.3">
      <c r="B3370" s="72"/>
      <c r="C3370" s="73"/>
      <c r="D3370" s="74"/>
      <c r="G3370" s="75"/>
    </row>
    <row r="3371" spans="2:7" x14ac:dyDescent="0.3">
      <c r="B3371" s="72"/>
      <c r="C3371" s="73"/>
      <c r="D3371" s="74"/>
      <c r="G3371" s="75"/>
    </row>
    <row r="3372" spans="2:7" x14ac:dyDescent="0.3">
      <c r="B3372" s="72"/>
      <c r="C3372" s="73"/>
      <c r="D3372" s="74"/>
      <c r="G3372" s="75"/>
    </row>
    <row r="3373" spans="2:7" x14ac:dyDescent="0.3">
      <c r="B3373" s="72"/>
      <c r="C3373" s="73"/>
      <c r="D3373" s="74"/>
      <c r="G3373" s="75"/>
    </row>
    <row r="3374" spans="2:7" x14ac:dyDescent="0.3">
      <c r="B3374" s="72"/>
      <c r="C3374" s="73"/>
      <c r="D3374" s="74"/>
      <c r="G3374" s="75"/>
    </row>
    <row r="3375" spans="2:7" x14ac:dyDescent="0.3">
      <c r="B3375" s="72"/>
      <c r="C3375" s="73"/>
      <c r="D3375" s="74"/>
      <c r="G3375" s="75"/>
    </row>
    <row r="3376" spans="2:7" x14ac:dyDescent="0.3">
      <c r="B3376" s="72"/>
      <c r="C3376" s="73"/>
      <c r="D3376" s="74"/>
      <c r="G3376" s="75"/>
    </row>
    <row r="3377" spans="2:7" x14ac:dyDescent="0.3">
      <c r="B3377" s="72"/>
      <c r="C3377" s="73"/>
      <c r="D3377" s="74"/>
      <c r="G3377" s="75"/>
    </row>
    <row r="3378" spans="2:7" x14ac:dyDescent="0.3">
      <c r="B3378" s="72"/>
      <c r="C3378" s="73"/>
      <c r="D3378" s="74"/>
      <c r="G3378" s="75"/>
    </row>
    <row r="3379" spans="2:7" x14ac:dyDescent="0.3">
      <c r="B3379" s="72"/>
      <c r="C3379" s="73"/>
      <c r="D3379" s="74"/>
      <c r="G3379" s="75"/>
    </row>
    <row r="3380" spans="2:7" x14ac:dyDescent="0.3">
      <c r="B3380" s="72"/>
      <c r="C3380" s="73"/>
      <c r="D3380" s="74"/>
      <c r="G3380" s="75"/>
    </row>
    <row r="3381" spans="2:7" x14ac:dyDescent="0.3">
      <c r="B3381" s="72"/>
      <c r="C3381" s="73"/>
      <c r="D3381" s="74"/>
      <c r="G3381" s="75"/>
    </row>
    <row r="3382" spans="2:7" x14ac:dyDescent="0.3">
      <c r="B3382" s="72"/>
      <c r="C3382" s="73"/>
      <c r="D3382" s="74"/>
      <c r="G3382" s="75"/>
    </row>
    <row r="3383" spans="2:7" x14ac:dyDescent="0.3">
      <c r="B3383" s="72"/>
      <c r="C3383" s="73"/>
      <c r="D3383" s="74"/>
      <c r="G3383" s="75"/>
    </row>
    <row r="3384" spans="2:7" x14ac:dyDescent="0.3">
      <c r="B3384" s="72"/>
      <c r="C3384" s="73"/>
      <c r="D3384" s="74"/>
      <c r="G3384" s="75"/>
    </row>
    <row r="3385" spans="2:7" x14ac:dyDescent="0.3">
      <c r="B3385" s="72"/>
      <c r="C3385" s="73"/>
      <c r="D3385" s="74"/>
      <c r="G3385" s="75"/>
    </row>
    <row r="3386" spans="2:7" x14ac:dyDescent="0.3">
      <c r="B3386" s="72"/>
      <c r="C3386" s="73"/>
      <c r="D3386" s="74"/>
      <c r="G3386" s="75"/>
    </row>
    <row r="3387" spans="2:7" x14ac:dyDescent="0.3">
      <c r="B3387" s="72"/>
      <c r="C3387" s="73"/>
      <c r="D3387" s="74"/>
      <c r="G3387" s="75"/>
    </row>
    <row r="3388" spans="2:7" x14ac:dyDescent="0.3">
      <c r="B3388" s="72"/>
      <c r="C3388" s="73"/>
      <c r="D3388" s="74"/>
      <c r="G3388" s="75"/>
    </row>
    <row r="3389" spans="2:7" x14ac:dyDescent="0.3">
      <c r="B3389" s="72"/>
      <c r="C3389" s="73"/>
      <c r="D3389" s="74"/>
      <c r="G3389" s="75"/>
    </row>
    <row r="3390" spans="2:7" x14ac:dyDescent="0.3">
      <c r="B3390" s="72"/>
      <c r="C3390" s="73"/>
      <c r="D3390" s="74"/>
      <c r="G3390" s="75"/>
    </row>
    <row r="3391" spans="2:7" x14ac:dyDescent="0.3">
      <c r="B3391" s="72"/>
      <c r="C3391" s="73"/>
      <c r="D3391" s="74"/>
      <c r="G3391" s="75"/>
    </row>
    <row r="3392" spans="2:7" x14ac:dyDescent="0.3">
      <c r="B3392" s="72"/>
      <c r="C3392" s="73"/>
      <c r="D3392" s="74"/>
      <c r="G3392" s="75"/>
    </row>
    <row r="3393" spans="2:7" x14ac:dyDescent="0.3">
      <c r="B3393" s="72"/>
      <c r="C3393" s="73"/>
      <c r="D3393" s="74"/>
      <c r="G3393" s="75"/>
    </row>
    <row r="3394" spans="2:7" x14ac:dyDescent="0.3">
      <c r="B3394" s="72"/>
      <c r="C3394" s="73"/>
      <c r="D3394" s="74"/>
      <c r="G3394" s="75"/>
    </row>
    <row r="3395" spans="2:7" x14ac:dyDescent="0.3">
      <c r="B3395" s="72"/>
      <c r="C3395" s="73"/>
      <c r="D3395" s="74"/>
      <c r="G3395" s="75"/>
    </row>
    <row r="3396" spans="2:7" x14ac:dyDescent="0.3">
      <c r="B3396" s="72"/>
      <c r="C3396" s="73"/>
      <c r="D3396" s="74"/>
      <c r="G3396" s="75"/>
    </row>
    <row r="3397" spans="2:7" x14ac:dyDescent="0.3">
      <c r="B3397" s="72"/>
      <c r="C3397" s="73"/>
      <c r="D3397" s="74"/>
      <c r="G3397" s="75"/>
    </row>
    <row r="3398" spans="2:7" x14ac:dyDescent="0.3">
      <c r="B3398" s="72"/>
      <c r="C3398" s="73"/>
      <c r="D3398" s="74"/>
      <c r="G3398" s="75"/>
    </row>
    <row r="3399" spans="2:7" x14ac:dyDescent="0.3">
      <c r="B3399" s="72"/>
      <c r="C3399" s="73"/>
      <c r="D3399" s="74"/>
      <c r="G3399" s="75"/>
    </row>
    <row r="3400" spans="2:7" x14ac:dyDescent="0.3">
      <c r="B3400" s="72"/>
      <c r="C3400" s="73"/>
      <c r="D3400" s="74"/>
      <c r="G3400" s="75"/>
    </row>
    <row r="3401" spans="2:7" x14ac:dyDescent="0.3">
      <c r="B3401" s="72"/>
      <c r="C3401" s="73"/>
      <c r="D3401" s="74"/>
      <c r="G3401" s="75"/>
    </row>
    <row r="3402" spans="2:7" x14ac:dyDescent="0.3">
      <c r="B3402" s="72"/>
      <c r="C3402" s="73"/>
      <c r="D3402" s="74"/>
      <c r="G3402" s="75"/>
    </row>
    <row r="3403" spans="2:7" x14ac:dyDescent="0.3">
      <c r="B3403" s="72"/>
      <c r="C3403" s="73"/>
      <c r="D3403" s="74"/>
      <c r="G3403" s="75"/>
    </row>
    <row r="3404" spans="2:7" x14ac:dyDescent="0.3">
      <c r="B3404" s="72"/>
      <c r="C3404" s="73"/>
      <c r="D3404" s="74"/>
      <c r="G3404" s="75"/>
    </row>
    <row r="3405" spans="2:7" x14ac:dyDescent="0.3">
      <c r="B3405" s="72"/>
      <c r="C3405" s="73"/>
      <c r="D3405" s="74"/>
      <c r="G3405" s="75"/>
    </row>
    <row r="3406" spans="2:7" x14ac:dyDescent="0.3">
      <c r="B3406" s="72"/>
      <c r="C3406" s="73"/>
      <c r="D3406" s="74"/>
      <c r="G3406" s="75"/>
    </row>
    <row r="3407" spans="2:7" x14ac:dyDescent="0.3">
      <c r="B3407" s="72"/>
      <c r="C3407" s="73"/>
      <c r="D3407" s="74"/>
      <c r="G3407" s="75"/>
    </row>
    <row r="3408" spans="2:7" x14ac:dyDescent="0.3">
      <c r="B3408" s="72"/>
      <c r="C3408" s="73"/>
      <c r="D3408" s="74"/>
      <c r="G3408" s="75"/>
    </row>
    <row r="3409" spans="2:7" x14ac:dyDescent="0.3">
      <c r="B3409" s="72"/>
      <c r="C3409" s="73"/>
      <c r="D3409" s="74"/>
      <c r="G3409" s="75"/>
    </row>
    <row r="3410" spans="2:7" x14ac:dyDescent="0.3">
      <c r="B3410" s="72"/>
      <c r="C3410" s="73"/>
      <c r="D3410" s="74"/>
      <c r="G3410" s="75"/>
    </row>
    <row r="3411" spans="2:7" x14ac:dyDescent="0.3">
      <c r="B3411" s="72"/>
      <c r="C3411" s="73"/>
      <c r="D3411" s="74"/>
      <c r="G3411" s="75"/>
    </row>
    <row r="3412" spans="2:7" x14ac:dyDescent="0.3">
      <c r="B3412" s="72"/>
      <c r="C3412" s="73"/>
      <c r="D3412" s="74"/>
      <c r="G3412" s="75"/>
    </row>
    <row r="3413" spans="2:7" x14ac:dyDescent="0.3">
      <c r="B3413" s="72"/>
      <c r="C3413" s="73"/>
      <c r="D3413" s="74"/>
      <c r="G3413" s="75"/>
    </row>
    <row r="3414" spans="2:7" x14ac:dyDescent="0.3">
      <c r="B3414" s="72"/>
      <c r="C3414" s="73"/>
      <c r="D3414" s="74"/>
      <c r="G3414" s="75"/>
    </row>
    <row r="3415" spans="2:7" x14ac:dyDescent="0.3">
      <c r="B3415" s="72"/>
      <c r="C3415" s="73"/>
      <c r="D3415" s="74"/>
      <c r="G3415" s="75"/>
    </row>
    <row r="3416" spans="2:7" x14ac:dyDescent="0.3">
      <c r="B3416" s="72"/>
      <c r="C3416" s="73"/>
      <c r="D3416" s="74"/>
      <c r="G3416" s="75"/>
    </row>
    <row r="3417" spans="2:7" x14ac:dyDescent="0.3">
      <c r="B3417" s="72"/>
      <c r="C3417" s="73"/>
      <c r="D3417" s="74"/>
      <c r="G3417" s="75"/>
    </row>
    <row r="3418" spans="2:7" x14ac:dyDescent="0.3">
      <c r="B3418" s="72"/>
      <c r="C3418" s="73"/>
      <c r="D3418" s="74"/>
      <c r="G3418" s="75"/>
    </row>
    <row r="3419" spans="2:7" x14ac:dyDescent="0.3">
      <c r="B3419" s="72"/>
      <c r="C3419" s="73"/>
      <c r="D3419" s="74"/>
      <c r="G3419" s="75"/>
    </row>
    <row r="3420" spans="2:7" x14ac:dyDescent="0.3">
      <c r="B3420" s="72"/>
      <c r="C3420" s="73"/>
      <c r="D3420" s="74"/>
      <c r="G3420" s="75"/>
    </row>
    <row r="3421" spans="2:7" x14ac:dyDescent="0.3">
      <c r="B3421" s="72"/>
      <c r="C3421" s="73"/>
      <c r="D3421" s="74"/>
      <c r="G3421" s="75"/>
    </row>
    <row r="3422" spans="2:7" x14ac:dyDescent="0.3">
      <c r="B3422" s="72"/>
      <c r="C3422" s="73"/>
      <c r="D3422" s="74"/>
      <c r="G3422" s="75"/>
    </row>
    <row r="3423" spans="2:7" x14ac:dyDescent="0.3">
      <c r="B3423" s="72"/>
      <c r="C3423" s="73"/>
      <c r="D3423" s="74"/>
      <c r="G3423" s="75"/>
    </row>
    <row r="3424" spans="2:7" x14ac:dyDescent="0.3">
      <c r="B3424" s="72"/>
      <c r="C3424" s="73"/>
      <c r="D3424" s="74"/>
      <c r="G3424" s="75"/>
    </row>
    <row r="3425" spans="2:7" x14ac:dyDescent="0.3">
      <c r="B3425" s="72"/>
      <c r="C3425" s="73"/>
      <c r="D3425" s="74"/>
      <c r="G3425" s="75"/>
    </row>
    <row r="3426" spans="2:7" x14ac:dyDescent="0.3">
      <c r="B3426" s="72"/>
      <c r="C3426" s="73"/>
      <c r="D3426" s="74"/>
      <c r="G3426" s="75"/>
    </row>
    <row r="3427" spans="2:7" x14ac:dyDescent="0.3">
      <c r="B3427" s="72"/>
      <c r="C3427" s="73"/>
      <c r="D3427" s="74"/>
      <c r="G3427" s="75"/>
    </row>
    <row r="3428" spans="2:7" x14ac:dyDescent="0.3">
      <c r="B3428" s="72"/>
      <c r="C3428" s="73"/>
      <c r="D3428" s="74"/>
      <c r="G3428" s="75"/>
    </row>
    <row r="3429" spans="2:7" x14ac:dyDescent="0.3">
      <c r="B3429" s="72"/>
      <c r="C3429" s="73"/>
      <c r="D3429" s="74"/>
      <c r="G3429" s="75"/>
    </row>
    <row r="3430" spans="2:7" x14ac:dyDescent="0.3">
      <c r="B3430" s="72"/>
      <c r="C3430" s="73"/>
      <c r="D3430" s="74"/>
      <c r="G3430" s="75"/>
    </row>
    <row r="3431" spans="2:7" x14ac:dyDescent="0.3">
      <c r="B3431" s="72"/>
      <c r="C3431" s="73"/>
      <c r="D3431" s="74"/>
      <c r="G3431" s="75"/>
    </row>
    <row r="3432" spans="2:7" x14ac:dyDescent="0.3">
      <c r="B3432" s="72"/>
      <c r="C3432" s="73"/>
      <c r="D3432" s="74"/>
      <c r="G3432" s="75"/>
    </row>
    <row r="3433" spans="2:7" x14ac:dyDescent="0.3">
      <c r="B3433" s="72"/>
      <c r="C3433" s="73"/>
      <c r="D3433" s="74"/>
      <c r="G3433" s="75"/>
    </row>
    <row r="3434" spans="2:7" x14ac:dyDescent="0.3">
      <c r="B3434" s="72"/>
      <c r="C3434" s="73"/>
      <c r="D3434" s="74"/>
      <c r="G3434" s="75"/>
    </row>
    <row r="3435" spans="2:7" x14ac:dyDescent="0.3">
      <c r="B3435" s="72"/>
      <c r="C3435" s="73"/>
      <c r="D3435" s="74"/>
      <c r="G3435" s="75"/>
    </row>
    <row r="3436" spans="2:7" x14ac:dyDescent="0.3">
      <c r="B3436" s="72"/>
      <c r="C3436" s="73"/>
      <c r="D3436" s="74"/>
      <c r="G3436" s="75"/>
    </row>
    <row r="3437" spans="2:7" x14ac:dyDescent="0.3">
      <c r="B3437" s="72"/>
      <c r="C3437" s="73"/>
      <c r="D3437" s="74"/>
      <c r="G3437" s="75"/>
    </row>
    <row r="3438" spans="2:7" x14ac:dyDescent="0.3">
      <c r="B3438" s="72"/>
      <c r="C3438" s="73"/>
      <c r="D3438" s="74"/>
      <c r="G3438" s="75"/>
    </row>
    <row r="3439" spans="2:7" x14ac:dyDescent="0.3">
      <c r="B3439" s="72"/>
      <c r="C3439" s="73"/>
      <c r="D3439" s="74"/>
      <c r="G3439" s="75"/>
    </row>
    <row r="3440" spans="2:7" x14ac:dyDescent="0.3">
      <c r="B3440" s="72"/>
      <c r="C3440" s="73"/>
      <c r="D3440" s="74"/>
      <c r="G3440" s="75"/>
    </row>
    <row r="3441" spans="2:7" x14ac:dyDescent="0.3">
      <c r="B3441" s="72"/>
      <c r="C3441" s="73"/>
      <c r="D3441" s="74"/>
      <c r="G3441" s="75"/>
    </row>
    <row r="3442" spans="2:7" x14ac:dyDescent="0.3">
      <c r="B3442" s="72"/>
      <c r="C3442" s="73"/>
      <c r="D3442" s="74"/>
      <c r="G3442" s="75"/>
    </row>
    <row r="3443" spans="2:7" x14ac:dyDescent="0.3">
      <c r="B3443" s="72"/>
      <c r="C3443" s="73"/>
      <c r="D3443" s="74"/>
      <c r="G3443" s="75"/>
    </row>
    <row r="3444" spans="2:7" x14ac:dyDescent="0.3">
      <c r="B3444" s="72"/>
      <c r="C3444" s="73"/>
      <c r="D3444" s="74"/>
      <c r="G3444" s="75"/>
    </row>
    <row r="3445" spans="2:7" x14ac:dyDescent="0.3">
      <c r="B3445" s="72"/>
      <c r="C3445" s="73"/>
      <c r="D3445" s="74"/>
      <c r="G3445" s="75"/>
    </row>
    <row r="3446" spans="2:7" x14ac:dyDescent="0.3">
      <c r="B3446" s="72"/>
      <c r="C3446" s="73"/>
      <c r="D3446" s="74"/>
      <c r="G3446" s="75"/>
    </row>
    <row r="3447" spans="2:7" x14ac:dyDescent="0.3">
      <c r="B3447" s="72"/>
      <c r="C3447" s="73"/>
      <c r="D3447" s="74"/>
      <c r="G3447" s="75"/>
    </row>
    <row r="3448" spans="2:7" x14ac:dyDescent="0.3">
      <c r="B3448" s="72"/>
      <c r="C3448" s="73"/>
      <c r="D3448" s="74"/>
      <c r="G3448" s="75"/>
    </row>
    <row r="3449" spans="2:7" x14ac:dyDescent="0.3">
      <c r="B3449" s="72"/>
      <c r="C3449" s="73"/>
      <c r="D3449" s="74"/>
      <c r="G3449" s="75"/>
    </row>
    <row r="3450" spans="2:7" x14ac:dyDescent="0.3">
      <c r="B3450" s="72"/>
      <c r="C3450" s="73"/>
      <c r="D3450" s="74"/>
      <c r="G3450" s="75"/>
    </row>
    <row r="3451" spans="2:7" x14ac:dyDescent="0.3">
      <c r="B3451" s="72"/>
      <c r="C3451" s="73"/>
      <c r="D3451" s="74"/>
      <c r="G3451" s="75"/>
    </row>
    <row r="3452" spans="2:7" x14ac:dyDescent="0.3">
      <c r="B3452" s="72"/>
      <c r="C3452" s="73"/>
      <c r="D3452" s="74"/>
      <c r="G3452" s="75"/>
    </row>
    <row r="3453" spans="2:7" x14ac:dyDescent="0.3">
      <c r="B3453" s="72"/>
      <c r="C3453" s="73"/>
      <c r="D3453" s="74"/>
      <c r="G3453" s="75"/>
    </row>
    <row r="3454" spans="2:7" x14ac:dyDescent="0.3">
      <c r="B3454" s="72"/>
      <c r="C3454" s="73"/>
      <c r="D3454" s="74"/>
      <c r="G3454" s="75"/>
    </row>
    <row r="3455" spans="2:7" x14ac:dyDescent="0.3">
      <c r="B3455" s="72"/>
      <c r="C3455" s="73"/>
      <c r="D3455" s="74"/>
      <c r="G3455" s="75"/>
    </row>
    <row r="3456" spans="2:7" x14ac:dyDescent="0.3">
      <c r="B3456" s="72"/>
      <c r="C3456" s="73"/>
      <c r="D3456" s="74"/>
      <c r="G3456" s="75"/>
    </row>
    <row r="3457" spans="2:7" x14ac:dyDescent="0.3">
      <c r="B3457" s="72"/>
      <c r="C3457" s="73"/>
      <c r="D3457" s="74"/>
      <c r="G3457" s="75"/>
    </row>
    <row r="3458" spans="2:7" x14ac:dyDescent="0.3">
      <c r="B3458" s="72"/>
      <c r="C3458" s="73"/>
      <c r="D3458" s="74"/>
      <c r="G3458" s="75"/>
    </row>
    <row r="3459" spans="2:7" x14ac:dyDescent="0.3">
      <c r="B3459" s="72"/>
      <c r="C3459" s="73"/>
      <c r="D3459" s="74"/>
      <c r="G3459" s="75"/>
    </row>
    <row r="3460" spans="2:7" x14ac:dyDescent="0.3">
      <c r="B3460" s="72"/>
      <c r="C3460" s="73"/>
      <c r="D3460" s="74"/>
      <c r="G3460" s="75"/>
    </row>
    <row r="3461" spans="2:7" x14ac:dyDescent="0.3">
      <c r="B3461" s="72"/>
      <c r="C3461" s="73"/>
      <c r="D3461" s="74"/>
      <c r="G3461" s="75"/>
    </row>
    <row r="3462" spans="2:7" x14ac:dyDescent="0.3">
      <c r="B3462" s="72"/>
      <c r="C3462" s="73"/>
      <c r="D3462" s="74"/>
      <c r="G3462" s="75"/>
    </row>
    <row r="3463" spans="2:7" x14ac:dyDescent="0.3">
      <c r="B3463" s="72"/>
      <c r="C3463" s="73"/>
      <c r="D3463" s="74"/>
      <c r="G3463" s="75"/>
    </row>
    <row r="3464" spans="2:7" x14ac:dyDescent="0.3">
      <c r="B3464" s="72"/>
      <c r="C3464" s="73"/>
      <c r="D3464" s="74"/>
      <c r="G3464" s="75"/>
    </row>
    <row r="3465" spans="2:7" x14ac:dyDescent="0.3">
      <c r="B3465" s="72"/>
      <c r="C3465" s="73"/>
      <c r="D3465" s="74"/>
      <c r="G3465" s="75"/>
    </row>
    <row r="3466" spans="2:7" x14ac:dyDescent="0.3">
      <c r="B3466" s="72"/>
      <c r="C3466" s="73"/>
      <c r="D3466" s="74"/>
      <c r="G3466" s="75"/>
    </row>
    <row r="3467" spans="2:7" x14ac:dyDescent="0.3">
      <c r="B3467" s="72"/>
      <c r="C3467" s="73"/>
      <c r="D3467" s="74"/>
      <c r="G3467" s="75"/>
    </row>
    <row r="3468" spans="2:7" x14ac:dyDescent="0.3">
      <c r="B3468" s="72"/>
      <c r="C3468" s="73"/>
      <c r="D3468" s="74"/>
      <c r="G3468" s="75"/>
    </row>
    <row r="3469" spans="2:7" x14ac:dyDescent="0.3">
      <c r="B3469" s="72"/>
      <c r="C3469" s="73"/>
      <c r="D3469" s="74"/>
      <c r="G3469" s="75"/>
    </row>
    <row r="3470" spans="2:7" x14ac:dyDescent="0.3">
      <c r="B3470" s="72"/>
      <c r="C3470" s="73"/>
      <c r="D3470" s="74"/>
      <c r="G3470" s="75"/>
    </row>
    <row r="3471" spans="2:7" x14ac:dyDescent="0.3">
      <c r="B3471" s="72"/>
      <c r="C3471" s="73"/>
      <c r="D3471" s="74"/>
      <c r="G3471" s="75"/>
    </row>
    <row r="3472" spans="2:7" x14ac:dyDescent="0.3">
      <c r="B3472" s="72"/>
      <c r="C3472" s="73"/>
      <c r="D3472" s="74"/>
      <c r="G3472" s="75"/>
    </row>
    <row r="3473" spans="2:7" x14ac:dyDescent="0.3">
      <c r="B3473" s="72"/>
      <c r="C3473" s="73"/>
      <c r="D3473" s="74"/>
      <c r="G3473" s="75"/>
    </row>
    <row r="3474" spans="2:7" x14ac:dyDescent="0.3">
      <c r="B3474" s="72"/>
      <c r="C3474" s="73"/>
      <c r="D3474" s="74"/>
      <c r="G3474" s="75"/>
    </row>
    <row r="3475" spans="2:7" x14ac:dyDescent="0.3">
      <c r="B3475" s="72"/>
      <c r="C3475" s="73"/>
      <c r="D3475" s="74"/>
      <c r="G3475" s="75"/>
    </row>
    <row r="3476" spans="2:7" x14ac:dyDescent="0.3">
      <c r="B3476" s="72"/>
      <c r="C3476" s="73"/>
      <c r="D3476" s="74"/>
      <c r="G3476" s="75"/>
    </row>
    <row r="3477" spans="2:7" x14ac:dyDescent="0.3">
      <c r="B3477" s="72"/>
      <c r="C3477" s="73"/>
      <c r="D3477" s="74"/>
      <c r="G3477" s="75"/>
    </row>
    <row r="3478" spans="2:7" x14ac:dyDescent="0.3">
      <c r="B3478" s="72"/>
      <c r="C3478" s="73"/>
      <c r="D3478" s="74"/>
      <c r="G3478" s="75"/>
    </row>
    <row r="3479" spans="2:7" x14ac:dyDescent="0.3">
      <c r="B3479" s="72"/>
      <c r="C3479" s="73"/>
      <c r="D3479" s="74"/>
      <c r="G3479" s="75"/>
    </row>
    <row r="3480" spans="2:7" x14ac:dyDescent="0.3">
      <c r="B3480" s="72"/>
      <c r="C3480" s="73"/>
      <c r="D3480" s="74"/>
      <c r="G3480" s="75"/>
    </row>
    <row r="3481" spans="2:7" x14ac:dyDescent="0.3">
      <c r="B3481" s="72"/>
      <c r="C3481" s="73"/>
      <c r="D3481" s="74"/>
      <c r="G3481" s="75"/>
    </row>
    <row r="3482" spans="2:7" x14ac:dyDescent="0.3">
      <c r="B3482" s="72"/>
      <c r="C3482" s="73"/>
      <c r="D3482" s="74"/>
      <c r="G3482" s="75"/>
    </row>
    <row r="3483" spans="2:7" x14ac:dyDescent="0.3">
      <c r="B3483" s="72"/>
      <c r="C3483" s="73"/>
      <c r="D3483" s="74"/>
      <c r="G3483" s="75"/>
    </row>
    <row r="3484" spans="2:7" x14ac:dyDescent="0.3">
      <c r="B3484" s="72"/>
      <c r="C3484" s="73"/>
      <c r="D3484" s="74"/>
      <c r="G3484" s="75"/>
    </row>
    <row r="3485" spans="2:7" x14ac:dyDescent="0.3">
      <c r="B3485" s="72"/>
      <c r="C3485" s="73"/>
      <c r="D3485" s="74"/>
      <c r="G3485" s="75"/>
    </row>
    <row r="3486" spans="2:7" x14ac:dyDescent="0.3">
      <c r="B3486" s="72"/>
      <c r="C3486" s="73"/>
      <c r="D3486" s="74"/>
      <c r="G3486" s="75"/>
    </row>
    <row r="3487" spans="2:7" x14ac:dyDescent="0.3">
      <c r="B3487" s="72"/>
      <c r="C3487" s="73"/>
      <c r="D3487" s="74"/>
      <c r="G3487" s="75"/>
    </row>
    <row r="3488" spans="2:7" x14ac:dyDescent="0.3">
      <c r="B3488" s="72"/>
      <c r="C3488" s="73"/>
      <c r="D3488" s="74"/>
      <c r="G3488" s="75"/>
    </row>
    <row r="3489" spans="2:7" x14ac:dyDescent="0.3">
      <c r="B3489" s="72"/>
      <c r="C3489" s="73"/>
      <c r="D3489" s="74"/>
      <c r="G3489" s="75"/>
    </row>
    <row r="3490" spans="2:7" x14ac:dyDescent="0.3">
      <c r="B3490" s="72"/>
      <c r="C3490" s="73"/>
      <c r="D3490" s="74"/>
      <c r="G3490" s="75"/>
    </row>
    <row r="3491" spans="2:7" x14ac:dyDescent="0.3">
      <c r="B3491" s="72"/>
      <c r="C3491" s="73"/>
      <c r="D3491" s="74"/>
      <c r="G3491" s="75"/>
    </row>
    <row r="3492" spans="2:7" x14ac:dyDescent="0.3">
      <c r="B3492" s="72"/>
      <c r="C3492" s="73"/>
      <c r="D3492" s="74"/>
      <c r="G3492" s="75"/>
    </row>
    <row r="3493" spans="2:7" x14ac:dyDescent="0.3">
      <c r="B3493" s="72"/>
      <c r="C3493" s="73"/>
      <c r="D3493" s="74"/>
      <c r="G3493" s="75"/>
    </row>
    <row r="3494" spans="2:7" x14ac:dyDescent="0.3">
      <c r="B3494" s="72"/>
      <c r="C3494" s="73"/>
      <c r="D3494" s="74"/>
      <c r="G3494" s="75"/>
    </row>
    <row r="3495" spans="2:7" x14ac:dyDescent="0.3">
      <c r="B3495" s="72"/>
      <c r="C3495" s="73"/>
      <c r="D3495" s="74"/>
      <c r="G3495" s="75"/>
    </row>
    <row r="3496" spans="2:7" x14ac:dyDescent="0.3">
      <c r="B3496" s="72"/>
      <c r="C3496" s="73"/>
      <c r="D3496" s="74"/>
      <c r="G3496" s="75"/>
    </row>
    <row r="3497" spans="2:7" x14ac:dyDescent="0.3">
      <c r="B3497" s="72"/>
      <c r="C3497" s="73"/>
      <c r="D3497" s="74"/>
      <c r="G3497" s="75"/>
    </row>
    <row r="3498" spans="2:7" x14ac:dyDescent="0.3">
      <c r="B3498" s="72"/>
      <c r="C3498" s="73"/>
      <c r="D3498" s="74"/>
      <c r="G3498" s="75"/>
    </row>
    <row r="3499" spans="2:7" x14ac:dyDescent="0.3">
      <c r="B3499" s="72"/>
      <c r="C3499" s="73"/>
      <c r="D3499" s="74"/>
      <c r="G3499" s="75"/>
    </row>
    <row r="3500" spans="2:7" x14ac:dyDescent="0.3">
      <c r="B3500" s="72"/>
      <c r="C3500" s="73"/>
      <c r="D3500" s="74"/>
      <c r="G3500" s="75"/>
    </row>
    <row r="3501" spans="2:7" x14ac:dyDescent="0.3">
      <c r="B3501" s="72"/>
      <c r="C3501" s="73"/>
      <c r="D3501" s="74"/>
      <c r="G3501" s="75"/>
    </row>
    <row r="3502" spans="2:7" x14ac:dyDescent="0.3">
      <c r="B3502" s="72"/>
      <c r="C3502" s="73"/>
      <c r="D3502" s="74"/>
      <c r="G3502" s="75"/>
    </row>
    <row r="3503" spans="2:7" x14ac:dyDescent="0.3">
      <c r="B3503" s="72"/>
      <c r="C3503" s="73"/>
      <c r="D3503" s="74"/>
      <c r="G3503" s="75"/>
    </row>
    <row r="3504" spans="2:7" x14ac:dyDescent="0.3">
      <c r="B3504" s="72"/>
      <c r="C3504" s="73"/>
      <c r="D3504" s="74"/>
      <c r="G3504" s="75"/>
    </row>
    <row r="3505" spans="2:7" x14ac:dyDescent="0.3">
      <c r="B3505" s="72"/>
      <c r="C3505" s="73"/>
      <c r="D3505" s="74"/>
      <c r="G3505" s="75"/>
    </row>
    <row r="3506" spans="2:7" x14ac:dyDescent="0.3">
      <c r="B3506" s="72"/>
      <c r="C3506" s="73"/>
      <c r="D3506" s="74"/>
      <c r="G3506" s="75"/>
    </row>
    <row r="3507" spans="2:7" x14ac:dyDescent="0.3">
      <c r="B3507" s="72"/>
      <c r="C3507" s="73"/>
      <c r="D3507" s="74"/>
      <c r="G3507" s="75"/>
    </row>
    <row r="3508" spans="2:7" x14ac:dyDescent="0.3">
      <c r="B3508" s="72"/>
      <c r="C3508" s="73"/>
      <c r="D3508" s="74"/>
      <c r="G3508" s="75"/>
    </row>
    <row r="3509" spans="2:7" x14ac:dyDescent="0.3">
      <c r="B3509" s="72"/>
      <c r="C3509" s="73"/>
      <c r="D3509" s="74"/>
      <c r="G3509" s="75"/>
    </row>
    <row r="3510" spans="2:7" x14ac:dyDescent="0.3">
      <c r="B3510" s="72"/>
      <c r="C3510" s="73"/>
      <c r="D3510" s="74"/>
      <c r="G3510" s="75"/>
    </row>
    <row r="3511" spans="2:7" x14ac:dyDescent="0.3">
      <c r="B3511" s="72"/>
      <c r="C3511" s="73"/>
      <c r="D3511" s="74"/>
      <c r="G3511" s="75"/>
    </row>
    <row r="3512" spans="2:7" x14ac:dyDescent="0.3">
      <c r="B3512" s="72"/>
      <c r="C3512" s="73"/>
      <c r="D3512" s="74"/>
      <c r="G3512" s="75"/>
    </row>
    <row r="3513" spans="2:7" x14ac:dyDescent="0.3">
      <c r="B3513" s="72"/>
      <c r="C3513" s="73"/>
      <c r="D3513" s="74"/>
      <c r="G3513" s="75"/>
    </row>
    <row r="3514" spans="2:7" x14ac:dyDescent="0.3">
      <c r="B3514" s="72"/>
      <c r="C3514" s="73"/>
      <c r="D3514" s="74"/>
      <c r="G3514" s="75"/>
    </row>
    <row r="3515" spans="2:7" x14ac:dyDescent="0.3">
      <c r="B3515" s="72"/>
      <c r="C3515" s="73"/>
      <c r="D3515" s="74"/>
      <c r="G3515" s="75"/>
    </row>
    <row r="3516" spans="2:7" x14ac:dyDescent="0.3">
      <c r="B3516" s="72"/>
      <c r="C3516" s="73"/>
      <c r="D3516" s="74"/>
      <c r="G3516" s="75"/>
    </row>
    <row r="3517" spans="2:7" x14ac:dyDescent="0.3">
      <c r="B3517" s="72"/>
      <c r="C3517" s="73"/>
      <c r="D3517" s="74"/>
      <c r="G3517" s="75"/>
    </row>
    <row r="3518" spans="2:7" x14ac:dyDescent="0.3">
      <c r="B3518" s="72"/>
      <c r="C3518" s="73"/>
      <c r="D3518" s="74"/>
      <c r="G3518" s="75"/>
    </row>
    <row r="3519" spans="2:7" x14ac:dyDescent="0.3">
      <c r="B3519" s="72"/>
      <c r="C3519" s="73"/>
      <c r="D3519" s="74"/>
      <c r="G3519" s="75"/>
    </row>
    <row r="3520" spans="2:7" x14ac:dyDescent="0.3">
      <c r="B3520" s="72"/>
      <c r="C3520" s="73"/>
      <c r="D3520" s="74"/>
      <c r="G3520" s="75"/>
    </row>
    <row r="3521" spans="2:7" x14ac:dyDescent="0.3">
      <c r="B3521" s="72"/>
      <c r="C3521" s="73"/>
      <c r="D3521" s="74"/>
      <c r="G3521" s="75"/>
    </row>
    <row r="3522" spans="2:7" x14ac:dyDescent="0.3">
      <c r="B3522" s="72"/>
      <c r="C3522" s="73"/>
      <c r="D3522" s="74"/>
      <c r="G3522" s="75"/>
    </row>
    <row r="3523" spans="2:7" x14ac:dyDescent="0.3">
      <c r="B3523" s="72"/>
      <c r="C3523" s="73"/>
      <c r="D3523" s="74"/>
      <c r="G3523" s="75"/>
    </row>
    <row r="3524" spans="2:7" x14ac:dyDescent="0.3">
      <c r="B3524" s="72"/>
      <c r="C3524" s="73"/>
      <c r="D3524" s="74"/>
      <c r="G3524" s="75"/>
    </row>
    <row r="3525" spans="2:7" x14ac:dyDescent="0.3">
      <c r="B3525" s="72"/>
      <c r="C3525" s="73"/>
      <c r="D3525" s="74"/>
      <c r="G3525" s="75"/>
    </row>
    <row r="3526" spans="2:7" x14ac:dyDescent="0.3">
      <c r="B3526" s="72"/>
      <c r="C3526" s="73"/>
      <c r="D3526" s="74"/>
      <c r="G3526" s="75"/>
    </row>
    <row r="3527" spans="2:7" x14ac:dyDescent="0.3">
      <c r="B3527" s="72"/>
      <c r="C3527" s="73"/>
      <c r="D3527" s="74"/>
      <c r="G3527" s="75"/>
    </row>
    <row r="3528" spans="2:7" x14ac:dyDescent="0.3">
      <c r="B3528" s="72"/>
      <c r="C3528" s="73"/>
      <c r="D3528" s="74"/>
      <c r="G3528" s="75"/>
    </row>
    <row r="3529" spans="2:7" x14ac:dyDescent="0.3">
      <c r="B3529" s="72"/>
      <c r="C3529" s="73"/>
      <c r="D3529" s="74"/>
      <c r="G3529" s="75"/>
    </row>
    <row r="3530" spans="2:7" x14ac:dyDescent="0.3">
      <c r="B3530" s="72"/>
      <c r="C3530" s="73"/>
      <c r="D3530" s="74"/>
      <c r="G3530" s="75"/>
    </row>
    <row r="3531" spans="2:7" x14ac:dyDescent="0.3">
      <c r="B3531" s="72"/>
      <c r="C3531" s="73"/>
      <c r="D3531" s="74"/>
      <c r="G3531" s="75"/>
    </row>
    <row r="3532" spans="2:7" x14ac:dyDescent="0.3">
      <c r="B3532" s="72"/>
      <c r="C3532" s="73"/>
      <c r="D3532" s="74"/>
      <c r="G3532" s="75"/>
    </row>
    <row r="3533" spans="2:7" x14ac:dyDescent="0.3">
      <c r="B3533" s="72"/>
      <c r="C3533" s="73"/>
      <c r="D3533" s="74"/>
      <c r="G3533" s="75"/>
    </row>
    <row r="3534" spans="2:7" x14ac:dyDescent="0.3">
      <c r="B3534" s="72"/>
      <c r="C3534" s="73"/>
      <c r="D3534" s="74"/>
      <c r="G3534" s="75"/>
    </row>
    <row r="3535" spans="2:7" x14ac:dyDescent="0.3">
      <c r="B3535" s="72"/>
      <c r="C3535" s="73"/>
      <c r="D3535" s="74"/>
      <c r="G3535" s="75"/>
    </row>
    <row r="3536" spans="2:7" x14ac:dyDescent="0.3">
      <c r="B3536" s="72"/>
      <c r="C3536" s="73"/>
      <c r="D3536" s="74"/>
      <c r="G3536" s="75"/>
    </row>
    <row r="3537" spans="2:7" x14ac:dyDescent="0.3">
      <c r="B3537" s="72"/>
      <c r="C3537" s="73"/>
      <c r="D3537" s="74"/>
      <c r="G3537" s="75"/>
    </row>
    <row r="3538" spans="2:7" x14ac:dyDescent="0.3">
      <c r="B3538" s="72"/>
      <c r="C3538" s="73"/>
      <c r="D3538" s="74"/>
      <c r="G3538" s="75"/>
    </row>
    <row r="3539" spans="2:7" x14ac:dyDescent="0.3">
      <c r="B3539" s="72"/>
      <c r="C3539" s="73"/>
      <c r="D3539" s="74"/>
      <c r="G3539" s="75"/>
    </row>
    <row r="3540" spans="2:7" x14ac:dyDescent="0.3">
      <c r="B3540" s="72"/>
      <c r="C3540" s="73"/>
      <c r="D3540" s="74"/>
      <c r="G3540" s="75"/>
    </row>
    <row r="3541" spans="2:7" x14ac:dyDescent="0.3">
      <c r="B3541" s="72"/>
      <c r="C3541" s="73"/>
      <c r="D3541" s="74"/>
      <c r="G3541" s="75"/>
    </row>
    <row r="3542" spans="2:7" x14ac:dyDescent="0.3">
      <c r="B3542" s="72"/>
      <c r="C3542" s="73"/>
      <c r="D3542" s="74"/>
      <c r="G3542" s="75"/>
    </row>
    <row r="3543" spans="2:7" x14ac:dyDescent="0.3">
      <c r="B3543" s="72"/>
      <c r="C3543" s="73"/>
      <c r="D3543" s="74"/>
      <c r="G3543" s="75"/>
    </row>
    <row r="3544" spans="2:7" x14ac:dyDescent="0.3">
      <c r="B3544" s="72"/>
      <c r="C3544" s="73"/>
      <c r="D3544" s="74"/>
      <c r="G3544" s="75"/>
    </row>
    <row r="3545" spans="2:7" x14ac:dyDescent="0.3">
      <c r="B3545" s="72"/>
      <c r="C3545" s="73"/>
      <c r="D3545" s="74"/>
      <c r="G3545" s="75"/>
    </row>
    <row r="3546" spans="2:7" x14ac:dyDescent="0.3">
      <c r="B3546" s="72"/>
      <c r="C3546" s="73"/>
      <c r="D3546" s="74"/>
      <c r="G3546" s="75"/>
    </row>
    <row r="3547" spans="2:7" x14ac:dyDescent="0.3">
      <c r="B3547" s="72"/>
      <c r="C3547" s="73"/>
      <c r="D3547" s="74"/>
      <c r="G3547" s="75"/>
    </row>
    <row r="3548" spans="2:7" x14ac:dyDescent="0.3">
      <c r="B3548" s="72"/>
      <c r="C3548" s="73"/>
      <c r="D3548" s="74"/>
      <c r="G3548" s="75"/>
    </row>
    <row r="3549" spans="2:7" x14ac:dyDescent="0.3">
      <c r="B3549" s="72"/>
      <c r="C3549" s="73"/>
      <c r="D3549" s="74"/>
      <c r="G3549" s="75"/>
    </row>
    <row r="3550" spans="2:7" x14ac:dyDescent="0.3">
      <c r="B3550" s="72"/>
      <c r="C3550" s="73"/>
      <c r="D3550" s="74"/>
      <c r="G3550" s="75"/>
    </row>
    <row r="3551" spans="2:7" x14ac:dyDescent="0.3">
      <c r="B3551" s="72"/>
      <c r="C3551" s="73"/>
      <c r="D3551" s="74"/>
      <c r="G3551" s="75"/>
    </row>
    <row r="3552" spans="2:7" x14ac:dyDescent="0.3">
      <c r="B3552" s="72"/>
      <c r="C3552" s="73"/>
      <c r="D3552" s="74"/>
      <c r="G3552" s="75"/>
    </row>
    <row r="3553" spans="2:7" x14ac:dyDescent="0.3">
      <c r="B3553" s="72"/>
      <c r="C3553" s="73"/>
      <c r="D3553" s="74"/>
      <c r="G3553" s="75"/>
    </row>
    <row r="3554" spans="2:7" x14ac:dyDescent="0.3">
      <c r="B3554" s="72"/>
      <c r="C3554" s="73"/>
      <c r="D3554" s="74"/>
      <c r="G3554" s="75"/>
    </row>
    <row r="3555" spans="2:7" x14ac:dyDescent="0.3">
      <c r="B3555" s="72"/>
      <c r="C3555" s="73"/>
      <c r="D3555" s="74"/>
      <c r="G3555" s="75"/>
    </row>
    <row r="3556" spans="2:7" x14ac:dyDescent="0.3">
      <c r="B3556" s="72"/>
      <c r="C3556" s="73"/>
      <c r="D3556" s="74"/>
      <c r="G3556" s="75"/>
    </row>
    <row r="3557" spans="2:7" x14ac:dyDescent="0.3">
      <c r="B3557" s="72"/>
      <c r="C3557" s="73"/>
      <c r="D3557" s="74"/>
      <c r="G3557" s="75"/>
    </row>
    <row r="3558" spans="2:7" x14ac:dyDescent="0.3">
      <c r="B3558" s="72"/>
      <c r="C3558" s="73"/>
      <c r="D3558" s="74"/>
      <c r="G3558" s="75"/>
    </row>
    <row r="3559" spans="2:7" x14ac:dyDescent="0.3">
      <c r="B3559" s="72"/>
      <c r="C3559" s="73"/>
      <c r="D3559" s="74"/>
      <c r="G3559" s="75"/>
    </row>
    <row r="3560" spans="2:7" x14ac:dyDescent="0.3">
      <c r="B3560" s="72"/>
      <c r="C3560" s="73"/>
      <c r="D3560" s="74"/>
      <c r="G3560" s="75"/>
    </row>
    <row r="3561" spans="2:7" x14ac:dyDescent="0.3">
      <c r="B3561" s="72"/>
      <c r="C3561" s="73"/>
      <c r="D3561" s="74"/>
      <c r="G3561" s="75"/>
    </row>
    <row r="3562" spans="2:7" x14ac:dyDescent="0.3">
      <c r="B3562" s="72"/>
      <c r="C3562" s="73"/>
      <c r="D3562" s="74"/>
      <c r="G3562" s="75"/>
    </row>
    <row r="3563" spans="2:7" x14ac:dyDescent="0.3">
      <c r="B3563" s="72"/>
      <c r="C3563" s="73"/>
      <c r="D3563" s="74"/>
      <c r="G3563" s="75"/>
    </row>
    <row r="3564" spans="2:7" x14ac:dyDescent="0.3">
      <c r="B3564" s="72"/>
      <c r="C3564" s="73"/>
      <c r="D3564" s="74"/>
      <c r="G3564" s="75"/>
    </row>
    <row r="3565" spans="2:7" x14ac:dyDescent="0.3">
      <c r="B3565" s="72"/>
      <c r="C3565" s="73"/>
      <c r="D3565" s="74"/>
      <c r="G3565" s="75"/>
    </row>
    <row r="3566" spans="2:7" x14ac:dyDescent="0.3">
      <c r="B3566" s="72"/>
      <c r="C3566" s="73"/>
      <c r="D3566" s="74"/>
      <c r="G3566" s="75"/>
    </row>
    <row r="3567" spans="2:7" x14ac:dyDescent="0.3">
      <c r="B3567" s="72"/>
      <c r="C3567" s="73"/>
      <c r="D3567" s="74"/>
      <c r="G3567" s="75"/>
    </row>
    <row r="3568" spans="2:7" x14ac:dyDescent="0.3">
      <c r="B3568" s="72"/>
      <c r="C3568" s="73"/>
      <c r="D3568" s="74"/>
      <c r="G3568" s="75"/>
    </row>
    <row r="3569" spans="2:7" x14ac:dyDescent="0.3">
      <c r="B3569" s="72"/>
      <c r="C3569" s="73"/>
      <c r="D3569" s="74"/>
      <c r="G3569" s="75"/>
    </row>
    <row r="3570" spans="2:7" x14ac:dyDescent="0.3">
      <c r="B3570" s="72"/>
      <c r="C3570" s="73"/>
      <c r="D3570" s="74"/>
      <c r="G3570" s="75"/>
    </row>
    <row r="3571" spans="2:7" x14ac:dyDescent="0.3">
      <c r="B3571" s="72"/>
      <c r="C3571" s="73"/>
      <c r="D3571" s="74"/>
      <c r="G3571" s="75"/>
    </row>
    <row r="3572" spans="2:7" x14ac:dyDescent="0.3">
      <c r="B3572" s="72"/>
      <c r="C3572" s="73"/>
      <c r="D3572" s="74"/>
      <c r="G3572" s="75"/>
    </row>
    <row r="3573" spans="2:7" x14ac:dyDescent="0.3">
      <c r="B3573" s="72"/>
      <c r="C3573" s="73"/>
      <c r="D3573" s="74"/>
      <c r="G3573" s="75"/>
    </row>
    <row r="3574" spans="2:7" x14ac:dyDescent="0.3">
      <c r="B3574" s="72"/>
      <c r="C3574" s="73"/>
      <c r="D3574" s="74"/>
      <c r="G3574" s="75"/>
    </row>
    <row r="3575" spans="2:7" x14ac:dyDescent="0.3">
      <c r="B3575" s="72"/>
      <c r="C3575" s="73"/>
      <c r="D3575" s="74"/>
      <c r="G3575" s="75"/>
    </row>
    <row r="3576" spans="2:7" x14ac:dyDescent="0.3">
      <c r="B3576" s="72"/>
      <c r="C3576" s="73"/>
      <c r="D3576" s="74"/>
      <c r="G3576" s="75"/>
    </row>
    <row r="3577" spans="2:7" x14ac:dyDescent="0.3">
      <c r="B3577" s="72"/>
      <c r="C3577" s="73"/>
      <c r="D3577" s="74"/>
      <c r="G3577" s="75"/>
    </row>
    <row r="3578" spans="2:7" x14ac:dyDescent="0.3">
      <c r="B3578" s="72"/>
      <c r="C3578" s="73"/>
      <c r="D3578" s="74"/>
      <c r="G3578" s="75"/>
    </row>
    <row r="3579" spans="2:7" x14ac:dyDescent="0.3">
      <c r="B3579" s="72"/>
      <c r="C3579" s="73"/>
      <c r="D3579" s="74"/>
      <c r="G3579" s="75"/>
    </row>
    <row r="3580" spans="2:7" x14ac:dyDescent="0.3">
      <c r="B3580" s="72"/>
      <c r="C3580" s="73"/>
      <c r="D3580" s="74"/>
      <c r="G3580" s="75"/>
    </row>
    <row r="3581" spans="2:7" x14ac:dyDescent="0.3">
      <c r="B3581" s="72"/>
      <c r="C3581" s="73"/>
      <c r="D3581" s="74"/>
      <c r="G3581" s="75"/>
    </row>
    <row r="3582" spans="2:7" x14ac:dyDescent="0.3">
      <c r="B3582" s="72"/>
      <c r="C3582" s="73"/>
      <c r="D3582" s="74"/>
      <c r="G3582" s="75"/>
    </row>
    <row r="3583" spans="2:7" x14ac:dyDescent="0.3">
      <c r="B3583" s="72"/>
      <c r="C3583" s="73"/>
      <c r="D3583" s="74"/>
      <c r="G3583" s="75"/>
    </row>
    <row r="3584" spans="2:7" x14ac:dyDescent="0.3">
      <c r="B3584" s="72"/>
      <c r="C3584" s="73"/>
      <c r="D3584" s="74"/>
      <c r="G3584" s="75"/>
    </row>
    <row r="3585" spans="2:7" x14ac:dyDescent="0.3">
      <c r="B3585" s="72"/>
      <c r="C3585" s="73"/>
      <c r="D3585" s="74"/>
      <c r="G3585" s="75"/>
    </row>
    <row r="3586" spans="2:7" x14ac:dyDescent="0.3">
      <c r="B3586" s="72"/>
      <c r="C3586" s="73"/>
      <c r="D3586" s="74"/>
      <c r="G3586" s="75"/>
    </row>
    <row r="3587" spans="2:7" x14ac:dyDescent="0.3">
      <c r="B3587" s="72"/>
      <c r="C3587" s="73"/>
      <c r="D3587" s="74"/>
      <c r="G3587" s="75"/>
    </row>
    <row r="3588" spans="2:7" x14ac:dyDescent="0.3">
      <c r="B3588" s="72"/>
      <c r="C3588" s="73"/>
      <c r="D3588" s="74"/>
      <c r="G3588" s="75"/>
    </row>
    <row r="3589" spans="2:7" x14ac:dyDescent="0.3">
      <c r="B3589" s="72"/>
      <c r="C3589" s="73"/>
      <c r="D3589" s="74"/>
      <c r="G3589" s="75"/>
    </row>
    <row r="3590" spans="2:7" x14ac:dyDescent="0.3">
      <c r="B3590" s="72"/>
      <c r="C3590" s="73"/>
      <c r="D3590" s="74"/>
      <c r="G3590" s="75"/>
    </row>
    <row r="3591" spans="2:7" x14ac:dyDescent="0.3">
      <c r="B3591" s="72"/>
      <c r="C3591" s="73"/>
      <c r="D3591" s="74"/>
      <c r="G3591" s="75"/>
    </row>
    <row r="3592" spans="2:7" x14ac:dyDescent="0.3">
      <c r="B3592" s="72"/>
      <c r="C3592" s="73"/>
      <c r="D3592" s="74"/>
      <c r="G3592" s="75"/>
    </row>
    <row r="3593" spans="2:7" x14ac:dyDescent="0.3">
      <c r="B3593" s="72"/>
      <c r="C3593" s="73"/>
      <c r="D3593" s="74"/>
      <c r="G3593" s="75"/>
    </row>
    <row r="3594" spans="2:7" x14ac:dyDescent="0.3">
      <c r="B3594" s="72"/>
      <c r="C3594" s="73"/>
      <c r="D3594" s="74"/>
      <c r="G3594" s="75"/>
    </row>
    <row r="3595" spans="2:7" x14ac:dyDescent="0.3">
      <c r="B3595" s="72"/>
      <c r="C3595" s="73"/>
      <c r="D3595" s="74"/>
      <c r="G3595" s="75"/>
    </row>
    <row r="3596" spans="2:7" x14ac:dyDescent="0.3">
      <c r="B3596" s="72"/>
      <c r="C3596" s="73"/>
      <c r="D3596" s="74"/>
      <c r="G3596" s="75"/>
    </row>
    <row r="3597" spans="2:7" x14ac:dyDescent="0.3">
      <c r="B3597" s="72"/>
      <c r="C3597" s="73"/>
      <c r="D3597" s="74"/>
      <c r="G3597" s="75"/>
    </row>
    <row r="3598" spans="2:7" x14ac:dyDescent="0.3">
      <c r="B3598" s="72"/>
      <c r="C3598" s="73"/>
      <c r="D3598" s="74"/>
      <c r="G3598" s="75"/>
    </row>
    <row r="3599" spans="2:7" x14ac:dyDescent="0.3">
      <c r="B3599" s="72"/>
      <c r="C3599" s="73"/>
      <c r="D3599" s="74"/>
      <c r="G3599" s="75"/>
    </row>
    <row r="3600" spans="2:7" x14ac:dyDescent="0.3">
      <c r="B3600" s="72"/>
      <c r="C3600" s="73"/>
      <c r="D3600" s="74"/>
      <c r="G3600" s="75"/>
    </row>
    <row r="3601" spans="2:7" x14ac:dyDescent="0.3">
      <c r="B3601" s="72"/>
      <c r="C3601" s="73"/>
      <c r="D3601" s="74"/>
      <c r="G3601" s="75"/>
    </row>
    <row r="3602" spans="2:7" x14ac:dyDescent="0.3">
      <c r="B3602" s="72"/>
      <c r="C3602" s="73"/>
      <c r="D3602" s="74"/>
      <c r="G3602" s="75"/>
    </row>
    <row r="3603" spans="2:7" x14ac:dyDescent="0.3">
      <c r="B3603" s="72"/>
      <c r="C3603" s="73"/>
      <c r="D3603" s="74"/>
      <c r="G3603" s="75"/>
    </row>
    <row r="3604" spans="2:7" x14ac:dyDescent="0.3">
      <c r="B3604" s="72"/>
      <c r="C3604" s="73"/>
      <c r="D3604" s="74"/>
      <c r="G3604" s="75"/>
    </row>
    <row r="3605" spans="2:7" x14ac:dyDescent="0.3">
      <c r="B3605" s="72"/>
      <c r="C3605" s="73"/>
      <c r="D3605" s="74"/>
      <c r="G3605" s="75"/>
    </row>
    <row r="3606" spans="2:7" x14ac:dyDescent="0.3">
      <c r="B3606" s="72"/>
      <c r="C3606" s="73"/>
      <c r="D3606" s="74"/>
      <c r="G3606" s="75"/>
    </row>
    <row r="3607" spans="2:7" x14ac:dyDescent="0.3">
      <c r="B3607" s="72"/>
      <c r="C3607" s="73"/>
      <c r="D3607" s="74"/>
      <c r="G3607" s="75"/>
    </row>
    <row r="3608" spans="2:7" x14ac:dyDescent="0.3">
      <c r="B3608" s="72"/>
      <c r="C3608" s="73"/>
      <c r="D3608" s="74"/>
      <c r="G3608" s="75"/>
    </row>
    <row r="3609" spans="2:7" x14ac:dyDescent="0.3">
      <c r="B3609" s="72"/>
      <c r="C3609" s="73"/>
      <c r="D3609" s="74"/>
      <c r="G3609" s="75"/>
    </row>
    <row r="3610" spans="2:7" x14ac:dyDescent="0.3">
      <c r="B3610" s="72"/>
      <c r="C3610" s="73"/>
      <c r="D3610" s="74"/>
      <c r="G3610" s="75"/>
    </row>
    <row r="3611" spans="2:7" x14ac:dyDescent="0.3">
      <c r="B3611" s="72"/>
      <c r="C3611" s="73"/>
      <c r="D3611" s="74"/>
      <c r="G3611" s="75"/>
    </row>
    <row r="3612" spans="2:7" x14ac:dyDescent="0.3">
      <c r="B3612" s="72"/>
      <c r="C3612" s="73"/>
      <c r="D3612" s="74"/>
      <c r="G3612" s="75"/>
    </row>
    <row r="3613" spans="2:7" x14ac:dyDescent="0.3">
      <c r="B3613" s="72"/>
      <c r="C3613" s="73"/>
      <c r="D3613" s="74"/>
      <c r="G3613" s="75"/>
    </row>
    <row r="3614" spans="2:7" x14ac:dyDescent="0.3">
      <c r="B3614" s="72"/>
      <c r="C3614" s="73"/>
      <c r="D3614" s="74"/>
      <c r="G3614" s="75"/>
    </row>
    <row r="3615" spans="2:7" x14ac:dyDescent="0.3">
      <c r="B3615" s="72"/>
      <c r="C3615" s="73"/>
      <c r="D3615" s="74"/>
      <c r="G3615" s="75"/>
    </row>
    <row r="3616" spans="2:7" x14ac:dyDescent="0.3">
      <c r="B3616" s="72"/>
      <c r="C3616" s="73"/>
      <c r="D3616" s="74"/>
      <c r="G3616" s="75"/>
    </row>
    <row r="3617" spans="2:7" x14ac:dyDescent="0.3">
      <c r="B3617" s="72"/>
      <c r="C3617" s="73"/>
      <c r="D3617" s="74"/>
      <c r="G3617" s="75"/>
    </row>
    <row r="3618" spans="2:7" x14ac:dyDescent="0.3">
      <c r="B3618" s="72"/>
      <c r="C3618" s="73"/>
      <c r="D3618" s="74"/>
      <c r="G3618" s="75"/>
    </row>
    <row r="3619" spans="2:7" x14ac:dyDescent="0.3">
      <c r="B3619" s="72"/>
      <c r="C3619" s="73"/>
      <c r="D3619" s="74"/>
      <c r="G3619" s="75"/>
    </row>
    <row r="3620" spans="2:7" x14ac:dyDescent="0.3">
      <c r="B3620" s="72"/>
      <c r="C3620" s="73"/>
      <c r="D3620" s="74"/>
      <c r="G3620" s="75"/>
    </row>
    <row r="3621" spans="2:7" x14ac:dyDescent="0.3">
      <c r="B3621" s="72"/>
      <c r="C3621" s="73"/>
      <c r="D3621" s="74"/>
      <c r="G3621" s="75"/>
    </row>
    <row r="3622" spans="2:7" x14ac:dyDescent="0.3">
      <c r="B3622" s="72"/>
      <c r="C3622" s="73"/>
      <c r="D3622" s="74"/>
      <c r="G3622" s="75"/>
    </row>
    <row r="3623" spans="2:7" x14ac:dyDescent="0.3">
      <c r="B3623" s="72"/>
      <c r="C3623" s="73"/>
      <c r="D3623" s="74"/>
      <c r="G3623" s="75"/>
    </row>
    <row r="3624" spans="2:7" x14ac:dyDescent="0.3">
      <c r="B3624" s="72"/>
      <c r="C3624" s="73"/>
      <c r="D3624" s="74"/>
      <c r="G3624" s="75"/>
    </row>
    <row r="3625" spans="2:7" x14ac:dyDescent="0.3">
      <c r="B3625" s="72"/>
      <c r="C3625" s="73"/>
      <c r="D3625" s="74"/>
      <c r="G3625" s="75"/>
    </row>
    <row r="3626" spans="2:7" x14ac:dyDescent="0.3">
      <c r="B3626" s="72"/>
      <c r="C3626" s="73"/>
      <c r="D3626" s="74"/>
      <c r="G3626" s="75"/>
    </row>
    <row r="3627" spans="2:7" x14ac:dyDescent="0.3">
      <c r="B3627" s="72"/>
      <c r="C3627" s="73"/>
      <c r="D3627" s="74"/>
      <c r="G3627" s="75"/>
    </row>
    <row r="3628" spans="2:7" x14ac:dyDescent="0.3">
      <c r="B3628" s="72"/>
      <c r="C3628" s="73"/>
      <c r="D3628" s="74"/>
      <c r="G3628" s="75"/>
    </row>
    <row r="3629" spans="2:7" x14ac:dyDescent="0.3">
      <c r="B3629" s="72"/>
      <c r="C3629" s="73"/>
      <c r="D3629" s="74"/>
      <c r="G3629" s="75"/>
    </row>
    <row r="3630" spans="2:7" x14ac:dyDescent="0.3">
      <c r="B3630" s="72"/>
      <c r="C3630" s="73"/>
      <c r="D3630" s="74"/>
      <c r="G3630" s="75"/>
    </row>
    <row r="3631" spans="2:7" x14ac:dyDescent="0.3">
      <c r="B3631" s="72"/>
      <c r="C3631" s="73"/>
      <c r="D3631" s="74"/>
      <c r="G3631" s="75"/>
    </row>
    <row r="3632" spans="2:7" x14ac:dyDescent="0.3">
      <c r="B3632" s="72"/>
      <c r="C3632" s="73"/>
      <c r="D3632" s="74"/>
      <c r="G3632" s="75"/>
    </row>
    <row r="3633" spans="2:7" x14ac:dyDescent="0.3">
      <c r="B3633" s="72"/>
      <c r="C3633" s="73"/>
      <c r="D3633" s="74"/>
      <c r="G3633" s="75"/>
    </row>
    <row r="3634" spans="2:7" x14ac:dyDescent="0.3">
      <c r="B3634" s="72"/>
      <c r="C3634" s="73"/>
      <c r="D3634" s="74"/>
      <c r="G3634" s="75"/>
    </row>
    <row r="3635" spans="2:7" x14ac:dyDescent="0.3">
      <c r="B3635" s="72"/>
      <c r="C3635" s="73"/>
      <c r="D3635" s="74"/>
      <c r="G3635" s="75"/>
    </row>
    <row r="3636" spans="2:7" x14ac:dyDescent="0.3">
      <c r="B3636" s="72"/>
      <c r="C3636" s="73"/>
      <c r="D3636" s="74"/>
      <c r="G3636" s="75"/>
    </row>
    <row r="3637" spans="2:7" x14ac:dyDescent="0.3">
      <c r="B3637" s="72"/>
      <c r="C3637" s="73"/>
      <c r="D3637" s="74"/>
      <c r="G3637" s="75"/>
    </row>
    <row r="3638" spans="2:7" x14ac:dyDescent="0.3">
      <c r="B3638" s="72"/>
      <c r="C3638" s="73"/>
      <c r="D3638" s="74"/>
      <c r="G3638" s="75"/>
    </row>
    <row r="3639" spans="2:7" x14ac:dyDescent="0.3">
      <c r="B3639" s="72"/>
      <c r="C3639" s="73"/>
      <c r="D3639" s="74"/>
      <c r="G3639" s="75"/>
    </row>
    <row r="3640" spans="2:7" x14ac:dyDescent="0.3">
      <c r="B3640" s="72"/>
      <c r="C3640" s="73"/>
      <c r="D3640" s="74"/>
      <c r="G3640" s="75"/>
    </row>
    <row r="3641" spans="2:7" x14ac:dyDescent="0.3">
      <c r="B3641" s="72"/>
      <c r="C3641" s="73"/>
      <c r="D3641" s="74"/>
      <c r="G3641" s="75"/>
    </row>
    <row r="3642" spans="2:7" x14ac:dyDescent="0.3">
      <c r="B3642" s="72"/>
      <c r="C3642" s="73"/>
      <c r="D3642" s="74"/>
      <c r="G3642" s="75"/>
    </row>
    <row r="3643" spans="2:7" x14ac:dyDescent="0.3">
      <c r="B3643" s="72"/>
      <c r="C3643" s="73"/>
      <c r="D3643" s="74"/>
      <c r="G3643" s="75"/>
    </row>
    <row r="3644" spans="2:7" x14ac:dyDescent="0.3">
      <c r="B3644" s="72"/>
      <c r="C3644" s="73"/>
      <c r="D3644" s="74"/>
      <c r="G3644" s="75"/>
    </row>
    <row r="3645" spans="2:7" x14ac:dyDescent="0.3">
      <c r="B3645" s="72"/>
      <c r="C3645" s="73"/>
      <c r="D3645" s="74"/>
      <c r="G3645" s="75"/>
    </row>
    <row r="3646" spans="2:7" x14ac:dyDescent="0.3">
      <c r="B3646" s="72"/>
      <c r="C3646" s="73"/>
      <c r="D3646" s="74"/>
      <c r="G3646" s="75"/>
    </row>
    <row r="3647" spans="2:7" x14ac:dyDescent="0.3">
      <c r="B3647" s="72"/>
      <c r="C3647" s="73"/>
      <c r="D3647" s="74"/>
      <c r="G3647" s="75"/>
    </row>
    <row r="3648" spans="2:7" x14ac:dyDescent="0.3">
      <c r="B3648" s="72"/>
      <c r="C3648" s="73"/>
      <c r="D3648" s="74"/>
      <c r="G3648" s="75"/>
    </row>
    <row r="3649" spans="2:7" x14ac:dyDescent="0.3">
      <c r="B3649" s="72"/>
      <c r="C3649" s="73"/>
      <c r="D3649" s="74"/>
      <c r="G3649" s="75"/>
    </row>
    <row r="3650" spans="2:7" x14ac:dyDescent="0.3">
      <c r="B3650" s="72"/>
      <c r="C3650" s="73"/>
      <c r="D3650" s="74"/>
      <c r="G3650" s="75"/>
    </row>
    <row r="3651" spans="2:7" x14ac:dyDescent="0.3">
      <c r="B3651" s="72"/>
      <c r="C3651" s="73"/>
      <c r="D3651" s="74"/>
      <c r="G3651" s="75"/>
    </row>
    <row r="3652" spans="2:7" x14ac:dyDescent="0.3">
      <c r="B3652" s="72"/>
      <c r="C3652" s="73"/>
      <c r="D3652" s="74"/>
      <c r="G3652" s="75"/>
    </row>
    <row r="3653" spans="2:7" x14ac:dyDescent="0.3">
      <c r="B3653" s="72"/>
      <c r="C3653" s="73"/>
      <c r="D3653" s="74"/>
      <c r="G3653" s="75"/>
    </row>
    <row r="3654" spans="2:7" x14ac:dyDescent="0.3">
      <c r="B3654" s="72"/>
      <c r="C3654" s="73"/>
      <c r="D3654" s="74"/>
      <c r="G3654" s="75"/>
    </row>
    <row r="3655" spans="2:7" x14ac:dyDescent="0.3">
      <c r="B3655" s="72"/>
      <c r="C3655" s="73"/>
      <c r="D3655" s="74"/>
      <c r="G3655" s="75"/>
    </row>
    <row r="3656" spans="2:7" x14ac:dyDescent="0.3">
      <c r="B3656" s="72"/>
      <c r="C3656" s="73"/>
      <c r="D3656" s="74"/>
      <c r="G3656" s="75"/>
    </row>
    <row r="3657" spans="2:7" x14ac:dyDescent="0.3">
      <c r="B3657" s="72"/>
      <c r="C3657" s="73"/>
      <c r="D3657" s="74"/>
      <c r="G3657" s="75"/>
    </row>
    <row r="3658" spans="2:7" x14ac:dyDescent="0.3">
      <c r="B3658" s="72"/>
      <c r="C3658" s="73"/>
      <c r="D3658" s="74"/>
      <c r="G3658" s="75"/>
    </row>
    <row r="3659" spans="2:7" x14ac:dyDescent="0.3">
      <c r="B3659" s="72"/>
      <c r="C3659" s="73"/>
      <c r="D3659" s="74"/>
      <c r="G3659" s="75"/>
    </row>
    <row r="3660" spans="2:7" x14ac:dyDescent="0.3">
      <c r="B3660" s="72"/>
      <c r="C3660" s="73"/>
      <c r="D3660" s="74"/>
      <c r="G3660" s="75"/>
    </row>
    <row r="3661" spans="2:7" x14ac:dyDescent="0.3">
      <c r="B3661" s="72"/>
      <c r="C3661" s="73"/>
      <c r="D3661" s="74"/>
      <c r="G3661" s="75"/>
    </row>
    <row r="3662" spans="2:7" x14ac:dyDescent="0.3">
      <c r="B3662" s="72"/>
      <c r="C3662" s="73"/>
      <c r="D3662" s="74"/>
      <c r="G3662" s="75"/>
    </row>
    <row r="3663" spans="2:7" x14ac:dyDescent="0.3">
      <c r="B3663" s="72"/>
      <c r="C3663" s="73"/>
      <c r="D3663" s="74"/>
      <c r="G3663" s="75"/>
    </row>
    <row r="3664" spans="2:7" x14ac:dyDescent="0.3">
      <c r="B3664" s="72"/>
      <c r="C3664" s="73"/>
      <c r="D3664" s="74"/>
      <c r="G3664" s="75"/>
    </row>
    <row r="3665" spans="2:7" x14ac:dyDescent="0.3">
      <c r="B3665" s="72"/>
      <c r="C3665" s="73"/>
      <c r="D3665" s="74"/>
      <c r="G3665" s="75"/>
    </row>
    <row r="3666" spans="2:7" x14ac:dyDescent="0.3">
      <c r="B3666" s="72"/>
      <c r="C3666" s="73"/>
      <c r="D3666" s="74"/>
      <c r="G3666" s="75"/>
    </row>
    <row r="3667" spans="2:7" x14ac:dyDescent="0.3">
      <c r="B3667" s="72"/>
      <c r="C3667" s="73"/>
      <c r="D3667" s="74"/>
      <c r="G3667" s="75"/>
    </row>
    <row r="3668" spans="2:7" x14ac:dyDescent="0.3">
      <c r="B3668" s="72"/>
      <c r="C3668" s="73"/>
      <c r="D3668" s="74"/>
      <c r="G3668" s="75"/>
    </row>
    <row r="3669" spans="2:7" x14ac:dyDescent="0.3">
      <c r="B3669" s="72"/>
      <c r="C3669" s="73"/>
      <c r="D3669" s="74"/>
      <c r="G3669" s="75"/>
    </row>
    <row r="3670" spans="2:7" x14ac:dyDescent="0.3">
      <c r="B3670" s="72"/>
      <c r="C3670" s="73"/>
      <c r="D3670" s="74"/>
      <c r="G3670" s="75"/>
    </row>
    <row r="3671" spans="2:7" x14ac:dyDescent="0.3">
      <c r="B3671" s="72"/>
      <c r="C3671" s="73"/>
      <c r="D3671" s="74"/>
      <c r="G3671" s="75"/>
    </row>
    <row r="3672" spans="2:7" x14ac:dyDescent="0.3">
      <c r="B3672" s="72"/>
      <c r="C3672" s="73"/>
      <c r="D3672" s="74"/>
      <c r="G3672" s="75"/>
    </row>
    <row r="3673" spans="2:7" x14ac:dyDescent="0.3">
      <c r="B3673" s="72"/>
      <c r="C3673" s="73"/>
      <c r="D3673" s="74"/>
      <c r="G3673" s="75"/>
    </row>
    <row r="3674" spans="2:7" x14ac:dyDescent="0.3">
      <c r="B3674" s="72"/>
      <c r="C3674" s="73"/>
      <c r="D3674" s="74"/>
      <c r="G3674" s="75"/>
    </row>
    <row r="3675" spans="2:7" x14ac:dyDescent="0.3">
      <c r="B3675" s="72"/>
      <c r="C3675" s="73"/>
      <c r="D3675" s="74"/>
      <c r="G3675" s="75"/>
    </row>
    <row r="3676" spans="2:7" x14ac:dyDescent="0.3">
      <c r="B3676" s="72"/>
      <c r="C3676" s="73"/>
      <c r="D3676" s="74"/>
      <c r="G3676" s="75"/>
    </row>
    <row r="3677" spans="2:7" x14ac:dyDescent="0.3">
      <c r="B3677" s="72"/>
      <c r="C3677" s="73"/>
      <c r="D3677" s="74"/>
      <c r="G3677" s="75"/>
    </row>
    <row r="3678" spans="2:7" x14ac:dyDescent="0.3">
      <c r="B3678" s="72"/>
      <c r="C3678" s="73"/>
      <c r="D3678" s="74"/>
      <c r="G3678" s="75"/>
    </row>
    <row r="3679" spans="2:7" x14ac:dyDescent="0.3">
      <c r="B3679" s="72"/>
      <c r="C3679" s="73"/>
      <c r="D3679" s="74"/>
      <c r="G3679" s="75"/>
    </row>
    <row r="3680" spans="2:7" x14ac:dyDescent="0.3">
      <c r="B3680" s="72"/>
      <c r="C3680" s="73"/>
      <c r="D3680" s="74"/>
      <c r="G3680" s="75"/>
    </row>
    <row r="3681" spans="2:7" x14ac:dyDescent="0.3">
      <c r="B3681" s="72"/>
      <c r="C3681" s="73"/>
      <c r="D3681" s="74"/>
      <c r="G3681" s="75"/>
    </row>
    <row r="3682" spans="2:7" x14ac:dyDescent="0.3">
      <c r="B3682" s="72"/>
      <c r="C3682" s="73"/>
      <c r="D3682" s="74"/>
      <c r="G3682" s="75"/>
    </row>
    <row r="3683" spans="2:7" x14ac:dyDescent="0.3">
      <c r="B3683" s="72"/>
      <c r="C3683" s="73"/>
      <c r="D3683" s="74"/>
      <c r="G3683" s="75"/>
    </row>
    <row r="3684" spans="2:7" x14ac:dyDescent="0.3">
      <c r="B3684" s="72"/>
      <c r="C3684" s="73"/>
      <c r="D3684" s="74"/>
      <c r="G3684" s="75"/>
    </row>
    <row r="3685" spans="2:7" x14ac:dyDescent="0.3">
      <c r="B3685" s="72"/>
      <c r="C3685" s="73"/>
      <c r="D3685" s="74"/>
      <c r="G3685" s="75"/>
    </row>
    <row r="3686" spans="2:7" x14ac:dyDescent="0.3">
      <c r="B3686" s="72"/>
      <c r="C3686" s="73"/>
      <c r="D3686" s="74"/>
      <c r="G3686" s="75"/>
    </row>
    <row r="3687" spans="2:7" x14ac:dyDescent="0.3">
      <c r="B3687" s="72"/>
      <c r="C3687" s="73"/>
      <c r="D3687" s="74"/>
      <c r="G3687" s="75"/>
    </row>
    <row r="3688" spans="2:7" x14ac:dyDescent="0.3">
      <c r="B3688" s="72"/>
      <c r="C3688" s="73"/>
      <c r="D3688" s="74"/>
      <c r="G3688" s="75"/>
    </row>
    <row r="3689" spans="2:7" x14ac:dyDescent="0.3">
      <c r="B3689" s="72"/>
      <c r="C3689" s="73"/>
      <c r="D3689" s="74"/>
      <c r="G3689" s="75"/>
    </row>
    <row r="3690" spans="2:7" x14ac:dyDescent="0.3">
      <c r="B3690" s="72"/>
      <c r="C3690" s="73"/>
      <c r="D3690" s="74"/>
      <c r="G3690" s="75"/>
    </row>
    <row r="3691" spans="2:7" x14ac:dyDescent="0.3">
      <c r="B3691" s="72"/>
      <c r="C3691" s="73"/>
      <c r="D3691" s="74"/>
      <c r="G3691" s="75"/>
    </row>
    <row r="3692" spans="2:7" x14ac:dyDescent="0.3">
      <c r="B3692" s="72"/>
      <c r="C3692" s="73"/>
      <c r="D3692" s="74"/>
      <c r="G3692" s="75"/>
    </row>
    <row r="3693" spans="2:7" x14ac:dyDescent="0.3">
      <c r="B3693" s="72"/>
      <c r="C3693" s="73"/>
      <c r="D3693" s="74"/>
      <c r="G3693" s="75"/>
    </row>
    <row r="3694" spans="2:7" x14ac:dyDescent="0.3">
      <c r="B3694" s="72"/>
      <c r="C3694" s="73"/>
      <c r="D3694" s="74"/>
      <c r="G3694" s="75"/>
    </row>
    <row r="3695" spans="2:7" x14ac:dyDescent="0.3">
      <c r="B3695" s="72"/>
      <c r="C3695" s="73"/>
      <c r="D3695" s="74"/>
      <c r="G3695" s="75"/>
    </row>
    <row r="3696" spans="2:7" x14ac:dyDescent="0.3">
      <c r="B3696" s="72"/>
      <c r="C3696" s="73"/>
      <c r="D3696" s="74"/>
      <c r="G3696" s="75"/>
    </row>
    <row r="3697" spans="2:7" x14ac:dyDescent="0.3">
      <c r="B3697" s="72"/>
      <c r="C3697" s="73"/>
      <c r="D3697" s="74"/>
      <c r="G3697" s="75"/>
    </row>
    <row r="3698" spans="2:7" x14ac:dyDescent="0.3">
      <c r="B3698" s="72"/>
      <c r="C3698" s="73"/>
      <c r="D3698" s="74"/>
      <c r="G3698" s="75"/>
    </row>
    <row r="3699" spans="2:7" x14ac:dyDescent="0.3">
      <c r="B3699" s="72"/>
      <c r="C3699" s="73"/>
      <c r="D3699" s="74"/>
      <c r="G3699" s="75"/>
    </row>
    <row r="3700" spans="2:7" x14ac:dyDescent="0.3">
      <c r="B3700" s="72"/>
      <c r="C3700" s="73"/>
      <c r="D3700" s="74"/>
      <c r="G3700" s="75"/>
    </row>
    <row r="3701" spans="2:7" x14ac:dyDescent="0.3">
      <c r="B3701" s="72"/>
      <c r="C3701" s="73"/>
      <c r="D3701" s="74"/>
      <c r="G3701" s="75"/>
    </row>
    <row r="3702" spans="2:7" x14ac:dyDescent="0.3">
      <c r="B3702" s="72"/>
      <c r="C3702" s="73"/>
      <c r="D3702" s="74"/>
      <c r="G3702" s="75"/>
    </row>
    <row r="3703" spans="2:7" x14ac:dyDescent="0.3">
      <c r="B3703" s="72"/>
      <c r="C3703" s="73"/>
      <c r="D3703" s="74"/>
      <c r="G3703" s="75"/>
    </row>
    <row r="3704" spans="2:7" x14ac:dyDescent="0.3">
      <c r="B3704" s="72"/>
      <c r="C3704" s="73"/>
      <c r="D3704" s="74"/>
      <c r="G3704" s="75"/>
    </row>
    <row r="3705" spans="2:7" x14ac:dyDescent="0.3">
      <c r="B3705" s="72"/>
      <c r="C3705" s="73"/>
      <c r="D3705" s="74"/>
      <c r="G3705" s="75"/>
    </row>
    <row r="3706" spans="2:7" x14ac:dyDescent="0.3">
      <c r="B3706" s="72"/>
      <c r="C3706" s="73"/>
      <c r="D3706" s="74"/>
      <c r="G3706" s="75"/>
    </row>
    <row r="3707" spans="2:7" x14ac:dyDescent="0.3">
      <c r="B3707" s="72"/>
      <c r="C3707" s="73"/>
      <c r="D3707" s="74"/>
      <c r="G3707" s="75"/>
    </row>
    <row r="3708" spans="2:7" x14ac:dyDescent="0.3">
      <c r="B3708" s="72"/>
      <c r="C3708" s="73"/>
      <c r="D3708" s="74"/>
      <c r="G3708" s="75"/>
    </row>
    <row r="3709" spans="2:7" x14ac:dyDescent="0.3">
      <c r="B3709" s="72"/>
      <c r="C3709" s="73"/>
      <c r="D3709" s="74"/>
      <c r="G3709" s="75"/>
    </row>
    <row r="3710" spans="2:7" x14ac:dyDescent="0.3">
      <c r="B3710" s="72"/>
      <c r="C3710" s="73"/>
      <c r="D3710" s="74"/>
      <c r="G3710" s="75"/>
    </row>
    <row r="3711" spans="2:7" x14ac:dyDescent="0.3">
      <c r="B3711" s="72"/>
      <c r="C3711" s="73"/>
      <c r="D3711" s="74"/>
      <c r="G3711" s="75"/>
    </row>
    <row r="3712" spans="2:7" x14ac:dyDescent="0.3">
      <c r="B3712" s="72"/>
      <c r="C3712" s="73"/>
      <c r="D3712" s="74"/>
      <c r="G3712" s="75"/>
    </row>
    <row r="3713" spans="2:7" x14ac:dyDescent="0.3">
      <c r="B3713" s="72"/>
      <c r="C3713" s="73"/>
      <c r="D3713" s="74"/>
      <c r="G3713" s="75"/>
    </row>
    <row r="3714" spans="2:7" x14ac:dyDescent="0.3">
      <c r="B3714" s="72"/>
      <c r="C3714" s="73"/>
      <c r="D3714" s="74"/>
      <c r="G3714" s="75"/>
    </row>
    <row r="3715" spans="2:7" x14ac:dyDescent="0.3">
      <c r="B3715" s="72"/>
      <c r="C3715" s="73"/>
      <c r="D3715" s="74"/>
      <c r="G3715" s="75"/>
    </row>
    <row r="3716" spans="2:7" x14ac:dyDescent="0.3">
      <c r="B3716" s="72"/>
      <c r="C3716" s="73"/>
      <c r="D3716" s="74"/>
      <c r="G3716" s="75"/>
    </row>
    <row r="3717" spans="2:7" x14ac:dyDescent="0.3">
      <c r="B3717" s="72"/>
      <c r="C3717" s="73"/>
      <c r="D3717" s="74"/>
      <c r="G3717" s="75"/>
    </row>
    <row r="3718" spans="2:7" x14ac:dyDescent="0.3">
      <c r="B3718" s="72"/>
      <c r="C3718" s="73"/>
      <c r="D3718" s="74"/>
      <c r="G3718" s="75"/>
    </row>
    <row r="3719" spans="2:7" x14ac:dyDescent="0.3">
      <c r="B3719" s="72"/>
      <c r="C3719" s="73"/>
      <c r="D3719" s="74"/>
      <c r="G3719" s="75"/>
    </row>
    <row r="3720" spans="2:7" x14ac:dyDescent="0.3">
      <c r="B3720" s="72"/>
      <c r="C3720" s="73"/>
      <c r="D3720" s="74"/>
      <c r="G3720" s="75"/>
    </row>
    <row r="3721" spans="2:7" x14ac:dyDescent="0.3">
      <c r="B3721" s="72"/>
      <c r="C3721" s="73"/>
      <c r="D3721" s="74"/>
      <c r="G3721" s="75"/>
    </row>
    <row r="3722" spans="2:7" x14ac:dyDescent="0.3">
      <c r="B3722" s="72"/>
      <c r="C3722" s="73"/>
      <c r="D3722" s="74"/>
      <c r="G3722" s="75"/>
    </row>
    <row r="3723" spans="2:7" x14ac:dyDescent="0.3">
      <c r="B3723" s="72"/>
      <c r="C3723" s="73"/>
      <c r="D3723" s="74"/>
      <c r="G3723" s="75"/>
    </row>
    <row r="3724" spans="2:7" x14ac:dyDescent="0.3">
      <c r="B3724" s="72"/>
      <c r="C3724" s="73"/>
      <c r="D3724" s="74"/>
      <c r="G3724" s="75"/>
    </row>
    <row r="3725" spans="2:7" x14ac:dyDescent="0.3">
      <c r="B3725" s="72"/>
      <c r="C3725" s="73"/>
      <c r="D3725" s="74"/>
      <c r="G3725" s="75"/>
    </row>
    <row r="3726" spans="2:7" x14ac:dyDescent="0.3">
      <c r="B3726" s="72"/>
      <c r="C3726" s="73"/>
      <c r="D3726" s="74"/>
      <c r="G3726" s="75"/>
    </row>
    <row r="3727" spans="2:7" x14ac:dyDescent="0.3">
      <c r="B3727" s="72"/>
      <c r="C3727" s="73"/>
      <c r="D3727" s="74"/>
      <c r="G3727" s="75"/>
    </row>
    <row r="3728" spans="2:7" x14ac:dyDescent="0.3">
      <c r="B3728" s="72"/>
      <c r="C3728" s="73"/>
      <c r="D3728" s="74"/>
      <c r="G3728" s="75"/>
    </row>
    <row r="3729" spans="2:7" x14ac:dyDescent="0.3">
      <c r="B3729" s="72"/>
      <c r="C3729" s="73"/>
      <c r="D3729" s="74"/>
      <c r="G3729" s="75"/>
    </row>
    <row r="3730" spans="2:7" x14ac:dyDescent="0.3">
      <c r="B3730" s="72"/>
      <c r="C3730" s="73"/>
      <c r="D3730" s="74"/>
      <c r="G3730" s="75"/>
    </row>
    <row r="3731" spans="2:7" x14ac:dyDescent="0.3">
      <c r="B3731" s="72"/>
      <c r="C3731" s="73"/>
      <c r="D3731" s="74"/>
      <c r="G3731" s="75"/>
    </row>
    <row r="3732" spans="2:7" x14ac:dyDescent="0.3">
      <c r="B3732" s="72"/>
      <c r="C3732" s="73"/>
      <c r="D3732" s="74"/>
      <c r="G3732" s="75"/>
    </row>
    <row r="3733" spans="2:7" x14ac:dyDescent="0.3">
      <c r="B3733" s="72"/>
      <c r="C3733" s="73"/>
      <c r="D3733" s="74"/>
      <c r="G3733" s="75"/>
    </row>
    <row r="3734" spans="2:7" x14ac:dyDescent="0.3">
      <c r="B3734" s="72"/>
      <c r="C3734" s="73"/>
      <c r="D3734" s="74"/>
      <c r="G3734" s="75"/>
    </row>
    <row r="3735" spans="2:7" x14ac:dyDescent="0.3">
      <c r="B3735" s="72"/>
      <c r="C3735" s="73"/>
      <c r="D3735" s="74"/>
      <c r="G3735" s="75"/>
    </row>
    <row r="3736" spans="2:7" x14ac:dyDescent="0.3">
      <c r="B3736" s="72"/>
      <c r="C3736" s="73"/>
      <c r="D3736" s="74"/>
      <c r="G3736" s="75"/>
    </row>
    <row r="3737" spans="2:7" x14ac:dyDescent="0.3">
      <c r="B3737" s="72"/>
      <c r="C3737" s="73"/>
      <c r="D3737" s="74"/>
      <c r="G3737" s="75"/>
    </row>
    <row r="3738" spans="2:7" x14ac:dyDescent="0.3">
      <c r="B3738" s="72"/>
      <c r="C3738" s="73"/>
      <c r="D3738" s="74"/>
      <c r="G3738" s="75"/>
    </row>
    <row r="3739" spans="2:7" x14ac:dyDescent="0.3">
      <c r="B3739" s="72"/>
      <c r="C3739" s="73"/>
      <c r="D3739" s="74"/>
      <c r="G3739" s="75"/>
    </row>
    <row r="3740" spans="2:7" x14ac:dyDescent="0.3">
      <c r="B3740" s="72"/>
      <c r="C3740" s="73"/>
      <c r="D3740" s="74"/>
      <c r="G3740" s="75"/>
    </row>
    <row r="3741" spans="2:7" x14ac:dyDescent="0.3">
      <c r="B3741" s="72"/>
      <c r="C3741" s="73"/>
      <c r="D3741" s="74"/>
      <c r="G3741" s="75"/>
    </row>
    <row r="3742" spans="2:7" x14ac:dyDescent="0.3">
      <c r="B3742" s="72"/>
      <c r="C3742" s="73"/>
      <c r="D3742" s="74"/>
      <c r="G3742" s="75"/>
    </row>
    <row r="3743" spans="2:7" x14ac:dyDescent="0.3">
      <c r="B3743" s="72"/>
      <c r="C3743" s="73"/>
      <c r="D3743" s="74"/>
      <c r="G3743" s="75"/>
    </row>
    <row r="3744" spans="2:7" x14ac:dyDescent="0.3">
      <c r="B3744" s="72"/>
      <c r="C3744" s="73"/>
      <c r="D3744" s="74"/>
      <c r="G3744" s="75"/>
    </row>
    <row r="3745" spans="2:7" x14ac:dyDescent="0.3">
      <c r="B3745" s="72"/>
      <c r="C3745" s="73"/>
      <c r="D3745" s="74"/>
      <c r="G3745" s="75"/>
    </row>
    <row r="3746" spans="2:7" x14ac:dyDescent="0.3">
      <c r="B3746" s="72"/>
      <c r="C3746" s="73"/>
      <c r="D3746" s="74"/>
      <c r="G3746" s="75"/>
    </row>
    <row r="3747" spans="2:7" x14ac:dyDescent="0.3">
      <c r="B3747" s="72"/>
      <c r="C3747" s="73"/>
      <c r="D3747" s="74"/>
      <c r="G3747" s="75"/>
    </row>
    <row r="3748" spans="2:7" x14ac:dyDescent="0.3">
      <c r="B3748" s="72"/>
      <c r="C3748" s="73"/>
      <c r="D3748" s="74"/>
      <c r="G3748" s="75"/>
    </row>
    <row r="3749" spans="2:7" x14ac:dyDescent="0.3">
      <c r="B3749" s="72"/>
      <c r="C3749" s="73"/>
      <c r="D3749" s="74"/>
      <c r="G3749" s="75"/>
    </row>
    <row r="3750" spans="2:7" x14ac:dyDescent="0.3">
      <c r="B3750" s="72"/>
      <c r="C3750" s="73"/>
      <c r="D3750" s="74"/>
      <c r="G3750" s="75"/>
    </row>
    <row r="3751" spans="2:7" x14ac:dyDescent="0.3">
      <c r="B3751" s="72"/>
      <c r="C3751" s="73"/>
      <c r="D3751" s="74"/>
      <c r="G3751" s="75"/>
    </row>
    <row r="3752" spans="2:7" x14ac:dyDescent="0.3">
      <c r="B3752" s="72"/>
      <c r="C3752" s="73"/>
      <c r="D3752" s="74"/>
      <c r="G3752" s="75"/>
    </row>
    <row r="3753" spans="2:7" x14ac:dyDescent="0.3">
      <c r="B3753" s="72"/>
      <c r="C3753" s="73"/>
      <c r="D3753" s="74"/>
      <c r="G3753" s="75"/>
    </row>
    <row r="3754" spans="2:7" x14ac:dyDescent="0.3">
      <c r="B3754" s="72"/>
      <c r="C3754" s="73"/>
      <c r="D3754" s="74"/>
      <c r="G3754" s="75"/>
    </row>
    <row r="3755" spans="2:7" x14ac:dyDescent="0.3">
      <c r="B3755" s="72"/>
      <c r="C3755" s="73"/>
      <c r="D3755" s="74"/>
      <c r="G3755" s="75"/>
    </row>
    <row r="3756" spans="2:7" x14ac:dyDescent="0.3">
      <c r="B3756" s="72"/>
      <c r="C3756" s="73"/>
      <c r="D3756" s="74"/>
      <c r="G3756" s="75"/>
    </row>
    <row r="3757" spans="2:7" x14ac:dyDescent="0.3">
      <c r="B3757" s="72"/>
      <c r="C3757" s="73"/>
      <c r="D3757" s="74"/>
      <c r="G3757" s="75"/>
    </row>
    <row r="3758" spans="2:7" x14ac:dyDescent="0.3">
      <c r="B3758" s="72"/>
      <c r="C3758" s="73"/>
      <c r="D3758" s="74"/>
      <c r="G3758" s="75"/>
    </row>
    <row r="3759" spans="2:7" x14ac:dyDescent="0.3">
      <c r="B3759" s="72"/>
      <c r="C3759" s="73"/>
      <c r="D3759" s="74"/>
      <c r="G3759" s="75"/>
    </row>
    <row r="3760" spans="2:7" x14ac:dyDescent="0.3">
      <c r="B3760" s="72"/>
      <c r="C3760" s="73"/>
      <c r="D3760" s="74"/>
      <c r="G3760" s="75"/>
    </row>
    <row r="3761" spans="2:7" x14ac:dyDescent="0.3">
      <c r="B3761" s="72"/>
      <c r="C3761" s="73"/>
      <c r="D3761" s="74"/>
      <c r="G3761" s="75"/>
    </row>
    <row r="3762" spans="2:7" x14ac:dyDescent="0.3">
      <c r="B3762" s="72"/>
      <c r="C3762" s="73"/>
      <c r="D3762" s="74"/>
      <c r="G3762" s="75"/>
    </row>
    <row r="3763" spans="2:7" x14ac:dyDescent="0.3">
      <c r="B3763" s="72"/>
      <c r="C3763" s="73"/>
      <c r="D3763" s="74"/>
      <c r="G3763" s="75"/>
    </row>
    <row r="3764" spans="2:7" x14ac:dyDescent="0.3">
      <c r="B3764" s="72"/>
      <c r="C3764" s="73"/>
      <c r="D3764" s="74"/>
      <c r="G3764" s="75"/>
    </row>
    <row r="3765" spans="2:7" x14ac:dyDescent="0.3">
      <c r="B3765" s="72"/>
      <c r="C3765" s="73"/>
      <c r="D3765" s="74"/>
      <c r="G3765" s="75"/>
    </row>
    <row r="3766" spans="2:7" x14ac:dyDescent="0.3">
      <c r="B3766" s="72"/>
      <c r="C3766" s="73"/>
      <c r="D3766" s="74"/>
      <c r="G3766" s="75"/>
    </row>
    <row r="3767" spans="2:7" x14ac:dyDescent="0.3">
      <c r="B3767" s="72"/>
      <c r="C3767" s="73"/>
      <c r="D3767" s="74"/>
      <c r="G3767" s="75"/>
    </row>
    <row r="3768" spans="2:7" x14ac:dyDescent="0.3">
      <c r="B3768" s="72"/>
      <c r="C3768" s="73"/>
      <c r="D3768" s="74"/>
      <c r="G3768" s="75"/>
    </row>
    <row r="3769" spans="2:7" x14ac:dyDescent="0.3">
      <c r="B3769" s="72"/>
      <c r="C3769" s="73"/>
      <c r="D3769" s="74"/>
      <c r="G3769" s="75"/>
    </row>
    <row r="3770" spans="2:7" x14ac:dyDescent="0.3">
      <c r="B3770" s="72"/>
      <c r="C3770" s="73"/>
      <c r="D3770" s="74"/>
      <c r="G3770" s="75"/>
    </row>
    <row r="3771" spans="2:7" x14ac:dyDescent="0.3">
      <c r="B3771" s="72"/>
      <c r="C3771" s="73"/>
      <c r="D3771" s="74"/>
      <c r="G3771" s="75"/>
    </row>
    <row r="3772" spans="2:7" x14ac:dyDescent="0.3">
      <c r="B3772" s="72"/>
      <c r="C3772" s="73"/>
      <c r="D3772" s="74"/>
      <c r="G3772" s="75"/>
    </row>
    <row r="3773" spans="2:7" x14ac:dyDescent="0.3">
      <c r="B3773" s="72"/>
      <c r="C3773" s="73"/>
      <c r="D3773" s="74"/>
      <c r="G3773" s="75"/>
    </row>
    <row r="3774" spans="2:7" x14ac:dyDescent="0.3">
      <c r="B3774" s="72"/>
      <c r="C3774" s="73"/>
      <c r="D3774" s="74"/>
      <c r="G3774" s="75"/>
    </row>
    <row r="3775" spans="2:7" x14ac:dyDescent="0.3">
      <c r="B3775" s="72"/>
      <c r="C3775" s="73"/>
      <c r="D3775" s="74"/>
      <c r="G3775" s="75"/>
    </row>
    <row r="3776" spans="2:7" x14ac:dyDescent="0.3">
      <c r="B3776" s="72"/>
      <c r="C3776" s="73"/>
      <c r="D3776" s="74"/>
      <c r="G3776" s="75"/>
    </row>
    <row r="3777" spans="2:7" x14ac:dyDescent="0.3">
      <c r="B3777" s="72"/>
      <c r="C3777" s="73"/>
      <c r="D3777" s="74"/>
      <c r="G3777" s="75"/>
    </row>
    <row r="3778" spans="2:7" x14ac:dyDescent="0.3">
      <c r="B3778" s="72"/>
      <c r="C3778" s="73"/>
      <c r="D3778" s="74"/>
      <c r="G3778" s="75"/>
    </row>
    <row r="3779" spans="2:7" x14ac:dyDescent="0.3">
      <c r="B3779" s="72"/>
      <c r="C3779" s="73"/>
      <c r="D3779" s="74"/>
      <c r="G3779" s="75"/>
    </row>
    <row r="3780" spans="2:7" x14ac:dyDescent="0.3">
      <c r="B3780" s="72"/>
      <c r="C3780" s="73"/>
      <c r="D3780" s="74"/>
      <c r="G3780" s="75"/>
    </row>
    <row r="3781" spans="2:7" x14ac:dyDescent="0.3">
      <c r="B3781" s="72"/>
      <c r="C3781" s="73"/>
      <c r="D3781" s="74"/>
      <c r="G3781" s="75"/>
    </row>
    <row r="3782" spans="2:7" x14ac:dyDescent="0.3">
      <c r="B3782" s="72"/>
      <c r="C3782" s="73"/>
      <c r="D3782" s="74"/>
      <c r="G3782" s="75"/>
    </row>
    <row r="3783" spans="2:7" x14ac:dyDescent="0.3">
      <c r="B3783" s="72"/>
      <c r="C3783" s="73"/>
      <c r="D3783" s="74"/>
      <c r="G3783" s="75"/>
    </row>
    <row r="3784" spans="2:7" x14ac:dyDescent="0.3">
      <c r="B3784" s="72"/>
      <c r="C3784" s="73"/>
      <c r="D3784" s="74"/>
      <c r="G3784" s="75"/>
    </row>
    <row r="3785" spans="2:7" x14ac:dyDescent="0.3">
      <c r="B3785" s="72"/>
      <c r="C3785" s="73"/>
      <c r="D3785" s="74"/>
      <c r="G3785" s="75"/>
    </row>
    <row r="3786" spans="2:7" x14ac:dyDescent="0.3">
      <c r="B3786" s="72"/>
      <c r="C3786" s="73"/>
      <c r="D3786" s="74"/>
      <c r="G3786" s="75"/>
    </row>
    <row r="3787" spans="2:7" x14ac:dyDescent="0.3">
      <c r="B3787" s="72"/>
      <c r="C3787" s="73"/>
      <c r="D3787" s="74"/>
      <c r="G3787" s="75"/>
    </row>
    <row r="3788" spans="2:7" x14ac:dyDescent="0.3">
      <c r="B3788" s="72"/>
      <c r="C3788" s="73"/>
      <c r="D3788" s="74"/>
      <c r="G3788" s="75"/>
    </row>
    <row r="3789" spans="2:7" x14ac:dyDescent="0.3">
      <c r="B3789" s="72"/>
      <c r="C3789" s="73"/>
      <c r="D3789" s="74"/>
      <c r="G3789" s="75"/>
    </row>
    <row r="3790" spans="2:7" x14ac:dyDescent="0.3">
      <c r="B3790" s="72"/>
      <c r="C3790" s="73"/>
      <c r="D3790" s="74"/>
      <c r="G3790" s="75"/>
    </row>
    <row r="3791" spans="2:7" x14ac:dyDescent="0.3">
      <c r="B3791" s="72"/>
      <c r="C3791" s="73"/>
      <c r="D3791" s="74"/>
      <c r="G3791" s="75"/>
    </row>
    <row r="3792" spans="2:7" x14ac:dyDescent="0.3">
      <c r="B3792" s="72"/>
      <c r="C3792" s="73"/>
      <c r="D3792" s="74"/>
      <c r="G3792" s="75"/>
    </row>
    <row r="3793" spans="2:7" x14ac:dyDescent="0.3">
      <c r="B3793" s="72"/>
      <c r="C3793" s="73"/>
      <c r="D3793" s="74"/>
      <c r="G3793" s="75"/>
    </row>
    <row r="3794" spans="2:7" x14ac:dyDescent="0.3">
      <c r="B3794" s="72"/>
      <c r="C3794" s="73"/>
      <c r="D3794" s="74"/>
      <c r="G3794" s="75"/>
    </row>
    <row r="3795" spans="2:7" x14ac:dyDescent="0.3">
      <c r="B3795" s="72"/>
      <c r="C3795" s="73"/>
      <c r="D3795" s="74"/>
      <c r="G3795" s="75"/>
    </row>
    <row r="3796" spans="2:7" x14ac:dyDescent="0.3">
      <c r="B3796" s="72"/>
      <c r="C3796" s="73"/>
      <c r="D3796" s="74"/>
      <c r="G3796" s="75"/>
    </row>
    <row r="3797" spans="2:7" x14ac:dyDescent="0.3">
      <c r="B3797" s="72"/>
      <c r="C3797" s="73"/>
      <c r="D3797" s="74"/>
      <c r="G3797" s="75"/>
    </row>
    <row r="3798" spans="2:7" x14ac:dyDescent="0.3">
      <c r="B3798" s="72"/>
      <c r="C3798" s="73"/>
      <c r="D3798" s="74"/>
      <c r="G3798" s="75"/>
    </row>
    <row r="3799" spans="2:7" x14ac:dyDescent="0.3">
      <c r="B3799" s="72"/>
      <c r="C3799" s="73"/>
      <c r="D3799" s="74"/>
      <c r="G3799" s="75"/>
    </row>
    <row r="3800" spans="2:7" x14ac:dyDescent="0.3">
      <c r="B3800" s="72"/>
      <c r="C3800" s="73"/>
      <c r="D3800" s="74"/>
      <c r="G3800" s="75"/>
    </row>
    <row r="3801" spans="2:7" x14ac:dyDescent="0.3">
      <c r="B3801" s="72"/>
      <c r="C3801" s="73"/>
      <c r="D3801" s="74"/>
      <c r="G3801" s="75"/>
    </row>
    <row r="3802" spans="2:7" x14ac:dyDescent="0.3">
      <c r="B3802" s="72"/>
      <c r="C3802" s="73"/>
      <c r="D3802" s="74"/>
      <c r="G3802" s="75"/>
    </row>
    <row r="3803" spans="2:7" x14ac:dyDescent="0.3">
      <c r="B3803" s="72"/>
      <c r="C3803" s="73"/>
      <c r="D3803" s="74"/>
      <c r="G3803" s="75"/>
    </row>
    <row r="3804" spans="2:7" x14ac:dyDescent="0.3">
      <c r="B3804" s="72"/>
      <c r="C3804" s="73"/>
      <c r="D3804" s="74"/>
      <c r="G3804" s="75"/>
    </row>
    <row r="3805" spans="2:7" x14ac:dyDescent="0.3">
      <c r="B3805" s="72"/>
      <c r="C3805" s="73"/>
      <c r="D3805" s="74"/>
      <c r="G3805" s="75"/>
    </row>
    <row r="3806" spans="2:7" x14ac:dyDescent="0.3">
      <c r="B3806" s="72"/>
      <c r="C3806" s="73"/>
      <c r="D3806" s="74"/>
      <c r="G3806" s="75"/>
    </row>
    <row r="3807" spans="2:7" x14ac:dyDescent="0.3">
      <c r="B3807" s="72"/>
      <c r="C3807" s="73"/>
      <c r="D3807" s="74"/>
      <c r="G3807" s="75"/>
    </row>
    <row r="3808" spans="2:7" x14ac:dyDescent="0.3">
      <c r="B3808" s="72"/>
      <c r="C3808" s="73"/>
      <c r="D3808" s="74"/>
      <c r="G3808" s="75"/>
    </row>
    <row r="3809" spans="2:7" x14ac:dyDescent="0.3">
      <c r="B3809" s="72"/>
      <c r="C3809" s="73"/>
      <c r="D3809" s="74"/>
      <c r="G3809" s="75"/>
    </row>
    <row r="3810" spans="2:7" x14ac:dyDescent="0.3">
      <c r="B3810" s="72"/>
      <c r="C3810" s="73"/>
      <c r="D3810" s="74"/>
      <c r="G3810" s="75"/>
    </row>
    <row r="3811" spans="2:7" x14ac:dyDescent="0.3">
      <c r="B3811" s="72"/>
      <c r="C3811" s="73"/>
      <c r="D3811" s="74"/>
      <c r="G3811" s="75"/>
    </row>
    <row r="3812" spans="2:7" x14ac:dyDescent="0.3">
      <c r="B3812" s="72"/>
      <c r="C3812" s="73"/>
      <c r="D3812" s="74"/>
      <c r="G3812" s="75"/>
    </row>
    <row r="3813" spans="2:7" x14ac:dyDescent="0.3">
      <c r="B3813" s="72"/>
      <c r="C3813" s="73"/>
      <c r="D3813" s="74"/>
      <c r="G3813" s="75"/>
    </row>
    <row r="3814" spans="2:7" x14ac:dyDescent="0.3">
      <c r="B3814" s="72"/>
      <c r="C3814" s="73"/>
      <c r="D3814" s="74"/>
      <c r="G3814" s="75"/>
    </row>
    <row r="3815" spans="2:7" x14ac:dyDescent="0.3">
      <c r="B3815" s="72"/>
      <c r="C3815" s="73"/>
      <c r="D3815" s="74"/>
      <c r="G3815" s="75"/>
    </row>
    <row r="3816" spans="2:7" x14ac:dyDescent="0.3">
      <c r="B3816" s="72"/>
      <c r="C3816" s="73"/>
      <c r="D3816" s="74"/>
      <c r="G3816" s="75"/>
    </row>
    <row r="3817" spans="2:7" x14ac:dyDescent="0.3">
      <c r="B3817" s="72"/>
      <c r="C3817" s="73"/>
      <c r="D3817" s="74"/>
      <c r="G3817" s="75"/>
    </row>
    <row r="3818" spans="2:7" x14ac:dyDescent="0.3">
      <c r="B3818" s="72"/>
      <c r="C3818" s="73"/>
      <c r="D3818" s="74"/>
      <c r="G3818" s="75"/>
    </row>
    <row r="3819" spans="2:7" x14ac:dyDescent="0.3">
      <c r="B3819" s="72"/>
      <c r="C3819" s="73"/>
      <c r="D3819" s="74"/>
      <c r="G3819" s="75"/>
    </row>
    <row r="3820" spans="2:7" x14ac:dyDescent="0.3">
      <c r="B3820" s="72"/>
      <c r="C3820" s="73"/>
      <c r="D3820" s="74"/>
      <c r="G3820" s="75"/>
    </row>
    <row r="3821" spans="2:7" x14ac:dyDescent="0.3">
      <c r="B3821" s="72"/>
      <c r="C3821" s="73"/>
      <c r="D3821" s="74"/>
      <c r="G3821" s="75"/>
    </row>
    <row r="3822" spans="2:7" x14ac:dyDescent="0.3">
      <c r="B3822" s="72"/>
      <c r="C3822" s="73"/>
      <c r="D3822" s="74"/>
      <c r="G3822" s="75"/>
    </row>
    <row r="3823" spans="2:7" x14ac:dyDescent="0.3">
      <c r="B3823" s="72"/>
      <c r="C3823" s="73"/>
      <c r="D3823" s="74"/>
      <c r="G3823" s="75"/>
    </row>
    <row r="3824" spans="2:7" x14ac:dyDescent="0.3">
      <c r="B3824" s="72"/>
      <c r="C3824" s="73"/>
      <c r="D3824" s="74"/>
      <c r="G3824" s="75"/>
    </row>
    <row r="3825" spans="2:7" x14ac:dyDescent="0.3">
      <c r="B3825" s="72"/>
      <c r="C3825" s="73"/>
      <c r="D3825" s="74"/>
      <c r="G3825" s="75"/>
    </row>
    <row r="3826" spans="2:7" x14ac:dyDescent="0.3">
      <c r="B3826" s="72"/>
      <c r="C3826" s="73"/>
      <c r="D3826" s="74"/>
      <c r="G3826" s="75"/>
    </row>
    <row r="3827" spans="2:7" x14ac:dyDescent="0.3">
      <c r="B3827" s="72"/>
      <c r="C3827" s="73"/>
      <c r="D3827" s="74"/>
      <c r="G3827" s="75"/>
    </row>
    <row r="3828" spans="2:7" x14ac:dyDescent="0.3">
      <c r="B3828" s="72"/>
      <c r="C3828" s="73"/>
      <c r="D3828" s="74"/>
      <c r="G3828" s="75"/>
    </row>
    <row r="3829" spans="2:7" x14ac:dyDescent="0.3">
      <c r="B3829" s="72"/>
      <c r="C3829" s="73"/>
      <c r="D3829" s="74"/>
      <c r="G3829" s="75"/>
    </row>
    <row r="3830" spans="2:7" x14ac:dyDescent="0.3">
      <c r="B3830" s="72"/>
      <c r="C3830" s="73"/>
      <c r="D3830" s="74"/>
      <c r="G3830" s="75"/>
    </row>
    <row r="3831" spans="2:7" x14ac:dyDescent="0.3">
      <c r="B3831" s="72"/>
      <c r="C3831" s="73"/>
      <c r="D3831" s="74"/>
      <c r="G3831" s="75"/>
    </row>
    <row r="3832" spans="2:7" x14ac:dyDescent="0.3">
      <c r="B3832" s="72"/>
      <c r="C3832" s="73"/>
      <c r="D3832" s="74"/>
      <c r="G3832" s="75"/>
    </row>
    <row r="3833" spans="2:7" x14ac:dyDescent="0.3">
      <c r="B3833" s="72"/>
      <c r="C3833" s="73"/>
      <c r="D3833" s="74"/>
      <c r="G3833" s="75"/>
    </row>
    <row r="3834" spans="2:7" x14ac:dyDescent="0.3">
      <c r="B3834" s="72"/>
      <c r="C3834" s="73"/>
      <c r="D3834" s="74"/>
      <c r="G3834" s="75"/>
    </row>
    <row r="3835" spans="2:7" x14ac:dyDescent="0.3">
      <c r="B3835" s="72"/>
      <c r="C3835" s="73"/>
      <c r="D3835" s="74"/>
      <c r="G3835" s="75"/>
    </row>
    <row r="3836" spans="2:7" x14ac:dyDescent="0.3">
      <c r="B3836" s="72"/>
      <c r="C3836" s="73"/>
      <c r="D3836" s="74"/>
      <c r="G3836" s="75"/>
    </row>
    <row r="3837" spans="2:7" x14ac:dyDescent="0.3">
      <c r="B3837" s="72"/>
      <c r="C3837" s="73"/>
      <c r="D3837" s="74"/>
      <c r="G3837" s="75"/>
    </row>
    <row r="3838" spans="2:7" x14ac:dyDescent="0.3">
      <c r="B3838" s="72"/>
      <c r="C3838" s="73"/>
      <c r="D3838" s="74"/>
      <c r="G3838" s="75"/>
    </row>
    <row r="3839" spans="2:7" x14ac:dyDescent="0.3">
      <c r="B3839" s="72"/>
      <c r="C3839" s="73"/>
      <c r="D3839" s="74"/>
      <c r="G3839" s="75"/>
    </row>
    <row r="3840" spans="2:7" x14ac:dyDescent="0.3">
      <c r="B3840" s="72"/>
      <c r="C3840" s="73"/>
      <c r="D3840" s="74"/>
      <c r="G3840" s="75"/>
    </row>
    <row r="3841" spans="2:7" x14ac:dyDescent="0.3">
      <c r="B3841" s="72"/>
      <c r="C3841" s="73"/>
      <c r="D3841" s="74"/>
      <c r="G3841" s="75"/>
    </row>
    <row r="3842" spans="2:7" x14ac:dyDescent="0.3">
      <c r="B3842" s="72"/>
      <c r="C3842" s="73"/>
      <c r="D3842" s="74"/>
      <c r="G3842" s="75"/>
    </row>
    <row r="3843" spans="2:7" x14ac:dyDescent="0.3">
      <c r="B3843" s="72"/>
      <c r="C3843" s="73"/>
      <c r="D3843" s="74"/>
      <c r="G3843" s="75"/>
    </row>
    <row r="3844" spans="2:7" x14ac:dyDescent="0.3">
      <c r="B3844" s="72"/>
      <c r="C3844" s="73"/>
      <c r="D3844" s="74"/>
      <c r="G3844" s="75"/>
    </row>
    <row r="3845" spans="2:7" x14ac:dyDescent="0.3">
      <c r="B3845" s="72"/>
      <c r="C3845" s="73"/>
      <c r="D3845" s="74"/>
      <c r="G3845" s="75"/>
    </row>
    <row r="3846" spans="2:7" x14ac:dyDescent="0.3">
      <c r="B3846" s="72"/>
      <c r="C3846" s="73"/>
      <c r="D3846" s="74"/>
      <c r="G3846" s="75"/>
    </row>
    <row r="3847" spans="2:7" x14ac:dyDescent="0.3">
      <c r="B3847" s="72"/>
      <c r="C3847" s="73"/>
      <c r="D3847" s="74"/>
      <c r="G3847" s="75"/>
    </row>
    <row r="3848" spans="2:7" x14ac:dyDescent="0.3">
      <c r="B3848" s="72"/>
      <c r="C3848" s="73"/>
      <c r="D3848" s="74"/>
      <c r="G3848" s="75"/>
    </row>
    <row r="3849" spans="2:7" x14ac:dyDescent="0.3">
      <c r="B3849" s="72"/>
      <c r="C3849" s="73"/>
      <c r="D3849" s="74"/>
      <c r="G3849" s="75"/>
    </row>
    <row r="3850" spans="2:7" x14ac:dyDescent="0.3">
      <c r="B3850" s="72"/>
      <c r="C3850" s="73"/>
      <c r="D3850" s="74"/>
      <c r="G3850" s="75"/>
    </row>
    <row r="3851" spans="2:7" x14ac:dyDescent="0.3">
      <c r="B3851" s="72"/>
      <c r="C3851" s="73"/>
      <c r="D3851" s="74"/>
      <c r="G3851" s="75"/>
    </row>
    <row r="3852" spans="2:7" x14ac:dyDescent="0.3">
      <c r="B3852" s="72"/>
      <c r="C3852" s="73"/>
      <c r="D3852" s="74"/>
      <c r="G3852" s="75"/>
    </row>
    <row r="3853" spans="2:7" x14ac:dyDescent="0.3">
      <c r="B3853" s="72"/>
      <c r="C3853" s="73"/>
      <c r="D3853" s="74"/>
      <c r="G3853" s="75"/>
    </row>
    <row r="3854" spans="2:7" x14ac:dyDescent="0.3">
      <c r="B3854" s="72"/>
      <c r="C3854" s="73"/>
      <c r="D3854" s="74"/>
      <c r="G3854" s="75"/>
    </row>
    <row r="3855" spans="2:7" x14ac:dyDescent="0.3">
      <c r="B3855" s="72"/>
      <c r="C3855" s="73"/>
      <c r="D3855" s="74"/>
      <c r="G3855" s="75"/>
    </row>
    <row r="3856" spans="2:7" x14ac:dyDescent="0.3">
      <c r="B3856" s="72"/>
      <c r="C3856" s="73"/>
      <c r="D3856" s="74"/>
      <c r="G3856" s="75"/>
    </row>
    <row r="3857" spans="2:7" x14ac:dyDescent="0.3">
      <c r="B3857" s="72"/>
      <c r="C3857" s="73"/>
      <c r="D3857" s="74"/>
      <c r="G3857" s="75"/>
    </row>
    <row r="3858" spans="2:7" x14ac:dyDescent="0.3">
      <c r="B3858" s="72"/>
      <c r="C3858" s="73"/>
      <c r="D3858" s="74"/>
      <c r="G3858" s="75"/>
    </row>
    <row r="3859" spans="2:7" x14ac:dyDescent="0.3">
      <c r="B3859" s="72"/>
      <c r="C3859" s="73"/>
      <c r="D3859" s="74"/>
      <c r="G3859" s="75"/>
    </row>
    <row r="3860" spans="2:7" x14ac:dyDescent="0.3">
      <c r="B3860" s="72"/>
      <c r="C3860" s="73"/>
      <c r="D3860" s="74"/>
      <c r="G3860" s="75"/>
    </row>
    <row r="3861" spans="2:7" x14ac:dyDescent="0.3">
      <c r="B3861" s="72"/>
      <c r="C3861" s="73"/>
      <c r="D3861" s="74"/>
      <c r="G3861" s="75"/>
    </row>
    <row r="3862" spans="2:7" x14ac:dyDescent="0.3">
      <c r="B3862" s="72"/>
      <c r="C3862" s="73"/>
      <c r="D3862" s="74"/>
      <c r="G3862" s="75"/>
    </row>
    <row r="3863" spans="2:7" x14ac:dyDescent="0.3">
      <c r="B3863" s="72"/>
      <c r="C3863" s="73"/>
      <c r="D3863" s="74"/>
      <c r="G3863" s="75"/>
    </row>
    <row r="3864" spans="2:7" x14ac:dyDescent="0.3">
      <c r="B3864" s="72"/>
      <c r="C3864" s="73"/>
      <c r="D3864" s="74"/>
      <c r="G3864" s="75"/>
    </row>
    <row r="3865" spans="2:7" x14ac:dyDescent="0.3">
      <c r="B3865" s="72"/>
      <c r="C3865" s="73"/>
      <c r="D3865" s="74"/>
      <c r="G3865" s="75"/>
    </row>
    <row r="3866" spans="2:7" x14ac:dyDescent="0.3">
      <c r="B3866" s="72"/>
      <c r="C3866" s="73"/>
      <c r="D3866" s="74"/>
      <c r="G3866" s="75"/>
    </row>
    <row r="3867" spans="2:7" x14ac:dyDescent="0.3">
      <c r="B3867" s="72"/>
      <c r="C3867" s="73"/>
      <c r="D3867" s="74"/>
      <c r="G3867" s="75"/>
    </row>
    <row r="3868" spans="2:7" x14ac:dyDescent="0.3">
      <c r="B3868" s="72"/>
      <c r="C3868" s="73"/>
      <c r="D3868" s="74"/>
      <c r="G3868" s="75"/>
    </row>
    <row r="3869" spans="2:7" x14ac:dyDescent="0.3">
      <c r="B3869" s="72"/>
      <c r="C3869" s="73"/>
      <c r="D3869" s="74"/>
      <c r="G3869" s="75"/>
    </row>
    <row r="3870" spans="2:7" x14ac:dyDescent="0.3">
      <c r="B3870" s="72"/>
      <c r="C3870" s="73"/>
      <c r="D3870" s="74"/>
      <c r="G3870" s="75"/>
    </row>
    <row r="3871" spans="2:7" x14ac:dyDescent="0.3">
      <c r="B3871" s="72"/>
      <c r="C3871" s="73"/>
      <c r="D3871" s="74"/>
      <c r="G3871" s="75"/>
    </row>
    <row r="3872" spans="2:7" x14ac:dyDescent="0.3">
      <c r="B3872" s="72"/>
      <c r="C3872" s="73"/>
      <c r="D3872" s="74"/>
      <c r="G3872" s="75"/>
    </row>
    <row r="3873" spans="2:7" x14ac:dyDescent="0.3">
      <c r="B3873" s="72"/>
      <c r="C3873" s="73"/>
      <c r="D3873" s="74"/>
      <c r="G3873" s="75"/>
    </row>
    <row r="3874" spans="2:7" x14ac:dyDescent="0.3">
      <c r="B3874" s="72"/>
      <c r="C3874" s="73"/>
      <c r="D3874" s="74"/>
      <c r="G3874" s="75"/>
    </row>
    <row r="3875" spans="2:7" x14ac:dyDescent="0.3">
      <c r="B3875" s="72"/>
      <c r="C3875" s="73"/>
      <c r="D3875" s="74"/>
      <c r="G3875" s="75"/>
    </row>
    <row r="3876" spans="2:7" x14ac:dyDescent="0.3">
      <c r="B3876" s="72"/>
      <c r="C3876" s="73"/>
      <c r="D3876" s="74"/>
      <c r="G3876" s="75"/>
    </row>
    <row r="3877" spans="2:7" x14ac:dyDescent="0.3">
      <c r="B3877" s="72"/>
      <c r="C3877" s="73"/>
      <c r="D3877" s="74"/>
      <c r="G3877" s="75"/>
    </row>
    <row r="3878" spans="2:7" x14ac:dyDescent="0.3">
      <c r="B3878" s="72"/>
      <c r="C3878" s="73"/>
      <c r="D3878" s="74"/>
      <c r="G3878" s="75"/>
    </row>
    <row r="3879" spans="2:7" x14ac:dyDescent="0.3">
      <c r="B3879" s="72"/>
      <c r="C3879" s="73"/>
      <c r="D3879" s="74"/>
      <c r="G3879" s="75"/>
    </row>
    <row r="3880" spans="2:7" x14ac:dyDescent="0.3">
      <c r="B3880" s="72"/>
      <c r="C3880" s="73"/>
      <c r="D3880" s="74"/>
      <c r="G3880" s="75"/>
    </row>
    <row r="3881" spans="2:7" x14ac:dyDescent="0.3">
      <c r="B3881" s="72"/>
      <c r="C3881" s="73"/>
      <c r="D3881" s="74"/>
      <c r="G3881" s="75"/>
    </row>
    <row r="3882" spans="2:7" x14ac:dyDescent="0.3">
      <c r="B3882" s="72"/>
      <c r="C3882" s="73"/>
      <c r="D3882" s="74"/>
      <c r="G3882" s="75"/>
    </row>
    <row r="3883" spans="2:7" x14ac:dyDescent="0.3">
      <c r="B3883" s="72"/>
      <c r="C3883" s="73"/>
      <c r="D3883" s="74"/>
      <c r="G3883" s="75"/>
    </row>
    <row r="3884" spans="2:7" x14ac:dyDescent="0.3">
      <c r="B3884" s="72"/>
      <c r="C3884" s="73"/>
      <c r="D3884" s="74"/>
      <c r="G3884" s="75"/>
    </row>
    <row r="3885" spans="2:7" x14ac:dyDescent="0.3">
      <c r="B3885" s="72"/>
      <c r="C3885" s="73"/>
      <c r="D3885" s="74"/>
      <c r="G3885" s="75"/>
    </row>
    <row r="3886" spans="2:7" x14ac:dyDescent="0.3">
      <c r="B3886" s="72"/>
      <c r="C3886" s="73"/>
      <c r="D3886" s="74"/>
      <c r="G3886" s="75"/>
    </row>
    <row r="3887" spans="2:7" x14ac:dyDescent="0.3">
      <c r="B3887" s="72"/>
      <c r="C3887" s="73"/>
      <c r="D3887" s="74"/>
      <c r="G3887" s="75"/>
    </row>
    <row r="3888" spans="2:7" x14ac:dyDescent="0.3">
      <c r="B3888" s="72"/>
      <c r="C3888" s="73"/>
      <c r="D3888" s="74"/>
      <c r="G3888" s="75"/>
    </row>
    <row r="3889" spans="2:7" x14ac:dyDescent="0.3">
      <c r="B3889" s="72"/>
      <c r="C3889" s="73"/>
      <c r="D3889" s="74"/>
      <c r="G3889" s="75"/>
    </row>
    <row r="3890" spans="2:7" x14ac:dyDescent="0.3">
      <c r="B3890" s="72"/>
      <c r="C3890" s="73"/>
      <c r="D3890" s="74"/>
      <c r="G3890" s="75"/>
    </row>
    <row r="3891" spans="2:7" x14ac:dyDescent="0.3">
      <c r="B3891" s="72"/>
      <c r="C3891" s="73"/>
      <c r="D3891" s="74"/>
      <c r="G3891" s="75"/>
    </row>
    <row r="3892" spans="2:7" x14ac:dyDescent="0.3">
      <c r="B3892" s="72"/>
      <c r="C3892" s="73"/>
      <c r="D3892" s="74"/>
      <c r="G3892" s="75"/>
    </row>
    <row r="3893" spans="2:7" x14ac:dyDescent="0.3">
      <c r="B3893" s="72"/>
      <c r="C3893" s="73"/>
      <c r="D3893" s="74"/>
      <c r="G3893" s="75"/>
    </row>
    <row r="3894" spans="2:7" x14ac:dyDescent="0.3">
      <c r="B3894" s="72"/>
      <c r="C3894" s="73"/>
      <c r="D3894" s="74"/>
      <c r="G3894" s="75"/>
    </row>
    <row r="3895" spans="2:7" x14ac:dyDescent="0.3">
      <c r="B3895" s="72"/>
      <c r="C3895" s="73"/>
      <c r="D3895" s="74"/>
      <c r="G3895" s="75"/>
    </row>
    <row r="3896" spans="2:7" x14ac:dyDescent="0.3">
      <c r="B3896" s="72"/>
      <c r="C3896" s="73"/>
      <c r="D3896" s="74"/>
      <c r="G3896" s="75"/>
    </row>
    <row r="3897" spans="2:7" x14ac:dyDescent="0.3">
      <c r="B3897" s="72"/>
      <c r="C3897" s="73"/>
      <c r="D3897" s="74"/>
      <c r="G3897" s="75"/>
    </row>
    <row r="3898" spans="2:7" x14ac:dyDescent="0.3">
      <c r="B3898" s="72"/>
      <c r="C3898" s="73"/>
      <c r="D3898" s="74"/>
      <c r="G3898" s="75"/>
    </row>
    <row r="3899" spans="2:7" x14ac:dyDescent="0.3">
      <c r="B3899" s="72"/>
      <c r="C3899" s="73"/>
      <c r="D3899" s="74"/>
      <c r="G3899" s="75"/>
    </row>
    <row r="3900" spans="2:7" x14ac:dyDescent="0.3">
      <c r="B3900" s="72"/>
      <c r="C3900" s="73"/>
      <c r="D3900" s="74"/>
      <c r="G3900" s="75"/>
    </row>
    <row r="3901" spans="2:7" x14ac:dyDescent="0.3">
      <c r="B3901" s="72"/>
      <c r="C3901" s="73"/>
      <c r="D3901" s="74"/>
      <c r="G3901" s="75"/>
    </row>
    <row r="3902" spans="2:7" x14ac:dyDescent="0.3">
      <c r="B3902" s="72"/>
      <c r="C3902" s="73"/>
      <c r="D3902" s="74"/>
      <c r="G3902" s="75"/>
    </row>
    <row r="3903" spans="2:7" x14ac:dyDescent="0.3">
      <c r="B3903" s="72"/>
      <c r="C3903" s="73"/>
      <c r="D3903" s="74"/>
      <c r="G3903" s="75"/>
    </row>
    <row r="3904" spans="2:7" x14ac:dyDescent="0.3">
      <c r="B3904" s="72"/>
      <c r="C3904" s="73"/>
      <c r="D3904" s="74"/>
      <c r="G3904" s="75"/>
    </row>
    <row r="3905" spans="2:7" x14ac:dyDescent="0.3">
      <c r="B3905" s="72"/>
      <c r="C3905" s="73"/>
      <c r="D3905" s="74"/>
      <c r="G3905" s="75"/>
    </row>
    <row r="3906" spans="2:7" x14ac:dyDescent="0.3">
      <c r="B3906" s="72"/>
      <c r="C3906" s="73"/>
      <c r="D3906" s="74"/>
      <c r="G3906" s="75"/>
    </row>
    <row r="3907" spans="2:7" x14ac:dyDescent="0.3">
      <c r="B3907" s="72"/>
      <c r="C3907" s="73"/>
      <c r="D3907" s="74"/>
      <c r="G3907" s="75"/>
    </row>
    <row r="3908" spans="2:7" x14ac:dyDescent="0.3">
      <c r="B3908" s="72"/>
      <c r="C3908" s="73"/>
      <c r="D3908" s="74"/>
      <c r="G3908" s="75"/>
    </row>
    <row r="3909" spans="2:7" x14ac:dyDescent="0.3">
      <c r="B3909" s="72"/>
      <c r="C3909" s="73"/>
      <c r="D3909" s="74"/>
      <c r="G3909" s="75"/>
    </row>
    <row r="3910" spans="2:7" x14ac:dyDescent="0.3">
      <c r="B3910" s="72"/>
      <c r="C3910" s="73"/>
      <c r="D3910" s="74"/>
      <c r="G3910" s="75"/>
    </row>
    <row r="3911" spans="2:7" x14ac:dyDescent="0.3">
      <c r="B3911" s="72"/>
      <c r="C3911" s="73"/>
      <c r="D3911" s="74"/>
      <c r="G3911" s="75"/>
    </row>
    <row r="3912" spans="2:7" x14ac:dyDescent="0.3">
      <c r="B3912" s="72"/>
      <c r="C3912" s="73"/>
      <c r="D3912" s="74"/>
      <c r="G3912" s="75"/>
    </row>
    <row r="3913" spans="2:7" x14ac:dyDescent="0.3">
      <c r="B3913" s="72"/>
      <c r="C3913" s="73"/>
      <c r="D3913" s="74"/>
      <c r="G3913" s="75"/>
    </row>
    <row r="3914" spans="2:7" x14ac:dyDescent="0.3">
      <c r="B3914" s="72"/>
      <c r="C3914" s="73"/>
      <c r="D3914" s="74"/>
      <c r="G3914" s="75"/>
    </row>
    <row r="3915" spans="2:7" x14ac:dyDescent="0.3">
      <c r="B3915" s="72"/>
      <c r="C3915" s="73"/>
      <c r="D3915" s="74"/>
      <c r="G3915" s="75"/>
    </row>
    <row r="3916" spans="2:7" x14ac:dyDescent="0.3">
      <c r="B3916" s="72"/>
      <c r="C3916" s="73"/>
      <c r="D3916" s="74"/>
      <c r="G3916" s="75"/>
    </row>
    <row r="3917" spans="2:7" x14ac:dyDescent="0.3">
      <c r="B3917" s="72"/>
      <c r="C3917" s="73"/>
      <c r="D3917" s="74"/>
      <c r="G3917" s="75"/>
    </row>
    <row r="3918" spans="2:7" x14ac:dyDescent="0.3">
      <c r="B3918" s="72"/>
      <c r="C3918" s="73"/>
      <c r="D3918" s="74"/>
      <c r="G3918" s="75"/>
    </row>
    <row r="3919" spans="2:7" x14ac:dyDescent="0.3">
      <c r="B3919" s="72"/>
      <c r="C3919" s="73"/>
      <c r="D3919" s="74"/>
      <c r="G3919" s="75"/>
    </row>
    <row r="3920" spans="2:7" x14ac:dyDescent="0.3">
      <c r="B3920" s="72"/>
      <c r="C3920" s="73"/>
      <c r="D3920" s="74"/>
      <c r="G3920" s="75"/>
    </row>
    <row r="3921" spans="2:7" x14ac:dyDescent="0.3">
      <c r="B3921" s="72"/>
      <c r="C3921" s="73"/>
      <c r="D3921" s="74"/>
      <c r="G3921" s="75"/>
    </row>
    <row r="3922" spans="2:7" x14ac:dyDescent="0.3">
      <c r="B3922" s="72"/>
      <c r="C3922" s="73"/>
      <c r="D3922" s="74"/>
      <c r="G3922" s="75"/>
    </row>
    <row r="3923" spans="2:7" x14ac:dyDescent="0.3">
      <c r="B3923" s="72"/>
      <c r="C3923" s="73"/>
      <c r="D3923" s="74"/>
      <c r="G3923" s="75"/>
    </row>
    <row r="3924" spans="2:7" x14ac:dyDescent="0.3">
      <c r="B3924" s="72"/>
      <c r="C3924" s="73"/>
      <c r="D3924" s="74"/>
      <c r="G3924" s="75"/>
    </row>
    <row r="3925" spans="2:7" x14ac:dyDescent="0.3">
      <c r="B3925" s="72"/>
      <c r="C3925" s="73"/>
      <c r="D3925" s="74"/>
      <c r="G3925" s="75"/>
    </row>
    <row r="3926" spans="2:7" x14ac:dyDescent="0.3">
      <c r="B3926" s="72"/>
      <c r="C3926" s="73"/>
      <c r="D3926" s="74"/>
      <c r="G3926" s="75"/>
    </row>
    <row r="3927" spans="2:7" x14ac:dyDescent="0.3">
      <c r="B3927" s="72"/>
      <c r="C3927" s="73"/>
      <c r="D3927" s="74"/>
      <c r="G3927" s="75"/>
    </row>
    <row r="3928" spans="2:7" x14ac:dyDescent="0.3">
      <c r="B3928" s="72"/>
      <c r="C3928" s="73"/>
      <c r="D3928" s="74"/>
      <c r="G3928" s="75"/>
    </row>
    <row r="3929" spans="2:7" x14ac:dyDescent="0.3">
      <c r="B3929" s="72"/>
      <c r="C3929" s="73"/>
      <c r="D3929" s="74"/>
      <c r="G3929" s="75"/>
    </row>
    <row r="3930" spans="2:7" x14ac:dyDescent="0.3">
      <c r="B3930" s="72"/>
      <c r="C3930" s="73"/>
      <c r="D3930" s="74"/>
      <c r="G3930" s="75"/>
    </row>
    <row r="3931" spans="2:7" x14ac:dyDescent="0.3">
      <c r="B3931" s="72"/>
      <c r="C3931" s="73"/>
      <c r="D3931" s="74"/>
      <c r="G3931" s="75"/>
    </row>
    <row r="3932" spans="2:7" x14ac:dyDescent="0.3">
      <c r="B3932" s="72"/>
      <c r="C3932" s="73"/>
      <c r="D3932" s="74"/>
      <c r="G3932" s="75"/>
    </row>
    <row r="3933" spans="2:7" x14ac:dyDescent="0.3">
      <c r="B3933" s="72"/>
      <c r="C3933" s="73"/>
      <c r="D3933" s="74"/>
      <c r="G3933" s="75"/>
    </row>
    <row r="3934" spans="2:7" x14ac:dyDescent="0.3">
      <c r="B3934" s="72"/>
      <c r="C3934" s="73"/>
      <c r="D3934" s="74"/>
      <c r="G3934" s="75"/>
    </row>
    <row r="3935" spans="2:7" x14ac:dyDescent="0.3">
      <c r="B3935" s="72"/>
      <c r="C3935" s="73"/>
      <c r="D3935" s="74"/>
      <c r="G3935" s="75"/>
    </row>
    <row r="3936" spans="2:7" x14ac:dyDescent="0.3">
      <c r="B3936" s="72"/>
      <c r="C3936" s="73"/>
      <c r="D3936" s="74"/>
      <c r="G3936" s="75"/>
    </row>
    <row r="3937" spans="2:7" x14ac:dyDescent="0.3">
      <c r="B3937" s="72"/>
      <c r="C3937" s="73"/>
      <c r="D3937" s="74"/>
      <c r="G3937" s="75"/>
    </row>
    <row r="3938" spans="2:7" x14ac:dyDescent="0.3">
      <c r="B3938" s="72"/>
      <c r="C3938" s="73"/>
      <c r="D3938" s="74"/>
      <c r="G3938" s="75"/>
    </row>
    <row r="3939" spans="2:7" x14ac:dyDescent="0.3">
      <c r="B3939" s="72"/>
      <c r="C3939" s="73"/>
      <c r="D3939" s="74"/>
      <c r="G3939" s="75"/>
    </row>
    <row r="3940" spans="2:7" x14ac:dyDescent="0.3">
      <c r="B3940" s="72"/>
      <c r="C3940" s="73"/>
      <c r="D3940" s="74"/>
      <c r="G3940" s="75"/>
    </row>
    <row r="3941" spans="2:7" x14ac:dyDescent="0.3">
      <c r="B3941" s="72"/>
      <c r="C3941" s="73"/>
      <c r="D3941" s="74"/>
      <c r="G3941" s="75"/>
    </row>
    <row r="3942" spans="2:7" x14ac:dyDescent="0.3">
      <c r="B3942" s="72"/>
      <c r="C3942" s="73"/>
      <c r="D3942" s="74"/>
      <c r="G3942" s="75"/>
    </row>
    <row r="3943" spans="2:7" x14ac:dyDescent="0.3">
      <c r="B3943" s="72"/>
      <c r="C3943" s="73"/>
      <c r="D3943" s="74"/>
      <c r="G3943" s="75"/>
    </row>
    <row r="3944" spans="2:7" x14ac:dyDescent="0.3">
      <c r="B3944" s="72"/>
      <c r="C3944" s="73"/>
      <c r="D3944" s="74"/>
      <c r="G3944" s="75"/>
    </row>
    <row r="3945" spans="2:7" x14ac:dyDescent="0.3">
      <c r="B3945" s="72"/>
      <c r="C3945" s="73"/>
      <c r="D3945" s="74"/>
      <c r="G3945" s="75"/>
    </row>
    <row r="3946" spans="2:7" x14ac:dyDescent="0.3">
      <c r="B3946" s="72"/>
      <c r="C3946" s="73"/>
      <c r="D3946" s="74"/>
      <c r="G3946" s="75"/>
    </row>
    <row r="3947" spans="2:7" x14ac:dyDescent="0.3">
      <c r="B3947" s="72"/>
      <c r="C3947" s="73"/>
      <c r="D3947" s="74"/>
      <c r="G3947" s="75"/>
    </row>
    <row r="3948" spans="2:7" x14ac:dyDescent="0.3">
      <c r="B3948" s="72"/>
      <c r="C3948" s="73"/>
      <c r="D3948" s="74"/>
      <c r="G3948" s="75"/>
    </row>
    <row r="3949" spans="2:7" x14ac:dyDescent="0.3">
      <c r="B3949" s="72"/>
      <c r="C3949" s="73"/>
      <c r="D3949" s="74"/>
      <c r="G3949" s="75"/>
    </row>
    <row r="3950" spans="2:7" x14ac:dyDescent="0.3">
      <c r="B3950" s="72"/>
      <c r="C3950" s="73"/>
      <c r="D3950" s="74"/>
      <c r="G3950" s="75"/>
    </row>
    <row r="3951" spans="2:7" x14ac:dyDescent="0.3">
      <c r="B3951" s="72"/>
      <c r="C3951" s="73"/>
      <c r="D3951" s="74"/>
      <c r="G3951" s="75"/>
    </row>
    <row r="3952" spans="2:7" x14ac:dyDescent="0.3">
      <c r="B3952" s="72"/>
      <c r="C3952" s="73"/>
      <c r="D3952" s="74"/>
      <c r="G3952" s="75"/>
    </row>
    <row r="3953" spans="2:7" x14ac:dyDescent="0.3">
      <c r="B3953" s="72"/>
      <c r="C3953" s="73"/>
      <c r="D3953" s="74"/>
      <c r="G3953" s="75"/>
    </row>
    <row r="3954" spans="2:7" x14ac:dyDescent="0.3">
      <c r="B3954" s="72"/>
      <c r="C3954" s="73"/>
      <c r="D3954" s="74"/>
      <c r="G3954" s="75"/>
    </row>
    <row r="3955" spans="2:7" x14ac:dyDescent="0.3">
      <c r="B3955" s="72"/>
      <c r="C3955" s="73"/>
      <c r="D3955" s="74"/>
      <c r="G3955" s="75"/>
    </row>
    <row r="3956" spans="2:7" x14ac:dyDescent="0.3">
      <c r="B3956" s="72"/>
      <c r="C3956" s="73"/>
      <c r="D3956" s="74"/>
      <c r="G3956" s="75"/>
    </row>
    <row r="3957" spans="2:7" x14ac:dyDescent="0.3">
      <c r="B3957" s="72"/>
      <c r="C3957" s="73"/>
      <c r="D3957" s="74"/>
      <c r="G3957" s="75"/>
    </row>
    <row r="3958" spans="2:7" x14ac:dyDescent="0.3">
      <c r="B3958" s="72"/>
      <c r="C3958" s="73"/>
      <c r="D3958" s="74"/>
      <c r="G3958" s="75"/>
    </row>
    <row r="3959" spans="2:7" x14ac:dyDescent="0.3">
      <c r="B3959" s="72"/>
      <c r="C3959" s="73"/>
      <c r="D3959" s="74"/>
      <c r="G3959" s="75"/>
    </row>
    <row r="3960" spans="2:7" x14ac:dyDescent="0.3">
      <c r="B3960" s="72"/>
      <c r="C3960" s="73"/>
      <c r="D3960" s="74"/>
      <c r="G3960" s="75"/>
    </row>
    <row r="3961" spans="2:7" x14ac:dyDescent="0.3">
      <c r="B3961" s="72"/>
      <c r="C3961" s="73"/>
      <c r="D3961" s="74"/>
      <c r="G3961" s="75"/>
    </row>
    <row r="3962" spans="2:7" x14ac:dyDescent="0.3">
      <c r="B3962" s="72"/>
      <c r="C3962" s="73"/>
      <c r="D3962" s="74"/>
      <c r="G3962" s="75"/>
    </row>
    <row r="3963" spans="2:7" x14ac:dyDescent="0.3">
      <c r="B3963" s="72"/>
      <c r="C3963" s="73"/>
      <c r="D3963" s="74"/>
      <c r="G3963" s="75"/>
    </row>
    <row r="3964" spans="2:7" x14ac:dyDescent="0.3">
      <c r="B3964" s="72"/>
      <c r="C3964" s="73"/>
      <c r="D3964" s="74"/>
      <c r="G3964" s="75"/>
    </row>
    <row r="3965" spans="2:7" x14ac:dyDescent="0.3">
      <c r="B3965" s="72"/>
      <c r="C3965" s="73"/>
      <c r="D3965" s="74"/>
      <c r="G3965" s="75"/>
    </row>
    <row r="3966" spans="2:7" x14ac:dyDescent="0.3">
      <c r="B3966" s="72"/>
      <c r="C3966" s="73"/>
      <c r="D3966" s="74"/>
      <c r="G3966" s="75"/>
    </row>
    <row r="3967" spans="2:7" x14ac:dyDescent="0.3">
      <c r="B3967" s="72"/>
      <c r="C3967" s="73"/>
      <c r="D3967" s="74"/>
      <c r="G3967" s="75"/>
    </row>
    <row r="3968" spans="2:7" x14ac:dyDescent="0.3">
      <c r="B3968" s="72"/>
      <c r="C3968" s="73"/>
      <c r="D3968" s="74"/>
      <c r="G3968" s="75"/>
    </row>
    <row r="3969" spans="2:7" x14ac:dyDescent="0.3">
      <c r="B3969" s="72"/>
      <c r="C3969" s="73"/>
      <c r="D3969" s="74"/>
      <c r="G3969" s="75"/>
    </row>
    <row r="3970" spans="2:7" x14ac:dyDescent="0.3">
      <c r="B3970" s="72"/>
      <c r="C3970" s="73"/>
      <c r="D3970" s="74"/>
      <c r="G3970" s="75"/>
    </row>
    <row r="3971" spans="2:7" x14ac:dyDescent="0.3">
      <c r="B3971" s="72"/>
      <c r="C3971" s="73"/>
      <c r="D3971" s="74"/>
      <c r="G3971" s="75"/>
    </row>
    <row r="3972" spans="2:7" x14ac:dyDescent="0.3">
      <c r="B3972" s="72"/>
      <c r="C3972" s="73"/>
      <c r="D3972" s="74"/>
      <c r="G3972" s="75"/>
    </row>
    <row r="3973" spans="2:7" x14ac:dyDescent="0.3">
      <c r="B3973" s="72"/>
      <c r="C3973" s="73"/>
      <c r="D3973" s="74"/>
      <c r="G3973" s="75"/>
    </row>
    <row r="3974" spans="2:7" x14ac:dyDescent="0.3">
      <c r="B3974" s="72"/>
      <c r="C3974" s="73"/>
      <c r="D3974" s="74"/>
      <c r="G3974" s="75"/>
    </row>
    <row r="3975" spans="2:7" x14ac:dyDescent="0.3">
      <c r="B3975" s="72"/>
      <c r="C3975" s="73"/>
      <c r="D3975" s="74"/>
      <c r="G3975" s="75"/>
    </row>
    <row r="3976" spans="2:7" x14ac:dyDescent="0.3">
      <c r="B3976" s="72"/>
      <c r="C3976" s="73"/>
      <c r="D3976" s="74"/>
      <c r="G3976" s="75"/>
    </row>
    <row r="3977" spans="2:7" x14ac:dyDescent="0.3">
      <c r="B3977" s="72"/>
      <c r="C3977" s="73"/>
      <c r="D3977" s="74"/>
      <c r="G3977" s="75"/>
    </row>
    <row r="3978" spans="2:7" x14ac:dyDescent="0.3">
      <c r="B3978" s="72"/>
      <c r="C3978" s="73"/>
      <c r="D3978" s="74"/>
      <c r="G3978" s="75"/>
    </row>
    <row r="3979" spans="2:7" x14ac:dyDescent="0.3">
      <c r="B3979" s="72"/>
      <c r="C3979" s="73"/>
      <c r="D3979" s="74"/>
      <c r="G3979" s="75"/>
    </row>
    <row r="3980" spans="2:7" x14ac:dyDescent="0.3">
      <c r="B3980" s="72"/>
      <c r="C3980" s="73"/>
      <c r="D3980" s="74"/>
      <c r="G3980" s="75"/>
    </row>
    <row r="3981" spans="2:7" x14ac:dyDescent="0.3">
      <c r="B3981" s="72"/>
      <c r="C3981" s="73"/>
      <c r="D3981" s="74"/>
      <c r="G3981" s="75"/>
    </row>
    <row r="3982" spans="2:7" x14ac:dyDescent="0.3">
      <c r="B3982" s="72"/>
      <c r="C3982" s="73"/>
      <c r="D3982" s="74"/>
      <c r="G3982" s="75"/>
    </row>
    <row r="3983" spans="2:7" x14ac:dyDescent="0.3">
      <c r="B3983" s="72"/>
      <c r="C3983" s="73"/>
      <c r="D3983" s="74"/>
      <c r="G3983" s="75"/>
    </row>
    <row r="3984" spans="2:7" x14ac:dyDescent="0.3">
      <c r="B3984" s="72"/>
      <c r="C3984" s="73"/>
      <c r="D3984" s="74"/>
      <c r="G3984" s="75"/>
    </row>
    <row r="3985" spans="2:7" x14ac:dyDescent="0.3">
      <c r="B3985" s="72"/>
      <c r="C3985" s="73"/>
      <c r="D3985" s="74"/>
      <c r="G3985" s="75"/>
    </row>
    <row r="3986" spans="2:7" x14ac:dyDescent="0.3">
      <c r="B3986" s="72"/>
      <c r="C3986" s="73"/>
      <c r="D3986" s="74"/>
      <c r="G3986" s="75"/>
    </row>
    <row r="3987" spans="2:7" x14ac:dyDescent="0.3">
      <c r="B3987" s="72"/>
      <c r="C3987" s="73"/>
      <c r="D3987" s="74"/>
      <c r="G3987" s="75"/>
    </row>
    <row r="3988" spans="2:7" x14ac:dyDescent="0.3">
      <c r="B3988" s="72"/>
      <c r="C3988" s="73"/>
      <c r="D3988" s="74"/>
      <c r="G3988" s="75"/>
    </row>
    <row r="3989" spans="2:7" x14ac:dyDescent="0.3">
      <c r="B3989" s="72"/>
      <c r="C3989" s="73"/>
      <c r="D3989" s="74"/>
      <c r="G3989" s="75"/>
    </row>
    <row r="3990" spans="2:7" x14ac:dyDescent="0.3">
      <c r="B3990" s="72"/>
      <c r="C3990" s="73"/>
      <c r="D3990" s="74"/>
      <c r="G3990" s="75"/>
    </row>
    <row r="3991" spans="2:7" x14ac:dyDescent="0.3">
      <c r="B3991" s="72"/>
      <c r="C3991" s="73"/>
      <c r="D3991" s="74"/>
      <c r="G3991" s="75"/>
    </row>
    <row r="3992" spans="2:7" x14ac:dyDescent="0.3">
      <c r="B3992" s="72"/>
      <c r="C3992" s="73"/>
      <c r="D3992" s="74"/>
      <c r="G3992" s="75"/>
    </row>
    <row r="3993" spans="2:7" x14ac:dyDescent="0.3">
      <c r="B3993" s="72"/>
      <c r="C3993" s="73"/>
      <c r="D3993" s="74"/>
      <c r="G3993" s="75"/>
    </row>
    <row r="3994" spans="2:7" x14ac:dyDescent="0.3">
      <c r="B3994" s="72"/>
      <c r="C3994" s="73"/>
      <c r="D3994" s="74"/>
      <c r="G3994" s="75"/>
    </row>
    <row r="3995" spans="2:7" x14ac:dyDescent="0.3">
      <c r="B3995" s="72"/>
      <c r="C3995" s="73"/>
      <c r="D3995" s="74"/>
      <c r="G3995" s="75"/>
    </row>
    <row r="3996" spans="2:7" x14ac:dyDescent="0.3">
      <c r="B3996" s="72"/>
      <c r="C3996" s="73"/>
      <c r="D3996" s="74"/>
      <c r="G3996" s="75"/>
    </row>
    <row r="3997" spans="2:7" x14ac:dyDescent="0.3">
      <c r="B3997" s="72"/>
      <c r="C3997" s="73"/>
      <c r="D3997" s="74"/>
      <c r="G3997" s="75"/>
    </row>
    <row r="3998" spans="2:7" x14ac:dyDescent="0.3">
      <c r="B3998" s="72"/>
      <c r="C3998" s="73"/>
      <c r="D3998" s="74"/>
      <c r="G3998" s="75"/>
    </row>
    <row r="3999" spans="2:7" x14ac:dyDescent="0.3">
      <c r="B3999" s="72"/>
      <c r="C3999" s="73"/>
      <c r="D3999" s="74"/>
      <c r="G3999" s="75"/>
    </row>
    <row r="4000" spans="2:7" x14ac:dyDescent="0.3">
      <c r="B4000" s="72"/>
      <c r="C4000" s="73"/>
      <c r="D4000" s="74"/>
      <c r="G4000" s="75"/>
    </row>
    <row r="4001" spans="2:7" x14ac:dyDescent="0.3">
      <c r="B4001" s="72"/>
      <c r="C4001" s="73"/>
      <c r="D4001" s="74"/>
      <c r="G4001" s="75"/>
    </row>
    <row r="4002" spans="2:7" x14ac:dyDescent="0.3">
      <c r="B4002" s="72"/>
      <c r="C4002" s="73"/>
      <c r="D4002" s="74"/>
      <c r="G4002" s="75"/>
    </row>
    <row r="4003" spans="2:7" x14ac:dyDescent="0.3">
      <c r="B4003" s="72"/>
      <c r="C4003" s="73"/>
      <c r="D4003" s="74"/>
      <c r="G4003" s="75"/>
    </row>
    <row r="4004" spans="2:7" x14ac:dyDescent="0.3">
      <c r="B4004" s="72"/>
      <c r="C4004" s="73"/>
      <c r="D4004" s="74"/>
      <c r="G4004" s="75"/>
    </row>
    <row r="4005" spans="2:7" x14ac:dyDescent="0.3">
      <c r="B4005" s="72"/>
      <c r="C4005" s="73"/>
      <c r="D4005" s="74"/>
      <c r="G4005" s="75"/>
    </row>
    <row r="4006" spans="2:7" x14ac:dyDescent="0.3">
      <c r="B4006" s="72"/>
      <c r="C4006" s="73"/>
      <c r="D4006" s="74"/>
      <c r="G4006" s="75"/>
    </row>
    <row r="4007" spans="2:7" x14ac:dyDescent="0.3">
      <c r="B4007" s="72"/>
      <c r="C4007" s="73"/>
      <c r="D4007" s="74"/>
      <c r="G4007" s="75"/>
    </row>
    <row r="4008" spans="2:7" x14ac:dyDescent="0.3">
      <c r="B4008" s="72"/>
      <c r="C4008" s="73"/>
      <c r="D4008" s="74"/>
      <c r="G4008" s="75"/>
    </row>
    <row r="4009" spans="2:7" x14ac:dyDescent="0.3">
      <c r="B4009" s="72"/>
      <c r="C4009" s="73"/>
      <c r="D4009" s="74"/>
      <c r="G4009" s="75"/>
    </row>
    <row r="4010" spans="2:7" x14ac:dyDescent="0.3">
      <c r="B4010" s="72"/>
      <c r="C4010" s="73"/>
      <c r="D4010" s="74"/>
      <c r="G4010" s="75"/>
    </row>
    <row r="4011" spans="2:7" x14ac:dyDescent="0.3">
      <c r="B4011" s="72"/>
      <c r="C4011" s="73"/>
      <c r="D4011" s="74"/>
      <c r="G4011" s="75"/>
    </row>
    <row r="4012" spans="2:7" x14ac:dyDescent="0.3">
      <c r="B4012" s="72"/>
      <c r="C4012" s="73"/>
      <c r="D4012" s="74"/>
      <c r="G4012" s="75"/>
    </row>
    <row r="4013" spans="2:7" x14ac:dyDescent="0.3">
      <c r="B4013" s="72"/>
      <c r="C4013" s="73"/>
      <c r="D4013" s="74"/>
      <c r="G4013" s="75"/>
    </row>
    <row r="4014" spans="2:7" x14ac:dyDescent="0.3">
      <c r="B4014" s="72"/>
      <c r="C4014" s="73"/>
      <c r="D4014" s="74"/>
      <c r="G4014" s="75"/>
    </row>
    <row r="4015" spans="2:7" x14ac:dyDescent="0.3">
      <c r="B4015" s="72"/>
      <c r="C4015" s="73"/>
      <c r="D4015" s="74"/>
      <c r="G4015" s="75"/>
    </row>
    <row r="4016" spans="2:7" x14ac:dyDescent="0.3">
      <c r="B4016" s="72"/>
      <c r="C4016" s="73"/>
      <c r="D4016" s="74"/>
      <c r="G4016" s="75"/>
    </row>
    <row r="4017" spans="2:7" x14ac:dyDescent="0.3">
      <c r="B4017" s="72"/>
      <c r="C4017" s="73"/>
      <c r="D4017" s="74"/>
      <c r="G4017" s="75"/>
    </row>
    <row r="4018" spans="2:7" x14ac:dyDescent="0.3">
      <c r="B4018" s="72"/>
      <c r="C4018" s="73"/>
      <c r="D4018" s="74"/>
      <c r="G4018" s="75"/>
    </row>
    <row r="4019" spans="2:7" x14ac:dyDescent="0.3">
      <c r="B4019" s="72"/>
      <c r="C4019" s="73"/>
      <c r="D4019" s="74"/>
      <c r="G4019" s="75"/>
    </row>
    <row r="4020" spans="2:7" x14ac:dyDescent="0.3">
      <c r="B4020" s="72"/>
      <c r="C4020" s="73"/>
      <c r="D4020" s="74"/>
      <c r="G4020" s="75"/>
    </row>
    <row r="4021" spans="2:7" x14ac:dyDescent="0.3">
      <c r="B4021" s="72"/>
      <c r="C4021" s="73"/>
      <c r="D4021" s="74"/>
      <c r="G4021" s="75"/>
    </row>
    <row r="4022" spans="2:7" x14ac:dyDescent="0.3">
      <c r="B4022" s="72"/>
      <c r="C4022" s="73"/>
      <c r="D4022" s="74"/>
      <c r="G4022" s="75"/>
    </row>
    <row r="4023" spans="2:7" x14ac:dyDescent="0.3">
      <c r="B4023" s="72"/>
      <c r="C4023" s="73"/>
      <c r="D4023" s="74"/>
      <c r="G4023" s="75"/>
    </row>
    <row r="4024" spans="2:7" x14ac:dyDescent="0.3">
      <c r="B4024" s="72"/>
      <c r="C4024" s="73"/>
      <c r="D4024" s="74"/>
      <c r="G4024" s="75"/>
    </row>
    <row r="4025" spans="2:7" x14ac:dyDescent="0.3">
      <c r="B4025" s="72"/>
      <c r="C4025" s="73"/>
      <c r="D4025" s="74"/>
      <c r="G4025" s="75"/>
    </row>
    <row r="4026" spans="2:7" x14ac:dyDescent="0.3">
      <c r="B4026" s="72"/>
      <c r="C4026" s="73"/>
      <c r="D4026" s="74"/>
      <c r="G4026" s="75"/>
    </row>
    <row r="4027" spans="2:7" x14ac:dyDescent="0.3">
      <c r="B4027" s="72"/>
      <c r="C4027" s="73"/>
      <c r="D4027" s="74"/>
      <c r="G4027" s="75"/>
    </row>
    <row r="4028" spans="2:7" x14ac:dyDescent="0.3">
      <c r="B4028" s="72"/>
      <c r="C4028" s="73"/>
      <c r="D4028" s="74"/>
      <c r="G4028" s="75"/>
    </row>
    <row r="4029" spans="2:7" x14ac:dyDescent="0.3">
      <c r="B4029" s="72"/>
      <c r="C4029" s="73"/>
      <c r="D4029" s="74"/>
      <c r="G4029" s="75"/>
    </row>
    <row r="4030" spans="2:7" x14ac:dyDescent="0.3">
      <c r="B4030" s="72"/>
      <c r="C4030" s="73"/>
      <c r="D4030" s="74"/>
      <c r="G4030" s="75"/>
    </row>
    <row r="4031" spans="2:7" x14ac:dyDescent="0.3">
      <c r="B4031" s="72"/>
      <c r="C4031" s="73"/>
      <c r="D4031" s="74"/>
      <c r="G4031" s="75"/>
    </row>
    <row r="4032" spans="2:7" x14ac:dyDescent="0.3">
      <c r="B4032" s="72"/>
      <c r="C4032" s="73"/>
      <c r="D4032" s="74"/>
      <c r="G4032" s="75"/>
    </row>
    <row r="4033" spans="2:7" x14ac:dyDescent="0.3">
      <c r="B4033" s="72"/>
      <c r="C4033" s="73"/>
      <c r="D4033" s="74"/>
      <c r="G4033" s="75"/>
    </row>
    <row r="4034" spans="2:7" x14ac:dyDescent="0.3">
      <c r="B4034" s="72"/>
      <c r="C4034" s="73"/>
      <c r="D4034" s="74"/>
      <c r="G4034" s="75"/>
    </row>
    <row r="4035" spans="2:7" x14ac:dyDescent="0.3">
      <c r="B4035" s="72"/>
      <c r="C4035" s="73"/>
      <c r="D4035" s="74"/>
      <c r="G4035" s="75"/>
    </row>
    <row r="4036" spans="2:7" x14ac:dyDescent="0.3">
      <c r="B4036" s="72"/>
      <c r="C4036" s="73"/>
      <c r="D4036" s="74"/>
      <c r="G4036" s="75"/>
    </row>
    <row r="4037" spans="2:7" x14ac:dyDescent="0.3">
      <c r="B4037" s="72"/>
      <c r="C4037" s="73"/>
      <c r="D4037" s="74"/>
      <c r="G4037" s="75"/>
    </row>
    <row r="4038" spans="2:7" x14ac:dyDescent="0.3">
      <c r="B4038" s="72"/>
      <c r="C4038" s="73"/>
      <c r="D4038" s="74"/>
      <c r="G4038" s="75"/>
    </row>
    <row r="4039" spans="2:7" x14ac:dyDescent="0.3">
      <c r="B4039" s="72"/>
      <c r="C4039" s="73"/>
      <c r="D4039" s="74"/>
      <c r="G4039" s="75"/>
    </row>
    <row r="4040" spans="2:7" x14ac:dyDescent="0.3">
      <c r="B4040" s="72"/>
      <c r="C4040" s="73"/>
      <c r="D4040" s="74"/>
      <c r="G4040" s="75"/>
    </row>
    <row r="4041" spans="2:7" x14ac:dyDescent="0.3">
      <c r="B4041" s="72"/>
      <c r="C4041" s="73"/>
      <c r="D4041" s="74"/>
      <c r="G4041" s="75"/>
    </row>
    <row r="4042" spans="2:7" x14ac:dyDescent="0.3">
      <c r="B4042" s="72"/>
      <c r="C4042" s="73"/>
      <c r="D4042" s="74"/>
      <c r="G4042" s="75"/>
    </row>
    <row r="4043" spans="2:7" x14ac:dyDescent="0.3">
      <c r="B4043" s="72"/>
      <c r="C4043" s="73"/>
      <c r="D4043" s="74"/>
      <c r="G4043" s="75"/>
    </row>
    <row r="4044" spans="2:7" x14ac:dyDescent="0.3">
      <c r="B4044" s="72"/>
      <c r="C4044" s="73"/>
      <c r="D4044" s="74"/>
      <c r="G4044" s="75"/>
    </row>
    <row r="4045" spans="2:7" x14ac:dyDescent="0.3">
      <c r="B4045" s="72"/>
      <c r="C4045" s="73"/>
      <c r="D4045" s="74"/>
      <c r="G4045" s="75"/>
    </row>
    <row r="4046" spans="2:7" x14ac:dyDescent="0.3">
      <c r="B4046" s="72"/>
      <c r="C4046" s="73"/>
      <c r="D4046" s="74"/>
      <c r="G4046" s="75"/>
    </row>
    <row r="4047" spans="2:7" x14ac:dyDescent="0.3">
      <c r="B4047" s="72"/>
      <c r="C4047" s="73"/>
      <c r="D4047" s="74"/>
      <c r="G4047" s="75"/>
    </row>
    <row r="4048" spans="2:7" x14ac:dyDescent="0.3">
      <c r="B4048" s="72"/>
      <c r="C4048" s="73"/>
      <c r="D4048" s="74"/>
      <c r="G4048" s="75"/>
    </row>
    <row r="4049" spans="2:7" x14ac:dyDescent="0.3">
      <c r="B4049" s="72"/>
      <c r="C4049" s="73"/>
      <c r="D4049" s="74"/>
      <c r="G4049" s="75"/>
    </row>
    <row r="4050" spans="2:7" x14ac:dyDescent="0.3">
      <c r="B4050" s="72"/>
      <c r="C4050" s="73"/>
      <c r="D4050" s="74"/>
      <c r="G4050" s="75"/>
    </row>
    <row r="4051" spans="2:7" x14ac:dyDescent="0.3">
      <c r="B4051" s="72"/>
      <c r="C4051" s="73"/>
      <c r="D4051" s="74"/>
      <c r="G4051" s="75"/>
    </row>
    <row r="4052" spans="2:7" x14ac:dyDescent="0.3">
      <c r="B4052" s="72"/>
      <c r="C4052" s="73"/>
      <c r="D4052" s="74"/>
      <c r="G4052" s="75"/>
    </row>
    <row r="4053" spans="2:7" x14ac:dyDescent="0.3">
      <c r="B4053" s="72"/>
      <c r="C4053" s="73"/>
      <c r="D4053" s="74"/>
      <c r="G4053" s="75"/>
    </row>
    <row r="4054" spans="2:7" x14ac:dyDescent="0.3">
      <c r="B4054" s="72"/>
      <c r="C4054" s="73"/>
      <c r="D4054" s="74"/>
      <c r="G4054" s="75"/>
    </row>
    <row r="4055" spans="2:7" x14ac:dyDescent="0.3">
      <c r="B4055" s="72"/>
      <c r="C4055" s="73"/>
      <c r="D4055" s="74"/>
      <c r="G4055" s="75"/>
    </row>
    <row r="4056" spans="2:7" x14ac:dyDescent="0.3">
      <c r="B4056" s="72"/>
      <c r="C4056" s="73"/>
      <c r="D4056" s="74"/>
      <c r="G4056" s="75"/>
    </row>
    <row r="4057" spans="2:7" x14ac:dyDescent="0.3">
      <c r="B4057" s="72"/>
      <c r="C4057" s="73"/>
      <c r="D4057" s="74"/>
      <c r="G4057" s="75"/>
    </row>
    <row r="4058" spans="2:7" x14ac:dyDescent="0.3">
      <c r="B4058" s="72"/>
      <c r="C4058" s="73"/>
      <c r="D4058" s="74"/>
      <c r="G4058" s="75"/>
    </row>
    <row r="4059" spans="2:7" x14ac:dyDescent="0.3">
      <c r="B4059" s="72"/>
      <c r="C4059" s="73"/>
      <c r="D4059" s="74"/>
      <c r="G4059" s="75"/>
    </row>
    <row r="4060" spans="2:7" x14ac:dyDescent="0.3">
      <c r="B4060" s="72"/>
      <c r="C4060" s="73"/>
      <c r="D4060" s="74"/>
      <c r="G4060" s="75"/>
    </row>
    <row r="4061" spans="2:7" x14ac:dyDescent="0.3">
      <c r="B4061" s="72"/>
      <c r="C4061" s="73"/>
      <c r="D4061" s="74"/>
      <c r="G4061" s="75"/>
    </row>
    <row r="4062" spans="2:7" x14ac:dyDescent="0.3">
      <c r="B4062" s="72"/>
      <c r="C4062" s="73"/>
      <c r="D4062" s="74"/>
      <c r="G4062" s="75"/>
    </row>
    <row r="4063" spans="2:7" x14ac:dyDescent="0.3">
      <c r="B4063" s="72"/>
      <c r="C4063" s="73"/>
      <c r="D4063" s="74"/>
      <c r="G4063" s="75"/>
    </row>
    <row r="4064" spans="2:7" x14ac:dyDescent="0.3">
      <c r="B4064" s="72"/>
      <c r="C4064" s="73"/>
      <c r="D4064" s="74"/>
      <c r="G4064" s="75"/>
    </row>
    <row r="4065" spans="2:7" x14ac:dyDescent="0.3">
      <c r="B4065" s="72"/>
      <c r="C4065" s="73"/>
      <c r="D4065" s="74"/>
      <c r="G4065" s="75"/>
    </row>
    <row r="4066" spans="2:7" x14ac:dyDescent="0.3">
      <c r="B4066" s="72"/>
      <c r="C4066" s="73"/>
      <c r="D4066" s="74"/>
      <c r="G4066" s="75"/>
    </row>
    <row r="4067" spans="2:7" x14ac:dyDescent="0.3">
      <c r="B4067" s="72"/>
      <c r="C4067" s="73"/>
      <c r="D4067" s="74"/>
      <c r="G4067" s="75"/>
    </row>
    <row r="4068" spans="2:7" x14ac:dyDescent="0.3">
      <c r="B4068" s="72"/>
      <c r="C4068" s="73"/>
      <c r="D4068" s="74"/>
      <c r="G4068" s="75"/>
    </row>
    <row r="4069" spans="2:7" x14ac:dyDescent="0.3">
      <c r="B4069" s="72"/>
      <c r="C4069" s="73"/>
      <c r="D4069" s="74"/>
      <c r="G4069" s="75"/>
    </row>
    <row r="4070" spans="2:7" x14ac:dyDescent="0.3">
      <c r="B4070" s="72"/>
      <c r="C4070" s="73"/>
      <c r="D4070" s="74"/>
      <c r="G4070" s="75"/>
    </row>
    <row r="4071" spans="2:7" x14ac:dyDescent="0.3">
      <c r="B4071" s="72"/>
      <c r="C4071" s="73"/>
      <c r="D4071" s="74"/>
      <c r="G4071" s="75"/>
    </row>
    <row r="4072" spans="2:7" x14ac:dyDescent="0.3">
      <c r="B4072" s="72"/>
      <c r="C4072" s="73"/>
      <c r="D4072" s="74"/>
      <c r="G4072" s="75"/>
    </row>
    <row r="4073" spans="2:7" x14ac:dyDescent="0.3">
      <c r="B4073" s="72"/>
      <c r="C4073" s="73"/>
      <c r="D4073" s="74"/>
      <c r="G4073" s="75"/>
    </row>
    <row r="4074" spans="2:7" x14ac:dyDescent="0.3">
      <c r="B4074" s="72"/>
      <c r="C4074" s="73"/>
      <c r="D4074" s="74"/>
      <c r="G4074" s="75"/>
    </row>
    <row r="4075" spans="2:7" x14ac:dyDescent="0.3">
      <c r="B4075" s="72"/>
      <c r="C4075" s="73"/>
      <c r="D4075" s="74"/>
      <c r="G4075" s="75"/>
    </row>
    <row r="4076" spans="2:7" x14ac:dyDescent="0.3">
      <c r="B4076" s="72"/>
      <c r="C4076" s="73"/>
      <c r="D4076" s="74"/>
      <c r="G4076" s="75"/>
    </row>
    <row r="4077" spans="2:7" x14ac:dyDescent="0.3">
      <c r="B4077" s="72"/>
      <c r="C4077" s="73"/>
      <c r="D4077" s="74"/>
      <c r="G4077" s="75"/>
    </row>
    <row r="4078" spans="2:7" x14ac:dyDescent="0.3">
      <c r="B4078" s="72"/>
      <c r="C4078" s="73"/>
      <c r="D4078" s="74"/>
      <c r="G4078" s="75"/>
    </row>
    <row r="4079" spans="2:7" x14ac:dyDescent="0.3">
      <c r="B4079" s="72"/>
      <c r="C4079" s="73"/>
      <c r="D4079" s="74"/>
      <c r="G4079" s="75"/>
    </row>
    <row r="4080" spans="2:7" x14ac:dyDescent="0.3">
      <c r="B4080" s="72"/>
      <c r="C4080" s="73"/>
      <c r="D4080" s="74"/>
      <c r="G4080" s="75"/>
    </row>
    <row r="4081" spans="2:7" x14ac:dyDescent="0.3">
      <c r="B4081" s="72"/>
      <c r="C4081" s="73"/>
      <c r="D4081" s="74"/>
      <c r="G4081" s="75"/>
    </row>
    <row r="4082" spans="2:7" x14ac:dyDescent="0.3">
      <c r="B4082" s="72"/>
      <c r="C4082" s="73"/>
      <c r="D4082" s="74"/>
      <c r="G4082" s="75"/>
    </row>
    <row r="4083" spans="2:7" x14ac:dyDescent="0.3">
      <c r="B4083" s="72"/>
      <c r="C4083" s="73"/>
      <c r="D4083" s="74"/>
      <c r="G4083" s="75"/>
    </row>
    <row r="4084" spans="2:7" x14ac:dyDescent="0.3">
      <c r="B4084" s="72"/>
      <c r="C4084" s="73"/>
      <c r="D4084" s="74"/>
      <c r="G4084" s="75"/>
    </row>
    <row r="4085" spans="2:7" x14ac:dyDescent="0.3">
      <c r="B4085" s="72"/>
      <c r="C4085" s="73"/>
      <c r="D4085" s="74"/>
      <c r="G4085" s="75"/>
    </row>
    <row r="4086" spans="2:7" x14ac:dyDescent="0.3">
      <c r="B4086" s="72"/>
      <c r="C4086" s="73"/>
      <c r="D4086" s="74"/>
      <c r="G4086" s="75"/>
    </row>
    <row r="4087" spans="2:7" x14ac:dyDescent="0.3">
      <c r="B4087" s="72"/>
      <c r="C4087" s="73"/>
      <c r="D4087" s="74"/>
      <c r="G4087" s="75"/>
    </row>
    <row r="4088" spans="2:7" x14ac:dyDescent="0.3">
      <c r="B4088" s="72"/>
      <c r="C4088" s="73"/>
      <c r="D4088" s="74"/>
      <c r="G4088" s="75"/>
    </row>
    <row r="4089" spans="2:7" x14ac:dyDescent="0.3">
      <c r="B4089" s="72"/>
      <c r="C4089" s="73"/>
      <c r="D4089" s="74"/>
      <c r="G4089" s="75"/>
    </row>
    <row r="4090" spans="2:7" x14ac:dyDescent="0.3">
      <c r="B4090" s="72"/>
      <c r="C4090" s="73"/>
      <c r="D4090" s="74"/>
      <c r="G4090" s="75"/>
    </row>
    <row r="4091" spans="2:7" x14ac:dyDescent="0.3">
      <c r="B4091" s="72"/>
      <c r="C4091" s="73"/>
      <c r="D4091" s="74"/>
      <c r="G4091" s="75"/>
    </row>
    <row r="4092" spans="2:7" x14ac:dyDescent="0.3">
      <c r="B4092" s="72"/>
      <c r="C4092" s="73"/>
      <c r="D4092" s="74"/>
      <c r="G4092" s="75"/>
    </row>
    <row r="4093" spans="2:7" x14ac:dyDescent="0.3">
      <c r="B4093" s="72"/>
      <c r="C4093" s="73"/>
      <c r="D4093" s="74"/>
      <c r="G4093" s="75"/>
    </row>
    <row r="4094" spans="2:7" x14ac:dyDescent="0.3">
      <c r="B4094" s="72"/>
      <c r="C4094" s="73"/>
      <c r="D4094" s="74"/>
      <c r="G4094" s="75"/>
    </row>
    <row r="4095" spans="2:7" x14ac:dyDescent="0.3">
      <c r="B4095" s="72"/>
      <c r="C4095" s="73"/>
      <c r="D4095" s="74"/>
      <c r="G4095" s="75"/>
    </row>
    <row r="4096" spans="2:7" x14ac:dyDescent="0.3">
      <c r="B4096" s="72"/>
      <c r="C4096" s="73"/>
      <c r="D4096" s="74"/>
      <c r="G4096" s="75"/>
    </row>
    <row r="4097" spans="2:7" x14ac:dyDescent="0.3">
      <c r="B4097" s="72"/>
      <c r="C4097" s="73"/>
      <c r="D4097" s="74"/>
      <c r="G4097" s="75"/>
    </row>
    <row r="4098" spans="2:7" x14ac:dyDescent="0.3">
      <c r="B4098" s="72"/>
      <c r="C4098" s="73"/>
      <c r="D4098" s="74"/>
      <c r="G4098" s="75"/>
    </row>
    <row r="4099" spans="2:7" x14ac:dyDescent="0.3">
      <c r="B4099" s="72"/>
      <c r="C4099" s="73"/>
      <c r="D4099" s="74"/>
      <c r="G4099" s="75"/>
    </row>
    <row r="4100" spans="2:7" x14ac:dyDescent="0.3">
      <c r="B4100" s="72"/>
      <c r="C4100" s="73"/>
      <c r="D4100" s="74"/>
      <c r="G4100" s="75"/>
    </row>
    <row r="4101" spans="2:7" x14ac:dyDescent="0.3">
      <c r="B4101" s="72"/>
      <c r="C4101" s="73"/>
      <c r="D4101" s="74"/>
      <c r="G4101" s="75"/>
    </row>
    <row r="4102" spans="2:7" x14ac:dyDescent="0.3">
      <c r="B4102" s="72"/>
      <c r="C4102" s="73"/>
      <c r="D4102" s="74"/>
      <c r="G4102" s="75"/>
    </row>
    <row r="4103" spans="2:7" x14ac:dyDescent="0.3">
      <c r="B4103" s="72"/>
      <c r="C4103" s="73"/>
      <c r="D4103" s="74"/>
      <c r="G4103" s="75"/>
    </row>
    <row r="4104" spans="2:7" x14ac:dyDescent="0.3">
      <c r="B4104" s="72"/>
      <c r="C4104" s="73"/>
      <c r="D4104" s="74"/>
      <c r="G4104" s="75"/>
    </row>
    <row r="4105" spans="2:7" x14ac:dyDescent="0.3">
      <c r="B4105" s="72"/>
      <c r="C4105" s="73"/>
      <c r="D4105" s="74"/>
      <c r="G4105" s="75"/>
    </row>
    <row r="4106" spans="2:7" x14ac:dyDescent="0.3">
      <c r="B4106" s="72"/>
      <c r="C4106" s="73"/>
      <c r="D4106" s="74"/>
      <c r="G4106" s="75"/>
    </row>
    <row r="4107" spans="2:7" x14ac:dyDescent="0.3">
      <c r="B4107" s="72"/>
      <c r="C4107" s="73"/>
      <c r="D4107" s="74"/>
      <c r="G4107" s="75"/>
    </row>
    <row r="4108" spans="2:7" x14ac:dyDescent="0.3">
      <c r="B4108" s="72"/>
      <c r="C4108" s="73"/>
      <c r="D4108" s="74"/>
      <c r="G4108" s="75"/>
    </row>
    <row r="4109" spans="2:7" x14ac:dyDescent="0.3">
      <c r="B4109" s="72"/>
      <c r="C4109" s="73"/>
      <c r="D4109" s="74"/>
      <c r="G4109" s="75"/>
    </row>
    <row r="4110" spans="2:7" x14ac:dyDescent="0.3">
      <c r="B4110" s="72"/>
      <c r="C4110" s="73"/>
      <c r="D4110" s="74"/>
      <c r="G4110" s="75"/>
    </row>
    <row r="4111" spans="2:7" x14ac:dyDescent="0.3">
      <c r="B4111" s="72"/>
      <c r="C4111" s="73"/>
      <c r="D4111" s="74"/>
      <c r="G4111" s="75"/>
    </row>
    <row r="4112" spans="2:7" x14ac:dyDescent="0.3">
      <c r="B4112" s="72"/>
      <c r="C4112" s="73"/>
      <c r="D4112" s="74"/>
      <c r="G4112" s="75"/>
    </row>
    <row r="4113" spans="2:7" x14ac:dyDescent="0.3">
      <c r="B4113" s="72"/>
      <c r="C4113" s="73"/>
      <c r="D4113" s="74"/>
      <c r="G4113" s="75"/>
    </row>
    <row r="4114" spans="2:7" x14ac:dyDescent="0.3">
      <c r="B4114" s="72"/>
      <c r="C4114" s="73"/>
      <c r="D4114" s="74"/>
      <c r="G4114" s="75"/>
    </row>
    <row r="4115" spans="2:7" x14ac:dyDescent="0.3">
      <c r="B4115" s="72"/>
      <c r="C4115" s="73"/>
      <c r="D4115" s="74"/>
      <c r="G4115" s="75"/>
    </row>
    <row r="4116" spans="2:7" x14ac:dyDescent="0.3">
      <c r="B4116" s="72"/>
      <c r="C4116" s="73"/>
      <c r="D4116" s="74"/>
      <c r="G4116" s="75"/>
    </row>
    <row r="4117" spans="2:7" x14ac:dyDescent="0.3">
      <c r="B4117" s="72"/>
      <c r="C4117" s="73"/>
      <c r="D4117" s="74"/>
      <c r="G4117" s="75"/>
    </row>
    <row r="4118" spans="2:7" x14ac:dyDescent="0.3">
      <c r="B4118" s="72"/>
      <c r="C4118" s="73"/>
      <c r="D4118" s="74"/>
      <c r="G4118" s="75"/>
    </row>
    <row r="4119" spans="2:7" x14ac:dyDescent="0.3">
      <c r="B4119" s="72"/>
      <c r="C4119" s="73"/>
      <c r="D4119" s="74"/>
      <c r="G4119" s="75"/>
    </row>
    <row r="4120" spans="2:7" x14ac:dyDescent="0.3">
      <c r="B4120" s="72"/>
      <c r="C4120" s="73"/>
      <c r="D4120" s="74"/>
      <c r="G4120" s="75"/>
    </row>
    <row r="4121" spans="2:7" x14ac:dyDescent="0.3">
      <c r="B4121" s="72"/>
      <c r="C4121" s="73"/>
      <c r="D4121" s="74"/>
      <c r="G4121" s="75"/>
    </row>
    <row r="4122" spans="2:7" x14ac:dyDescent="0.3">
      <c r="B4122" s="72"/>
      <c r="C4122" s="73"/>
      <c r="D4122" s="74"/>
      <c r="G4122" s="75"/>
    </row>
    <row r="4123" spans="2:7" x14ac:dyDescent="0.3">
      <c r="B4123" s="72"/>
      <c r="C4123" s="73"/>
      <c r="D4123" s="74"/>
      <c r="G4123" s="75"/>
    </row>
    <row r="4124" spans="2:7" x14ac:dyDescent="0.3">
      <c r="B4124" s="72"/>
      <c r="C4124" s="73"/>
      <c r="D4124" s="74"/>
      <c r="G4124" s="75"/>
    </row>
    <row r="4125" spans="2:7" x14ac:dyDescent="0.3">
      <c r="B4125" s="72"/>
      <c r="C4125" s="73"/>
      <c r="D4125" s="74"/>
      <c r="G4125" s="75"/>
    </row>
    <row r="4126" spans="2:7" x14ac:dyDescent="0.3">
      <c r="B4126" s="72"/>
      <c r="C4126" s="73"/>
      <c r="D4126" s="74"/>
      <c r="G4126" s="75"/>
    </row>
    <row r="4127" spans="2:7" x14ac:dyDescent="0.3">
      <c r="B4127" s="72"/>
      <c r="C4127" s="73"/>
      <c r="D4127" s="74"/>
      <c r="G4127" s="75"/>
    </row>
    <row r="4128" spans="2:7" x14ac:dyDescent="0.3">
      <c r="B4128" s="72"/>
      <c r="C4128" s="73"/>
      <c r="D4128" s="74"/>
      <c r="G4128" s="75"/>
    </row>
    <row r="4129" spans="2:7" x14ac:dyDescent="0.3">
      <c r="B4129" s="72"/>
      <c r="C4129" s="73"/>
      <c r="D4129" s="74"/>
      <c r="G4129" s="75"/>
    </row>
    <row r="4130" spans="2:7" x14ac:dyDescent="0.3">
      <c r="B4130" s="72"/>
      <c r="C4130" s="73"/>
      <c r="D4130" s="74"/>
      <c r="G4130" s="75"/>
    </row>
    <row r="4131" spans="2:7" x14ac:dyDescent="0.3">
      <c r="B4131" s="72"/>
      <c r="C4131" s="73"/>
      <c r="D4131" s="74"/>
      <c r="G4131" s="75"/>
    </row>
    <row r="4132" spans="2:7" x14ac:dyDescent="0.3">
      <c r="B4132" s="72"/>
      <c r="C4132" s="73"/>
      <c r="D4132" s="74"/>
      <c r="G4132" s="75"/>
    </row>
    <row r="4133" spans="2:7" x14ac:dyDescent="0.3">
      <c r="B4133" s="72"/>
      <c r="C4133" s="73"/>
      <c r="D4133" s="74"/>
      <c r="G4133" s="75"/>
    </row>
    <row r="4134" spans="2:7" x14ac:dyDescent="0.3">
      <c r="B4134" s="72"/>
      <c r="C4134" s="73"/>
      <c r="D4134" s="74"/>
      <c r="G4134" s="75"/>
    </row>
    <row r="4135" spans="2:7" x14ac:dyDescent="0.3">
      <c r="B4135" s="72"/>
      <c r="C4135" s="73"/>
      <c r="D4135" s="74"/>
      <c r="G4135" s="75"/>
    </row>
    <row r="4136" spans="2:7" x14ac:dyDescent="0.3">
      <c r="B4136" s="72"/>
      <c r="C4136" s="73"/>
      <c r="D4136" s="74"/>
      <c r="G4136" s="75"/>
    </row>
    <row r="4137" spans="2:7" x14ac:dyDescent="0.3">
      <c r="B4137" s="72"/>
      <c r="C4137" s="73"/>
      <c r="D4137" s="74"/>
      <c r="G4137" s="75"/>
    </row>
    <row r="4138" spans="2:7" x14ac:dyDescent="0.3">
      <c r="B4138" s="72"/>
      <c r="C4138" s="73"/>
      <c r="D4138" s="74"/>
      <c r="G4138" s="75"/>
    </row>
    <row r="4139" spans="2:7" x14ac:dyDescent="0.3">
      <c r="B4139" s="72"/>
      <c r="C4139" s="73"/>
      <c r="D4139" s="74"/>
      <c r="G4139" s="75"/>
    </row>
    <row r="4140" spans="2:7" x14ac:dyDescent="0.3">
      <c r="B4140" s="72"/>
      <c r="C4140" s="73"/>
      <c r="D4140" s="74"/>
      <c r="G4140" s="75"/>
    </row>
    <row r="4141" spans="2:7" x14ac:dyDescent="0.3">
      <c r="B4141" s="72"/>
      <c r="C4141" s="73"/>
      <c r="D4141" s="74"/>
      <c r="G4141" s="75"/>
    </row>
    <row r="4142" spans="2:7" x14ac:dyDescent="0.3">
      <c r="B4142" s="72"/>
      <c r="C4142" s="73"/>
      <c r="D4142" s="74"/>
      <c r="G4142" s="75"/>
    </row>
    <row r="4143" spans="2:7" x14ac:dyDescent="0.3">
      <c r="B4143" s="72"/>
      <c r="C4143" s="73"/>
      <c r="D4143" s="74"/>
      <c r="G4143" s="75"/>
    </row>
    <row r="4144" spans="2:7" x14ac:dyDescent="0.3">
      <c r="B4144" s="72"/>
      <c r="C4144" s="73"/>
      <c r="D4144" s="74"/>
      <c r="G4144" s="75"/>
    </row>
    <row r="4145" spans="2:7" x14ac:dyDescent="0.3">
      <c r="B4145" s="72"/>
      <c r="C4145" s="73"/>
      <c r="D4145" s="74"/>
      <c r="G4145" s="75"/>
    </row>
    <row r="4146" spans="2:7" x14ac:dyDescent="0.3">
      <c r="B4146" s="72"/>
      <c r="C4146" s="73"/>
      <c r="D4146" s="74"/>
      <c r="G4146" s="75"/>
    </row>
    <row r="4147" spans="2:7" x14ac:dyDescent="0.3">
      <c r="B4147" s="72"/>
      <c r="C4147" s="73"/>
      <c r="D4147" s="74"/>
      <c r="G4147" s="75"/>
    </row>
    <row r="4148" spans="2:7" x14ac:dyDescent="0.3">
      <c r="B4148" s="72"/>
      <c r="C4148" s="73"/>
      <c r="D4148" s="74"/>
      <c r="G4148" s="75"/>
    </row>
    <row r="4149" spans="2:7" x14ac:dyDescent="0.3">
      <c r="B4149" s="72"/>
      <c r="C4149" s="73"/>
      <c r="D4149" s="74"/>
      <c r="G4149" s="75"/>
    </row>
    <row r="4150" spans="2:7" x14ac:dyDescent="0.3">
      <c r="B4150" s="72"/>
      <c r="C4150" s="73"/>
      <c r="D4150" s="74"/>
      <c r="G4150" s="75"/>
    </row>
    <row r="4151" spans="2:7" x14ac:dyDescent="0.3">
      <c r="B4151" s="72"/>
      <c r="C4151" s="73"/>
      <c r="D4151" s="74"/>
      <c r="G4151" s="75"/>
    </row>
    <row r="4152" spans="2:7" x14ac:dyDescent="0.3">
      <c r="B4152" s="72"/>
      <c r="C4152" s="73"/>
      <c r="D4152" s="74"/>
      <c r="G4152" s="75"/>
    </row>
    <row r="4153" spans="2:7" x14ac:dyDescent="0.3">
      <c r="B4153" s="72"/>
      <c r="C4153" s="73"/>
      <c r="D4153" s="74"/>
      <c r="G4153" s="75"/>
    </row>
    <row r="4154" spans="2:7" x14ac:dyDescent="0.3">
      <c r="B4154" s="72"/>
      <c r="C4154" s="73"/>
      <c r="D4154" s="74"/>
      <c r="G4154" s="75"/>
    </row>
    <row r="4155" spans="2:7" x14ac:dyDescent="0.3">
      <c r="B4155" s="72"/>
      <c r="C4155" s="73"/>
      <c r="D4155" s="74"/>
      <c r="G4155" s="75"/>
    </row>
    <row r="4156" spans="2:7" x14ac:dyDescent="0.3">
      <c r="B4156" s="72"/>
      <c r="C4156" s="73"/>
      <c r="D4156" s="74"/>
      <c r="G4156" s="75"/>
    </row>
    <row r="4157" spans="2:7" x14ac:dyDescent="0.3">
      <c r="B4157" s="72"/>
      <c r="C4157" s="73"/>
      <c r="D4157" s="74"/>
      <c r="G4157" s="75"/>
    </row>
    <row r="4158" spans="2:7" x14ac:dyDescent="0.3">
      <c r="B4158" s="72"/>
      <c r="C4158" s="73"/>
      <c r="D4158" s="74"/>
      <c r="G4158" s="75"/>
    </row>
    <row r="4159" spans="2:7" x14ac:dyDescent="0.3">
      <c r="B4159" s="72"/>
      <c r="C4159" s="73"/>
      <c r="D4159" s="74"/>
      <c r="G4159" s="75"/>
    </row>
    <row r="4160" spans="2:7" x14ac:dyDescent="0.3">
      <c r="B4160" s="72"/>
      <c r="C4160" s="73"/>
      <c r="D4160" s="74"/>
      <c r="G4160" s="75"/>
    </row>
    <row r="4161" spans="2:7" x14ac:dyDescent="0.3">
      <c r="B4161" s="72"/>
      <c r="C4161" s="73"/>
      <c r="D4161" s="74"/>
      <c r="G4161" s="75"/>
    </row>
    <row r="4162" spans="2:7" x14ac:dyDescent="0.3">
      <c r="B4162" s="72"/>
      <c r="C4162" s="73"/>
      <c r="D4162" s="74"/>
      <c r="G4162" s="75"/>
    </row>
    <row r="4163" spans="2:7" x14ac:dyDescent="0.3">
      <c r="B4163" s="72"/>
      <c r="C4163" s="73"/>
      <c r="D4163" s="74"/>
      <c r="G4163" s="75"/>
    </row>
    <row r="4164" spans="2:7" x14ac:dyDescent="0.3">
      <c r="B4164" s="72"/>
      <c r="C4164" s="73"/>
      <c r="D4164" s="74"/>
      <c r="G4164" s="75"/>
    </row>
    <row r="4165" spans="2:7" x14ac:dyDescent="0.3">
      <c r="B4165" s="72"/>
      <c r="C4165" s="73"/>
      <c r="D4165" s="74"/>
      <c r="G4165" s="75"/>
    </row>
    <row r="4166" spans="2:7" x14ac:dyDescent="0.3">
      <c r="B4166" s="72"/>
      <c r="C4166" s="73"/>
      <c r="D4166" s="74"/>
      <c r="G4166" s="75"/>
    </row>
    <row r="4167" spans="2:7" x14ac:dyDescent="0.3">
      <c r="B4167" s="72"/>
      <c r="C4167" s="73"/>
      <c r="D4167" s="74"/>
      <c r="G4167" s="75"/>
    </row>
    <row r="4168" spans="2:7" x14ac:dyDescent="0.3">
      <c r="B4168" s="72"/>
      <c r="C4168" s="73"/>
      <c r="D4168" s="74"/>
      <c r="G4168" s="75"/>
    </row>
    <row r="4169" spans="2:7" x14ac:dyDescent="0.3">
      <c r="B4169" s="72"/>
      <c r="C4169" s="73"/>
      <c r="D4169" s="74"/>
      <c r="G4169" s="75"/>
    </row>
    <row r="4170" spans="2:7" x14ac:dyDescent="0.3">
      <c r="B4170" s="72"/>
      <c r="C4170" s="73"/>
      <c r="D4170" s="74"/>
      <c r="G4170" s="75"/>
    </row>
    <row r="4171" spans="2:7" x14ac:dyDescent="0.3">
      <c r="B4171" s="72"/>
      <c r="C4171" s="73"/>
      <c r="D4171" s="74"/>
      <c r="G4171" s="75"/>
    </row>
    <row r="4172" spans="2:7" x14ac:dyDescent="0.3">
      <c r="B4172" s="72"/>
      <c r="C4172" s="73"/>
      <c r="D4172" s="74"/>
      <c r="G4172" s="75"/>
    </row>
    <row r="4173" spans="2:7" x14ac:dyDescent="0.3">
      <c r="B4173" s="72"/>
      <c r="C4173" s="73"/>
      <c r="D4173" s="74"/>
      <c r="G4173" s="75"/>
    </row>
    <row r="4174" spans="2:7" x14ac:dyDescent="0.3">
      <c r="B4174" s="72"/>
      <c r="C4174" s="73"/>
      <c r="D4174" s="74"/>
      <c r="G4174" s="75"/>
    </row>
    <row r="4175" spans="2:7" x14ac:dyDescent="0.3">
      <c r="B4175" s="72"/>
      <c r="C4175" s="73"/>
      <c r="D4175" s="74"/>
      <c r="G4175" s="75"/>
    </row>
    <row r="4176" spans="2:7" x14ac:dyDescent="0.3">
      <c r="B4176" s="72"/>
      <c r="C4176" s="73"/>
      <c r="D4176" s="74"/>
      <c r="G4176" s="75"/>
    </row>
    <row r="4177" spans="2:7" x14ac:dyDescent="0.3">
      <c r="B4177" s="72"/>
      <c r="C4177" s="73"/>
      <c r="D4177" s="74"/>
      <c r="G4177" s="75"/>
    </row>
    <row r="4178" spans="2:7" x14ac:dyDescent="0.3">
      <c r="B4178" s="72"/>
      <c r="C4178" s="73"/>
      <c r="D4178" s="74"/>
      <c r="G4178" s="75"/>
    </row>
    <row r="4179" spans="2:7" x14ac:dyDescent="0.3">
      <c r="B4179" s="72"/>
      <c r="C4179" s="73"/>
      <c r="D4179" s="74"/>
      <c r="G4179" s="75"/>
    </row>
    <row r="4180" spans="2:7" x14ac:dyDescent="0.3">
      <c r="B4180" s="72"/>
      <c r="C4180" s="73"/>
      <c r="D4180" s="74"/>
      <c r="G4180" s="75"/>
    </row>
    <row r="4181" spans="2:7" x14ac:dyDescent="0.3">
      <c r="B4181" s="72"/>
      <c r="C4181" s="73"/>
      <c r="D4181" s="74"/>
      <c r="G4181" s="75"/>
    </row>
    <row r="4182" spans="2:7" x14ac:dyDescent="0.3">
      <c r="B4182" s="72"/>
      <c r="C4182" s="73"/>
      <c r="D4182" s="74"/>
      <c r="G4182" s="75"/>
    </row>
    <row r="4183" spans="2:7" x14ac:dyDescent="0.3">
      <c r="B4183" s="72"/>
      <c r="C4183" s="73"/>
      <c r="D4183" s="74"/>
      <c r="G4183" s="75"/>
    </row>
    <row r="4184" spans="2:7" x14ac:dyDescent="0.3">
      <c r="B4184" s="72"/>
      <c r="C4184" s="73"/>
      <c r="D4184" s="74"/>
      <c r="G4184" s="75"/>
    </row>
    <row r="4185" spans="2:7" x14ac:dyDescent="0.3">
      <c r="B4185" s="72"/>
      <c r="C4185" s="73"/>
      <c r="D4185" s="74"/>
      <c r="G4185" s="75"/>
    </row>
    <row r="4186" spans="2:7" x14ac:dyDescent="0.3">
      <c r="B4186" s="72"/>
      <c r="C4186" s="73"/>
      <c r="D4186" s="74"/>
      <c r="G4186" s="75"/>
    </row>
    <row r="4187" spans="2:7" x14ac:dyDescent="0.3">
      <c r="B4187" s="72"/>
      <c r="C4187" s="73"/>
      <c r="D4187" s="74"/>
      <c r="G4187" s="75"/>
    </row>
    <row r="4188" spans="2:7" x14ac:dyDescent="0.3">
      <c r="B4188" s="72"/>
      <c r="C4188" s="73"/>
      <c r="D4188" s="74"/>
      <c r="G4188" s="75"/>
    </row>
    <row r="4189" spans="2:7" x14ac:dyDescent="0.3">
      <c r="B4189" s="72"/>
      <c r="C4189" s="73"/>
      <c r="D4189" s="74"/>
      <c r="G4189" s="75"/>
    </row>
    <row r="4190" spans="2:7" x14ac:dyDescent="0.3">
      <c r="B4190" s="72"/>
      <c r="C4190" s="73"/>
      <c r="D4190" s="74"/>
      <c r="G4190" s="75"/>
    </row>
    <row r="4191" spans="2:7" x14ac:dyDescent="0.3">
      <c r="B4191" s="72"/>
      <c r="C4191" s="73"/>
      <c r="D4191" s="74"/>
      <c r="G4191" s="75"/>
    </row>
    <row r="4192" spans="2:7" x14ac:dyDescent="0.3">
      <c r="B4192" s="72"/>
      <c r="C4192" s="73"/>
      <c r="D4192" s="74"/>
      <c r="G4192" s="75"/>
    </row>
    <row r="4193" spans="2:7" x14ac:dyDescent="0.3">
      <c r="B4193" s="72"/>
      <c r="C4193" s="73"/>
      <c r="D4193" s="74"/>
      <c r="G4193" s="75"/>
    </row>
    <row r="4194" spans="2:7" x14ac:dyDescent="0.3">
      <c r="B4194" s="72"/>
      <c r="C4194" s="73"/>
      <c r="D4194" s="74"/>
      <c r="G4194" s="75"/>
    </row>
    <row r="4195" spans="2:7" x14ac:dyDescent="0.3">
      <c r="B4195" s="72"/>
      <c r="C4195" s="73"/>
      <c r="D4195" s="74"/>
      <c r="G4195" s="75"/>
    </row>
    <row r="4196" spans="2:7" x14ac:dyDescent="0.3">
      <c r="B4196" s="72"/>
      <c r="C4196" s="73"/>
      <c r="D4196" s="74"/>
      <c r="G4196" s="75"/>
    </row>
    <row r="4197" spans="2:7" x14ac:dyDescent="0.3">
      <c r="B4197" s="72"/>
      <c r="C4197" s="73"/>
      <c r="D4197" s="74"/>
      <c r="G4197" s="75"/>
    </row>
    <row r="4198" spans="2:7" x14ac:dyDescent="0.3">
      <c r="B4198" s="72"/>
      <c r="C4198" s="73"/>
      <c r="D4198" s="74"/>
      <c r="G4198" s="75"/>
    </row>
    <row r="4199" spans="2:7" x14ac:dyDescent="0.3">
      <c r="B4199" s="72"/>
      <c r="C4199" s="73"/>
      <c r="D4199" s="74"/>
      <c r="G4199" s="75"/>
    </row>
    <row r="4200" spans="2:7" x14ac:dyDescent="0.3">
      <c r="B4200" s="72"/>
      <c r="C4200" s="73"/>
      <c r="D4200" s="74"/>
      <c r="G4200" s="75"/>
    </row>
    <row r="4201" spans="2:7" x14ac:dyDescent="0.3">
      <c r="B4201" s="72"/>
      <c r="C4201" s="73"/>
      <c r="D4201" s="74"/>
      <c r="G4201" s="75"/>
    </row>
    <row r="4202" spans="2:7" x14ac:dyDescent="0.3">
      <c r="B4202" s="72"/>
      <c r="C4202" s="73"/>
      <c r="D4202" s="74"/>
      <c r="G4202" s="75"/>
    </row>
    <row r="4203" spans="2:7" x14ac:dyDescent="0.3">
      <c r="B4203" s="72"/>
      <c r="C4203" s="73"/>
      <c r="D4203" s="74"/>
      <c r="G4203" s="75"/>
    </row>
    <row r="4204" spans="2:7" x14ac:dyDescent="0.3">
      <c r="B4204" s="72"/>
      <c r="C4204" s="73"/>
      <c r="D4204" s="74"/>
      <c r="G4204" s="75"/>
    </row>
    <row r="4205" spans="2:7" x14ac:dyDescent="0.3">
      <c r="B4205" s="72"/>
      <c r="C4205" s="73"/>
      <c r="D4205" s="74"/>
      <c r="G4205" s="75"/>
    </row>
    <row r="4206" spans="2:7" x14ac:dyDescent="0.3">
      <c r="B4206" s="72"/>
      <c r="C4206" s="73"/>
      <c r="D4206" s="74"/>
      <c r="G4206" s="75"/>
    </row>
    <row r="4207" spans="2:7" x14ac:dyDescent="0.3">
      <c r="B4207" s="72"/>
      <c r="C4207" s="73"/>
      <c r="D4207" s="74"/>
      <c r="G4207" s="75"/>
    </row>
    <row r="4208" spans="2:7" x14ac:dyDescent="0.3">
      <c r="B4208" s="72"/>
      <c r="C4208" s="73"/>
      <c r="D4208" s="74"/>
      <c r="G4208" s="75"/>
    </row>
    <row r="4209" spans="2:7" x14ac:dyDescent="0.3">
      <c r="B4209" s="72"/>
      <c r="C4209" s="73"/>
      <c r="D4209" s="74"/>
      <c r="G4209" s="75"/>
    </row>
    <row r="4210" spans="2:7" x14ac:dyDescent="0.3">
      <c r="B4210" s="72"/>
      <c r="C4210" s="73"/>
      <c r="D4210" s="74"/>
      <c r="G4210" s="75"/>
    </row>
    <row r="4211" spans="2:7" x14ac:dyDescent="0.3">
      <c r="B4211" s="72"/>
      <c r="C4211" s="73"/>
      <c r="D4211" s="74"/>
      <c r="G4211" s="75"/>
    </row>
    <row r="4212" spans="2:7" x14ac:dyDescent="0.3">
      <c r="B4212" s="72"/>
      <c r="C4212" s="73"/>
      <c r="D4212" s="74"/>
      <c r="G4212" s="75"/>
    </row>
    <row r="4213" spans="2:7" x14ac:dyDescent="0.3">
      <c r="B4213" s="72"/>
      <c r="C4213" s="73"/>
      <c r="D4213" s="74"/>
      <c r="G4213" s="75"/>
    </row>
    <row r="4214" spans="2:7" x14ac:dyDescent="0.3">
      <c r="B4214" s="72"/>
      <c r="C4214" s="73"/>
      <c r="D4214" s="74"/>
      <c r="G4214" s="75"/>
    </row>
    <row r="4215" spans="2:7" x14ac:dyDescent="0.3">
      <c r="B4215" s="72"/>
      <c r="C4215" s="73"/>
      <c r="D4215" s="74"/>
      <c r="G4215" s="75"/>
    </row>
    <row r="4216" spans="2:7" x14ac:dyDescent="0.3">
      <c r="B4216" s="72"/>
      <c r="C4216" s="73"/>
      <c r="D4216" s="74"/>
      <c r="G4216" s="75"/>
    </row>
    <row r="4217" spans="2:7" x14ac:dyDescent="0.3">
      <c r="B4217" s="72"/>
      <c r="C4217" s="73"/>
      <c r="D4217" s="74"/>
      <c r="G4217" s="75"/>
    </row>
    <row r="4218" spans="2:7" x14ac:dyDescent="0.3">
      <c r="B4218" s="72"/>
      <c r="C4218" s="73"/>
      <c r="D4218" s="74"/>
      <c r="G4218" s="75"/>
    </row>
    <row r="4219" spans="2:7" x14ac:dyDescent="0.3">
      <c r="B4219" s="72"/>
      <c r="C4219" s="73"/>
      <c r="D4219" s="74"/>
      <c r="G4219" s="75"/>
    </row>
    <row r="4220" spans="2:7" x14ac:dyDescent="0.3">
      <c r="B4220" s="72"/>
      <c r="C4220" s="73"/>
      <c r="D4220" s="74"/>
      <c r="G4220" s="75"/>
    </row>
    <row r="4221" spans="2:7" x14ac:dyDescent="0.3">
      <c r="B4221" s="72"/>
      <c r="C4221" s="73"/>
      <c r="D4221" s="74"/>
      <c r="G4221" s="75"/>
    </row>
    <row r="4222" spans="2:7" x14ac:dyDescent="0.3">
      <c r="B4222" s="72"/>
      <c r="C4222" s="73"/>
      <c r="D4222" s="74"/>
      <c r="G4222" s="75"/>
    </row>
    <row r="4223" spans="2:7" x14ac:dyDescent="0.3">
      <c r="B4223" s="72"/>
      <c r="C4223" s="73"/>
      <c r="D4223" s="74"/>
      <c r="G4223" s="75"/>
    </row>
    <row r="4224" spans="2:7" x14ac:dyDescent="0.3">
      <c r="B4224" s="72"/>
      <c r="C4224" s="73"/>
      <c r="D4224" s="74"/>
      <c r="G4224" s="75"/>
    </row>
    <row r="4225" spans="2:7" x14ac:dyDescent="0.3">
      <c r="B4225" s="72"/>
      <c r="C4225" s="73"/>
      <c r="D4225" s="74"/>
      <c r="G4225" s="75"/>
    </row>
    <row r="4226" spans="2:7" x14ac:dyDescent="0.3">
      <c r="B4226" s="72"/>
      <c r="C4226" s="73"/>
      <c r="D4226" s="74"/>
      <c r="G4226" s="75"/>
    </row>
    <row r="4227" spans="2:7" x14ac:dyDescent="0.3">
      <c r="B4227" s="72"/>
      <c r="C4227" s="73"/>
      <c r="D4227" s="74"/>
      <c r="G4227" s="75"/>
    </row>
    <row r="4228" spans="2:7" x14ac:dyDescent="0.3">
      <c r="B4228" s="72"/>
      <c r="C4228" s="73"/>
      <c r="D4228" s="74"/>
      <c r="G4228" s="75"/>
    </row>
    <row r="4229" spans="2:7" x14ac:dyDescent="0.3">
      <c r="B4229" s="72"/>
      <c r="C4229" s="73"/>
      <c r="D4229" s="74"/>
      <c r="G4229" s="75"/>
    </row>
    <row r="4230" spans="2:7" x14ac:dyDescent="0.3">
      <c r="B4230" s="72"/>
      <c r="C4230" s="73"/>
      <c r="D4230" s="74"/>
      <c r="G4230" s="75"/>
    </row>
    <row r="4231" spans="2:7" x14ac:dyDescent="0.3">
      <c r="B4231" s="72"/>
      <c r="C4231" s="73"/>
      <c r="D4231" s="74"/>
      <c r="G4231" s="75"/>
    </row>
    <row r="4232" spans="2:7" x14ac:dyDescent="0.3">
      <c r="B4232" s="72"/>
      <c r="C4232" s="73"/>
      <c r="D4232" s="74"/>
      <c r="G4232" s="75"/>
    </row>
    <row r="4233" spans="2:7" x14ac:dyDescent="0.3">
      <c r="B4233" s="72"/>
      <c r="C4233" s="73"/>
      <c r="D4233" s="74"/>
      <c r="G4233" s="75"/>
    </row>
    <row r="4234" spans="2:7" x14ac:dyDescent="0.3">
      <c r="B4234" s="72"/>
      <c r="C4234" s="73"/>
      <c r="D4234" s="74"/>
      <c r="G4234" s="75"/>
    </row>
    <row r="4235" spans="2:7" x14ac:dyDescent="0.3">
      <c r="B4235" s="72"/>
      <c r="C4235" s="73"/>
      <c r="D4235" s="74"/>
      <c r="G4235" s="75"/>
    </row>
    <row r="4236" spans="2:7" x14ac:dyDescent="0.3">
      <c r="B4236" s="72"/>
      <c r="C4236" s="73"/>
      <c r="D4236" s="74"/>
      <c r="G4236" s="75"/>
    </row>
    <row r="4237" spans="2:7" x14ac:dyDescent="0.3">
      <c r="B4237" s="72"/>
      <c r="C4237" s="73"/>
      <c r="D4237" s="74"/>
      <c r="G4237" s="75"/>
    </row>
    <row r="4238" spans="2:7" x14ac:dyDescent="0.3">
      <c r="B4238" s="72"/>
      <c r="C4238" s="73"/>
      <c r="D4238" s="74"/>
      <c r="G4238" s="75"/>
    </row>
    <row r="4239" spans="2:7" x14ac:dyDescent="0.3">
      <c r="B4239" s="72"/>
      <c r="C4239" s="73"/>
      <c r="D4239" s="74"/>
      <c r="G4239" s="75"/>
    </row>
    <row r="4240" spans="2:7" x14ac:dyDescent="0.3">
      <c r="B4240" s="72"/>
      <c r="C4240" s="73"/>
      <c r="D4240" s="74"/>
      <c r="G4240" s="75"/>
    </row>
    <row r="4241" spans="2:7" x14ac:dyDescent="0.3">
      <c r="B4241" s="72"/>
      <c r="C4241" s="73"/>
      <c r="D4241" s="74"/>
      <c r="G4241" s="75"/>
    </row>
    <row r="4242" spans="2:7" x14ac:dyDescent="0.3">
      <c r="B4242" s="72"/>
      <c r="C4242" s="73"/>
      <c r="D4242" s="74"/>
      <c r="G4242" s="75"/>
    </row>
    <row r="4243" spans="2:7" x14ac:dyDescent="0.3">
      <c r="B4243" s="72"/>
      <c r="C4243" s="73"/>
      <c r="D4243" s="74"/>
      <c r="G4243" s="75"/>
    </row>
    <row r="4244" spans="2:7" x14ac:dyDescent="0.3">
      <c r="B4244" s="72"/>
      <c r="C4244" s="73"/>
      <c r="D4244" s="74"/>
      <c r="G4244" s="75"/>
    </row>
    <row r="4245" spans="2:7" x14ac:dyDescent="0.3">
      <c r="B4245" s="72"/>
      <c r="C4245" s="73"/>
      <c r="D4245" s="74"/>
      <c r="G4245" s="75"/>
    </row>
    <row r="4246" spans="2:7" x14ac:dyDescent="0.3">
      <c r="B4246" s="72"/>
      <c r="C4246" s="73"/>
      <c r="D4246" s="74"/>
      <c r="G4246" s="75"/>
    </row>
    <row r="4247" spans="2:7" x14ac:dyDescent="0.3">
      <c r="B4247" s="72"/>
      <c r="C4247" s="73"/>
      <c r="D4247" s="74"/>
      <c r="G4247" s="75"/>
    </row>
    <row r="4248" spans="2:7" x14ac:dyDescent="0.3">
      <c r="B4248" s="72"/>
      <c r="C4248" s="73"/>
      <c r="D4248" s="74"/>
      <c r="G4248" s="75"/>
    </row>
    <row r="4249" spans="2:7" x14ac:dyDescent="0.3">
      <c r="B4249" s="72"/>
      <c r="C4249" s="73"/>
      <c r="D4249" s="74"/>
      <c r="G4249" s="75"/>
    </row>
    <row r="4250" spans="2:7" x14ac:dyDescent="0.3">
      <c r="B4250" s="72"/>
      <c r="C4250" s="73"/>
      <c r="D4250" s="74"/>
      <c r="G4250" s="75"/>
    </row>
    <row r="4251" spans="2:7" x14ac:dyDescent="0.3">
      <c r="B4251" s="72"/>
      <c r="C4251" s="73"/>
      <c r="D4251" s="74"/>
      <c r="G4251" s="75"/>
    </row>
    <row r="4252" spans="2:7" x14ac:dyDescent="0.3">
      <c r="B4252" s="72"/>
      <c r="C4252" s="73"/>
      <c r="D4252" s="74"/>
      <c r="G4252" s="75"/>
    </row>
    <row r="4253" spans="2:7" x14ac:dyDescent="0.3">
      <c r="B4253" s="72"/>
      <c r="C4253" s="73"/>
      <c r="D4253" s="74"/>
      <c r="G4253" s="75"/>
    </row>
    <row r="4254" spans="2:7" x14ac:dyDescent="0.3">
      <c r="B4254" s="72"/>
      <c r="C4254" s="73"/>
      <c r="D4254" s="74"/>
      <c r="G4254" s="75"/>
    </row>
    <row r="4255" spans="2:7" x14ac:dyDescent="0.3">
      <c r="B4255" s="72"/>
      <c r="C4255" s="73"/>
      <c r="D4255" s="74"/>
      <c r="G4255" s="75"/>
    </row>
    <row r="4256" spans="2:7" x14ac:dyDescent="0.3">
      <c r="B4256" s="72"/>
      <c r="C4256" s="73"/>
      <c r="D4256" s="74"/>
      <c r="G4256" s="75"/>
    </row>
    <row r="4257" spans="2:7" x14ac:dyDescent="0.3">
      <c r="B4257" s="72"/>
      <c r="C4257" s="73"/>
      <c r="D4257" s="74"/>
      <c r="G4257" s="75"/>
    </row>
    <row r="4258" spans="2:7" x14ac:dyDescent="0.3">
      <c r="B4258" s="72"/>
      <c r="C4258" s="73"/>
      <c r="D4258" s="74"/>
      <c r="G4258" s="75"/>
    </row>
    <row r="4259" spans="2:7" x14ac:dyDescent="0.3">
      <c r="B4259" s="72"/>
      <c r="C4259" s="73"/>
      <c r="D4259" s="74"/>
      <c r="G4259" s="75"/>
    </row>
    <row r="4260" spans="2:7" x14ac:dyDescent="0.3">
      <c r="B4260" s="72"/>
      <c r="C4260" s="73"/>
      <c r="D4260" s="74"/>
      <c r="G4260" s="75"/>
    </row>
    <row r="4261" spans="2:7" x14ac:dyDescent="0.3">
      <c r="B4261" s="72"/>
      <c r="C4261" s="73"/>
      <c r="D4261" s="74"/>
      <c r="G4261" s="75"/>
    </row>
    <row r="4262" spans="2:7" x14ac:dyDescent="0.3">
      <c r="B4262" s="72"/>
      <c r="C4262" s="73"/>
      <c r="D4262" s="74"/>
      <c r="G4262" s="75"/>
    </row>
    <row r="4263" spans="2:7" x14ac:dyDescent="0.3">
      <c r="B4263" s="72"/>
      <c r="C4263" s="73"/>
      <c r="D4263" s="74"/>
      <c r="G4263" s="75"/>
    </row>
    <row r="4264" spans="2:7" x14ac:dyDescent="0.3">
      <c r="B4264" s="72"/>
      <c r="C4264" s="73"/>
      <c r="D4264" s="74"/>
      <c r="G4264" s="75"/>
    </row>
    <row r="4265" spans="2:7" x14ac:dyDescent="0.3">
      <c r="B4265" s="72"/>
      <c r="C4265" s="73"/>
      <c r="D4265" s="74"/>
      <c r="G4265" s="75"/>
    </row>
    <row r="4266" spans="2:7" x14ac:dyDescent="0.3">
      <c r="B4266" s="72"/>
      <c r="C4266" s="73"/>
      <c r="D4266" s="74"/>
      <c r="G4266" s="75"/>
    </row>
    <row r="4267" spans="2:7" x14ac:dyDescent="0.3">
      <c r="B4267" s="72"/>
      <c r="C4267" s="73"/>
      <c r="D4267" s="74"/>
      <c r="G4267" s="75"/>
    </row>
    <row r="4268" spans="2:7" x14ac:dyDescent="0.3">
      <c r="B4268" s="72"/>
      <c r="C4268" s="73"/>
      <c r="D4268" s="74"/>
      <c r="G4268" s="75"/>
    </row>
    <row r="4269" spans="2:7" x14ac:dyDescent="0.3">
      <c r="B4269" s="72"/>
      <c r="C4269" s="73"/>
      <c r="D4269" s="74"/>
      <c r="G4269" s="75"/>
    </row>
    <row r="4270" spans="2:7" x14ac:dyDescent="0.3">
      <c r="B4270" s="72"/>
      <c r="C4270" s="73"/>
      <c r="D4270" s="74"/>
      <c r="G4270" s="75"/>
    </row>
    <row r="4271" spans="2:7" x14ac:dyDescent="0.3">
      <c r="B4271" s="72"/>
      <c r="C4271" s="73"/>
      <c r="D4271" s="74"/>
      <c r="G4271" s="75"/>
    </row>
    <row r="4272" spans="2:7" x14ac:dyDescent="0.3">
      <c r="B4272" s="72"/>
      <c r="C4272" s="73"/>
      <c r="D4272" s="74"/>
      <c r="G4272" s="75"/>
    </row>
    <row r="4273" spans="2:7" x14ac:dyDescent="0.3">
      <c r="B4273" s="72"/>
      <c r="C4273" s="73"/>
      <c r="D4273" s="74"/>
      <c r="G4273" s="75"/>
    </row>
    <row r="4274" spans="2:7" x14ac:dyDescent="0.3">
      <c r="B4274" s="72"/>
      <c r="C4274" s="73"/>
      <c r="D4274" s="74"/>
      <c r="G4274" s="75"/>
    </row>
    <row r="4275" spans="2:7" x14ac:dyDescent="0.3">
      <c r="B4275" s="72"/>
      <c r="C4275" s="73"/>
      <c r="D4275" s="74"/>
      <c r="G4275" s="75"/>
    </row>
    <row r="4276" spans="2:7" x14ac:dyDescent="0.3">
      <c r="B4276" s="72"/>
      <c r="C4276" s="73"/>
      <c r="D4276" s="74"/>
      <c r="G4276" s="75"/>
    </row>
    <row r="4277" spans="2:7" x14ac:dyDescent="0.3">
      <c r="B4277" s="72"/>
      <c r="C4277" s="73"/>
      <c r="D4277" s="74"/>
      <c r="G4277" s="75"/>
    </row>
    <row r="4278" spans="2:7" x14ac:dyDescent="0.3">
      <c r="B4278" s="72"/>
      <c r="C4278" s="73"/>
      <c r="D4278" s="74"/>
      <c r="G4278" s="75"/>
    </row>
    <row r="4279" spans="2:7" x14ac:dyDescent="0.3">
      <c r="B4279" s="72"/>
      <c r="C4279" s="73"/>
      <c r="D4279" s="74"/>
      <c r="G4279" s="75"/>
    </row>
    <row r="4280" spans="2:7" x14ac:dyDescent="0.3">
      <c r="B4280" s="72"/>
      <c r="C4280" s="73"/>
      <c r="D4280" s="74"/>
      <c r="G4280" s="75"/>
    </row>
    <row r="4281" spans="2:7" x14ac:dyDescent="0.3">
      <c r="B4281" s="72"/>
      <c r="C4281" s="73"/>
      <c r="D4281" s="74"/>
      <c r="G4281" s="75"/>
    </row>
    <row r="4282" spans="2:7" x14ac:dyDescent="0.3">
      <c r="B4282" s="72"/>
      <c r="C4282" s="73"/>
      <c r="D4282" s="74"/>
      <c r="G4282" s="75"/>
    </row>
    <row r="4283" spans="2:7" x14ac:dyDescent="0.3">
      <c r="B4283" s="72"/>
      <c r="C4283" s="73"/>
      <c r="D4283" s="74"/>
      <c r="G4283" s="75"/>
    </row>
    <row r="4284" spans="2:7" x14ac:dyDescent="0.3">
      <c r="B4284" s="72"/>
      <c r="C4284" s="73"/>
      <c r="D4284" s="74"/>
      <c r="G4284" s="75"/>
    </row>
    <row r="4285" spans="2:7" x14ac:dyDescent="0.3">
      <c r="B4285" s="72"/>
      <c r="C4285" s="73"/>
      <c r="D4285" s="74"/>
      <c r="G4285" s="75"/>
    </row>
    <row r="4286" spans="2:7" x14ac:dyDescent="0.3">
      <c r="B4286" s="72"/>
      <c r="C4286" s="73"/>
      <c r="D4286" s="74"/>
      <c r="G4286" s="75"/>
    </row>
    <row r="4287" spans="2:7" x14ac:dyDescent="0.3">
      <c r="B4287" s="72"/>
      <c r="C4287" s="73"/>
      <c r="D4287" s="74"/>
      <c r="G4287" s="75"/>
    </row>
    <row r="4288" spans="2:7" x14ac:dyDescent="0.3">
      <c r="B4288" s="72"/>
      <c r="C4288" s="73"/>
      <c r="D4288" s="74"/>
      <c r="G4288" s="75"/>
    </row>
    <row r="4289" spans="2:7" x14ac:dyDescent="0.3">
      <c r="B4289" s="72"/>
      <c r="C4289" s="73"/>
      <c r="D4289" s="74"/>
      <c r="G4289" s="75"/>
    </row>
    <row r="4290" spans="2:7" x14ac:dyDescent="0.3">
      <c r="B4290" s="72"/>
      <c r="C4290" s="73"/>
      <c r="D4290" s="74"/>
      <c r="G4290" s="75"/>
    </row>
    <row r="4291" spans="2:7" x14ac:dyDescent="0.3">
      <c r="B4291" s="72"/>
      <c r="C4291" s="73"/>
      <c r="D4291" s="74"/>
      <c r="G4291" s="75"/>
    </row>
    <row r="4292" spans="2:7" x14ac:dyDescent="0.3">
      <c r="B4292" s="72"/>
      <c r="C4292" s="73"/>
      <c r="D4292" s="74"/>
      <c r="G4292" s="75"/>
    </row>
    <row r="4293" spans="2:7" x14ac:dyDescent="0.3">
      <c r="B4293" s="72"/>
      <c r="C4293" s="73"/>
      <c r="D4293" s="74"/>
      <c r="G4293" s="75"/>
    </row>
    <row r="4294" spans="2:7" x14ac:dyDescent="0.3">
      <c r="B4294" s="72"/>
      <c r="C4294" s="73"/>
      <c r="D4294" s="74"/>
      <c r="G4294" s="75"/>
    </row>
    <row r="4295" spans="2:7" x14ac:dyDescent="0.3">
      <c r="B4295" s="72"/>
      <c r="C4295" s="73"/>
      <c r="D4295" s="74"/>
      <c r="G4295" s="75"/>
    </row>
    <row r="4296" spans="2:7" x14ac:dyDescent="0.3">
      <c r="B4296" s="72"/>
      <c r="C4296" s="73"/>
      <c r="D4296" s="74"/>
      <c r="G4296" s="75"/>
    </row>
    <row r="4297" spans="2:7" x14ac:dyDescent="0.3">
      <c r="B4297" s="72"/>
      <c r="C4297" s="73"/>
      <c r="D4297" s="74"/>
      <c r="G4297" s="75"/>
    </row>
    <row r="4298" spans="2:7" x14ac:dyDescent="0.3">
      <c r="B4298" s="72"/>
      <c r="C4298" s="73"/>
      <c r="D4298" s="74"/>
      <c r="G4298" s="75"/>
    </row>
    <row r="4299" spans="2:7" x14ac:dyDescent="0.3">
      <c r="B4299" s="72"/>
      <c r="C4299" s="73"/>
      <c r="D4299" s="74"/>
      <c r="G4299" s="75"/>
    </row>
    <row r="4300" spans="2:7" x14ac:dyDescent="0.3">
      <c r="B4300" s="72"/>
      <c r="C4300" s="73"/>
      <c r="D4300" s="74"/>
      <c r="G4300" s="75"/>
    </row>
    <row r="4301" spans="2:7" x14ac:dyDescent="0.3">
      <c r="B4301" s="72"/>
      <c r="C4301" s="73"/>
      <c r="D4301" s="74"/>
      <c r="G4301" s="75"/>
    </row>
    <row r="4302" spans="2:7" x14ac:dyDescent="0.3">
      <c r="B4302" s="72"/>
      <c r="C4302" s="73"/>
      <c r="D4302" s="74"/>
      <c r="G4302" s="75"/>
    </row>
    <row r="4303" spans="2:7" x14ac:dyDescent="0.3">
      <c r="B4303" s="72"/>
      <c r="C4303" s="73"/>
      <c r="D4303" s="74"/>
      <c r="G4303" s="75"/>
    </row>
    <row r="4304" spans="2:7" x14ac:dyDescent="0.3">
      <c r="B4304" s="72"/>
      <c r="C4304" s="73"/>
      <c r="D4304" s="74"/>
      <c r="G4304" s="75"/>
    </row>
    <row r="4305" spans="2:7" x14ac:dyDescent="0.3">
      <c r="B4305" s="72"/>
      <c r="C4305" s="73"/>
      <c r="D4305" s="74"/>
      <c r="G4305" s="75"/>
    </row>
    <row r="4306" spans="2:7" x14ac:dyDescent="0.3">
      <c r="B4306" s="72"/>
      <c r="C4306" s="73"/>
      <c r="D4306" s="74"/>
      <c r="G4306" s="75"/>
    </row>
    <row r="4307" spans="2:7" x14ac:dyDescent="0.3">
      <c r="B4307" s="72"/>
      <c r="C4307" s="73"/>
      <c r="D4307" s="74"/>
      <c r="G4307" s="75"/>
    </row>
    <row r="4308" spans="2:7" x14ac:dyDescent="0.3">
      <c r="B4308" s="72"/>
      <c r="C4308" s="73"/>
      <c r="D4308" s="74"/>
      <c r="G4308" s="75"/>
    </row>
    <row r="4309" spans="2:7" x14ac:dyDescent="0.3">
      <c r="B4309" s="72"/>
      <c r="C4309" s="73"/>
      <c r="D4309" s="74"/>
      <c r="G4309" s="75"/>
    </row>
    <row r="4310" spans="2:7" x14ac:dyDescent="0.3">
      <c r="B4310" s="72"/>
      <c r="C4310" s="73"/>
      <c r="D4310" s="74"/>
      <c r="G4310" s="75"/>
    </row>
    <row r="4311" spans="2:7" x14ac:dyDescent="0.3">
      <c r="B4311" s="72"/>
      <c r="C4311" s="73"/>
      <c r="D4311" s="74"/>
      <c r="G4311" s="75"/>
    </row>
    <row r="4312" spans="2:7" x14ac:dyDescent="0.3">
      <c r="B4312" s="72"/>
      <c r="C4312" s="73"/>
      <c r="D4312" s="74"/>
      <c r="G4312" s="75"/>
    </row>
    <row r="4313" spans="2:7" x14ac:dyDescent="0.3">
      <c r="B4313" s="72"/>
      <c r="C4313" s="73"/>
      <c r="D4313" s="74"/>
      <c r="G4313" s="75"/>
    </row>
    <row r="4314" spans="2:7" x14ac:dyDescent="0.3">
      <c r="B4314" s="72"/>
      <c r="C4314" s="73"/>
      <c r="D4314" s="74"/>
      <c r="G4314" s="75"/>
    </row>
    <row r="4315" spans="2:7" x14ac:dyDescent="0.3">
      <c r="B4315" s="72"/>
      <c r="C4315" s="73"/>
      <c r="D4315" s="74"/>
      <c r="G4315" s="75"/>
    </row>
    <row r="4316" spans="2:7" x14ac:dyDescent="0.3">
      <c r="B4316" s="72"/>
      <c r="C4316" s="73"/>
      <c r="D4316" s="74"/>
      <c r="G4316" s="75"/>
    </row>
    <row r="4317" spans="2:7" x14ac:dyDescent="0.3">
      <c r="B4317" s="72"/>
      <c r="C4317" s="73"/>
      <c r="D4317" s="74"/>
      <c r="G4317" s="75"/>
    </row>
    <row r="4318" spans="2:7" x14ac:dyDescent="0.3">
      <c r="B4318" s="72"/>
      <c r="C4318" s="73"/>
      <c r="D4318" s="74"/>
      <c r="G4318" s="75"/>
    </row>
    <row r="4319" spans="2:7" x14ac:dyDescent="0.3">
      <c r="B4319" s="72"/>
      <c r="C4319" s="73"/>
      <c r="D4319" s="74"/>
      <c r="G4319" s="75"/>
    </row>
    <row r="4320" spans="2:7" x14ac:dyDescent="0.3">
      <c r="B4320" s="72"/>
      <c r="C4320" s="73"/>
      <c r="D4320" s="74"/>
      <c r="G4320" s="75"/>
    </row>
    <row r="4321" spans="2:7" x14ac:dyDescent="0.3">
      <c r="B4321" s="72"/>
      <c r="C4321" s="73"/>
      <c r="D4321" s="74"/>
      <c r="G4321" s="75"/>
    </row>
    <row r="4322" spans="2:7" x14ac:dyDescent="0.3">
      <c r="B4322" s="72"/>
      <c r="C4322" s="73"/>
      <c r="D4322" s="74"/>
      <c r="G4322" s="75"/>
    </row>
    <row r="4323" spans="2:7" x14ac:dyDescent="0.3">
      <c r="B4323" s="72"/>
      <c r="C4323" s="73"/>
      <c r="D4323" s="74"/>
      <c r="G4323" s="75"/>
    </row>
    <row r="4324" spans="2:7" x14ac:dyDescent="0.3">
      <c r="B4324" s="72"/>
      <c r="C4324" s="73"/>
      <c r="D4324" s="74"/>
      <c r="G4324" s="75"/>
    </row>
    <row r="4325" spans="2:7" x14ac:dyDescent="0.3">
      <c r="B4325" s="72"/>
      <c r="C4325" s="73"/>
      <c r="D4325" s="74"/>
      <c r="G4325" s="75"/>
    </row>
    <row r="4326" spans="2:7" x14ac:dyDescent="0.3">
      <c r="B4326" s="72"/>
      <c r="C4326" s="73"/>
      <c r="D4326" s="74"/>
      <c r="G4326" s="75"/>
    </row>
    <row r="4327" spans="2:7" x14ac:dyDescent="0.3">
      <c r="B4327" s="72"/>
      <c r="C4327" s="73"/>
      <c r="D4327" s="74"/>
      <c r="G4327" s="75"/>
    </row>
    <row r="4328" spans="2:7" x14ac:dyDescent="0.3">
      <c r="B4328" s="72"/>
      <c r="C4328" s="73"/>
      <c r="D4328" s="74"/>
      <c r="G4328" s="75"/>
    </row>
    <row r="4329" spans="2:7" x14ac:dyDescent="0.3">
      <c r="B4329" s="72"/>
      <c r="C4329" s="73"/>
      <c r="D4329" s="74"/>
      <c r="G4329" s="75"/>
    </row>
    <row r="4330" spans="2:7" x14ac:dyDescent="0.3">
      <c r="B4330" s="72"/>
      <c r="C4330" s="73"/>
      <c r="D4330" s="74"/>
      <c r="G4330" s="75"/>
    </row>
    <row r="4331" spans="2:7" x14ac:dyDescent="0.3">
      <c r="B4331" s="72"/>
      <c r="C4331" s="73"/>
      <c r="D4331" s="74"/>
      <c r="G4331" s="75"/>
    </row>
    <row r="4332" spans="2:7" x14ac:dyDescent="0.3">
      <c r="B4332" s="72"/>
      <c r="C4332" s="73"/>
      <c r="D4332" s="74"/>
      <c r="G4332" s="75"/>
    </row>
    <row r="4333" spans="2:7" x14ac:dyDescent="0.3">
      <c r="B4333" s="72"/>
      <c r="C4333" s="73"/>
      <c r="D4333" s="74"/>
      <c r="G4333" s="75"/>
    </row>
    <row r="4334" spans="2:7" x14ac:dyDescent="0.3">
      <c r="B4334" s="72"/>
      <c r="C4334" s="73"/>
      <c r="D4334" s="74"/>
      <c r="G4334" s="75"/>
    </row>
    <row r="4335" spans="2:7" x14ac:dyDescent="0.3">
      <c r="B4335" s="72"/>
      <c r="C4335" s="73"/>
      <c r="D4335" s="74"/>
      <c r="G4335" s="75"/>
    </row>
    <row r="4336" spans="2:7" x14ac:dyDescent="0.3">
      <c r="B4336" s="72"/>
      <c r="C4336" s="73"/>
      <c r="D4336" s="74"/>
      <c r="G4336" s="75"/>
    </row>
    <row r="4337" spans="2:7" x14ac:dyDescent="0.3">
      <c r="B4337" s="72"/>
      <c r="C4337" s="73"/>
      <c r="D4337" s="74"/>
      <c r="G4337" s="75"/>
    </row>
    <row r="4338" spans="2:7" x14ac:dyDescent="0.3">
      <c r="B4338" s="72"/>
      <c r="C4338" s="73"/>
      <c r="D4338" s="74"/>
      <c r="G4338" s="75"/>
    </row>
    <row r="4339" spans="2:7" x14ac:dyDescent="0.3">
      <c r="B4339" s="72"/>
      <c r="C4339" s="73"/>
      <c r="D4339" s="74"/>
      <c r="G4339" s="75"/>
    </row>
    <row r="4340" spans="2:7" x14ac:dyDescent="0.3">
      <c r="B4340" s="72"/>
      <c r="C4340" s="73"/>
      <c r="D4340" s="74"/>
      <c r="G4340" s="75"/>
    </row>
    <row r="4341" spans="2:7" x14ac:dyDescent="0.3">
      <c r="B4341" s="72"/>
      <c r="C4341" s="73"/>
      <c r="D4341" s="74"/>
      <c r="G4341" s="75"/>
    </row>
    <row r="4342" spans="2:7" x14ac:dyDescent="0.3">
      <c r="B4342" s="72"/>
      <c r="C4342" s="73"/>
      <c r="D4342" s="74"/>
      <c r="G4342" s="75"/>
    </row>
    <row r="4343" spans="2:7" x14ac:dyDescent="0.3">
      <c r="B4343" s="72"/>
      <c r="C4343" s="73"/>
      <c r="D4343" s="74"/>
      <c r="G4343" s="75"/>
    </row>
    <row r="4344" spans="2:7" x14ac:dyDescent="0.3">
      <c r="B4344" s="72"/>
      <c r="C4344" s="73"/>
      <c r="D4344" s="74"/>
      <c r="G4344" s="75"/>
    </row>
    <row r="4345" spans="2:7" x14ac:dyDescent="0.3">
      <c r="B4345" s="72"/>
      <c r="C4345" s="73"/>
      <c r="D4345" s="74"/>
      <c r="G4345" s="75"/>
    </row>
    <row r="4346" spans="2:7" x14ac:dyDescent="0.3">
      <c r="B4346" s="72"/>
      <c r="C4346" s="73"/>
      <c r="D4346" s="74"/>
      <c r="G4346" s="75"/>
    </row>
    <row r="4347" spans="2:7" x14ac:dyDescent="0.3">
      <c r="B4347" s="72"/>
      <c r="C4347" s="73"/>
      <c r="D4347" s="74"/>
      <c r="G4347" s="75"/>
    </row>
    <row r="4348" spans="2:7" x14ac:dyDescent="0.3">
      <c r="B4348" s="72"/>
      <c r="C4348" s="73"/>
      <c r="D4348" s="74"/>
      <c r="G4348" s="75"/>
    </row>
    <row r="4349" spans="2:7" x14ac:dyDescent="0.3">
      <c r="B4349" s="72"/>
      <c r="C4349" s="73"/>
      <c r="D4349" s="74"/>
      <c r="G4349" s="75"/>
    </row>
    <row r="4350" spans="2:7" x14ac:dyDescent="0.3">
      <c r="B4350" s="72"/>
      <c r="C4350" s="73"/>
      <c r="D4350" s="74"/>
      <c r="G4350" s="75"/>
    </row>
    <row r="4351" spans="2:7" x14ac:dyDescent="0.3">
      <c r="B4351" s="72"/>
      <c r="C4351" s="73"/>
      <c r="D4351" s="74"/>
      <c r="G4351" s="75"/>
    </row>
    <row r="4352" spans="2:7" x14ac:dyDescent="0.3">
      <c r="B4352" s="72"/>
      <c r="C4352" s="73"/>
      <c r="D4352" s="74"/>
      <c r="G4352" s="75"/>
    </row>
    <row r="4353" spans="2:7" x14ac:dyDescent="0.3">
      <c r="B4353" s="72"/>
      <c r="C4353" s="73"/>
      <c r="D4353" s="74"/>
      <c r="G4353" s="75"/>
    </row>
    <row r="4354" spans="2:7" x14ac:dyDescent="0.3">
      <c r="B4354" s="72"/>
      <c r="C4354" s="73"/>
      <c r="D4354" s="74"/>
      <c r="G4354" s="75"/>
    </row>
    <row r="4355" spans="2:7" x14ac:dyDescent="0.3">
      <c r="B4355" s="72"/>
      <c r="C4355" s="73"/>
      <c r="D4355" s="74"/>
      <c r="G4355" s="75"/>
    </row>
    <row r="4356" spans="2:7" x14ac:dyDescent="0.3">
      <c r="B4356" s="72"/>
      <c r="C4356" s="73"/>
      <c r="D4356" s="74"/>
      <c r="G4356" s="75"/>
    </row>
    <row r="4357" spans="2:7" x14ac:dyDescent="0.3">
      <c r="B4357" s="72"/>
      <c r="C4357" s="73"/>
      <c r="D4357" s="74"/>
      <c r="G4357" s="75"/>
    </row>
    <row r="4358" spans="2:7" x14ac:dyDescent="0.3">
      <c r="B4358" s="72"/>
      <c r="C4358" s="73"/>
      <c r="D4358" s="74"/>
      <c r="G4358" s="75"/>
    </row>
    <row r="4359" spans="2:7" x14ac:dyDescent="0.3">
      <c r="B4359" s="72"/>
      <c r="C4359" s="73"/>
      <c r="D4359" s="74"/>
      <c r="G4359" s="75"/>
    </row>
    <row r="4360" spans="2:7" x14ac:dyDescent="0.3">
      <c r="B4360" s="72"/>
      <c r="C4360" s="73"/>
      <c r="D4360" s="74"/>
      <c r="G4360" s="75"/>
    </row>
    <row r="4361" spans="2:7" x14ac:dyDescent="0.3">
      <c r="B4361" s="72"/>
      <c r="C4361" s="73"/>
      <c r="D4361" s="74"/>
      <c r="G4361" s="75"/>
    </row>
    <row r="4362" spans="2:7" x14ac:dyDescent="0.3">
      <c r="B4362" s="72"/>
      <c r="C4362" s="73"/>
      <c r="D4362" s="74"/>
      <c r="G4362" s="75"/>
    </row>
    <row r="4363" spans="2:7" x14ac:dyDescent="0.3">
      <c r="B4363" s="72"/>
      <c r="C4363" s="73"/>
      <c r="D4363" s="74"/>
      <c r="G4363" s="75"/>
    </row>
    <row r="4364" spans="2:7" x14ac:dyDescent="0.3">
      <c r="B4364" s="72"/>
      <c r="C4364" s="73"/>
      <c r="D4364" s="74"/>
      <c r="G4364" s="75"/>
    </row>
    <row r="4365" spans="2:7" x14ac:dyDescent="0.3">
      <c r="B4365" s="72"/>
      <c r="C4365" s="73"/>
      <c r="D4365" s="74"/>
      <c r="G4365" s="75"/>
    </row>
    <row r="4366" spans="2:7" x14ac:dyDescent="0.3">
      <c r="B4366" s="72"/>
      <c r="C4366" s="73"/>
      <c r="D4366" s="74"/>
      <c r="G4366" s="75"/>
    </row>
    <row r="4367" spans="2:7" x14ac:dyDescent="0.3">
      <c r="B4367" s="72"/>
      <c r="C4367" s="73"/>
      <c r="D4367" s="74"/>
      <c r="G4367" s="75"/>
    </row>
    <row r="4368" spans="2:7" x14ac:dyDescent="0.3">
      <c r="B4368" s="72"/>
      <c r="C4368" s="73"/>
      <c r="D4368" s="74"/>
      <c r="G4368" s="75"/>
    </row>
    <row r="4369" spans="2:7" x14ac:dyDescent="0.3">
      <c r="B4369" s="72"/>
      <c r="C4369" s="73"/>
      <c r="D4369" s="74"/>
      <c r="G4369" s="75"/>
    </row>
    <row r="4370" spans="2:7" x14ac:dyDescent="0.3">
      <c r="B4370" s="72"/>
      <c r="C4370" s="73"/>
      <c r="D4370" s="74"/>
      <c r="G4370" s="75"/>
    </row>
    <row r="4371" spans="2:7" x14ac:dyDescent="0.3">
      <c r="B4371" s="72"/>
      <c r="C4371" s="73"/>
      <c r="D4371" s="74"/>
      <c r="G4371" s="75"/>
    </row>
    <row r="4372" spans="2:7" x14ac:dyDescent="0.3">
      <c r="B4372" s="72"/>
      <c r="C4372" s="73"/>
      <c r="D4372" s="74"/>
      <c r="G4372" s="75"/>
    </row>
    <row r="4373" spans="2:7" x14ac:dyDescent="0.3">
      <c r="B4373" s="72"/>
      <c r="C4373" s="73"/>
      <c r="D4373" s="74"/>
      <c r="G4373" s="75"/>
    </row>
    <row r="4374" spans="2:7" x14ac:dyDescent="0.3">
      <c r="B4374" s="72"/>
      <c r="C4374" s="73"/>
      <c r="D4374" s="74"/>
      <c r="G4374" s="75"/>
    </row>
    <row r="4375" spans="2:7" x14ac:dyDescent="0.3">
      <c r="B4375" s="72"/>
      <c r="C4375" s="73"/>
      <c r="D4375" s="74"/>
      <c r="G4375" s="75"/>
    </row>
    <row r="4376" spans="2:7" x14ac:dyDescent="0.3">
      <c r="B4376" s="72"/>
      <c r="C4376" s="73"/>
      <c r="D4376" s="74"/>
      <c r="G4376" s="75"/>
    </row>
    <row r="4377" spans="2:7" x14ac:dyDescent="0.3">
      <c r="B4377" s="72"/>
      <c r="C4377" s="73"/>
      <c r="D4377" s="74"/>
      <c r="G4377" s="75"/>
    </row>
    <row r="4378" spans="2:7" x14ac:dyDescent="0.3">
      <c r="B4378" s="72"/>
      <c r="C4378" s="73"/>
      <c r="D4378" s="74"/>
      <c r="G4378" s="75"/>
    </row>
    <row r="4379" spans="2:7" x14ac:dyDescent="0.3">
      <c r="B4379" s="72"/>
      <c r="C4379" s="73"/>
      <c r="D4379" s="74"/>
      <c r="G4379" s="75"/>
    </row>
    <row r="4380" spans="2:7" x14ac:dyDescent="0.3">
      <c r="B4380" s="72"/>
      <c r="C4380" s="73"/>
      <c r="D4380" s="74"/>
      <c r="G4380" s="75"/>
    </row>
    <row r="4381" spans="2:7" x14ac:dyDescent="0.3">
      <c r="B4381" s="72"/>
      <c r="C4381" s="73"/>
      <c r="D4381" s="74"/>
      <c r="G4381" s="75"/>
    </row>
    <row r="4382" spans="2:7" x14ac:dyDescent="0.3">
      <c r="B4382" s="72"/>
      <c r="C4382" s="73"/>
      <c r="D4382" s="74"/>
      <c r="G4382" s="75"/>
    </row>
    <row r="4383" spans="2:7" x14ac:dyDescent="0.3">
      <c r="B4383" s="72"/>
      <c r="C4383" s="73"/>
      <c r="D4383" s="74"/>
      <c r="G4383" s="75"/>
    </row>
    <row r="4384" spans="2:7" x14ac:dyDescent="0.3">
      <c r="B4384" s="72"/>
      <c r="C4384" s="73"/>
      <c r="D4384" s="74"/>
      <c r="G4384" s="75"/>
    </row>
    <row r="4385" spans="2:7" x14ac:dyDescent="0.3">
      <c r="B4385" s="72"/>
      <c r="C4385" s="73"/>
      <c r="D4385" s="74"/>
      <c r="G4385" s="75"/>
    </row>
    <row r="4386" spans="2:7" x14ac:dyDescent="0.3">
      <c r="B4386" s="72"/>
      <c r="C4386" s="73"/>
      <c r="D4386" s="74"/>
      <c r="G4386" s="75"/>
    </row>
    <row r="4387" spans="2:7" x14ac:dyDescent="0.3">
      <c r="B4387" s="72"/>
      <c r="C4387" s="73"/>
      <c r="D4387" s="74"/>
      <c r="G4387" s="75"/>
    </row>
    <row r="4388" spans="2:7" x14ac:dyDescent="0.3">
      <c r="B4388" s="72"/>
      <c r="C4388" s="73"/>
      <c r="D4388" s="74"/>
      <c r="G4388" s="75"/>
    </row>
    <row r="4389" spans="2:7" x14ac:dyDescent="0.3">
      <c r="B4389" s="72"/>
      <c r="C4389" s="73"/>
      <c r="D4389" s="74"/>
      <c r="G4389" s="75"/>
    </row>
    <row r="4390" spans="2:7" x14ac:dyDescent="0.3">
      <c r="B4390" s="72"/>
      <c r="C4390" s="73"/>
      <c r="D4390" s="74"/>
      <c r="G4390" s="75"/>
    </row>
    <row r="4391" spans="2:7" x14ac:dyDescent="0.3">
      <c r="B4391" s="72"/>
      <c r="C4391" s="73"/>
      <c r="D4391" s="74"/>
      <c r="G4391" s="75"/>
    </row>
    <row r="4392" spans="2:7" x14ac:dyDescent="0.3">
      <c r="B4392" s="72"/>
      <c r="C4392" s="73"/>
      <c r="D4392" s="74"/>
      <c r="G4392" s="75"/>
    </row>
    <row r="4393" spans="2:7" x14ac:dyDescent="0.3">
      <c r="B4393" s="72"/>
      <c r="C4393" s="73"/>
      <c r="D4393" s="74"/>
      <c r="G4393" s="75"/>
    </row>
    <row r="4394" spans="2:7" x14ac:dyDescent="0.3">
      <c r="B4394" s="72"/>
      <c r="C4394" s="73"/>
      <c r="D4394" s="74"/>
      <c r="G4394" s="75"/>
    </row>
    <row r="4395" spans="2:7" x14ac:dyDescent="0.3">
      <c r="B4395" s="72"/>
      <c r="C4395" s="73"/>
      <c r="D4395" s="74"/>
      <c r="G4395" s="75"/>
    </row>
    <row r="4396" spans="2:7" x14ac:dyDescent="0.3">
      <c r="B4396" s="72"/>
      <c r="C4396" s="73"/>
      <c r="D4396" s="74"/>
      <c r="G4396" s="75"/>
    </row>
    <row r="4397" spans="2:7" x14ac:dyDescent="0.3">
      <c r="B4397" s="72"/>
      <c r="C4397" s="73"/>
      <c r="D4397" s="74"/>
      <c r="G4397" s="75"/>
    </row>
    <row r="4398" spans="2:7" x14ac:dyDescent="0.3">
      <c r="B4398" s="72"/>
      <c r="C4398" s="73"/>
      <c r="D4398" s="74"/>
      <c r="G4398" s="75"/>
    </row>
    <row r="4399" spans="2:7" x14ac:dyDescent="0.3">
      <c r="B4399" s="72"/>
      <c r="C4399" s="73"/>
      <c r="D4399" s="74"/>
      <c r="G4399" s="75"/>
    </row>
    <row r="4400" spans="2:7" x14ac:dyDescent="0.3">
      <c r="B4400" s="72"/>
      <c r="C4400" s="73"/>
      <c r="D4400" s="74"/>
      <c r="G4400" s="75"/>
    </row>
    <row r="4401" spans="2:7" x14ac:dyDescent="0.3">
      <c r="B4401" s="72"/>
      <c r="C4401" s="73"/>
      <c r="D4401" s="74"/>
      <c r="G4401" s="75"/>
    </row>
    <row r="4402" spans="2:7" x14ac:dyDescent="0.3">
      <c r="B4402" s="72"/>
      <c r="C4402" s="73"/>
      <c r="D4402" s="74"/>
      <c r="G4402" s="75"/>
    </row>
    <row r="4403" spans="2:7" x14ac:dyDescent="0.3">
      <c r="B4403" s="72"/>
      <c r="C4403" s="73"/>
      <c r="D4403" s="74"/>
      <c r="G4403" s="75"/>
    </row>
    <row r="4404" spans="2:7" x14ac:dyDescent="0.3">
      <c r="B4404" s="72"/>
      <c r="C4404" s="73"/>
      <c r="D4404" s="74"/>
      <c r="G4404" s="75"/>
    </row>
    <row r="4405" spans="2:7" x14ac:dyDescent="0.3">
      <c r="B4405" s="72"/>
      <c r="C4405" s="73"/>
      <c r="D4405" s="74"/>
      <c r="G4405" s="75"/>
    </row>
    <row r="4406" spans="2:7" x14ac:dyDescent="0.3">
      <c r="B4406" s="72"/>
      <c r="C4406" s="73"/>
      <c r="D4406" s="74"/>
      <c r="G4406" s="75"/>
    </row>
    <row r="4407" spans="2:7" x14ac:dyDescent="0.3">
      <c r="B4407" s="72"/>
      <c r="C4407" s="73"/>
      <c r="D4407" s="74"/>
      <c r="G4407" s="75"/>
    </row>
    <row r="4408" spans="2:7" x14ac:dyDescent="0.3">
      <c r="B4408" s="72"/>
      <c r="C4408" s="73"/>
      <c r="D4408" s="74"/>
      <c r="G4408" s="75"/>
    </row>
    <row r="4409" spans="2:7" x14ac:dyDescent="0.3">
      <c r="B4409" s="72"/>
      <c r="C4409" s="73"/>
      <c r="D4409" s="74"/>
      <c r="G4409" s="75"/>
    </row>
    <row r="4410" spans="2:7" x14ac:dyDescent="0.3">
      <c r="B4410" s="72"/>
      <c r="C4410" s="73"/>
      <c r="D4410" s="74"/>
      <c r="G4410" s="75"/>
    </row>
    <row r="4411" spans="2:7" x14ac:dyDescent="0.3">
      <c r="B4411" s="72"/>
      <c r="C4411" s="73"/>
      <c r="D4411" s="74"/>
      <c r="G4411" s="75"/>
    </row>
    <row r="4412" spans="2:7" x14ac:dyDescent="0.3">
      <c r="B4412" s="72"/>
      <c r="C4412" s="73"/>
      <c r="D4412" s="74"/>
      <c r="G4412" s="75"/>
    </row>
    <row r="4413" spans="2:7" x14ac:dyDescent="0.3">
      <c r="B4413" s="72"/>
      <c r="C4413" s="73"/>
      <c r="D4413" s="74"/>
      <c r="G4413" s="75"/>
    </row>
    <row r="4414" spans="2:7" x14ac:dyDescent="0.3">
      <c r="B4414" s="72"/>
      <c r="C4414" s="73"/>
      <c r="D4414" s="74"/>
      <c r="G4414" s="75"/>
    </row>
    <row r="4415" spans="2:7" x14ac:dyDescent="0.3">
      <c r="B4415" s="72"/>
      <c r="C4415" s="73"/>
      <c r="D4415" s="74"/>
      <c r="G4415" s="75"/>
    </row>
    <row r="4416" spans="2:7" x14ac:dyDescent="0.3">
      <c r="B4416" s="72"/>
      <c r="C4416" s="73"/>
      <c r="D4416" s="74"/>
      <c r="G4416" s="75"/>
    </row>
    <row r="4417" spans="2:7" x14ac:dyDescent="0.3">
      <c r="B4417" s="72"/>
      <c r="C4417" s="73"/>
      <c r="D4417" s="74"/>
      <c r="G4417" s="75"/>
    </row>
    <row r="4418" spans="2:7" x14ac:dyDescent="0.3">
      <c r="B4418" s="72"/>
      <c r="C4418" s="73"/>
      <c r="D4418" s="74"/>
      <c r="G4418" s="75"/>
    </row>
    <row r="4419" spans="2:7" x14ac:dyDescent="0.3">
      <c r="B4419" s="72"/>
      <c r="C4419" s="73"/>
      <c r="D4419" s="74"/>
      <c r="G4419" s="75"/>
    </row>
    <row r="4420" spans="2:7" x14ac:dyDescent="0.3">
      <c r="B4420" s="72"/>
      <c r="C4420" s="73"/>
      <c r="D4420" s="74"/>
      <c r="G4420" s="75"/>
    </row>
    <row r="4421" spans="2:7" x14ac:dyDescent="0.3">
      <c r="B4421" s="72"/>
      <c r="C4421" s="73"/>
      <c r="D4421" s="74"/>
      <c r="G4421" s="75"/>
    </row>
    <row r="4422" spans="2:7" x14ac:dyDescent="0.3">
      <c r="B4422" s="72"/>
      <c r="C4422" s="73"/>
      <c r="D4422" s="74"/>
      <c r="G4422" s="75"/>
    </row>
    <row r="4423" spans="2:7" x14ac:dyDescent="0.3">
      <c r="B4423" s="72"/>
      <c r="C4423" s="73"/>
      <c r="D4423" s="74"/>
      <c r="G4423" s="75"/>
    </row>
    <row r="4424" spans="2:7" x14ac:dyDescent="0.3">
      <c r="B4424" s="72"/>
      <c r="C4424" s="73"/>
      <c r="D4424" s="74"/>
      <c r="G4424" s="75"/>
    </row>
    <row r="4425" spans="2:7" x14ac:dyDescent="0.3">
      <c r="B4425" s="72"/>
      <c r="C4425" s="73"/>
      <c r="D4425" s="74"/>
      <c r="G4425" s="75"/>
    </row>
    <row r="4426" spans="2:7" x14ac:dyDescent="0.3">
      <c r="B4426" s="72"/>
      <c r="C4426" s="73"/>
      <c r="D4426" s="74"/>
      <c r="G4426" s="75"/>
    </row>
    <row r="4427" spans="2:7" x14ac:dyDescent="0.3">
      <c r="B4427" s="72"/>
      <c r="C4427" s="73"/>
      <c r="D4427" s="74"/>
      <c r="G4427" s="75"/>
    </row>
    <row r="4428" spans="2:7" x14ac:dyDescent="0.3">
      <c r="B4428" s="72"/>
      <c r="C4428" s="73"/>
      <c r="D4428" s="74"/>
      <c r="G4428" s="75"/>
    </row>
    <row r="4429" spans="2:7" x14ac:dyDescent="0.3">
      <c r="B4429" s="72"/>
      <c r="C4429" s="73"/>
      <c r="D4429" s="74"/>
      <c r="G4429" s="75"/>
    </row>
    <row r="4430" spans="2:7" x14ac:dyDescent="0.3">
      <c r="B4430" s="72"/>
      <c r="C4430" s="73"/>
      <c r="D4430" s="74"/>
      <c r="G4430" s="75"/>
    </row>
    <row r="4431" spans="2:7" x14ac:dyDescent="0.3">
      <c r="B4431" s="72"/>
      <c r="C4431" s="73"/>
      <c r="D4431" s="74"/>
      <c r="G4431" s="75"/>
    </row>
    <row r="4432" spans="2:7" x14ac:dyDescent="0.3">
      <c r="B4432" s="72"/>
      <c r="C4432" s="73"/>
      <c r="D4432" s="74"/>
      <c r="G4432" s="75"/>
    </row>
    <row r="4433" spans="2:7" x14ac:dyDescent="0.3">
      <c r="B4433" s="72"/>
      <c r="C4433" s="73"/>
      <c r="D4433" s="74"/>
      <c r="G4433" s="75"/>
    </row>
    <row r="4434" spans="2:7" x14ac:dyDescent="0.3">
      <c r="B4434" s="72"/>
      <c r="C4434" s="73"/>
      <c r="D4434" s="74"/>
      <c r="G4434" s="75"/>
    </row>
    <row r="4435" spans="2:7" x14ac:dyDescent="0.3">
      <c r="B4435" s="72"/>
      <c r="C4435" s="73"/>
      <c r="D4435" s="74"/>
      <c r="G4435" s="75"/>
    </row>
    <row r="4436" spans="2:7" x14ac:dyDescent="0.3">
      <c r="B4436" s="72"/>
      <c r="C4436" s="73"/>
      <c r="D4436" s="74"/>
      <c r="G4436" s="75"/>
    </row>
    <row r="4437" spans="2:7" x14ac:dyDescent="0.3">
      <c r="B4437" s="72"/>
      <c r="C4437" s="73"/>
      <c r="D4437" s="74"/>
      <c r="G4437" s="75"/>
    </row>
    <row r="4438" spans="2:7" x14ac:dyDescent="0.3">
      <c r="B4438" s="72"/>
      <c r="C4438" s="73"/>
      <c r="D4438" s="74"/>
      <c r="G4438" s="75"/>
    </row>
    <row r="4439" spans="2:7" x14ac:dyDescent="0.3">
      <c r="B4439" s="72"/>
      <c r="C4439" s="73"/>
      <c r="D4439" s="74"/>
      <c r="G4439" s="75"/>
    </row>
    <row r="4440" spans="2:7" x14ac:dyDescent="0.3">
      <c r="B4440" s="72"/>
      <c r="C4440" s="73"/>
      <c r="D4440" s="74"/>
      <c r="G4440" s="75"/>
    </row>
    <row r="4441" spans="2:7" x14ac:dyDescent="0.3">
      <c r="B4441" s="72"/>
      <c r="C4441" s="73"/>
      <c r="D4441" s="74"/>
      <c r="G4441" s="75"/>
    </row>
    <row r="4442" spans="2:7" x14ac:dyDescent="0.3">
      <c r="B4442" s="72"/>
      <c r="C4442" s="73"/>
      <c r="D4442" s="74"/>
      <c r="G4442" s="75"/>
    </row>
    <row r="4443" spans="2:7" x14ac:dyDescent="0.3">
      <c r="B4443" s="72"/>
      <c r="C4443" s="73"/>
      <c r="D4443" s="74"/>
      <c r="G4443" s="75"/>
    </row>
    <row r="4444" spans="2:7" x14ac:dyDescent="0.3">
      <c r="B4444" s="72"/>
      <c r="C4444" s="73"/>
      <c r="D4444" s="74"/>
      <c r="G4444" s="75"/>
    </row>
    <row r="4445" spans="2:7" x14ac:dyDescent="0.3">
      <c r="B4445" s="72"/>
      <c r="C4445" s="73"/>
      <c r="D4445" s="74"/>
      <c r="G4445" s="75"/>
    </row>
    <row r="4446" spans="2:7" x14ac:dyDescent="0.3">
      <c r="B4446" s="72"/>
      <c r="C4446" s="73"/>
      <c r="D4446" s="74"/>
      <c r="G4446" s="75"/>
    </row>
    <row r="4447" spans="2:7" x14ac:dyDescent="0.3">
      <c r="B4447" s="72"/>
      <c r="C4447" s="73"/>
      <c r="D4447" s="74"/>
      <c r="G4447" s="75"/>
    </row>
    <row r="4448" spans="2:7" x14ac:dyDescent="0.3">
      <c r="B4448" s="72"/>
      <c r="C4448" s="73"/>
      <c r="D4448" s="74"/>
      <c r="G4448" s="75"/>
    </row>
    <row r="4449" spans="2:7" x14ac:dyDescent="0.3">
      <c r="B4449" s="72"/>
      <c r="C4449" s="73"/>
      <c r="D4449" s="74"/>
      <c r="G4449" s="75"/>
    </row>
    <row r="4450" spans="2:7" x14ac:dyDescent="0.3">
      <c r="B4450" s="72"/>
      <c r="C4450" s="73"/>
      <c r="D4450" s="74"/>
      <c r="G4450" s="75"/>
    </row>
    <row r="4451" spans="2:7" x14ac:dyDescent="0.3">
      <c r="B4451" s="72"/>
      <c r="C4451" s="73"/>
      <c r="D4451" s="74"/>
      <c r="G4451" s="75"/>
    </row>
    <row r="4452" spans="2:7" x14ac:dyDescent="0.3">
      <c r="B4452" s="72"/>
      <c r="C4452" s="73"/>
      <c r="D4452" s="74"/>
      <c r="G4452" s="75"/>
    </row>
    <row r="4453" spans="2:7" x14ac:dyDescent="0.3">
      <c r="B4453" s="72"/>
      <c r="C4453" s="73"/>
      <c r="D4453" s="74"/>
      <c r="G4453" s="75"/>
    </row>
    <row r="4454" spans="2:7" x14ac:dyDescent="0.3">
      <c r="B4454" s="72"/>
      <c r="C4454" s="73"/>
      <c r="D4454" s="74"/>
      <c r="G4454" s="75"/>
    </row>
    <row r="4455" spans="2:7" x14ac:dyDescent="0.3">
      <c r="B4455" s="72"/>
      <c r="C4455" s="73"/>
      <c r="D4455" s="74"/>
      <c r="G4455" s="75"/>
    </row>
    <row r="4456" spans="2:7" x14ac:dyDescent="0.3">
      <c r="B4456" s="72"/>
      <c r="C4456" s="73"/>
      <c r="D4456" s="74"/>
      <c r="G4456" s="75"/>
    </row>
    <row r="4457" spans="2:7" x14ac:dyDescent="0.3">
      <c r="B4457" s="72"/>
      <c r="C4457" s="73"/>
      <c r="D4457" s="74"/>
      <c r="G4457" s="75"/>
    </row>
    <row r="4458" spans="2:7" x14ac:dyDescent="0.3">
      <c r="B4458" s="72"/>
      <c r="C4458" s="73"/>
      <c r="D4458" s="74"/>
      <c r="G4458" s="75"/>
    </row>
    <row r="4459" spans="2:7" x14ac:dyDescent="0.3">
      <c r="B4459" s="72"/>
      <c r="C4459" s="73"/>
      <c r="D4459" s="74"/>
      <c r="G4459" s="75"/>
    </row>
    <row r="4460" spans="2:7" x14ac:dyDescent="0.3">
      <c r="B4460" s="72"/>
      <c r="C4460" s="73"/>
      <c r="D4460" s="74"/>
      <c r="G4460" s="75"/>
    </row>
    <row r="4461" spans="2:7" x14ac:dyDescent="0.3">
      <c r="B4461" s="72"/>
      <c r="C4461" s="73"/>
      <c r="D4461" s="74"/>
      <c r="G4461" s="75"/>
    </row>
    <row r="4462" spans="2:7" x14ac:dyDescent="0.3">
      <c r="B4462" s="72"/>
      <c r="C4462" s="73"/>
      <c r="D4462" s="74"/>
      <c r="G4462" s="75"/>
    </row>
    <row r="4463" spans="2:7" x14ac:dyDescent="0.3">
      <c r="B4463" s="72"/>
      <c r="C4463" s="73"/>
      <c r="D4463" s="74"/>
      <c r="G4463" s="75"/>
    </row>
    <row r="4464" spans="2:7" x14ac:dyDescent="0.3">
      <c r="B4464" s="72"/>
      <c r="C4464" s="73"/>
      <c r="D4464" s="74"/>
      <c r="G4464" s="75"/>
    </row>
    <row r="4465" spans="2:7" x14ac:dyDescent="0.3">
      <c r="B4465" s="72"/>
      <c r="C4465" s="73"/>
      <c r="D4465" s="74"/>
      <c r="G4465" s="75"/>
    </row>
    <row r="4466" spans="2:7" x14ac:dyDescent="0.3">
      <c r="B4466" s="72"/>
      <c r="C4466" s="73"/>
      <c r="D4466" s="74"/>
      <c r="G4466" s="75"/>
    </row>
    <row r="4467" spans="2:7" x14ac:dyDescent="0.3">
      <c r="B4467" s="72"/>
      <c r="C4467" s="73"/>
      <c r="D4467" s="74"/>
      <c r="G4467" s="75"/>
    </row>
    <row r="4468" spans="2:7" x14ac:dyDescent="0.3">
      <c r="B4468" s="72"/>
      <c r="C4468" s="73"/>
      <c r="D4468" s="74"/>
      <c r="G4468" s="75"/>
    </row>
    <row r="4469" spans="2:7" x14ac:dyDescent="0.3">
      <c r="B4469" s="72"/>
      <c r="C4469" s="73"/>
      <c r="D4469" s="74"/>
      <c r="G4469" s="75"/>
    </row>
    <row r="4470" spans="2:7" x14ac:dyDescent="0.3">
      <c r="B4470" s="72"/>
      <c r="C4470" s="73"/>
      <c r="D4470" s="74"/>
      <c r="G4470" s="75"/>
    </row>
    <row r="4471" spans="2:7" x14ac:dyDescent="0.3">
      <c r="B4471" s="72"/>
      <c r="C4471" s="73"/>
      <c r="D4471" s="74"/>
      <c r="G4471" s="75"/>
    </row>
    <row r="4472" spans="2:7" x14ac:dyDescent="0.3">
      <c r="B4472" s="72"/>
      <c r="C4472" s="73"/>
      <c r="D4472" s="74"/>
      <c r="G4472" s="75"/>
    </row>
    <row r="4473" spans="2:7" x14ac:dyDescent="0.3">
      <c r="B4473" s="72"/>
      <c r="C4473" s="73"/>
      <c r="D4473" s="74"/>
      <c r="G4473" s="75"/>
    </row>
    <row r="4474" spans="2:7" x14ac:dyDescent="0.3">
      <c r="B4474" s="72"/>
      <c r="C4474" s="73"/>
      <c r="D4474" s="74"/>
      <c r="G4474" s="75"/>
    </row>
    <row r="4475" spans="2:7" x14ac:dyDescent="0.3">
      <c r="B4475" s="72"/>
      <c r="C4475" s="73"/>
      <c r="D4475" s="74"/>
      <c r="G4475" s="75"/>
    </row>
    <row r="4476" spans="2:7" x14ac:dyDescent="0.3">
      <c r="B4476" s="72"/>
      <c r="C4476" s="73"/>
      <c r="D4476" s="74"/>
      <c r="G4476" s="75"/>
    </row>
    <row r="4477" spans="2:7" x14ac:dyDescent="0.3">
      <c r="B4477" s="72"/>
      <c r="C4477" s="73"/>
      <c r="D4477" s="74"/>
      <c r="G4477" s="75"/>
    </row>
    <row r="4478" spans="2:7" x14ac:dyDescent="0.3">
      <c r="B4478" s="72"/>
      <c r="C4478" s="73"/>
      <c r="D4478" s="74"/>
      <c r="G4478" s="75"/>
    </row>
    <row r="4479" spans="2:7" x14ac:dyDescent="0.3">
      <c r="B4479" s="72"/>
      <c r="C4479" s="73"/>
      <c r="D4479" s="74"/>
      <c r="G4479" s="75"/>
    </row>
    <row r="4480" spans="2:7" x14ac:dyDescent="0.3">
      <c r="B4480" s="72"/>
      <c r="C4480" s="73"/>
      <c r="D4480" s="74"/>
      <c r="G4480" s="75"/>
    </row>
    <row r="4481" spans="2:7" x14ac:dyDescent="0.3">
      <c r="B4481" s="72"/>
      <c r="C4481" s="73"/>
      <c r="D4481" s="74"/>
      <c r="G4481" s="75"/>
    </row>
    <row r="4482" spans="2:7" x14ac:dyDescent="0.3">
      <c r="B4482" s="72"/>
      <c r="C4482" s="73"/>
      <c r="D4482" s="74"/>
      <c r="G4482" s="75"/>
    </row>
    <row r="4483" spans="2:7" x14ac:dyDescent="0.3">
      <c r="B4483" s="72"/>
      <c r="C4483" s="73"/>
      <c r="D4483" s="74"/>
      <c r="G4483" s="75"/>
    </row>
    <row r="4484" spans="2:7" x14ac:dyDescent="0.3">
      <c r="B4484" s="72"/>
      <c r="C4484" s="73"/>
      <c r="D4484" s="74"/>
      <c r="G4484" s="75"/>
    </row>
    <row r="4485" spans="2:7" x14ac:dyDescent="0.3">
      <c r="B4485" s="72"/>
      <c r="C4485" s="73"/>
      <c r="D4485" s="74"/>
      <c r="G4485" s="75"/>
    </row>
    <row r="4486" spans="2:7" x14ac:dyDescent="0.3">
      <c r="B4486" s="72"/>
      <c r="C4486" s="73"/>
      <c r="D4486" s="74"/>
      <c r="G4486" s="75"/>
    </row>
    <row r="4487" spans="2:7" x14ac:dyDescent="0.3">
      <c r="B4487" s="72"/>
      <c r="C4487" s="73"/>
      <c r="D4487" s="74"/>
      <c r="G4487" s="75"/>
    </row>
    <row r="4488" spans="2:7" x14ac:dyDescent="0.3">
      <c r="B4488" s="72"/>
      <c r="C4488" s="73"/>
      <c r="D4488" s="74"/>
      <c r="G4488" s="75"/>
    </row>
    <row r="4489" spans="2:7" x14ac:dyDescent="0.3">
      <c r="B4489" s="72"/>
      <c r="C4489" s="73"/>
      <c r="D4489" s="74"/>
      <c r="G4489" s="75"/>
    </row>
    <row r="4490" spans="2:7" x14ac:dyDescent="0.3">
      <c r="B4490" s="72"/>
      <c r="C4490" s="73"/>
      <c r="D4490" s="74"/>
      <c r="G4490" s="75"/>
    </row>
    <row r="4491" spans="2:7" x14ac:dyDescent="0.3">
      <c r="B4491" s="72"/>
      <c r="C4491" s="73"/>
      <c r="D4491" s="74"/>
      <c r="G4491" s="75"/>
    </row>
    <row r="4492" spans="2:7" x14ac:dyDescent="0.3">
      <c r="B4492" s="72"/>
      <c r="C4492" s="73"/>
      <c r="D4492" s="74"/>
      <c r="G4492" s="75"/>
    </row>
    <row r="4493" spans="2:7" x14ac:dyDescent="0.3">
      <c r="B4493" s="72"/>
      <c r="C4493" s="73"/>
      <c r="D4493" s="74"/>
      <c r="G4493" s="75"/>
    </row>
    <row r="4494" spans="2:7" x14ac:dyDescent="0.3">
      <c r="B4494" s="72"/>
      <c r="C4494" s="73"/>
      <c r="D4494" s="74"/>
      <c r="G4494" s="75"/>
    </row>
    <row r="4495" spans="2:7" x14ac:dyDescent="0.3">
      <c r="B4495" s="72"/>
      <c r="C4495" s="73"/>
      <c r="D4495" s="74"/>
      <c r="G4495" s="75"/>
    </row>
    <row r="4496" spans="2:7" x14ac:dyDescent="0.3">
      <c r="B4496" s="72"/>
      <c r="C4496" s="73"/>
      <c r="D4496" s="74"/>
      <c r="G4496" s="75"/>
    </row>
    <row r="4497" spans="2:7" x14ac:dyDescent="0.3">
      <c r="B4497" s="72"/>
      <c r="C4497" s="73"/>
      <c r="D4497" s="74"/>
      <c r="G4497" s="75"/>
    </row>
    <row r="4498" spans="2:7" x14ac:dyDescent="0.3">
      <c r="B4498" s="72"/>
      <c r="C4498" s="73"/>
      <c r="D4498" s="74"/>
      <c r="G4498" s="75"/>
    </row>
    <row r="4499" spans="2:7" x14ac:dyDescent="0.3">
      <c r="B4499" s="72"/>
      <c r="C4499" s="73"/>
      <c r="D4499" s="74"/>
      <c r="G4499" s="75"/>
    </row>
    <row r="4500" spans="2:7" x14ac:dyDescent="0.3">
      <c r="B4500" s="72"/>
      <c r="C4500" s="73"/>
      <c r="D4500" s="74"/>
      <c r="G4500" s="75"/>
    </row>
    <row r="4501" spans="2:7" x14ac:dyDescent="0.3">
      <c r="B4501" s="72"/>
      <c r="C4501" s="73"/>
      <c r="D4501" s="74"/>
      <c r="G4501" s="75"/>
    </row>
    <row r="4502" spans="2:7" x14ac:dyDescent="0.3">
      <c r="B4502" s="72"/>
      <c r="C4502" s="73"/>
      <c r="D4502" s="74"/>
      <c r="G4502" s="75"/>
    </row>
    <row r="4503" spans="2:7" x14ac:dyDescent="0.3">
      <c r="B4503" s="72"/>
      <c r="C4503" s="73"/>
      <c r="D4503" s="74"/>
      <c r="G4503" s="75"/>
    </row>
    <row r="4504" spans="2:7" x14ac:dyDescent="0.3">
      <c r="B4504" s="72"/>
      <c r="C4504" s="73"/>
      <c r="D4504" s="74"/>
      <c r="G4504" s="75"/>
    </row>
    <row r="4505" spans="2:7" x14ac:dyDescent="0.3">
      <c r="B4505" s="72"/>
      <c r="C4505" s="73"/>
      <c r="D4505" s="74"/>
      <c r="G4505" s="75"/>
    </row>
    <row r="4506" spans="2:7" x14ac:dyDescent="0.3">
      <c r="B4506" s="72"/>
      <c r="C4506" s="73"/>
      <c r="D4506" s="74"/>
      <c r="G4506" s="75"/>
    </row>
    <row r="4507" spans="2:7" x14ac:dyDescent="0.3">
      <c r="B4507" s="72"/>
      <c r="C4507" s="73"/>
      <c r="D4507" s="74"/>
      <c r="G4507" s="75"/>
    </row>
    <row r="4508" spans="2:7" x14ac:dyDescent="0.3">
      <c r="B4508" s="72"/>
      <c r="C4508" s="73"/>
      <c r="D4508" s="74"/>
      <c r="G4508" s="75"/>
    </row>
    <row r="4509" spans="2:7" x14ac:dyDescent="0.3">
      <c r="B4509" s="72"/>
      <c r="C4509" s="73"/>
      <c r="D4509" s="74"/>
      <c r="G4509" s="75"/>
    </row>
    <row r="4510" spans="2:7" x14ac:dyDescent="0.3">
      <c r="B4510" s="72"/>
      <c r="C4510" s="73"/>
      <c r="D4510" s="74"/>
      <c r="G4510" s="75"/>
    </row>
    <row r="4511" spans="2:7" x14ac:dyDescent="0.3">
      <c r="B4511" s="72"/>
      <c r="C4511" s="73"/>
      <c r="D4511" s="74"/>
      <c r="G4511" s="75"/>
    </row>
    <row r="4512" spans="2:7" x14ac:dyDescent="0.3">
      <c r="B4512" s="72"/>
      <c r="C4512" s="73"/>
      <c r="D4512" s="74"/>
      <c r="G4512" s="75"/>
    </row>
    <row r="4513" spans="2:7" x14ac:dyDescent="0.3">
      <c r="B4513" s="72"/>
      <c r="C4513" s="73"/>
      <c r="D4513" s="74"/>
      <c r="G4513" s="75"/>
    </row>
    <row r="4514" spans="2:7" x14ac:dyDescent="0.3">
      <c r="B4514" s="72"/>
      <c r="C4514" s="73"/>
      <c r="D4514" s="74"/>
      <c r="G4514" s="75"/>
    </row>
    <row r="4515" spans="2:7" x14ac:dyDescent="0.3">
      <c r="B4515" s="72"/>
      <c r="C4515" s="73"/>
      <c r="D4515" s="74"/>
      <c r="G4515" s="75"/>
    </row>
    <row r="4516" spans="2:7" x14ac:dyDescent="0.3">
      <c r="B4516" s="72"/>
      <c r="C4516" s="73"/>
      <c r="D4516" s="74"/>
      <c r="G4516" s="75"/>
    </row>
    <row r="4517" spans="2:7" x14ac:dyDescent="0.3">
      <c r="B4517" s="72"/>
      <c r="C4517" s="73"/>
      <c r="D4517" s="74"/>
      <c r="G4517" s="75"/>
    </row>
    <row r="4518" spans="2:7" x14ac:dyDescent="0.3">
      <c r="B4518" s="72"/>
      <c r="C4518" s="73"/>
      <c r="D4518" s="74"/>
      <c r="G4518" s="75"/>
    </row>
    <row r="4519" spans="2:7" x14ac:dyDescent="0.3">
      <c r="B4519" s="72"/>
      <c r="C4519" s="73"/>
      <c r="D4519" s="74"/>
      <c r="G4519" s="75"/>
    </row>
    <row r="4520" spans="2:7" x14ac:dyDescent="0.3">
      <c r="B4520" s="72"/>
      <c r="C4520" s="73"/>
      <c r="D4520" s="74"/>
      <c r="G4520" s="75"/>
    </row>
    <row r="4521" spans="2:7" x14ac:dyDescent="0.3">
      <c r="B4521" s="72"/>
      <c r="C4521" s="73"/>
      <c r="D4521" s="74"/>
      <c r="G4521" s="75"/>
    </row>
    <row r="4522" spans="2:7" x14ac:dyDescent="0.3">
      <c r="B4522" s="72"/>
      <c r="C4522" s="73"/>
      <c r="D4522" s="74"/>
      <c r="G4522" s="75"/>
    </row>
    <row r="4523" spans="2:7" x14ac:dyDescent="0.3">
      <c r="B4523" s="72"/>
      <c r="C4523" s="73"/>
      <c r="D4523" s="74"/>
      <c r="G4523" s="75"/>
    </row>
    <row r="4524" spans="2:7" x14ac:dyDescent="0.3">
      <c r="B4524" s="72"/>
      <c r="C4524" s="73"/>
      <c r="D4524" s="74"/>
      <c r="G4524" s="75"/>
    </row>
    <row r="4525" spans="2:7" x14ac:dyDescent="0.3">
      <c r="B4525" s="72"/>
      <c r="C4525" s="73"/>
      <c r="D4525" s="74"/>
      <c r="G4525" s="75"/>
    </row>
    <row r="4526" spans="2:7" x14ac:dyDescent="0.3">
      <c r="B4526" s="72"/>
      <c r="C4526" s="73"/>
      <c r="D4526" s="74"/>
      <c r="G4526" s="75"/>
    </row>
    <row r="4527" spans="2:7" x14ac:dyDescent="0.3">
      <c r="B4527" s="72"/>
      <c r="C4527" s="73"/>
      <c r="D4527" s="74"/>
      <c r="G4527" s="75"/>
    </row>
    <row r="4528" spans="2:7" x14ac:dyDescent="0.3">
      <c r="B4528" s="72"/>
      <c r="C4528" s="73"/>
      <c r="D4528" s="74"/>
      <c r="G4528" s="75"/>
    </row>
    <row r="4529" spans="2:7" x14ac:dyDescent="0.3">
      <c r="B4529" s="72"/>
      <c r="C4529" s="73"/>
      <c r="D4529" s="74"/>
      <c r="G4529" s="75"/>
    </row>
    <row r="4530" spans="2:7" x14ac:dyDescent="0.3">
      <c r="B4530" s="72"/>
      <c r="C4530" s="73"/>
      <c r="D4530" s="74"/>
      <c r="G4530" s="75"/>
    </row>
    <row r="4531" spans="2:7" x14ac:dyDescent="0.3">
      <c r="B4531" s="72"/>
      <c r="C4531" s="73"/>
      <c r="D4531" s="74"/>
      <c r="G4531" s="75"/>
    </row>
    <row r="4532" spans="2:7" x14ac:dyDescent="0.3">
      <c r="B4532" s="72"/>
      <c r="C4532" s="73"/>
      <c r="D4532" s="74"/>
      <c r="G4532" s="75"/>
    </row>
    <row r="4533" spans="2:7" x14ac:dyDescent="0.3">
      <c r="B4533" s="72"/>
      <c r="C4533" s="73"/>
      <c r="D4533" s="74"/>
      <c r="G4533" s="75"/>
    </row>
    <row r="4534" spans="2:7" x14ac:dyDescent="0.3">
      <c r="B4534" s="72"/>
      <c r="C4534" s="73"/>
      <c r="D4534" s="74"/>
      <c r="G4534" s="75"/>
    </row>
    <row r="4535" spans="2:7" x14ac:dyDescent="0.3">
      <c r="B4535" s="72"/>
      <c r="C4535" s="73"/>
      <c r="D4535" s="74"/>
      <c r="G4535" s="75"/>
    </row>
    <row r="4536" spans="2:7" x14ac:dyDescent="0.3">
      <c r="B4536" s="72"/>
      <c r="C4536" s="73"/>
      <c r="D4536" s="74"/>
      <c r="G4536" s="75"/>
    </row>
    <row r="4537" spans="2:7" x14ac:dyDescent="0.3">
      <c r="B4537" s="72"/>
      <c r="C4537" s="73"/>
      <c r="D4537" s="74"/>
      <c r="G4537" s="75"/>
    </row>
    <row r="4538" spans="2:7" x14ac:dyDescent="0.3">
      <c r="B4538" s="72"/>
      <c r="C4538" s="73"/>
      <c r="D4538" s="74"/>
      <c r="G4538" s="75"/>
    </row>
    <row r="4539" spans="2:7" x14ac:dyDescent="0.3">
      <c r="B4539" s="72"/>
      <c r="C4539" s="73"/>
      <c r="D4539" s="74"/>
      <c r="G4539" s="75"/>
    </row>
    <row r="4540" spans="2:7" x14ac:dyDescent="0.3">
      <c r="B4540" s="72"/>
      <c r="C4540" s="73"/>
      <c r="D4540" s="74"/>
      <c r="G4540" s="75"/>
    </row>
    <row r="4541" spans="2:7" x14ac:dyDescent="0.3">
      <c r="B4541" s="72"/>
      <c r="C4541" s="73"/>
      <c r="D4541" s="74"/>
      <c r="G4541" s="75"/>
    </row>
    <row r="4542" spans="2:7" x14ac:dyDescent="0.3">
      <c r="B4542" s="72"/>
      <c r="C4542" s="73"/>
      <c r="D4542" s="74"/>
      <c r="G4542" s="75"/>
    </row>
    <row r="4543" spans="2:7" x14ac:dyDescent="0.3">
      <c r="B4543" s="72"/>
      <c r="C4543" s="73"/>
      <c r="D4543" s="74"/>
      <c r="G4543" s="75"/>
    </row>
    <row r="4544" spans="2:7" x14ac:dyDescent="0.3">
      <c r="B4544" s="72"/>
      <c r="C4544" s="73"/>
      <c r="D4544" s="74"/>
      <c r="G4544" s="75"/>
    </row>
    <row r="4545" spans="2:7" x14ac:dyDescent="0.3">
      <c r="B4545" s="72"/>
      <c r="C4545" s="73"/>
      <c r="D4545" s="74"/>
      <c r="G4545" s="75"/>
    </row>
    <row r="4546" spans="2:7" x14ac:dyDescent="0.3">
      <c r="B4546" s="72"/>
      <c r="C4546" s="73"/>
      <c r="D4546" s="74"/>
      <c r="G4546" s="75"/>
    </row>
    <row r="4547" spans="2:7" x14ac:dyDescent="0.3">
      <c r="B4547" s="72"/>
      <c r="C4547" s="73"/>
      <c r="D4547" s="74"/>
      <c r="G4547" s="75"/>
    </row>
    <row r="4548" spans="2:7" x14ac:dyDescent="0.3">
      <c r="B4548" s="72"/>
      <c r="C4548" s="73"/>
      <c r="D4548" s="74"/>
      <c r="G4548" s="75"/>
    </row>
    <row r="4549" spans="2:7" x14ac:dyDescent="0.3">
      <c r="B4549" s="72"/>
      <c r="C4549" s="73"/>
      <c r="D4549" s="74"/>
      <c r="G4549" s="75"/>
    </row>
    <row r="4550" spans="2:7" x14ac:dyDescent="0.3">
      <c r="B4550" s="72"/>
      <c r="C4550" s="73"/>
      <c r="D4550" s="74"/>
      <c r="G4550" s="75"/>
    </row>
    <row r="4551" spans="2:7" x14ac:dyDescent="0.3">
      <c r="B4551" s="72"/>
      <c r="C4551" s="73"/>
      <c r="D4551" s="74"/>
      <c r="G4551" s="75"/>
    </row>
    <row r="4552" spans="2:7" x14ac:dyDescent="0.3">
      <c r="B4552" s="72"/>
      <c r="C4552" s="73"/>
      <c r="D4552" s="74"/>
      <c r="G4552" s="75"/>
    </row>
    <row r="4553" spans="2:7" x14ac:dyDescent="0.3">
      <c r="B4553" s="72"/>
      <c r="C4553" s="73"/>
      <c r="D4553" s="74"/>
      <c r="G4553" s="75"/>
    </row>
    <row r="4554" spans="2:7" x14ac:dyDescent="0.3">
      <c r="B4554" s="72"/>
      <c r="C4554" s="73"/>
      <c r="D4554" s="74"/>
      <c r="G4554" s="75"/>
    </row>
    <row r="4555" spans="2:7" x14ac:dyDescent="0.3">
      <c r="B4555" s="72"/>
      <c r="C4555" s="73"/>
      <c r="D4555" s="74"/>
      <c r="G4555" s="75"/>
    </row>
    <row r="4556" spans="2:7" x14ac:dyDescent="0.3">
      <c r="B4556" s="72"/>
      <c r="C4556" s="73"/>
      <c r="D4556" s="74"/>
      <c r="G4556" s="75"/>
    </row>
    <row r="4557" spans="2:7" x14ac:dyDescent="0.3">
      <c r="B4557" s="72"/>
      <c r="C4557" s="73"/>
      <c r="D4557" s="74"/>
      <c r="G4557" s="75"/>
    </row>
    <row r="4558" spans="2:7" x14ac:dyDescent="0.3">
      <c r="B4558" s="72"/>
      <c r="C4558" s="73"/>
      <c r="D4558" s="74"/>
      <c r="G4558" s="75"/>
    </row>
    <row r="4559" spans="2:7" x14ac:dyDescent="0.3">
      <c r="B4559" s="72"/>
      <c r="C4559" s="73"/>
      <c r="D4559" s="74"/>
      <c r="G4559" s="75"/>
    </row>
    <row r="4560" spans="2:7" x14ac:dyDescent="0.3">
      <c r="B4560" s="72"/>
      <c r="C4560" s="73"/>
      <c r="D4560" s="74"/>
      <c r="G4560" s="75"/>
    </row>
    <row r="4561" spans="2:7" x14ac:dyDescent="0.3">
      <c r="B4561" s="72"/>
      <c r="C4561" s="73"/>
      <c r="D4561" s="74"/>
      <c r="G4561" s="75"/>
    </row>
    <row r="4562" spans="2:7" x14ac:dyDescent="0.3">
      <c r="B4562" s="72"/>
      <c r="C4562" s="73"/>
      <c r="D4562" s="74"/>
      <c r="G4562" s="75"/>
    </row>
    <row r="4563" spans="2:7" x14ac:dyDescent="0.3">
      <c r="B4563" s="72"/>
      <c r="C4563" s="73"/>
      <c r="D4563" s="74"/>
      <c r="G4563" s="75"/>
    </row>
    <row r="4564" spans="2:7" x14ac:dyDescent="0.3">
      <c r="B4564" s="72"/>
      <c r="C4564" s="73"/>
      <c r="D4564" s="74"/>
      <c r="G4564" s="75"/>
    </row>
    <row r="4565" spans="2:7" x14ac:dyDescent="0.3">
      <c r="B4565" s="72"/>
      <c r="C4565" s="73"/>
      <c r="D4565" s="74"/>
      <c r="G4565" s="75"/>
    </row>
    <row r="4566" spans="2:7" x14ac:dyDescent="0.3">
      <c r="B4566" s="72"/>
      <c r="C4566" s="73"/>
      <c r="D4566" s="74"/>
      <c r="G4566" s="75"/>
    </row>
    <row r="4567" spans="2:7" x14ac:dyDescent="0.3">
      <c r="B4567" s="72"/>
      <c r="C4567" s="73"/>
      <c r="D4567" s="74"/>
      <c r="G4567" s="75"/>
    </row>
    <row r="4568" spans="2:7" x14ac:dyDescent="0.3">
      <c r="B4568" s="72"/>
      <c r="C4568" s="73"/>
      <c r="D4568" s="74"/>
      <c r="G4568" s="75"/>
    </row>
    <row r="4569" spans="2:7" x14ac:dyDescent="0.3">
      <c r="B4569" s="72"/>
      <c r="C4569" s="73"/>
      <c r="D4569" s="74"/>
      <c r="G4569" s="75"/>
    </row>
    <row r="4570" spans="2:7" x14ac:dyDescent="0.3">
      <c r="B4570" s="72"/>
      <c r="C4570" s="73"/>
      <c r="D4570" s="74"/>
      <c r="G4570" s="75"/>
    </row>
    <row r="4571" spans="2:7" x14ac:dyDescent="0.3">
      <c r="B4571" s="72"/>
      <c r="C4571" s="73"/>
      <c r="D4571" s="74"/>
      <c r="G4571" s="75"/>
    </row>
    <row r="4572" spans="2:7" x14ac:dyDescent="0.3">
      <c r="B4572" s="72"/>
      <c r="C4572" s="73"/>
      <c r="D4572" s="74"/>
      <c r="G4572" s="75"/>
    </row>
    <row r="4573" spans="2:7" x14ac:dyDescent="0.3">
      <c r="B4573" s="72"/>
      <c r="C4573" s="73"/>
      <c r="D4573" s="74"/>
      <c r="G4573" s="75"/>
    </row>
    <row r="4574" spans="2:7" x14ac:dyDescent="0.3">
      <c r="B4574" s="72"/>
      <c r="C4574" s="73"/>
      <c r="D4574" s="74"/>
      <c r="G4574" s="75"/>
    </row>
    <row r="4575" spans="2:7" x14ac:dyDescent="0.3">
      <c r="B4575" s="72"/>
      <c r="C4575" s="73"/>
      <c r="D4575" s="74"/>
      <c r="G4575" s="75"/>
    </row>
    <row r="4576" spans="2:7" x14ac:dyDescent="0.3">
      <c r="B4576" s="72"/>
      <c r="C4576" s="73"/>
      <c r="D4576" s="74"/>
      <c r="G4576" s="75"/>
    </row>
    <row r="4577" spans="2:7" x14ac:dyDescent="0.3">
      <c r="B4577" s="72"/>
      <c r="C4577" s="73"/>
      <c r="D4577" s="74"/>
      <c r="G4577" s="75"/>
    </row>
    <row r="4578" spans="2:7" x14ac:dyDescent="0.3">
      <c r="B4578" s="72"/>
      <c r="C4578" s="73"/>
      <c r="D4578" s="74"/>
      <c r="G4578" s="75"/>
    </row>
    <row r="4579" spans="2:7" x14ac:dyDescent="0.3">
      <c r="B4579" s="72"/>
      <c r="C4579" s="73"/>
      <c r="D4579" s="74"/>
      <c r="G4579" s="75"/>
    </row>
    <row r="4580" spans="2:7" x14ac:dyDescent="0.3">
      <c r="B4580" s="72"/>
      <c r="C4580" s="73"/>
      <c r="D4580" s="74"/>
      <c r="G4580" s="75"/>
    </row>
    <row r="4581" spans="2:7" x14ac:dyDescent="0.3">
      <c r="B4581" s="72"/>
      <c r="C4581" s="73"/>
      <c r="D4581" s="74"/>
      <c r="G4581" s="75"/>
    </row>
    <row r="4582" spans="2:7" x14ac:dyDescent="0.3">
      <c r="B4582" s="72"/>
      <c r="C4582" s="73"/>
      <c r="D4582" s="74"/>
      <c r="G4582" s="75"/>
    </row>
    <row r="4583" spans="2:7" x14ac:dyDescent="0.3">
      <c r="B4583" s="72"/>
      <c r="C4583" s="73"/>
      <c r="D4583" s="74"/>
      <c r="G4583" s="75"/>
    </row>
    <row r="4584" spans="2:7" x14ac:dyDescent="0.3">
      <c r="B4584" s="72"/>
      <c r="C4584" s="73"/>
      <c r="D4584" s="74"/>
      <c r="G4584" s="75"/>
    </row>
    <row r="4585" spans="2:7" x14ac:dyDescent="0.3">
      <c r="B4585" s="72"/>
      <c r="C4585" s="73"/>
      <c r="D4585" s="74"/>
      <c r="G4585" s="75"/>
    </row>
    <row r="4586" spans="2:7" x14ac:dyDescent="0.3">
      <c r="B4586" s="72"/>
      <c r="C4586" s="73"/>
      <c r="D4586" s="74"/>
      <c r="G4586" s="75"/>
    </row>
    <row r="4587" spans="2:7" x14ac:dyDescent="0.3">
      <c r="B4587" s="72"/>
      <c r="C4587" s="73"/>
      <c r="D4587" s="74"/>
      <c r="G4587" s="75"/>
    </row>
    <row r="4588" spans="2:7" x14ac:dyDescent="0.3">
      <c r="B4588" s="72"/>
      <c r="C4588" s="73"/>
      <c r="D4588" s="74"/>
      <c r="G4588" s="75"/>
    </row>
    <row r="4589" spans="2:7" x14ac:dyDescent="0.3">
      <c r="B4589" s="72"/>
      <c r="C4589" s="73"/>
      <c r="D4589" s="74"/>
      <c r="G4589" s="75"/>
    </row>
    <row r="4590" spans="2:7" x14ac:dyDescent="0.3">
      <c r="B4590" s="72"/>
      <c r="C4590" s="73"/>
      <c r="D4590" s="74"/>
      <c r="G4590" s="75"/>
    </row>
    <row r="4591" spans="2:7" x14ac:dyDescent="0.3">
      <c r="B4591" s="72"/>
      <c r="C4591" s="73"/>
      <c r="D4591" s="74"/>
      <c r="G4591" s="75"/>
    </row>
    <row r="4592" spans="2:7" x14ac:dyDescent="0.3">
      <c r="B4592" s="72"/>
      <c r="C4592" s="73"/>
      <c r="D4592" s="74"/>
      <c r="G4592" s="75"/>
    </row>
    <row r="4593" spans="2:7" x14ac:dyDescent="0.3">
      <c r="B4593" s="72"/>
      <c r="C4593" s="73"/>
      <c r="D4593" s="74"/>
      <c r="G4593" s="75"/>
    </row>
    <row r="4594" spans="2:7" x14ac:dyDescent="0.3">
      <c r="B4594" s="72"/>
      <c r="C4594" s="73"/>
      <c r="D4594" s="74"/>
      <c r="G4594" s="75"/>
    </row>
    <row r="4595" spans="2:7" x14ac:dyDescent="0.3">
      <c r="B4595" s="72"/>
      <c r="C4595" s="73"/>
      <c r="D4595" s="74"/>
      <c r="G4595" s="75"/>
    </row>
    <row r="4596" spans="2:7" x14ac:dyDescent="0.3">
      <c r="B4596" s="72"/>
      <c r="C4596" s="73"/>
      <c r="D4596" s="74"/>
      <c r="G4596" s="75"/>
    </row>
    <row r="4597" spans="2:7" x14ac:dyDescent="0.3">
      <c r="B4597" s="72"/>
      <c r="C4597" s="73"/>
      <c r="D4597" s="74"/>
      <c r="G4597" s="75"/>
    </row>
    <row r="4598" spans="2:7" x14ac:dyDescent="0.3">
      <c r="B4598" s="72"/>
      <c r="C4598" s="73"/>
      <c r="D4598" s="74"/>
      <c r="G4598" s="75"/>
    </row>
    <row r="4599" spans="2:7" x14ac:dyDescent="0.3">
      <c r="B4599" s="72"/>
      <c r="C4599" s="73"/>
      <c r="D4599" s="74"/>
      <c r="G4599" s="75"/>
    </row>
    <row r="4600" spans="2:7" x14ac:dyDescent="0.3">
      <c r="B4600" s="72"/>
      <c r="C4600" s="73"/>
      <c r="D4600" s="74"/>
      <c r="G4600" s="75"/>
    </row>
    <row r="4601" spans="2:7" x14ac:dyDescent="0.3">
      <c r="B4601" s="72"/>
      <c r="C4601" s="73"/>
      <c r="D4601" s="74"/>
      <c r="G4601" s="75"/>
    </row>
    <row r="4602" spans="2:7" x14ac:dyDescent="0.3">
      <c r="B4602" s="72"/>
      <c r="C4602" s="73"/>
      <c r="D4602" s="74"/>
      <c r="G4602" s="75"/>
    </row>
    <row r="4603" spans="2:7" x14ac:dyDescent="0.3">
      <c r="B4603" s="72"/>
      <c r="C4603" s="73"/>
      <c r="D4603" s="74"/>
      <c r="G4603" s="75"/>
    </row>
    <row r="4604" spans="2:7" x14ac:dyDescent="0.3">
      <c r="B4604" s="72"/>
      <c r="C4604" s="73"/>
      <c r="D4604" s="74"/>
      <c r="G4604" s="75"/>
    </row>
    <row r="4605" spans="2:7" x14ac:dyDescent="0.3">
      <c r="B4605" s="72"/>
      <c r="C4605" s="73"/>
      <c r="D4605" s="74"/>
      <c r="G4605" s="75"/>
    </row>
    <row r="4606" spans="2:7" x14ac:dyDescent="0.3">
      <c r="B4606" s="72"/>
      <c r="C4606" s="73"/>
      <c r="D4606" s="74"/>
      <c r="G4606" s="75"/>
    </row>
    <row r="4607" spans="2:7" x14ac:dyDescent="0.3">
      <c r="B4607" s="72"/>
      <c r="C4607" s="73"/>
      <c r="D4607" s="74"/>
      <c r="G4607" s="75"/>
    </row>
    <row r="4608" spans="2:7" x14ac:dyDescent="0.3">
      <c r="B4608" s="72"/>
      <c r="C4608" s="73"/>
      <c r="D4608" s="74"/>
      <c r="G4608" s="75"/>
    </row>
    <row r="4609" spans="2:7" x14ac:dyDescent="0.3">
      <c r="B4609" s="72"/>
      <c r="C4609" s="73"/>
      <c r="D4609" s="74"/>
      <c r="G4609" s="75"/>
    </row>
    <row r="4610" spans="2:7" x14ac:dyDescent="0.3">
      <c r="B4610" s="72"/>
      <c r="C4610" s="73"/>
      <c r="D4610" s="74"/>
      <c r="G4610" s="75"/>
    </row>
    <row r="4611" spans="2:7" x14ac:dyDescent="0.3">
      <c r="B4611" s="72"/>
      <c r="C4611" s="73"/>
      <c r="D4611" s="74"/>
      <c r="G4611" s="75"/>
    </row>
    <row r="4612" spans="2:7" x14ac:dyDescent="0.3">
      <c r="B4612" s="72"/>
      <c r="C4612" s="73"/>
      <c r="D4612" s="74"/>
      <c r="G4612" s="75"/>
    </row>
    <row r="4613" spans="2:7" x14ac:dyDescent="0.3">
      <c r="B4613" s="72"/>
      <c r="C4613" s="73"/>
      <c r="D4613" s="74"/>
      <c r="G4613" s="75"/>
    </row>
    <row r="4614" spans="2:7" x14ac:dyDescent="0.3">
      <c r="B4614" s="72"/>
      <c r="C4614" s="73"/>
      <c r="D4614" s="74"/>
      <c r="G4614" s="75"/>
    </row>
    <row r="4615" spans="2:7" x14ac:dyDescent="0.3">
      <c r="B4615" s="72"/>
      <c r="C4615" s="73"/>
      <c r="D4615" s="74"/>
      <c r="G4615" s="75"/>
    </row>
    <row r="4616" spans="2:7" x14ac:dyDescent="0.3">
      <c r="B4616" s="72"/>
      <c r="C4616" s="73"/>
      <c r="D4616" s="74"/>
      <c r="G4616" s="75"/>
    </row>
    <row r="4617" spans="2:7" x14ac:dyDescent="0.3">
      <c r="B4617" s="72"/>
      <c r="C4617" s="73"/>
      <c r="D4617" s="74"/>
      <c r="G4617" s="75"/>
    </row>
    <row r="4618" spans="2:7" x14ac:dyDescent="0.3">
      <c r="B4618" s="72"/>
      <c r="C4618" s="73"/>
      <c r="D4618" s="74"/>
      <c r="G4618" s="75"/>
    </row>
    <row r="4619" spans="2:7" x14ac:dyDescent="0.3">
      <c r="B4619" s="72"/>
      <c r="C4619" s="73"/>
      <c r="D4619" s="74"/>
      <c r="G4619" s="75"/>
    </row>
    <row r="4620" spans="2:7" x14ac:dyDescent="0.3">
      <c r="B4620" s="72"/>
      <c r="C4620" s="73"/>
      <c r="D4620" s="74"/>
      <c r="G4620" s="75"/>
    </row>
    <row r="4621" spans="2:7" x14ac:dyDescent="0.3">
      <c r="B4621" s="72"/>
      <c r="C4621" s="73"/>
      <c r="D4621" s="74"/>
      <c r="G4621" s="75"/>
    </row>
    <row r="4622" spans="2:7" x14ac:dyDescent="0.3">
      <c r="B4622" s="72"/>
      <c r="C4622" s="73"/>
      <c r="D4622" s="74"/>
      <c r="G4622" s="75"/>
    </row>
    <row r="4623" spans="2:7" x14ac:dyDescent="0.3">
      <c r="B4623" s="72"/>
      <c r="C4623" s="73"/>
      <c r="D4623" s="74"/>
      <c r="G4623" s="75"/>
    </row>
    <row r="4624" spans="2:7" x14ac:dyDescent="0.3">
      <c r="B4624" s="72"/>
      <c r="C4624" s="73"/>
      <c r="D4624" s="74"/>
      <c r="G4624" s="75"/>
    </row>
    <row r="4625" spans="2:7" x14ac:dyDescent="0.3">
      <c r="B4625" s="72"/>
      <c r="C4625" s="73"/>
      <c r="D4625" s="74"/>
      <c r="G4625" s="75"/>
    </row>
    <row r="4626" spans="2:7" x14ac:dyDescent="0.3">
      <c r="B4626" s="72"/>
      <c r="C4626" s="73"/>
      <c r="D4626" s="74"/>
      <c r="G4626" s="75"/>
    </row>
    <row r="4627" spans="2:7" x14ac:dyDescent="0.3">
      <c r="B4627" s="72"/>
      <c r="C4627" s="73"/>
      <c r="D4627" s="74"/>
      <c r="G4627" s="75"/>
    </row>
    <row r="4628" spans="2:7" x14ac:dyDescent="0.3">
      <c r="B4628" s="72"/>
      <c r="C4628" s="73"/>
      <c r="D4628" s="74"/>
      <c r="G4628" s="75"/>
    </row>
    <row r="4629" spans="2:7" x14ac:dyDescent="0.3">
      <c r="B4629" s="72"/>
      <c r="C4629" s="73"/>
      <c r="D4629" s="74"/>
      <c r="G4629" s="75"/>
    </row>
    <row r="4630" spans="2:7" x14ac:dyDescent="0.3">
      <c r="B4630" s="72"/>
      <c r="C4630" s="73"/>
      <c r="D4630" s="74"/>
      <c r="G4630" s="75"/>
    </row>
    <row r="4631" spans="2:7" x14ac:dyDescent="0.3">
      <c r="B4631" s="72"/>
      <c r="C4631" s="73"/>
      <c r="D4631" s="74"/>
      <c r="G4631" s="75"/>
    </row>
    <row r="4632" spans="2:7" x14ac:dyDescent="0.3">
      <c r="B4632" s="72"/>
      <c r="C4632" s="73"/>
      <c r="D4632" s="74"/>
      <c r="G4632" s="75"/>
    </row>
    <row r="4633" spans="2:7" x14ac:dyDescent="0.3">
      <c r="B4633" s="72"/>
      <c r="C4633" s="73"/>
      <c r="D4633" s="74"/>
      <c r="G4633" s="75"/>
    </row>
    <row r="4634" spans="2:7" x14ac:dyDescent="0.3">
      <c r="B4634" s="72"/>
      <c r="C4634" s="73"/>
      <c r="D4634" s="74"/>
      <c r="G4634" s="75"/>
    </row>
    <row r="4635" spans="2:7" x14ac:dyDescent="0.3">
      <c r="B4635" s="72"/>
      <c r="C4635" s="73"/>
      <c r="D4635" s="74"/>
      <c r="G4635" s="75"/>
    </row>
    <row r="4636" spans="2:7" x14ac:dyDescent="0.3">
      <c r="B4636" s="72"/>
      <c r="C4636" s="73"/>
      <c r="D4636" s="74"/>
      <c r="G4636" s="75"/>
    </row>
    <row r="4637" spans="2:7" x14ac:dyDescent="0.3">
      <c r="B4637" s="72"/>
      <c r="C4637" s="73"/>
      <c r="D4637" s="74"/>
      <c r="G4637" s="75"/>
    </row>
    <row r="4638" spans="2:7" x14ac:dyDescent="0.3">
      <c r="B4638" s="72"/>
      <c r="C4638" s="73"/>
      <c r="D4638" s="74"/>
      <c r="G4638" s="75"/>
    </row>
    <row r="4639" spans="2:7" x14ac:dyDescent="0.3">
      <c r="B4639" s="72"/>
      <c r="C4639" s="73"/>
      <c r="D4639" s="74"/>
      <c r="G4639" s="75"/>
    </row>
    <row r="4640" spans="2:7" x14ac:dyDescent="0.3">
      <c r="B4640" s="72"/>
      <c r="C4640" s="73"/>
      <c r="D4640" s="74"/>
      <c r="G4640" s="75"/>
    </row>
    <row r="4641" spans="2:7" x14ac:dyDescent="0.3">
      <c r="B4641" s="72"/>
      <c r="C4641" s="73"/>
      <c r="D4641" s="74"/>
      <c r="G4641" s="75"/>
    </row>
    <row r="4642" spans="2:7" x14ac:dyDescent="0.3">
      <c r="B4642" s="72"/>
      <c r="C4642" s="73"/>
      <c r="D4642" s="74"/>
      <c r="G4642" s="75"/>
    </row>
    <row r="4643" spans="2:7" x14ac:dyDescent="0.3">
      <c r="B4643" s="72"/>
      <c r="C4643" s="73"/>
      <c r="D4643" s="74"/>
      <c r="G4643" s="75"/>
    </row>
    <row r="4644" spans="2:7" x14ac:dyDescent="0.3">
      <c r="B4644" s="72"/>
      <c r="C4644" s="73"/>
      <c r="D4644" s="74"/>
      <c r="G4644" s="75"/>
    </row>
    <row r="4645" spans="2:7" x14ac:dyDescent="0.3">
      <c r="B4645" s="72"/>
      <c r="C4645" s="73"/>
      <c r="D4645" s="74"/>
      <c r="G4645" s="75"/>
    </row>
    <row r="4646" spans="2:7" x14ac:dyDescent="0.3">
      <c r="B4646" s="72"/>
      <c r="C4646" s="73"/>
      <c r="D4646" s="74"/>
      <c r="G4646" s="75"/>
    </row>
    <row r="4647" spans="2:7" x14ac:dyDescent="0.3">
      <c r="B4647" s="72"/>
      <c r="C4647" s="73"/>
      <c r="D4647" s="74"/>
      <c r="G4647" s="75"/>
    </row>
    <row r="4648" spans="2:7" x14ac:dyDescent="0.3">
      <c r="B4648" s="72"/>
      <c r="C4648" s="73"/>
      <c r="D4648" s="74"/>
      <c r="G4648" s="75"/>
    </row>
    <row r="4649" spans="2:7" x14ac:dyDescent="0.3">
      <c r="B4649" s="72"/>
      <c r="C4649" s="73"/>
      <c r="D4649" s="74"/>
      <c r="G4649" s="75"/>
    </row>
    <row r="4650" spans="2:7" x14ac:dyDescent="0.3">
      <c r="B4650" s="72"/>
      <c r="C4650" s="73"/>
      <c r="D4650" s="74"/>
      <c r="G4650" s="75"/>
    </row>
    <row r="4651" spans="2:7" x14ac:dyDescent="0.3">
      <c r="B4651" s="72"/>
      <c r="C4651" s="73"/>
      <c r="D4651" s="74"/>
      <c r="G4651" s="75"/>
    </row>
    <row r="4652" spans="2:7" x14ac:dyDescent="0.3">
      <c r="B4652" s="72"/>
      <c r="C4652" s="73"/>
      <c r="D4652" s="74"/>
      <c r="G4652" s="75"/>
    </row>
    <row r="4653" spans="2:7" x14ac:dyDescent="0.3">
      <c r="B4653" s="72"/>
      <c r="C4653" s="73"/>
      <c r="D4653" s="74"/>
      <c r="G4653" s="75"/>
    </row>
    <row r="4654" spans="2:7" x14ac:dyDescent="0.3">
      <c r="B4654" s="72"/>
      <c r="C4654" s="73"/>
      <c r="D4654" s="74"/>
      <c r="G4654" s="75"/>
    </row>
    <row r="4655" spans="2:7" x14ac:dyDescent="0.3">
      <c r="B4655" s="72"/>
      <c r="C4655" s="73"/>
      <c r="D4655" s="74"/>
      <c r="G4655" s="75"/>
    </row>
    <row r="4656" spans="2:7" x14ac:dyDescent="0.3">
      <c r="B4656" s="72"/>
      <c r="C4656" s="73"/>
      <c r="D4656" s="74"/>
      <c r="G4656" s="75"/>
    </row>
    <row r="4657" spans="2:7" x14ac:dyDescent="0.3">
      <c r="B4657" s="72"/>
      <c r="C4657" s="73"/>
      <c r="D4657" s="74"/>
      <c r="G4657" s="75"/>
    </row>
    <row r="4658" spans="2:7" x14ac:dyDescent="0.3">
      <c r="B4658" s="72"/>
      <c r="C4658" s="73"/>
      <c r="D4658" s="74"/>
      <c r="G4658" s="75"/>
    </row>
    <row r="4659" spans="2:7" x14ac:dyDescent="0.3">
      <c r="B4659" s="72"/>
      <c r="C4659" s="73"/>
      <c r="D4659" s="74"/>
      <c r="G4659" s="75"/>
    </row>
    <row r="4660" spans="2:7" x14ac:dyDescent="0.3">
      <c r="B4660" s="72"/>
      <c r="C4660" s="73"/>
      <c r="D4660" s="74"/>
      <c r="G4660" s="75"/>
    </row>
    <row r="4661" spans="2:7" x14ac:dyDescent="0.3">
      <c r="B4661" s="72"/>
      <c r="C4661" s="73"/>
      <c r="D4661" s="74"/>
      <c r="G4661" s="75"/>
    </row>
    <row r="4662" spans="2:7" x14ac:dyDescent="0.3">
      <c r="B4662" s="72"/>
      <c r="C4662" s="73"/>
      <c r="D4662" s="74"/>
      <c r="G4662" s="75"/>
    </row>
    <row r="4663" spans="2:7" x14ac:dyDescent="0.3">
      <c r="B4663" s="72"/>
      <c r="C4663" s="73"/>
      <c r="D4663" s="74"/>
      <c r="G4663" s="75"/>
    </row>
    <row r="4664" spans="2:7" x14ac:dyDescent="0.3">
      <c r="B4664" s="72"/>
      <c r="C4664" s="73"/>
      <c r="D4664" s="74"/>
      <c r="G4664" s="75"/>
    </row>
    <row r="4665" spans="2:7" x14ac:dyDescent="0.3">
      <c r="B4665" s="72"/>
      <c r="C4665" s="73"/>
      <c r="D4665" s="74"/>
      <c r="G4665" s="75"/>
    </row>
    <row r="4666" spans="2:7" x14ac:dyDescent="0.3">
      <c r="B4666" s="72"/>
      <c r="C4666" s="73"/>
      <c r="D4666" s="74"/>
      <c r="G4666" s="75"/>
    </row>
    <row r="4667" spans="2:7" x14ac:dyDescent="0.3">
      <c r="B4667" s="72"/>
      <c r="C4667" s="73"/>
      <c r="D4667" s="74"/>
      <c r="G4667" s="75"/>
    </row>
    <row r="4668" spans="2:7" x14ac:dyDescent="0.3">
      <c r="B4668" s="72"/>
      <c r="C4668" s="73"/>
      <c r="D4668" s="74"/>
      <c r="G4668" s="75"/>
    </row>
    <row r="4669" spans="2:7" x14ac:dyDescent="0.3">
      <c r="B4669" s="72"/>
      <c r="C4669" s="73"/>
      <c r="D4669" s="74"/>
      <c r="G4669" s="75"/>
    </row>
    <row r="4670" spans="2:7" x14ac:dyDescent="0.3">
      <c r="B4670" s="72"/>
      <c r="C4670" s="73"/>
      <c r="D4670" s="74"/>
      <c r="G4670" s="75"/>
    </row>
    <row r="4671" spans="2:7" x14ac:dyDescent="0.3">
      <c r="B4671" s="72"/>
      <c r="C4671" s="73"/>
      <c r="D4671" s="74"/>
      <c r="G4671" s="75"/>
    </row>
    <row r="4672" spans="2:7" x14ac:dyDescent="0.3">
      <c r="B4672" s="72"/>
      <c r="C4672" s="73"/>
      <c r="D4672" s="74"/>
      <c r="G4672" s="75"/>
    </row>
    <row r="4673" spans="2:7" x14ac:dyDescent="0.3">
      <c r="B4673" s="72"/>
      <c r="C4673" s="73"/>
      <c r="D4673" s="74"/>
      <c r="G4673" s="75"/>
    </row>
    <row r="4674" spans="2:7" x14ac:dyDescent="0.3">
      <c r="B4674" s="72"/>
      <c r="C4674" s="73"/>
      <c r="D4674" s="74"/>
      <c r="G4674" s="75"/>
    </row>
    <row r="4675" spans="2:7" x14ac:dyDescent="0.3">
      <c r="B4675" s="72"/>
      <c r="C4675" s="73"/>
      <c r="D4675" s="74"/>
      <c r="G4675" s="75"/>
    </row>
    <row r="4676" spans="2:7" x14ac:dyDescent="0.3">
      <c r="B4676" s="72"/>
      <c r="C4676" s="73"/>
      <c r="D4676" s="74"/>
      <c r="G4676" s="75"/>
    </row>
    <row r="4677" spans="2:7" x14ac:dyDescent="0.3">
      <c r="B4677" s="72"/>
      <c r="C4677" s="73"/>
      <c r="D4677" s="74"/>
      <c r="G4677" s="75"/>
    </row>
    <row r="4678" spans="2:7" x14ac:dyDescent="0.3">
      <c r="B4678" s="72"/>
      <c r="C4678" s="73"/>
      <c r="D4678" s="74"/>
      <c r="G4678" s="75"/>
    </row>
    <row r="4679" spans="2:7" x14ac:dyDescent="0.3">
      <c r="B4679" s="72"/>
      <c r="C4679" s="73"/>
      <c r="D4679" s="74"/>
      <c r="G4679" s="75"/>
    </row>
    <row r="4680" spans="2:7" x14ac:dyDescent="0.3">
      <c r="B4680" s="72"/>
      <c r="C4680" s="73"/>
      <c r="D4680" s="74"/>
      <c r="G4680" s="75"/>
    </row>
    <row r="4681" spans="2:7" x14ac:dyDescent="0.3">
      <c r="B4681" s="72"/>
      <c r="C4681" s="73"/>
      <c r="D4681" s="74"/>
      <c r="G4681" s="75"/>
    </row>
    <row r="4682" spans="2:7" x14ac:dyDescent="0.3">
      <c r="B4682" s="72"/>
      <c r="C4682" s="73"/>
      <c r="D4682" s="74"/>
      <c r="G4682" s="75"/>
    </row>
    <row r="4683" spans="2:7" x14ac:dyDescent="0.3">
      <c r="B4683" s="72"/>
      <c r="C4683" s="73"/>
      <c r="D4683" s="74"/>
      <c r="G4683" s="75"/>
    </row>
    <row r="4684" spans="2:7" x14ac:dyDescent="0.3">
      <c r="B4684" s="72"/>
      <c r="C4684" s="73"/>
      <c r="D4684" s="74"/>
      <c r="G4684" s="75"/>
    </row>
    <row r="4685" spans="2:7" x14ac:dyDescent="0.3">
      <c r="B4685" s="72"/>
      <c r="C4685" s="73"/>
      <c r="D4685" s="74"/>
      <c r="G4685" s="75"/>
    </row>
    <row r="4686" spans="2:7" x14ac:dyDescent="0.3">
      <c r="B4686" s="72"/>
      <c r="C4686" s="73"/>
      <c r="D4686" s="74"/>
      <c r="G4686" s="75"/>
    </row>
    <row r="4687" spans="2:7" x14ac:dyDescent="0.3">
      <c r="B4687" s="72"/>
      <c r="C4687" s="73"/>
      <c r="D4687" s="74"/>
      <c r="G4687" s="75"/>
    </row>
    <row r="4688" spans="2:7" x14ac:dyDescent="0.3">
      <c r="B4688" s="72"/>
      <c r="C4688" s="73"/>
      <c r="D4688" s="74"/>
      <c r="G4688" s="75"/>
    </row>
    <row r="4689" spans="2:7" x14ac:dyDescent="0.3">
      <c r="B4689" s="72"/>
      <c r="C4689" s="73"/>
      <c r="D4689" s="74"/>
      <c r="G4689" s="75"/>
    </row>
    <row r="4690" spans="2:7" x14ac:dyDescent="0.3">
      <c r="B4690" s="72"/>
      <c r="C4690" s="73"/>
      <c r="D4690" s="74"/>
      <c r="G4690" s="75"/>
    </row>
    <row r="4691" spans="2:7" x14ac:dyDescent="0.3">
      <c r="B4691" s="72"/>
      <c r="C4691" s="73"/>
      <c r="D4691" s="74"/>
      <c r="G4691" s="75"/>
    </row>
    <row r="4692" spans="2:7" x14ac:dyDescent="0.3">
      <c r="B4692" s="72"/>
      <c r="C4692" s="73"/>
      <c r="D4692" s="74"/>
      <c r="G4692" s="75"/>
    </row>
    <row r="4693" spans="2:7" x14ac:dyDescent="0.3">
      <c r="B4693" s="72"/>
      <c r="C4693" s="73"/>
      <c r="D4693" s="74"/>
      <c r="G4693" s="75"/>
    </row>
    <row r="4694" spans="2:7" x14ac:dyDescent="0.3">
      <c r="B4694" s="72"/>
      <c r="C4694" s="73"/>
      <c r="D4694" s="74"/>
      <c r="G4694" s="75"/>
    </row>
    <row r="4695" spans="2:7" x14ac:dyDescent="0.3">
      <c r="B4695" s="72"/>
      <c r="C4695" s="73"/>
      <c r="D4695" s="74"/>
      <c r="G4695" s="75"/>
    </row>
    <row r="4696" spans="2:7" x14ac:dyDescent="0.3">
      <c r="B4696" s="72"/>
      <c r="C4696" s="73"/>
      <c r="D4696" s="74"/>
      <c r="G4696" s="75"/>
    </row>
    <row r="4697" spans="2:7" x14ac:dyDescent="0.3">
      <c r="B4697" s="72"/>
      <c r="C4697" s="73"/>
      <c r="D4697" s="74"/>
      <c r="G4697" s="75"/>
    </row>
    <row r="4698" spans="2:7" x14ac:dyDescent="0.3">
      <c r="B4698" s="72"/>
      <c r="C4698" s="73"/>
      <c r="D4698" s="74"/>
      <c r="G4698" s="75"/>
    </row>
    <row r="4699" spans="2:7" x14ac:dyDescent="0.3">
      <c r="B4699" s="72"/>
      <c r="C4699" s="73"/>
      <c r="D4699" s="74"/>
      <c r="G4699" s="75"/>
    </row>
    <row r="4700" spans="2:7" x14ac:dyDescent="0.3">
      <c r="B4700" s="72"/>
      <c r="C4700" s="73"/>
      <c r="D4700" s="74"/>
      <c r="G4700" s="75"/>
    </row>
    <row r="4701" spans="2:7" x14ac:dyDescent="0.3">
      <c r="B4701" s="72"/>
      <c r="C4701" s="73"/>
      <c r="D4701" s="74"/>
      <c r="G4701" s="75"/>
    </row>
    <row r="4702" spans="2:7" x14ac:dyDescent="0.3">
      <c r="B4702" s="72"/>
      <c r="C4702" s="73"/>
      <c r="D4702" s="74"/>
      <c r="G4702" s="75"/>
    </row>
    <row r="4703" spans="2:7" x14ac:dyDescent="0.3">
      <c r="B4703" s="72"/>
      <c r="C4703" s="73"/>
      <c r="D4703" s="74"/>
      <c r="G4703" s="75"/>
    </row>
    <row r="4704" spans="2:7" x14ac:dyDescent="0.3">
      <c r="B4704" s="72"/>
      <c r="C4704" s="73"/>
      <c r="D4704" s="74"/>
      <c r="G4704" s="75"/>
    </row>
    <row r="4705" spans="2:7" x14ac:dyDescent="0.3">
      <c r="B4705" s="72"/>
      <c r="C4705" s="73"/>
      <c r="D4705" s="74"/>
      <c r="G4705" s="75"/>
    </row>
    <row r="4706" spans="2:7" x14ac:dyDescent="0.3">
      <c r="B4706" s="72"/>
      <c r="C4706" s="73"/>
      <c r="D4706" s="74"/>
      <c r="G4706" s="75"/>
    </row>
    <row r="4707" spans="2:7" x14ac:dyDescent="0.3">
      <c r="B4707" s="72"/>
      <c r="C4707" s="73"/>
      <c r="D4707" s="74"/>
      <c r="G4707" s="75"/>
    </row>
    <row r="4708" spans="2:7" x14ac:dyDescent="0.3">
      <c r="B4708" s="72"/>
      <c r="C4708" s="73"/>
      <c r="D4708" s="74"/>
      <c r="G4708" s="75"/>
    </row>
    <row r="4709" spans="2:7" x14ac:dyDescent="0.3">
      <c r="B4709" s="72"/>
      <c r="C4709" s="73"/>
      <c r="D4709" s="74"/>
      <c r="G4709" s="75"/>
    </row>
    <row r="4710" spans="2:7" x14ac:dyDescent="0.3">
      <c r="B4710" s="72"/>
      <c r="C4710" s="73"/>
      <c r="D4710" s="74"/>
      <c r="G4710" s="75"/>
    </row>
    <row r="4711" spans="2:7" x14ac:dyDescent="0.3">
      <c r="B4711" s="72"/>
      <c r="C4711" s="73"/>
      <c r="D4711" s="74"/>
      <c r="G4711" s="75"/>
    </row>
    <row r="4712" spans="2:7" x14ac:dyDescent="0.3">
      <c r="B4712" s="72"/>
      <c r="C4712" s="73"/>
      <c r="D4712" s="74"/>
      <c r="G4712" s="75"/>
    </row>
    <row r="4713" spans="2:7" x14ac:dyDescent="0.3">
      <c r="B4713" s="72"/>
      <c r="C4713" s="73"/>
      <c r="D4713" s="74"/>
      <c r="G4713" s="75"/>
    </row>
    <row r="4714" spans="2:7" x14ac:dyDescent="0.3">
      <c r="B4714" s="72"/>
      <c r="C4714" s="73"/>
      <c r="D4714" s="74"/>
      <c r="G4714" s="75"/>
    </row>
    <row r="4715" spans="2:7" x14ac:dyDescent="0.3">
      <c r="B4715" s="72"/>
      <c r="C4715" s="73"/>
      <c r="D4715" s="74"/>
      <c r="G4715" s="75"/>
    </row>
    <row r="4716" spans="2:7" x14ac:dyDescent="0.3">
      <c r="B4716" s="72"/>
      <c r="C4716" s="73"/>
      <c r="D4716" s="74"/>
      <c r="G4716" s="75"/>
    </row>
    <row r="4717" spans="2:7" x14ac:dyDescent="0.3">
      <c r="B4717" s="72"/>
      <c r="C4717" s="73"/>
      <c r="D4717" s="74"/>
      <c r="G4717" s="75"/>
    </row>
    <row r="4718" spans="2:7" x14ac:dyDescent="0.3">
      <c r="B4718" s="72"/>
      <c r="C4718" s="73"/>
      <c r="D4718" s="74"/>
      <c r="G4718" s="75"/>
    </row>
    <row r="4719" spans="2:7" x14ac:dyDescent="0.3">
      <c r="B4719" s="72"/>
      <c r="C4719" s="73"/>
      <c r="D4719" s="74"/>
      <c r="G4719" s="75"/>
    </row>
    <row r="4720" spans="2:7" x14ac:dyDescent="0.3">
      <c r="B4720" s="72"/>
      <c r="C4720" s="73"/>
      <c r="D4720" s="74"/>
      <c r="G4720" s="75"/>
    </row>
    <row r="4721" spans="2:7" x14ac:dyDescent="0.3">
      <c r="B4721" s="72"/>
      <c r="C4721" s="73"/>
      <c r="D4721" s="74"/>
      <c r="G4721" s="75"/>
    </row>
    <row r="4722" spans="2:7" x14ac:dyDescent="0.3">
      <c r="B4722" s="72"/>
      <c r="C4722" s="73"/>
      <c r="D4722" s="74"/>
      <c r="G4722" s="75"/>
    </row>
    <row r="4723" spans="2:7" x14ac:dyDescent="0.3">
      <c r="B4723" s="72"/>
      <c r="C4723" s="73"/>
      <c r="D4723" s="74"/>
      <c r="G4723" s="75"/>
    </row>
    <row r="4724" spans="2:7" x14ac:dyDescent="0.3">
      <c r="B4724" s="72"/>
      <c r="C4724" s="73"/>
      <c r="D4724" s="74"/>
      <c r="G4724" s="75"/>
    </row>
    <row r="4725" spans="2:7" x14ac:dyDescent="0.3">
      <c r="B4725" s="72"/>
      <c r="C4725" s="73"/>
      <c r="D4725" s="74"/>
      <c r="G4725" s="75"/>
    </row>
    <row r="4726" spans="2:7" x14ac:dyDescent="0.3">
      <c r="B4726" s="72"/>
      <c r="C4726" s="73"/>
      <c r="D4726" s="74"/>
      <c r="G4726" s="75"/>
    </row>
    <row r="4727" spans="2:7" x14ac:dyDescent="0.3">
      <c r="B4727" s="72"/>
      <c r="C4727" s="73"/>
      <c r="D4727" s="74"/>
      <c r="G4727" s="75"/>
    </row>
    <row r="4728" spans="2:7" x14ac:dyDescent="0.3">
      <c r="B4728" s="72"/>
      <c r="C4728" s="73"/>
      <c r="D4728" s="74"/>
      <c r="G4728" s="75"/>
    </row>
    <row r="4729" spans="2:7" x14ac:dyDescent="0.3">
      <c r="B4729" s="72"/>
      <c r="C4729" s="73"/>
      <c r="D4729" s="74"/>
      <c r="G4729" s="75"/>
    </row>
    <row r="4730" spans="2:7" x14ac:dyDescent="0.3">
      <c r="B4730" s="72"/>
      <c r="C4730" s="73"/>
      <c r="D4730" s="74"/>
      <c r="G4730" s="75"/>
    </row>
    <row r="4731" spans="2:7" x14ac:dyDescent="0.3">
      <c r="B4731" s="72"/>
      <c r="C4731" s="73"/>
      <c r="D4731" s="74"/>
      <c r="G4731" s="75"/>
    </row>
    <row r="4732" spans="2:7" x14ac:dyDescent="0.3">
      <c r="B4732" s="72"/>
      <c r="C4732" s="73"/>
      <c r="D4732" s="74"/>
      <c r="G4732" s="75"/>
    </row>
    <row r="4733" spans="2:7" x14ac:dyDescent="0.3">
      <c r="B4733" s="72"/>
      <c r="C4733" s="73"/>
      <c r="D4733" s="74"/>
      <c r="G4733" s="75"/>
    </row>
    <row r="4734" spans="2:7" x14ac:dyDescent="0.3">
      <c r="B4734" s="72"/>
      <c r="C4734" s="73"/>
      <c r="D4734" s="74"/>
      <c r="G4734" s="75"/>
    </row>
    <row r="4735" spans="2:7" x14ac:dyDescent="0.3">
      <c r="B4735" s="72"/>
      <c r="C4735" s="73"/>
      <c r="D4735" s="74"/>
      <c r="G4735" s="75"/>
    </row>
    <row r="4736" spans="2:7" x14ac:dyDescent="0.3">
      <c r="B4736" s="72"/>
      <c r="C4736" s="73"/>
      <c r="D4736" s="74"/>
      <c r="G4736" s="75"/>
    </row>
    <row r="4737" spans="2:7" x14ac:dyDescent="0.3">
      <c r="B4737" s="72"/>
      <c r="C4737" s="73"/>
      <c r="D4737" s="74"/>
      <c r="G4737" s="75"/>
    </row>
    <row r="4738" spans="2:7" x14ac:dyDescent="0.3">
      <c r="B4738" s="72"/>
      <c r="C4738" s="73"/>
      <c r="D4738" s="74"/>
      <c r="G4738" s="75"/>
    </row>
    <row r="4739" spans="2:7" x14ac:dyDescent="0.3">
      <c r="B4739" s="72"/>
      <c r="C4739" s="73"/>
      <c r="D4739" s="74"/>
      <c r="G4739" s="75"/>
    </row>
    <row r="4740" spans="2:7" x14ac:dyDescent="0.3">
      <c r="B4740" s="72"/>
      <c r="C4740" s="73"/>
      <c r="D4740" s="74"/>
      <c r="G4740" s="75"/>
    </row>
    <row r="4741" spans="2:7" x14ac:dyDescent="0.3">
      <c r="B4741" s="72"/>
      <c r="C4741" s="73"/>
      <c r="D4741" s="74"/>
      <c r="G4741" s="75"/>
    </row>
    <row r="4742" spans="2:7" x14ac:dyDescent="0.3">
      <c r="B4742" s="72"/>
      <c r="C4742" s="73"/>
      <c r="D4742" s="74"/>
      <c r="G4742" s="75"/>
    </row>
    <row r="4743" spans="2:7" x14ac:dyDescent="0.3">
      <c r="B4743" s="72"/>
      <c r="C4743" s="73"/>
      <c r="D4743" s="74"/>
      <c r="G4743" s="75"/>
    </row>
    <row r="4744" spans="2:7" x14ac:dyDescent="0.3">
      <c r="B4744" s="72"/>
      <c r="C4744" s="73"/>
      <c r="D4744" s="74"/>
      <c r="G4744" s="75"/>
    </row>
    <row r="4745" spans="2:7" x14ac:dyDescent="0.3">
      <c r="B4745" s="72"/>
      <c r="C4745" s="73"/>
      <c r="D4745" s="74"/>
      <c r="G4745" s="75"/>
    </row>
    <row r="4746" spans="2:7" x14ac:dyDescent="0.3">
      <c r="B4746" s="72"/>
      <c r="C4746" s="73"/>
      <c r="D4746" s="74"/>
      <c r="G4746" s="75"/>
    </row>
    <row r="4747" spans="2:7" x14ac:dyDescent="0.3">
      <c r="B4747" s="72"/>
      <c r="C4747" s="73"/>
      <c r="D4747" s="74"/>
      <c r="G4747" s="75"/>
    </row>
    <row r="4748" spans="2:7" x14ac:dyDescent="0.3">
      <c r="B4748" s="72"/>
      <c r="C4748" s="73"/>
      <c r="D4748" s="74"/>
      <c r="G4748" s="75"/>
    </row>
    <row r="4749" spans="2:7" x14ac:dyDescent="0.3">
      <c r="B4749" s="72"/>
      <c r="C4749" s="73"/>
      <c r="D4749" s="74"/>
      <c r="G4749" s="75"/>
    </row>
    <row r="4750" spans="2:7" x14ac:dyDescent="0.3">
      <c r="B4750" s="72"/>
      <c r="C4750" s="73"/>
      <c r="D4750" s="74"/>
      <c r="G4750" s="75"/>
    </row>
    <row r="4751" spans="2:7" x14ac:dyDescent="0.3">
      <c r="B4751" s="72"/>
      <c r="C4751" s="73"/>
      <c r="D4751" s="74"/>
      <c r="G4751" s="75"/>
    </row>
    <row r="4752" spans="2:7" x14ac:dyDescent="0.3">
      <c r="B4752" s="72"/>
      <c r="C4752" s="73"/>
      <c r="D4752" s="74"/>
      <c r="G4752" s="75"/>
    </row>
    <row r="4753" spans="2:7" x14ac:dyDescent="0.3">
      <c r="B4753" s="72"/>
      <c r="C4753" s="73"/>
      <c r="D4753" s="74"/>
      <c r="G4753" s="75"/>
    </row>
    <row r="4754" spans="2:7" x14ac:dyDescent="0.3">
      <c r="B4754" s="72"/>
      <c r="C4754" s="73"/>
      <c r="D4754" s="74"/>
      <c r="G4754" s="75"/>
    </row>
    <row r="4755" spans="2:7" x14ac:dyDescent="0.3">
      <c r="B4755" s="72"/>
      <c r="C4755" s="73"/>
      <c r="D4755" s="74"/>
      <c r="G4755" s="75"/>
    </row>
    <row r="4756" spans="2:7" x14ac:dyDescent="0.3">
      <c r="B4756" s="72"/>
      <c r="C4756" s="73"/>
      <c r="D4756" s="74"/>
      <c r="G4756" s="75"/>
    </row>
    <row r="4757" spans="2:7" x14ac:dyDescent="0.3">
      <c r="B4757" s="72"/>
      <c r="C4757" s="73"/>
      <c r="D4757" s="74"/>
      <c r="G4757" s="75"/>
    </row>
    <row r="4758" spans="2:7" x14ac:dyDescent="0.3">
      <c r="B4758" s="72"/>
      <c r="C4758" s="73"/>
      <c r="D4758" s="74"/>
      <c r="G4758" s="75"/>
    </row>
    <row r="4759" spans="2:7" x14ac:dyDescent="0.3">
      <c r="B4759" s="72"/>
      <c r="C4759" s="73"/>
      <c r="D4759" s="74"/>
      <c r="G4759" s="75"/>
    </row>
    <row r="4760" spans="2:7" x14ac:dyDescent="0.3">
      <c r="B4760" s="72"/>
      <c r="C4760" s="73"/>
      <c r="D4760" s="74"/>
      <c r="G4760" s="75"/>
    </row>
    <row r="4761" spans="2:7" x14ac:dyDescent="0.3">
      <c r="B4761" s="72"/>
      <c r="C4761" s="73"/>
      <c r="D4761" s="74"/>
      <c r="G4761" s="75"/>
    </row>
    <row r="4762" spans="2:7" x14ac:dyDescent="0.3">
      <c r="B4762" s="72"/>
      <c r="C4762" s="73"/>
      <c r="D4762" s="74"/>
      <c r="G4762" s="75"/>
    </row>
    <row r="4763" spans="2:7" x14ac:dyDescent="0.3">
      <c r="B4763" s="72"/>
      <c r="C4763" s="73"/>
      <c r="D4763" s="74"/>
      <c r="G4763" s="75"/>
    </row>
    <row r="4764" spans="2:7" x14ac:dyDescent="0.3">
      <c r="B4764" s="72"/>
      <c r="C4764" s="73"/>
      <c r="D4764" s="74"/>
      <c r="G4764" s="75"/>
    </row>
    <row r="4765" spans="2:7" x14ac:dyDescent="0.3">
      <c r="B4765" s="72"/>
      <c r="C4765" s="73"/>
      <c r="D4765" s="74"/>
      <c r="G4765" s="75"/>
    </row>
    <row r="4766" spans="2:7" x14ac:dyDescent="0.3">
      <c r="B4766" s="72"/>
      <c r="C4766" s="73"/>
      <c r="D4766" s="74"/>
      <c r="G4766" s="75"/>
    </row>
    <row r="4767" spans="2:7" x14ac:dyDescent="0.3">
      <c r="B4767" s="72"/>
      <c r="C4767" s="73"/>
      <c r="D4767" s="74"/>
      <c r="G4767" s="75"/>
    </row>
    <row r="4768" spans="2:7" x14ac:dyDescent="0.3">
      <c r="B4768" s="72"/>
      <c r="C4768" s="73"/>
      <c r="D4768" s="74"/>
      <c r="G4768" s="75"/>
    </row>
    <row r="4769" spans="2:7" x14ac:dyDescent="0.3">
      <c r="B4769" s="72"/>
      <c r="C4769" s="73"/>
      <c r="D4769" s="74"/>
      <c r="G4769" s="75"/>
    </row>
    <row r="4770" spans="2:7" x14ac:dyDescent="0.3">
      <c r="B4770" s="72"/>
      <c r="C4770" s="73"/>
      <c r="D4770" s="74"/>
      <c r="G4770" s="75"/>
    </row>
    <row r="4771" spans="2:7" x14ac:dyDescent="0.3">
      <c r="B4771" s="72"/>
      <c r="C4771" s="73"/>
      <c r="D4771" s="74"/>
      <c r="G4771" s="75"/>
    </row>
    <row r="4772" spans="2:7" x14ac:dyDescent="0.3">
      <c r="B4772" s="72"/>
      <c r="C4772" s="73"/>
      <c r="D4772" s="74"/>
      <c r="G4772" s="75"/>
    </row>
    <row r="4773" spans="2:7" x14ac:dyDescent="0.3">
      <c r="B4773" s="72"/>
      <c r="C4773" s="73"/>
      <c r="D4773" s="74"/>
      <c r="G4773" s="75"/>
    </row>
    <row r="4774" spans="2:7" x14ac:dyDescent="0.3">
      <c r="B4774" s="72"/>
      <c r="C4774" s="73"/>
      <c r="D4774" s="74"/>
      <c r="G4774" s="75"/>
    </row>
    <row r="4775" spans="2:7" x14ac:dyDescent="0.3">
      <c r="B4775" s="72"/>
      <c r="C4775" s="73"/>
      <c r="D4775" s="74"/>
      <c r="G4775" s="75"/>
    </row>
    <row r="4776" spans="2:7" x14ac:dyDescent="0.3">
      <c r="B4776" s="72"/>
      <c r="C4776" s="73"/>
      <c r="D4776" s="74"/>
      <c r="G4776" s="75"/>
    </row>
    <row r="4777" spans="2:7" x14ac:dyDescent="0.3">
      <c r="B4777" s="72"/>
      <c r="C4777" s="73"/>
      <c r="D4777" s="74"/>
      <c r="G4777" s="75"/>
    </row>
    <row r="4778" spans="2:7" x14ac:dyDescent="0.3">
      <c r="B4778" s="72"/>
      <c r="C4778" s="73"/>
      <c r="D4778" s="74"/>
      <c r="G4778" s="75"/>
    </row>
    <row r="4779" spans="2:7" x14ac:dyDescent="0.3">
      <c r="B4779" s="72"/>
      <c r="C4779" s="73"/>
      <c r="D4779" s="74"/>
      <c r="G4779" s="75"/>
    </row>
    <row r="4780" spans="2:7" x14ac:dyDescent="0.3">
      <c r="B4780" s="72"/>
      <c r="C4780" s="73"/>
      <c r="D4780" s="74"/>
      <c r="G4780" s="75"/>
    </row>
    <row r="4781" spans="2:7" x14ac:dyDescent="0.3">
      <c r="B4781" s="72"/>
      <c r="C4781" s="73"/>
      <c r="D4781" s="74"/>
      <c r="G4781" s="75"/>
    </row>
    <row r="4782" spans="2:7" x14ac:dyDescent="0.3">
      <c r="B4782" s="72"/>
      <c r="C4782" s="73"/>
      <c r="D4782" s="74"/>
      <c r="G4782" s="75"/>
    </row>
    <row r="4783" spans="2:7" x14ac:dyDescent="0.3">
      <c r="B4783" s="72"/>
      <c r="C4783" s="73"/>
      <c r="D4783" s="74"/>
      <c r="G4783" s="75"/>
    </row>
    <row r="4784" spans="2:7" x14ac:dyDescent="0.3">
      <c r="B4784" s="72"/>
      <c r="C4784" s="73"/>
      <c r="D4784" s="74"/>
      <c r="G4784" s="75"/>
    </row>
    <row r="4785" spans="2:7" x14ac:dyDescent="0.3">
      <c r="B4785" s="72"/>
      <c r="C4785" s="73"/>
      <c r="D4785" s="74"/>
      <c r="G4785" s="75"/>
    </row>
    <row r="4786" spans="2:7" x14ac:dyDescent="0.3">
      <c r="B4786" s="72"/>
      <c r="C4786" s="73"/>
      <c r="D4786" s="74"/>
      <c r="G4786" s="75"/>
    </row>
    <row r="4787" spans="2:7" x14ac:dyDescent="0.3">
      <c r="B4787" s="72"/>
      <c r="C4787" s="73"/>
      <c r="D4787" s="74"/>
      <c r="G4787" s="75"/>
    </row>
    <row r="4788" spans="2:7" x14ac:dyDescent="0.3">
      <c r="B4788" s="72"/>
      <c r="C4788" s="73"/>
      <c r="D4788" s="74"/>
      <c r="G4788" s="75"/>
    </row>
    <row r="4789" spans="2:7" x14ac:dyDescent="0.3">
      <c r="B4789" s="72"/>
      <c r="C4789" s="73"/>
      <c r="D4789" s="74"/>
      <c r="G4789" s="75"/>
    </row>
    <row r="4790" spans="2:7" x14ac:dyDescent="0.3">
      <c r="B4790" s="72"/>
      <c r="C4790" s="73"/>
      <c r="D4790" s="74"/>
      <c r="G4790" s="75"/>
    </row>
    <row r="4791" spans="2:7" x14ac:dyDescent="0.3">
      <c r="B4791" s="72"/>
      <c r="C4791" s="73"/>
      <c r="D4791" s="74"/>
      <c r="G4791" s="75"/>
    </row>
    <row r="4792" spans="2:7" x14ac:dyDescent="0.3">
      <c r="B4792" s="72"/>
      <c r="C4792" s="73"/>
      <c r="D4792" s="74"/>
      <c r="G4792" s="75"/>
    </row>
    <row r="4793" spans="2:7" x14ac:dyDescent="0.3">
      <c r="B4793" s="72"/>
      <c r="C4793" s="73"/>
      <c r="D4793" s="74"/>
      <c r="G4793" s="75"/>
    </row>
    <row r="4794" spans="2:7" x14ac:dyDescent="0.3">
      <c r="B4794" s="72"/>
      <c r="C4794" s="73"/>
      <c r="D4794" s="74"/>
      <c r="G4794" s="75"/>
    </row>
    <row r="4795" spans="2:7" x14ac:dyDescent="0.3">
      <c r="B4795" s="72"/>
      <c r="C4795" s="73"/>
      <c r="D4795" s="74"/>
      <c r="G4795" s="75"/>
    </row>
    <row r="4796" spans="2:7" x14ac:dyDescent="0.3">
      <c r="B4796" s="72"/>
      <c r="C4796" s="73"/>
      <c r="D4796" s="74"/>
      <c r="G4796" s="75"/>
    </row>
    <row r="4797" spans="2:7" x14ac:dyDescent="0.3">
      <c r="B4797" s="72"/>
      <c r="C4797" s="73"/>
      <c r="D4797" s="74"/>
      <c r="G4797" s="75"/>
    </row>
    <row r="4798" spans="2:7" x14ac:dyDescent="0.3">
      <c r="B4798" s="72"/>
      <c r="C4798" s="73"/>
      <c r="D4798" s="74"/>
      <c r="G4798" s="75"/>
    </row>
    <row r="4799" spans="2:7" x14ac:dyDescent="0.3">
      <c r="B4799" s="72"/>
      <c r="C4799" s="73"/>
      <c r="D4799" s="74"/>
      <c r="G4799" s="75"/>
    </row>
    <row r="4800" spans="2:7" x14ac:dyDescent="0.3">
      <c r="B4800" s="72"/>
      <c r="C4800" s="73"/>
      <c r="D4800" s="74"/>
      <c r="G4800" s="75"/>
    </row>
    <row r="4801" spans="2:7" x14ac:dyDescent="0.3">
      <c r="B4801" s="72"/>
      <c r="C4801" s="73"/>
      <c r="D4801" s="74"/>
      <c r="G4801" s="75"/>
    </row>
    <row r="4802" spans="2:7" x14ac:dyDescent="0.3">
      <c r="B4802" s="72"/>
      <c r="C4802" s="73"/>
      <c r="D4802" s="74"/>
      <c r="G4802" s="75"/>
    </row>
    <row r="4803" spans="2:7" x14ac:dyDescent="0.3">
      <c r="B4803" s="72"/>
      <c r="C4803" s="73"/>
      <c r="D4803" s="74"/>
      <c r="G4803" s="75"/>
    </row>
    <row r="4804" spans="2:7" x14ac:dyDescent="0.3">
      <c r="B4804" s="72"/>
      <c r="C4804" s="73"/>
      <c r="D4804" s="74"/>
      <c r="G4804" s="75"/>
    </row>
    <row r="4805" spans="2:7" x14ac:dyDescent="0.3">
      <c r="B4805" s="72"/>
      <c r="C4805" s="73"/>
      <c r="D4805" s="74"/>
      <c r="G4805" s="75"/>
    </row>
    <row r="4806" spans="2:7" x14ac:dyDescent="0.3">
      <c r="B4806" s="72"/>
      <c r="C4806" s="73"/>
      <c r="D4806" s="74"/>
      <c r="G4806" s="75"/>
    </row>
    <row r="4807" spans="2:7" x14ac:dyDescent="0.3">
      <c r="B4807" s="72"/>
      <c r="C4807" s="73"/>
      <c r="D4807" s="74"/>
      <c r="G4807" s="75"/>
    </row>
    <row r="4808" spans="2:7" x14ac:dyDescent="0.3">
      <c r="B4808" s="72"/>
      <c r="C4808" s="73"/>
      <c r="D4808" s="74"/>
      <c r="G4808" s="75"/>
    </row>
    <row r="4809" spans="2:7" x14ac:dyDescent="0.3">
      <c r="B4809" s="72"/>
      <c r="C4809" s="73"/>
      <c r="D4809" s="74"/>
      <c r="G4809" s="75"/>
    </row>
    <row r="4810" spans="2:7" x14ac:dyDescent="0.3">
      <c r="B4810" s="72"/>
      <c r="C4810" s="73"/>
      <c r="D4810" s="74"/>
      <c r="G4810" s="75"/>
    </row>
    <row r="4811" spans="2:7" x14ac:dyDescent="0.3">
      <c r="B4811" s="72"/>
      <c r="C4811" s="73"/>
      <c r="D4811" s="74"/>
      <c r="G4811" s="75"/>
    </row>
    <row r="4812" spans="2:7" x14ac:dyDescent="0.3">
      <c r="B4812" s="72"/>
      <c r="C4812" s="73"/>
      <c r="D4812" s="74"/>
      <c r="G4812" s="75"/>
    </row>
    <row r="4813" spans="2:7" x14ac:dyDescent="0.3">
      <c r="B4813" s="72"/>
      <c r="C4813" s="73"/>
      <c r="D4813" s="74"/>
      <c r="G4813" s="75"/>
    </row>
    <row r="4814" spans="2:7" x14ac:dyDescent="0.3">
      <c r="B4814" s="72"/>
      <c r="C4814" s="73"/>
      <c r="D4814" s="74"/>
      <c r="G4814" s="75"/>
    </row>
    <row r="4815" spans="2:7" x14ac:dyDescent="0.3">
      <c r="B4815" s="72"/>
      <c r="C4815" s="73"/>
      <c r="D4815" s="74"/>
      <c r="G4815" s="75"/>
    </row>
    <row r="4816" spans="2:7" x14ac:dyDescent="0.3">
      <c r="B4816" s="72"/>
      <c r="C4816" s="73"/>
      <c r="D4816" s="74"/>
      <c r="G4816" s="75"/>
    </row>
    <row r="4817" spans="2:7" x14ac:dyDescent="0.3">
      <c r="B4817" s="72"/>
      <c r="C4817" s="73"/>
      <c r="D4817" s="74"/>
      <c r="G4817" s="75"/>
    </row>
    <row r="4818" spans="2:7" x14ac:dyDescent="0.3">
      <c r="B4818" s="72"/>
      <c r="C4818" s="73"/>
      <c r="D4818" s="74"/>
      <c r="G4818" s="75"/>
    </row>
    <row r="4819" spans="2:7" x14ac:dyDescent="0.3">
      <c r="B4819" s="72"/>
      <c r="C4819" s="73"/>
      <c r="D4819" s="74"/>
      <c r="G4819" s="75"/>
    </row>
    <row r="4820" spans="2:7" x14ac:dyDescent="0.3">
      <c r="B4820" s="72"/>
      <c r="C4820" s="73"/>
      <c r="D4820" s="74"/>
      <c r="G4820" s="75"/>
    </row>
    <row r="4821" spans="2:7" x14ac:dyDescent="0.3">
      <c r="B4821" s="72"/>
      <c r="C4821" s="73"/>
      <c r="D4821" s="74"/>
      <c r="G4821" s="75"/>
    </row>
    <row r="4822" spans="2:7" x14ac:dyDescent="0.3">
      <c r="B4822" s="72"/>
      <c r="C4822" s="73"/>
      <c r="D4822" s="74"/>
      <c r="G4822" s="75"/>
    </row>
    <row r="4823" spans="2:7" x14ac:dyDescent="0.3">
      <c r="B4823" s="72"/>
      <c r="C4823" s="73"/>
      <c r="D4823" s="74"/>
      <c r="G4823" s="75"/>
    </row>
    <row r="4824" spans="2:7" x14ac:dyDescent="0.3">
      <c r="B4824" s="72"/>
      <c r="C4824" s="73"/>
      <c r="D4824" s="74"/>
      <c r="G4824" s="75"/>
    </row>
    <row r="4825" spans="2:7" x14ac:dyDescent="0.3">
      <c r="B4825" s="72"/>
      <c r="C4825" s="73"/>
      <c r="D4825" s="74"/>
      <c r="G4825" s="75"/>
    </row>
    <row r="4826" spans="2:7" x14ac:dyDescent="0.3">
      <c r="B4826" s="72"/>
      <c r="C4826" s="73"/>
      <c r="D4826" s="74"/>
      <c r="G4826" s="75"/>
    </row>
    <row r="4827" spans="2:7" x14ac:dyDescent="0.3">
      <c r="B4827" s="72"/>
      <c r="C4827" s="73"/>
      <c r="D4827" s="74"/>
      <c r="G4827" s="75"/>
    </row>
    <row r="4828" spans="2:7" x14ac:dyDescent="0.3">
      <c r="B4828" s="72"/>
      <c r="C4828" s="73"/>
      <c r="D4828" s="74"/>
      <c r="G4828" s="75"/>
    </row>
    <row r="4829" spans="2:7" x14ac:dyDescent="0.3">
      <c r="B4829" s="72"/>
      <c r="C4829" s="73"/>
      <c r="D4829" s="74"/>
      <c r="G4829" s="75"/>
    </row>
    <row r="4830" spans="2:7" x14ac:dyDescent="0.3">
      <c r="B4830" s="72"/>
      <c r="C4830" s="73"/>
      <c r="D4830" s="74"/>
      <c r="G4830" s="75"/>
    </row>
    <row r="4831" spans="2:7" x14ac:dyDescent="0.3">
      <c r="B4831" s="72"/>
      <c r="C4831" s="73"/>
      <c r="D4831" s="74"/>
      <c r="G4831" s="75"/>
    </row>
    <row r="4832" spans="2:7" x14ac:dyDescent="0.3">
      <c r="B4832" s="72"/>
      <c r="C4832" s="73"/>
      <c r="D4832" s="74"/>
      <c r="G4832" s="75"/>
    </row>
    <row r="4833" spans="2:7" x14ac:dyDescent="0.3">
      <c r="B4833" s="72"/>
      <c r="C4833" s="73"/>
      <c r="D4833" s="74"/>
      <c r="G4833" s="75"/>
    </row>
    <row r="4834" spans="2:7" x14ac:dyDescent="0.3">
      <c r="B4834" s="72"/>
      <c r="C4834" s="73"/>
      <c r="D4834" s="74"/>
      <c r="G4834" s="75"/>
    </row>
    <row r="4835" spans="2:7" x14ac:dyDescent="0.3">
      <c r="B4835" s="72"/>
      <c r="C4835" s="73"/>
      <c r="D4835" s="74"/>
      <c r="G4835" s="75"/>
    </row>
    <row r="4836" spans="2:7" x14ac:dyDescent="0.3">
      <c r="B4836" s="72"/>
      <c r="C4836" s="73"/>
      <c r="D4836" s="74"/>
      <c r="G4836" s="75"/>
    </row>
    <row r="4837" spans="2:7" x14ac:dyDescent="0.3">
      <c r="B4837" s="72"/>
      <c r="C4837" s="73"/>
      <c r="D4837" s="74"/>
      <c r="G4837" s="75"/>
    </row>
    <row r="4838" spans="2:7" x14ac:dyDescent="0.3">
      <c r="B4838" s="72"/>
      <c r="C4838" s="73"/>
      <c r="D4838" s="74"/>
      <c r="G4838" s="75"/>
    </row>
    <row r="4839" spans="2:7" x14ac:dyDescent="0.3">
      <c r="B4839" s="72"/>
      <c r="C4839" s="73"/>
      <c r="D4839" s="74"/>
      <c r="G4839" s="75"/>
    </row>
    <row r="4840" spans="2:7" x14ac:dyDescent="0.3">
      <c r="B4840" s="72"/>
      <c r="C4840" s="73"/>
      <c r="D4840" s="74"/>
      <c r="G4840" s="75"/>
    </row>
    <row r="4841" spans="2:7" x14ac:dyDescent="0.3">
      <c r="B4841" s="72"/>
      <c r="C4841" s="73"/>
      <c r="D4841" s="74"/>
      <c r="G4841" s="75"/>
    </row>
    <row r="4842" spans="2:7" x14ac:dyDescent="0.3">
      <c r="B4842" s="72"/>
      <c r="C4842" s="73"/>
      <c r="D4842" s="74"/>
      <c r="G4842" s="75"/>
    </row>
    <row r="4843" spans="2:7" x14ac:dyDescent="0.3">
      <c r="B4843" s="72"/>
      <c r="C4843" s="73"/>
      <c r="D4843" s="74"/>
      <c r="G4843" s="75"/>
    </row>
    <row r="4844" spans="2:7" x14ac:dyDescent="0.3">
      <c r="B4844" s="72"/>
      <c r="C4844" s="73"/>
      <c r="D4844" s="74"/>
      <c r="G4844" s="75"/>
    </row>
    <row r="4845" spans="2:7" x14ac:dyDescent="0.3">
      <c r="B4845" s="72"/>
      <c r="C4845" s="73"/>
      <c r="D4845" s="74"/>
      <c r="G4845" s="75"/>
    </row>
    <row r="4846" spans="2:7" x14ac:dyDescent="0.3">
      <c r="B4846" s="72"/>
      <c r="C4846" s="73"/>
      <c r="D4846" s="74"/>
      <c r="G4846" s="75"/>
    </row>
    <row r="4847" spans="2:7" x14ac:dyDescent="0.3">
      <c r="B4847" s="72"/>
      <c r="C4847" s="73"/>
      <c r="D4847" s="74"/>
      <c r="G4847" s="75"/>
    </row>
    <row r="4848" spans="2:7" x14ac:dyDescent="0.3">
      <c r="B4848" s="72"/>
      <c r="C4848" s="73"/>
      <c r="D4848" s="74"/>
      <c r="G4848" s="75"/>
    </row>
    <row r="4849" spans="2:7" x14ac:dyDescent="0.3">
      <c r="B4849" s="72"/>
      <c r="C4849" s="73"/>
      <c r="D4849" s="74"/>
      <c r="G4849" s="75"/>
    </row>
    <row r="4850" spans="2:7" x14ac:dyDescent="0.3">
      <c r="B4850" s="72"/>
      <c r="C4850" s="73"/>
      <c r="D4850" s="74"/>
      <c r="G4850" s="75"/>
    </row>
    <row r="4851" spans="2:7" x14ac:dyDescent="0.3">
      <c r="B4851" s="72"/>
      <c r="C4851" s="73"/>
      <c r="D4851" s="74"/>
      <c r="G4851" s="75"/>
    </row>
    <row r="4852" spans="2:7" x14ac:dyDescent="0.3">
      <c r="B4852" s="72"/>
      <c r="C4852" s="73"/>
      <c r="D4852" s="74"/>
      <c r="G4852" s="75"/>
    </row>
    <row r="4853" spans="2:7" x14ac:dyDescent="0.3">
      <c r="B4853" s="72"/>
      <c r="C4853" s="73"/>
      <c r="D4853" s="74"/>
      <c r="G4853" s="75"/>
    </row>
    <row r="4854" spans="2:7" x14ac:dyDescent="0.3">
      <c r="B4854" s="72"/>
      <c r="C4854" s="73"/>
      <c r="D4854" s="74"/>
      <c r="G4854" s="75"/>
    </row>
    <row r="4855" spans="2:7" x14ac:dyDescent="0.3">
      <c r="B4855" s="72"/>
      <c r="C4855" s="73"/>
      <c r="D4855" s="74"/>
      <c r="G4855" s="75"/>
    </row>
    <row r="4856" spans="2:7" x14ac:dyDescent="0.3">
      <c r="B4856" s="72"/>
      <c r="C4856" s="73"/>
      <c r="D4856" s="74"/>
      <c r="G4856" s="75"/>
    </row>
    <row r="4857" spans="2:7" x14ac:dyDescent="0.3">
      <c r="B4857" s="72"/>
      <c r="C4857" s="73"/>
      <c r="D4857" s="74"/>
      <c r="G4857" s="75"/>
    </row>
    <row r="4858" spans="2:7" x14ac:dyDescent="0.3">
      <c r="B4858" s="72"/>
      <c r="C4858" s="73"/>
      <c r="D4858" s="74"/>
      <c r="G4858" s="75"/>
    </row>
    <row r="4859" spans="2:7" x14ac:dyDescent="0.3">
      <c r="B4859" s="72"/>
      <c r="C4859" s="73"/>
      <c r="D4859" s="74"/>
      <c r="G4859" s="75"/>
    </row>
    <row r="4860" spans="2:7" x14ac:dyDescent="0.3">
      <c r="B4860" s="72"/>
      <c r="C4860" s="73"/>
      <c r="D4860" s="74"/>
      <c r="G4860" s="75"/>
    </row>
    <row r="4861" spans="2:7" x14ac:dyDescent="0.3">
      <c r="B4861" s="72"/>
      <c r="C4861" s="73"/>
      <c r="D4861" s="74"/>
      <c r="G4861" s="75"/>
    </row>
    <row r="4862" spans="2:7" x14ac:dyDescent="0.3">
      <c r="B4862" s="72"/>
      <c r="C4862" s="73"/>
      <c r="D4862" s="74"/>
      <c r="G4862" s="75"/>
    </row>
    <row r="4863" spans="2:7" x14ac:dyDescent="0.3">
      <c r="B4863" s="72"/>
      <c r="C4863" s="73"/>
      <c r="D4863" s="74"/>
      <c r="G4863" s="75"/>
    </row>
    <row r="4864" spans="2:7" x14ac:dyDescent="0.3">
      <c r="B4864" s="72"/>
      <c r="C4864" s="73"/>
      <c r="D4864" s="74"/>
      <c r="G4864" s="75"/>
    </row>
    <row r="4865" spans="2:7" x14ac:dyDescent="0.3">
      <c r="B4865" s="72"/>
      <c r="C4865" s="73"/>
      <c r="D4865" s="74"/>
      <c r="G4865" s="75"/>
    </row>
    <row r="4866" spans="2:7" x14ac:dyDescent="0.3">
      <c r="B4866" s="72"/>
      <c r="C4866" s="73"/>
      <c r="D4866" s="74"/>
      <c r="G4866" s="75"/>
    </row>
    <row r="4867" spans="2:7" x14ac:dyDescent="0.3">
      <c r="B4867" s="72"/>
      <c r="C4867" s="73"/>
      <c r="D4867" s="74"/>
      <c r="G4867" s="75"/>
    </row>
    <row r="4868" spans="2:7" x14ac:dyDescent="0.3">
      <c r="B4868" s="72"/>
      <c r="C4868" s="73"/>
      <c r="D4868" s="74"/>
      <c r="G4868" s="75"/>
    </row>
    <row r="4869" spans="2:7" x14ac:dyDescent="0.3">
      <c r="B4869" s="72"/>
      <c r="C4869" s="73"/>
      <c r="D4869" s="74"/>
      <c r="G4869" s="75"/>
    </row>
    <row r="4870" spans="2:7" x14ac:dyDescent="0.3">
      <c r="B4870" s="72"/>
      <c r="C4870" s="73"/>
      <c r="D4870" s="74"/>
      <c r="G4870" s="75"/>
    </row>
    <row r="4871" spans="2:7" x14ac:dyDescent="0.3">
      <c r="B4871" s="72"/>
      <c r="C4871" s="73"/>
      <c r="D4871" s="74"/>
      <c r="G4871" s="75"/>
    </row>
    <row r="4872" spans="2:7" x14ac:dyDescent="0.3">
      <c r="B4872" s="72"/>
      <c r="C4872" s="73"/>
      <c r="D4872" s="74"/>
      <c r="G4872" s="75"/>
    </row>
    <row r="4873" spans="2:7" x14ac:dyDescent="0.3">
      <c r="B4873" s="72"/>
      <c r="C4873" s="73"/>
      <c r="D4873" s="74"/>
      <c r="G4873" s="75"/>
    </row>
    <row r="4874" spans="2:7" x14ac:dyDescent="0.3">
      <c r="B4874" s="72"/>
      <c r="C4874" s="73"/>
      <c r="D4874" s="74"/>
      <c r="G4874" s="75"/>
    </row>
    <row r="4875" spans="2:7" x14ac:dyDescent="0.3">
      <c r="B4875" s="72"/>
      <c r="C4875" s="73"/>
      <c r="D4875" s="74"/>
      <c r="G4875" s="75"/>
    </row>
    <row r="4876" spans="2:7" x14ac:dyDescent="0.3">
      <c r="B4876" s="72"/>
      <c r="C4876" s="73"/>
      <c r="D4876" s="74"/>
      <c r="G4876" s="75"/>
    </row>
    <row r="4877" spans="2:7" x14ac:dyDescent="0.3">
      <c r="B4877" s="72"/>
      <c r="C4877" s="73"/>
      <c r="D4877" s="74"/>
      <c r="G4877" s="75"/>
    </row>
    <row r="4878" spans="2:7" x14ac:dyDescent="0.3">
      <c r="B4878" s="72"/>
      <c r="C4878" s="73"/>
      <c r="D4878" s="74"/>
      <c r="G4878" s="75"/>
    </row>
    <row r="4879" spans="2:7" x14ac:dyDescent="0.3">
      <c r="B4879" s="72"/>
      <c r="C4879" s="73"/>
      <c r="D4879" s="74"/>
      <c r="G4879" s="75"/>
    </row>
    <row r="4880" spans="2:7" x14ac:dyDescent="0.3">
      <c r="B4880" s="72"/>
      <c r="C4880" s="73"/>
      <c r="D4880" s="74"/>
      <c r="G4880" s="75"/>
    </row>
    <row r="4881" spans="2:7" x14ac:dyDescent="0.3">
      <c r="B4881" s="72"/>
      <c r="C4881" s="73"/>
      <c r="D4881" s="74"/>
      <c r="G4881" s="75"/>
    </row>
    <row r="4882" spans="2:7" x14ac:dyDescent="0.3">
      <c r="B4882" s="72"/>
      <c r="C4882" s="73"/>
      <c r="D4882" s="74"/>
      <c r="G4882" s="75"/>
    </row>
    <row r="4883" spans="2:7" x14ac:dyDescent="0.3">
      <c r="B4883" s="72"/>
      <c r="C4883" s="73"/>
      <c r="D4883" s="74"/>
      <c r="G4883" s="75"/>
    </row>
    <row r="4884" spans="2:7" x14ac:dyDescent="0.3">
      <c r="B4884" s="72"/>
      <c r="C4884" s="73"/>
      <c r="D4884" s="74"/>
      <c r="G4884" s="75"/>
    </row>
    <row r="4885" spans="2:7" x14ac:dyDescent="0.3">
      <c r="B4885" s="72"/>
      <c r="C4885" s="73"/>
      <c r="D4885" s="74"/>
      <c r="G4885" s="75"/>
    </row>
    <row r="4886" spans="2:7" x14ac:dyDescent="0.3">
      <c r="B4886" s="72"/>
      <c r="C4886" s="73"/>
      <c r="D4886" s="74"/>
      <c r="G4886" s="75"/>
    </row>
    <row r="4887" spans="2:7" x14ac:dyDescent="0.3">
      <c r="B4887" s="72"/>
      <c r="C4887" s="73"/>
      <c r="D4887" s="74"/>
      <c r="G4887" s="75"/>
    </row>
    <row r="4888" spans="2:7" x14ac:dyDescent="0.3">
      <c r="B4888" s="72"/>
      <c r="C4888" s="73"/>
      <c r="D4888" s="74"/>
      <c r="G4888" s="75"/>
    </row>
    <row r="4889" spans="2:7" x14ac:dyDescent="0.3">
      <c r="B4889" s="72"/>
      <c r="C4889" s="73"/>
      <c r="D4889" s="74"/>
      <c r="G4889" s="75"/>
    </row>
    <row r="4890" spans="2:7" x14ac:dyDescent="0.3">
      <c r="B4890" s="72"/>
      <c r="C4890" s="73"/>
      <c r="D4890" s="74"/>
      <c r="G4890" s="75"/>
    </row>
    <row r="4891" spans="2:7" x14ac:dyDescent="0.3">
      <c r="B4891" s="72"/>
      <c r="C4891" s="73"/>
      <c r="D4891" s="74"/>
      <c r="G4891" s="75"/>
    </row>
    <row r="4892" spans="2:7" x14ac:dyDescent="0.3">
      <c r="B4892" s="72"/>
      <c r="C4892" s="73"/>
      <c r="D4892" s="74"/>
      <c r="G4892" s="75"/>
    </row>
    <row r="4893" spans="2:7" x14ac:dyDescent="0.3">
      <c r="B4893" s="72"/>
      <c r="C4893" s="73"/>
      <c r="D4893" s="74"/>
      <c r="G4893" s="75"/>
    </row>
    <row r="4894" spans="2:7" x14ac:dyDescent="0.3">
      <c r="B4894" s="72"/>
      <c r="C4894" s="73"/>
      <c r="D4894" s="74"/>
      <c r="G4894" s="75"/>
    </row>
    <row r="4895" spans="2:7" x14ac:dyDescent="0.3">
      <c r="B4895" s="72"/>
      <c r="C4895" s="73"/>
      <c r="D4895" s="74"/>
      <c r="G4895" s="75"/>
    </row>
    <row r="4896" spans="2:7" x14ac:dyDescent="0.3">
      <c r="B4896" s="72"/>
      <c r="C4896" s="73"/>
      <c r="D4896" s="74"/>
      <c r="G4896" s="75"/>
    </row>
    <row r="4897" spans="2:7" x14ac:dyDescent="0.3">
      <c r="B4897" s="72"/>
      <c r="C4897" s="73"/>
      <c r="D4897" s="74"/>
      <c r="G4897" s="75"/>
    </row>
    <row r="4898" spans="2:7" x14ac:dyDescent="0.3">
      <c r="B4898" s="72"/>
      <c r="C4898" s="73"/>
      <c r="D4898" s="74"/>
      <c r="G4898" s="75"/>
    </row>
    <row r="4899" spans="2:7" x14ac:dyDescent="0.3">
      <c r="B4899" s="72"/>
      <c r="C4899" s="73"/>
      <c r="D4899" s="74"/>
      <c r="G4899" s="75"/>
    </row>
    <row r="4900" spans="2:7" x14ac:dyDescent="0.3">
      <c r="B4900" s="72"/>
      <c r="C4900" s="73"/>
      <c r="D4900" s="74"/>
      <c r="G4900" s="75"/>
    </row>
    <row r="4901" spans="2:7" x14ac:dyDescent="0.3">
      <c r="B4901" s="72"/>
      <c r="C4901" s="73"/>
      <c r="D4901" s="74"/>
      <c r="G4901" s="75"/>
    </row>
    <row r="4902" spans="2:7" x14ac:dyDescent="0.3">
      <c r="B4902" s="72"/>
      <c r="C4902" s="73"/>
      <c r="D4902" s="74"/>
      <c r="G4902" s="75"/>
    </row>
    <row r="4903" spans="2:7" x14ac:dyDescent="0.3">
      <c r="B4903" s="72"/>
      <c r="C4903" s="73"/>
      <c r="D4903" s="74"/>
      <c r="G4903" s="75"/>
    </row>
    <row r="4904" spans="2:7" x14ac:dyDescent="0.3">
      <c r="B4904" s="72"/>
      <c r="C4904" s="73"/>
      <c r="D4904" s="74"/>
      <c r="G4904" s="75"/>
    </row>
    <row r="4905" spans="2:7" x14ac:dyDescent="0.3">
      <c r="B4905" s="72"/>
      <c r="C4905" s="73"/>
      <c r="D4905" s="74"/>
      <c r="G4905" s="75"/>
    </row>
    <row r="4906" spans="2:7" x14ac:dyDescent="0.3">
      <c r="B4906" s="72"/>
      <c r="C4906" s="73"/>
      <c r="D4906" s="74"/>
      <c r="G4906" s="75"/>
    </row>
    <row r="4907" spans="2:7" x14ac:dyDescent="0.3">
      <c r="B4907" s="72"/>
      <c r="C4907" s="73"/>
      <c r="D4907" s="74"/>
      <c r="G4907" s="75"/>
    </row>
    <row r="4908" spans="2:7" x14ac:dyDescent="0.3">
      <c r="B4908" s="72"/>
      <c r="C4908" s="73"/>
      <c r="D4908" s="74"/>
      <c r="G4908" s="75"/>
    </row>
    <row r="4909" spans="2:7" x14ac:dyDescent="0.3">
      <c r="B4909" s="72"/>
      <c r="C4909" s="73"/>
      <c r="D4909" s="74"/>
      <c r="G4909" s="75"/>
    </row>
    <row r="4910" spans="2:7" x14ac:dyDescent="0.3">
      <c r="B4910" s="72"/>
      <c r="C4910" s="73"/>
      <c r="D4910" s="74"/>
      <c r="G4910" s="75"/>
    </row>
    <row r="4911" spans="2:7" x14ac:dyDescent="0.3">
      <c r="B4911" s="72"/>
      <c r="C4911" s="73"/>
      <c r="D4911" s="74"/>
      <c r="G4911" s="75"/>
    </row>
    <row r="4912" spans="2:7" x14ac:dyDescent="0.3">
      <c r="B4912" s="72"/>
      <c r="C4912" s="73"/>
      <c r="D4912" s="74"/>
      <c r="G4912" s="75"/>
    </row>
    <row r="4913" spans="2:7" x14ac:dyDescent="0.3">
      <c r="B4913" s="72"/>
      <c r="C4913" s="73"/>
      <c r="D4913" s="74"/>
      <c r="G4913" s="75"/>
    </row>
    <row r="4914" spans="2:7" x14ac:dyDescent="0.3">
      <c r="B4914" s="72"/>
      <c r="C4914" s="73"/>
      <c r="D4914" s="74"/>
      <c r="G4914" s="75"/>
    </row>
    <row r="4915" spans="2:7" x14ac:dyDescent="0.3">
      <c r="B4915" s="72"/>
      <c r="C4915" s="73"/>
      <c r="D4915" s="74"/>
      <c r="G4915" s="75"/>
    </row>
    <row r="4916" spans="2:7" x14ac:dyDescent="0.3">
      <c r="B4916" s="72"/>
      <c r="C4916" s="73"/>
      <c r="D4916" s="74"/>
      <c r="G4916" s="75"/>
    </row>
    <row r="4917" spans="2:7" x14ac:dyDescent="0.3">
      <c r="B4917" s="72"/>
      <c r="C4917" s="73"/>
      <c r="D4917" s="74"/>
      <c r="G4917" s="75"/>
    </row>
    <row r="4918" spans="2:7" x14ac:dyDescent="0.3">
      <c r="B4918" s="72"/>
      <c r="C4918" s="73"/>
      <c r="D4918" s="74"/>
      <c r="G4918" s="75"/>
    </row>
    <row r="4919" spans="2:7" x14ac:dyDescent="0.3">
      <c r="B4919" s="72"/>
      <c r="C4919" s="73"/>
      <c r="D4919" s="74"/>
      <c r="G4919" s="75"/>
    </row>
    <row r="4920" spans="2:7" x14ac:dyDescent="0.3">
      <c r="B4920" s="72"/>
      <c r="C4920" s="73"/>
      <c r="D4920" s="74"/>
      <c r="G4920" s="75"/>
    </row>
    <row r="4921" spans="2:7" x14ac:dyDescent="0.3">
      <c r="B4921" s="72"/>
      <c r="C4921" s="73"/>
      <c r="D4921" s="74"/>
      <c r="G4921" s="75"/>
    </row>
    <row r="4922" spans="2:7" x14ac:dyDescent="0.3">
      <c r="B4922" s="72"/>
      <c r="C4922" s="73"/>
      <c r="D4922" s="74"/>
      <c r="G4922" s="75"/>
    </row>
    <row r="4923" spans="2:7" x14ac:dyDescent="0.3">
      <c r="B4923" s="72"/>
      <c r="C4923" s="73"/>
      <c r="D4923" s="74"/>
      <c r="G4923" s="75"/>
    </row>
    <row r="4924" spans="2:7" x14ac:dyDescent="0.3">
      <c r="B4924" s="72"/>
      <c r="C4924" s="73"/>
      <c r="D4924" s="74"/>
      <c r="G4924" s="75"/>
    </row>
    <row r="4925" spans="2:7" x14ac:dyDescent="0.3">
      <c r="B4925" s="72"/>
      <c r="C4925" s="73"/>
      <c r="D4925" s="74"/>
      <c r="G4925" s="75"/>
    </row>
    <row r="4926" spans="2:7" x14ac:dyDescent="0.3">
      <c r="B4926" s="72"/>
      <c r="C4926" s="73"/>
      <c r="D4926" s="74"/>
      <c r="G4926" s="75"/>
    </row>
    <row r="4927" spans="2:7" x14ac:dyDescent="0.3">
      <c r="B4927" s="72"/>
      <c r="C4927" s="73"/>
      <c r="D4927" s="74"/>
      <c r="G4927" s="75"/>
    </row>
    <row r="4928" spans="2:7" x14ac:dyDescent="0.3">
      <c r="B4928" s="72"/>
      <c r="C4928" s="73"/>
      <c r="D4928" s="74"/>
      <c r="G4928" s="75"/>
    </row>
    <row r="4929" spans="2:7" x14ac:dyDescent="0.3">
      <c r="B4929" s="72"/>
      <c r="C4929" s="73"/>
      <c r="D4929" s="74"/>
      <c r="G4929" s="75"/>
    </row>
    <row r="4930" spans="2:7" x14ac:dyDescent="0.3">
      <c r="B4930" s="72"/>
      <c r="C4930" s="73"/>
      <c r="D4930" s="74"/>
      <c r="G4930" s="75"/>
    </row>
    <row r="4931" spans="2:7" x14ac:dyDescent="0.3">
      <c r="B4931" s="72"/>
      <c r="C4931" s="73"/>
      <c r="D4931" s="74"/>
      <c r="G4931" s="75"/>
    </row>
    <row r="4932" spans="2:7" x14ac:dyDescent="0.3">
      <c r="B4932" s="72"/>
      <c r="C4932" s="73"/>
      <c r="D4932" s="74"/>
      <c r="G4932" s="75"/>
    </row>
    <row r="4933" spans="2:7" x14ac:dyDescent="0.3">
      <c r="B4933" s="72"/>
      <c r="C4933" s="73"/>
      <c r="D4933" s="74"/>
      <c r="G4933" s="75"/>
    </row>
    <row r="4934" spans="2:7" x14ac:dyDescent="0.3">
      <c r="B4934" s="72"/>
      <c r="C4934" s="73"/>
      <c r="D4934" s="74"/>
      <c r="G4934" s="75"/>
    </row>
    <row r="4935" spans="2:7" x14ac:dyDescent="0.3">
      <c r="B4935" s="72"/>
      <c r="C4935" s="73"/>
      <c r="D4935" s="74"/>
      <c r="G4935" s="75"/>
    </row>
    <row r="4936" spans="2:7" x14ac:dyDescent="0.3">
      <c r="B4936" s="72"/>
      <c r="C4936" s="73"/>
      <c r="D4936" s="74"/>
      <c r="G4936" s="75"/>
    </row>
    <row r="4937" spans="2:7" x14ac:dyDescent="0.3">
      <c r="B4937" s="72"/>
      <c r="C4937" s="73"/>
      <c r="D4937" s="74"/>
      <c r="G4937" s="75"/>
    </row>
    <row r="4938" spans="2:7" x14ac:dyDescent="0.3">
      <c r="B4938" s="72"/>
      <c r="C4938" s="73"/>
      <c r="D4938" s="74"/>
      <c r="G4938" s="75"/>
    </row>
    <row r="4939" spans="2:7" x14ac:dyDescent="0.3">
      <c r="B4939" s="72"/>
      <c r="C4939" s="73"/>
      <c r="D4939" s="74"/>
      <c r="G4939" s="75"/>
    </row>
    <row r="4940" spans="2:7" x14ac:dyDescent="0.3">
      <c r="B4940" s="72"/>
      <c r="C4940" s="73"/>
      <c r="D4940" s="74"/>
      <c r="G4940" s="75"/>
    </row>
    <row r="4941" spans="2:7" x14ac:dyDescent="0.3">
      <c r="B4941" s="72"/>
      <c r="C4941" s="73"/>
      <c r="D4941" s="74"/>
      <c r="G4941" s="75"/>
    </row>
    <row r="4942" spans="2:7" x14ac:dyDescent="0.3">
      <c r="B4942" s="72"/>
      <c r="C4942" s="73"/>
      <c r="D4942" s="74"/>
      <c r="G4942" s="75"/>
    </row>
    <row r="4943" spans="2:7" x14ac:dyDescent="0.3">
      <c r="B4943" s="72"/>
      <c r="C4943" s="73"/>
      <c r="D4943" s="74"/>
      <c r="G4943" s="75"/>
    </row>
    <row r="4944" spans="2:7" x14ac:dyDescent="0.3">
      <c r="B4944" s="72"/>
      <c r="C4944" s="73"/>
      <c r="D4944" s="74"/>
      <c r="G4944" s="75"/>
    </row>
    <row r="4945" spans="2:7" x14ac:dyDescent="0.3">
      <c r="B4945" s="72"/>
      <c r="C4945" s="73"/>
      <c r="D4945" s="74"/>
      <c r="G4945" s="75"/>
    </row>
    <row r="4946" spans="2:7" x14ac:dyDescent="0.3">
      <c r="B4946" s="72"/>
      <c r="C4946" s="73"/>
      <c r="D4946" s="74"/>
      <c r="G4946" s="75"/>
    </row>
    <row r="4947" spans="2:7" x14ac:dyDescent="0.3">
      <c r="B4947" s="72"/>
      <c r="C4947" s="73"/>
      <c r="D4947" s="74"/>
      <c r="G4947" s="75"/>
    </row>
    <row r="4948" spans="2:7" x14ac:dyDescent="0.3">
      <c r="B4948" s="72"/>
      <c r="C4948" s="73"/>
      <c r="D4948" s="74"/>
      <c r="G4948" s="75"/>
    </row>
    <row r="4949" spans="2:7" x14ac:dyDescent="0.3">
      <c r="B4949" s="72"/>
      <c r="C4949" s="73"/>
      <c r="D4949" s="74"/>
      <c r="G4949" s="75"/>
    </row>
    <row r="4950" spans="2:7" x14ac:dyDescent="0.3">
      <c r="B4950" s="72"/>
      <c r="C4950" s="73"/>
      <c r="D4950" s="74"/>
      <c r="G4950" s="75"/>
    </row>
    <row r="4951" spans="2:7" x14ac:dyDescent="0.3">
      <c r="B4951" s="72"/>
      <c r="C4951" s="73"/>
      <c r="D4951" s="74"/>
      <c r="G4951" s="75"/>
    </row>
    <row r="4952" spans="2:7" x14ac:dyDescent="0.3">
      <c r="B4952" s="72"/>
      <c r="C4952" s="73"/>
      <c r="D4952" s="74"/>
      <c r="G4952" s="75"/>
    </row>
    <row r="4953" spans="2:7" x14ac:dyDescent="0.3">
      <c r="B4953" s="72"/>
      <c r="C4953" s="73"/>
      <c r="D4953" s="74"/>
      <c r="G4953" s="75"/>
    </row>
    <row r="4954" spans="2:7" x14ac:dyDescent="0.3">
      <c r="B4954" s="72"/>
      <c r="C4954" s="73"/>
      <c r="D4954" s="74"/>
      <c r="G4954" s="75"/>
    </row>
    <row r="4955" spans="2:7" x14ac:dyDescent="0.3">
      <c r="B4955" s="72"/>
      <c r="C4955" s="73"/>
      <c r="D4955" s="74"/>
      <c r="G4955" s="75"/>
    </row>
    <row r="4956" spans="2:7" x14ac:dyDescent="0.3">
      <c r="B4956" s="72"/>
      <c r="C4956" s="73"/>
      <c r="D4956" s="74"/>
      <c r="G4956" s="75"/>
    </row>
    <row r="4957" spans="2:7" x14ac:dyDescent="0.3">
      <c r="B4957" s="72"/>
      <c r="C4957" s="73"/>
      <c r="D4957" s="74"/>
      <c r="G4957" s="75"/>
    </row>
    <row r="4958" spans="2:7" x14ac:dyDescent="0.3">
      <c r="B4958" s="72"/>
      <c r="C4958" s="73"/>
      <c r="D4958" s="74"/>
      <c r="G4958" s="75"/>
    </row>
    <row r="4959" spans="2:7" x14ac:dyDescent="0.3">
      <c r="B4959" s="72"/>
      <c r="C4959" s="73"/>
      <c r="D4959" s="74"/>
      <c r="G4959" s="75"/>
    </row>
    <row r="4960" spans="2:7" x14ac:dyDescent="0.3">
      <c r="B4960" s="72"/>
      <c r="C4960" s="73"/>
      <c r="D4960" s="74"/>
      <c r="G4960" s="75"/>
    </row>
    <row r="4961" spans="2:7" x14ac:dyDescent="0.3">
      <c r="B4961" s="72"/>
      <c r="C4961" s="73"/>
      <c r="D4961" s="74"/>
      <c r="G4961" s="75"/>
    </row>
    <row r="4962" spans="2:7" x14ac:dyDescent="0.3">
      <c r="B4962" s="72"/>
      <c r="C4962" s="73"/>
      <c r="D4962" s="74"/>
      <c r="G4962" s="75"/>
    </row>
    <row r="4963" spans="2:7" x14ac:dyDescent="0.3">
      <c r="B4963" s="72"/>
      <c r="C4963" s="73"/>
      <c r="D4963" s="74"/>
      <c r="G4963" s="75"/>
    </row>
    <row r="4964" spans="2:7" x14ac:dyDescent="0.3">
      <c r="B4964" s="72"/>
      <c r="C4964" s="73"/>
      <c r="D4964" s="74"/>
      <c r="G4964" s="75"/>
    </row>
    <row r="4965" spans="2:7" x14ac:dyDescent="0.3">
      <c r="B4965" s="72"/>
      <c r="C4965" s="73"/>
      <c r="D4965" s="74"/>
      <c r="G4965" s="75"/>
    </row>
    <row r="4966" spans="2:7" x14ac:dyDescent="0.3">
      <c r="B4966" s="72"/>
      <c r="C4966" s="73"/>
      <c r="D4966" s="74"/>
      <c r="G4966" s="75"/>
    </row>
    <row r="4967" spans="2:7" x14ac:dyDescent="0.3">
      <c r="B4967" s="72"/>
      <c r="C4967" s="73"/>
      <c r="D4967" s="74"/>
      <c r="G4967" s="75"/>
    </row>
    <row r="4968" spans="2:7" x14ac:dyDescent="0.3">
      <c r="B4968" s="72"/>
      <c r="C4968" s="73"/>
      <c r="D4968" s="74"/>
      <c r="G4968" s="75"/>
    </row>
    <row r="4969" spans="2:7" x14ac:dyDescent="0.3">
      <c r="B4969" s="72"/>
      <c r="C4969" s="73"/>
      <c r="D4969" s="74"/>
      <c r="G4969" s="75"/>
    </row>
    <row r="4970" spans="2:7" x14ac:dyDescent="0.3">
      <c r="B4970" s="72"/>
      <c r="C4970" s="73"/>
      <c r="D4970" s="74"/>
      <c r="G4970" s="75"/>
    </row>
    <row r="4971" spans="2:7" x14ac:dyDescent="0.3">
      <c r="B4971" s="72"/>
      <c r="C4971" s="73"/>
      <c r="D4971" s="74"/>
      <c r="G4971" s="75"/>
    </row>
    <row r="4972" spans="2:7" x14ac:dyDescent="0.3">
      <c r="B4972" s="72"/>
      <c r="C4972" s="73"/>
      <c r="D4972" s="74"/>
      <c r="G4972" s="75"/>
    </row>
    <row r="4973" spans="2:7" x14ac:dyDescent="0.3">
      <c r="B4973" s="72"/>
      <c r="C4973" s="73"/>
      <c r="D4973" s="74"/>
      <c r="G4973" s="75"/>
    </row>
    <row r="4974" spans="2:7" x14ac:dyDescent="0.3">
      <c r="B4974" s="72"/>
      <c r="C4974" s="73"/>
      <c r="D4974" s="74"/>
      <c r="G4974" s="75"/>
    </row>
    <row r="4975" spans="2:7" x14ac:dyDescent="0.3">
      <c r="B4975" s="72"/>
      <c r="C4975" s="73"/>
      <c r="D4975" s="74"/>
      <c r="G4975" s="75"/>
    </row>
    <row r="4976" spans="2:7" x14ac:dyDescent="0.3">
      <c r="B4976" s="72"/>
      <c r="C4976" s="73"/>
      <c r="D4976" s="74"/>
      <c r="G4976" s="75"/>
    </row>
    <row r="4977" spans="2:7" x14ac:dyDescent="0.3">
      <c r="B4977" s="72"/>
      <c r="C4977" s="73"/>
      <c r="D4977" s="74"/>
      <c r="G4977" s="75"/>
    </row>
    <row r="4978" spans="2:7" x14ac:dyDescent="0.3">
      <c r="B4978" s="72"/>
      <c r="C4978" s="73"/>
      <c r="D4978" s="74"/>
      <c r="G4978" s="75"/>
    </row>
    <row r="4979" spans="2:7" x14ac:dyDescent="0.3">
      <c r="B4979" s="72"/>
      <c r="C4979" s="73"/>
      <c r="D4979" s="74"/>
      <c r="G4979" s="75"/>
    </row>
    <row r="4980" spans="2:7" x14ac:dyDescent="0.3">
      <c r="B4980" s="72"/>
      <c r="C4980" s="73"/>
      <c r="D4980" s="74"/>
      <c r="G4980" s="75"/>
    </row>
    <row r="4981" spans="2:7" x14ac:dyDescent="0.3">
      <c r="B4981" s="72"/>
      <c r="C4981" s="73"/>
      <c r="D4981" s="74"/>
      <c r="G4981" s="75"/>
    </row>
    <row r="4982" spans="2:7" x14ac:dyDescent="0.3">
      <c r="B4982" s="72"/>
      <c r="C4982" s="73"/>
      <c r="D4982" s="74"/>
      <c r="G4982" s="75"/>
    </row>
    <row r="4983" spans="2:7" x14ac:dyDescent="0.3">
      <c r="B4983" s="72"/>
      <c r="C4983" s="73"/>
      <c r="D4983" s="74"/>
      <c r="G4983" s="75"/>
    </row>
    <row r="4984" spans="2:7" x14ac:dyDescent="0.3">
      <c r="B4984" s="72"/>
      <c r="C4984" s="73"/>
      <c r="D4984" s="74"/>
      <c r="G4984" s="75"/>
    </row>
    <row r="4985" spans="2:7" x14ac:dyDescent="0.3">
      <c r="B4985" s="72"/>
      <c r="C4985" s="73"/>
      <c r="D4985" s="74"/>
      <c r="G4985" s="75"/>
    </row>
    <row r="4986" spans="2:7" x14ac:dyDescent="0.3">
      <c r="B4986" s="72"/>
      <c r="C4986" s="73"/>
      <c r="D4986" s="74"/>
      <c r="G4986" s="75"/>
    </row>
    <row r="4987" spans="2:7" x14ac:dyDescent="0.3">
      <c r="B4987" s="72"/>
      <c r="C4987" s="73"/>
      <c r="D4987" s="74"/>
      <c r="G4987" s="75"/>
    </row>
    <row r="4988" spans="2:7" x14ac:dyDescent="0.3">
      <c r="B4988" s="72"/>
      <c r="C4988" s="73"/>
      <c r="D4988" s="74"/>
      <c r="G4988" s="75"/>
    </row>
    <row r="4989" spans="2:7" x14ac:dyDescent="0.3">
      <c r="B4989" s="72"/>
      <c r="C4989" s="73"/>
      <c r="D4989" s="74"/>
      <c r="G4989" s="75"/>
    </row>
    <row r="4990" spans="2:7" x14ac:dyDescent="0.3">
      <c r="B4990" s="72"/>
      <c r="C4990" s="73"/>
      <c r="D4990" s="74"/>
      <c r="G4990" s="75"/>
    </row>
    <row r="4991" spans="2:7" x14ac:dyDescent="0.3">
      <c r="B4991" s="72"/>
      <c r="C4991" s="73"/>
      <c r="D4991" s="74"/>
      <c r="G4991" s="75"/>
    </row>
    <row r="4992" spans="2:7" x14ac:dyDescent="0.3">
      <c r="B4992" s="72"/>
      <c r="C4992" s="73"/>
      <c r="D4992" s="74"/>
      <c r="G4992" s="75"/>
    </row>
    <row r="4993" spans="2:7" x14ac:dyDescent="0.3">
      <c r="B4993" s="72"/>
      <c r="C4993" s="73"/>
      <c r="D4993" s="74"/>
      <c r="G4993" s="75"/>
    </row>
    <row r="4994" spans="2:7" x14ac:dyDescent="0.3">
      <c r="B4994" s="72"/>
      <c r="C4994" s="73"/>
      <c r="D4994" s="74"/>
      <c r="G4994" s="75"/>
    </row>
    <row r="4995" spans="2:7" x14ac:dyDescent="0.3">
      <c r="B4995" s="72"/>
      <c r="C4995" s="73"/>
      <c r="D4995" s="74"/>
      <c r="G4995" s="75"/>
    </row>
    <row r="4996" spans="2:7" x14ac:dyDescent="0.3">
      <c r="B4996" s="72"/>
      <c r="C4996" s="73"/>
      <c r="D4996" s="74"/>
      <c r="G4996" s="75"/>
    </row>
    <row r="4997" spans="2:7" x14ac:dyDescent="0.3">
      <c r="B4997" s="72"/>
      <c r="C4997" s="73"/>
      <c r="D4997" s="74"/>
      <c r="G4997" s="75"/>
    </row>
    <row r="4998" spans="2:7" x14ac:dyDescent="0.3">
      <c r="B4998" s="72"/>
      <c r="C4998" s="73"/>
      <c r="D4998" s="74"/>
      <c r="G4998" s="75"/>
    </row>
    <row r="4999" spans="2:7" x14ac:dyDescent="0.3">
      <c r="B4999" s="72"/>
      <c r="C4999" s="73"/>
      <c r="D4999" s="74"/>
      <c r="G4999" s="75"/>
    </row>
    <row r="5000" spans="2:7" x14ac:dyDescent="0.3">
      <c r="B5000" s="72"/>
      <c r="C5000" s="73"/>
      <c r="D5000" s="74"/>
      <c r="G5000" s="75"/>
    </row>
    <row r="5001" spans="2:7" x14ac:dyDescent="0.3">
      <c r="B5001" s="72"/>
      <c r="C5001" s="73"/>
      <c r="D5001" s="74"/>
      <c r="G5001" s="75"/>
    </row>
    <row r="5002" spans="2:7" x14ac:dyDescent="0.3">
      <c r="B5002" s="72"/>
      <c r="C5002" s="73"/>
      <c r="D5002" s="74"/>
      <c r="G5002" s="75"/>
    </row>
    <row r="5003" spans="2:7" x14ac:dyDescent="0.3">
      <c r="B5003" s="72"/>
      <c r="C5003" s="73"/>
      <c r="D5003" s="74"/>
      <c r="G5003" s="75"/>
    </row>
    <row r="5004" spans="2:7" x14ac:dyDescent="0.3">
      <c r="B5004" s="72"/>
      <c r="C5004" s="73"/>
      <c r="D5004" s="74"/>
      <c r="G5004" s="75"/>
    </row>
    <row r="5005" spans="2:7" x14ac:dyDescent="0.3">
      <c r="B5005" s="72"/>
      <c r="C5005" s="73"/>
      <c r="D5005" s="74"/>
      <c r="G5005" s="75"/>
    </row>
    <row r="5006" spans="2:7" x14ac:dyDescent="0.3">
      <c r="B5006" s="72"/>
      <c r="C5006" s="73"/>
      <c r="D5006" s="74"/>
      <c r="G5006" s="75"/>
    </row>
    <row r="5007" spans="2:7" x14ac:dyDescent="0.3">
      <c r="B5007" s="72"/>
      <c r="C5007" s="73"/>
      <c r="D5007" s="74"/>
      <c r="G5007" s="75"/>
    </row>
    <row r="5008" spans="2:7" x14ac:dyDescent="0.3">
      <c r="B5008" s="72"/>
      <c r="C5008" s="73"/>
      <c r="D5008" s="74"/>
      <c r="G5008" s="75"/>
    </row>
    <row r="5009" spans="2:7" x14ac:dyDescent="0.3">
      <c r="B5009" s="72"/>
      <c r="C5009" s="73"/>
      <c r="D5009" s="74"/>
      <c r="G5009" s="75"/>
    </row>
    <row r="5010" spans="2:7" x14ac:dyDescent="0.3">
      <c r="B5010" s="72"/>
      <c r="C5010" s="73"/>
      <c r="D5010" s="74"/>
      <c r="G5010" s="75"/>
    </row>
    <row r="5011" spans="2:7" x14ac:dyDescent="0.3">
      <c r="B5011" s="72"/>
      <c r="C5011" s="73"/>
      <c r="D5011" s="74"/>
      <c r="G5011" s="75"/>
    </row>
    <row r="5012" spans="2:7" x14ac:dyDescent="0.3">
      <c r="B5012" s="72"/>
      <c r="C5012" s="73"/>
      <c r="D5012" s="74"/>
      <c r="G5012" s="75"/>
    </row>
    <row r="5013" spans="2:7" x14ac:dyDescent="0.3">
      <c r="B5013" s="72"/>
      <c r="C5013" s="73"/>
      <c r="D5013" s="74"/>
      <c r="G5013" s="75"/>
    </row>
    <row r="5014" spans="2:7" x14ac:dyDescent="0.3">
      <c r="B5014" s="72"/>
      <c r="C5014" s="73"/>
      <c r="D5014" s="74"/>
      <c r="G5014" s="75"/>
    </row>
    <row r="5015" spans="2:7" x14ac:dyDescent="0.3">
      <c r="B5015" s="72"/>
      <c r="C5015" s="73"/>
      <c r="D5015" s="74"/>
      <c r="G5015" s="75"/>
    </row>
    <row r="5016" spans="2:7" x14ac:dyDescent="0.3">
      <c r="B5016" s="72"/>
      <c r="C5016" s="73"/>
      <c r="D5016" s="74"/>
      <c r="G5016" s="75"/>
    </row>
    <row r="5017" spans="2:7" x14ac:dyDescent="0.3">
      <c r="B5017" s="72"/>
      <c r="C5017" s="73"/>
      <c r="D5017" s="74"/>
      <c r="G5017" s="75"/>
    </row>
    <row r="5018" spans="2:7" x14ac:dyDescent="0.3">
      <c r="B5018" s="72"/>
      <c r="C5018" s="73"/>
      <c r="D5018" s="74"/>
      <c r="G5018" s="75"/>
    </row>
    <row r="5019" spans="2:7" x14ac:dyDescent="0.3">
      <c r="B5019" s="72"/>
      <c r="C5019" s="73"/>
      <c r="D5019" s="74"/>
      <c r="G5019" s="75"/>
    </row>
    <row r="5020" spans="2:7" x14ac:dyDescent="0.3">
      <c r="B5020" s="72"/>
      <c r="C5020" s="73"/>
      <c r="D5020" s="74"/>
      <c r="G5020" s="75"/>
    </row>
    <row r="5021" spans="2:7" x14ac:dyDescent="0.3">
      <c r="B5021" s="72"/>
      <c r="C5021" s="73"/>
      <c r="D5021" s="74"/>
      <c r="G5021" s="75"/>
    </row>
    <row r="5022" spans="2:7" x14ac:dyDescent="0.3">
      <c r="B5022" s="72"/>
      <c r="C5022" s="73"/>
      <c r="D5022" s="74"/>
      <c r="G5022" s="75"/>
    </row>
    <row r="5023" spans="2:7" x14ac:dyDescent="0.3">
      <c r="B5023" s="72"/>
      <c r="C5023" s="73"/>
      <c r="D5023" s="74"/>
      <c r="G5023" s="75"/>
    </row>
    <row r="5024" spans="2:7" x14ac:dyDescent="0.3">
      <c r="B5024" s="72"/>
      <c r="C5024" s="73"/>
      <c r="D5024" s="74"/>
      <c r="G5024" s="75"/>
    </row>
    <row r="5025" spans="2:7" x14ac:dyDescent="0.3">
      <c r="B5025" s="72"/>
      <c r="C5025" s="73"/>
      <c r="D5025" s="74"/>
      <c r="G5025" s="75"/>
    </row>
    <row r="5026" spans="2:7" x14ac:dyDescent="0.3">
      <c r="B5026" s="72"/>
      <c r="C5026" s="73"/>
      <c r="D5026" s="74"/>
      <c r="G5026" s="75"/>
    </row>
    <row r="5027" spans="2:7" x14ac:dyDescent="0.3">
      <c r="B5027" s="72"/>
      <c r="C5027" s="73"/>
      <c r="D5027" s="74"/>
      <c r="G5027" s="75"/>
    </row>
    <row r="5028" spans="2:7" x14ac:dyDescent="0.3">
      <c r="B5028" s="72"/>
      <c r="C5028" s="73"/>
      <c r="D5028" s="74"/>
      <c r="G5028" s="75"/>
    </row>
    <row r="5029" spans="2:7" x14ac:dyDescent="0.3">
      <c r="B5029" s="72"/>
      <c r="C5029" s="73"/>
      <c r="D5029" s="74"/>
      <c r="G5029" s="75"/>
    </row>
    <row r="5030" spans="2:7" x14ac:dyDescent="0.3">
      <c r="B5030" s="72"/>
      <c r="C5030" s="73"/>
      <c r="D5030" s="74"/>
      <c r="G5030" s="75"/>
    </row>
    <row r="5031" spans="2:7" x14ac:dyDescent="0.3">
      <c r="B5031" s="72"/>
      <c r="C5031" s="73"/>
      <c r="D5031" s="74"/>
      <c r="G5031" s="75"/>
    </row>
    <row r="5032" spans="2:7" x14ac:dyDescent="0.3">
      <c r="B5032" s="72"/>
      <c r="C5032" s="73"/>
      <c r="D5032" s="74"/>
      <c r="G5032" s="75"/>
    </row>
    <row r="5033" spans="2:7" x14ac:dyDescent="0.3">
      <c r="B5033" s="72"/>
      <c r="C5033" s="73"/>
      <c r="D5033" s="74"/>
      <c r="G5033" s="75"/>
    </row>
    <row r="5034" spans="2:7" x14ac:dyDescent="0.3">
      <c r="B5034" s="72"/>
      <c r="C5034" s="73"/>
      <c r="D5034" s="74"/>
      <c r="G5034" s="75"/>
    </row>
    <row r="5035" spans="2:7" x14ac:dyDescent="0.3">
      <c r="B5035" s="72"/>
      <c r="C5035" s="73"/>
      <c r="D5035" s="74"/>
      <c r="G5035" s="75"/>
    </row>
    <row r="5036" spans="2:7" x14ac:dyDescent="0.3">
      <c r="B5036" s="72"/>
      <c r="C5036" s="73"/>
      <c r="D5036" s="74"/>
      <c r="G5036" s="75"/>
    </row>
    <row r="5037" spans="2:7" x14ac:dyDescent="0.3">
      <c r="B5037" s="72"/>
      <c r="C5037" s="73"/>
      <c r="D5037" s="74"/>
      <c r="G5037" s="75"/>
    </row>
    <row r="5038" spans="2:7" x14ac:dyDescent="0.3">
      <c r="B5038" s="72"/>
      <c r="C5038" s="73"/>
      <c r="D5038" s="74"/>
      <c r="G5038" s="75"/>
    </row>
    <row r="5039" spans="2:7" x14ac:dyDescent="0.3">
      <c r="B5039" s="72"/>
      <c r="C5039" s="73"/>
      <c r="D5039" s="74"/>
      <c r="G5039" s="75"/>
    </row>
    <row r="5040" spans="2:7" x14ac:dyDescent="0.3">
      <c r="B5040" s="72"/>
      <c r="C5040" s="73"/>
      <c r="D5040" s="74"/>
      <c r="G5040" s="75"/>
    </row>
    <row r="5041" spans="2:7" x14ac:dyDescent="0.3">
      <c r="B5041" s="72"/>
      <c r="C5041" s="73"/>
      <c r="D5041" s="74"/>
      <c r="G5041" s="75"/>
    </row>
    <row r="5042" spans="2:7" x14ac:dyDescent="0.3">
      <c r="B5042" s="72"/>
      <c r="C5042" s="73"/>
      <c r="D5042" s="74"/>
      <c r="G5042" s="75"/>
    </row>
    <row r="5043" spans="2:7" x14ac:dyDescent="0.3">
      <c r="B5043" s="72"/>
      <c r="C5043" s="73"/>
      <c r="D5043" s="74"/>
      <c r="G5043" s="75"/>
    </row>
    <row r="5044" spans="2:7" x14ac:dyDescent="0.3">
      <c r="B5044" s="72"/>
      <c r="C5044" s="73"/>
      <c r="D5044" s="74"/>
      <c r="G5044" s="75"/>
    </row>
    <row r="5045" spans="2:7" x14ac:dyDescent="0.3">
      <c r="B5045" s="72"/>
      <c r="C5045" s="73"/>
      <c r="D5045" s="74"/>
      <c r="G5045" s="75"/>
    </row>
    <row r="5046" spans="2:7" x14ac:dyDescent="0.3">
      <c r="B5046" s="72"/>
      <c r="C5046" s="73"/>
      <c r="D5046" s="74"/>
      <c r="G5046" s="75"/>
    </row>
    <row r="5047" spans="2:7" x14ac:dyDescent="0.3">
      <c r="B5047" s="72"/>
      <c r="C5047" s="73"/>
      <c r="D5047" s="74"/>
      <c r="G5047" s="75"/>
    </row>
    <row r="5048" spans="2:7" x14ac:dyDescent="0.3">
      <c r="B5048" s="72"/>
      <c r="C5048" s="73"/>
      <c r="D5048" s="74"/>
      <c r="G5048" s="75"/>
    </row>
    <row r="5049" spans="2:7" x14ac:dyDescent="0.3">
      <c r="B5049" s="72"/>
      <c r="C5049" s="73"/>
      <c r="D5049" s="74"/>
      <c r="G5049" s="75"/>
    </row>
    <row r="5050" spans="2:7" x14ac:dyDescent="0.3">
      <c r="B5050" s="72"/>
      <c r="C5050" s="73"/>
      <c r="D5050" s="74"/>
      <c r="G5050" s="75"/>
    </row>
    <row r="5051" spans="2:7" x14ac:dyDescent="0.3">
      <c r="B5051" s="72"/>
      <c r="C5051" s="73"/>
      <c r="D5051" s="74"/>
      <c r="G5051" s="75"/>
    </row>
    <row r="5052" spans="2:7" x14ac:dyDescent="0.3">
      <c r="B5052" s="72"/>
      <c r="C5052" s="73"/>
      <c r="D5052" s="74"/>
      <c r="G5052" s="75"/>
    </row>
    <row r="5053" spans="2:7" x14ac:dyDescent="0.3">
      <c r="B5053" s="72"/>
      <c r="C5053" s="73"/>
      <c r="D5053" s="74"/>
      <c r="G5053" s="75"/>
    </row>
    <row r="5054" spans="2:7" x14ac:dyDescent="0.3">
      <c r="B5054" s="72"/>
      <c r="C5054" s="73"/>
      <c r="D5054" s="74"/>
      <c r="G5054" s="75"/>
    </row>
    <row r="5055" spans="2:7" x14ac:dyDescent="0.3">
      <c r="B5055" s="72"/>
      <c r="C5055" s="73"/>
      <c r="D5055" s="74"/>
      <c r="G5055" s="75"/>
    </row>
    <row r="5056" spans="2:7" x14ac:dyDescent="0.3">
      <c r="B5056" s="72"/>
      <c r="C5056" s="73"/>
      <c r="D5056" s="74"/>
      <c r="G5056" s="75"/>
    </row>
    <row r="5057" spans="2:7" x14ac:dyDescent="0.3">
      <c r="B5057" s="72"/>
      <c r="C5057" s="73"/>
      <c r="D5057" s="74"/>
      <c r="G5057" s="75"/>
    </row>
    <row r="5058" spans="2:7" x14ac:dyDescent="0.3">
      <c r="B5058" s="72"/>
      <c r="C5058" s="73"/>
      <c r="D5058" s="74"/>
      <c r="G5058" s="75"/>
    </row>
    <row r="5059" spans="2:7" x14ac:dyDescent="0.3">
      <c r="B5059" s="72"/>
      <c r="C5059" s="73"/>
      <c r="D5059" s="74"/>
      <c r="G5059" s="75"/>
    </row>
    <row r="5060" spans="2:7" x14ac:dyDescent="0.3">
      <c r="B5060" s="72"/>
      <c r="C5060" s="73"/>
      <c r="D5060" s="74"/>
      <c r="G5060" s="75"/>
    </row>
    <row r="5061" spans="2:7" x14ac:dyDescent="0.3">
      <c r="B5061" s="72"/>
      <c r="C5061" s="73"/>
      <c r="D5061" s="74"/>
      <c r="G5061" s="75"/>
    </row>
    <row r="5062" spans="2:7" x14ac:dyDescent="0.3">
      <c r="B5062" s="72"/>
      <c r="C5062" s="73"/>
      <c r="D5062" s="74"/>
      <c r="G5062" s="75"/>
    </row>
    <row r="5063" spans="2:7" x14ac:dyDescent="0.3">
      <c r="B5063" s="72"/>
      <c r="C5063" s="73"/>
      <c r="D5063" s="74"/>
      <c r="G5063" s="75"/>
    </row>
    <row r="5064" spans="2:7" x14ac:dyDescent="0.3">
      <c r="B5064" s="72"/>
      <c r="C5064" s="73"/>
      <c r="D5064" s="74"/>
      <c r="G5064" s="75"/>
    </row>
    <row r="5065" spans="2:7" x14ac:dyDescent="0.3">
      <c r="B5065" s="72"/>
      <c r="C5065" s="73"/>
      <c r="D5065" s="74"/>
      <c r="G5065" s="75"/>
    </row>
    <row r="5066" spans="2:7" x14ac:dyDescent="0.3">
      <c r="B5066" s="72"/>
      <c r="C5066" s="73"/>
      <c r="D5066" s="74"/>
      <c r="G5066" s="75"/>
    </row>
    <row r="5067" spans="2:7" x14ac:dyDescent="0.3">
      <c r="B5067" s="72"/>
      <c r="C5067" s="73"/>
      <c r="D5067" s="74"/>
      <c r="G5067" s="75"/>
    </row>
    <row r="5068" spans="2:7" x14ac:dyDescent="0.3">
      <c r="B5068" s="72"/>
      <c r="C5068" s="73"/>
      <c r="D5068" s="74"/>
      <c r="G5068" s="75"/>
    </row>
    <row r="5069" spans="2:7" x14ac:dyDescent="0.3">
      <c r="B5069" s="72"/>
      <c r="C5069" s="73"/>
      <c r="D5069" s="74"/>
      <c r="G5069" s="75"/>
    </row>
    <row r="5070" spans="2:7" x14ac:dyDescent="0.3">
      <c r="B5070" s="72"/>
      <c r="C5070" s="73"/>
      <c r="D5070" s="74"/>
      <c r="G5070" s="75"/>
    </row>
    <row r="5071" spans="2:7" x14ac:dyDescent="0.3">
      <c r="B5071" s="72"/>
      <c r="C5071" s="73"/>
      <c r="D5071" s="74"/>
      <c r="G5071" s="75"/>
    </row>
    <row r="5072" spans="2:7" x14ac:dyDescent="0.3">
      <c r="B5072" s="72"/>
      <c r="C5072" s="73"/>
      <c r="D5072" s="74"/>
      <c r="G5072" s="75"/>
    </row>
    <row r="5073" spans="2:7" x14ac:dyDescent="0.3">
      <c r="B5073" s="72"/>
      <c r="C5073" s="73"/>
      <c r="D5073" s="74"/>
      <c r="G5073" s="75"/>
    </row>
    <row r="5074" spans="2:7" x14ac:dyDescent="0.3">
      <c r="B5074" s="72"/>
      <c r="C5074" s="73"/>
      <c r="D5074" s="74"/>
      <c r="G5074" s="75"/>
    </row>
    <row r="5075" spans="2:7" x14ac:dyDescent="0.3">
      <c r="B5075" s="72"/>
      <c r="C5075" s="73"/>
      <c r="D5075" s="74"/>
      <c r="G5075" s="75"/>
    </row>
    <row r="5076" spans="2:7" x14ac:dyDescent="0.3">
      <c r="B5076" s="72"/>
      <c r="C5076" s="73"/>
      <c r="D5076" s="74"/>
      <c r="G5076" s="75"/>
    </row>
    <row r="5077" spans="2:7" x14ac:dyDescent="0.3">
      <c r="B5077" s="72"/>
      <c r="C5077" s="73"/>
      <c r="D5077" s="74"/>
      <c r="G5077" s="75"/>
    </row>
    <row r="5078" spans="2:7" x14ac:dyDescent="0.3">
      <c r="B5078" s="72"/>
      <c r="C5078" s="73"/>
      <c r="D5078" s="74"/>
      <c r="G5078" s="75"/>
    </row>
    <row r="5079" spans="2:7" x14ac:dyDescent="0.3">
      <c r="B5079" s="72"/>
      <c r="C5079" s="73"/>
      <c r="D5079" s="74"/>
      <c r="G5079" s="75"/>
    </row>
    <row r="5080" spans="2:7" x14ac:dyDescent="0.3">
      <c r="B5080" s="72"/>
      <c r="C5080" s="73"/>
      <c r="D5080" s="74"/>
      <c r="G5080" s="75"/>
    </row>
    <row r="5081" spans="2:7" x14ac:dyDescent="0.3">
      <c r="B5081" s="72"/>
      <c r="C5081" s="73"/>
      <c r="D5081" s="74"/>
      <c r="G5081" s="75"/>
    </row>
    <row r="5082" spans="2:7" x14ac:dyDescent="0.3">
      <c r="B5082" s="72"/>
      <c r="C5082" s="73"/>
      <c r="D5082" s="74"/>
      <c r="G5082" s="75"/>
    </row>
    <row r="5083" spans="2:7" x14ac:dyDescent="0.3">
      <c r="B5083" s="72"/>
      <c r="C5083" s="73"/>
      <c r="D5083" s="74"/>
      <c r="G5083" s="75"/>
    </row>
    <row r="5084" spans="2:7" x14ac:dyDescent="0.3">
      <c r="B5084" s="72"/>
      <c r="C5084" s="73"/>
      <c r="D5084" s="74"/>
      <c r="G5084" s="75"/>
    </row>
    <row r="5085" spans="2:7" x14ac:dyDescent="0.3">
      <c r="B5085" s="72"/>
      <c r="C5085" s="73"/>
      <c r="D5085" s="74"/>
      <c r="G5085" s="75"/>
    </row>
    <row r="5086" spans="2:7" x14ac:dyDescent="0.3">
      <c r="B5086" s="72"/>
      <c r="C5086" s="73"/>
      <c r="D5086" s="74"/>
      <c r="G5086" s="75"/>
    </row>
    <row r="5087" spans="2:7" x14ac:dyDescent="0.3">
      <c r="B5087" s="72"/>
      <c r="C5087" s="73"/>
      <c r="D5087" s="74"/>
      <c r="G5087" s="75"/>
    </row>
    <row r="5088" spans="2:7" x14ac:dyDescent="0.3">
      <c r="B5088" s="72"/>
      <c r="C5088" s="73"/>
      <c r="D5088" s="74"/>
      <c r="G5088" s="75"/>
    </row>
    <row r="5089" spans="2:7" x14ac:dyDescent="0.3">
      <c r="B5089" s="72"/>
      <c r="C5089" s="73"/>
      <c r="D5089" s="74"/>
      <c r="G5089" s="75"/>
    </row>
    <row r="5090" spans="2:7" x14ac:dyDescent="0.3">
      <c r="B5090" s="72"/>
      <c r="C5090" s="73"/>
      <c r="D5090" s="74"/>
      <c r="G5090" s="75"/>
    </row>
    <row r="5091" spans="2:7" x14ac:dyDescent="0.3">
      <c r="B5091" s="72"/>
      <c r="C5091" s="73"/>
      <c r="D5091" s="74"/>
      <c r="G5091" s="75"/>
    </row>
    <row r="5092" spans="2:7" x14ac:dyDescent="0.3">
      <c r="B5092" s="72"/>
      <c r="C5092" s="73"/>
      <c r="D5092" s="74"/>
      <c r="G5092" s="75"/>
    </row>
    <row r="5093" spans="2:7" x14ac:dyDescent="0.3">
      <c r="B5093" s="72"/>
      <c r="C5093" s="73"/>
      <c r="D5093" s="74"/>
      <c r="G5093" s="75"/>
    </row>
    <row r="5094" spans="2:7" x14ac:dyDescent="0.3">
      <c r="B5094" s="72"/>
      <c r="C5094" s="73"/>
      <c r="D5094" s="74"/>
      <c r="G5094" s="75"/>
    </row>
    <row r="5095" spans="2:7" x14ac:dyDescent="0.3">
      <c r="B5095" s="72"/>
      <c r="C5095" s="73"/>
      <c r="D5095" s="74"/>
      <c r="G5095" s="75"/>
    </row>
    <row r="5096" spans="2:7" x14ac:dyDescent="0.3">
      <c r="B5096" s="72"/>
      <c r="C5096" s="73"/>
      <c r="D5096" s="74"/>
      <c r="G5096" s="75"/>
    </row>
    <row r="5097" spans="2:7" x14ac:dyDescent="0.3">
      <c r="B5097" s="72"/>
      <c r="C5097" s="73"/>
      <c r="D5097" s="74"/>
      <c r="G5097" s="75"/>
    </row>
    <row r="5098" spans="2:7" x14ac:dyDescent="0.3">
      <c r="B5098" s="72"/>
      <c r="C5098" s="73"/>
      <c r="D5098" s="74"/>
      <c r="G5098" s="75"/>
    </row>
    <row r="5099" spans="2:7" x14ac:dyDescent="0.3">
      <c r="B5099" s="72"/>
      <c r="C5099" s="73"/>
      <c r="D5099" s="74"/>
      <c r="G5099" s="75"/>
    </row>
    <row r="5100" spans="2:7" x14ac:dyDescent="0.3">
      <c r="B5100" s="72"/>
      <c r="C5100" s="73"/>
      <c r="D5100" s="74"/>
      <c r="G5100" s="75"/>
    </row>
    <row r="5101" spans="2:7" x14ac:dyDescent="0.3">
      <c r="B5101" s="72"/>
      <c r="C5101" s="73"/>
      <c r="D5101" s="74"/>
      <c r="G5101" s="75"/>
    </row>
    <row r="5102" spans="2:7" x14ac:dyDescent="0.3">
      <c r="B5102" s="72"/>
      <c r="C5102" s="73"/>
      <c r="D5102" s="74"/>
      <c r="G5102" s="75"/>
    </row>
    <row r="5103" spans="2:7" x14ac:dyDescent="0.3">
      <c r="B5103" s="72"/>
      <c r="C5103" s="73"/>
      <c r="D5103" s="74"/>
      <c r="G5103" s="75"/>
    </row>
    <row r="5104" spans="2:7" x14ac:dyDescent="0.3">
      <c r="B5104" s="72"/>
      <c r="C5104" s="73"/>
      <c r="D5104" s="74"/>
      <c r="G5104" s="75"/>
    </row>
    <row r="5105" spans="2:7" x14ac:dyDescent="0.3">
      <c r="B5105" s="72"/>
      <c r="C5105" s="73"/>
      <c r="D5105" s="74"/>
      <c r="G5105" s="75"/>
    </row>
    <row r="5106" spans="2:7" x14ac:dyDescent="0.3">
      <c r="B5106" s="72"/>
      <c r="C5106" s="73"/>
      <c r="D5106" s="74"/>
      <c r="G5106" s="75"/>
    </row>
    <row r="5107" spans="2:7" x14ac:dyDescent="0.3">
      <c r="B5107" s="72"/>
      <c r="C5107" s="73"/>
      <c r="D5107" s="74"/>
      <c r="G5107" s="75"/>
    </row>
    <row r="5108" spans="2:7" x14ac:dyDescent="0.3">
      <c r="B5108" s="72"/>
      <c r="C5108" s="73"/>
      <c r="D5108" s="74"/>
      <c r="G5108" s="75"/>
    </row>
    <row r="5109" spans="2:7" x14ac:dyDescent="0.3">
      <c r="B5109" s="72"/>
      <c r="C5109" s="73"/>
      <c r="D5109" s="74"/>
      <c r="G5109" s="75"/>
    </row>
    <row r="5110" spans="2:7" x14ac:dyDescent="0.3">
      <c r="B5110" s="72"/>
      <c r="C5110" s="73"/>
      <c r="D5110" s="74"/>
      <c r="G5110" s="75"/>
    </row>
    <row r="5111" spans="2:7" x14ac:dyDescent="0.3">
      <c r="B5111" s="72"/>
      <c r="C5111" s="73"/>
      <c r="D5111" s="74"/>
      <c r="G5111" s="75"/>
    </row>
    <row r="5112" spans="2:7" x14ac:dyDescent="0.3">
      <c r="B5112" s="72"/>
      <c r="C5112" s="73"/>
      <c r="D5112" s="74"/>
      <c r="G5112" s="75"/>
    </row>
    <row r="5113" spans="2:7" x14ac:dyDescent="0.3">
      <c r="B5113" s="72"/>
      <c r="C5113" s="73"/>
      <c r="D5113" s="74"/>
      <c r="G5113" s="75"/>
    </row>
    <row r="5114" spans="2:7" x14ac:dyDescent="0.3">
      <c r="B5114" s="72"/>
      <c r="C5114" s="73"/>
      <c r="D5114" s="74"/>
      <c r="G5114" s="75"/>
    </row>
    <row r="5115" spans="2:7" x14ac:dyDescent="0.3">
      <c r="B5115" s="72"/>
      <c r="C5115" s="73"/>
      <c r="D5115" s="74"/>
      <c r="G5115" s="75"/>
    </row>
    <row r="5116" spans="2:7" x14ac:dyDescent="0.3">
      <c r="B5116" s="72"/>
      <c r="C5116" s="73"/>
      <c r="D5116" s="74"/>
      <c r="G5116" s="75"/>
    </row>
    <row r="5117" spans="2:7" x14ac:dyDescent="0.3">
      <c r="B5117" s="72"/>
      <c r="C5117" s="73"/>
      <c r="D5117" s="74"/>
      <c r="G5117" s="75"/>
    </row>
    <row r="5118" spans="2:7" x14ac:dyDescent="0.3">
      <c r="B5118" s="72"/>
      <c r="C5118" s="73"/>
      <c r="D5118" s="74"/>
      <c r="G5118" s="75"/>
    </row>
    <row r="5119" spans="2:7" x14ac:dyDescent="0.3">
      <c r="B5119" s="72"/>
      <c r="C5119" s="73"/>
      <c r="D5119" s="74"/>
      <c r="G5119" s="75"/>
    </row>
    <row r="5120" spans="2:7" x14ac:dyDescent="0.3">
      <c r="B5120" s="72"/>
      <c r="C5120" s="73"/>
      <c r="D5120" s="74"/>
      <c r="G5120" s="75"/>
    </row>
    <row r="5121" spans="2:7" x14ac:dyDescent="0.3">
      <c r="B5121" s="72"/>
      <c r="C5121" s="73"/>
      <c r="D5121" s="74"/>
      <c r="G5121" s="75"/>
    </row>
    <row r="5122" spans="2:7" x14ac:dyDescent="0.3">
      <c r="B5122" s="72"/>
      <c r="C5122" s="73"/>
      <c r="D5122" s="74"/>
      <c r="G5122" s="75"/>
    </row>
    <row r="5123" spans="2:7" x14ac:dyDescent="0.3">
      <c r="B5123" s="72"/>
      <c r="C5123" s="73"/>
      <c r="D5123" s="74"/>
      <c r="G5123" s="75"/>
    </row>
    <row r="5124" spans="2:7" x14ac:dyDescent="0.3">
      <c r="B5124" s="72"/>
      <c r="C5124" s="73"/>
      <c r="D5124" s="74"/>
      <c r="G5124" s="75"/>
    </row>
    <row r="5125" spans="2:7" x14ac:dyDescent="0.3">
      <c r="B5125" s="72"/>
      <c r="C5125" s="73"/>
      <c r="D5125" s="74"/>
      <c r="G5125" s="75"/>
    </row>
    <row r="5126" spans="2:7" x14ac:dyDescent="0.3">
      <c r="B5126" s="72"/>
      <c r="C5126" s="73"/>
      <c r="D5126" s="74"/>
      <c r="G5126" s="75"/>
    </row>
    <row r="5127" spans="2:7" x14ac:dyDescent="0.3">
      <c r="B5127" s="72"/>
      <c r="C5127" s="73"/>
      <c r="D5127" s="74"/>
      <c r="G5127" s="75"/>
    </row>
    <row r="5128" spans="2:7" x14ac:dyDescent="0.3">
      <c r="B5128" s="72"/>
      <c r="C5128" s="73"/>
      <c r="D5128" s="74"/>
      <c r="G5128" s="75"/>
    </row>
    <row r="5129" spans="2:7" x14ac:dyDescent="0.3">
      <c r="B5129" s="72"/>
      <c r="C5129" s="73"/>
      <c r="D5129" s="74"/>
      <c r="G5129" s="75"/>
    </row>
    <row r="5130" spans="2:7" x14ac:dyDescent="0.3">
      <c r="B5130" s="72"/>
      <c r="C5130" s="73"/>
      <c r="D5130" s="74"/>
      <c r="G5130" s="75"/>
    </row>
    <row r="5131" spans="2:7" x14ac:dyDescent="0.3">
      <c r="B5131" s="72"/>
      <c r="C5131" s="73"/>
      <c r="D5131" s="74"/>
      <c r="G5131" s="75"/>
    </row>
    <row r="5132" spans="2:7" x14ac:dyDescent="0.3">
      <c r="B5132" s="72"/>
      <c r="C5132" s="73"/>
      <c r="D5132" s="74"/>
      <c r="G5132" s="75"/>
    </row>
    <row r="5133" spans="2:7" x14ac:dyDescent="0.3">
      <c r="B5133" s="72"/>
      <c r="C5133" s="73"/>
      <c r="D5133" s="74"/>
      <c r="G5133" s="75"/>
    </row>
    <row r="5134" spans="2:7" x14ac:dyDescent="0.3">
      <c r="B5134" s="72"/>
      <c r="C5134" s="73"/>
      <c r="D5134" s="74"/>
      <c r="G5134" s="75"/>
    </row>
    <row r="5135" spans="2:7" x14ac:dyDescent="0.3">
      <c r="B5135" s="72"/>
      <c r="C5135" s="73"/>
      <c r="D5135" s="74"/>
      <c r="G5135" s="75"/>
    </row>
    <row r="5136" spans="2:7" x14ac:dyDescent="0.3">
      <c r="B5136" s="72"/>
      <c r="C5136" s="73"/>
      <c r="D5136" s="74"/>
      <c r="G5136" s="75"/>
    </row>
    <row r="5137" spans="2:7" x14ac:dyDescent="0.3">
      <c r="B5137" s="72"/>
      <c r="C5137" s="73"/>
      <c r="D5137" s="74"/>
      <c r="G5137" s="75"/>
    </row>
    <row r="5138" spans="2:7" x14ac:dyDescent="0.3">
      <c r="B5138" s="72"/>
      <c r="C5138" s="73"/>
      <c r="D5138" s="74"/>
      <c r="G5138" s="75"/>
    </row>
    <row r="5139" spans="2:7" x14ac:dyDescent="0.3">
      <c r="B5139" s="72"/>
      <c r="C5139" s="73"/>
      <c r="D5139" s="74"/>
      <c r="G5139" s="75"/>
    </row>
    <row r="5140" spans="2:7" x14ac:dyDescent="0.3">
      <c r="B5140" s="72"/>
      <c r="C5140" s="73"/>
      <c r="D5140" s="74"/>
      <c r="G5140" s="75"/>
    </row>
    <row r="5141" spans="2:7" x14ac:dyDescent="0.3">
      <c r="B5141" s="72"/>
      <c r="C5141" s="73"/>
      <c r="D5141" s="74"/>
      <c r="G5141" s="75"/>
    </row>
    <row r="5142" spans="2:7" x14ac:dyDescent="0.3">
      <c r="B5142" s="72"/>
      <c r="C5142" s="73"/>
      <c r="D5142" s="74"/>
      <c r="G5142" s="75"/>
    </row>
    <row r="5143" spans="2:7" x14ac:dyDescent="0.3">
      <c r="B5143" s="72"/>
      <c r="C5143" s="73"/>
      <c r="D5143" s="74"/>
      <c r="G5143" s="75"/>
    </row>
    <row r="5144" spans="2:7" x14ac:dyDescent="0.3">
      <c r="B5144" s="72"/>
      <c r="C5144" s="73"/>
      <c r="D5144" s="74"/>
      <c r="G5144" s="75"/>
    </row>
    <row r="5145" spans="2:7" x14ac:dyDescent="0.3">
      <c r="B5145" s="72"/>
      <c r="C5145" s="73"/>
      <c r="D5145" s="74"/>
      <c r="G5145" s="75"/>
    </row>
    <row r="5146" spans="2:7" x14ac:dyDescent="0.3">
      <c r="B5146" s="72"/>
      <c r="C5146" s="73"/>
      <c r="D5146" s="74"/>
      <c r="G5146" s="75"/>
    </row>
    <row r="5147" spans="2:7" x14ac:dyDescent="0.3">
      <c r="B5147" s="72"/>
      <c r="C5147" s="73"/>
      <c r="D5147" s="74"/>
      <c r="G5147" s="75"/>
    </row>
    <row r="5148" spans="2:7" x14ac:dyDescent="0.3">
      <c r="B5148" s="72"/>
      <c r="C5148" s="73"/>
      <c r="D5148" s="74"/>
      <c r="G5148" s="75"/>
    </row>
    <row r="5149" spans="2:7" x14ac:dyDescent="0.3">
      <c r="B5149" s="72"/>
      <c r="C5149" s="73"/>
      <c r="D5149" s="74"/>
      <c r="G5149" s="75"/>
    </row>
    <row r="5150" spans="2:7" x14ac:dyDescent="0.3">
      <c r="B5150" s="72"/>
      <c r="C5150" s="73"/>
      <c r="D5150" s="74"/>
      <c r="G5150" s="75"/>
    </row>
    <row r="5151" spans="2:7" x14ac:dyDescent="0.3">
      <c r="B5151" s="72"/>
      <c r="C5151" s="73"/>
      <c r="D5151" s="74"/>
      <c r="G5151" s="75"/>
    </row>
    <row r="5152" spans="2:7" x14ac:dyDescent="0.3">
      <c r="B5152" s="72"/>
      <c r="C5152" s="73"/>
      <c r="D5152" s="74"/>
      <c r="G5152" s="75"/>
    </row>
    <row r="5153" spans="2:7" x14ac:dyDescent="0.3">
      <c r="B5153" s="72"/>
      <c r="C5153" s="73"/>
      <c r="D5153" s="74"/>
      <c r="G5153" s="75"/>
    </row>
    <row r="5154" spans="2:7" x14ac:dyDescent="0.3">
      <c r="B5154" s="72"/>
      <c r="C5154" s="73"/>
      <c r="D5154" s="74"/>
      <c r="G5154" s="75"/>
    </row>
    <row r="5155" spans="2:7" x14ac:dyDescent="0.3">
      <c r="B5155" s="72"/>
      <c r="C5155" s="73"/>
      <c r="D5155" s="74"/>
      <c r="G5155" s="75"/>
    </row>
    <row r="5156" spans="2:7" x14ac:dyDescent="0.3">
      <c r="B5156" s="72"/>
      <c r="C5156" s="73"/>
      <c r="D5156" s="74"/>
      <c r="G5156" s="75"/>
    </row>
    <row r="5157" spans="2:7" x14ac:dyDescent="0.3">
      <c r="B5157" s="72"/>
      <c r="C5157" s="73"/>
      <c r="D5157" s="74"/>
      <c r="G5157" s="75"/>
    </row>
    <row r="5158" spans="2:7" x14ac:dyDescent="0.3">
      <c r="B5158" s="72"/>
      <c r="C5158" s="73"/>
      <c r="D5158" s="74"/>
      <c r="G5158" s="75"/>
    </row>
    <row r="5159" spans="2:7" x14ac:dyDescent="0.3">
      <c r="B5159" s="72"/>
      <c r="C5159" s="73"/>
      <c r="D5159" s="74"/>
      <c r="G5159" s="75"/>
    </row>
    <row r="5160" spans="2:7" x14ac:dyDescent="0.3">
      <c r="B5160" s="72"/>
      <c r="C5160" s="73"/>
      <c r="D5160" s="74"/>
      <c r="G5160" s="75"/>
    </row>
    <row r="5161" spans="2:7" x14ac:dyDescent="0.3">
      <c r="B5161" s="72"/>
      <c r="C5161" s="73"/>
      <c r="D5161" s="74"/>
      <c r="G5161" s="75"/>
    </row>
    <row r="5162" spans="2:7" x14ac:dyDescent="0.3">
      <c r="B5162" s="72"/>
      <c r="C5162" s="73"/>
      <c r="D5162" s="74"/>
      <c r="G5162" s="75"/>
    </row>
    <row r="5163" spans="2:7" x14ac:dyDescent="0.3">
      <c r="B5163" s="72"/>
      <c r="C5163" s="73"/>
      <c r="D5163" s="74"/>
      <c r="G5163" s="75"/>
    </row>
    <row r="5164" spans="2:7" x14ac:dyDescent="0.3">
      <c r="B5164" s="72"/>
      <c r="C5164" s="73"/>
      <c r="D5164" s="74"/>
      <c r="G5164" s="75"/>
    </row>
    <row r="5165" spans="2:7" x14ac:dyDescent="0.3">
      <c r="B5165" s="72"/>
      <c r="C5165" s="73"/>
      <c r="D5165" s="74"/>
      <c r="G5165" s="75"/>
    </row>
    <row r="5166" spans="2:7" x14ac:dyDescent="0.3">
      <c r="B5166" s="72"/>
      <c r="C5166" s="73"/>
      <c r="D5166" s="74"/>
      <c r="G5166" s="75"/>
    </row>
    <row r="5167" spans="2:7" x14ac:dyDescent="0.3">
      <c r="B5167" s="72"/>
      <c r="C5167" s="73"/>
      <c r="D5167" s="74"/>
      <c r="G5167" s="75"/>
    </row>
    <row r="5168" spans="2:7" x14ac:dyDescent="0.3">
      <c r="B5168" s="72"/>
      <c r="C5168" s="73"/>
      <c r="D5168" s="74"/>
      <c r="G5168" s="75"/>
    </row>
    <row r="5169" spans="2:7" x14ac:dyDescent="0.3">
      <c r="B5169" s="72"/>
      <c r="C5169" s="73"/>
      <c r="D5169" s="74"/>
      <c r="G5169" s="75"/>
    </row>
    <row r="5170" spans="2:7" x14ac:dyDescent="0.3">
      <c r="B5170" s="72"/>
      <c r="C5170" s="73"/>
      <c r="D5170" s="74"/>
      <c r="G5170" s="75"/>
    </row>
    <row r="5171" spans="2:7" x14ac:dyDescent="0.3">
      <c r="B5171" s="72"/>
      <c r="C5171" s="73"/>
      <c r="D5171" s="74"/>
      <c r="G5171" s="75"/>
    </row>
    <row r="5172" spans="2:7" x14ac:dyDescent="0.3">
      <c r="B5172" s="72"/>
      <c r="C5172" s="73"/>
      <c r="D5172" s="74"/>
      <c r="G5172" s="75"/>
    </row>
    <row r="5173" spans="2:7" x14ac:dyDescent="0.3">
      <c r="B5173" s="72"/>
      <c r="C5173" s="73"/>
      <c r="D5173" s="74"/>
      <c r="G5173" s="75"/>
    </row>
    <row r="5174" spans="2:7" x14ac:dyDescent="0.3">
      <c r="B5174" s="72"/>
      <c r="C5174" s="73"/>
      <c r="D5174" s="74"/>
      <c r="G5174" s="75"/>
    </row>
    <row r="5175" spans="2:7" x14ac:dyDescent="0.3">
      <c r="B5175" s="72"/>
      <c r="C5175" s="73"/>
      <c r="D5175" s="74"/>
      <c r="G5175" s="75"/>
    </row>
    <row r="5176" spans="2:7" x14ac:dyDescent="0.3">
      <c r="B5176" s="72"/>
      <c r="C5176" s="73"/>
      <c r="D5176" s="74"/>
      <c r="G5176" s="75"/>
    </row>
    <row r="5177" spans="2:7" x14ac:dyDescent="0.3">
      <c r="B5177" s="72"/>
      <c r="C5177" s="73"/>
      <c r="D5177" s="74"/>
      <c r="G5177" s="75"/>
    </row>
    <row r="5178" spans="2:7" x14ac:dyDescent="0.3">
      <c r="B5178" s="72"/>
      <c r="C5178" s="73"/>
      <c r="D5178" s="74"/>
      <c r="G5178" s="75"/>
    </row>
    <row r="5179" spans="2:7" x14ac:dyDescent="0.3">
      <c r="B5179" s="72"/>
      <c r="C5179" s="73"/>
      <c r="D5179" s="74"/>
      <c r="G5179" s="75"/>
    </row>
    <row r="5180" spans="2:7" x14ac:dyDescent="0.3">
      <c r="B5180" s="72"/>
      <c r="C5180" s="73"/>
      <c r="D5180" s="74"/>
      <c r="G5180" s="75"/>
    </row>
    <row r="5181" spans="2:7" x14ac:dyDescent="0.3">
      <c r="B5181" s="72"/>
      <c r="C5181" s="73"/>
      <c r="D5181" s="74"/>
      <c r="G5181" s="75"/>
    </row>
    <row r="5182" spans="2:7" x14ac:dyDescent="0.3">
      <c r="B5182" s="72"/>
      <c r="C5182" s="73"/>
      <c r="D5182" s="74"/>
      <c r="G5182" s="75"/>
    </row>
    <row r="5183" spans="2:7" x14ac:dyDescent="0.3">
      <c r="B5183" s="72"/>
      <c r="C5183" s="73"/>
      <c r="D5183" s="74"/>
      <c r="G5183" s="75"/>
    </row>
    <row r="5184" spans="2:7" x14ac:dyDescent="0.3">
      <c r="B5184" s="72"/>
      <c r="C5184" s="73"/>
      <c r="D5184" s="74"/>
      <c r="G5184" s="75"/>
    </row>
    <row r="5185" spans="2:8" x14ac:dyDescent="0.3">
      <c r="B5185" s="72"/>
      <c r="C5185" s="73"/>
      <c r="G5185" s="75"/>
    </row>
    <row r="5186" spans="2:8" x14ac:dyDescent="0.3">
      <c r="G5186" s="75">
        <v>5183</v>
      </c>
      <c r="H5186">
        <f t="shared" ref="H5186:H5249" ca="1" si="67">_xlfn.NORM.INV(RAND(),$N$4,$N$5)</f>
        <v>-1.4634677387066666E-3</v>
      </c>
    </row>
    <row r="5187" spans="2:8" x14ac:dyDescent="0.3">
      <c r="G5187" s="75">
        <v>5184</v>
      </c>
      <c r="H5187">
        <f t="shared" ca="1" si="67"/>
        <v>1.3290035771585796E-2</v>
      </c>
    </row>
    <row r="5188" spans="2:8" x14ac:dyDescent="0.3">
      <c r="G5188" s="75">
        <v>5185</v>
      </c>
      <c r="H5188">
        <f t="shared" ca="1" si="67"/>
        <v>-8.5949225478859064E-3</v>
      </c>
    </row>
    <row r="5189" spans="2:8" x14ac:dyDescent="0.3">
      <c r="G5189" s="75">
        <v>5186</v>
      </c>
      <c r="H5189">
        <f t="shared" ca="1" si="67"/>
        <v>-2.3001502245502948E-2</v>
      </c>
    </row>
    <row r="5190" spans="2:8" x14ac:dyDescent="0.3">
      <c r="G5190" s="75">
        <v>5187</v>
      </c>
      <c r="H5190">
        <f t="shared" ca="1" si="67"/>
        <v>-3.0795110854014234E-3</v>
      </c>
    </row>
    <row r="5191" spans="2:8" x14ac:dyDescent="0.3">
      <c r="G5191" s="75">
        <v>5188</v>
      </c>
      <c r="H5191">
        <f t="shared" ca="1" si="67"/>
        <v>1.6526378872099439E-2</v>
      </c>
    </row>
    <row r="5192" spans="2:8" x14ac:dyDescent="0.3">
      <c r="G5192" s="75">
        <v>5189</v>
      </c>
      <c r="H5192">
        <f t="shared" ca="1" si="67"/>
        <v>4.4638083168604533E-3</v>
      </c>
    </row>
    <row r="5193" spans="2:8" x14ac:dyDescent="0.3">
      <c r="G5193" s="75">
        <v>5190</v>
      </c>
      <c r="H5193">
        <f t="shared" ca="1" si="67"/>
        <v>3.9976905434243358E-3</v>
      </c>
    </row>
    <row r="5194" spans="2:8" x14ac:dyDescent="0.3">
      <c r="G5194" s="75">
        <v>5191</v>
      </c>
      <c r="H5194">
        <f t="shared" ca="1" si="67"/>
        <v>-2.1222083995887982E-2</v>
      </c>
    </row>
    <row r="5195" spans="2:8" x14ac:dyDescent="0.3">
      <c r="G5195" s="75">
        <v>5192</v>
      </c>
      <c r="H5195">
        <f t="shared" ca="1" si="67"/>
        <v>9.4609431643400427E-3</v>
      </c>
    </row>
    <row r="5196" spans="2:8" x14ac:dyDescent="0.3">
      <c r="G5196" s="75">
        <v>5193</v>
      </c>
      <c r="H5196">
        <f t="shared" ca="1" si="67"/>
        <v>1.9554716483420071E-3</v>
      </c>
    </row>
    <row r="5197" spans="2:8" x14ac:dyDescent="0.3">
      <c r="G5197" s="75">
        <v>5194</v>
      </c>
      <c r="H5197">
        <f t="shared" ca="1" si="67"/>
        <v>2.3317356324508861E-3</v>
      </c>
    </row>
    <row r="5198" spans="2:8" x14ac:dyDescent="0.3">
      <c r="G5198" s="75">
        <v>5195</v>
      </c>
      <c r="H5198">
        <f t="shared" ca="1" si="67"/>
        <v>-1.5601574417244692E-2</v>
      </c>
    </row>
    <row r="5199" spans="2:8" x14ac:dyDescent="0.3">
      <c r="G5199" s="75">
        <v>5196</v>
      </c>
      <c r="H5199">
        <f t="shared" ca="1" si="67"/>
        <v>-1.7798622110337239E-2</v>
      </c>
    </row>
    <row r="5200" spans="2:8" x14ac:dyDescent="0.3">
      <c r="G5200" s="75">
        <v>5197</v>
      </c>
      <c r="H5200">
        <f t="shared" ca="1" si="67"/>
        <v>1.0879555677257645E-2</v>
      </c>
    </row>
    <row r="5201" spans="7:8" x14ac:dyDescent="0.3">
      <c r="G5201" s="75">
        <v>5198</v>
      </c>
      <c r="H5201">
        <f t="shared" ca="1" si="67"/>
        <v>-1.0567970574158007E-2</v>
      </c>
    </row>
    <row r="5202" spans="7:8" x14ac:dyDescent="0.3">
      <c r="G5202" s="75">
        <v>5199</v>
      </c>
      <c r="H5202">
        <f t="shared" ca="1" si="67"/>
        <v>-3.0228205539789975E-3</v>
      </c>
    </row>
    <row r="5203" spans="7:8" x14ac:dyDescent="0.3">
      <c r="G5203" s="75">
        <v>5200</v>
      </c>
      <c r="H5203">
        <f t="shared" ca="1" si="67"/>
        <v>4.519786731837297E-3</v>
      </c>
    </row>
    <row r="5204" spans="7:8" x14ac:dyDescent="0.3">
      <c r="G5204" s="75">
        <v>5201</v>
      </c>
      <c r="H5204">
        <f t="shared" ca="1" si="67"/>
        <v>-1.4913573941510296E-2</v>
      </c>
    </row>
    <row r="5205" spans="7:8" x14ac:dyDescent="0.3">
      <c r="G5205" s="75">
        <v>5202</v>
      </c>
      <c r="H5205">
        <f t="shared" ca="1" si="67"/>
        <v>-1.2302387821447495E-2</v>
      </c>
    </row>
    <row r="5206" spans="7:8" x14ac:dyDescent="0.3">
      <c r="G5206" s="75">
        <v>5203</v>
      </c>
      <c r="H5206">
        <f t="shared" ca="1" si="67"/>
        <v>-1.1211124666946244E-2</v>
      </c>
    </row>
    <row r="5207" spans="7:8" x14ac:dyDescent="0.3">
      <c r="G5207" s="75">
        <v>5204</v>
      </c>
      <c r="H5207">
        <f t="shared" ca="1" si="67"/>
        <v>-1.4812098801484596E-3</v>
      </c>
    </row>
    <row r="5208" spans="7:8" x14ac:dyDescent="0.3">
      <c r="G5208" s="75">
        <v>5205</v>
      </c>
      <c r="H5208">
        <f t="shared" ca="1" si="67"/>
        <v>9.0681015505237623E-3</v>
      </c>
    </row>
    <row r="5209" spans="7:8" x14ac:dyDescent="0.3">
      <c r="G5209" s="75">
        <v>5206</v>
      </c>
      <c r="H5209">
        <f t="shared" ca="1" si="67"/>
        <v>2.1500435054146765E-2</v>
      </c>
    </row>
    <row r="5210" spans="7:8" x14ac:dyDescent="0.3">
      <c r="G5210" s="75">
        <v>5207</v>
      </c>
      <c r="H5210">
        <f t="shared" ca="1" si="67"/>
        <v>7.1548463694551664E-3</v>
      </c>
    </row>
    <row r="5211" spans="7:8" x14ac:dyDescent="0.3">
      <c r="G5211" s="75">
        <v>5208</v>
      </c>
      <c r="H5211">
        <f t="shared" ca="1" si="67"/>
        <v>1.4364609098590513E-2</v>
      </c>
    </row>
    <row r="5212" spans="7:8" x14ac:dyDescent="0.3">
      <c r="G5212" s="75">
        <v>5209</v>
      </c>
      <c r="H5212">
        <f t="shared" ca="1" si="67"/>
        <v>-1.8342621493477661E-2</v>
      </c>
    </row>
    <row r="5213" spans="7:8" x14ac:dyDescent="0.3">
      <c r="G5213" s="75">
        <v>5210</v>
      </c>
      <c r="H5213">
        <f t="shared" ca="1" si="67"/>
        <v>-6.6998614231537582E-3</v>
      </c>
    </row>
    <row r="5214" spans="7:8" x14ac:dyDescent="0.3">
      <c r="G5214" s="75">
        <v>5211</v>
      </c>
      <c r="H5214">
        <f t="shared" ca="1" si="67"/>
        <v>1.6847775146550587E-2</v>
      </c>
    </row>
    <row r="5215" spans="7:8" x14ac:dyDescent="0.3">
      <c r="G5215" s="75">
        <v>5212</v>
      </c>
      <c r="H5215">
        <f t="shared" ca="1" si="67"/>
        <v>-7.6121068631099242E-3</v>
      </c>
    </row>
    <row r="5216" spans="7:8" x14ac:dyDescent="0.3">
      <c r="G5216" s="75">
        <v>5213</v>
      </c>
      <c r="H5216">
        <f t="shared" ca="1" si="67"/>
        <v>8.7967985412249344E-3</v>
      </c>
    </row>
    <row r="5217" spans="7:8" x14ac:dyDescent="0.3">
      <c r="G5217" s="75">
        <v>5214</v>
      </c>
      <c r="H5217">
        <f t="shared" ca="1" si="67"/>
        <v>-1.3175519601239478E-2</v>
      </c>
    </row>
    <row r="5218" spans="7:8" x14ac:dyDescent="0.3">
      <c r="G5218" s="75">
        <v>5215</v>
      </c>
      <c r="H5218">
        <f t="shared" ca="1" si="67"/>
        <v>2.6388037127508569E-3</v>
      </c>
    </row>
    <row r="5219" spans="7:8" x14ac:dyDescent="0.3">
      <c r="G5219" s="75">
        <v>5216</v>
      </c>
      <c r="H5219">
        <f t="shared" ca="1" si="67"/>
        <v>-6.6606755500805484E-3</v>
      </c>
    </row>
    <row r="5220" spans="7:8" x14ac:dyDescent="0.3">
      <c r="G5220" s="75">
        <v>5217</v>
      </c>
      <c r="H5220">
        <f t="shared" ca="1" si="67"/>
        <v>-1.6713608573286642E-2</v>
      </c>
    </row>
    <row r="5221" spans="7:8" x14ac:dyDescent="0.3">
      <c r="G5221" s="75">
        <v>5218</v>
      </c>
      <c r="H5221">
        <f t="shared" ca="1" si="67"/>
        <v>1.52466068439023E-2</v>
      </c>
    </row>
    <row r="5222" spans="7:8" x14ac:dyDescent="0.3">
      <c r="G5222" s="75">
        <v>5219</v>
      </c>
      <c r="H5222">
        <f t="shared" ca="1" si="67"/>
        <v>-1.2882977175759532E-2</v>
      </c>
    </row>
    <row r="5223" spans="7:8" x14ac:dyDescent="0.3">
      <c r="G5223" s="75">
        <v>5220</v>
      </c>
      <c r="H5223">
        <f t="shared" ca="1" si="67"/>
        <v>-1.5789849964307975E-2</v>
      </c>
    </row>
    <row r="5224" spans="7:8" x14ac:dyDescent="0.3">
      <c r="G5224" s="75">
        <v>5221</v>
      </c>
      <c r="H5224">
        <f t="shared" ca="1" si="67"/>
        <v>-1.8816705785316086E-2</v>
      </c>
    </row>
    <row r="5225" spans="7:8" x14ac:dyDescent="0.3">
      <c r="G5225" s="75">
        <v>5222</v>
      </c>
      <c r="H5225">
        <f t="shared" ca="1" si="67"/>
        <v>5.8038704071634818E-3</v>
      </c>
    </row>
    <row r="5226" spans="7:8" x14ac:dyDescent="0.3">
      <c r="G5226" s="75">
        <v>5223</v>
      </c>
      <c r="H5226">
        <f t="shared" ca="1" si="67"/>
        <v>7.2168936865296407E-3</v>
      </c>
    </row>
    <row r="5227" spans="7:8" x14ac:dyDescent="0.3">
      <c r="G5227" s="75">
        <v>5224</v>
      </c>
      <c r="H5227">
        <f t="shared" ca="1" si="67"/>
        <v>-2.7464334035700189E-3</v>
      </c>
    </row>
    <row r="5228" spans="7:8" x14ac:dyDescent="0.3">
      <c r="G5228" s="75">
        <v>5225</v>
      </c>
      <c r="H5228">
        <f t="shared" ca="1" si="67"/>
        <v>8.6461591520706742E-3</v>
      </c>
    </row>
    <row r="5229" spans="7:8" x14ac:dyDescent="0.3">
      <c r="G5229" s="75">
        <v>5226</v>
      </c>
      <c r="H5229">
        <f t="shared" ca="1" si="67"/>
        <v>-1.3638103441007269E-2</v>
      </c>
    </row>
    <row r="5230" spans="7:8" x14ac:dyDescent="0.3">
      <c r="G5230" s="75">
        <v>5227</v>
      </c>
      <c r="H5230">
        <f t="shared" ca="1" si="67"/>
        <v>1.6489655583370226E-2</v>
      </c>
    </row>
    <row r="5231" spans="7:8" x14ac:dyDescent="0.3">
      <c r="G5231" s="75">
        <v>5228</v>
      </c>
      <c r="H5231">
        <f t="shared" ca="1" si="67"/>
        <v>5.2178317998526564E-3</v>
      </c>
    </row>
    <row r="5232" spans="7:8" x14ac:dyDescent="0.3">
      <c r="G5232" s="75">
        <v>5229</v>
      </c>
      <c r="H5232">
        <f t="shared" ca="1" si="67"/>
        <v>-1.5975925168085825E-2</v>
      </c>
    </row>
    <row r="5233" spans="7:8" x14ac:dyDescent="0.3">
      <c r="G5233" s="75">
        <v>5230</v>
      </c>
      <c r="H5233">
        <f t="shared" ca="1" si="67"/>
        <v>2.3148668740292831E-2</v>
      </c>
    </row>
    <row r="5234" spans="7:8" x14ac:dyDescent="0.3">
      <c r="G5234" s="75">
        <v>5231</v>
      </c>
      <c r="H5234">
        <f t="shared" ca="1" si="67"/>
        <v>1.2042729533156568E-2</v>
      </c>
    </row>
    <row r="5235" spans="7:8" x14ac:dyDescent="0.3">
      <c r="G5235" s="75">
        <v>5232</v>
      </c>
      <c r="H5235">
        <f t="shared" ca="1" si="67"/>
        <v>1.5232023625578649E-2</v>
      </c>
    </row>
    <row r="5236" spans="7:8" x14ac:dyDescent="0.3">
      <c r="G5236" s="75">
        <v>5233</v>
      </c>
      <c r="H5236">
        <f t="shared" ca="1" si="67"/>
        <v>2.8491816920505928E-2</v>
      </c>
    </row>
    <row r="5237" spans="7:8" x14ac:dyDescent="0.3">
      <c r="G5237" s="75">
        <v>5234</v>
      </c>
      <c r="H5237">
        <f t="shared" ca="1" si="67"/>
        <v>-1.3382881299210642E-2</v>
      </c>
    </row>
    <row r="5238" spans="7:8" x14ac:dyDescent="0.3">
      <c r="G5238" s="75">
        <v>5235</v>
      </c>
      <c r="H5238">
        <f t="shared" ca="1" si="67"/>
        <v>-8.8465930025769333E-3</v>
      </c>
    </row>
    <row r="5239" spans="7:8" x14ac:dyDescent="0.3">
      <c r="G5239" s="75">
        <v>5236</v>
      </c>
      <c r="H5239">
        <f t="shared" ca="1" si="67"/>
        <v>9.4372002788080007E-3</v>
      </c>
    </row>
    <row r="5240" spans="7:8" x14ac:dyDescent="0.3">
      <c r="G5240" s="75">
        <v>5237</v>
      </c>
      <c r="H5240">
        <f t="shared" ca="1" si="67"/>
        <v>-4.3044014554494874E-3</v>
      </c>
    </row>
    <row r="5241" spans="7:8" x14ac:dyDescent="0.3">
      <c r="G5241" s="75">
        <v>5238</v>
      </c>
      <c r="H5241">
        <f t="shared" ca="1" si="67"/>
        <v>2.7675775412623716E-2</v>
      </c>
    </row>
    <row r="5242" spans="7:8" x14ac:dyDescent="0.3">
      <c r="G5242" s="75">
        <v>5239</v>
      </c>
      <c r="H5242">
        <f t="shared" ca="1" si="67"/>
        <v>-5.2638989114765613E-3</v>
      </c>
    </row>
    <row r="5243" spans="7:8" x14ac:dyDescent="0.3">
      <c r="G5243" s="75">
        <v>5240</v>
      </c>
      <c r="H5243">
        <f t="shared" ca="1" si="67"/>
        <v>-5.3171786190169086E-3</v>
      </c>
    </row>
    <row r="5244" spans="7:8" x14ac:dyDescent="0.3">
      <c r="G5244" s="75">
        <v>5241</v>
      </c>
      <c r="H5244">
        <f t="shared" ca="1" si="67"/>
        <v>-5.5042323665427904E-3</v>
      </c>
    </row>
    <row r="5245" spans="7:8" x14ac:dyDescent="0.3">
      <c r="G5245" s="75">
        <v>5242</v>
      </c>
      <c r="H5245">
        <f t="shared" ca="1" si="67"/>
        <v>-4.4947054581109371E-3</v>
      </c>
    </row>
    <row r="5246" spans="7:8" x14ac:dyDescent="0.3">
      <c r="G5246" s="75">
        <v>5243</v>
      </c>
      <c r="H5246">
        <f t="shared" ca="1" si="67"/>
        <v>-6.0837336128392221E-3</v>
      </c>
    </row>
    <row r="5247" spans="7:8" x14ac:dyDescent="0.3">
      <c r="G5247" s="75">
        <v>5244</v>
      </c>
      <c r="H5247">
        <f t="shared" ca="1" si="67"/>
        <v>2.3339694253032464E-2</v>
      </c>
    </row>
    <row r="5248" spans="7:8" x14ac:dyDescent="0.3">
      <c r="G5248" s="75">
        <v>5245</v>
      </c>
      <c r="H5248">
        <f t="shared" ca="1" si="67"/>
        <v>1.7018514062285755E-2</v>
      </c>
    </row>
    <row r="5249" spans="7:8" x14ac:dyDescent="0.3">
      <c r="G5249" s="75">
        <v>5246</v>
      </c>
      <c r="H5249">
        <f t="shared" ca="1" si="67"/>
        <v>1.2195755166706297E-2</v>
      </c>
    </row>
    <row r="5250" spans="7:8" x14ac:dyDescent="0.3">
      <c r="G5250" s="75">
        <v>5247</v>
      </c>
      <c r="H5250">
        <f t="shared" ref="H5250:H5313" ca="1" si="68">_xlfn.NORM.INV(RAND(),$N$4,$N$5)</f>
        <v>1.394925171019795E-2</v>
      </c>
    </row>
    <row r="5251" spans="7:8" x14ac:dyDescent="0.3">
      <c r="G5251" s="75">
        <v>5248</v>
      </c>
      <c r="H5251">
        <f t="shared" ca="1" si="68"/>
        <v>-3.5459710912416871E-3</v>
      </c>
    </row>
    <row r="5252" spans="7:8" x14ac:dyDescent="0.3">
      <c r="G5252" s="75">
        <v>5249</v>
      </c>
      <c r="H5252">
        <f t="shared" ca="1" si="68"/>
        <v>-2.8142053423672701E-3</v>
      </c>
    </row>
    <row r="5253" spans="7:8" x14ac:dyDescent="0.3">
      <c r="G5253" s="75">
        <v>5250</v>
      </c>
      <c r="H5253">
        <f t="shared" ca="1" si="68"/>
        <v>1.9667389094548283E-3</v>
      </c>
    </row>
    <row r="5254" spans="7:8" x14ac:dyDescent="0.3">
      <c r="G5254" s="75">
        <v>5251</v>
      </c>
      <c r="H5254">
        <f t="shared" ca="1" si="68"/>
        <v>1.1120232415391246E-2</v>
      </c>
    </row>
    <row r="5255" spans="7:8" x14ac:dyDescent="0.3">
      <c r="G5255" s="75">
        <v>5252</v>
      </c>
      <c r="H5255">
        <f t="shared" ca="1" si="68"/>
        <v>1.9677158841290197E-2</v>
      </c>
    </row>
    <row r="5256" spans="7:8" x14ac:dyDescent="0.3">
      <c r="G5256" s="75">
        <v>5253</v>
      </c>
      <c r="H5256">
        <f t="shared" ca="1" si="68"/>
        <v>-4.822731915206508E-3</v>
      </c>
    </row>
    <row r="5257" spans="7:8" x14ac:dyDescent="0.3">
      <c r="G5257" s="75">
        <v>5254</v>
      </c>
      <c r="H5257">
        <f t="shared" ca="1" si="68"/>
        <v>2.5460207625592314E-3</v>
      </c>
    </row>
    <row r="5258" spans="7:8" x14ac:dyDescent="0.3">
      <c r="G5258" s="75">
        <v>5255</v>
      </c>
      <c r="H5258">
        <f t="shared" ca="1" si="68"/>
        <v>-5.8344344818030188E-3</v>
      </c>
    </row>
    <row r="5259" spans="7:8" x14ac:dyDescent="0.3">
      <c r="G5259" s="75">
        <v>5256</v>
      </c>
      <c r="H5259">
        <f t="shared" ca="1" si="68"/>
        <v>-1.3266258283516203E-2</v>
      </c>
    </row>
    <row r="5260" spans="7:8" x14ac:dyDescent="0.3">
      <c r="G5260" s="75">
        <v>5257</v>
      </c>
      <c r="H5260">
        <f t="shared" ca="1" si="68"/>
        <v>-3.7490728122282612E-3</v>
      </c>
    </row>
    <row r="5261" spans="7:8" x14ac:dyDescent="0.3">
      <c r="G5261" s="75">
        <v>5258</v>
      </c>
      <c r="H5261">
        <f t="shared" ca="1" si="68"/>
        <v>1.5456599851883027E-2</v>
      </c>
    </row>
    <row r="5262" spans="7:8" x14ac:dyDescent="0.3">
      <c r="G5262" s="75">
        <v>5259</v>
      </c>
      <c r="H5262">
        <f t="shared" ca="1" si="68"/>
        <v>-1.6101915034060346E-2</v>
      </c>
    </row>
    <row r="5263" spans="7:8" x14ac:dyDescent="0.3">
      <c r="G5263" s="75">
        <v>5260</v>
      </c>
      <c r="H5263">
        <f t="shared" ca="1" si="68"/>
        <v>-1.4840042041890243E-3</v>
      </c>
    </row>
    <row r="5264" spans="7:8" x14ac:dyDescent="0.3">
      <c r="G5264" s="75">
        <v>5261</v>
      </c>
      <c r="H5264">
        <f t="shared" ca="1" si="68"/>
        <v>-1.3179061616348714E-2</v>
      </c>
    </row>
    <row r="5265" spans="7:8" x14ac:dyDescent="0.3">
      <c r="G5265" s="75">
        <v>5262</v>
      </c>
      <c r="H5265">
        <f t="shared" ca="1" si="68"/>
        <v>7.0746756687456247E-3</v>
      </c>
    </row>
    <row r="5266" spans="7:8" x14ac:dyDescent="0.3">
      <c r="G5266" s="75">
        <v>5263</v>
      </c>
      <c r="H5266">
        <f t="shared" ca="1" si="68"/>
        <v>1.4874415622443316E-2</v>
      </c>
    </row>
    <row r="5267" spans="7:8" x14ac:dyDescent="0.3">
      <c r="G5267" s="75">
        <v>5264</v>
      </c>
      <c r="H5267">
        <f t="shared" ca="1" si="68"/>
        <v>2.7076037153593736E-2</v>
      </c>
    </row>
    <row r="5268" spans="7:8" x14ac:dyDescent="0.3">
      <c r="G5268" s="75">
        <v>5265</v>
      </c>
      <c r="H5268">
        <f t="shared" ca="1" si="68"/>
        <v>1.3580854091745831E-2</v>
      </c>
    </row>
    <row r="5269" spans="7:8" x14ac:dyDescent="0.3">
      <c r="G5269" s="75">
        <v>5266</v>
      </c>
      <c r="H5269">
        <f t="shared" ca="1" si="68"/>
        <v>-1.3124985549755339E-2</v>
      </c>
    </row>
    <row r="5270" spans="7:8" x14ac:dyDescent="0.3">
      <c r="G5270" s="75">
        <v>5267</v>
      </c>
      <c r="H5270">
        <f t="shared" ca="1" si="68"/>
        <v>-5.5436611959724571E-3</v>
      </c>
    </row>
    <row r="5271" spans="7:8" x14ac:dyDescent="0.3">
      <c r="G5271" s="75">
        <v>5268</v>
      </c>
      <c r="H5271">
        <f t="shared" ca="1" si="68"/>
        <v>-5.7037574682310003E-3</v>
      </c>
    </row>
    <row r="5272" spans="7:8" x14ac:dyDescent="0.3">
      <c r="G5272" s="75">
        <v>5269</v>
      </c>
      <c r="H5272">
        <f t="shared" ca="1" si="68"/>
        <v>4.9066242029725806E-3</v>
      </c>
    </row>
    <row r="5273" spans="7:8" x14ac:dyDescent="0.3">
      <c r="G5273" s="75">
        <v>5270</v>
      </c>
      <c r="H5273">
        <f t="shared" ca="1" si="68"/>
        <v>-3.2420096366163969E-3</v>
      </c>
    </row>
    <row r="5274" spans="7:8" x14ac:dyDescent="0.3">
      <c r="G5274" s="75">
        <v>5271</v>
      </c>
      <c r="H5274">
        <f t="shared" ca="1" si="68"/>
        <v>1.5802396322717138E-2</v>
      </c>
    </row>
    <row r="5275" spans="7:8" x14ac:dyDescent="0.3">
      <c r="G5275" s="75">
        <v>5272</v>
      </c>
      <c r="H5275">
        <f t="shared" ca="1" si="68"/>
        <v>1.686726670954299E-3</v>
      </c>
    </row>
    <row r="5276" spans="7:8" x14ac:dyDescent="0.3">
      <c r="G5276" s="75">
        <v>5273</v>
      </c>
      <c r="H5276">
        <f t="shared" ca="1" si="68"/>
        <v>-5.9581718352223463E-4</v>
      </c>
    </row>
    <row r="5277" spans="7:8" x14ac:dyDescent="0.3">
      <c r="G5277" s="75">
        <v>5274</v>
      </c>
      <c r="H5277">
        <f t="shared" ca="1" si="68"/>
        <v>5.8326890600818694E-3</v>
      </c>
    </row>
    <row r="5278" spans="7:8" x14ac:dyDescent="0.3">
      <c r="G5278" s="75">
        <v>5275</v>
      </c>
      <c r="H5278">
        <f t="shared" ca="1" si="68"/>
        <v>2.6572575397993688E-2</v>
      </c>
    </row>
    <row r="5279" spans="7:8" x14ac:dyDescent="0.3">
      <c r="G5279" s="75">
        <v>5276</v>
      </c>
      <c r="H5279">
        <f t="shared" ca="1" si="68"/>
        <v>4.9866145726171793E-4</v>
      </c>
    </row>
    <row r="5280" spans="7:8" x14ac:dyDescent="0.3">
      <c r="G5280" s="75">
        <v>5277</v>
      </c>
      <c r="H5280">
        <f t="shared" ca="1" si="68"/>
        <v>2.8344967396396019E-2</v>
      </c>
    </row>
    <row r="5281" spans="7:8" x14ac:dyDescent="0.3">
      <c r="G5281" s="75">
        <v>5278</v>
      </c>
      <c r="H5281">
        <f t="shared" ca="1" si="68"/>
        <v>4.4948619100504223E-3</v>
      </c>
    </row>
    <row r="5282" spans="7:8" x14ac:dyDescent="0.3">
      <c r="G5282" s="75">
        <v>5279</v>
      </c>
      <c r="H5282">
        <f t="shared" ca="1" si="68"/>
        <v>-8.7680066705211879E-4</v>
      </c>
    </row>
    <row r="5283" spans="7:8" x14ac:dyDescent="0.3">
      <c r="G5283" s="75">
        <v>5280</v>
      </c>
      <c r="H5283">
        <f t="shared" ca="1" si="68"/>
        <v>1.7858623861970482E-2</v>
      </c>
    </row>
    <row r="5284" spans="7:8" x14ac:dyDescent="0.3">
      <c r="G5284" s="75">
        <v>5281</v>
      </c>
      <c r="H5284">
        <f t="shared" ca="1" si="68"/>
        <v>-3.7763547331240311E-3</v>
      </c>
    </row>
    <row r="5285" spans="7:8" x14ac:dyDescent="0.3">
      <c r="G5285" s="75">
        <v>5282</v>
      </c>
      <c r="H5285">
        <f t="shared" ca="1" si="68"/>
        <v>-1.0940365853294989E-2</v>
      </c>
    </row>
    <row r="5286" spans="7:8" x14ac:dyDescent="0.3">
      <c r="G5286" s="75">
        <v>5283</v>
      </c>
      <c r="H5286">
        <f t="shared" ca="1" si="68"/>
        <v>-1.5613023649374043E-2</v>
      </c>
    </row>
    <row r="5287" spans="7:8" x14ac:dyDescent="0.3">
      <c r="G5287" s="75">
        <v>5284</v>
      </c>
      <c r="H5287">
        <f t="shared" ca="1" si="68"/>
        <v>5.6735514257509117E-3</v>
      </c>
    </row>
    <row r="5288" spans="7:8" x14ac:dyDescent="0.3">
      <c r="G5288" s="75">
        <v>5285</v>
      </c>
      <c r="H5288">
        <f t="shared" ca="1" si="68"/>
        <v>9.6569215171259572E-3</v>
      </c>
    </row>
    <row r="5289" spans="7:8" x14ac:dyDescent="0.3">
      <c r="G5289" s="75">
        <v>5286</v>
      </c>
      <c r="H5289">
        <f t="shared" ca="1" si="68"/>
        <v>1.2070760556218205E-2</v>
      </c>
    </row>
    <row r="5290" spans="7:8" x14ac:dyDescent="0.3">
      <c r="G5290" s="75">
        <v>5287</v>
      </c>
      <c r="H5290">
        <f t="shared" ca="1" si="68"/>
        <v>-1.2564729055780146E-2</v>
      </c>
    </row>
    <row r="5291" spans="7:8" x14ac:dyDescent="0.3">
      <c r="G5291" s="75">
        <v>5288</v>
      </c>
      <c r="H5291">
        <f t="shared" ca="1" si="68"/>
        <v>-6.0072554064244275E-3</v>
      </c>
    </row>
    <row r="5292" spans="7:8" x14ac:dyDescent="0.3">
      <c r="G5292" s="75">
        <v>5289</v>
      </c>
      <c r="H5292">
        <f t="shared" ca="1" si="68"/>
        <v>1.0047603573919204E-2</v>
      </c>
    </row>
    <row r="5293" spans="7:8" x14ac:dyDescent="0.3">
      <c r="G5293" s="75">
        <v>5290</v>
      </c>
      <c r="H5293">
        <f t="shared" ca="1" si="68"/>
        <v>5.1212093322963656E-3</v>
      </c>
    </row>
    <row r="5294" spans="7:8" x14ac:dyDescent="0.3">
      <c r="G5294" s="75">
        <v>5291</v>
      </c>
      <c r="H5294">
        <f t="shared" ca="1" si="68"/>
        <v>-5.2018643589130257E-3</v>
      </c>
    </row>
    <row r="5295" spans="7:8" x14ac:dyDescent="0.3">
      <c r="G5295" s="75">
        <v>5292</v>
      </c>
      <c r="H5295">
        <f t="shared" ca="1" si="68"/>
        <v>1.9853586821306352E-2</v>
      </c>
    </row>
    <row r="5296" spans="7:8" x14ac:dyDescent="0.3">
      <c r="G5296" s="75">
        <v>5293</v>
      </c>
      <c r="H5296">
        <f t="shared" ca="1" si="68"/>
        <v>-1.4595276141284136E-2</v>
      </c>
    </row>
    <row r="5297" spans="7:8" x14ac:dyDescent="0.3">
      <c r="G5297" s="75">
        <v>5294</v>
      </c>
      <c r="H5297">
        <f t="shared" ca="1" si="68"/>
        <v>-9.5044558763224315E-3</v>
      </c>
    </row>
    <row r="5298" spans="7:8" x14ac:dyDescent="0.3">
      <c r="G5298" s="75">
        <v>5295</v>
      </c>
      <c r="H5298">
        <f t="shared" ca="1" si="68"/>
        <v>-6.2647279054563205E-3</v>
      </c>
    </row>
    <row r="5299" spans="7:8" x14ac:dyDescent="0.3">
      <c r="G5299" s="75">
        <v>5296</v>
      </c>
      <c r="H5299">
        <f t="shared" ca="1" si="68"/>
        <v>3.1295380575858081E-2</v>
      </c>
    </row>
    <row r="5300" spans="7:8" x14ac:dyDescent="0.3">
      <c r="G5300" s="75">
        <v>5297</v>
      </c>
      <c r="H5300">
        <f t="shared" ca="1" si="68"/>
        <v>-6.0469996650020245E-4</v>
      </c>
    </row>
    <row r="5301" spans="7:8" x14ac:dyDescent="0.3">
      <c r="G5301" s="75">
        <v>5298</v>
      </c>
      <c r="H5301">
        <f t="shared" ca="1" si="68"/>
        <v>2.5184212159442055E-3</v>
      </c>
    </row>
    <row r="5302" spans="7:8" x14ac:dyDescent="0.3">
      <c r="G5302" s="75">
        <v>5299</v>
      </c>
      <c r="H5302">
        <f t="shared" ca="1" si="68"/>
        <v>1.5336938936474268E-2</v>
      </c>
    </row>
    <row r="5303" spans="7:8" x14ac:dyDescent="0.3">
      <c r="G5303" s="75">
        <v>5300</v>
      </c>
      <c r="H5303">
        <f t="shared" ca="1" si="68"/>
        <v>3.8215522010336769E-3</v>
      </c>
    </row>
    <row r="5304" spans="7:8" x14ac:dyDescent="0.3">
      <c r="G5304" s="75">
        <v>5301</v>
      </c>
      <c r="H5304">
        <f t="shared" ca="1" si="68"/>
        <v>2.1226753865158973E-4</v>
      </c>
    </row>
    <row r="5305" spans="7:8" x14ac:dyDescent="0.3">
      <c r="G5305" s="75">
        <v>5302</v>
      </c>
      <c r="H5305">
        <f t="shared" ca="1" si="68"/>
        <v>-1.1626032098838317E-2</v>
      </c>
    </row>
    <row r="5306" spans="7:8" x14ac:dyDescent="0.3">
      <c r="G5306" s="75">
        <v>5303</v>
      </c>
      <c r="H5306">
        <f t="shared" ca="1" si="68"/>
        <v>-8.8911898449485129E-3</v>
      </c>
    </row>
    <row r="5307" spans="7:8" x14ac:dyDescent="0.3">
      <c r="G5307" s="75">
        <v>5304</v>
      </c>
      <c r="H5307">
        <f t="shared" ca="1" si="68"/>
        <v>1.0402642341569459E-2</v>
      </c>
    </row>
    <row r="5308" spans="7:8" x14ac:dyDescent="0.3">
      <c r="G5308" s="75">
        <v>5305</v>
      </c>
      <c r="H5308">
        <f t="shared" ca="1" si="68"/>
        <v>1.4039686250948773E-2</v>
      </c>
    </row>
    <row r="5309" spans="7:8" x14ac:dyDescent="0.3">
      <c r="G5309" s="75">
        <v>5306</v>
      </c>
      <c r="H5309">
        <f t="shared" ca="1" si="68"/>
        <v>-5.2935999254112333E-3</v>
      </c>
    </row>
    <row r="5310" spans="7:8" x14ac:dyDescent="0.3">
      <c r="G5310" s="75">
        <v>5307</v>
      </c>
      <c r="H5310">
        <f t="shared" ca="1" si="68"/>
        <v>-1.1994901727364784E-3</v>
      </c>
    </row>
    <row r="5311" spans="7:8" x14ac:dyDescent="0.3">
      <c r="G5311" s="75">
        <v>5308</v>
      </c>
      <c r="H5311">
        <f t="shared" ca="1" si="68"/>
        <v>-9.1973396948798521E-3</v>
      </c>
    </row>
    <row r="5312" spans="7:8" x14ac:dyDescent="0.3">
      <c r="G5312" s="75">
        <v>5309</v>
      </c>
      <c r="H5312">
        <f t="shared" ca="1" si="68"/>
        <v>3.617022197488759E-2</v>
      </c>
    </row>
    <row r="5313" spans="7:8" x14ac:dyDescent="0.3">
      <c r="G5313" s="75">
        <v>5310</v>
      </c>
      <c r="H5313">
        <f t="shared" ca="1" si="68"/>
        <v>1.9973487410911571E-3</v>
      </c>
    </row>
    <row r="5314" spans="7:8" x14ac:dyDescent="0.3">
      <c r="G5314" s="75">
        <v>5311</v>
      </c>
      <c r="H5314">
        <f t="shared" ref="H5314:H5377" ca="1" si="69">_xlfn.NORM.INV(RAND(),$N$4,$N$5)</f>
        <v>-4.8990078810745808E-3</v>
      </c>
    </row>
    <row r="5315" spans="7:8" x14ac:dyDescent="0.3">
      <c r="G5315" s="75">
        <v>5312</v>
      </c>
      <c r="H5315">
        <f t="shared" ca="1" si="69"/>
        <v>-1.3812191526254161E-3</v>
      </c>
    </row>
    <row r="5316" spans="7:8" x14ac:dyDescent="0.3">
      <c r="G5316" s="75">
        <v>5313</v>
      </c>
      <c r="H5316">
        <f t="shared" ca="1" si="69"/>
        <v>3.6841955300259289E-3</v>
      </c>
    </row>
    <row r="5317" spans="7:8" x14ac:dyDescent="0.3">
      <c r="G5317" s="75">
        <v>5314</v>
      </c>
      <c r="H5317">
        <f t="shared" ca="1" si="69"/>
        <v>9.6170979121153969E-3</v>
      </c>
    </row>
    <row r="5318" spans="7:8" x14ac:dyDescent="0.3">
      <c r="G5318" s="75">
        <v>5315</v>
      </c>
      <c r="H5318">
        <f t="shared" ca="1" si="69"/>
        <v>1.4364212425857122E-3</v>
      </c>
    </row>
    <row r="5319" spans="7:8" x14ac:dyDescent="0.3">
      <c r="G5319" s="75">
        <v>5316</v>
      </c>
      <c r="H5319">
        <f t="shared" ca="1" si="69"/>
        <v>8.3987840111871461E-3</v>
      </c>
    </row>
    <row r="5320" spans="7:8" x14ac:dyDescent="0.3">
      <c r="G5320" s="75">
        <v>5317</v>
      </c>
      <c r="H5320">
        <f t="shared" ca="1" si="69"/>
        <v>-3.1449069718971545E-2</v>
      </c>
    </row>
    <row r="5321" spans="7:8" x14ac:dyDescent="0.3">
      <c r="G5321" s="75">
        <v>5318</v>
      </c>
      <c r="H5321">
        <f t="shared" ca="1" si="69"/>
        <v>2.4991655185877166E-4</v>
      </c>
    </row>
    <row r="5322" spans="7:8" x14ac:dyDescent="0.3">
      <c r="G5322" s="75">
        <v>5319</v>
      </c>
      <c r="H5322">
        <f t="shared" ca="1" si="69"/>
        <v>1.6284719742603621E-2</v>
      </c>
    </row>
    <row r="5323" spans="7:8" x14ac:dyDescent="0.3">
      <c r="G5323" s="75">
        <v>5320</v>
      </c>
      <c r="H5323">
        <f t="shared" ca="1" si="69"/>
        <v>5.6971856508153118E-3</v>
      </c>
    </row>
    <row r="5324" spans="7:8" x14ac:dyDescent="0.3">
      <c r="G5324" s="75">
        <v>5321</v>
      </c>
      <c r="H5324">
        <f t="shared" ca="1" si="69"/>
        <v>1.113051903711881E-3</v>
      </c>
    </row>
    <row r="5325" spans="7:8" x14ac:dyDescent="0.3">
      <c r="G5325" s="75">
        <v>5322</v>
      </c>
      <c r="H5325">
        <f t="shared" ca="1" si="69"/>
        <v>4.4549935780258398E-2</v>
      </c>
    </row>
    <row r="5326" spans="7:8" x14ac:dyDescent="0.3">
      <c r="G5326" s="75">
        <v>5323</v>
      </c>
      <c r="H5326">
        <f t="shared" ca="1" si="69"/>
        <v>1.0071111553408223E-2</v>
      </c>
    </row>
    <row r="5327" spans="7:8" x14ac:dyDescent="0.3">
      <c r="G5327" s="75">
        <v>5324</v>
      </c>
      <c r="H5327">
        <f t="shared" ca="1" si="69"/>
        <v>8.453246587545326E-3</v>
      </c>
    </row>
    <row r="5328" spans="7:8" x14ac:dyDescent="0.3">
      <c r="G5328" s="75">
        <v>5325</v>
      </c>
      <c r="H5328">
        <f t="shared" ca="1" si="69"/>
        <v>9.1207831338475862E-3</v>
      </c>
    </row>
    <row r="5329" spans="7:8" x14ac:dyDescent="0.3">
      <c r="G5329" s="75">
        <v>5326</v>
      </c>
      <c r="H5329">
        <f t="shared" ca="1" si="69"/>
        <v>-3.735610560684445E-2</v>
      </c>
    </row>
    <row r="5330" spans="7:8" x14ac:dyDescent="0.3">
      <c r="G5330" s="75">
        <v>5327</v>
      </c>
      <c r="H5330">
        <f t="shared" ca="1" si="69"/>
        <v>1.7689611000386248E-2</v>
      </c>
    </row>
    <row r="5331" spans="7:8" x14ac:dyDescent="0.3">
      <c r="G5331" s="75">
        <v>5328</v>
      </c>
      <c r="H5331">
        <f t="shared" ca="1" si="69"/>
        <v>9.7561551283126303E-3</v>
      </c>
    </row>
    <row r="5332" spans="7:8" x14ac:dyDescent="0.3">
      <c r="G5332" s="75">
        <v>5329</v>
      </c>
      <c r="H5332">
        <f t="shared" ca="1" si="69"/>
        <v>-4.9958902285767159E-3</v>
      </c>
    </row>
    <row r="5333" spans="7:8" x14ac:dyDescent="0.3">
      <c r="G5333" s="75">
        <v>5330</v>
      </c>
      <c r="H5333">
        <f t="shared" ca="1" si="69"/>
        <v>2.2845410218382185E-4</v>
      </c>
    </row>
    <row r="5334" spans="7:8" x14ac:dyDescent="0.3">
      <c r="G5334" s="75">
        <v>5331</v>
      </c>
      <c r="H5334">
        <f t="shared" ca="1" si="69"/>
        <v>-8.0747545157699146E-3</v>
      </c>
    </row>
    <row r="5335" spans="7:8" x14ac:dyDescent="0.3">
      <c r="G5335" s="75">
        <v>5332</v>
      </c>
      <c r="H5335">
        <f t="shared" ca="1" si="69"/>
        <v>-1.3829586135369496E-3</v>
      </c>
    </row>
    <row r="5336" spans="7:8" x14ac:dyDescent="0.3">
      <c r="G5336" s="75">
        <v>5333</v>
      </c>
      <c r="H5336">
        <f t="shared" ca="1" si="69"/>
        <v>3.8146183924524972E-4</v>
      </c>
    </row>
    <row r="5337" spans="7:8" x14ac:dyDescent="0.3">
      <c r="G5337" s="75">
        <v>5334</v>
      </c>
      <c r="H5337">
        <f t="shared" ca="1" si="69"/>
        <v>-2.2728753875653131E-2</v>
      </c>
    </row>
    <row r="5338" spans="7:8" x14ac:dyDescent="0.3">
      <c r="G5338" s="75">
        <v>5335</v>
      </c>
      <c r="H5338">
        <f t="shared" ca="1" si="69"/>
        <v>-1.5113356557867079E-2</v>
      </c>
    </row>
    <row r="5339" spans="7:8" x14ac:dyDescent="0.3">
      <c r="G5339" s="75">
        <v>5336</v>
      </c>
      <c r="H5339">
        <f t="shared" ca="1" si="69"/>
        <v>1.2989251536385285E-2</v>
      </c>
    </row>
    <row r="5340" spans="7:8" x14ac:dyDescent="0.3">
      <c r="G5340" s="75">
        <v>5337</v>
      </c>
      <c r="H5340">
        <f t="shared" ca="1" si="69"/>
        <v>-8.1403623407976921E-3</v>
      </c>
    </row>
    <row r="5341" spans="7:8" x14ac:dyDescent="0.3">
      <c r="G5341" s="75">
        <v>5338</v>
      </c>
      <c r="H5341">
        <f t="shared" ca="1" si="69"/>
        <v>-1.6051027989017002E-3</v>
      </c>
    </row>
    <row r="5342" spans="7:8" x14ac:dyDescent="0.3">
      <c r="G5342" s="75">
        <v>5339</v>
      </c>
      <c r="H5342">
        <f t="shared" ca="1" si="69"/>
        <v>4.6222642239730875E-3</v>
      </c>
    </row>
    <row r="5343" spans="7:8" x14ac:dyDescent="0.3">
      <c r="G5343" s="75">
        <v>5340</v>
      </c>
      <c r="H5343">
        <f t="shared" ca="1" si="69"/>
        <v>1.47509822340861E-2</v>
      </c>
    </row>
    <row r="5344" spans="7:8" x14ac:dyDescent="0.3">
      <c r="G5344" s="75">
        <v>5341</v>
      </c>
      <c r="H5344">
        <f t="shared" ca="1" si="69"/>
        <v>7.8143849875114118E-3</v>
      </c>
    </row>
    <row r="5345" spans="7:8" x14ac:dyDescent="0.3">
      <c r="G5345" s="75">
        <v>5342</v>
      </c>
      <c r="H5345">
        <f t="shared" ca="1" si="69"/>
        <v>2.6861727398552266E-2</v>
      </c>
    </row>
    <row r="5346" spans="7:8" x14ac:dyDescent="0.3">
      <c r="G5346" s="75">
        <v>5343</v>
      </c>
      <c r="H5346">
        <f t="shared" ca="1" si="69"/>
        <v>-9.1583613461120438E-3</v>
      </c>
    </row>
    <row r="5347" spans="7:8" x14ac:dyDescent="0.3">
      <c r="G5347" s="75">
        <v>5344</v>
      </c>
      <c r="H5347">
        <f t="shared" ca="1" si="69"/>
        <v>3.4678247257434497E-3</v>
      </c>
    </row>
    <row r="5348" spans="7:8" x14ac:dyDescent="0.3">
      <c r="G5348" s="75">
        <v>5345</v>
      </c>
      <c r="H5348">
        <f t="shared" ca="1" si="69"/>
        <v>1.2198431158459887E-2</v>
      </c>
    </row>
    <row r="5349" spans="7:8" x14ac:dyDescent="0.3">
      <c r="G5349" s="75">
        <v>5346</v>
      </c>
      <c r="H5349">
        <f t="shared" ca="1" si="69"/>
        <v>1.8817431964894757E-2</v>
      </c>
    </row>
    <row r="5350" spans="7:8" x14ac:dyDescent="0.3">
      <c r="G5350" s="75">
        <v>5347</v>
      </c>
      <c r="H5350">
        <f t="shared" ca="1" si="69"/>
        <v>-4.4177900256689006E-3</v>
      </c>
    </row>
    <row r="5351" spans="7:8" x14ac:dyDescent="0.3">
      <c r="G5351" s="75">
        <v>5348</v>
      </c>
      <c r="H5351">
        <f t="shared" ca="1" si="69"/>
        <v>-1.1115974599791812E-2</v>
      </c>
    </row>
    <row r="5352" spans="7:8" x14ac:dyDescent="0.3">
      <c r="G5352" s="75">
        <v>5349</v>
      </c>
      <c r="H5352">
        <f t="shared" ca="1" si="69"/>
        <v>-1.3768971043376675E-2</v>
      </c>
    </row>
    <row r="5353" spans="7:8" x14ac:dyDescent="0.3">
      <c r="G5353" s="75">
        <v>5350</v>
      </c>
      <c r="H5353">
        <f t="shared" ca="1" si="69"/>
        <v>1.1733212430031503E-2</v>
      </c>
    </row>
    <row r="5354" spans="7:8" x14ac:dyDescent="0.3">
      <c r="G5354" s="75">
        <v>5351</v>
      </c>
      <c r="H5354">
        <f t="shared" ca="1" si="69"/>
        <v>-2.1009773919377746E-2</v>
      </c>
    </row>
    <row r="5355" spans="7:8" x14ac:dyDescent="0.3">
      <c r="G5355" s="75">
        <v>5352</v>
      </c>
      <c r="H5355">
        <f t="shared" ca="1" si="69"/>
        <v>2.1465939415429725E-2</v>
      </c>
    </row>
    <row r="5356" spans="7:8" x14ac:dyDescent="0.3">
      <c r="G5356" s="75">
        <v>5353</v>
      </c>
      <c r="H5356">
        <f t="shared" ca="1" si="69"/>
        <v>1.508967192435145E-3</v>
      </c>
    </row>
    <row r="5357" spans="7:8" x14ac:dyDescent="0.3">
      <c r="G5357" s="75">
        <v>5354</v>
      </c>
      <c r="H5357">
        <f t="shared" ca="1" si="69"/>
        <v>1.4788290681594355E-2</v>
      </c>
    </row>
    <row r="5358" spans="7:8" x14ac:dyDescent="0.3">
      <c r="G5358" s="75">
        <v>5355</v>
      </c>
      <c r="H5358">
        <f t="shared" ca="1" si="69"/>
        <v>-8.5115571852497005E-3</v>
      </c>
    </row>
    <row r="5359" spans="7:8" x14ac:dyDescent="0.3">
      <c r="G5359" s="75">
        <v>5356</v>
      </c>
      <c r="H5359">
        <f t="shared" ca="1" si="69"/>
        <v>-1.0443598166601739E-3</v>
      </c>
    </row>
    <row r="5360" spans="7:8" x14ac:dyDescent="0.3">
      <c r="G5360" s="75">
        <v>5357</v>
      </c>
      <c r="H5360">
        <f t="shared" ca="1" si="69"/>
        <v>9.3017757477224946E-4</v>
      </c>
    </row>
    <row r="5361" spans="7:8" x14ac:dyDescent="0.3">
      <c r="G5361" s="75">
        <v>5358</v>
      </c>
      <c r="H5361">
        <f t="shared" ca="1" si="69"/>
        <v>-1.5787370802715504E-2</v>
      </c>
    </row>
    <row r="5362" spans="7:8" x14ac:dyDescent="0.3">
      <c r="G5362" s="75">
        <v>5359</v>
      </c>
      <c r="H5362">
        <f t="shared" ca="1" si="69"/>
        <v>7.8291599190431441E-3</v>
      </c>
    </row>
    <row r="5363" spans="7:8" x14ac:dyDescent="0.3">
      <c r="G5363" s="75">
        <v>5360</v>
      </c>
      <c r="H5363">
        <f t="shared" ca="1" si="69"/>
        <v>-1.3203771556891557E-2</v>
      </c>
    </row>
    <row r="5364" spans="7:8" x14ac:dyDescent="0.3">
      <c r="G5364" s="75">
        <v>5361</v>
      </c>
      <c r="H5364">
        <f t="shared" ca="1" si="69"/>
        <v>-7.346575111948847E-3</v>
      </c>
    </row>
    <row r="5365" spans="7:8" x14ac:dyDescent="0.3">
      <c r="G5365" s="75">
        <v>5362</v>
      </c>
      <c r="H5365">
        <f t="shared" ca="1" si="69"/>
        <v>-3.8779857908732788E-3</v>
      </c>
    </row>
    <row r="5366" spans="7:8" x14ac:dyDescent="0.3">
      <c r="G5366" s="75">
        <v>5363</v>
      </c>
      <c r="H5366">
        <f t="shared" ca="1" si="69"/>
        <v>-2.8061234518466107E-3</v>
      </c>
    </row>
    <row r="5367" spans="7:8" x14ac:dyDescent="0.3">
      <c r="G5367" s="75">
        <v>5364</v>
      </c>
      <c r="H5367">
        <f t="shared" ca="1" si="69"/>
        <v>1.9152024486587156E-2</v>
      </c>
    </row>
    <row r="5368" spans="7:8" x14ac:dyDescent="0.3">
      <c r="G5368" s="75">
        <v>5365</v>
      </c>
      <c r="H5368">
        <f t="shared" ca="1" si="69"/>
        <v>-7.7340109813684027E-3</v>
      </c>
    </row>
    <row r="5369" spans="7:8" x14ac:dyDescent="0.3">
      <c r="G5369" s="75">
        <v>5366</v>
      </c>
      <c r="H5369">
        <f t="shared" ca="1" si="69"/>
        <v>3.0490553869429982E-3</v>
      </c>
    </row>
    <row r="5370" spans="7:8" x14ac:dyDescent="0.3">
      <c r="G5370" s="75">
        <v>5367</v>
      </c>
      <c r="H5370">
        <f t="shared" ca="1" si="69"/>
        <v>1.9876562776114668E-3</v>
      </c>
    </row>
    <row r="5371" spans="7:8" x14ac:dyDescent="0.3">
      <c r="G5371" s="75">
        <v>5368</v>
      </c>
      <c r="H5371">
        <f t="shared" ca="1" si="69"/>
        <v>-7.3281831956993632E-3</v>
      </c>
    </row>
    <row r="5372" spans="7:8" x14ac:dyDescent="0.3">
      <c r="G5372" s="75">
        <v>5369</v>
      </c>
      <c r="H5372">
        <f t="shared" ca="1" si="69"/>
        <v>-1.2204532959202347E-2</v>
      </c>
    </row>
    <row r="5373" spans="7:8" x14ac:dyDescent="0.3">
      <c r="G5373" s="75">
        <v>5370</v>
      </c>
      <c r="H5373">
        <f t="shared" ca="1" si="69"/>
        <v>-4.9650437200881069E-3</v>
      </c>
    </row>
    <row r="5374" spans="7:8" x14ac:dyDescent="0.3">
      <c r="G5374" s="75">
        <v>5371</v>
      </c>
      <c r="H5374">
        <f t="shared" ca="1" si="69"/>
        <v>7.6334877446559181E-3</v>
      </c>
    </row>
    <row r="5375" spans="7:8" x14ac:dyDescent="0.3">
      <c r="G5375" s="75">
        <v>5372</v>
      </c>
      <c r="H5375">
        <f t="shared" ca="1" si="69"/>
        <v>1.9809857144061461E-2</v>
      </c>
    </row>
    <row r="5376" spans="7:8" x14ac:dyDescent="0.3">
      <c r="G5376" s="75">
        <v>5373</v>
      </c>
      <c r="H5376">
        <f t="shared" ca="1" si="69"/>
        <v>-2.5315071974191456E-4</v>
      </c>
    </row>
    <row r="5377" spans="7:8" x14ac:dyDescent="0.3">
      <c r="G5377" s="75">
        <v>5374</v>
      </c>
      <c r="H5377">
        <f t="shared" ca="1" si="69"/>
        <v>-1.0993302620535012E-3</v>
      </c>
    </row>
    <row r="5378" spans="7:8" x14ac:dyDescent="0.3">
      <c r="G5378" s="75">
        <v>5375</v>
      </c>
      <c r="H5378">
        <f t="shared" ref="H5378:H5441" ca="1" si="70">_xlfn.NORM.INV(RAND(),$N$4,$N$5)</f>
        <v>8.6351826526646983E-3</v>
      </c>
    </row>
    <row r="5379" spans="7:8" x14ac:dyDescent="0.3">
      <c r="G5379" s="75">
        <v>5376</v>
      </c>
      <c r="H5379">
        <f t="shared" ca="1" si="70"/>
        <v>-1.8982630212619287E-3</v>
      </c>
    </row>
    <row r="5380" spans="7:8" x14ac:dyDescent="0.3">
      <c r="G5380" s="75">
        <v>5377</v>
      </c>
      <c r="H5380">
        <f t="shared" ca="1" si="70"/>
        <v>1.4088398485314041E-2</v>
      </c>
    </row>
    <row r="5381" spans="7:8" x14ac:dyDescent="0.3">
      <c r="G5381" s="75">
        <v>5378</v>
      </c>
      <c r="H5381">
        <f t="shared" ca="1" si="70"/>
        <v>7.8697855380223947E-3</v>
      </c>
    </row>
    <row r="5382" spans="7:8" x14ac:dyDescent="0.3">
      <c r="G5382" s="75">
        <v>5379</v>
      </c>
      <c r="H5382">
        <f t="shared" ca="1" si="70"/>
        <v>-2.9394890676143204E-3</v>
      </c>
    </row>
    <row r="5383" spans="7:8" x14ac:dyDescent="0.3">
      <c r="G5383" s="75">
        <v>5380</v>
      </c>
      <c r="H5383">
        <f t="shared" ca="1" si="70"/>
        <v>3.1484230964598403E-2</v>
      </c>
    </row>
    <row r="5384" spans="7:8" x14ac:dyDescent="0.3">
      <c r="G5384" s="75">
        <v>5381</v>
      </c>
      <c r="H5384">
        <f t="shared" ca="1" si="70"/>
        <v>-1.8157697039107416E-2</v>
      </c>
    </row>
    <row r="5385" spans="7:8" x14ac:dyDescent="0.3">
      <c r="G5385" s="75">
        <v>5382</v>
      </c>
      <c r="H5385">
        <f t="shared" ca="1" si="70"/>
        <v>1.2164441249445358E-2</v>
      </c>
    </row>
    <row r="5386" spans="7:8" x14ac:dyDescent="0.3">
      <c r="G5386" s="75">
        <v>5383</v>
      </c>
      <c r="H5386">
        <f t="shared" ca="1" si="70"/>
        <v>-1.0170986062537622E-3</v>
      </c>
    </row>
    <row r="5387" spans="7:8" x14ac:dyDescent="0.3">
      <c r="G5387" s="75">
        <v>5384</v>
      </c>
      <c r="H5387">
        <f t="shared" ca="1" si="70"/>
        <v>1.9225059447188619E-2</v>
      </c>
    </row>
    <row r="5388" spans="7:8" x14ac:dyDescent="0.3">
      <c r="G5388" s="75">
        <v>5385</v>
      </c>
      <c r="H5388">
        <f t="shared" ca="1" si="70"/>
        <v>-7.5386641982937465E-3</v>
      </c>
    </row>
    <row r="5389" spans="7:8" x14ac:dyDescent="0.3">
      <c r="G5389" s="75">
        <v>5386</v>
      </c>
      <c r="H5389">
        <f t="shared" ca="1" si="70"/>
        <v>1.0267481678629292E-2</v>
      </c>
    </row>
    <row r="5390" spans="7:8" x14ac:dyDescent="0.3">
      <c r="G5390" s="75">
        <v>5387</v>
      </c>
      <c r="H5390">
        <f t="shared" ca="1" si="70"/>
        <v>1.2499223207906229E-2</v>
      </c>
    </row>
    <row r="5391" spans="7:8" x14ac:dyDescent="0.3">
      <c r="G5391" s="75">
        <v>5388</v>
      </c>
      <c r="H5391">
        <f t="shared" ca="1" si="70"/>
        <v>-2.3684236964368444E-2</v>
      </c>
    </row>
    <row r="5392" spans="7:8" x14ac:dyDescent="0.3">
      <c r="G5392" s="75">
        <v>5389</v>
      </c>
      <c r="H5392">
        <f t="shared" ca="1" si="70"/>
        <v>-3.0672590634317413E-3</v>
      </c>
    </row>
    <row r="5393" spans="7:8" x14ac:dyDescent="0.3">
      <c r="G5393" s="75">
        <v>5390</v>
      </c>
      <c r="H5393">
        <f t="shared" ca="1" si="70"/>
        <v>-3.4613263679064456E-3</v>
      </c>
    </row>
    <row r="5394" spans="7:8" x14ac:dyDescent="0.3">
      <c r="G5394" s="75">
        <v>5391</v>
      </c>
      <c r="H5394">
        <f t="shared" ca="1" si="70"/>
        <v>-4.2656665827421848E-3</v>
      </c>
    </row>
    <row r="5395" spans="7:8" x14ac:dyDescent="0.3">
      <c r="G5395" s="75">
        <v>5392</v>
      </c>
      <c r="H5395">
        <f t="shared" ca="1" si="70"/>
        <v>-1.1007460017457543E-3</v>
      </c>
    </row>
    <row r="5396" spans="7:8" x14ac:dyDescent="0.3">
      <c r="G5396" s="75">
        <v>5393</v>
      </c>
      <c r="H5396">
        <f t="shared" ca="1" si="70"/>
        <v>2.8395330092796369E-3</v>
      </c>
    </row>
    <row r="5397" spans="7:8" x14ac:dyDescent="0.3">
      <c r="G5397" s="75">
        <v>5394</v>
      </c>
      <c r="H5397">
        <f t="shared" ca="1" si="70"/>
        <v>-2.9084148196283726E-2</v>
      </c>
    </row>
    <row r="5398" spans="7:8" x14ac:dyDescent="0.3">
      <c r="G5398" s="75">
        <v>5395</v>
      </c>
      <c r="H5398">
        <f t="shared" ca="1" si="70"/>
        <v>1.3364092222642964E-2</v>
      </c>
    </row>
    <row r="5399" spans="7:8" x14ac:dyDescent="0.3">
      <c r="G5399" s="75">
        <v>5396</v>
      </c>
      <c r="H5399">
        <f t="shared" ca="1" si="70"/>
        <v>-9.066571123979154E-3</v>
      </c>
    </row>
    <row r="5400" spans="7:8" x14ac:dyDescent="0.3">
      <c r="G5400" s="75">
        <v>5397</v>
      </c>
      <c r="H5400">
        <f t="shared" ca="1" si="70"/>
        <v>-5.7086174549617758E-3</v>
      </c>
    </row>
    <row r="5401" spans="7:8" x14ac:dyDescent="0.3">
      <c r="G5401" s="75">
        <v>5398</v>
      </c>
      <c r="H5401">
        <f t="shared" ca="1" si="70"/>
        <v>5.8544201727388492E-3</v>
      </c>
    </row>
    <row r="5402" spans="7:8" x14ac:dyDescent="0.3">
      <c r="G5402" s="75">
        <v>5399</v>
      </c>
      <c r="H5402">
        <f t="shared" ca="1" si="70"/>
        <v>1.5677863189316875E-2</v>
      </c>
    </row>
    <row r="5403" spans="7:8" x14ac:dyDescent="0.3">
      <c r="G5403" s="75">
        <v>5400</v>
      </c>
      <c r="H5403">
        <f t="shared" ca="1" si="70"/>
        <v>-2.6064283971585167E-2</v>
      </c>
    </row>
    <row r="5404" spans="7:8" x14ac:dyDescent="0.3">
      <c r="G5404" s="75">
        <v>5401</v>
      </c>
      <c r="H5404">
        <f t="shared" ca="1" si="70"/>
        <v>-1.098120703000021E-2</v>
      </c>
    </row>
    <row r="5405" spans="7:8" x14ac:dyDescent="0.3">
      <c r="G5405" s="75">
        <v>5402</v>
      </c>
      <c r="H5405">
        <f t="shared" ca="1" si="70"/>
        <v>-7.68162478037252E-4</v>
      </c>
    </row>
    <row r="5406" spans="7:8" x14ac:dyDescent="0.3">
      <c r="G5406" s="75">
        <v>5403</v>
      </c>
      <c r="H5406">
        <f t="shared" ca="1" si="70"/>
        <v>2.0107977332441285E-2</v>
      </c>
    </row>
    <row r="5407" spans="7:8" x14ac:dyDescent="0.3">
      <c r="G5407" s="75">
        <v>5404</v>
      </c>
      <c r="H5407">
        <f t="shared" ca="1" si="70"/>
        <v>2.9622024049501482E-3</v>
      </c>
    </row>
    <row r="5408" spans="7:8" x14ac:dyDescent="0.3">
      <c r="G5408" s="75">
        <v>5405</v>
      </c>
      <c r="H5408">
        <f t="shared" ca="1" si="70"/>
        <v>-3.5536720407594808E-3</v>
      </c>
    </row>
    <row r="5409" spans="7:8" x14ac:dyDescent="0.3">
      <c r="G5409" s="75">
        <v>5406</v>
      </c>
      <c r="H5409">
        <f t="shared" ca="1" si="70"/>
        <v>-1.7573788938082646E-2</v>
      </c>
    </row>
    <row r="5410" spans="7:8" x14ac:dyDescent="0.3">
      <c r="G5410" s="75">
        <v>5407</v>
      </c>
      <c r="H5410">
        <f t="shared" ca="1" si="70"/>
        <v>1.8920790879219601E-3</v>
      </c>
    </row>
    <row r="5411" spans="7:8" x14ac:dyDescent="0.3">
      <c r="G5411" s="75">
        <v>5408</v>
      </c>
      <c r="H5411">
        <f t="shared" ca="1" si="70"/>
        <v>-1.6020703668647124E-3</v>
      </c>
    </row>
    <row r="5412" spans="7:8" x14ac:dyDescent="0.3">
      <c r="G5412" s="75">
        <v>5409</v>
      </c>
      <c r="H5412">
        <f t="shared" ca="1" si="70"/>
        <v>1.4880953647762596E-2</v>
      </c>
    </row>
    <row r="5413" spans="7:8" x14ac:dyDescent="0.3">
      <c r="G5413" s="75">
        <v>5410</v>
      </c>
      <c r="H5413">
        <f t="shared" ca="1" si="70"/>
        <v>-1.5710887422358381E-2</v>
      </c>
    </row>
    <row r="5414" spans="7:8" x14ac:dyDescent="0.3">
      <c r="G5414" s="75">
        <v>5411</v>
      </c>
      <c r="H5414">
        <f t="shared" ca="1" si="70"/>
        <v>-1.904056066718229E-2</v>
      </c>
    </row>
    <row r="5415" spans="7:8" x14ac:dyDescent="0.3">
      <c r="G5415" s="75">
        <v>5412</v>
      </c>
      <c r="H5415">
        <f t="shared" ca="1" si="70"/>
        <v>-4.208781417202091E-4</v>
      </c>
    </row>
    <row r="5416" spans="7:8" x14ac:dyDescent="0.3">
      <c r="G5416" s="75">
        <v>5413</v>
      </c>
      <c r="H5416">
        <f t="shared" ca="1" si="70"/>
        <v>2.1061937220339493E-2</v>
      </c>
    </row>
    <row r="5417" spans="7:8" x14ac:dyDescent="0.3">
      <c r="G5417" s="75">
        <v>5414</v>
      </c>
      <c r="H5417">
        <f t="shared" ca="1" si="70"/>
        <v>1.1005099704049344E-2</v>
      </c>
    </row>
    <row r="5418" spans="7:8" x14ac:dyDescent="0.3">
      <c r="G5418" s="75">
        <v>5415</v>
      </c>
      <c r="H5418">
        <f t="shared" ca="1" si="70"/>
        <v>-4.9223076796382206E-3</v>
      </c>
    </row>
    <row r="5419" spans="7:8" x14ac:dyDescent="0.3">
      <c r="G5419" s="75">
        <v>5416</v>
      </c>
      <c r="H5419">
        <f t="shared" ca="1" si="70"/>
        <v>6.8865922707712288E-3</v>
      </c>
    </row>
    <row r="5420" spans="7:8" x14ac:dyDescent="0.3">
      <c r="G5420" s="75">
        <v>5417</v>
      </c>
      <c r="H5420">
        <f t="shared" ca="1" si="70"/>
        <v>-2.8160766037666474E-2</v>
      </c>
    </row>
    <row r="5421" spans="7:8" x14ac:dyDescent="0.3">
      <c r="G5421" s="75">
        <v>5418</v>
      </c>
      <c r="H5421">
        <f t="shared" ca="1" si="70"/>
        <v>-2.2576163354473607E-2</v>
      </c>
    </row>
    <row r="5422" spans="7:8" x14ac:dyDescent="0.3">
      <c r="G5422" s="75">
        <v>5419</v>
      </c>
      <c r="H5422">
        <f t="shared" ca="1" si="70"/>
        <v>-7.9960955387948177E-3</v>
      </c>
    </row>
    <row r="5423" spans="7:8" x14ac:dyDescent="0.3">
      <c r="G5423" s="75">
        <v>5420</v>
      </c>
      <c r="H5423">
        <f t="shared" ca="1" si="70"/>
        <v>-1.1289872465540215E-2</v>
      </c>
    </row>
    <row r="5424" spans="7:8" x14ac:dyDescent="0.3">
      <c r="G5424" s="75">
        <v>5421</v>
      </c>
      <c r="H5424">
        <f t="shared" ca="1" si="70"/>
        <v>9.6595962362539083E-3</v>
      </c>
    </row>
    <row r="5425" spans="7:8" x14ac:dyDescent="0.3">
      <c r="G5425" s="75">
        <v>5422</v>
      </c>
      <c r="H5425">
        <f t="shared" ca="1" si="70"/>
        <v>-2.5457198454920785E-2</v>
      </c>
    </row>
    <row r="5426" spans="7:8" x14ac:dyDescent="0.3">
      <c r="G5426" s="75">
        <v>5423</v>
      </c>
      <c r="H5426">
        <f t="shared" ca="1" si="70"/>
        <v>-1.3868642970672139E-2</v>
      </c>
    </row>
    <row r="5427" spans="7:8" x14ac:dyDescent="0.3">
      <c r="G5427" s="75">
        <v>5424</v>
      </c>
      <c r="H5427">
        <f t="shared" ca="1" si="70"/>
        <v>-9.1484443868892189E-3</v>
      </c>
    </row>
    <row r="5428" spans="7:8" x14ac:dyDescent="0.3">
      <c r="G5428" s="75">
        <v>5425</v>
      </c>
      <c r="H5428">
        <f t="shared" ca="1" si="70"/>
        <v>-6.1893787177800192E-3</v>
      </c>
    </row>
    <row r="5429" spans="7:8" x14ac:dyDescent="0.3">
      <c r="G5429" s="75">
        <v>5426</v>
      </c>
      <c r="H5429">
        <f t="shared" ca="1" si="70"/>
        <v>-6.4026965748826912E-3</v>
      </c>
    </row>
    <row r="5430" spans="7:8" x14ac:dyDescent="0.3">
      <c r="G5430" s="75">
        <v>5427</v>
      </c>
      <c r="H5430">
        <f t="shared" ca="1" si="70"/>
        <v>-2.8557702934314919E-3</v>
      </c>
    </row>
    <row r="5431" spans="7:8" x14ac:dyDescent="0.3">
      <c r="G5431" s="75">
        <v>5428</v>
      </c>
      <c r="H5431">
        <f t="shared" ca="1" si="70"/>
        <v>-1.7080749345779928E-2</v>
      </c>
    </row>
    <row r="5432" spans="7:8" x14ac:dyDescent="0.3">
      <c r="G5432" s="75">
        <v>5429</v>
      </c>
      <c r="H5432">
        <f t="shared" ca="1" si="70"/>
        <v>-3.4901006216604569E-3</v>
      </c>
    </row>
    <row r="5433" spans="7:8" x14ac:dyDescent="0.3">
      <c r="G5433" s="75">
        <v>5430</v>
      </c>
      <c r="H5433">
        <f t="shared" ca="1" si="70"/>
        <v>-3.6072669078243925E-3</v>
      </c>
    </row>
    <row r="5434" spans="7:8" x14ac:dyDescent="0.3">
      <c r="G5434" s="75">
        <v>5431</v>
      </c>
      <c r="H5434">
        <f t="shared" ca="1" si="70"/>
        <v>1.9436134823560661E-2</v>
      </c>
    </row>
    <row r="5435" spans="7:8" x14ac:dyDescent="0.3">
      <c r="G5435" s="75">
        <v>5432</v>
      </c>
      <c r="H5435">
        <f t="shared" ca="1" si="70"/>
        <v>-1.1719235392810968E-2</v>
      </c>
    </row>
    <row r="5436" spans="7:8" x14ac:dyDescent="0.3">
      <c r="G5436" s="75">
        <v>5433</v>
      </c>
      <c r="H5436">
        <f t="shared" ca="1" si="70"/>
        <v>2.0170495134287827E-2</v>
      </c>
    </row>
    <row r="5437" spans="7:8" x14ac:dyDescent="0.3">
      <c r="G5437" s="75">
        <v>5434</v>
      </c>
      <c r="H5437">
        <f t="shared" ca="1" si="70"/>
        <v>3.8409414793029815E-3</v>
      </c>
    </row>
    <row r="5438" spans="7:8" x14ac:dyDescent="0.3">
      <c r="G5438" s="75">
        <v>5435</v>
      </c>
      <c r="H5438">
        <f t="shared" ca="1" si="70"/>
        <v>2.8468839362713744E-2</v>
      </c>
    </row>
    <row r="5439" spans="7:8" x14ac:dyDescent="0.3">
      <c r="G5439" s="75">
        <v>5436</v>
      </c>
      <c r="H5439">
        <f t="shared" ca="1" si="70"/>
        <v>-4.7612557872830901E-3</v>
      </c>
    </row>
    <row r="5440" spans="7:8" x14ac:dyDescent="0.3">
      <c r="G5440" s="75">
        <v>5437</v>
      </c>
      <c r="H5440">
        <f t="shared" ca="1" si="70"/>
        <v>8.2276185006058336E-3</v>
      </c>
    </row>
    <row r="5441" spans="7:8" x14ac:dyDescent="0.3">
      <c r="G5441" s="75">
        <v>5438</v>
      </c>
      <c r="H5441">
        <f t="shared" ca="1" si="70"/>
        <v>1.2560964803353737E-2</v>
      </c>
    </row>
    <row r="5442" spans="7:8" x14ac:dyDescent="0.3">
      <c r="G5442" s="75">
        <v>5439</v>
      </c>
      <c r="H5442">
        <f t="shared" ref="H5442:H5505" ca="1" si="71">_xlfn.NORM.INV(RAND(),$N$4,$N$5)</f>
        <v>1.0216820962032979E-2</v>
      </c>
    </row>
    <row r="5443" spans="7:8" x14ac:dyDescent="0.3">
      <c r="G5443" s="75">
        <v>5440</v>
      </c>
      <c r="H5443">
        <f t="shared" ca="1" si="71"/>
        <v>1.6705446300012753E-2</v>
      </c>
    </row>
    <row r="5444" spans="7:8" x14ac:dyDescent="0.3">
      <c r="G5444" s="75">
        <v>5441</v>
      </c>
      <c r="H5444">
        <f t="shared" ca="1" si="71"/>
        <v>1.7970397292253984E-2</v>
      </c>
    </row>
    <row r="5445" spans="7:8" x14ac:dyDescent="0.3">
      <c r="G5445" s="75">
        <v>5442</v>
      </c>
      <c r="H5445">
        <f t="shared" ca="1" si="71"/>
        <v>1.9911049356427908E-2</v>
      </c>
    </row>
    <row r="5446" spans="7:8" x14ac:dyDescent="0.3">
      <c r="G5446" s="75">
        <v>5443</v>
      </c>
      <c r="H5446">
        <f t="shared" ca="1" si="71"/>
        <v>-1.4803597750050914E-2</v>
      </c>
    </row>
    <row r="5447" spans="7:8" x14ac:dyDescent="0.3">
      <c r="G5447" s="75">
        <v>5444</v>
      </c>
      <c r="H5447">
        <f t="shared" ca="1" si="71"/>
        <v>-1.3029500695249149E-2</v>
      </c>
    </row>
    <row r="5448" spans="7:8" x14ac:dyDescent="0.3">
      <c r="G5448" s="75">
        <v>5445</v>
      </c>
      <c r="H5448">
        <f t="shared" ca="1" si="71"/>
        <v>4.5237345463174372E-3</v>
      </c>
    </row>
    <row r="5449" spans="7:8" x14ac:dyDescent="0.3">
      <c r="G5449" s="75">
        <v>5446</v>
      </c>
      <c r="H5449">
        <f t="shared" ca="1" si="71"/>
        <v>2.3382481904905193E-2</v>
      </c>
    </row>
    <row r="5450" spans="7:8" x14ac:dyDescent="0.3">
      <c r="G5450" s="75">
        <v>5447</v>
      </c>
      <c r="H5450">
        <f t="shared" ca="1" si="71"/>
        <v>-2.2610690129635562E-2</v>
      </c>
    </row>
    <row r="5451" spans="7:8" x14ac:dyDescent="0.3">
      <c r="G5451" s="75">
        <v>5448</v>
      </c>
      <c r="H5451">
        <f t="shared" ca="1" si="71"/>
        <v>-6.9701333757846747E-4</v>
      </c>
    </row>
    <row r="5452" spans="7:8" x14ac:dyDescent="0.3">
      <c r="G5452" s="75">
        <v>5449</v>
      </c>
      <c r="H5452">
        <f t="shared" ca="1" si="71"/>
        <v>7.0205411866278893E-3</v>
      </c>
    </row>
    <row r="5453" spans="7:8" x14ac:dyDescent="0.3">
      <c r="G5453" s="75">
        <v>5450</v>
      </c>
      <c r="H5453">
        <f t="shared" ca="1" si="71"/>
        <v>1.0662579262556303E-2</v>
      </c>
    </row>
    <row r="5454" spans="7:8" x14ac:dyDescent="0.3">
      <c r="G5454" s="75">
        <v>5451</v>
      </c>
      <c r="H5454">
        <f t="shared" ca="1" si="71"/>
        <v>-1.1376587758916397E-3</v>
      </c>
    </row>
    <row r="5455" spans="7:8" x14ac:dyDescent="0.3">
      <c r="G5455" s="75">
        <v>5452</v>
      </c>
      <c r="H5455">
        <f t="shared" ca="1" si="71"/>
        <v>-2.059548568112577E-3</v>
      </c>
    </row>
    <row r="5456" spans="7:8" x14ac:dyDescent="0.3">
      <c r="G5456" s="75">
        <v>5453</v>
      </c>
      <c r="H5456">
        <f t="shared" ca="1" si="71"/>
        <v>-3.1134267894114454E-3</v>
      </c>
    </row>
    <row r="5457" spans="7:8" x14ac:dyDescent="0.3">
      <c r="G5457" s="75">
        <v>5454</v>
      </c>
      <c r="H5457">
        <f t="shared" ca="1" si="71"/>
        <v>-1.021069458662068E-2</v>
      </c>
    </row>
    <row r="5458" spans="7:8" x14ac:dyDescent="0.3">
      <c r="G5458" s="75">
        <v>5455</v>
      </c>
      <c r="H5458">
        <f t="shared" ca="1" si="71"/>
        <v>-1.3677847985446865E-2</v>
      </c>
    </row>
    <row r="5459" spans="7:8" x14ac:dyDescent="0.3">
      <c r="G5459" s="75">
        <v>5456</v>
      </c>
      <c r="H5459">
        <f t="shared" ca="1" si="71"/>
        <v>-8.2352439081291096E-4</v>
      </c>
    </row>
    <row r="5460" spans="7:8" x14ac:dyDescent="0.3">
      <c r="G5460" s="75">
        <v>5457</v>
      </c>
      <c r="H5460">
        <f t="shared" ca="1" si="71"/>
        <v>2.2150494405027824E-2</v>
      </c>
    </row>
    <row r="5461" spans="7:8" x14ac:dyDescent="0.3">
      <c r="G5461" s="75">
        <v>5458</v>
      </c>
      <c r="H5461">
        <f t="shared" ca="1" si="71"/>
        <v>1.5143898513829994E-2</v>
      </c>
    </row>
    <row r="5462" spans="7:8" x14ac:dyDescent="0.3">
      <c r="G5462" s="75">
        <v>5459</v>
      </c>
      <c r="H5462">
        <f t="shared" ca="1" si="71"/>
        <v>-7.3480950000778655E-3</v>
      </c>
    </row>
    <row r="5463" spans="7:8" x14ac:dyDescent="0.3">
      <c r="G5463" s="75">
        <v>5460</v>
      </c>
      <c r="H5463">
        <f t="shared" ca="1" si="71"/>
        <v>-7.0849924824564533E-3</v>
      </c>
    </row>
    <row r="5464" spans="7:8" x14ac:dyDescent="0.3">
      <c r="G5464" s="75">
        <v>5461</v>
      </c>
      <c r="H5464">
        <f t="shared" ca="1" si="71"/>
        <v>3.4036804486284496E-2</v>
      </c>
    </row>
    <row r="5465" spans="7:8" x14ac:dyDescent="0.3">
      <c r="G5465" s="75">
        <v>5462</v>
      </c>
      <c r="H5465">
        <f t="shared" ca="1" si="71"/>
        <v>-1.5788310495341479E-2</v>
      </c>
    </row>
    <row r="5466" spans="7:8" x14ac:dyDescent="0.3">
      <c r="G5466" s="75">
        <v>5463</v>
      </c>
      <c r="H5466">
        <f t="shared" ca="1" si="71"/>
        <v>-4.6445525569238826E-3</v>
      </c>
    </row>
    <row r="5467" spans="7:8" x14ac:dyDescent="0.3">
      <c r="G5467" s="75">
        <v>5464</v>
      </c>
      <c r="H5467">
        <f t="shared" ca="1" si="71"/>
        <v>-5.5766809948293054E-3</v>
      </c>
    </row>
    <row r="5468" spans="7:8" x14ac:dyDescent="0.3">
      <c r="G5468" s="75">
        <v>5465</v>
      </c>
      <c r="H5468">
        <f t="shared" ca="1" si="71"/>
        <v>-5.6049224853523044E-3</v>
      </c>
    </row>
    <row r="5469" spans="7:8" x14ac:dyDescent="0.3">
      <c r="G5469" s="75">
        <v>5466</v>
      </c>
      <c r="H5469">
        <f t="shared" ca="1" si="71"/>
        <v>8.570572722777144E-3</v>
      </c>
    </row>
    <row r="5470" spans="7:8" x14ac:dyDescent="0.3">
      <c r="G5470" s="75">
        <v>5467</v>
      </c>
      <c r="H5470">
        <f t="shared" ca="1" si="71"/>
        <v>-1.2745794420818362E-2</v>
      </c>
    </row>
    <row r="5471" spans="7:8" x14ac:dyDescent="0.3">
      <c r="G5471" s="75">
        <v>5468</v>
      </c>
      <c r="H5471">
        <f t="shared" ca="1" si="71"/>
        <v>-1.0894471179676794E-2</v>
      </c>
    </row>
    <row r="5472" spans="7:8" x14ac:dyDescent="0.3">
      <c r="G5472" s="75">
        <v>5469</v>
      </c>
      <c r="H5472">
        <f t="shared" ca="1" si="71"/>
        <v>9.4595014431841529E-3</v>
      </c>
    </row>
    <row r="5473" spans="7:8" x14ac:dyDescent="0.3">
      <c r="G5473" s="75">
        <v>5470</v>
      </c>
      <c r="H5473">
        <f t="shared" ca="1" si="71"/>
        <v>1.8027708225767568E-2</v>
      </c>
    </row>
    <row r="5474" spans="7:8" x14ac:dyDescent="0.3">
      <c r="G5474" s="75">
        <v>5471</v>
      </c>
      <c r="H5474">
        <f t="shared" ca="1" si="71"/>
        <v>-9.670410219745804E-3</v>
      </c>
    </row>
    <row r="5475" spans="7:8" x14ac:dyDescent="0.3">
      <c r="G5475" s="75">
        <v>5472</v>
      </c>
      <c r="H5475">
        <f t="shared" ca="1" si="71"/>
        <v>8.1240338052957495E-3</v>
      </c>
    </row>
    <row r="5476" spans="7:8" x14ac:dyDescent="0.3">
      <c r="G5476" s="75">
        <v>5473</v>
      </c>
      <c r="H5476">
        <f t="shared" ca="1" si="71"/>
        <v>-2.5192102969406592E-3</v>
      </c>
    </row>
    <row r="5477" spans="7:8" x14ac:dyDescent="0.3">
      <c r="G5477" s="75">
        <v>5474</v>
      </c>
      <c r="H5477">
        <f t="shared" ca="1" si="71"/>
        <v>-6.1751595466602999E-3</v>
      </c>
    </row>
    <row r="5478" spans="7:8" x14ac:dyDescent="0.3">
      <c r="G5478" s="75">
        <v>5475</v>
      </c>
      <c r="H5478">
        <f t="shared" ca="1" si="71"/>
        <v>1.3692480518987995E-3</v>
      </c>
    </row>
    <row r="5479" spans="7:8" x14ac:dyDescent="0.3">
      <c r="G5479" s="75">
        <v>5476</v>
      </c>
      <c r="H5479">
        <f t="shared" ca="1" si="71"/>
        <v>3.5303168659074194E-2</v>
      </c>
    </row>
    <row r="5480" spans="7:8" x14ac:dyDescent="0.3">
      <c r="G5480" s="75">
        <v>5477</v>
      </c>
      <c r="H5480">
        <f t="shared" ca="1" si="71"/>
        <v>-7.9576752852414075E-4</v>
      </c>
    </row>
    <row r="5481" spans="7:8" x14ac:dyDescent="0.3">
      <c r="G5481" s="75">
        <v>5478</v>
      </c>
      <c r="H5481">
        <f t="shared" ca="1" si="71"/>
        <v>3.0843249432708302E-3</v>
      </c>
    </row>
    <row r="5482" spans="7:8" x14ac:dyDescent="0.3">
      <c r="G5482" s="75">
        <v>5479</v>
      </c>
      <c r="H5482">
        <f t="shared" ca="1" si="71"/>
        <v>-3.577867141400696E-3</v>
      </c>
    </row>
    <row r="5483" spans="7:8" x14ac:dyDescent="0.3">
      <c r="G5483" s="75">
        <v>5480</v>
      </c>
      <c r="H5483">
        <f t="shared" ca="1" si="71"/>
        <v>-1.6138123681961399E-3</v>
      </c>
    </row>
    <row r="5484" spans="7:8" x14ac:dyDescent="0.3">
      <c r="G5484" s="75">
        <v>5481</v>
      </c>
      <c r="H5484">
        <f t="shared" ca="1" si="71"/>
        <v>1.984902773058613E-3</v>
      </c>
    </row>
    <row r="5485" spans="7:8" x14ac:dyDescent="0.3">
      <c r="G5485" s="75">
        <v>5482</v>
      </c>
      <c r="H5485">
        <f t="shared" ca="1" si="71"/>
        <v>1.9730053720403321E-2</v>
      </c>
    </row>
    <row r="5486" spans="7:8" x14ac:dyDescent="0.3">
      <c r="G5486" s="75">
        <v>5483</v>
      </c>
      <c r="H5486">
        <f t="shared" ca="1" si="71"/>
        <v>2.5227469008503906E-3</v>
      </c>
    </row>
    <row r="5487" spans="7:8" x14ac:dyDescent="0.3">
      <c r="G5487" s="75">
        <v>5484</v>
      </c>
      <c r="H5487">
        <f t="shared" ca="1" si="71"/>
        <v>2.2713636695391778E-3</v>
      </c>
    </row>
    <row r="5488" spans="7:8" x14ac:dyDescent="0.3">
      <c r="G5488" s="75">
        <v>5485</v>
      </c>
      <c r="H5488">
        <f t="shared" ca="1" si="71"/>
        <v>1.6173976473289981E-3</v>
      </c>
    </row>
    <row r="5489" spans="7:8" x14ac:dyDescent="0.3">
      <c r="G5489" s="75">
        <v>5486</v>
      </c>
      <c r="H5489">
        <f t="shared" ca="1" si="71"/>
        <v>-5.0138685598648527E-3</v>
      </c>
    </row>
    <row r="5490" spans="7:8" x14ac:dyDescent="0.3">
      <c r="G5490" s="75">
        <v>5487</v>
      </c>
      <c r="H5490">
        <f t="shared" ca="1" si="71"/>
        <v>-1.5809833386050191E-2</v>
      </c>
    </row>
    <row r="5491" spans="7:8" x14ac:dyDescent="0.3">
      <c r="G5491" s="75">
        <v>5488</v>
      </c>
      <c r="H5491">
        <f t="shared" ca="1" si="71"/>
        <v>-8.7515805062677726E-3</v>
      </c>
    </row>
    <row r="5492" spans="7:8" x14ac:dyDescent="0.3">
      <c r="G5492" s="75">
        <v>5489</v>
      </c>
      <c r="H5492">
        <f t="shared" ca="1" si="71"/>
        <v>1.9497425277947146E-3</v>
      </c>
    </row>
    <row r="5493" spans="7:8" x14ac:dyDescent="0.3">
      <c r="G5493" s="75">
        <v>5490</v>
      </c>
      <c r="H5493">
        <f t="shared" ca="1" si="71"/>
        <v>-2.4936074383906204E-2</v>
      </c>
    </row>
    <row r="5494" spans="7:8" x14ac:dyDescent="0.3">
      <c r="G5494" s="75">
        <v>5491</v>
      </c>
      <c r="H5494">
        <f t="shared" ca="1" si="71"/>
        <v>8.4814956467858804E-3</v>
      </c>
    </row>
    <row r="5495" spans="7:8" x14ac:dyDescent="0.3">
      <c r="G5495" s="75">
        <v>5492</v>
      </c>
      <c r="H5495">
        <f t="shared" ca="1" si="71"/>
        <v>1.2455498942877329E-2</v>
      </c>
    </row>
    <row r="5496" spans="7:8" x14ac:dyDescent="0.3">
      <c r="G5496" s="75">
        <v>5493</v>
      </c>
      <c r="H5496">
        <f t="shared" ca="1" si="71"/>
        <v>-1.0316919067054861E-2</v>
      </c>
    </row>
    <row r="5497" spans="7:8" x14ac:dyDescent="0.3">
      <c r="G5497" s="75">
        <v>5494</v>
      </c>
      <c r="H5497">
        <f t="shared" ca="1" si="71"/>
        <v>1.1902261927893407E-2</v>
      </c>
    </row>
    <row r="5498" spans="7:8" x14ac:dyDescent="0.3">
      <c r="G5498" s="75">
        <v>5495</v>
      </c>
      <c r="H5498">
        <f t="shared" ca="1" si="71"/>
        <v>-1.0776923237619222E-2</v>
      </c>
    </row>
    <row r="5499" spans="7:8" x14ac:dyDescent="0.3">
      <c r="G5499" s="75">
        <v>5496</v>
      </c>
      <c r="H5499">
        <f t="shared" ca="1" si="71"/>
        <v>6.965468433374727E-4</v>
      </c>
    </row>
    <row r="5500" spans="7:8" x14ac:dyDescent="0.3">
      <c r="G5500" s="75">
        <v>5497</v>
      </c>
      <c r="H5500">
        <f t="shared" ca="1" si="71"/>
        <v>2.7508657317683909E-2</v>
      </c>
    </row>
    <row r="5501" spans="7:8" x14ac:dyDescent="0.3">
      <c r="G5501" s="75">
        <v>5498</v>
      </c>
      <c r="H5501">
        <f t="shared" ca="1" si="71"/>
        <v>-7.5469613087104301E-3</v>
      </c>
    </row>
    <row r="5502" spans="7:8" x14ac:dyDescent="0.3">
      <c r="G5502" s="75">
        <v>5499</v>
      </c>
      <c r="H5502">
        <f t="shared" ca="1" si="71"/>
        <v>1.4527267067574515E-2</v>
      </c>
    </row>
    <row r="5503" spans="7:8" x14ac:dyDescent="0.3">
      <c r="G5503" s="75">
        <v>5500</v>
      </c>
      <c r="H5503">
        <f t="shared" ca="1" si="71"/>
        <v>4.3377598160904939E-3</v>
      </c>
    </row>
    <row r="5504" spans="7:8" x14ac:dyDescent="0.3">
      <c r="G5504" s="75">
        <v>5501</v>
      </c>
      <c r="H5504">
        <f t="shared" ca="1" si="71"/>
        <v>1.4282991131476835E-2</v>
      </c>
    </row>
    <row r="5505" spans="7:8" x14ac:dyDescent="0.3">
      <c r="G5505" s="75">
        <v>5502</v>
      </c>
      <c r="H5505">
        <f t="shared" ca="1" si="71"/>
        <v>-8.9682004504377712E-3</v>
      </c>
    </row>
    <row r="5506" spans="7:8" x14ac:dyDescent="0.3">
      <c r="G5506" s="75">
        <v>5503</v>
      </c>
      <c r="H5506">
        <f t="shared" ref="H5506:H5569" ca="1" si="72">_xlfn.NORM.INV(RAND(),$N$4,$N$5)</f>
        <v>-2.239614568692699E-2</v>
      </c>
    </row>
    <row r="5507" spans="7:8" x14ac:dyDescent="0.3">
      <c r="G5507" s="75">
        <v>5504</v>
      </c>
      <c r="H5507">
        <f t="shared" ca="1" si="72"/>
        <v>-3.4924821906413411E-3</v>
      </c>
    </row>
    <row r="5508" spans="7:8" x14ac:dyDescent="0.3">
      <c r="G5508" s="75">
        <v>5505</v>
      </c>
      <c r="H5508">
        <f t="shared" ca="1" si="72"/>
        <v>-1.3383756386891474E-2</v>
      </c>
    </row>
    <row r="5509" spans="7:8" x14ac:dyDescent="0.3">
      <c r="G5509" s="75">
        <v>5506</v>
      </c>
      <c r="H5509">
        <f t="shared" ca="1" si="72"/>
        <v>1.8645315528737695E-2</v>
      </c>
    </row>
    <row r="5510" spans="7:8" x14ac:dyDescent="0.3">
      <c r="G5510" s="75">
        <v>5507</v>
      </c>
      <c r="H5510">
        <f t="shared" ca="1" si="72"/>
        <v>1.8701758514787045E-2</v>
      </c>
    </row>
    <row r="5511" spans="7:8" x14ac:dyDescent="0.3">
      <c r="G5511" s="75">
        <v>5508</v>
      </c>
      <c r="H5511">
        <f t="shared" ca="1" si="72"/>
        <v>-3.0731902332283241E-2</v>
      </c>
    </row>
    <row r="5512" spans="7:8" x14ac:dyDescent="0.3">
      <c r="G5512" s="75">
        <v>5509</v>
      </c>
      <c r="H5512">
        <f t="shared" ca="1" si="72"/>
        <v>-9.7381288914559008E-3</v>
      </c>
    </row>
    <row r="5513" spans="7:8" x14ac:dyDescent="0.3">
      <c r="G5513" s="75">
        <v>5510</v>
      </c>
      <c r="H5513">
        <f t="shared" ca="1" si="72"/>
        <v>1.6192372498671982E-2</v>
      </c>
    </row>
    <row r="5514" spans="7:8" x14ac:dyDescent="0.3">
      <c r="G5514" s="75">
        <v>5511</v>
      </c>
      <c r="H5514">
        <f t="shared" ca="1" si="72"/>
        <v>2.3302294630206562E-3</v>
      </c>
    </row>
    <row r="5515" spans="7:8" x14ac:dyDescent="0.3">
      <c r="G5515" s="75">
        <v>5512</v>
      </c>
      <c r="H5515">
        <f t="shared" ca="1" si="72"/>
        <v>-5.2526862911637063E-3</v>
      </c>
    </row>
    <row r="5516" spans="7:8" x14ac:dyDescent="0.3">
      <c r="G5516" s="75">
        <v>5513</v>
      </c>
      <c r="H5516">
        <f t="shared" ca="1" si="72"/>
        <v>-3.6065962922902832E-3</v>
      </c>
    </row>
    <row r="5517" spans="7:8" x14ac:dyDescent="0.3">
      <c r="G5517" s="75">
        <v>5514</v>
      </c>
      <c r="H5517">
        <f t="shared" ca="1" si="72"/>
        <v>-1.4468644387088447E-2</v>
      </c>
    </row>
    <row r="5518" spans="7:8" x14ac:dyDescent="0.3">
      <c r="G5518" s="75">
        <v>5515</v>
      </c>
      <c r="H5518">
        <f t="shared" ca="1" si="72"/>
        <v>-7.0439425003983314E-3</v>
      </c>
    </row>
    <row r="5519" spans="7:8" x14ac:dyDescent="0.3">
      <c r="G5519" s="75">
        <v>5516</v>
      </c>
      <c r="H5519">
        <f t="shared" ca="1" si="72"/>
        <v>-9.6124260711693051E-3</v>
      </c>
    </row>
    <row r="5520" spans="7:8" x14ac:dyDescent="0.3">
      <c r="G5520" s="75">
        <v>5517</v>
      </c>
      <c r="H5520">
        <f t="shared" ca="1" si="72"/>
        <v>-1.4855246051846923E-2</v>
      </c>
    </row>
    <row r="5521" spans="7:8" x14ac:dyDescent="0.3">
      <c r="G5521" s="75">
        <v>5518</v>
      </c>
      <c r="H5521">
        <f t="shared" ca="1" si="72"/>
        <v>-1.54063445037719E-2</v>
      </c>
    </row>
    <row r="5522" spans="7:8" x14ac:dyDescent="0.3">
      <c r="G5522" s="75">
        <v>5519</v>
      </c>
      <c r="H5522">
        <f t="shared" ca="1" si="72"/>
        <v>3.1271022384902979E-3</v>
      </c>
    </row>
    <row r="5523" spans="7:8" x14ac:dyDescent="0.3">
      <c r="G5523" s="75">
        <v>5520</v>
      </c>
      <c r="H5523">
        <f t="shared" ca="1" si="72"/>
        <v>-1.1156137732141556E-3</v>
      </c>
    </row>
    <row r="5524" spans="7:8" x14ac:dyDescent="0.3">
      <c r="G5524" s="75">
        <v>5521</v>
      </c>
      <c r="H5524">
        <f t="shared" ca="1" si="72"/>
        <v>-9.0938990062838624E-4</v>
      </c>
    </row>
    <row r="5525" spans="7:8" x14ac:dyDescent="0.3">
      <c r="G5525" s="75">
        <v>5522</v>
      </c>
      <c r="H5525">
        <f t="shared" ca="1" si="72"/>
        <v>1.0028406304999017E-2</v>
      </c>
    </row>
    <row r="5526" spans="7:8" x14ac:dyDescent="0.3">
      <c r="G5526" s="75">
        <v>5523</v>
      </c>
      <c r="H5526">
        <f t="shared" ca="1" si="72"/>
        <v>2.9562576972344146E-3</v>
      </c>
    </row>
    <row r="5527" spans="7:8" x14ac:dyDescent="0.3">
      <c r="G5527" s="75">
        <v>5524</v>
      </c>
      <c r="H5527">
        <f t="shared" ca="1" si="72"/>
        <v>6.3680960517973201E-3</v>
      </c>
    </row>
    <row r="5528" spans="7:8" x14ac:dyDescent="0.3">
      <c r="G5528" s="75">
        <v>5525</v>
      </c>
      <c r="H5528">
        <f t="shared" ca="1" si="72"/>
        <v>9.81567350623265E-3</v>
      </c>
    </row>
    <row r="5529" spans="7:8" x14ac:dyDescent="0.3">
      <c r="G5529" s="75">
        <v>5526</v>
      </c>
      <c r="H5529">
        <f t="shared" ca="1" si="72"/>
        <v>-1.212219605344241E-2</v>
      </c>
    </row>
    <row r="5530" spans="7:8" x14ac:dyDescent="0.3">
      <c r="G5530" s="75">
        <v>5527</v>
      </c>
      <c r="H5530">
        <f t="shared" ca="1" si="72"/>
        <v>-2.7038724968035865E-3</v>
      </c>
    </row>
    <row r="5531" spans="7:8" x14ac:dyDescent="0.3">
      <c r="G5531" s="75">
        <v>5528</v>
      </c>
      <c r="H5531">
        <f t="shared" ca="1" si="72"/>
        <v>7.4412452743723373E-4</v>
      </c>
    </row>
    <row r="5532" spans="7:8" x14ac:dyDescent="0.3">
      <c r="G5532" s="75">
        <v>5529</v>
      </c>
      <c r="H5532">
        <f t="shared" ca="1" si="72"/>
        <v>-2.3000368044632468E-2</v>
      </c>
    </row>
    <row r="5533" spans="7:8" x14ac:dyDescent="0.3">
      <c r="G5533" s="75">
        <v>5530</v>
      </c>
      <c r="H5533">
        <f t="shared" ca="1" si="72"/>
        <v>-7.0235870040680562E-3</v>
      </c>
    </row>
    <row r="5534" spans="7:8" x14ac:dyDescent="0.3">
      <c r="G5534" s="75">
        <v>5531</v>
      </c>
      <c r="H5534">
        <f t="shared" ca="1" si="72"/>
        <v>-1.9682000217689039E-2</v>
      </c>
    </row>
    <row r="5535" spans="7:8" x14ac:dyDescent="0.3">
      <c r="G5535" s="75">
        <v>5532</v>
      </c>
      <c r="H5535">
        <f t="shared" ca="1" si="72"/>
        <v>-4.5678275238612788E-4</v>
      </c>
    </row>
    <row r="5536" spans="7:8" x14ac:dyDescent="0.3">
      <c r="G5536" s="75">
        <v>5533</v>
      </c>
      <c r="H5536">
        <f t="shared" ca="1" si="72"/>
        <v>1.7575711986307463E-3</v>
      </c>
    </row>
    <row r="5537" spans="7:8" x14ac:dyDescent="0.3">
      <c r="G5537" s="75">
        <v>5534</v>
      </c>
      <c r="H5537">
        <f t="shared" ca="1" si="72"/>
        <v>-6.1014368149528309E-3</v>
      </c>
    </row>
    <row r="5538" spans="7:8" x14ac:dyDescent="0.3">
      <c r="G5538" s="75">
        <v>5535</v>
      </c>
      <c r="H5538">
        <f t="shared" ca="1" si="72"/>
        <v>-2.9612153963764869E-3</v>
      </c>
    </row>
    <row r="5539" spans="7:8" x14ac:dyDescent="0.3">
      <c r="G5539" s="75">
        <v>5536</v>
      </c>
      <c r="H5539">
        <f t="shared" ca="1" si="72"/>
        <v>-7.5826782220812673E-3</v>
      </c>
    </row>
    <row r="5540" spans="7:8" x14ac:dyDescent="0.3">
      <c r="G5540" s="75">
        <v>5537</v>
      </c>
      <c r="H5540">
        <f t="shared" ca="1" si="72"/>
        <v>6.5344715519238573E-3</v>
      </c>
    </row>
    <row r="5541" spans="7:8" x14ac:dyDescent="0.3">
      <c r="G5541" s="75">
        <v>5538</v>
      </c>
      <c r="H5541">
        <f t="shared" ca="1" si="72"/>
        <v>-1.3503655334245322E-2</v>
      </c>
    </row>
    <row r="5542" spans="7:8" x14ac:dyDescent="0.3">
      <c r="G5542" s="75">
        <v>5539</v>
      </c>
      <c r="H5542">
        <f t="shared" ca="1" si="72"/>
        <v>1.1532761070426986E-2</v>
      </c>
    </row>
    <row r="5543" spans="7:8" x14ac:dyDescent="0.3">
      <c r="G5543" s="75">
        <v>5540</v>
      </c>
      <c r="H5543">
        <f t="shared" ca="1" si="72"/>
        <v>1.0556474180671486E-2</v>
      </c>
    </row>
    <row r="5544" spans="7:8" x14ac:dyDescent="0.3">
      <c r="G5544" s="75">
        <v>5541</v>
      </c>
      <c r="H5544">
        <f t="shared" ca="1" si="72"/>
        <v>9.9385100375802872E-3</v>
      </c>
    </row>
    <row r="5545" spans="7:8" x14ac:dyDescent="0.3">
      <c r="G5545" s="75">
        <v>5542</v>
      </c>
      <c r="H5545">
        <f t="shared" ca="1" si="72"/>
        <v>1.0817453880651352E-2</v>
      </c>
    </row>
    <row r="5546" spans="7:8" x14ac:dyDescent="0.3">
      <c r="G5546" s="75">
        <v>5543</v>
      </c>
      <c r="H5546">
        <f t="shared" ca="1" si="72"/>
        <v>1.8031580644605142E-2</v>
      </c>
    </row>
    <row r="5547" spans="7:8" x14ac:dyDescent="0.3">
      <c r="G5547" s="75">
        <v>5544</v>
      </c>
      <c r="H5547">
        <f t="shared" ca="1" si="72"/>
        <v>-1.0396791255099069E-2</v>
      </c>
    </row>
    <row r="5548" spans="7:8" x14ac:dyDescent="0.3">
      <c r="G5548" s="75">
        <v>5545</v>
      </c>
      <c r="H5548">
        <f t="shared" ca="1" si="72"/>
        <v>1.2103283285585588E-2</v>
      </c>
    </row>
    <row r="5549" spans="7:8" x14ac:dyDescent="0.3">
      <c r="G5549" s="75">
        <v>5546</v>
      </c>
      <c r="H5549">
        <f t="shared" ca="1" si="72"/>
        <v>6.5702340262658587E-3</v>
      </c>
    </row>
    <row r="5550" spans="7:8" x14ac:dyDescent="0.3">
      <c r="G5550" s="75">
        <v>5547</v>
      </c>
      <c r="H5550">
        <f t="shared" ca="1" si="72"/>
        <v>-3.3115672742531195E-2</v>
      </c>
    </row>
    <row r="5551" spans="7:8" x14ac:dyDescent="0.3">
      <c r="G5551" s="75">
        <v>5548</v>
      </c>
      <c r="H5551">
        <f t="shared" ca="1" si="72"/>
        <v>2.9294904018432752E-2</v>
      </c>
    </row>
    <row r="5552" spans="7:8" x14ac:dyDescent="0.3">
      <c r="G5552" s="75">
        <v>5549</v>
      </c>
      <c r="H5552">
        <f t="shared" ca="1" si="72"/>
        <v>-1.5278179971512517E-2</v>
      </c>
    </row>
    <row r="5553" spans="7:8" x14ac:dyDescent="0.3">
      <c r="G5553" s="75">
        <v>5550</v>
      </c>
      <c r="H5553">
        <f t="shared" ca="1" si="72"/>
        <v>-1.4047865831630653E-2</v>
      </c>
    </row>
    <row r="5554" spans="7:8" x14ac:dyDescent="0.3">
      <c r="G5554" s="75">
        <v>5551</v>
      </c>
      <c r="H5554">
        <f t="shared" ca="1" si="72"/>
        <v>-2.815468277507868E-3</v>
      </c>
    </row>
    <row r="5555" spans="7:8" x14ac:dyDescent="0.3">
      <c r="G5555" s="75">
        <v>5552</v>
      </c>
      <c r="H5555">
        <f t="shared" ca="1" si="72"/>
        <v>1.8186943607045505E-2</v>
      </c>
    </row>
    <row r="5556" spans="7:8" x14ac:dyDescent="0.3">
      <c r="G5556" s="75">
        <v>5553</v>
      </c>
      <c r="H5556">
        <f t="shared" ca="1" si="72"/>
        <v>-8.1806442673773416E-3</v>
      </c>
    </row>
    <row r="5557" spans="7:8" x14ac:dyDescent="0.3">
      <c r="G5557" s="75">
        <v>5554</v>
      </c>
      <c r="H5557">
        <f t="shared" ca="1" si="72"/>
        <v>-7.1467539296510276E-3</v>
      </c>
    </row>
    <row r="5558" spans="7:8" x14ac:dyDescent="0.3">
      <c r="G5558" s="75">
        <v>5555</v>
      </c>
      <c r="H5558">
        <f t="shared" ca="1" si="72"/>
        <v>1.2369319078550869E-2</v>
      </c>
    </row>
    <row r="5559" spans="7:8" x14ac:dyDescent="0.3">
      <c r="G5559" s="75">
        <v>5556</v>
      </c>
      <c r="H5559">
        <f t="shared" ca="1" si="72"/>
        <v>1.5345690768594669E-2</v>
      </c>
    </row>
    <row r="5560" spans="7:8" x14ac:dyDescent="0.3">
      <c r="G5560" s="75">
        <v>5557</v>
      </c>
      <c r="H5560">
        <f t="shared" ca="1" si="72"/>
        <v>-7.5594953322694822E-3</v>
      </c>
    </row>
    <row r="5561" spans="7:8" x14ac:dyDescent="0.3">
      <c r="G5561" s="75">
        <v>5558</v>
      </c>
      <c r="H5561">
        <f t="shared" ca="1" si="72"/>
        <v>8.6713958783518029E-3</v>
      </c>
    </row>
    <row r="5562" spans="7:8" x14ac:dyDescent="0.3">
      <c r="G5562" s="75">
        <v>5559</v>
      </c>
      <c r="H5562">
        <f t="shared" ca="1" si="72"/>
        <v>-2.6719297769329853E-2</v>
      </c>
    </row>
    <row r="5563" spans="7:8" x14ac:dyDescent="0.3">
      <c r="G5563" s="75">
        <v>5560</v>
      </c>
      <c r="H5563">
        <f t="shared" ca="1" si="72"/>
        <v>-3.4123785108884836E-3</v>
      </c>
    </row>
    <row r="5564" spans="7:8" x14ac:dyDescent="0.3">
      <c r="G5564" s="75">
        <v>5561</v>
      </c>
      <c r="H5564">
        <f t="shared" ca="1" si="72"/>
        <v>3.6260152240766064E-2</v>
      </c>
    </row>
    <row r="5565" spans="7:8" x14ac:dyDescent="0.3">
      <c r="G5565" s="75">
        <v>5562</v>
      </c>
      <c r="H5565">
        <f t="shared" ca="1" si="72"/>
        <v>-3.3613951720275884E-2</v>
      </c>
    </row>
    <row r="5566" spans="7:8" x14ac:dyDescent="0.3">
      <c r="G5566" s="75">
        <v>5563</v>
      </c>
      <c r="H5566">
        <f t="shared" ca="1" si="72"/>
        <v>4.3194652886363516E-3</v>
      </c>
    </row>
    <row r="5567" spans="7:8" x14ac:dyDescent="0.3">
      <c r="G5567" s="75">
        <v>5564</v>
      </c>
      <c r="H5567">
        <f t="shared" ca="1" si="72"/>
        <v>6.1091907720115125E-3</v>
      </c>
    </row>
    <row r="5568" spans="7:8" x14ac:dyDescent="0.3">
      <c r="G5568" s="75">
        <v>5565</v>
      </c>
      <c r="H5568">
        <f t="shared" ca="1" si="72"/>
        <v>-3.1762767563141579E-2</v>
      </c>
    </row>
    <row r="5569" spans="7:8" x14ac:dyDescent="0.3">
      <c r="G5569" s="75">
        <v>5566</v>
      </c>
      <c r="H5569">
        <f t="shared" ca="1" si="72"/>
        <v>-9.1042960674167402E-3</v>
      </c>
    </row>
    <row r="5570" spans="7:8" x14ac:dyDescent="0.3">
      <c r="G5570" s="75">
        <v>5567</v>
      </c>
      <c r="H5570">
        <f t="shared" ref="H5570:H5633" ca="1" si="73">_xlfn.NORM.INV(RAND(),$N$4,$N$5)</f>
        <v>1.5943074778522793E-2</v>
      </c>
    </row>
    <row r="5571" spans="7:8" x14ac:dyDescent="0.3">
      <c r="G5571" s="75">
        <v>5568</v>
      </c>
      <c r="H5571">
        <f t="shared" ca="1" si="73"/>
        <v>3.9149817803261237E-3</v>
      </c>
    </row>
    <row r="5572" spans="7:8" x14ac:dyDescent="0.3">
      <c r="G5572" s="75">
        <v>5569</v>
      </c>
      <c r="H5572">
        <f t="shared" ca="1" si="73"/>
        <v>6.0186549344354466E-3</v>
      </c>
    </row>
    <row r="5573" spans="7:8" x14ac:dyDescent="0.3">
      <c r="G5573" s="75">
        <v>5570</v>
      </c>
      <c r="H5573">
        <f t="shared" ca="1" si="73"/>
        <v>-1.7967089075081911E-2</v>
      </c>
    </row>
    <row r="5574" spans="7:8" x14ac:dyDescent="0.3">
      <c r="G5574" s="75">
        <v>5571</v>
      </c>
      <c r="H5574">
        <f t="shared" ca="1" si="73"/>
        <v>5.7569827459709039E-3</v>
      </c>
    </row>
    <row r="5575" spans="7:8" x14ac:dyDescent="0.3">
      <c r="G5575" s="75">
        <v>5572</v>
      </c>
      <c r="H5575">
        <f t="shared" ca="1" si="73"/>
        <v>6.5819980215607015E-3</v>
      </c>
    </row>
    <row r="5576" spans="7:8" x14ac:dyDescent="0.3">
      <c r="G5576" s="75">
        <v>5573</v>
      </c>
      <c r="H5576">
        <f t="shared" ca="1" si="73"/>
        <v>-3.5182215952304103E-3</v>
      </c>
    </row>
    <row r="5577" spans="7:8" x14ac:dyDescent="0.3">
      <c r="G5577" s="75">
        <v>5574</v>
      </c>
      <c r="H5577">
        <f t="shared" ca="1" si="73"/>
        <v>1.2707365648296777E-2</v>
      </c>
    </row>
    <row r="5578" spans="7:8" x14ac:dyDescent="0.3">
      <c r="G5578" s="75">
        <v>5575</v>
      </c>
      <c r="H5578">
        <f t="shared" ca="1" si="73"/>
        <v>-1.6238587314022349E-2</v>
      </c>
    </row>
    <row r="5579" spans="7:8" x14ac:dyDescent="0.3">
      <c r="G5579" s="75">
        <v>5576</v>
      </c>
      <c r="H5579">
        <f t="shared" ca="1" si="73"/>
        <v>-3.9220766210482962E-4</v>
      </c>
    </row>
    <row r="5580" spans="7:8" x14ac:dyDescent="0.3">
      <c r="G5580" s="75">
        <v>5577</v>
      </c>
      <c r="H5580">
        <f t="shared" ca="1" si="73"/>
        <v>-3.3453782543055845E-2</v>
      </c>
    </row>
    <row r="5581" spans="7:8" x14ac:dyDescent="0.3">
      <c r="G5581" s="75">
        <v>5578</v>
      </c>
      <c r="H5581">
        <f t="shared" ca="1" si="73"/>
        <v>-3.7044084202808147E-3</v>
      </c>
    </row>
    <row r="5582" spans="7:8" x14ac:dyDescent="0.3">
      <c r="G5582" s="75">
        <v>5579</v>
      </c>
      <c r="H5582">
        <f t="shared" ca="1" si="73"/>
        <v>6.4734582215286648E-3</v>
      </c>
    </row>
    <row r="5583" spans="7:8" x14ac:dyDescent="0.3">
      <c r="G5583" s="75">
        <v>5580</v>
      </c>
      <c r="H5583">
        <f t="shared" ca="1" si="73"/>
        <v>7.1097308433555459E-3</v>
      </c>
    </row>
    <row r="5584" spans="7:8" x14ac:dyDescent="0.3">
      <c r="G5584" s="75">
        <v>5581</v>
      </c>
      <c r="H5584">
        <f t="shared" ca="1" si="73"/>
        <v>-3.0726177155932948E-3</v>
      </c>
    </row>
    <row r="5585" spans="7:8" x14ac:dyDescent="0.3">
      <c r="G5585" s="75">
        <v>5582</v>
      </c>
      <c r="H5585">
        <f t="shared" ca="1" si="73"/>
        <v>-2.1852169804443648E-2</v>
      </c>
    </row>
    <row r="5586" spans="7:8" x14ac:dyDescent="0.3">
      <c r="G5586" s="75">
        <v>5583</v>
      </c>
      <c r="H5586">
        <f t="shared" ca="1" si="73"/>
        <v>-2.4949908542322382E-3</v>
      </c>
    </row>
    <row r="5587" spans="7:8" x14ac:dyDescent="0.3">
      <c r="G5587" s="75">
        <v>5584</v>
      </c>
      <c r="H5587">
        <f t="shared" ca="1" si="73"/>
        <v>1.5112998985310365E-2</v>
      </c>
    </row>
    <row r="5588" spans="7:8" x14ac:dyDescent="0.3">
      <c r="G5588" s="75">
        <v>5585</v>
      </c>
      <c r="H5588">
        <f t="shared" ca="1" si="73"/>
        <v>-2.1725537544414572E-2</v>
      </c>
    </row>
    <row r="5589" spans="7:8" x14ac:dyDescent="0.3">
      <c r="G5589" s="75">
        <v>5586</v>
      </c>
      <c r="H5589">
        <f t="shared" ca="1" si="73"/>
        <v>1.9346803935338976E-2</v>
      </c>
    </row>
    <row r="5590" spans="7:8" x14ac:dyDescent="0.3">
      <c r="G5590" s="75">
        <v>5587</v>
      </c>
      <c r="H5590">
        <f t="shared" ca="1" si="73"/>
        <v>3.9589735755468083E-3</v>
      </c>
    </row>
    <row r="5591" spans="7:8" x14ac:dyDescent="0.3">
      <c r="G5591" s="75">
        <v>5588</v>
      </c>
      <c r="H5591">
        <f t="shared" ca="1" si="73"/>
        <v>-8.1313442077084568E-3</v>
      </c>
    </row>
    <row r="5592" spans="7:8" x14ac:dyDescent="0.3">
      <c r="G5592" s="75">
        <v>5589</v>
      </c>
      <c r="H5592">
        <f t="shared" ca="1" si="73"/>
        <v>-2.7583667052815983E-2</v>
      </c>
    </row>
    <row r="5593" spans="7:8" x14ac:dyDescent="0.3">
      <c r="G5593" s="75">
        <v>5590</v>
      </c>
      <c r="H5593">
        <f t="shared" ca="1" si="73"/>
        <v>9.677664877056907E-3</v>
      </c>
    </row>
    <row r="5594" spans="7:8" x14ac:dyDescent="0.3">
      <c r="G5594" s="75">
        <v>5591</v>
      </c>
      <c r="H5594">
        <f t="shared" ca="1" si="73"/>
        <v>-1.0092802516930275E-3</v>
      </c>
    </row>
    <row r="5595" spans="7:8" x14ac:dyDescent="0.3">
      <c r="G5595" s="75">
        <v>5592</v>
      </c>
      <c r="H5595">
        <f t="shared" ca="1" si="73"/>
        <v>1.1661095582446419E-2</v>
      </c>
    </row>
    <row r="5596" spans="7:8" x14ac:dyDescent="0.3">
      <c r="G5596" s="75">
        <v>5593</v>
      </c>
      <c r="H5596">
        <f t="shared" ca="1" si="73"/>
        <v>-1.2214832821679041E-2</v>
      </c>
    </row>
    <row r="5597" spans="7:8" x14ac:dyDescent="0.3">
      <c r="G5597" s="75">
        <v>5594</v>
      </c>
      <c r="H5597">
        <f t="shared" ca="1" si="73"/>
        <v>3.9784206436247289E-3</v>
      </c>
    </row>
    <row r="5598" spans="7:8" x14ac:dyDescent="0.3">
      <c r="G5598" s="75">
        <v>5595</v>
      </c>
      <c r="H5598">
        <f t="shared" ca="1" si="73"/>
        <v>-4.3141810730712232E-4</v>
      </c>
    </row>
    <row r="5599" spans="7:8" x14ac:dyDescent="0.3">
      <c r="G5599" s="75">
        <v>5596</v>
      </c>
      <c r="H5599">
        <f t="shared" ca="1" si="73"/>
        <v>-6.1933598177941248E-3</v>
      </c>
    </row>
    <row r="5600" spans="7:8" x14ac:dyDescent="0.3">
      <c r="G5600" s="75">
        <v>5597</v>
      </c>
      <c r="H5600">
        <f t="shared" ca="1" si="73"/>
        <v>-1.8663200825457266E-2</v>
      </c>
    </row>
    <row r="5601" spans="7:8" x14ac:dyDescent="0.3">
      <c r="G5601" s="75">
        <v>5598</v>
      </c>
      <c r="H5601">
        <f t="shared" ca="1" si="73"/>
        <v>1.7814333947240371E-2</v>
      </c>
    </row>
    <row r="5602" spans="7:8" x14ac:dyDescent="0.3">
      <c r="G5602" s="75">
        <v>5599</v>
      </c>
      <c r="H5602">
        <f t="shared" ca="1" si="73"/>
        <v>-4.5915933799278615E-3</v>
      </c>
    </row>
    <row r="5603" spans="7:8" x14ac:dyDescent="0.3">
      <c r="G5603" s="75">
        <v>5600</v>
      </c>
      <c r="H5603">
        <f t="shared" ca="1" si="73"/>
        <v>9.1191709216300668E-3</v>
      </c>
    </row>
    <row r="5604" spans="7:8" x14ac:dyDescent="0.3">
      <c r="G5604" s="75">
        <v>5601</v>
      </c>
      <c r="H5604">
        <f t="shared" ca="1" si="73"/>
        <v>-2.1682906115459782E-3</v>
      </c>
    </row>
    <row r="5605" spans="7:8" x14ac:dyDescent="0.3">
      <c r="G5605" s="75">
        <v>5602</v>
      </c>
      <c r="H5605">
        <f t="shared" ca="1" si="73"/>
        <v>2.4403812424887969E-2</v>
      </c>
    </row>
    <row r="5606" spans="7:8" x14ac:dyDescent="0.3">
      <c r="G5606" s="75">
        <v>5603</v>
      </c>
      <c r="H5606">
        <f t="shared" ca="1" si="73"/>
        <v>8.3633215563206232E-3</v>
      </c>
    </row>
    <row r="5607" spans="7:8" x14ac:dyDescent="0.3">
      <c r="G5607" s="75">
        <v>5604</v>
      </c>
      <c r="H5607">
        <f t="shared" ca="1" si="73"/>
        <v>-4.4301415334409228E-3</v>
      </c>
    </row>
    <row r="5608" spans="7:8" x14ac:dyDescent="0.3">
      <c r="G5608" s="75">
        <v>5605</v>
      </c>
      <c r="H5608">
        <f t="shared" ca="1" si="73"/>
        <v>1.1760902780608488E-2</v>
      </c>
    </row>
    <row r="5609" spans="7:8" x14ac:dyDescent="0.3">
      <c r="G5609" s="75">
        <v>5606</v>
      </c>
      <c r="H5609">
        <f t="shared" ca="1" si="73"/>
        <v>9.0258991648534456E-3</v>
      </c>
    </row>
    <row r="5610" spans="7:8" x14ac:dyDescent="0.3">
      <c r="G5610" s="75">
        <v>5607</v>
      </c>
      <c r="H5610">
        <f t="shared" ca="1" si="73"/>
        <v>1.7040058960587356E-3</v>
      </c>
    </row>
    <row r="5611" spans="7:8" x14ac:dyDescent="0.3">
      <c r="G5611" s="75">
        <v>5608</v>
      </c>
      <c r="H5611">
        <f t="shared" ca="1" si="73"/>
        <v>4.2994437170282165E-4</v>
      </c>
    </row>
    <row r="5612" spans="7:8" x14ac:dyDescent="0.3">
      <c r="G5612" s="75">
        <v>5609</v>
      </c>
      <c r="H5612">
        <f t="shared" ca="1" si="73"/>
        <v>-1.1960431618274833E-2</v>
      </c>
    </row>
    <row r="5613" spans="7:8" x14ac:dyDescent="0.3">
      <c r="G5613" s="75">
        <v>5610</v>
      </c>
      <c r="H5613">
        <f t="shared" ca="1" si="73"/>
        <v>-3.6418562015449858E-2</v>
      </c>
    </row>
    <row r="5614" spans="7:8" x14ac:dyDescent="0.3">
      <c r="G5614" s="75">
        <v>5611</v>
      </c>
      <c r="H5614">
        <f t="shared" ca="1" si="73"/>
        <v>-1.3518844920945928E-2</v>
      </c>
    </row>
    <row r="5615" spans="7:8" x14ac:dyDescent="0.3">
      <c r="G5615" s="75">
        <v>5612</v>
      </c>
      <c r="H5615">
        <f t="shared" ca="1" si="73"/>
        <v>-1.2312194326526256E-2</v>
      </c>
    </row>
    <row r="5616" spans="7:8" x14ac:dyDescent="0.3">
      <c r="G5616" s="75">
        <v>5613</v>
      </c>
      <c r="H5616">
        <f t="shared" ca="1" si="73"/>
        <v>1.4584065231424284E-3</v>
      </c>
    </row>
    <row r="5617" spans="7:8" x14ac:dyDescent="0.3">
      <c r="G5617" s="75">
        <v>5614</v>
      </c>
      <c r="H5617">
        <f t="shared" ca="1" si="73"/>
        <v>7.1077501868502275E-3</v>
      </c>
    </row>
    <row r="5618" spans="7:8" x14ac:dyDescent="0.3">
      <c r="G5618" s="75">
        <v>5615</v>
      </c>
      <c r="H5618">
        <f t="shared" ca="1" si="73"/>
        <v>-2.1072652277220057E-2</v>
      </c>
    </row>
    <row r="5619" spans="7:8" x14ac:dyDescent="0.3">
      <c r="G5619" s="75">
        <v>5616</v>
      </c>
      <c r="H5619">
        <f t="shared" ca="1" si="73"/>
        <v>1.6466602392596259E-3</v>
      </c>
    </row>
    <row r="5620" spans="7:8" x14ac:dyDescent="0.3">
      <c r="G5620" s="75">
        <v>5617</v>
      </c>
      <c r="H5620">
        <f t="shared" ca="1" si="73"/>
        <v>-1.1755307226658305E-2</v>
      </c>
    </row>
    <row r="5621" spans="7:8" x14ac:dyDescent="0.3">
      <c r="G5621" s="75">
        <v>5618</v>
      </c>
      <c r="H5621">
        <f t="shared" ca="1" si="73"/>
        <v>-1.4194249043779908E-2</v>
      </c>
    </row>
    <row r="5622" spans="7:8" x14ac:dyDescent="0.3">
      <c r="G5622" s="75">
        <v>5619</v>
      </c>
      <c r="H5622">
        <f t="shared" ca="1" si="73"/>
        <v>2.424153905435544E-2</v>
      </c>
    </row>
    <row r="5623" spans="7:8" x14ac:dyDescent="0.3">
      <c r="G5623" s="75">
        <v>5620</v>
      </c>
      <c r="H5623">
        <f t="shared" ca="1" si="73"/>
        <v>-7.3070479066372979E-3</v>
      </c>
    </row>
    <row r="5624" spans="7:8" x14ac:dyDescent="0.3">
      <c r="G5624" s="75">
        <v>5621</v>
      </c>
      <c r="H5624">
        <f t="shared" ca="1" si="73"/>
        <v>-6.4829041705548882E-3</v>
      </c>
    </row>
    <row r="5625" spans="7:8" x14ac:dyDescent="0.3">
      <c r="G5625" s="75">
        <v>5622</v>
      </c>
      <c r="H5625">
        <f t="shared" ca="1" si="73"/>
        <v>-1.7057475437537144E-3</v>
      </c>
    </row>
    <row r="5626" spans="7:8" x14ac:dyDescent="0.3">
      <c r="G5626" s="75">
        <v>5623</v>
      </c>
      <c r="H5626">
        <f t="shared" ca="1" si="73"/>
        <v>6.3623525705793838E-4</v>
      </c>
    </row>
    <row r="5627" spans="7:8" x14ac:dyDescent="0.3">
      <c r="G5627" s="75">
        <v>5624</v>
      </c>
      <c r="H5627">
        <f t="shared" ca="1" si="73"/>
        <v>1.9539920752133143E-2</v>
      </c>
    </row>
    <row r="5628" spans="7:8" x14ac:dyDescent="0.3">
      <c r="G5628" s="75">
        <v>5625</v>
      </c>
      <c r="H5628">
        <f t="shared" ca="1" si="73"/>
        <v>4.5412576334037686E-3</v>
      </c>
    </row>
    <row r="5629" spans="7:8" x14ac:dyDescent="0.3">
      <c r="G5629" s="75">
        <v>5626</v>
      </c>
      <c r="H5629">
        <f t="shared" ca="1" si="73"/>
        <v>-1.8824432457755502E-2</v>
      </c>
    </row>
    <row r="5630" spans="7:8" x14ac:dyDescent="0.3">
      <c r="G5630" s="75">
        <v>5627</v>
      </c>
      <c r="H5630">
        <f t="shared" ca="1" si="73"/>
        <v>5.2415485603394991E-3</v>
      </c>
    </row>
    <row r="5631" spans="7:8" x14ac:dyDescent="0.3">
      <c r="G5631" s="75">
        <v>5628</v>
      </c>
      <c r="H5631">
        <f t="shared" ca="1" si="73"/>
        <v>2.0541198552703834E-2</v>
      </c>
    </row>
    <row r="5632" spans="7:8" x14ac:dyDescent="0.3">
      <c r="G5632" s="75">
        <v>5629</v>
      </c>
      <c r="H5632">
        <f t="shared" ca="1" si="73"/>
        <v>-8.5165480667691775E-3</v>
      </c>
    </row>
    <row r="5633" spans="7:8" x14ac:dyDescent="0.3">
      <c r="G5633" s="75">
        <v>5630</v>
      </c>
      <c r="H5633">
        <f t="shared" ca="1" si="73"/>
        <v>-3.222830630332716E-2</v>
      </c>
    </row>
    <row r="5634" spans="7:8" x14ac:dyDescent="0.3">
      <c r="G5634" s="75">
        <v>5631</v>
      </c>
      <c r="H5634">
        <f t="shared" ref="H5634:H5697" ca="1" si="74">_xlfn.NORM.INV(RAND(),$N$4,$N$5)</f>
        <v>-2.1227120414014391E-2</v>
      </c>
    </row>
    <row r="5635" spans="7:8" x14ac:dyDescent="0.3">
      <c r="G5635" s="75">
        <v>5632</v>
      </c>
      <c r="H5635">
        <f t="shared" ca="1" si="74"/>
        <v>7.7779412004729603E-3</v>
      </c>
    </row>
    <row r="5636" spans="7:8" x14ac:dyDescent="0.3">
      <c r="G5636" s="75">
        <v>5633</v>
      </c>
      <c r="H5636">
        <f t="shared" ca="1" si="74"/>
        <v>-7.2916972602738049E-3</v>
      </c>
    </row>
    <row r="5637" spans="7:8" x14ac:dyDescent="0.3">
      <c r="G5637" s="75">
        <v>5634</v>
      </c>
      <c r="H5637">
        <f t="shared" ca="1" si="74"/>
        <v>-1.1502714595335885E-2</v>
      </c>
    </row>
    <row r="5638" spans="7:8" x14ac:dyDescent="0.3">
      <c r="G5638" s="75">
        <v>5635</v>
      </c>
      <c r="H5638">
        <f t="shared" ca="1" si="74"/>
        <v>-8.3897153886223E-3</v>
      </c>
    </row>
    <row r="5639" spans="7:8" x14ac:dyDescent="0.3">
      <c r="G5639" s="75">
        <v>5636</v>
      </c>
      <c r="H5639">
        <f t="shared" ca="1" si="74"/>
        <v>-7.8121280326254768E-3</v>
      </c>
    </row>
    <row r="5640" spans="7:8" x14ac:dyDescent="0.3">
      <c r="G5640" s="75">
        <v>5637</v>
      </c>
      <c r="H5640">
        <f t="shared" ca="1" si="74"/>
        <v>-1.9954777320272517E-2</v>
      </c>
    </row>
    <row r="5641" spans="7:8" x14ac:dyDescent="0.3">
      <c r="G5641" s="75">
        <v>5638</v>
      </c>
      <c r="H5641">
        <f t="shared" ca="1" si="74"/>
        <v>8.4416821131783181E-3</v>
      </c>
    </row>
    <row r="5642" spans="7:8" x14ac:dyDescent="0.3">
      <c r="G5642" s="75">
        <v>5639</v>
      </c>
      <c r="H5642">
        <f t="shared" ca="1" si="74"/>
        <v>-1.1834229624072363E-2</v>
      </c>
    </row>
    <row r="5643" spans="7:8" x14ac:dyDescent="0.3">
      <c r="G5643" s="75">
        <v>5640</v>
      </c>
      <c r="H5643">
        <f t="shared" ca="1" si="74"/>
        <v>4.0604130585844287E-3</v>
      </c>
    </row>
    <row r="5644" spans="7:8" x14ac:dyDescent="0.3">
      <c r="G5644" s="75">
        <v>5641</v>
      </c>
      <c r="H5644">
        <f t="shared" ca="1" si="74"/>
        <v>1.0542829826589776E-2</v>
      </c>
    </row>
    <row r="5645" spans="7:8" x14ac:dyDescent="0.3">
      <c r="G5645" s="75">
        <v>5642</v>
      </c>
      <c r="H5645">
        <f t="shared" ca="1" si="74"/>
        <v>-2.2334379845154427E-3</v>
      </c>
    </row>
    <row r="5646" spans="7:8" x14ac:dyDescent="0.3">
      <c r="G5646" s="75">
        <v>5643</v>
      </c>
      <c r="H5646">
        <f t="shared" ca="1" si="74"/>
        <v>-3.3527148774995046E-3</v>
      </c>
    </row>
    <row r="5647" spans="7:8" x14ac:dyDescent="0.3">
      <c r="G5647" s="75">
        <v>5644</v>
      </c>
      <c r="H5647">
        <f t="shared" ca="1" si="74"/>
        <v>-6.1337079963400326E-3</v>
      </c>
    </row>
    <row r="5648" spans="7:8" x14ac:dyDescent="0.3">
      <c r="G5648" s="75">
        <v>5645</v>
      </c>
      <c r="H5648">
        <f t="shared" ca="1" si="74"/>
        <v>-4.1131574918684428E-3</v>
      </c>
    </row>
    <row r="5649" spans="7:8" x14ac:dyDescent="0.3">
      <c r="G5649" s="75">
        <v>5646</v>
      </c>
      <c r="H5649">
        <f t="shared" ca="1" si="74"/>
        <v>-1.0561163816801623E-2</v>
      </c>
    </row>
    <row r="5650" spans="7:8" x14ac:dyDescent="0.3">
      <c r="G5650" s="75">
        <v>5647</v>
      </c>
      <c r="H5650">
        <f t="shared" ca="1" si="74"/>
        <v>7.4907431979335318E-3</v>
      </c>
    </row>
    <row r="5651" spans="7:8" x14ac:dyDescent="0.3">
      <c r="G5651" s="75">
        <v>5648</v>
      </c>
      <c r="H5651">
        <f t="shared" ca="1" si="74"/>
        <v>1.912825167714776E-3</v>
      </c>
    </row>
    <row r="5652" spans="7:8" x14ac:dyDescent="0.3">
      <c r="G5652" s="75">
        <v>5649</v>
      </c>
      <c r="H5652">
        <f t="shared" ca="1" si="74"/>
        <v>2.2562068936689321E-2</v>
      </c>
    </row>
    <row r="5653" spans="7:8" x14ac:dyDescent="0.3">
      <c r="G5653" s="75">
        <v>5650</v>
      </c>
      <c r="H5653">
        <f t="shared" ca="1" si="74"/>
        <v>-1.759534931018384E-2</v>
      </c>
    </row>
    <row r="5654" spans="7:8" x14ac:dyDescent="0.3">
      <c r="G5654" s="75">
        <v>5651</v>
      </c>
      <c r="H5654">
        <f t="shared" ca="1" si="74"/>
        <v>-1.829844335886481E-2</v>
      </c>
    </row>
    <row r="5655" spans="7:8" x14ac:dyDescent="0.3">
      <c r="G5655" s="75">
        <v>5652</v>
      </c>
      <c r="H5655">
        <f t="shared" ca="1" si="74"/>
        <v>-1.3767475717839239E-2</v>
      </c>
    </row>
    <row r="5656" spans="7:8" x14ac:dyDescent="0.3">
      <c r="G5656" s="75">
        <v>5653</v>
      </c>
      <c r="H5656">
        <f t="shared" ca="1" si="74"/>
        <v>1.9269070800247184E-2</v>
      </c>
    </row>
    <row r="5657" spans="7:8" x14ac:dyDescent="0.3">
      <c r="G5657" s="75">
        <v>5654</v>
      </c>
      <c r="H5657">
        <f t="shared" ca="1" si="74"/>
        <v>-9.1638776040539379E-3</v>
      </c>
    </row>
    <row r="5658" spans="7:8" x14ac:dyDescent="0.3">
      <c r="G5658" s="75">
        <v>5655</v>
      </c>
      <c r="H5658">
        <f t="shared" ca="1" si="74"/>
        <v>5.5983285594388525E-3</v>
      </c>
    </row>
    <row r="5659" spans="7:8" x14ac:dyDescent="0.3">
      <c r="G5659" s="75">
        <v>5656</v>
      </c>
      <c r="H5659">
        <f t="shared" ca="1" si="74"/>
        <v>5.5489859405226513E-3</v>
      </c>
    </row>
    <row r="5660" spans="7:8" x14ac:dyDescent="0.3">
      <c r="G5660" s="75">
        <v>5657</v>
      </c>
      <c r="H5660">
        <f t="shared" ca="1" si="74"/>
        <v>-1.7286547062287803E-2</v>
      </c>
    </row>
    <row r="5661" spans="7:8" x14ac:dyDescent="0.3">
      <c r="G5661" s="75">
        <v>5658</v>
      </c>
      <c r="H5661">
        <f t="shared" ca="1" si="74"/>
        <v>-1.811998982400748E-3</v>
      </c>
    </row>
    <row r="5662" spans="7:8" x14ac:dyDescent="0.3">
      <c r="G5662" s="75">
        <v>5659</v>
      </c>
      <c r="H5662">
        <f t="shared" ca="1" si="74"/>
        <v>-5.3101420351624471E-3</v>
      </c>
    </row>
    <row r="5663" spans="7:8" x14ac:dyDescent="0.3">
      <c r="G5663" s="75">
        <v>5660</v>
      </c>
      <c r="H5663">
        <f t="shared" ca="1" si="74"/>
        <v>-6.4536828323071378E-3</v>
      </c>
    </row>
    <row r="5664" spans="7:8" x14ac:dyDescent="0.3">
      <c r="G5664" s="75">
        <v>5661</v>
      </c>
      <c r="H5664">
        <f t="shared" ca="1" si="74"/>
        <v>-4.5728621857037211E-3</v>
      </c>
    </row>
    <row r="5665" spans="7:8" x14ac:dyDescent="0.3">
      <c r="G5665" s="75">
        <v>5662</v>
      </c>
      <c r="H5665">
        <f t="shared" ca="1" si="74"/>
        <v>2.1002382400987975E-2</v>
      </c>
    </row>
    <row r="5666" spans="7:8" x14ac:dyDescent="0.3">
      <c r="G5666" s="75">
        <v>5663</v>
      </c>
      <c r="H5666">
        <f t="shared" ca="1" si="74"/>
        <v>2.4213249552006839E-2</v>
      </c>
    </row>
    <row r="5667" spans="7:8" x14ac:dyDescent="0.3">
      <c r="G5667" s="75">
        <v>5664</v>
      </c>
      <c r="H5667">
        <f t="shared" ca="1" si="74"/>
        <v>-3.1589944247935979E-3</v>
      </c>
    </row>
    <row r="5668" spans="7:8" x14ac:dyDescent="0.3">
      <c r="G5668" s="75">
        <v>5665</v>
      </c>
      <c r="H5668">
        <f t="shared" ca="1" si="74"/>
        <v>8.9379947084962056E-3</v>
      </c>
    </row>
    <row r="5669" spans="7:8" x14ac:dyDescent="0.3">
      <c r="G5669" s="75">
        <v>5666</v>
      </c>
      <c r="H5669">
        <f t="shared" ca="1" si="74"/>
        <v>-1.4851582145442212E-3</v>
      </c>
    </row>
    <row r="5670" spans="7:8" x14ac:dyDescent="0.3">
      <c r="G5670" s="75">
        <v>5667</v>
      </c>
      <c r="H5670">
        <f t="shared" ca="1" si="74"/>
        <v>3.159027043797434E-4</v>
      </c>
    </row>
    <row r="5671" spans="7:8" x14ac:dyDescent="0.3">
      <c r="G5671" s="75">
        <v>5668</v>
      </c>
      <c r="H5671">
        <f t="shared" ca="1" si="74"/>
        <v>6.7505586148687187E-3</v>
      </c>
    </row>
    <row r="5672" spans="7:8" x14ac:dyDescent="0.3">
      <c r="G5672" s="75">
        <v>5669</v>
      </c>
      <c r="H5672">
        <f t="shared" ca="1" si="74"/>
        <v>-8.401719481125754E-3</v>
      </c>
    </row>
    <row r="5673" spans="7:8" x14ac:dyDescent="0.3">
      <c r="G5673" s="75">
        <v>5670</v>
      </c>
      <c r="H5673">
        <f t="shared" ca="1" si="74"/>
        <v>7.3820593087406353E-3</v>
      </c>
    </row>
    <row r="5674" spans="7:8" x14ac:dyDescent="0.3">
      <c r="G5674" s="75">
        <v>5671</v>
      </c>
      <c r="H5674">
        <f t="shared" ca="1" si="74"/>
        <v>-2.008785592362141E-2</v>
      </c>
    </row>
    <row r="5675" spans="7:8" x14ac:dyDescent="0.3">
      <c r="G5675" s="75">
        <v>5672</v>
      </c>
      <c r="H5675">
        <f t="shared" ca="1" si="74"/>
        <v>-1.8381318601686111E-2</v>
      </c>
    </row>
    <row r="5676" spans="7:8" x14ac:dyDescent="0.3">
      <c r="G5676" s="75">
        <v>5673</v>
      </c>
      <c r="H5676">
        <f t="shared" ca="1" si="74"/>
        <v>-2.6447959552213431E-2</v>
      </c>
    </row>
    <row r="5677" spans="7:8" x14ac:dyDescent="0.3">
      <c r="G5677" s="75">
        <v>5674</v>
      </c>
      <c r="H5677">
        <f t="shared" ca="1" si="74"/>
        <v>4.0370500139768764E-3</v>
      </c>
    </row>
    <row r="5678" spans="7:8" x14ac:dyDescent="0.3">
      <c r="G5678" s="75">
        <v>5675</v>
      </c>
      <c r="H5678">
        <f t="shared" ca="1" si="74"/>
        <v>1.1157680230017872E-4</v>
      </c>
    </row>
    <row r="5679" spans="7:8" x14ac:dyDescent="0.3">
      <c r="G5679" s="75">
        <v>5676</v>
      </c>
      <c r="H5679">
        <f t="shared" ca="1" si="74"/>
        <v>1.1311620946525968E-2</v>
      </c>
    </row>
    <row r="5680" spans="7:8" x14ac:dyDescent="0.3">
      <c r="G5680" s="75">
        <v>5677</v>
      </c>
      <c r="H5680">
        <f t="shared" ca="1" si="74"/>
        <v>-6.436021407940226E-3</v>
      </c>
    </row>
    <row r="5681" spans="7:8" x14ac:dyDescent="0.3">
      <c r="G5681" s="75">
        <v>5678</v>
      </c>
      <c r="H5681">
        <f t="shared" ca="1" si="74"/>
        <v>1.7325645732752613E-2</v>
      </c>
    </row>
    <row r="5682" spans="7:8" x14ac:dyDescent="0.3">
      <c r="G5682" s="75">
        <v>5679</v>
      </c>
      <c r="H5682">
        <f t="shared" ca="1" si="74"/>
        <v>6.8281250965455198E-3</v>
      </c>
    </row>
    <row r="5683" spans="7:8" x14ac:dyDescent="0.3">
      <c r="G5683" s="75">
        <v>5680</v>
      </c>
      <c r="H5683">
        <f t="shared" ca="1" si="74"/>
        <v>2.1700987593273937E-4</v>
      </c>
    </row>
    <row r="5684" spans="7:8" x14ac:dyDescent="0.3">
      <c r="G5684" s="75">
        <v>5681</v>
      </c>
      <c r="H5684">
        <f t="shared" ca="1" si="74"/>
        <v>2.8438670897625003E-3</v>
      </c>
    </row>
    <row r="5685" spans="7:8" x14ac:dyDescent="0.3">
      <c r="G5685" s="75">
        <v>5682</v>
      </c>
      <c r="H5685">
        <f t="shared" ca="1" si="74"/>
        <v>-2.4556414469633723E-3</v>
      </c>
    </row>
    <row r="5686" spans="7:8" x14ac:dyDescent="0.3">
      <c r="G5686" s="75">
        <v>5683</v>
      </c>
      <c r="H5686">
        <f t="shared" ca="1" si="74"/>
        <v>4.3976103379192348E-3</v>
      </c>
    </row>
    <row r="5687" spans="7:8" x14ac:dyDescent="0.3">
      <c r="G5687" s="75">
        <v>5684</v>
      </c>
      <c r="H5687">
        <f t="shared" ca="1" si="74"/>
        <v>1.462264423909065E-3</v>
      </c>
    </row>
    <row r="5688" spans="7:8" x14ac:dyDescent="0.3">
      <c r="G5688" s="75">
        <v>5685</v>
      </c>
      <c r="H5688">
        <f t="shared" ca="1" si="74"/>
        <v>-4.3460906460684196E-3</v>
      </c>
    </row>
    <row r="5689" spans="7:8" x14ac:dyDescent="0.3">
      <c r="G5689" s="75">
        <v>5686</v>
      </c>
      <c r="H5689">
        <f t="shared" ca="1" si="74"/>
        <v>-4.3445954913234712E-3</v>
      </c>
    </row>
    <row r="5690" spans="7:8" x14ac:dyDescent="0.3">
      <c r="G5690" s="75">
        <v>5687</v>
      </c>
      <c r="H5690">
        <f t="shared" ca="1" si="74"/>
        <v>1.0443189526949987E-2</v>
      </c>
    </row>
    <row r="5691" spans="7:8" x14ac:dyDescent="0.3">
      <c r="G5691" s="75">
        <v>5688</v>
      </c>
      <c r="H5691">
        <f t="shared" ca="1" si="74"/>
        <v>4.1675409433840913E-3</v>
      </c>
    </row>
    <row r="5692" spans="7:8" x14ac:dyDescent="0.3">
      <c r="G5692" s="75">
        <v>5689</v>
      </c>
      <c r="H5692">
        <f t="shared" ca="1" si="74"/>
        <v>-1.658252561699745E-2</v>
      </c>
    </row>
    <row r="5693" spans="7:8" x14ac:dyDescent="0.3">
      <c r="G5693" s="75">
        <v>5690</v>
      </c>
      <c r="H5693">
        <f t="shared" ca="1" si="74"/>
        <v>-3.0425471205612594E-3</v>
      </c>
    </row>
    <row r="5694" spans="7:8" x14ac:dyDescent="0.3">
      <c r="G5694" s="75">
        <v>5691</v>
      </c>
      <c r="H5694">
        <f t="shared" ca="1" si="74"/>
        <v>1.757811909466259E-3</v>
      </c>
    </row>
    <row r="5695" spans="7:8" x14ac:dyDescent="0.3">
      <c r="G5695" s="75">
        <v>5692</v>
      </c>
      <c r="H5695">
        <f t="shared" ca="1" si="74"/>
        <v>-1.3051016139387894E-2</v>
      </c>
    </row>
    <row r="5696" spans="7:8" x14ac:dyDescent="0.3">
      <c r="G5696" s="75">
        <v>5693</v>
      </c>
      <c r="H5696">
        <f t="shared" ca="1" si="74"/>
        <v>-6.8788069382738851E-3</v>
      </c>
    </row>
    <row r="5697" spans="7:8" x14ac:dyDescent="0.3">
      <c r="G5697" s="75">
        <v>5694</v>
      </c>
      <c r="H5697">
        <f t="shared" ca="1" si="74"/>
        <v>-7.9022136086780922E-3</v>
      </c>
    </row>
    <row r="5698" spans="7:8" x14ac:dyDescent="0.3">
      <c r="G5698" s="75">
        <v>5695</v>
      </c>
      <c r="H5698">
        <f t="shared" ref="H5698:H5761" ca="1" si="75">_xlfn.NORM.INV(RAND(),$N$4,$N$5)</f>
        <v>-3.8304836116252676E-2</v>
      </c>
    </row>
    <row r="5699" spans="7:8" x14ac:dyDescent="0.3">
      <c r="G5699" s="75">
        <v>5696</v>
      </c>
      <c r="H5699">
        <f t="shared" ca="1" si="75"/>
        <v>-2.1104347185471233E-3</v>
      </c>
    </row>
    <row r="5700" spans="7:8" x14ac:dyDescent="0.3">
      <c r="G5700" s="75">
        <v>5697</v>
      </c>
      <c r="H5700">
        <f t="shared" ca="1" si="75"/>
        <v>-1.8248448145196921E-2</v>
      </c>
    </row>
    <row r="5701" spans="7:8" x14ac:dyDescent="0.3">
      <c r="G5701" s="75">
        <v>5698</v>
      </c>
      <c r="H5701">
        <f t="shared" ca="1" si="75"/>
        <v>1.4144469791019203E-2</v>
      </c>
    </row>
    <row r="5702" spans="7:8" x14ac:dyDescent="0.3">
      <c r="G5702" s="75">
        <v>5699</v>
      </c>
      <c r="H5702">
        <f t="shared" ca="1" si="75"/>
        <v>-9.6889887768042519E-3</v>
      </c>
    </row>
    <row r="5703" spans="7:8" x14ac:dyDescent="0.3">
      <c r="G5703" s="75">
        <v>5700</v>
      </c>
      <c r="H5703">
        <f t="shared" ca="1" si="75"/>
        <v>-9.1150922797185244E-3</v>
      </c>
    </row>
    <row r="5704" spans="7:8" x14ac:dyDescent="0.3">
      <c r="G5704" s="75">
        <v>5701</v>
      </c>
      <c r="H5704">
        <f t="shared" ca="1" si="75"/>
        <v>2.6598913502803088E-3</v>
      </c>
    </row>
    <row r="5705" spans="7:8" x14ac:dyDescent="0.3">
      <c r="G5705" s="75">
        <v>5702</v>
      </c>
      <c r="H5705">
        <f t="shared" ca="1" si="75"/>
        <v>-2.1019170884494995E-2</v>
      </c>
    </row>
    <row r="5706" spans="7:8" x14ac:dyDescent="0.3">
      <c r="G5706" s="75">
        <v>5703</v>
      </c>
      <c r="H5706">
        <f t="shared" ca="1" si="75"/>
        <v>-7.088051894272248E-3</v>
      </c>
    </row>
    <row r="5707" spans="7:8" x14ac:dyDescent="0.3">
      <c r="G5707" s="75">
        <v>5704</v>
      </c>
      <c r="H5707">
        <f t="shared" ca="1" si="75"/>
        <v>9.406255668389563E-3</v>
      </c>
    </row>
    <row r="5708" spans="7:8" x14ac:dyDescent="0.3">
      <c r="G5708" s="75">
        <v>5705</v>
      </c>
      <c r="H5708">
        <f t="shared" ca="1" si="75"/>
        <v>-2.8880675036887356E-2</v>
      </c>
    </row>
    <row r="5709" spans="7:8" x14ac:dyDescent="0.3">
      <c r="G5709" s="75">
        <v>5706</v>
      </c>
      <c r="H5709">
        <f t="shared" ca="1" si="75"/>
        <v>3.1736577007212608E-3</v>
      </c>
    </row>
    <row r="5710" spans="7:8" x14ac:dyDescent="0.3">
      <c r="G5710" s="75">
        <v>5707</v>
      </c>
      <c r="H5710">
        <f t="shared" ca="1" si="75"/>
        <v>1.7805466459686854E-2</v>
      </c>
    </row>
    <row r="5711" spans="7:8" x14ac:dyDescent="0.3">
      <c r="G5711" s="75">
        <v>5708</v>
      </c>
      <c r="H5711">
        <f t="shared" ca="1" si="75"/>
        <v>-6.4353512229819556E-3</v>
      </c>
    </row>
    <row r="5712" spans="7:8" x14ac:dyDescent="0.3">
      <c r="G5712" s="75">
        <v>5709</v>
      </c>
      <c r="H5712">
        <f t="shared" ca="1" si="75"/>
        <v>1.1733289349168549E-2</v>
      </c>
    </row>
    <row r="5713" spans="7:8" x14ac:dyDescent="0.3">
      <c r="G5713" s="75">
        <v>5710</v>
      </c>
      <c r="H5713">
        <f t="shared" ca="1" si="75"/>
        <v>-1.1309279855849489E-2</v>
      </c>
    </row>
    <row r="5714" spans="7:8" x14ac:dyDescent="0.3">
      <c r="G5714" s="75">
        <v>5711</v>
      </c>
      <c r="H5714">
        <f t="shared" ca="1" si="75"/>
        <v>-7.6549451775043097E-3</v>
      </c>
    </row>
    <row r="5715" spans="7:8" x14ac:dyDescent="0.3">
      <c r="G5715" s="75">
        <v>5712</v>
      </c>
      <c r="H5715">
        <f t="shared" ca="1" si="75"/>
        <v>3.5063763265818968E-3</v>
      </c>
    </row>
    <row r="5716" spans="7:8" x14ac:dyDescent="0.3">
      <c r="G5716" s="75">
        <v>5713</v>
      </c>
      <c r="H5716">
        <f t="shared" ca="1" si="75"/>
        <v>-7.3376545761274885E-3</v>
      </c>
    </row>
    <row r="5717" spans="7:8" x14ac:dyDescent="0.3">
      <c r="G5717" s="75">
        <v>5714</v>
      </c>
      <c r="H5717">
        <f t="shared" ca="1" si="75"/>
        <v>-1.3809376420301441E-2</v>
      </c>
    </row>
    <row r="5718" spans="7:8" x14ac:dyDescent="0.3">
      <c r="G5718" s="75">
        <v>5715</v>
      </c>
      <c r="H5718">
        <f t="shared" ca="1" si="75"/>
        <v>-3.5807385133707445E-2</v>
      </c>
    </row>
    <row r="5719" spans="7:8" x14ac:dyDescent="0.3">
      <c r="G5719" s="75">
        <v>5716</v>
      </c>
      <c r="H5719">
        <f t="shared" ca="1" si="75"/>
        <v>1.4964798307895062E-2</v>
      </c>
    </row>
    <row r="5720" spans="7:8" x14ac:dyDescent="0.3">
      <c r="G5720" s="75">
        <v>5717</v>
      </c>
      <c r="H5720">
        <f t="shared" ca="1" si="75"/>
        <v>3.8809088364551289E-3</v>
      </c>
    </row>
    <row r="5721" spans="7:8" x14ac:dyDescent="0.3">
      <c r="G5721" s="75">
        <v>5718</v>
      </c>
      <c r="H5721">
        <f t="shared" ca="1" si="75"/>
        <v>1.6114864165873979E-3</v>
      </c>
    </row>
    <row r="5722" spans="7:8" x14ac:dyDescent="0.3">
      <c r="G5722" s="75">
        <v>5719</v>
      </c>
      <c r="H5722">
        <f t="shared" ca="1" si="75"/>
        <v>1.4602114708235265E-2</v>
      </c>
    </row>
    <row r="5723" spans="7:8" x14ac:dyDescent="0.3">
      <c r="G5723" s="75">
        <v>5720</v>
      </c>
      <c r="H5723">
        <f t="shared" ca="1" si="75"/>
        <v>-2.016863940021469E-2</v>
      </c>
    </row>
    <row r="5724" spans="7:8" x14ac:dyDescent="0.3">
      <c r="G5724" s="75">
        <v>5721</v>
      </c>
      <c r="H5724">
        <f t="shared" ca="1" si="75"/>
        <v>1.1481263743434332E-2</v>
      </c>
    </row>
    <row r="5725" spans="7:8" x14ac:dyDescent="0.3">
      <c r="G5725" s="75">
        <v>5722</v>
      </c>
      <c r="H5725">
        <f t="shared" ca="1" si="75"/>
        <v>-2.691354917405301E-2</v>
      </c>
    </row>
    <row r="5726" spans="7:8" x14ac:dyDescent="0.3">
      <c r="G5726" s="75">
        <v>5723</v>
      </c>
      <c r="H5726">
        <f t="shared" ca="1" si="75"/>
        <v>2.169435701224018E-3</v>
      </c>
    </row>
    <row r="5727" spans="7:8" x14ac:dyDescent="0.3">
      <c r="G5727" s="75">
        <v>5724</v>
      </c>
      <c r="H5727">
        <f t="shared" ca="1" si="75"/>
        <v>-7.892354173551221E-3</v>
      </c>
    </row>
    <row r="5728" spans="7:8" x14ac:dyDescent="0.3">
      <c r="G5728" s="75">
        <v>5725</v>
      </c>
      <c r="H5728">
        <f t="shared" ca="1" si="75"/>
        <v>-1.6352880390737796E-2</v>
      </c>
    </row>
    <row r="5729" spans="7:8" x14ac:dyDescent="0.3">
      <c r="G5729" s="75">
        <v>5726</v>
      </c>
      <c r="H5729">
        <f t="shared" ca="1" si="75"/>
        <v>1.2394597737423851E-2</v>
      </c>
    </row>
    <row r="5730" spans="7:8" x14ac:dyDescent="0.3">
      <c r="G5730" s="75">
        <v>5727</v>
      </c>
      <c r="H5730">
        <f t="shared" ca="1" si="75"/>
        <v>-4.5872866223438929E-3</v>
      </c>
    </row>
    <row r="5731" spans="7:8" x14ac:dyDescent="0.3">
      <c r="G5731" s="75">
        <v>5728</v>
      </c>
      <c r="H5731">
        <f t="shared" ca="1" si="75"/>
        <v>1.5250607570985425E-2</v>
      </c>
    </row>
    <row r="5732" spans="7:8" x14ac:dyDescent="0.3">
      <c r="G5732" s="75">
        <v>5729</v>
      </c>
      <c r="H5732">
        <f t="shared" ca="1" si="75"/>
        <v>-1.6510947484974683E-2</v>
      </c>
    </row>
    <row r="5733" spans="7:8" x14ac:dyDescent="0.3">
      <c r="G5733" s="75">
        <v>5730</v>
      </c>
      <c r="H5733">
        <f t="shared" ca="1" si="75"/>
        <v>9.9528124112904359E-3</v>
      </c>
    </row>
    <row r="5734" spans="7:8" x14ac:dyDescent="0.3">
      <c r="G5734" s="75">
        <v>5731</v>
      </c>
      <c r="H5734">
        <f t="shared" ca="1" si="75"/>
        <v>4.1238568381473896E-3</v>
      </c>
    </row>
    <row r="5735" spans="7:8" x14ac:dyDescent="0.3">
      <c r="G5735" s="75">
        <v>5732</v>
      </c>
      <c r="H5735">
        <f t="shared" ca="1" si="75"/>
        <v>-6.996730817045947E-3</v>
      </c>
    </row>
    <row r="5736" spans="7:8" x14ac:dyDescent="0.3">
      <c r="G5736" s="75">
        <v>5733</v>
      </c>
      <c r="H5736">
        <f t="shared" ca="1" si="75"/>
        <v>-1.4599707079809274E-2</v>
      </c>
    </row>
    <row r="5737" spans="7:8" x14ac:dyDescent="0.3">
      <c r="G5737" s="75">
        <v>5734</v>
      </c>
      <c r="H5737">
        <f t="shared" ca="1" si="75"/>
        <v>7.3054870397783857E-3</v>
      </c>
    </row>
    <row r="5738" spans="7:8" x14ac:dyDescent="0.3">
      <c r="G5738" s="75">
        <v>5735</v>
      </c>
      <c r="H5738">
        <f t="shared" ca="1" si="75"/>
        <v>-1.962775480445985E-3</v>
      </c>
    </row>
    <row r="5739" spans="7:8" x14ac:dyDescent="0.3">
      <c r="G5739" s="75">
        <v>5736</v>
      </c>
      <c r="H5739">
        <f t="shared" ca="1" si="75"/>
        <v>1.8908433950605165E-3</v>
      </c>
    </row>
    <row r="5740" spans="7:8" x14ac:dyDescent="0.3">
      <c r="G5740" s="75">
        <v>5737</v>
      </c>
      <c r="H5740">
        <f t="shared" ca="1" si="75"/>
        <v>-1.6259167731630365E-2</v>
      </c>
    </row>
    <row r="5741" spans="7:8" x14ac:dyDescent="0.3">
      <c r="G5741" s="75">
        <v>5738</v>
      </c>
      <c r="H5741">
        <f t="shared" ca="1" si="75"/>
        <v>7.3867440890834661E-3</v>
      </c>
    </row>
    <row r="5742" spans="7:8" x14ac:dyDescent="0.3">
      <c r="G5742" s="75">
        <v>5739</v>
      </c>
      <c r="H5742">
        <f t="shared" ca="1" si="75"/>
        <v>4.1158239166256012E-3</v>
      </c>
    </row>
    <row r="5743" spans="7:8" x14ac:dyDescent="0.3">
      <c r="G5743" s="75">
        <v>5740</v>
      </c>
      <c r="H5743">
        <f t="shared" ca="1" si="75"/>
        <v>-1.7192760581316042E-2</v>
      </c>
    </row>
    <row r="5744" spans="7:8" x14ac:dyDescent="0.3">
      <c r="G5744" s="75">
        <v>5741</v>
      </c>
      <c r="H5744">
        <f t="shared" ca="1" si="75"/>
        <v>-1.0443726561481473E-2</v>
      </c>
    </row>
    <row r="5745" spans="7:8" x14ac:dyDescent="0.3">
      <c r="G5745" s="75">
        <v>5742</v>
      </c>
      <c r="H5745">
        <f t="shared" ca="1" si="75"/>
        <v>3.9645692317607688E-3</v>
      </c>
    </row>
    <row r="5746" spans="7:8" x14ac:dyDescent="0.3">
      <c r="G5746" s="75">
        <v>5743</v>
      </c>
      <c r="H5746">
        <f t="shared" ca="1" si="75"/>
        <v>7.2329927395703882E-3</v>
      </c>
    </row>
    <row r="5747" spans="7:8" x14ac:dyDescent="0.3">
      <c r="G5747" s="75">
        <v>5744</v>
      </c>
      <c r="H5747">
        <f t="shared" ca="1" si="75"/>
        <v>7.8536087111978313E-3</v>
      </c>
    </row>
    <row r="5748" spans="7:8" x14ac:dyDescent="0.3">
      <c r="G5748" s="75">
        <v>5745</v>
      </c>
      <c r="H5748">
        <f t="shared" ca="1" si="75"/>
        <v>-1.4147547372039293E-3</v>
      </c>
    </row>
    <row r="5749" spans="7:8" x14ac:dyDescent="0.3">
      <c r="G5749" s="75">
        <v>5746</v>
      </c>
      <c r="H5749">
        <f t="shared" ca="1" si="75"/>
        <v>6.4073721996824413E-3</v>
      </c>
    </row>
    <row r="5750" spans="7:8" x14ac:dyDescent="0.3">
      <c r="G5750" s="75">
        <v>5747</v>
      </c>
      <c r="H5750">
        <f t="shared" ca="1" si="75"/>
        <v>-2.4846872656354758E-2</v>
      </c>
    </row>
    <row r="5751" spans="7:8" x14ac:dyDescent="0.3">
      <c r="G5751" s="75">
        <v>5748</v>
      </c>
      <c r="H5751">
        <f t="shared" ca="1" si="75"/>
        <v>8.8622170559150091E-3</v>
      </c>
    </row>
    <row r="5752" spans="7:8" x14ac:dyDescent="0.3">
      <c r="G5752" s="75">
        <v>5749</v>
      </c>
      <c r="H5752">
        <f t="shared" ca="1" si="75"/>
        <v>-2.5791519046990029E-2</v>
      </c>
    </row>
    <row r="5753" spans="7:8" x14ac:dyDescent="0.3">
      <c r="G5753" s="75">
        <v>5750</v>
      </c>
      <c r="H5753">
        <f t="shared" ca="1" si="75"/>
        <v>-1.004482619499239E-2</v>
      </c>
    </row>
    <row r="5754" spans="7:8" x14ac:dyDescent="0.3">
      <c r="G5754" s="75">
        <v>5751</v>
      </c>
      <c r="H5754">
        <f t="shared" ca="1" si="75"/>
        <v>-1.3328910175996519E-3</v>
      </c>
    </row>
    <row r="5755" spans="7:8" x14ac:dyDescent="0.3">
      <c r="G5755" s="75">
        <v>5752</v>
      </c>
      <c r="H5755">
        <f t="shared" ca="1" si="75"/>
        <v>1.831834241439774E-2</v>
      </c>
    </row>
    <row r="5756" spans="7:8" x14ac:dyDescent="0.3">
      <c r="G5756" s="75">
        <v>5753</v>
      </c>
      <c r="H5756">
        <f t="shared" ca="1" si="75"/>
        <v>-6.8153513665800648E-3</v>
      </c>
    </row>
    <row r="5757" spans="7:8" x14ac:dyDescent="0.3">
      <c r="G5757" s="75">
        <v>5754</v>
      </c>
      <c r="H5757">
        <f t="shared" ca="1" si="75"/>
        <v>1.2863263703501856E-2</v>
      </c>
    </row>
    <row r="5758" spans="7:8" x14ac:dyDescent="0.3">
      <c r="G5758" s="75">
        <v>5755</v>
      </c>
      <c r="H5758">
        <f t="shared" ca="1" si="75"/>
        <v>1.3158177702344872E-2</v>
      </c>
    </row>
    <row r="5759" spans="7:8" x14ac:dyDescent="0.3">
      <c r="G5759" s="75">
        <v>5756</v>
      </c>
      <c r="H5759">
        <f t="shared" ca="1" si="75"/>
        <v>2.8776955078690645E-3</v>
      </c>
    </row>
    <row r="5760" spans="7:8" x14ac:dyDescent="0.3">
      <c r="G5760" s="75">
        <v>5757</v>
      </c>
      <c r="H5760">
        <f t="shared" ca="1" si="75"/>
        <v>1.3071702279477737E-2</v>
      </c>
    </row>
    <row r="5761" spans="7:8" x14ac:dyDescent="0.3">
      <c r="G5761" s="75">
        <v>5758</v>
      </c>
      <c r="H5761">
        <f t="shared" ca="1" si="75"/>
        <v>2.6345931274035842E-2</v>
      </c>
    </row>
    <row r="5762" spans="7:8" x14ac:dyDescent="0.3">
      <c r="G5762" s="75">
        <v>5759</v>
      </c>
      <c r="H5762">
        <f t="shared" ref="H5762:H5825" ca="1" si="76">_xlfn.NORM.INV(RAND(),$N$4,$N$5)</f>
        <v>-1.0141953131547264E-3</v>
      </c>
    </row>
    <row r="5763" spans="7:8" x14ac:dyDescent="0.3">
      <c r="G5763" s="75">
        <v>5760</v>
      </c>
      <c r="H5763">
        <f t="shared" ca="1" si="76"/>
        <v>-3.3645052256076509E-3</v>
      </c>
    </row>
    <row r="5764" spans="7:8" x14ac:dyDescent="0.3">
      <c r="G5764" s="75">
        <v>5761</v>
      </c>
      <c r="H5764">
        <f t="shared" ca="1" si="76"/>
        <v>1.9967178680209224E-2</v>
      </c>
    </row>
    <row r="5765" spans="7:8" x14ac:dyDescent="0.3">
      <c r="G5765" s="75">
        <v>5762</v>
      </c>
      <c r="H5765">
        <f t="shared" ca="1" si="76"/>
        <v>2.0699932299530325E-2</v>
      </c>
    </row>
    <row r="5766" spans="7:8" x14ac:dyDescent="0.3">
      <c r="G5766" s="75">
        <v>5763</v>
      </c>
      <c r="H5766">
        <f t="shared" ca="1" si="76"/>
        <v>8.4212242932099005E-3</v>
      </c>
    </row>
    <row r="5767" spans="7:8" x14ac:dyDescent="0.3">
      <c r="G5767" s="75">
        <v>5764</v>
      </c>
      <c r="H5767">
        <f t="shared" ca="1" si="76"/>
        <v>5.8855321549156842E-3</v>
      </c>
    </row>
    <row r="5768" spans="7:8" x14ac:dyDescent="0.3">
      <c r="G5768" s="75">
        <v>5765</v>
      </c>
      <c r="H5768">
        <f t="shared" ca="1" si="76"/>
        <v>8.1383598061889138E-3</v>
      </c>
    </row>
    <row r="5769" spans="7:8" x14ac:dyDescent="0.3">
      <c r="G5769" s="75">
        <v>5766</v>
      </c>
      <c r="H5769">
        <f t="shared" ca="1" si="76"/>
        <v>7.2189727703021187E-3</v>
      </c>
    </row>
    <row r="5770" spans="7:8" x14ac:dyDescent="0.3">
      <c r="G5770" s="75">
        <v>5767</v>
      </c>
      <c r="H5770">
        <f t="shared" ca="1" si="76"/>
        <v>-8.667066391354436E-3</v>
      </c>
    </row>
    <row r="5771" spans="7:8" x14ac:dyDescent="0.3">
      <c r="G5771" s="75">
        <v>5768</v>
      </c>
      <c r="H5771">
        <f t="shared" ca="1" si="76"/>
        <v>-1.2082288575199371E-2</v>
      </c>
    </row>
    <row r="5772" spans="7:8" x14ac:dyDescent="0.3">
      <c r="G5772" s="75">
        <v>5769</v>
      </c>
      <c r="H5772">
        <f t="shared" ca="1" si="76"/>
        <v>2.238552911543442E-2</v>
      </c>
    </row>
    <row r="5773" spans="7:8" x14ac:dyDescent="0.3">
      <c r="G5773" s="75">
        <v>5770</v>
      </c>
      <c r="H5773">
        <f t="shared" ca="1" si="76"/>
        <v>1.5376491756575033E-2</v>
      </c>
    </row>
    <row r="5774" spans="7:8" x14ac:dyDescent="0.3">
      <c r="G5774" s="75">
        <v>5771</v>
      </c>
      <c r="H5774">
        <f t="shared" ca="1" si="76"/>
        <v>-4.6649102281723269E-3</v>
      </c>
    </row>
    <row r="5775" spans="7:8" x14ac:dyDescent="0.3">
      <c r="G5775" s="75">
        <v>5772</v>
      </c>
      <c r="H5775">
        <f t="shared" ca="1" si="76"/>
        <v>-8.2778373644363974E-3</v>
      </c>
    </row>
    <row r="5776" spans="7:8" x14ac:dyDescent="0.3">
      <c r="G5776" s="75">
        <v>5773</v>
      </c>
      <c r="H5776">
        <f t="shared" ca="1" si="76"/>
        <v>1.4268847429554666E-2</v>
      </c>
    </row>
    <row r="5777" spans="7:8" x14ac:dyDescent="0.3">
      <c r="G5777" s="75">
        <v>5774</v>
      </c>
      <c r="H5777">
        <f t="shared" ca="1" si="76"/>
        <v>8.6676587674577605E-3</v>
      </c>
    </row>
    <row r="5778" spans="7:8" x14ac:dyDescent="0.3">
      <c r="G5778" s="75">
        <v>5775</v>
      </c>
      <c r="H5778">
        <f t="shared" ca="1" si="76"/>
        <v>-1.8535702327564154E-2</v>
      </c>
    </row>
    <row r="5779" spans="7:8" x14ac:dyDescent="0.3">
      <c r="G5779" s="75">
        <v>5776</v>
      </c>
      <c r="H5779">
        <f t="shared" ca="1" si="76"/>
        <v>2.1870959130991514E-3</v>
      </c>
    </row>
    <row r="5780" spans="7:8" x14ac:dyDescent="0.3">
      <c r="G5780" s="75">
        <v>5777</v>
      </c>
      <c r="H5780">
        <f t="shared" ca="1" si="76"/>
        <v>3.9863409706729124E-3</v>
      </c>
    </row>
    <row r="5781" spans="7:8" x14ac:dyDescent="0.3">
      <c r="G5781" s="75">
        <v>5778</v>
      </c>
      <c r="H5781">
        <f t="shared" ca="1" si="76"/>
        <v>1.4477249449077006E-2</v>
      </c>
    </row>
    <row r="5782" spans="7:8" x14ac:dyDescent="0.3">
      <c r="G5782" s="75">
        <v>5779</v>
      </c>
      <c r="H5782">
        <f t="shared" ca="1" si="76"/>
        <v>-1.2594919628107748E-2</v>
      </c>
    </row>
    <row r="5783" spans="7:8" x14ac:dyDescent="0.3">
      <c r="G5783" s="75">
        <v>5780</v>
      </c>
      <c r="H5783">
        <f t="shared" ca="1" si="76"/>
        <v>4.0091009136603787E-4</v>
      </c>
    </row>
    <row r="5784" spans="7:8" x14ac:dyDescent="0.3">
      <c r="G5784" s="75">
        <v>5781</v>
      </c>
      <c r="H5784">
        <f t="shared" ca="1" si="76"/>
        <v>-1.8123932644450155E-2</v>
      </c>
    </row>
    <row r="5785" spans="7:8" x14ac:dyDescent="0.3">
      <c r="G5785" s="75">
        <v>5782</v>
      </c>
      <c r="H5785">
        <f t="shared" ca="1" si="76"/>
        <v>3.8094783378966688E-3</v>
      </c>
    </row>
    <row r="5786" spans="7:8" x14ac:dyDescent="0.3">
      <c r="G5786" s="75">
        <v>5783</v>
      </c>
      <c r="H5786">
        <f t="shared" ca="1" si="76"/>
        <v>-1.7464921894476119E-2</v>
      </c>
    </row>
    <row r="5787" spans="7:8" x14ac:dyDescent="0.3">
      <c r="G5787" s="75">
        <v>5784</v>
      </c>
      <c r="H5787">
        <f t="shared" ca="1" si="76"/>
        <v>2.5659592826361133E-3</v>
      </c>
    </row>
    <row r="5788" spans="7:8" x14ac:dyDescent="0.3">
      <c r="G5788" s="75">
        <v>5785</v>
      </c>
      <c r="H5788">
        <f t="shared" ca="1" si="76"/>
        <v>3.9719620138057785E-3</v>
      </c>
    </row>
    <row r="5789" spans="7:8" x14ac:dyDescent="0.3">
      <c r="G5789" s="75">
        <v>5786</v>
      </c>
      <c r="H5789">
        <f t="shared" ca="1" si="76"/>
        <v>6.9894303647837094E-4</v>
      </c>
    </row>
    <row r="5790" spans="7:8" x14ac:dyDescent="0.3">
      <c r="G5790" s="75">
        <v>5787</v>
      </c>
      <c r="H5790">
        <f t="shared" ca="1" si="76"/>
        <v>-8.4409197899693485E-3</v>
      </c>
    </row>
    <row r="5791" spans="7:8" x14ac:dyDescent="0.3">
      <c r="G5791" s="75">
        <v>5788</v>
      </c>
      <c r="H5791">
        <f t="shared" ca="1" si="76"/>
        <v>5.6446632205631514E-3</v>
      </c>
    </row>
    <row r="5792" spans="7:8" x14ac:dyDescent="0.3">
      <c r="G5792" s="75">
        <v>5789</v>
      </c>
      <c r="H5792">
        <f t="shared" ca="1" si="76"/>
        <v>-5.2724475305798444E-3</v>
      </c>
    </row>
    <row r="5793" spans="7:8" x14ac:dyDescent="0.3">
      <c r="G5793" s="75">
        <v>5790</v>
      </c>
      <c r="H5793">
        <f t="shared" ca="1" si="76"/>
        <v>-4.5760255116868613E-3</v>
      </c>
    </row>
    <row r="5794" spans="7:8" x14ac:dyDescent="0.3">
      <c r="G5794" s="75">
        <v>5791</v>
      </c>
      <c r="H5794">
        <f t="shared" ca="1" si="76"/>
        <v>1.5254138239996407E-2</v>
      </c>
    </row>
    <row r="5795" spans="7:8" x14ac:dyDescent="0.3">
      <c r="G5795" s="75">
        <v>5792</v>
      </c>
      <c r="H5795">
        <f t="shared" ca="1" si="76"/>
        <v>-1.1693050344582985E-2</v>
      </c>
    </row>
    <row r="5796" spans="7:8" x14ac:dyDescent="0.3">
      <c r="G5796" s="75">
        <v>5793</v>
      </c>
      <c r="H5796">
        <f t="shared" ca="1" si="76"/>
        <v>1.4165549975666596E-2</v>
      </c>
    </row>
    <row r="5797" spans="7:8" x14ac:dyDescent="0.3">
      <c r="G5797" s="75">
        <v>5794</v>
      </c>
      <c r="H5797">
        <f t="shared" ca="1" si="76"/>
        <v>-2.266139611400507E-2</v>
      </c>
    </row>
    <row r="5798" spans="7:8" x14ac:dyDescent="0.3">
      <c r="G5798" s="75">
        <v>5795</v>
      </c>
      <c r="H5798">
        <f t="shared" ca="1" si="76"/>
        <v>1.4325447990925224E-2</v>
      </c>
    </row>
    <row r="5799" spans="7:8" x14ac:dyDescent="0.3">
      <c r="G5799" s="75">
        <v>5796</v>
      </c>
      <c r="H5799">
        <f t="shared" ca="1" si="76"/>
        <v>1.1805638858990629E-2</v>
      </c>
    </row>
    <row r="5800" spans="7:8" x14ac:dyDescent="0.3">
      <c r="G5800" s="75">
        <v>5797</v>
      </c>
      <c r="H5800">
        <f t="shared" ca="1" si="76"/>
        <v>-2.5433124904128456E-3</v>
      </c>
    </row>
    <row r="5801" spans="7:8" x14ac:dyDescent="0.3">
      <c r="G5801" s="75">
        <v>5798</v>
      </c>
      <c r="H5801">
        <f t="shared" ca="1" si="76"/>
        <v>-8.5903214269916171E-3</v>
      </c>
    </row>
    <row r="5802" spans="7:8" x14ac:dyDescent="0.3">
      <c r="G5802" s="75">
        <v>5799</v>
      </c>
      <c r="H5802">
        <f t="shared" ca="1" si="76"/>
        <v>4.4857772983946838E-3</v>
      </c>
    </row>
    <row r="5803" spans="7:8" x14ac:dyDescent="0.3">
      <c r="G5803" s="75">
        <v>5800</v>
      </c>
      <c r="H5803">
        <f t="shared" ca="1" si="76"/>
        <v>6.3931648476943338E-3</v>
      </c>
    </row>
    <row r="5804" spans="7:8" x14ac:dyDescent="0.3">
      <c r="G5804" s="75">
        <v>5801</v>
      </c>
      <c r="H5804">
        <f t="shared" ca="1" si="76"/>
        <v>1.9922237572519253E-2</v>
      </c>
    </row>
    <row r="5805" spans="7:8" x14ac:dyDescent="0.3">
      <c r="G5805" s="75">
        <v>5802</v>
      </c>
      <c r="H5805">
        <f t="shared" ca="1" si="76"/>
        <v>2.9603559402393577E-3</v>
      </c>
    </row>
    <row r="5806" spans="7:8" x14ac:dyDescent="0.3">
      <c r="G5806" s="75">
        <v>5803</v>
      </c>
      <c r="H5806">
        <f t="shared" ca="1" si="76"/>
        <v>-5.5790904485760462E-3</v>
      </c>
    </row>
    <row r="5807" spans="7:8" x14ac:dyDescent="0.3">
      <c r="G5807" s="75">
        <v>5804</v>
      </c>
      <c r="H5807">
        <f t="shared" ca="1" si="76"/>
        <v>6.3206869777206014E-3</v>
      </c>
    </row>
    <row r="5808" spans="7:8" x14ac:dyDescent="0.3">
      <c r="G5808" s="75">
        <v>5805</v>
      </c>
      <c r="H5808">
        <f t="shared" ca="1" si="76"/>
        <v>9.8029662948304844E-3</v>
      </c>
    </row>
    <row r="5809" spans="7:8" x14ac:dyDescent="0.3">
      <c r="G5809" s="75">
        <v>5806</v>
      </c>
      <c r="H5809">
        <f t="shared" ca="1" si="76"/>
        <v>-1.1819670305301348E-3</v>
      </c>
    </row>
    <row r="5810" spans="7:8" x14ac:dyDescent="0.3">
      <c r="G5810" s="75">
        <v>5807</v>
      </c>
      <c r="H5810">
        <f t="shared" ca="1" si="76"/>
        <v>1.4494923290948659E-2</v>
      </c>
    </row>
    <row r="5811" spans="7:8" x14ac:dyDescent="0.3">
      <c r="G5811" s="75">
        <v>5808</v>
      </c>
      <c r="H5811">
        <f t="shared" ca="1" si="76"/>
        <v>-1.8341752449806688E-2</v>
      </c>
    </row>
    <row r="5812" spans="7:8" x14ac:dyDescent="0.3">
      <c r="G5812" s="75">
        <v>5809</v>
      </c>
      <c r="H5812">
        <f t="shared" ca="1" si="76"/>
        <v>3.1043814464179083E-2</v>
      </c>
    </row>
    <row r="5813" spans="7:8" x14ac:dyDescent="0.3">
      <c r="G5813" s="75">
        <v>5810</v>
      </c>
      <c r="H5813">
        <f t="shared" ca="1" si="76"/>
        <v>1.2753937994148444E-2</v>
      </c>
    </row>
    <row r="5814" spans="7:8" x14ac:dyDescent="0.3">
      <c r="G5814" s="75">
        <v>5811</v>
      </c>
      <c r="H5814">
        <f t="shared" ca="1" si="76"/>
        <v>2.7657996621647E-3</v>
      </c>
    </row>
    <row r="5815" spans="7:8" x14ac:dyDescent="0.3">
      <c r="G5815" s="75">
        <v>5812</v>
      </c>
      <c r="H5815">
        <f t="shared" ca="1" si="76"/>
        <v>1.0703954313117197E-2</v>
      </c>
    </row>
    <row r="5816" spans="7:8" x14ac:dyDescent="0.3">
      <c r="G5816" s="75">
        <v>5813</v>
      </c>
      <c r="H5816">
        <f t="shared" ca="1" si="76"/>
        <v>1.0880437021818281E-2</v>
      </c>
    </row>
    <row r="5817" spans="7:8" x14ac:dyDescent="0.3">
      <c r="G5817" s="75">
        <v>5814</v>
      </c>
      <c r="H5817">
        <f t="shared" ca="1" si="76"/>
        <v>-2.9288495133945776E-3</v>
      </c>
    </row>
    <row r="5818" spans="7:8" x14ac:dyDescent="0.3">
      <c r="G5818" s="75">
        <v>5815</v>
      </c>
      <c r="H5818">
        <f t="shared" ca="1" si="76"/>
        <v>-1.3832829449630631E-3</v>
      </c>
    </row>
    <row r="5819" spans="7:8" x14ac:dyDescent="0.3">
      <c r="G5819" s="75">
        <v>5816</v>
      </c>
      <c r="H5819">
        <f t="shared" ca="1" si="76"/>
        <v>1.055588151041445E-2</v>
      </c>
    </row>
    <row r="5820" spans="7:8" x14ac:dyDescent="0.3">
      <c r="G5820" s="75">
        <v>5817</v>
      </c>
      <c r="H5820">
        <f t="shared" ca="1" si="76"/>
        <v>-5.5647418377420613E-3</v>
      </c>
    </row>
    <row r="5821" spans="7:8" x14ac:dyDescent="0.3">
      <c r="G5821" s="75">
        <v>5818</v>
      </c>
      <c r="H5821">
        <f t="shared" ca="1" si="76"/>
        <v>-1.9455131108357917E-2</v>
      </c>
    </row>
    <row r="5822" spans="7:8" x14ac:dyDescent="0.3">
      <c r="G5822" s="75">
        <v>5819</v>
      </c>
      <c r="H5822">
        <f t="shared" ca="1" si="76"/>
        <v>-1.2378854441496986E-2</v>
      </c>
    </row>
    <row r="5823" spans="7:8" x14ac:dyDescent="0.3">
      <c r="G5823" s="75">
        <v>5820</v>
      </c>
      <c r="H5823">
        <f t="shared" ca="1" si="76"/>
        <v>-3.7445620467748235E-3</v>
      </c>
    </row>
    <row r="5824" spans="7:8" x14ac:dyDescent="0.3">
      <c r="G5824" s="75">
        <v>5821</v>
      </c>
      <c r="H5824">
        <f t="shared" ca="1" si="76"/>
        <v>-1.5252032830686685E-3</v>
      </c>
    </row>
    <row r="5825" spans="7:8" x14ac:dyDescent="0.3">
      <c r="G5825" s="75">
        <v>5822</v>
      </c>
      <c r="H5825">
        <f t="shared" ca="1" si="76"/>
        <v>9.2036450421497783E-3</v>
      </c>
    </row>
    <row r="5826" spans="7:8" x14ac:dyDescent="0.3">
      <c r="G5826" s="75">
        <v>5823</v>
      </c>
      <c r="H5826">
        <f t="shared" ref="H5826:H5889" ca="1" si="77">_xlfn.NORM.INV(RAND(),$N$4,$N$5)</f>
        <v>-4.1538914310272157E-4</v>
      </c>
    </row>
    <row r="5827" spans="7:8" x14ac:dyDescent="0.3">
      <c r="G5827" s="75">
        <v>5824</v>
      </c>
      <c r="H5827">
        <f t="shared" ca="1" si="77"/>
        <v>2.019745120577769E-3</v>
      </c>
    </row>
    <row r="5828" spans="7:8" x14ac:dyDescent="0.3">
      <c r="G5828" s="75">
        <v>5825</v>
      </c>
      <c r="H5828">
        <f t="shared" ca="1" si="77"/>
        <v>-9.0260526558344299E-3</v>
      </c>
    </row>
    <row r="5829" spans="7:8" x14ac:dyDescent="0.3">
      <c r="G5829" s="75">
        <v>5826</v>
      </c>
      <c r="H5829">
        <f t="shared" ca="1" si="77"/>
        <v>-1.4708350070091141E-2</v>
      </c>
    </row>
    <row r="5830" spans="7:8" x14ac:dyDescent="0.3">
      <c r="G5830" s="75">
        <v>5827</v>
      </c>
      <c r="H5830">
        <f t="shared" ca="1" si="77"/>
        <v>-1.0382656536821659E-2</v>
      </c>
    </row>
    <row r="5831" spans="7:8" x14ac:dyDescent="0.3">
      <c r="G5831" s="75">
        <v>5828</v>
      </c>
      <c r="H5831">
        <f t="shared" ca="1" si="77"/>
        <v>-2.4147100127805319E-3</v>
      </c>
    </row>
    <row r="5832" spans="7:8" x14ac:dyDescent="0.3">
      <c r="G5832" s="75">
        <v>5829</v>
      </c>
      <c r="H5832">
        <f t="shared" ca="1" si="77"/>
        <v>1.2131720520255919E-3</v>
      </c>
    </row>
    <row r="5833" spans="7:8" x14ac:dyDescent="0.3">
      <c r="G5833" s="75">
        <v>5830</v>
      </c>
      <c r="H5833">
        <f t="shared" ca="1" si="77"/>
        <v>5.3452967959215589E-3</v>
      </c>
    </row>
    <row r="5834" spans="7:8" x14ac:dyDescent="0.3">
      <c r="G5834" s="75">
        <v>5831</v>
      </c>
      <c r="H5834">
        <f t="shared" ca="1" si="77"/>
        <v>1.1981498750749622E-2</v>
      </c>
    </row>
    <row r="5835" spans="7:8" x14ac:dyDescent="0.3">
      <c r="G5835" s="75">
        <v>5832</v>
      </c>
      <c r="H5835">
        <f t="shared" ca="1" si="77"/>
        <v>-7.8492201095756841E-3</v>
      </c>
    </row>
    <row r="5836" spans="7:8" x14ac:dyDescent="0.3">
      <c r="G5836" s="75">
        <v>5833</v>
      </c>
      <c r="H5836">
        <f t="shared" ca="1" si="77"/>
        <v>1.3394572048954785E-2</v>
      </c>
    </row>
    <row r="5837" spans="7:8" x14ac:dyDescent="0.3">
      <c r="G5837" s="75">
        <v>5834</v>
      </c>
      <c r="H5837">
        <f t="shared" ca="1" si="77"/>
        <v>2.5289902065807031E-3</v>
      </c>
    </row>
    <row r="5838" spans="7:8" x14ac:dyDescent="0.3">
      <c r="G5838" s="75">
        <v>5835</v>
      </c>
      <c r="H5838">
        <f t="shared" ca="1" si="77"/>
        <v>2.3799303718919093E-3</v>
      </c>
    </row>
    <row r="5839" spans="7:8" x14ac:dyDescent="0.3">
      <c r="G5839" s="75">
        <v>5836</v>
      </c>
      <c r="H5839">
        <f t="shared" ca="1" si="77"/>
        <v>-1.7215231891701394E-2</v>
      </c>
    </row>
    <row r="5840" spans="7:8" x14ac:dyDescent="0.3">
      <c r="G5840" s="75">
        <v>5837</v>
      </c>
      <c r="H5840">
        <f t="shared" ca="1" si="77"/>
        <v>-6.6124622218612624E-3</v>
      </c>
    </row>
    <row r="5841" spans="7:8" x14ac:dyDescent="0.3">
      <c r="G5841" s="75">
        <v>5838</v>
      </c>
      <c r="H5841">
        <f t="shared" ca="1" si="77"/>
        <v>-8.8669213086518678E-3</v>
      </c>
    </row>
    <row r="5842" spans="7:8" x14ac:dyDescent="0.3">
      <c r="G5842" s="75">
        <v>5839</v>
      </c>
      <c r="H5842">
        <f t="shared" ca="1" si="77"/>
        <v>-5.1791116008153689E-3</v>
      </c>
    </row>
    <row r="5843" spans="7:8" x14ac:dyDescent="0.3">
      <c r="G5843" s="75">
        <v>5840</v>
      </c>
      <c r="H5843">
        <f t="shared" ca="1" si="77"/>
        <v>-7.8234185299192877E-3</v>
      </c>
    </row>
    <row r="5844" spans="7:8" x14ac:dyDescent="0.3">
      <c r="G5844" s="75">
        <v>5841</v>
      </c>
      <c r="H5844">
        <f t="shared" ca="1" si="77"/>
        <v>-1.7560394620391502E-2</v>
      </c>
    </row>
    <row r="5845" spans="7:8" x14ac:dyDescent="0.3">
      <c r="G5845" s="75">
        <v>5842</v>
      </c>
      <c r="H5845">
        <f t="shared" ca="1" si="77"/>
        <v>4.2444247151794835E-3</v>
      </c>
    </row>
    <row r="5846" spans="7:8" x14ac:dyDescent="0.3">
      <c r="G5846" s="75">
        <v>5843</v>
      </c>
      <c r="H5846">
        <f t="shared" ca="1" si="77"/>
        <v>7.1194768482357677E-3</v>
      </c>
    </row>
    <row r="5847" spans="7:8" x14ac:dyDescent="0.3">
      <c r="G5847" s="75">
        <v>5844</v>
      </c>
      <c r="H5847">
        <f t="shared" ca="1" si="77"/>
        <v>-2.1080975844782888E-2</v>
      </c>
    </row>
    <row r="5848" spans="7:8" x14ac:dyDescent="0.3">
      <c r="G5848" s="75">
        <v>5845</v>
      </c>
      <c r="H5848">
        <f t="shared" ca="1" si="77"/>
        <v>5.6291642591700048E-3</v>
      </c>
    </row>
    <row r="5849" spans="7:8" x14ac:dyDescent="0.3">
      <c r="G5849" s="75">
        <v>5846</v>
      </c>
      <c r="H5849">
        <f t="shared" ca="1" si="77"/>
        <v>-1.1569882952335474E-2</v>
      </c>
    </row>
    <row r="5850" spans="7:8" x14ac:dyDescent="0.3">
      <c r="G5850" s="75">
        <v>5847</v>
      </c>
      <c r="H5850">
        <f t="shared" ca="1" si="77"/>
        <v>-1.2873917181989799E-2</v>
      </c>
    </row>
    <row r="5851" spans="7:8" x14ac:dyDescent="0.3">
      <c r="G5851" s="75">
        <v>5848</v>
      </c>
      <c r="H5851">
        <f t="shared" ca="1" si="77"/>
        <v>3.0922130224935829E-2</v>
      </c>
    </row>
    <row r="5852" spans="7:8" x14ac:dyDescent="0.3">
      <c r="G5852" s="75">
        <v>5849</v>
      </c>
      <c r="H5852">
        <f t="shared" ca="1" si="77"/>
        <v>-6.486672524803767E-3</v>
      </c>
    </row>
    <row r="5853" spans="7:8" x14ac:dyDescent="0.3">
      <c r="G5853" s="75">
        <v>5850</v>
      </c>
      <c r="H5853">
        <f t="shared" ca="1" si="77"/>
        <v>-1.2704862324923252E-3</v>
      </c>
    </row>
    <row r="5854" spans="7:8" x14ac:dyDescent="0.3">
      <c r="G5854" s="75">
        <v>5851</v>
      </c>
      <c r="H5854">
        <f t="shared" ca="1" si="77"/>
        <v>-1.5112449024411879E-3</v>
      </c>
    </row>
    <row r="5855" spans="7:8" x14ac:dyDescent="0.3">
      <c r="G5855" s="75">
        <v>5852</v>
      </c>
      <c r="H5855">
        <f t="shared" ca="1" si="77"/>
        <v>-2.4446059246394838E-3</v>
      </c>
    </row>
    <row r="5856" spans="7:8" x14ac:dyDescent="0.3">
      <c r="G5856" s="75">
        <v>5853</v>
      </c>
      <c r="H5856">
        <f t="shared" ca="1" si="77"/>
        <v>2.016241994567625E-2</v>
      </c>
    </row>
    <row r="5857" spans="7:8" x14ac:dyDescent="0.3">
      <c r="G5857" s="75">
        <v>5854</v>
      </c>
      <c r="H5857">
        <f t="shared" ca="1" si="77"/>
        <v>6.1491522113977211E-3</v>
      </c>
    </row>
    <row r="5858" spans="7:8" x14ac:dyDescent="0.3">
      <c r="G5858" s="75">
        <v>5855</v>
      </c>
      <c r="H5858">
        <f t="shared" ca="1" si="77"/>
        <v>-1.9760388477908391E-3</v>
      </c>
    </row>
    <row r="5859" spans="7:8" x14ac:dyDescent="0.3">
      <c r="G5859" s="75">
        <v>5856</v>
      </c>
      <c r="H5859">
        <f t="shared" ca="1" si="77"/>
        <v>-1.6952310866200635E-4</v>
      </c>
    </row>
    <row r="5860" spans="7:8" x14ac:dyDescent="0.3">
      <c r="G5860" s="75">
        <v>5857</v>
      </c>
      <c r="H5860">
        <f t="shared" ca="1" si="77"/>
        <v>-3.6252680128934553E-2</v>
      </c>
    </row>
    <row r="5861" spans="7:8" x14ac:dyDescent="0.3">
      <c r="G5861" s="75">
        <v>5858</v>
      </c>
      <c r="H5861">
        <f t="shared" ca="1" si="77"/>
        <v>1.740273879889126E-2</v>
      </c>
    </row>
    <row r="5862" spans="7:8" x14ac:dyDescent="0.3">
      <c r="G5862" s="75">
        <v>5859</v>
      </c>
      <c r="H5862">
        <f t="shared" ca="1" si="77"/>
        <v>-9.3762493980910182E-3</v>
      </c>
    </row>
    <row r="5863" spans="7:8" x14ac:dyDescent="0.3">
      <c r="G5863" s="75">
        <v>5860</v>
      </c>
      <c r="H5863">
        <f t="shared" ca="1" si="77"/>
        <v>3.1347083770647687E-3</v>
      </c>
    </row>
    <row r="5864" spans="7:8" x14ac:dyDescent="0.3">
      <c r="G5864" s="75">
        <v>5861</v>
      </c>
      <c r="H5864">
        <f t="shared" ca="1" si="77"/>
        <v>-6.1177851183066255E-3</v>
      </c>
    </row>
    <row r="5865" spans="7:8" x14ac:dyDescent="0.3">
      <c r="G5865" s="75">
        <v>5862</v>
      </c>
      <c r="H5865">
        <f t="shared" ca="1" si="77"/>
        <v>-6.2796341409973901E-3</v>
      </c>
    </row>
    <row r="5866" spans="7:8" x14ac:dyDescent="0.3">
      <c r="G5866" s="75">
        <v>5863</v>
      </c>
      <c r="H5866">
        <f t="shared" ca="1" si="77"/>
        <v>6.6636115037000268E-3</v>
      </c>
    </row>
    <row r="5867" spans="7:8" x14ac:dyDescent="0.3">
      <c r="G5867" s="75">
        <v>5864</v>
      </c>
      <c r="H5867">
        <f t="shared" ca="1" si="77"/>
        <v>-4.3423323865841824E-4</v>
      </c>
    </row>
    <row r="5868" spans="7:8" x14ac:dyDescent="0.3">
      <c r="G5868" s="75">
        <v>5865</v>
      </c>
      <c r="H5868">
        <f t="shared" ca="1" si="77"/>
        <v>1.6072214587963537E-2</v>
      </c>
    </row>
    <row r="5869" spans="7:8" x14ac:dyDescent="0.3">
      <c r="G5869" s="75">
        <v>5866</v>
      </c>
      <c r="H5869">
        <f t="shared" ca="1" si="77"/>
        <v>5.5578201765839569E-4</v>
      </c>
    </row>
    <row r="5870" spans="7:8" x14ac:dyDescent="0.3">
      <c r="G5870" s="75">
        <v>5867</v>
      </c>
      <c r="H5870">
        <f t="shared" ca="1" si="77"/>
        <v>2.0320389389467109E-2</v>
      </c>
    </row>
    <row r="5871" spans="7:8" x14ac:dyDescent="0.3">
      <c r="G5871" s="75">
        <v>5868</v>
      </c>
      <c r="H5871">
        <f t="shared" ca="1" si="77"/>
        <v>-1.5135334119582828E-2</v>
      </c>
    </row>
    <row r="5872" spans="7:8" x14ac:dyDescent="0.3">
      <c r="G5872" s="75">
        <v>5869</v>
      </c>
      <c r="H5872">
        <f t="shared" ca="1" si="77"/>
        <v>5.8789133279638743E-3</v>
      </c>
    </row>
    <row r="5873" spans="7:8" x14ac:dyDescent="0.3">
      <c r="G5873" s="75">
        <v>5870</v>
      </c>
      <c r="H5873">
        <f t="shared" ca="1" si="77"/>
        <v>3.6998084036594884E-3</v>
      </c>
    </row>
    <row r="5874" spans="7:8" x14ac:dyDescent="0.3">
      <c r="G5874" s="75">
        <v>5871</v>
      </c>
      <c r="H5874">
        <f t="shared" ca="1" si="77"/>
        <v>1.1563298849674678E-3</v>
      </c>
    </row>
    <row r="5875" spans="7:8" x14ac:dyDescent="0.3">
      <c r="G5875" s="75">
        <v>5872</v>
      </c>
      <c r="H5875">
        <f t="shared" ca="1" si="77"/>
        <v>-1.5303359430701725E-2</v>
      </c>
    </row>
    <row r="5876" spans="7:8" x14ac:dyDescent="0.3">
      <c r="G5876" s="75">
        <v>5873</v>
      </c>
      <c r="H5876">
        <f t="shared" ca="1" si="77"/>
        <v>2.3589306526719108E-3</v>
      </c>
    </row>
    <row r="5877" spans="7:8" x14ac:dyDescent="0.3">
      <c r="G5877" s="75">
        <v>5874</v>
      </c>
      <c r="H5877">
        <f t="shared" ca="1" si="77"/>
        <v>-1.3688787261983316E-2</v>
      </c>
    </row>
    <row r="5878" spans="7:8" x14ac:dyDescent="0.3">
      <c r="G5878" s="75">
        <v>5875</v>
      </c>
      <c r="H5878">
        <f t="shared" ca="1" si="77"/>
        <v>-2.1058443942907627E-2</v>
      </c>
    </row>
    <row r="5879" spans="7:8" x14ac:dyDescent="0.3">
      <c r="G5879" s="75">
        <v>5876</v>
      </c>
      <c r="H5879">
        <f t="shared" ca="1" si="77"/>
        <v>-1.1857900586588531E-2</v>
      </c>
    </row>
    <row r="5880" spans="7:8" x14ac:dyDescent="0.3">
      <c r="G5880" s="75">
        <v>5877</v>
      </c>
      <c r="H5880">
        <f t="shared" ca="1" si="77"/>
        <v>-4.8604092977070149E-3</v>
      </c>
    </row>
    <row r="5881" spans="7:8" x14ac:dyDescent="0.3">
      <c r="G5881" s="75">
        <v>5878</v>
      </c>
      <c r="H5881">
        <f t="shared" ca="1" si="77"/>
        <v>1.7189769980774022E-2</v>
      </c>
    </row>
    <row r="5882" spans="7:8" x14ac:dyDescent="0.3">
      <c r="G5882" s="75">
        <v>5879</v>
      </c>
      <c r="H5882">
        <f t="shared" ca="1" si="77"/>
        <v>1.171836819460579E-2</v>
      </c>
    </row>
    <row r="5883" spans="7:8" x14ac:dyDescent="0.3">
      <c r="G5883" s="75">
        <v>5880</v>
      </c>
      <c r="H5883">
        <f t="shared" ca="1" si="77"/>
        <v>-6.8309592656789556E-3</v>
      </c>
    </row>
    <row r="5884" spans="7:8" x14ac:dyDescent="0.3">
      <c r="G5884" s="75">
        <v>5881</v>
      </c>
      <c r="H5884">
        <f t="shared" ca="1" si="77"/>
        <v>6.4768546803383314E-3</v>
      </c>
    </row>
    <row r="5885" spans="7:8" x14ac:dyDescent="0.3">
      <c r="G5885" s="75">
        <v>5882</v>
      </c>
      <c r="H5885">
        <f t="shared" ca="1" si="77"/>
        <v>-7.5968088688132592E-3</v>
      </c>
    </row>
    <row r="5886" spans="7:8" x14ac:dyDescent="0.3">
      <c r="G5886" s="75">
        <v>5883</v>
      </c>
      <c r="H5886">
        <f t="shared" ca="1" si="77"/>
        <v>-1.881483317696906E-2</v>
      </c>
    </row>
    <row r="5887" spans="7:8" x14ac:dyDescent="0.3">
      <c r="G5887" s="75">
        <v>5884</v>
      </c>
      <c r="H5887">
        <f t="shared" ca="1" si="77"/>
        <v>6.5173675081942155E-3</v>
      </c>
    </row>
    <row r="5888" spans="7:8" x14ac:dyDescent="0.3">
      <c r="G5888" s="75">
        <v>5885</v>
      </c>
      <c r="H5888">
        <f t="shared" ca="1" si="77"/>
        <v>4.7659085065747727E-3</v>
      </c>
    </row>
    <row r="5889" spans="7:8" x14ac:dyDescent="0.3">
      <c r="G5889" s="75">
        <v>5886</v>
      </c>
      <c r="H5889">
        <f t="shared" ca="1" si="77"/>
        <v>6.1431220777494744E-3</v>
      </c>
    </row>
    <row r="5890" spans="7:8" x14ac:dyDescent="0.3">
      <c r="G5890" s="75">
        <v>5887</v>
      </c>
      <c r="H5890">
        <f t="shared" ref="H5890:H5953" ca="1" si="78">_xlfn.NORM.INV(RAND(),$N$4,$N$5)</f>
        <v>-3.6929793976906876E-4</v>
      </c>
    </row>
    <row r="5891" spans="7:8" x14ac:dyDescent="0.3">
      <c r="G5891" s="75">
        <v>5888</v>
      </c>
      <c r="H5891">
        <f t="shared" ca="1" si="78"/>
        <v>-9.6521376746648586E-3</v>
      </c>
    </row>
    <row r="5892" spans="7:8" x14ac:dyDescent="0.3">
      <c r="G5892" s="75">
        <v>5889</v>
      </c>
      <c r="H5892">
        <f t="shared" ca="1" si="78"/>
        <v>-2.7034133138134817E-3</v>
      </c>
    </row>
    <row r="5893" spans="7:8" x14ac:dyDescent="0.3">
      <c r="G5893" s="75">
        <v>5890</v>
      </c>
      <c r="H5893">
        <f t="shared" ca="1" si="78"/>
        <v>6.4020804200742821E-4</v>
      </c>
    </row>
    <row r="5894" spans="7:8" x14ac:dyDescent="0.3">
      <c r="G5894" s="75">
        <v>5891</v>
      </c>
      <c r="H5894">
        <f t="shared" ca="1" si="78"/>
        <v>-2.3899929921053016E-3</v>
      </c>
    </row>
    <row r="5895" spans="7:8" x14ac:dyDescent="0.3">
      <c r="G5895" s="75">
        <v>5892</v>
      </c>
      <c r="H5895">
        <f t="shared" ca="1" si="78"/>
        <v>-1.0173812299828047E-2</v>
      </c>
    </row>
    <row r="5896" spans="7:8" x14ac:dyDescent="0.3">
      <c r="G5896" s="75">
        <v>5893</v>
      </c>
      <c r="H5896">
        <f t="shared" ca="1" si="78"/>
        <v>5.8465091382516633E-3</v>
      </c>
    </row>
    <row r="5897" spans="7:8" x14ac:dyDescent="0.3">
      <c r="G5897" s="75">
        <v>5894</v>
      </c>
      <c r="H5897">
        <f t="shared" ca="1" si="78"/>
        <v>1.9475575163524095E-2</v>
      </c>
    </row>
    <row r="5898" spans="7:8" x14ac:dyDescent="0.3">
      <c r="G5898" s="75">
        <v>5895</v>
      </c>
      <c r="H5898">
        <f t="shared" ca="1" si="78"/>
        <v>-3.2349145605203487E-2</v>
      </c>
    </row>
    <row r="5899" spans="7:8" x14ac:dyDescent="0.3">
      <c r="G5899" s="75">
        <v>5896</v>
      </c>
      <c r="H5899">
        <f t="shared" ca="1" si="78"/>
        <v>-1.9159569576676781E-2</v>
      </c>
    </row>
    <row r="5900" spans="7:8" x14ac:dyDescent="0.3">
      <c r="G5900" s="75">
        <v>5897</v>
      </c>
      <c r="H5900">
        <f t="shared" ca="1" si="78"/>
        <v>-7.2453210574947849E-3</v>
      </c>
    </row>
    <row r="5901" spans="7:8" x14ac:dyDescent="0.3">
      <c r="G5901" s="75">
        <v>5898</v>
      </c>
      <c r="H5901">
        <f t="shared" ca="1" si="78"/>
        <v>1.0267061889537069E-3</v>
      </c>
    </row>
    <row r="5902" spans="7:8" x14ac:dyDescent="0.3">
      <c r="G5902" s="75">
        <v>5899</v>
      </c>
      <c r="H5902">
        <f t="shared" ca="1" si="78"/>
        <v>-8.7160878551882464E-4</v>
      </c>
    </row>
    <row r="5903" spans="7:8" x14ac:dyDescent="0.3">
      <c r="G5903" s="75">
        <v>5900</v>
      </c>
      <c r="H5903">
        <f t="shared" ca="1" si="78"/>
        <v>1.2476551898196559E-2</v>
      </c>
    </row>
    <row r="5904" spans="7:8" x14ac:dyDescent="0.3">
      <c r="G5904" s="75">
        <v>5901</v>
      </c>
      <c r="H5904">
        <f t="shared" ca="1" si="78"/>
        <v>-9.7184004457791283E-5</v>
      </c>
    </row>
    <row r="5905" spans="7:8" x14ac:dyDescent="0.3">
      <c r="G5905" s="75">
        <v>5902</v>
      </c>
      <c r="H5905">
        <f t="shared" ca="1" si="78"/>
        <v>1.8373458295014494E-2</v>
      </c>
    </row>
    <row r="5906" spans="7:8" x14ac:dyDescent="0.3">
      <c r="G5906" s="75">
        <v>5903</v>
      </c>
      <c r="H5906">
        <f t="shared" ca="1" si="78"/>
        <v>-9.3029309106912438E-3</v>
      </c>
    </row>
    <row r="5907" spans="7:8" x14ac:dyDescent="0.3">
      <c r="G5907" s="75">
        <v>5904</v>
      </c>
      <c r="H5907">
        <f t="shared" ca="1" si="78"/>
        <v>-2.11145171812211E-2</v>
      </c>
    </row>
    <row r="5908" spans="7:8" x14ac:dyDescent="0.3">
      <c r="G5908" s="75">
        <v>5905</v>
      </c>
      <c r="H5908">
        <f t="shared" ca="1" si="78"/>
        <v>-4.2737521563421246E-3</v>
      </c>
    </row>
    <row r="5909" spans="7:8" x14ac:dyDescent="0.3">
      <c r="G5909" s="75">
        <v>5906</v>
      </c>
      <c r="H5909">
        <f t="shared" ca="1" si="78"/>
        <v>8.1694833827686466E-3</v>
      </c>
    </row>
    <row r="5910" spans="7:8" x14ac:dyDescent="0.3">
      <c r="G5910" s="75">
        <v>5907</v>
      </c>
      <c r="H5910">
        <f t="shared" ca="1" si="78"/>
        <v>1.8399002781613695E-2</v>
      </c>
    </row>
    <row r="5911" spans="7:8" x14ac:dyDescent="0.3">
      <c r="G5911" s="75">
        <v>5908</v>
      </c>
      <c r="H5911">
        <f t="shared" ca="1" si="78"/>
        <v>9.6483065057451924E-4</v>
      </c>
    </row>
    <row r="5912" spans="7:8" x14ac:dyDescent="0.3">
      <c r="G5912" s="75">
        <v>5909</v>
      </c>
      <c r="H5912">
        <f t="shared" ca="1" si="78"/>
        <v>-1.1591896848627109E-2</v>
      </c>
    </row>
    <row r="5913" spans="7:8" x14ac:dyDescent="0.3">
      <c r="G5913" s="75">
        <v>5910</v>
      </c>
      <c r="H5913">
        <f t="shared" ca="1" si="78"/>
        <v>-3.1978322641983497E-3</v>
      </c>
    </row>
    <row r="5914" spans="7:8" x14ac:dyDescent="0.3">
      <c r="G5914" s="75">
        <v>5911</v>
      </c>
      <c r="H5914">
        <f t="shared" ca="1" si="78"/>
        <v>-1.1969088955280165E-2</v>
      </c>
    </row>
    <row r="5915" spans="7:8" x14ac:dyDescent="0.3">
      <c r="G5915" s="75">
        <v>5912</v>
      </c>
      <c r="H5915">
        <f t="shared" ca="1" si="78"/>
        <v>1.8625934996187275E-3</v>
      </c>
    </row>
    <row r="5916" spans="7:8" x14ac:dyDescent="0.3">
      <c r="G5916" s="75">
        <v>5913</v>
      </c>
      <c r="H5916">
        <f t="shared" ca="1" si="78"/>
        <v>2.8554421616947722E-2</v>
      </c>
    </row>
    <row r="5917" spans="7:8" x14ac:dyDescent="0.3">
      <c r="G5917" s="75">
        <v>5914</v>
      </c>
      <c r="H5917">
        <f t="shared" ca="1" si="78"/>
        <v>-5.6350246282998199E-3</v>
      </c>
    </row>
    <row r="5918" spans="7:8" x14ac:dyDescent="0.3">
      <c r="G5918" s="75">
        <v>5915</v>
      </c>
      <c r="H5918">
        <f t="shared" ca="1" si="78"/>
        <v>5.6471838187633783E-3</v>
      </c>
    </row>
    <row r="5919" spans="7:8" x14ac:dyDescent="0.3">
      <c r="G5919" s="75">
        <v>5916</v>
      </c>
      <c r="H5919">
        <f t="shared" ca="1" si="78"/>
        <v>1.424073787233634E-2</v>
      </c>
    </row>
    <row r="5920" spans="7:8" x14ac:dyDescent="0.3">
      <c r="G5920" s="75">
        <v>5917</v>
      </c>
      <c r="H5920">
        <f t="shared" ca="1" si="78"/>
        <v>-1.3044587186264179E-2</v>
      </c>
    </row>
    <row r="5921" spans="7:8" x14ac:dyDescent="0.3">
      <c r="G5921" s="75">
        <v>5918</v>
      </c>
      <c r="H5921">
        <f t="shared" ca="1" si="78"/>
        <v>-2.2392708730140879E-2</v>
      </c>
    </row>
    <row r="5922" spans="7:8" x14ac:dyDescent="0.3">
      <c r="G5922" s="75">
        <v>5919</v>
      </c>
      <c r="H5922">
        <f t="shared" ca="1" si="78"/>
        <v>1.4058843061172336E-2</v>
      </c>
    </row>
    <row r="5923" spans="7:8" x14ac:dyDescent="0.3">
      <c r="G5923" s="75">
        <v>5920</v>
      </c>
      <c r="H5923">
        <f t="shared" ca="1" si="78"/>
        <v>1.5406848021818402E-2</v>
      </c>
    </row>
    <row r="5924" spans="7:8" x14ac:dyDescent="0.3">
      <c r="G5924" s="75">
        <v>5921</v>
      </c>
      <c r="H5924">
        <f t="shared" ca="1" si="78"/>
        <v>-6.2035088035375949E-3</v>
      </c>
    </row>
    <row r="5925" spans="7:8" x14ac:dyDescent="0.3">
      <c r="G5925" s="75">
        <v>5922</v>
      </c>
      <c r="H5925">
        <f t="shared" ca="1" si="78"/>
        <v>9.2929357880738046E-3</v>
      </c>
    </row>
    <row r="5926" spans="7:8" x14ac:dyDescent="0.3">
      <c r="G5926" s="75">
        <v>5923</v>
      </c>
      <c r="H5926">
        <f t="shared" ca="1" si="78"/>
        <v>-2.2136107018999578E-2</v>
      </c>
    </row>
    <row r="5927" spans="7:8" x14ac:dyDescent="0.3">
      <c r="G5927" s="75">
        <v>5924</v>
      </c>
      <c r="H5927">
        <f t="shared" ca="1" si="78"/>
        <v>1.300424892560108E-2</v>
      </c>
    </row>
    <row r="5928" spans="7:8" x14ac:dyDescent="0.3">
      <c r="G5928" s="75">
        <v>5925</v>
      </c>
      <c r="H5928">
        <f t="shared" ca="1" si="78"/>
        <v>-1.5118771294197935E-2</v>
      </c>
    </row>
    <row r="5929" spans="7:8" x14ac:dyDescent="0.3">
      <c r="G5929" s="75">
        <v>5926</v>
      </c>
      <c r="H5929">
        <f t="shared" ca="1" si="78"/>
        <v>2.085264590235052E-2</v>
      </c>
    </row>
    <row r="5930" spans="7:8" x14ac:dyDescent="0.3">
      <c r="G5930" s="75">
        <v>5927</v>
      </c>
      <c r="H5930">
        <f t="shared" ca="1" si="78"/>
        <v>1.180411710942385E-3</v>
      </c>
    </row>
    <row r="5931" spans="7:8" x14ac:dyDescent="0.3">
      <c r="G5931" s="75">
        <v>5928</v>
      </c>
      <c r="H5931">
        <f t="shared" ca="1" si="78"/>
        <v>1.282287869638968E-2</v>
      </c>
    </row>
    <row r="5932" spans="7:8" x14ac:dyDescent="0.3">
      <c r="G5932" s="75">
        <v>5929</v>
      </c>
      <c r="H5932">
        <f t="shared" ca="1" si="78"/>
        <v>-1.9381135895566878E-2</v>
      </c>
    </row>
    <row r="5933" spans="7:8" x14ac:dyDescent="0.3">
      <c r="G5933" s="75">
        <v>5930</v>
      </c>
      <c r="H5933">
        <f t="shared" ca="1" si="78"/>
        <v>1.2255685870934794E-2</v>
      </c>
    </row>
    <row r="5934" spans="7:8" x14ac:dyDescent="0.3">
      <c r="G5934" s="75">
        <v>5931</v>
      </c>
      <c r="H5934">
        <f t="shared" ca="1" si="78"/>
        <v>4.2968636137848842E-4</v>
      </c>
    </row>
    <row r="5935" spans="7:8" x14ac:dyDescent="0.3">
      <c r="G5935" s="75">
        <v>5932</v>
      </c>
      <c r="H5935">
        <f t="shared" ca="1" si="78"/>
        <v>-1.0575343764759348E-3</v>
      </c>
    </row>
    <row r="5936" spans="7:8" x14ac:dyDescent="0.3">
      <c r="G5936" s="75">
        <v>5933</v>
      </c>
      <c r="H5936">
        <f t="shared" ca="1" si="78"/>
        <v>9.7184120560788959E-3</v>
      </c>
    </row>
    <row r="5937" spans="7:8" x14ac:dyDescent="0.3">
      <c r="G5937" s="75">
        <v>5934</v>
      </c>
      <c r="H5937">
        <f t="shared" ca="1" si="78"/>
        <v>-1.4314410373668689E-2</v>
      </c>
    </row>
    <row r="5938" spans="7:8" x14ac:dyDescent="0.3">
      <c r="G5938" s="75">
        <v>5935</v>
      </c>
      <c r="H5938">
        <f t="shared" ca="1" si="78"/>
        <v>2.3251921172178495E-2</v>
      </c>
    </row>
    <row r="5939" spans="7:8" x14ac:dyDescent="0.3">
      <c r="G5939" s="75">
        <v>5936</v>
      </c>
      <c r="H5939">
        <f t="shared" ca="1" si="78"/>
        <v>1.0492596178958138E-3</v>
      </c>
    </row>
    <row r="5940" spans="7:8" x14ac:dyDescent="0.3">
      <c r="G5940" s="75">
        <v>5937</v>
      </c>
      <c r="H5940">
        <f t="shared" ca="1" si="78"/>
        <v>-1.9353141726007532E-3</v>
      </c>
    </row>
    <row r="5941" spans="7:8" x14ac:dyDescent="0.3">
      <c r="G5941" s="75">
        <v>5938</v>
      </c>
      <c r="H5941">
        <f t="shared" ca="1" si="78"/>
        <v>2.0670628217666832E-2</v>
      </c>
    </row>
    <row r="5942" spans="7:8" x14ac:dyDescent="0.3">
      <c r="G5942" s="75">
        <v>5939</v>
      </c>
      <c r="H5942">
        <f t="shared" ca="1" si="78"/>
        <v>8.9486331795431417E-3</v>
      </c>
    </row>
    <row r="5943" spans="7:8" x14ac:dyDescent="0.3">
      <c r="G5943" s="75">
        <v>5940</v>
      </c>
      <c r="H5943">
        <f t="shared" ca="1" si="78"/>
        <v>-1.1972514702663951E-2</v>
      </c>
    </row>
    <row r="5944" spans="7:8" x14ac:dyDescent="0.3">
      <c r="G5944" s="75">
        <v>5941</v>
      </c>
      <c r="H5944">
        <f t="shared" ca="1" si="78"/>
        <v>1.5066265719301567E-2</v>
      </c>
    </row>
    <row r="5945" spans="7:8" x14ac:dyDescent="0.3">
      <c r="G5945" s="75">
        <v>5942</v>
      </c>
      <c r="H5945">
        <f t="shared" ca="1" si="78"/>
        <v>-1.2941429260997537E-2</v>
      </c>
    </row>
    <row r="5946" spans="7:8" x14ac:dyDescent="0.3">
      <c r="G5946" s="75">
        <v>5943</v>
      </c>
      <c r="H5946">
        <f t="shared" ca="1" si="78"/>
        <v>-1.5414875196471835E-2</v>
      </c>
    </row>
    <row r="5947" spans="7:8" x14ac:dyDescent="0.3">
      <c r="G5947" s="75">
        <v>5944</v>
      </c>
      <c r="H5947">
        <f t="shared" ca="1" si="78"/>
        <v>4.5252232300374952E-3</v>
      </c>
    </row>
    <row r="5948" spans="7:8" x14ac:dyDescent="0.3">
      <c r="G5948" s="75">
        <v>5945</v>
      </c>
      <c r="H5948">
        <f t="shared" ca="1" si="78"/>
        <v>1.6198532200686885E-2</v>
      </c>
    </row>
    <row r="5949" spans="7:8" x14ac:dyDescent="0.3">
      <c r="G5949" s="75">
        <v>5946</v>
      </c>
      <c r="H5949">
        <f t="shared" ca="1" si="78"/>
        <v>-9.2687136503578436E-3</v>
      </c>
    </row>
    <row r="5950" spans="7:8" x14ac:dyDescent="0.3">
      <c r="G5950" s="75">
        <v>5947</v>
      </c>
      <c r="H5950">
        <f t="shared" ca="1" si="78"/>
        <v>1.2393449858055102E-2</v>
      </c>
    </row>
    <row r="5951" spans="7:8" x14ac:dyDescent="0.3">
      <c r="G5951" s="75">
        <v>5948</v>
      </c>
      <c r="H5951">
        <f t="shared" ca="1" si="78"/>
        <v>6.4868187168437771E-3</v>
      </c>
    </row>
    <row r="5952" spans="7:8" x14ac:dyDescent="0.3">
      <c r="G5952" s="75">
        <v>5949</v>
      </c>
      <c r="H5952">
        <f t="shared" ca="1" si="78"/>
        <v>-3.7772161496133841E-3</v>
      </c>
    </row>
    <row r="5953" spans="7:8" x14ac:dyDescent="0.3">
      <c r="G5953" s="75">
        <v>5950</v>
      </c>
      <c r="H5953">
        <f t="shared" ca="1" si="78"/>
        <v>1.2252080441314685E-2</v>
      </c>
    </row>
    <row r="5954" spans="7:8" x14ac:dyDescent="0.3">
      <c r="G5954" s="75">
        <v>5951</v>
      </c>
      <c r="H5954">
        <f t="shared" ref="H5954:H6017" ca="1" si="79">_xlfn.NORM.INV(RAND(),$N$4,$N$5)</f>
        <v>1.6264963149625693E-3</v>
      </c>
    </row>
    <row r="5955" spans="7:8" x14ac:dyDescent="0.3">
      <c r="G5955" s="75">
        <v>5952</v>
      </c>
      <c r="H5955">
        <f t="shared" ca="1" si="79"/>
        <v>-2.1245456341423514E-2</v>
      </c>
    </row>
    <row r="5956" spans="7:8" x14ac:dyDescent="0.3">
      <c r="G5956" s="75">
        <v>5953</v>
      </c>
      <c r="H5956">
        <f t="shared" ca="1" si="79"/>
        <v>7.1634069039463949E-3</v>
      </c>
    </row>
    <row r="5957" spans="7:8" x14ac:dyDescent="0.3">
      <c r="G5957" s="75">
        <v>5954</v>
      </c>
      <c r="H5957">
        <f t="shared" ca="1" si="79"/>
        <v>6.9704971628461064E-3</v>
      </c>
    </row>
    <row r="5958" spans="7:8" x14ac:dyDescent="0.3">
      <c r="G5958" s="75">
        <v>5955</v>
      </c>
      <c r="H5958">
        <f t="shared" ca="1" si="79"/>
        <v>-5.5620832974626879E-3</v>
      </c>
    </row>
    <row r="5959" spans="7:8" x14ac:dyDescent="0.3">
      <c r="G5959" s="75">
        <v>5956</v>
      </c>
      <c r="H5959">
        <f t="shared" ca="1" si="79"/>
        <v>-6.0370900461429438E-3</v>
      </c>
    </row>
    <row r="5960" spans="7:8" x14ac:dyDescent="0.3">
      <c r="G5960" s="75">
        <v>5957</v>
      </c>
      <c r="H5960">
        <f t="shared" ca="1" si="79"/>
        <v>7.0421423533115046E-3</v>
      </c>
    </row>
    <row r="5961" spans="7:8" x14ac:dyDescent="0.3">
      <c r="G5961" s="75">
        <v>5958</v>
      </c>
      <c r="H5961">
        <f t="shared" ca="1" si="79"/>
        <v>-5.6201939009149372E-3</v>
      </c>
    </row>
    <row r="5962" spans="7:8" x14ac:dyDescent="0.3">
      <c r="G5962" s="75">
        <v>5959</v>
      </c>
      <c r="H5962">
        <f t="shared" ca="1" si="79"/>
        <v>-1.7036020467539006E-2</v>
      </c>
    </row>
    <row r="5963" spans="7:8" x14ac:dyDescent="0.3">
      <c r="G5963" s="75">
        <v>5960</v>
      </c>
      <c r="H5963">
        <f t="shared" ca="1" si="79"/>
        <v>2.924977873294226E-2</v>
      </c>
    </row>
    <row r="5964" spans="7:8" x14ac:dyDescent="0.3">
      <c r="G5964" s="75">
        <v>5961</v>
      </c>
      <c r="H5964">
        <f t="shared" ca="1" si="79"/>
        <v>-3.5295500298825131E-4</v>
      </c>
    </row>
    <row r="5965" spans="7:8" x14ac:dyDescent="0.3">
      <c r="G5965" s="75">
        <v>5962</v>
      </c>
      <c r="H5965">
        <f t="shared" ca="1" si="79"/>
        <v>4.4679517779909611E-3</v>
      </c>
    </row>
    <row r="5966" spans="7:8" x14ac:dyDescent="0.3">
      <c r="G5966" s="75">
        <v>5963</v>
      </c>
      <c r="H5966">
        <f t="shared" ca="1" si="79"/>
        <v>1.1779735136925089E-2</v>
      </c>
    </row>
    <row r="5967" spans="7:8" x14ac:dyDescent="0.3">
      <c r="G5967" s="75">
        <v>5964</v>
      </c>
      <c r="H5967">
        <f t="shared" ca="1" si="79"/>
        <v>-4.398760227767585E-3</v>
      </c>
    </row>
    <row r="5968" spans="7:8" x14ac:dyDescent="0.3">
      <c r="G5968" s="75">
        <v>5965</v>
      </c>
      <c r="H5968">
        <f t="shared" ca="1" si="79"/>
        <v>-2.668626447503914E-5</v>
      </c>
    </row>
    <row r="5969" spans="7:8" x14ac:dyDescent="0.3">
      <c r="G5969" s="75">
        <v>5966</v>
      </c>
      <c r="H5969">
        <f t="shared" ca="1" si="79"/>
        <v>1.6791621842614061E-3</v>
      </c>
    </row>
    <row r="5970" spans="7:8" x14ac:dyDescent="0.3">
      <c r="G5970" s="75">
        <v>5967</v>
      </c>
      <c r="H5970">
        <f t="shared" ca="1" si="79"/>
        <v>2.5843261192181259E-3</v>
      </c>
    </row>
    <row r="5971" spans="7:8" x14ac:dyDescent="0.3">
      <c r="G5971" s="75">
        <v>5968</v>
      </c>
      <c r="H5971">
        <f t="shared" ca="1" si="79"/>
        <v>1.5742942869960093E-2</v>
      </c>
    </row>
    <row r="5972" spans="7:8" x14ac:dyDescent="0.3">
      <c r="G5972" s="75">
        <v>5969</v>
      </c>
      <c r="H5972">
        <f t="shared" ca="1" si="79"/>
        <v>-4.0965851575361862E-3</v>
      </c>
    </row>
    <row r="5973" spans="7:8" x14ac:dyDescent="0.3">
      <c r="G5973" s="75">
        <v>5970</v>
      </c>
      <c r="H5973">
        <f t="shared" ca="1" si="79"/>
        <v>-2.0578656368036973E-3</v>
      </c>
    </row>
    <row r="5974" spans="7:8" x14ac:dyDescent="0.3">
      <c r="G5974" s="75">
        <v>5971</v>
      </c>
      <c r="H5974">
        <f t="shared" ca="1" si="79"/>
        <v>-6.4719913959617476E-3</v>
      </c>
    </row>
    <row r="5975" spans="7:8" x14ac:dyDescent="0.3">
      <c r="G5975" s="75">
        <v>5972</v>
      </c>
      <c r="H5975">
        <f t="shared" ca="1" si="79"/>
        <v>2.4462816243340221E-2</v>
      </c>
    </row>
    <row r="5976" spans="7:8" x14ac:dyDescent="0.3">
      <c r="G5976" s="75">
        <v>5973</v>
      </c>
      <c r="H5976">
        <f t="shared" ca="1" si="79"/>
        <v>2.3815379942697993E-3</v>
      </c>
    </row>
    <row r="5977" spans="7:8" x14ac:dyDescent="0.3">
      <c r="G5977" s="75">
        <v>5974</v>
      </c>
      <c r="H5977">
        <f t="shared" ca="1" si="79"/>
        <v>4.5681000101570621E-3</v>
      </c>
    </row>
    <row r="5978" spans="7:8" x14ac:dyDescent="0.3">
      <c r="G5978" s="75">
        <v>5975</v>
      </c>
      <c r="H5978">
        <f t="shared" ca="1" si="79"/>
        <v>-1.4797471494466361E-2</v>
      </c>
    </row>
    <row r="5979" spans="7:8" x14ac:dyDescent="0.3">
      <c r="G5979" s="75">
        <v>5976</v>
      </c>
      <c r="H5979">
        <f t="shared" ca="1" si="79"/>
        <v>6.3217066250288538E-4</v>
      </c>
    </row>
    <row r="5980" spans="7:8" x14ac:dyDescent="0.3">
      <c r="G5980" s="75">
        <v>5977</v>
      </c>
      <c r="H5980">
        <f t="shared" ca="1" si="79"/>
        <v>-2.2161517067657774E-2</v>
      </c>
    </row>
    <row r="5981" spans="7:8" x14ac:dyDescent="0.3">
      <c r="G5981" s="75">
        <v>5978</v>
      </c>
      <c r="H5981">
        <f t="shared" ca="1" si="79"/>
        <v>2.929181027975037E-2</v>
      </c>
    </row>
    <row r="5982" spans="7:8" x14ac:dyDescent="0.3">
      <c r="G5982" s="75">
        <v>5979</v>
      </c>
      <c r="H5982">
        <f t="shared" ca="1" si="79"/>
        <v>-1.6566665465983586E-2</v>
      </c>
    </row>
    <row r="5983" spans="7:8" x14ac:dyDescent="0.3">
      <c r="G5983" s="75">
        <v>5980</v>
      </c>
      <c r="H5983">
        <f t="shared" ca="1" si="79"/>
        <v>2.4300790299045211E-2</v>
      </c>
    </row>
    <row r="5984" spans="7:8" x14ac:dyDescent="0.3">
      <c r="G5984" s="75">
        <v>5981</v>
      </c>
      <c r="H5984">
        <f t="shared" ca="1" si="79"/>
        <v>7.0641092169074484E-3</v>
      </c>
    </row>
    <row r="5985" spans="7:8" x14ac:dyDescent="0.3">
      <c r="G5985" s="75">
        <v>5982</v>
      </c>
      <c r="H5985">
        <f t="shared" ca="1" si="79"/>
        <v>-3.1270466799727245E-3</v>
      </c>
    </row>
    <row r="5986" spans="7:8" x14ac:dyDescent="0.3">
      <c r="G5986" s="75">
        <v>5983</v>
      </c>
      <c r="H5986">
        <f t="shared" ca="1" si="79"/>
        <v>3.8140797654906626E-2</v>
      </c>
    </row>
    <row r="5987" spans="7:8" x14ac:dyDescent="0.3">
      <c r="G5987" s="75">
        <v>5984</v>
      </c>
      <c r="H5987">
        <f t="shared" ca="1" si="79"/>
        <v>-4.2830896950972397E-3</v>
      </c>
    </row>
    <row r="5988" spans="7:8" x14ac:dyDescent="0.3">
      <c r="G5988" s="75">
        <v>5985</v>
      </c>
      <c r="H5988">
        <f t="shared" ca="1" si="79"/>
        <v>2.2680968254283083E-2</v>
      </c>
    </row>
    <row r="5989" spans="7:8" x14ac:dyDescent="0.3">
      <c r="G5989" s="75">
        <v>5986</v>
      </c>
      <c r="H5989">
        <f t="shared" ca="1" si="79"/>
        <v>-1.2170295958105915E-3</v>
      </c>
    </row>
    <row r="5990" spans="7:8" x14ac:dyDescent="0.3">
      <c r="G5990" s="75">
        <v>5987</v>
      </c>
      <c r="H5990">
        <f t="shared" ca="1" si="79"/>
        <v>-1.433705984425949E-2</v>
      </c>
    </row>
    <row r="5991" spans="7:8" x14ac:dyDescent="0.3">
      <c r="G5991" s="75">
        <v>5988</v>
      </c>
      <c r="H5991">
        <f t="shared" ca="1" si="79"/>
        <v>1.7381454258608441E-2</v>
      </c>
    </row>
    <row r="5992" spans="7:8" x14ac:dyDescent="0.3">
      <c r="G5992" s="75">
        <v>5989</v>
      </c>
      <c r="H5992">
        <f t="shared" ca="1" si="79"/>
        <v>3.6586103593106974E-4</v>
      </c>
    </row>
    <row r="5993" spans="7:8" x14ac:dyDescent="0.3">
      <c r="G5993" s="75">
        <v>5990</v>
      </c>
      <c r="H5993">
        <f t="shared" ca="1" si="79"/>
        <v>-3.5789847655788465E-2</v>
      </c>
    </row>
    <row r="5994" spans="7:8" x14ac:dyDescent="0.3">
      <c r="G5994" s="75">
        <v>5991</v>
      </c>
      <c r="H5994">
        <f t="shared" ca="1" si="79"/>
        <v>-9.164250789062689E-3</v>
      </c>
    </row>
    <row r="5995" spans="7:8" x14ac:dyDescent="0.3">
      <c r="G5995" s="75">
        <v>5992</v>
      </c>
      <c r="H5995">
        <f t="shared" ca="1" si="79"/>
        <v>9.7817797779708275E-3</v>
      </c>
    </row>
    <row r="5996" spans="7:8" x14ac:dyDescent="0.3">
      <c r="G5996" s="75">
        <v>5993</v>
      </c>
      <c r="H5996">
        <f t="shared" ca="1" si="79"/>
        <v>-4.1910535435073963E-3</v>
      </c>
    </row>
    <row r="5997" spans="7:8" x14ac:dyDescent="0.3">
      <c r="G5997" s="75">
        <v>5994</v>
      </c>
      <c r="H5997">
        <f t="shared" ca="1" si="79"/>
        <v>-3.3404196746930188E-2</v>
      </c>
    </row>
    <row r="5998" spans="7:8" x14ac:dyDescent="0.3">
      <c r="G5998" s="75">
        <v>5995</v>
      </c>
      <c r="H5998">
        <f t="shared" ca="1" si="79"/>
        <v>-1.1520600874636465E-2</v>
      </c>
    </row>
    <row r="5999" spans="7:8" x14ac:dyDescent="0.3">
      <c r="G5999" s="75">
        <v>5996</v>
      </c>
      <c r="H5999">
        <f t="shared" ca="1" si="79"/>
        <v>-2.0061565333317027E-2</v>
      </c>
    </row>
    <row r="6000" spans="7:8" x14ac:dyDescent="0.3">
      <c r="G6000" s="75">
        <v>5997</v>
      </c>
      <c r="H6000">
        <f t="shared" ca="1" si="79"/>
        <v>5.1107641744433229E-3</v>
      </c>
    </row>
    <row r="6001" spans="7:8" x14ac:dyDescent="0.3">
      <c r="G6001" s="75">
        <v>5998</v>
      </c>
      <c r="H6001">
        <f t="shared" ca="1" si="79"/>
        <v>5.5505270097951933E-4</v>
      </c>
    </row>
    <row r="6002" spans="7:8" x14ac:dyDescent="0.3">
      <c r="G6002" s="75">
        <v>5999</v>
      </c>
      <c r="H6002">
        <f t="shared" ca="1" si="79"/>
        <v>-1.192798487537384E-2</v>
      </c>
    </row>
    <row r="6003" spans="7:8" x14ac:dyDescent="0.3">
      <c r="G6003" s="75">
        <v>6000</v>
      </c>
      <c r="H6003">
        <f t="shared" ca="1" si="79"/>
        <v>-1.0048429113003819E-2</v>
      </c>
    </row>
    <row r="6004" spans="7:8" x14ac:dyDescent="0.3">
      <c r="G6004" s="75">
        <v>6001</v>
      </c>
      <c r="H6004">
        <f t="shared" ca="1" si="79"/>
        <v>-1.1094874519546398E-2</v>
      </c>
    </row>
    <row r="6005" spans="7:8" x14ac:dyDescent="0.3">
      <c r="G6005" s="75">
        <v>6002</v>
      </c>
      <c r="H6005">
        <f t="shared" ca="1" si="79"/>
        <v>-2.8232892774076406E-2</v>
      </c>
    </row>
    <row r="6006" spans="7:8" x14ac:dyDescent="0.3">
      <c r="G6006" s="75">
        <v>6003</v>
      </c>
      <c r="H6006">
        <f t="shared" ca="1" si="79"/>
        <v>-5.7462000787043841E-3</v>
      </c>
    </row>
    <row r="6007" spans="7:8" x14ac:dyDescent="0.3">
      <c r="G6007" s="75">
        <v>6004</v>
      </c>
      <c r="H6007">
        <f t="shared" ca="1" si="79"/>
        <v>-1.077403520354535E-2</v>
      </c>
    </row>
    <row r="6008" spans="7:8" x14ac:dyDescent="0.3">
      <c r="G6008" s="75">
        <v>6005</v>
      </c>
      <c r="H6008">
        <f t="shared" ca="1" si="79"/>
        <v>1.948869076002278E-3</v>
      </c>
    </row>
    <row r="6009" spans="7:8" x14ac:dyDescent="0.3">
      <c r="G6009" s="75">
        <v>6006</v>
      </c>
      <c r="H6009">
        <f t="shared" ca="1" si="79"/>
        <v>-1.2599590970621072E-3</v>
      </c>
    </row>
    <row r="6010" spans="7:8" x14ac:dyDescent="0.3">
      <c r="G6010" s="75">
        <v>6007</v>
      </c>
      <c r="H6010">
        <f t="shared" ca="1" si="79"/>
        <v>9.0762973127872463E-3</v>
      </c>
    </row>
    <row r="6011" spans="7:8" x14ac:dyDescent="0.3">
      <c r="G6011" s="75">
        <v>6008</v>
      </c>
      <c r="H6011">
        <f t="shared" ca="1" si="79"/>
        <v>1.0680315834760874E-3</v>
      </c>
    </row>
    <row r="6012" spans="7:8" x14ac:dyDescent="0.3">
      <c r="G6012" s="75">
        <v>6009</v>
      </c>
      <c r="H6012">
        <f t="shared" ca="1" si="79"/>
        <v>1.3306240054158796E-2</v>
      </c>
    </row>
    <row r="6013" spans="7:8" x14ac:dyDescent="0.3">
      <c r="G6013" s="75">
        <v>6010</v>
      </c>
      <c r="H6013">
        <f t="shared" ca="1" si="79"/>
        <v>2.0357373282031866E-3</v>
      </c>
    </row>
    <row r="6014" spans="7:8" x14ac:dyDescent="0.3">
      <c r="G6014" s="75">
        <v>6011</v>
      </c>
      <c r="H6014">
        <f t="shared" ca="1" si="79"/>
        <v>1.6154449768646759E-2</v>
      </c>
    </row>
    <row r="6015" spans="7:8" x14ac:dyDescent="0.3">
      <c r="G6015" s="75">
        <v>6012</v>
      </c>
      <c r="H6015">
        <f t="shared" ca="1" si="79"/>
        <v>8.382878630563877E-3</v>
      </c>
    </row>
    <row r="6016" spans="7:8" x14ac:dyDescent="0.3">
      <c r="G6016" s="75">
        <v>6013</v>
      </c>
      <c r="H6016">
        <f t="shared" ca="1" si="79"/>
        <v>-1.1333166936502792E-2</v>
      </c>
    </row>
    <row r="6017" spans="7:8" x14ac:dyDescent="0.3">
      <c r="G6017" s="75">
        <v>6014</v>
      </c>
      <c r="H6017">
        <f t="shared" ca="1" si="79"/>
        <v>-4.8383571369147961E-3</v>
      </c>
    </row>
    <row r="6018" spans="7:8" x14ac:dyDescent="0.3">
      <c r="G6018" s="75">
        <v>6015</v>
      </c>
      <c r="H6018">
        <f t="shared" ref="H6018:H6081" ca="1" si="80">_xlfn.NORM.INV(RAND(),$N$4,$N$5)</f>
        <v>1.4040929710078866E-2</v>
      </c>
    </row>
    <row r="6019" spans="7:8" x14ac:dyDescent="0.3">
      <c r="G6019" s="75">
        <v>6016</v>
      </c>
      <c r="H6019">
        <f t="shared" ca="1" si="80"/>
        <v>5.9970300154768459E-3</v>
      </c>
    </row>
    <row r="6020" spans="7:8" x14ac:dyDescent="0.3">
      <c r="G6020" s="75">
        <v>6017</v>
      </c>
      <c r="H6020">
        <f t="shared" ca="1" si="80"/>
        <v>-1.1306124386481313E-2</v>
      </c>
    </row>
    <row r="6021" spans="7:8" x14ac:dyDescent="0.3">
      <c r="G6021" s="75">
        <v>6018</v>
      </c>
      <c r="H6021">
        <f t="shared" ca="1" si="80"/>
        <v>-2.6233534225736477E-2</v>
      </c>
    </row>
    <row r="6022" spans="7:8" x14ac:dyDescent="0.3">
      <c r="G6022" s="75">
        <v>6019</v>
      </c>
      <c r="H6022">
        <f t="shared" ca="1" si="80"/>
        <v>4.2326327229280782E-4</v>
      </c>
    </row>
    <row r="6023" spans="7:8" x14ac:dyDescent="0.3">
      <c r="G6023" s="75">
        <v>6020</v>
      </c>
      <c r="H6023">
        <f t="shared" ca="1" si="80"/>
        <v>1.2427842348356026E-3</v>
      </c>
    </row>
    <row r="6024" spans="7:8" x14ac:dyDescent="0.3">
      <c r="G6024" s="75">
        <v>6021</v>
      </c>
      <c r="H6024">
        <f t="shared" ca="1" si="80"/>
        <v>2.7295062249439628E-3</v>
      </c>
    </row>
    <row r="6025" spans="7:8" x14ac:dyDescent="0.3">
      <c r="G6025" s="75">
        <v>6022</v>
      </c>
      <c r="H6025">
        <f t="shared" ca="1" si="80"/>
        <v>-9.2780780113662989E-3</v>
      </c>
    </row>
    <row r="6026" spans="7:8" x14ac:dyDescent="0.3">
      <c r="G6026" s="75">
        <v>6023</v>
      </c>
      <c r="H6026">
        <f t="shared" ca="1" si="80"/>
        <v>8.8466175031292806E-3</v>
      </c>
    </row>
    <row r="6027" spans="7:8" x14ac:dyDescent="0.3">
      <c r="G6027" s="75">
        <v>6024</v>
      </c>
      <c r="H6027">
        <f t="shared" ca="1" si="80"/>
        <v>2.9375476885707035E-3</v>
      </c>
    </row>
    <row r="6028" spans="7:8" x14ac:dyDescent="0.3">
      <c r="G6028" s="75">
        <v>6025</v>
      </c>
      <c r="H6028">
        <f t="shared" ca="1" si="80"/>
        <v>-1.9645370277761743E-2</v>
      </c>
    </row>
    <row r="6029" spans="7:8" x14ac:dyDescent="0.3">
      <c r="G6029" s="75">
        <v>6026</v>
      </c>
      <c r="H6029">
        <f t="shared" ca="1" si="80"/>
        <v>-4.6531151539979144E-3</v>
      </c>
    </row>
    <row r="6030" spans="7:8" x14ac:dyDescent="0.3">
      <c r="G6030" s="75">
        <v>6027</v>
      </c>
      <c r="H6030">
        <f t="shared" ca="1" si="80"/>
        <v>-2.9363189861866035E-2</v>
      </c>
    </row>
    <row r="6031" spans="7:8" x14ac:dyDescent="0.3">
      <c r="G6031" s="75">
        <v>6028</v>
      </c>
      <c r="H6031">
        <f t="shared" ca="1" si="80"/>
        <v>7.8070736090890625E-3</v>
      </c>
    </row>
    <row r="6032" spans="7:8" x14ac:dyDescent="0.3">
      <c r="G6032" s="75">
        <v>6029</v>
      </c>
      <c r="H6032">
        <f t="shared" ca="1" si="80"/>
        <v>5.8750486056261689E-3</v>
      </c>
    </row>
    <row r="6033" spans="7:8" x14ac:dyDescent="0.3">
      <c r="G6033" s="75">
        <v>6030</v>
      </c>
      <c r="H6033">
        <f t="shared" ca="1" si="80"/>
        <v>-5.095613399497166E-3</v>
      </c>
    </row>
    <row r="6034" spans="7:8" x14ac:dyDescent="0.3">
      <c r="G6034" s="75">
        <v>6031</v>
      </c>
      <c r="H6034">
        <f t="shared" ca="1" si="80"/>
        <v>-3.5112111152426151E-3</v>
      </c>
    </row>
    <row r="6035" spans="7:8" x14ac:dyDescent="0.3">
      <c r="G6035" s="75">
        <v>6032</v>
      </c>
      <c r="H6035">
        <f t="shared" ca="1" si="80"/>
        <v>8.5704255584124599E-3</v>
      </c>
    </row>
    <row r="6036" spans="7:8" x14ac:dyDescent="0.3">
      <c r="G6036" s="75">
        <v>6033</v>
      </c>
      <c r="H6036">
        <f t="shared" ca="1" si="80"/>
        <v>6.0645215863323228E-3</v>
      </c>
    </row>
    <row r="6037" spans="7:8" x14ac:dyDescent="0.3">
      <c r="G6037" s="75">
        <v>6034</v>
      </c>
      <c r="H6037">
        <f t="shared" ca="1" si="80"/>
        <v>-1.9968756477908314E-2</v>
      </c>
    </row>
    <row r="6038" spans="7:8" x14ac:dyDescent="0.3">
      <c r="G6038" s="75">
        <v>6035</v>
      </c>
      <c r="H6038">
        <f t="shared" ca="1" si="80"/>
        <v>-5.1403194453626721E-3</v>
      </c>
    </row>
    <row r="6039" spans="7:8" x14ac:dyDescent="0.3">
      <c r="G6039" s="75">
        <v>6036</v>
      </c>
      <c r="H6039">
        <f t="shared" ca="1" si="80"/>
        <v>-1.5356466489201628E-2</v>
      </c>
    </row>
    <row r="6040" spans="7:8" x14ac:dyDescent="0.3">
      <c r="G6040" s="75">
        <v>6037</v>
      </c>
      <c r="H6040">
        <f t="shared" ca="1" si="80"/>
        <v>-2.7209230762370042E-3</v>
      </c>
    </row>
    <row r="6041" spans="7:8" x14ac:dyDescent="0.3">
      <c r="G6041" s="75">
        <v>6038</v>
      </c>
      <c r="H6041">
        <f t="shared" ca="1" si="80"/>
        <v>-5.8646552051663933E-3</v>
      </c>
    </row>
    <row r="6042" spans="7:8" x14ac:dyDescent="0.3">
      <c r="G6042" s="75">
        <v>6039</v>
      </c>
      <c r="H6042">
        <f t="shared" ca="1" si="80"/>
        <v>9.704501681965353E-3</v>
      </c>
    </row>
    <row r="6043" spans="7:8" x14ac:dyDescent="0.3">
      <c r="G6043" s="75">
        <v>6040</v>
      </c>
      <c r="H6043">
        <f t="shared" ca="1" si="80"/>
        <v>-2.2630800490430381E-3</v>
      </c>
    </row>
    <row r="6044" spans="7:8" x14ac:dyDescent="0.3">
      <c r="G6044" s="75">
        <v>6041</v>
      </c>
      <c r="H6044">
        <f t="shared" ca="1" si="80"/>
        <v>5.877228238438041E-4</v>
      </c>
    </row>
    <row r="6045" spans="7:8" x14ac:dyDescent="0.3">
      <c r="G6045" s="75">
        <v>6042</v>
      </c>
      <c r="H6045">
        <f t="shared" ca="1" si="80"/>
        <v>-2.6713801805404369E-3</v>
      </c>
    </row>
    <row r="6046" spans="7:8" x14ac:dyDescent="0.3">
      <c r="G6046" s="75">
        <v>6043</v>
      </c>
      <c r="H6046">
        <f t="shared" ca="1" si="80"/>
        <v>2.0279207255914085E-3</v>
      </c>
    </row>
    <row r="6047" spans="7:8" x14ac:dyDescent="0.3">
      <c r="G6047" s="75">
        <v>6044</v>
      </c>
      <c r="H6047">
        <f t="shared" ca="1" si="80"/>
        <v>-2.8357382610517713E-2</v>
      </c>
    </row>
    <row r="6048" spans="7:8" x14ac:dyDescent="0.3">
      <c r="G6048" s="75">
        <v>6045</v>
      </c>
      <c r="H6048">
        <f t="shared" ca="1" si="80"/>
        <v>-1.7487078174563988E-2</v>
      </c>
    </row>
    <row r="6049" spans="7:8" x14ac:dyDescent="0.3">
      <c r="G6049" s="75">
        <v>6046</v>
      </c>
      <c r="H6049">
        <f t="shared" ca="1" si="80"/>
        <v>7.1950757256983846E-3</v>
      </c>
    </row>
    <row r="6050" spans="7:8" x14ac:dyDescent="0.3">
      <c r="G6050" s="75">
        <v>6047</v>
      </c>
      <c r="H6050">
        <f t="shared" ca="1" si="80"/>
        <v>-1.152836684748248E-2</v>
      </c>
    </row>
    <row r="6051" spans="7:8" x14ac:dyDescent="0.3">
      <c r="G6051" s="75">
        <v>6048</v>
      </c>
      <c r="H6051">
        <f t="shared" ca="1" si="80"/>
        <v>-2.6923018271875739E-3</v>
      </c>
    </row>
    <row r="6052" spans="7:8" x14ac:dyDescent="0.3">
      <c r="G6052" s="75">
        <v>6049</v>
      </c>
      <c r="H6052">
        <f t="shared" ca="1" si="80"/>
        <v>-3.4856781257336725E-3</v>
      </c>
    </row>
    <row r="6053" spans="7:8" x14ac:dyDescent="0.3">
      <c r="G6053" s="75">
        <v>6050</v>
      </c>
      <c r="H6053">
        <f t="shared" ca="1" si="80"/>
        <v>1.2600247644896723E-2</v>
      </c>
    </row>
    <row r="6054" spans="7:8" x14ac:dyDescent="0.3">
      <c r="G6054" s="75">
        <v>6051</v>
      </c>
      <c r="H6054">
        <f t="shared" ca="1" si="80"/>
        <v>-9.5581141211732237E-3</v>
      </c>
    </row>
    <row r="6055" spans="7:8" x14ac:dyDescent="0.3">
      <c r="G6055" s="75">
        <v>6052</v>
      </c>
      <c r="H6055">
        <f t="shared" ca="1" si="80"/>
        <v>-6.2058279819138373E-3</v>
      </c>
    </row>
    <row r="6056" spans="7:8" x14ac:dyDescent="0.3">
      <c r="G6056" s="75">
        <v>6053</v>
      </c>
      <c r="H6056">
        <f t="shared" ca="1" si="80"/>
        <v>2.4244303409416013E-2</v>
      </c>
    </row>
    <row r="6057" spans="7:8" x14ac:dyDescent="0.3">
      <c r="G6057" s="75">
        <v>6054</v>
      </c>
      <c r="H6057">
        <f t="shared" ca="1" si="80"/>
        <v>-2.6238739959976412E-3</v>
      </c>
    </row>
    <row r="6058" spans="7:8" x14ac:dyDescent="0.3">
      <c r="G6058" s="75">
        <v>6055</v>
      </c>
      <c r="H6058">
        <f t="shared" ca="1" si="80"/>
        <v>1.7469777233300354E-2</v>
      </c>
    </row>
    <row r="6059" spans="7:8" x14ac:dyDescent="0.3">
      <c r="G6059" s="75">
        <v>6056</v>
      </c>
      <c r="H6059">
        <f t="shared" ca="1" si="80"/>
        <v>-1.2969884321106316E-2</v>
      </c>
    </row>
    <row r="6060" spans="7:8" x14ac:dyDescent="0.3">
      <c r="G6060" s="75">
        <v>6057</v>
      </c>
      <c r="H6060">
        <f t="shared" ca="1" si="80"/>
        <v>2.4173164158462161E-3</v>
      </c>
    </row>
    <row r="6061" spans="7:8" x14ac:dyDescent="0.3">
      <c r="G6061" s="75">
        <v>6058</v>
      </c>
      <c r="H6061">
        <f t="shared" ca="1" si="80"/>
        <v>1.0667619661306213E-2</v>
      </c>
    </row>
    <row r="6062" spans="7:8" x14ac:dyDescent="0.3">
      <c r="G6062" s="75">
        <v>6059</v>
      </c>
      <c r="H6062">
        <f t="shared" ca="1" si="80"/>
        <v>6.5940304289159391E-3</v>
      </c>
    </row>
    <row r="6063" spans="7:8" x14ac:dyDescent="0.3">
      <c r="G6063" s="75">
        <v>6060</v>
      </c>
      <c r="H6063">
        <f t="shared" ca="1" si="80"/>
        <v>-9.4498470763835409E-3</v>
      </c>
    </row>
    <row r="6064" spans="7:8" x14ac:dyDescent="0.3">
      <c r="G6064" s="75">
        <v>6061</v>
      </c>
      <c r="H6064">
        <f t="shared" ca="1" si="80"/>
        <v>-4.38750857093683E-3</v>
      </c>
    </row>
    <row r="6065" spans="7:8" x14ac:dyDescent="0.3">
      <c r="G6065" s="75">
        <v>6062</v>
      </c>
      <c r="H6065">
        <f t="shared" ca="1" si="80"/>
        <v>-1.4098771634261469E-2</v>
      </c>
    </row>
    <row r="6066" spans="7:8" x14ac:dyDescent="0.3">
      <c r="G6066" s="75">
        <v>6063</v>
      </c>
      <c r="H6066">
        <f t="shared" ca="1" si="80"/>
        <v>1.8982336638373357E-2</v>
      </c>
    </row>
    <row r="6067" spans="7:8" x14ac:dyDescent="0.3">
      <c r="G6067" s="75">
        <v>6064</v>
      </c>
      <c r="H6067">
        <f t="shared" ca="1" si="80"/>
        <v>-1.9246426331754642E-3</v>
      </c>
    </row>
    <row r="6068" spans="7:8" x14ac:dyDescent="0.3">
      <c r="G6068" s="75">
        <v>6065</v>
      </c>
      <c r="H6068">
        <f t="shared" ca="1" si="80"/>
        <v>1.7595730424441854E-2</v>
      </c>
    </row>
    <row r="6069" spans="7:8" x14ac:dyDescent="0.3">
      <c r="G6069" s="75">
        <v>6066</v>
      </c>
      <c r="H6069">
        <f t="shared" ca="1" si="80"/>
        <v>1.5175438068340558E-2</v>
      </c>
    </row>
    <row r="6070" spans="7:8" x14ac:dyDescent="0.3">
      <c r="G6070" s="75">
        <v>6067</v>
      </c>
      <c r="H6070">
        <f t="shared" ca="1" si="80"/>
        <v>1.721582648050465E-2</v>
      </c>
    </row>
    <row r="6071" spans="7:8" x14ac:dyDescent="0.3">
      <c r="G6071" s="75">
        <v>6068</v>
      </c>
      <c r="H6071">
        <f t="shared" ca="1" si="80"/>
        <v>3.9863405413080389E-3</v>
      </c>
    </row>
    <row r="6072" spans="7:8" x14ac:dyDescent="0.3">
      <c r="G6072" s="75">
        <v>6069</v>
      </c>
      <c r="H6072">
        <f t="shared" ca="1" si="80"/>
        <v>-4.8848446650960452E-3</v>
      </c>
    </row>
    <row r="6073" spans="7:8" x14ac:dyDescent="0.3">
      <c r="G6073" s="75">
        <v>6070</v>
      </c>
      <c r="H6073">
        <f t="shared" ca="1" si="80"/>
        <v>2.6221497999477585E-3</v>
      </c>
    </row>
    <row r="6074" spans="7:8" x14ac:dyDescent="0.3">
      <c r="G6074" s="75">
        <v>6071</v>
      </c>
      <c r="H6074">
        <f t="shared" ca="1" si="80"/>
        <v>7.6012365681008285E-3</v>
      </c>
    </row>
    <row r="6075" spans="7:8" x14ac:dyDescent="0.3">
      <c r="G6075" s="75">
        <v>6072</v>
      </c>
      <c r="H6075">
        <f t="shared" ca="1" si="80"/>
        <v>9.8526528430831831E-3</v>
      </c>
    </row>
    <row r="6076" spans="7:8" x14ac:dyDescent="0.3">
      <c r="G6076" s="75">
        <v>6073</v>
      </c>
      <c r="H6076">
        <f t="shared" ca="1" si="80"/>
        <v>3.7812176905048221E-3</v>
      </c>
    </row>
    <row r="6077" spans="7:8" x14ac:dyDescent="0.3">
      <c r="G6077" s="75">
        <v>6074</v>
      </c>
      <c r="H6077">
        <f t="shared" ca="1" si="80"/>
        <v>4.0080115472228709E-3</v>
      </c>
    </row>
    <row r="6078" spans="7:8" x14ac:dyDescent="0.3">
      <c r="G6078" s="75">
        <v>6075</v>
      </c>
      <c r="H6078">
        <f t="shared" ca="1" si="80"/>
        <v>1.1155845803315998E-3</v>
      </c>
    </row>
    <row r="6079" spans="7:8" x14ac:dyDescent="0.3">
      <c r="G6079" s="75">
        <v>6076</v>
      </c>
      <c r="H6079">
        <f t="shared" ca="1" si="80"/>
        <v>5.4446870151904038E-3</v>
      </c>
    </row>
    <row r="6080" spans="7:8" x14ac:dyDescent="0.3">
      <c r="G6080" s="75">
        <v>6077</v>
      </c>
      <c r="H6080">
        <f t="shared" ca="1" si="80"/>
        <v>3.2418795017424115E-3</v>
      </c>
    </row>
    <row r="6081" spans="7:8" x14ac:dyDescent="0.3">
      <c r="G6081" s="75">
        <v>6078</v>
      </c>
      <c r="H6081">
        <f t="shared" ca="1" si="80"/>
        <v>-1.240861559491733E-2</v>
      </c>
    </row>
    <row r="6082" spans="7:8" x14ac:dyDescent="0.3">
      <c r="G6082" s="75">
        <v>6079</v>
      </c>
      <c r="H6082">
        <f t="shared" ref="H6082:H6145" ca="1" si="81">_xlfn.NORM.INV(RAND(),$N$4,$N$5)</f>
        <v>-3.2422542012253805E-3</v>
      </c>
    </row>
    <row r="6083" spans="7:8" x14ac:dyDescent="0.3">
      <c r="G6083" s="75">
        <v>6080</v>
      </c>
      <c r="H6083">
        <f t="shared" ca="1" si="81"/>
        <v>-2.5421082645508812E-4</v>
      </c>
    </row>
    <row r="6084" spans="7:8" x14ac:dyDescent="0.3">
      <c r="G6084" s="75">
        <v>6081</v>
      </c>
      <c r="H6084">
        <f t="shared" ca="1" si="81"/>
        <v>-1.5330477122725726E-2</v>
      </c>
    </row>
    <row r="6085" spans="7:8" x14ac:dyDescent="0.3">
      <c r="G6085" s="75">
        <v>6082</v>
      </c>
      <c r="H6085">
        <f t="shared" ca="1" si="81"/>
        <v>-1.5132248310547179E-2</v>
      </c>
    </row>
    <row r="6086" spans="7:8" x14ac:dyDescent="0.3">
      <c r="G6086" s="75">
        <v>6083</v>
      </c>
      <c r="H6086">
        <f t="shared" ca="1" si="81"/>
        <v>4.0398172288573023E-3</v>
      </c>
    </row>
    <row r="6087" spans="7:8" x14ac:dyDescent="0.3">
      <c r="G6087" s="75">
        <v>6084</v>
      </c>
      <c r="H6087">
        <f t="shared" ca="1" si="81"/>
        <v>-1.4093794568156803E-2</v>
      </c>
    </row>
    <row r="6088" spans="7:8" x14ac:dyDescent="0.3">
      <c r="G6088" s="75">
        <v>6085</v>
      </c>
      <c r="H6088">
        <f t="shared" ca="1" si="81"/>
        <v>2.2866416424527788E-3</v>
      </c>
    </row>
    <row r="6089" spans="7:8" x14ac:dyDescent="0.3">
      <c r="G6089" s="75">
        <v>6086</v>
      </c>
      <c r="H6089">
        <f t="shared" ca="1" si="81"/>
        <v>-1.6649966076655301E-3</v>
      </c>
    </row>
    <row r="6090" spans="7:8" x14ac:dyDescent="0.3">
      <c r="G6090" s="75">
        <v>6087</v>
      </c>
      <c r="H6090">
        <f t="shared" ca="1" si="81"/>
        <v>-9.6884199495460774E-3</v>
      </c>
    </row>
    <row r="6091" spans="7:8" x14ac:dyDescent="0.3">
      <c r="G6091" s="75">
        <v>6088</v>
      </c>
      <c r="H6091">
        <f t="shared" ca="1" si="81"/>
        <v>-1.9697125529534173E-2</v>
      </c>
    </row>
    <row r="6092" spans="7:8" x14ac:dyDescent="0.3">
      <c r="G6092" s="75">
        <v>6089</v>
      </c>
      <c r="H6092">
        <f t="shared" ca="1" si="81"/>
        <v>-1.3483774099480482E-2</v>
      </c>
    </row>
    <row r="6093" spans="7:8" x14ac:dyDescent="0.3">
      <c r="G6093" s="75">
        <v>6090</v>
      </c>
      <c r="H6093">
        <f t="shared" ca="1" si="81"/>
        <v>-7.3776491088680778E-3</v>
      </c>
    </row>
    <row r="6094" spans="7:8" x14ac:dyDescent="0.3">
      <c r="G6094" s="75">
        <v>6091</v>
      </c>
      <c r="H6094">
        <f t="shared" ca="1" si="81"/>
        <v>9.1613392932842555E-3</v>
      </c>
    </row>
    <row r="6095" spans="7:8" x14ac:dyDescent="0.3">
      <c r="G6095" s="75">
        <v>6092</v>
      </c>
      <c r="H6095">
        <f t="shared" ca="1" si="81"/>
        <v>-2.0222125004703852E-2</v>
      </c>
    </row>
    <row r="6096" spans="7:8" x14ac:dyDescent="0.3">
      <c r="G6096" s="75">
        <v>6093</v>
      </c>
      <c r="H6096">
        <f t="shared" ca="1" si="81"/>
        <v>-4.2935653821099453E-3</v>
      </c>
    </row>
    <row r="6097" spans="7:8" x14ac:dyDescent="0.3">
      <c r="G6097" s="75">
        <v>6094</v>
      </c>
      <c r="H6097">
        <f t="shared" ca="1" si="81"/>
        <v>2.1394818637280352E-3</v>
      </c>
    </row>
    <row r="6098" spans="7:8" x14ac:dyDescent="0.3">
      <c r="G6098" s="75">
        <v>6095</v>
      </c>
      <c r="H6098">
        <f t="shared" ca="1" si="81"/>
        <v>-1.0955702948418015E-2</v>
      </c>
    </row>
    <row r="6099" spans="7:8" x14ac:dyDescent="0.3">
      <c r="G6099" s="75">
        <v>6096</v>
      </c>
      <c r="H6099">
        <f t="shared" ca="1" si="81"/>
        <v>-1.9715739952019033E-2</v>
      </c>
    </row>
    <row r="6100" spans="7:8" x14ac:dyDescent="0.3">
      <c r="G6100" s="75">
        <v>6097</v>
      </c>
      <c r="H6100">
        <f t="shared" ca="1" si="81"/>
        <v>3.7286038301733111E-2</v>
      </c>
    </row>
    <row r="6101" spans="7:8" x14ac:dyDescent="0.3">
      <c r="G6101" s="75">
        <v>6098</v>
      </c>
      <c r="H6101">
        <f t="shared" ca="1" si="81"/>
        <v>6.0265828233613435E-4</v>
      </c>
    </row>
    <row r="6102" spans="7:8" x14ac:dyDescent="0.3">
      <c r="G6102" s="75">
        <v>6099</v>
      </c>
      <c r="H6102">
        <f t="shared" ca="1" si="81"/>
        <v>-2.2278532488994884E-3</v>
      </c>
    </row>
    <row r="6103" spans="7:8" x14ac:dyDescent="0.3">
      <c r="G6103" s="75">
        <v>6100</v>
      </c>
      <c r="H6103">
        <f t="shared" ca="1" si="81"/>
        <v>-1.8788643436859362E-2</v>
      </c>
    </row>
    <row r="6104" spans="7:8" x14ac:dyDescent="0.3">
      <c r="G6104" s="75">
        <v>6101</v>
      </c>
      <c r="H6104">
        <f t="shared" ca="1" si="81"/>
        <v>4.1561699473039969E-3</v>
      </c>
    </row>
    <row r="6105" spans="7:8" x14ac:dyDescent="0.3">
      <c r="G6105" s="75">
        <v>6102</v>
      </c>
      <c r="H6105">
        <f t="shared" ca="1" si="81"/>
        <v>1.6887683164972155E-2</v>
      </c>
    </row>
    <row r="6106" spans="7:8" x14ac:dyDescent="0.3">
      <c r="G6106" s="75">
        <v>6103</v>
      </c>
      <c r="H6106">
        <f t="shared" ca="1" si="81"/>
        <v>-7.0066625481810816E-3</v>
      </c>
    </row>
    <row r="6107" spans="7:8" x14ac:dyDescent="0.3">
      <c r="G6107" s="75">
        <v>6104</v>
      </c>
      <c r="H6107">
        <f t="shared" ca="1" si="81"/>
        <v>3.5266774286175407E-4</v>
      </c>
    </row>
    <row r="6108" spans="7:8" x14ac:dyDescent="0.3">
      <c r="G6108" s="75">
        <v>6105</v>
      </c>
      <c r="H6108">
        <f t="shared" ca="1" si="81"/>
        <v>-9.733167268719732E-4</v>
      </c>
    </row>
    <row r="6109" spans="7:8" x14ac:dyDescent="0.3">
      <c r="G6109" s="75">
        <v>6106</v>
      </c>
      <c r="H6109">
        <f t="shared" ca="1" si="81"/>
        <v>6.7097946619994455E-3</v>
      </c>
    </row>
    <row r="6110" spans="7:8" x14ac:dyDescent="0.3">
      <c r="G6110" s="75">
        <v>6107</v>
      </c>
      <c r="H6110">
        <f t="shared" ca="1" si="81"/>
        <v>-1.151503148340307E-2</v>
      </c>
    </row>
    <row r="6111" spans="7:8" x14ac:dyDescent="0.3">
      <c r="G6111" s="75">
        <v>6108</v>
      </c>
      <c r="H6111">
        <f t="shared" ca="1" si="81"/>
        <v>1.811978249434533E-2</v>
      </c>
    </row>
    <row r="6112" spans="7:8" x14ac:dyDescent="0.3">
      <c r="G6112" s="75">
        <v>6109</v>
      </c>
      <c r="H6112">
        <f t="shared" ca="1" si="81"/>
        <v>2.0870505873089452E-2</v>
      </c>
    </row>
    <row r="6113" spans="7:8" x14ac:dyDescent="0.3">
      <c r="G6113" s="75">
        <v>6110</v>
      </c>
      <c r="H6113">
        <f t="shared" ca="1" si="81"/>
        <v>-3.3264578122359863E-4</v>
      </c>
    </row>
    <row r="6114" spans="7:8" x14ac:dyDescent="0.3">
      <c r="G6114" s="75">
        <v>6111</v>
      </c>
      <c r="H6114">
        <f t="shared" ca="1" si="81"/>
        <v>1.5720444009672783E-2</v>
      </c>
    </row>
    <row r="6115" spans="7:8" x14ac:dyDescent="0.3">
      <c r="G6115" s="75">
        <v>6112</v>
      </c>
      <c r="H6115">
        <f t="shared" ca="1" si="81"/>
        <v>2.6433464370454636E-3</v>
      </c>
    </row>
    <row r="6116" spans="7:8" x14ac:dyDescent="0.3">
      <c r="G6116" s="75">
        <v>6113</v>
      </c>
      <c r="H6116">
        <f t="shared" ca="1" si="81"/>
        <v>-2.8411758438083691E-3</v>
      </c>
    </row>
    <row r="6117" spans="7:8" x14ac:dyDescent="0.3">
      <c r="G6117" s="75">
        <v>6114</v>
      </c>
      <c r="H6117">
        <f t="shared" ca="1" si="81"/>
        <v>-6.7338608876526384E-3</v>
      </c>
    </row>
    <row r="6118" spans="7:8" x14ac:dyDescent="0.3">
      <c r="G6118" s="75">
        <v>6115</v>
      </c>
      <c r="H6118">
        <f t="shared" ca="1" si="81"/>
        <v>-1.2233105932909182E-2</v>
      </c>
    </row>
    <row r="6119" spans="7:8" x14ac:dyDescent="0.3">
      <c r="G6119" s="75">
        <v>6116</v>
      </c>
      <c r="H6119">
        <f t="shared" ca="1" si="81"/>
        <v>-1.0629131994546102E-2</v>
      </c>
    </row>
    <row r="6120" spans="7:8" x14ac:dyDescent="0.3">
      <c r="G6120" s="75">
        <v>6117</v>
      </c>
      <c r="H6120">
        <f t="shared" ca="1" si="81"/>
        <v>-6.7093604628623554E-3</v>
      </c>
    </row>
    <row r="6121" spans="7:8" x14ac:dyDescent="0.3">
      <c r="G6121" s="75">
        <v>6118</v>
      </c>
      <c r="H6121">
        <f t="shared" ca="1" si="81"/>
        <v>-2.3124630846061114E-2</v>
      </c>
    </row>
    <row r="6122" spans="7:8" x14ac:dyDescent="0.3">
      <c r="G6122" s="75">
        <v>6119</v>
      </c>
      <c r="H6122">
        <f t="shared" ca="1" si="81"/>
        <v>-3.1008446632635484E-3</v>
      </c>
    </row>
    <row r="6123" spans="7:8" x14ac:dyDescent="0.3">
      <c r="G6123" s="75">
        <v>6120</v>
      </c>
      <c r="H6123">
        <f t="shared" ca="1" si="81"/>
        <v>-5.4729585491965728E-3</v>
      </c>
    </row>
    <row r="6124" spans="7:8" x14ac:dyDescent="0.3">
      <c r="G6124" s="75">
        <v>6121</v>
      </c>
      <c r="H6124">
        <f t="shared" ca="1" si="81"/>
        <v>-1.5605303877636659E-3</v>
      </c>
    </row>
    <row r="6125" spans="7:8" x14ac:dyDescent="0.3">
      <c r="G6125" s="75">
        <v>6122</v>
      </c>
      <c r="H6125">
        <f t="shared" ca="1" si="81"/>
        <v>4.3320748784155044E-3</v>
      </c>
    </row>
    <row r="6126" spans="7:8" x14ac:dyDescent="0.3">
      <c r="G6126" s="75">
        <v>6123</v>
      </c>
      <c r="H6126">
        <f t="shared" ca="1" si="81"/>
        <v>-2.2915238437800977E-2</v>
      </c>
    </row>
    <row r="6127" spans="7:8" x14ac:dyDescent="0.3">
      <c r="G6127" s="75">
        <v>6124</v>
      </c>
      <c r="H6127">
        <f t="shared" ca="1" si="81"/>
        <v>3.0073203072902284E-3</v>
      </c>
    </row>
    <row r="6128" spans="7:8" x14ac:dyDescent="0.3">
      <c r="G6128" s="75">
        <v>6125</v>
      </c>
      <c r="H6128">
        <f t="shared" ca="1" si="81"/>
        <v>1.2977907856112438E-2</v>
      </c>
    </row>
    <row r="6129" spans="7:8" x14ac:dyDescent="0.3">
      <c r="G6129" s="75">
        <v>6126</v>
      </c>
      <c r="H6129">
        <f t="shared" ca="1" si="81"/>
        <v>4.9328182518801654E-3</v>
      </c>
    </row>
    <row r="6130" spans="7:8" x14ac:dyDescent="0.3">
      <c r="G6130" s="75">
        <v>6127</v>
      </c>
      <c r="H6130">
        <f t="shared" ca="1" si="81"/>
        <v>-8.2911529667917261E-3</v>
      </c>
    </row>
    <row r="6131" spans="7:8" x14ac:dyDescent="0.3">
      <c r="G6131" s="75">
        <v>6128</v>
      </c>
      <c r="H6131">
        <f t="shared" ca="1" si="81"/>
        <v>8.6725083309157243E-3</v>
      </c>
    </row>
    <row r="6132" spans="7:8" x14ac:dyDescent="0.3">
      <c r="G6132" s="75">
        <v>6129</v>
      </c>
      <c r="H6132">
        <f t="shared" ca="1" si="81"/>
        <v>3.9206860108538209E-3</v>
      </c>
    </row>
    <row r="6133" spans="7:8" x14ac:dyDescent="0.3">
      <c r="G6133" s="75">
        <v>6130</v>
      </c>
      <c r="H6133">
        <f t="shared" ca="1" si="81"/>
        <v>-3.597997546139867E-4</v>
      </c>
    </row>
    <row r="6134" spans="7:8" x14ac:dyDescent="0.3">
      <c r="G6134" s="75">
        <v>6131</v>
      </c>
      <c r="H6134">
        <f t="shared" ca="1" si="81"/>
        <v>-9.9093277024181435E-3</v>
      </c>
    </row>
    <row r="6135" spans="7:8" x14ac:dyDescent="0.3">
      <c r="G6135" s="75">
        <v>6132</v>
      </c>
      <c r="H6135">
        <f t="shared" ca="1" si="81"/>
        <v>-1.182896292860779E-2</v>
      </c>
    </row>
    <row r="6136" spans="7:8" x14ac:dyDescent="0.3">
      <c r="G6136" s="75">
        <v>6133</v>
      </c>
      <c r="H6136">
        <f t="shared" ca="1" si="81"/>
        <v>1.6014036840228812E-3</v>
      </c>
    </row>
    <row r="6137" spans="7:8" x14ac:dyDescent="0.3">
      <c r="G6137" s="75">
        <v>6134</v>
      </c>
      <c r="H6137">
        <f t="shared" ca="1" si="81"/>
        <v>8.0866695142760674E-3</v>
      </c>
    </row>
    <row r="6138" spans="7:8" x14ac:dyDescent="0.3">
      <c r="G6138" s="75">
        <v>6135</v>
      </c>
      <c r="H6138">
        <f t="shared" ca="1" si="81"/>
        <v>8.0858497407680346E-3</v>
      </c>
    </row>
    <row r="6139" spans="7:8" x14ac:dyDescent="0.3">
      <c r="G6139" s="75">
        <v>6136</v>
      </c>
      <c r="H6139">
        <f t="shared" ca="1" si="81"/>
        <v>2.4648778766462442E-3</v>
      </c>
    </row>
    <row r="6140" spans="7:8" x14ac:dyDescent="0.3">
      <c r="G6140" s="75">
        <v>6137</v>
      </c>
      <c r="H6140">
        <f t="shared" ca="1" si="81"/>
        <v>-1.0347035745581572E-3</v>
      </c>
    </row>
    <row r="6141" spans="7:8" x14ac:dyDescent="0.3">
      <c r="G6141" s="75">
        <v>6138</v>
      </c>
      <c r="H6141">
        <f t="shared" ca="1" si="81"/>
        <v>-2.4295883034280319E-2</v>
      </c>
    </row>
    <row r="6142" spans="7:8" x14ac:dyDescent="0.3">
      <c r="G6142" s="75">
        <v>6139</v>
      </c>
      <c r="H6142">
        <f t="shared" ca="1" si="81"/>
        <v>1.3058794003403887E-2</v>
      </c>
    </row>
    <row r="6143" spans="7:8" x14ac:dyDescent="0.3">
      <c r="G6143" s="75">
        <v>6140</v>
      </c>
      <c r="H6143">
        <f t="shared" ca="1" si="81"/>
        <v>5.0103761681568647E-3</v>
      </c>
    </row>
    <row r="6144" spans="7:8" x14ac:dyDescent="0.3">
      <c r="G6144" s="75">
        <v>6141</v>
      </c>
      <c r="H6144">
        <f t="shared" ca="1" si="81"/>
        <v>2.5312948452251177E-3</v>
      </c>
    </row>
    <row r="6145" spans="7:8" x14ac:dyDescent="0.3">
      <c r="G6145" s="75">
        <v>6142</v>
      </c>
      <c r="H6145">
        <f t="shared" ca="1" si="81"/>
        <v>1.7663243453830075E-3</v>
      </c>
    </row>
    <row r="6146" spans="7:8" x14ac:dyDescent="0.3">
      <c r="G6146" s="75">
        <v>6143</v>
      </c>
      <c r="H6146">
        <f t="shared" ref="H6146:H6209" ca="1" si="82">_xlfn.NORM.INV(RAND(),$N$4,$N$5)</f>
        <v>-5.5570011530638366E-3</v>
      </c>
    </row>
    <row r="6147" spans="7:8" x14ac:dyDescent="0.3">
      <c r="G6147" s="75">
        <v>6144</v>
      </c>
      <c r="H6147">
        <f t="shared" ca="1" si="82"/>
        <v>-2.6494908933509791E-5</v>
      </c>
    </row>
    <row r="6148" spans="7:8" x14ac:dyDescent="0.3">
      <c r="G6148" s="75">
        <v>6145</v>
      </c>
      <c r="H6148">
        <f t="shared" ca="1" si="82"/>
        <v>2.0165884157200081E-2</v>
      </c>
    </row>
    <row r="6149" spans="7:8" x14ac:dyDescent="0.3">
      <c r="G6149" s="75">
        <v>6146</v>
      </c>
      <c r="H6149">
        <f t="shared" ca="1" si="82"/>
        <v>-1.5455861156978315E-2</v>
      </c>
    </row>
    <row r="6150" spans="7:8" x14ac:dyDescent="0.3">
      <c r="G6150" s="75">
        <v>6147</v>
      </c>
      <c r="H6150">
        <f t="shared" ca="1" si="82"/>
        <v>-6.2480639471889894E-3</v>
      </c>
    </row>
    <row r="6151" spans="7:8" x14ac:dyDescent="0.3">
      <c r="G6151" s="75">
        <v>6148</v>
      </c>
      <c r="H6151">
        <f t="shared" ca="1" si="82"/>
        <v>1.4129427180598992E-2</v>
      </c>
    </row>
    <row r="6152" spans="7:8" x14ac:dyDescent="0.3">
      <c r="G6152" s="75">
        <v>6149</v>
      </c>
      <c r="H6152">
        <f t="shared" ca="1" si="82"/>
        <v>-1.440465102541991E-2</v>
      </c>
    </row>
    <row r="6153" spans="7:8" x14ac:dyDescent="0.3">
      <c r="G6153" s="75">
        <v>6150</v>
      </c>
      <c r="H6153">
        <f t="shared" ca="1" si="82"/>
        <v>-2.0948464303218763E-3</v>
      </c>
    </row>
    <row r="6154" spans="7:8" x14ac:dyDescent="0.3">
      <c r="G6154" s="75">
        <v>6151</v>
      </c>
      <c r="H6154">
        <f t="shared" ca="1" si="82"/>
        <v>1.7720465600955519E-2</v>
      </c>
    </row>
    <row r="6155" spans="7:8" x14ac:dyDescent="0.3">
      <c r="G6155" s="75">
        <v>6152</v>
      </c>
      <c r="H6155">
        <f t="shared" ca="1" si="82"/>
        <v>-1.9888856482507454E-2</v>
      </c>
    </row>
    <row r="6156" spans="7:8" x14ac:dyDescent="0.3">
      <c r="G6156" s="75">
        <v>6153</v>
      </c>
      <c r="H6156">
        <f t="shared" ca="1" si="82"/>
        <v>4.7035420341635503E-4</v>
      </c>
    </row>
    <row r="6157" spans="7:8" x14ac:dyDescent="0.3">
      <c r="G6157" s="75">
        <v>6154</v>
      </c>
      <c r="H6157">
        <f t="shared" ca="1" si="82"/>
        <v>1.5732813133976214E-3</v>
      </c>
    </row>
    <row r="6158" spans="7:8" x14ac:dyDescent="0.3">
      <c r="G6158" s="75">
        <v>6155</v>
      </c>
      <c r="H6158">
        <f t="shared" ca="1" si="82"/>
        <v>5.700978806767675E-3</v>
      </c>
    </row>
    <row r="6159" spans="7:8" x14ac:dyDescent="0.3">
      <c r="G6159" s="75">
        <v>6156</v>
      </c>
      <c r="H6159">
        <f t="shared" ca="1" si="82"/>
        <v>-1.1320170545187186E-2</v>
      </c>
    </row>
    <row r="6160" spans="7:8" x14ac:dyDescent="0.3">
      <c r="G6160" s="75">
        <v>6157</v>
      </c>
      <c r="H6160">
        <f t="shared" ca="1" si="82"/>
        <v>-1.6187061141815867E-2</v>
      </c>
    </row>
    <row r="6161" spans="7:8" x14ac:dyDescent="0.3">
      <c r="G6161" s="75">
        <v>6158</v>
      </c>
      <c r="H6161">
        <f t="shared" ca="1" si="82"/>
        <v>6.3911663262711796E-3</v>
      </c>
    </row>
    <row r="6162" spans="7:8" x14ac:dyDescent="0.3">
      <c r="G6162" s="75">
        <v>6159</v>
      </c>
      <c r="H6162">
        <f t="shared" ca="1" si="82"/>
        <v>-5.8114823610265027E-3</v>
      </c>
    </row>
    <row r="6163" spans="7:8" x14ac:dyDescent="0.3">
      <c r="G6163" s="75">
        <v>6160</v>
      </c>
      <c r="H6163">
        <f t="shared" ca="1" si="82"/>
        <v>-1.6425727562869058E-2</v>
      </c>
    </row>
    <row r="6164" spans="7:8" x14ac:dyDescent="0.3">
      <c r="G6164" s="75">
        <v>6161</v>
      </c>
      <c r="H6164">
        <f t="shared" ca="1" si="82"/>
        <v>1.3481075238195561E-2</v>
      </c>
    </row>
    <row r="6165" spans="7:8" x14ac:dyDescent="0.3">
      <c r="G6165" s="75">
        <v>6162</v>
      </c>
      <c r="H6165">
        <f t="shared" ca="1" si="82"/>
        <v>1.8590197040358761E-2</v>
      </c>
    </row>
    <row r="6166" spans="7:8" x14ac:dyDescent="0.3">
      <c r="G6166" s="75">
        <v>6163</v>
      </c>
      <c r="H6166">
        <f t="shared" ca="1" si="82"/>
        <v>-1.2166244140812731E-3</v>
      </c>
    </row>
    <row r="6167" spans="7:8" x14ac:dyDescent="0.3">
      <c r="G6167" s="75">
        <v>6164</v>
      </c>
      <c r="H6167">
        <f t="shared" ca="1" si="82"/>
        <v>-1.0705543114069989E-2</v>
      </c>
    </row>
    <row r="6168" spans="7:8" x14ac:dyDescent="0.3">
      <c r="G6168" s="75">
        <v>6165</v>
      </c>
      <c r="H6168">
        <f t="shared" ca="1" si="82"/>
        <v>2.7364549315978492E-2</v>
      </c>
    </row>
    <row r="6169" spans="7:8" x14ac:dyDescent="0.3">
      <c r="G6169" s="75">
        <v>6166</v>
      </c>
      <c r="H6169">
        <f t="shared" ca="1" si="82"/>
        <v>-7.9660938657735887E-3</v>
      </c>
    </row>
    <row r="6170" spans="7:8" x14ac:dyDescent="0.3">
      <c r="G6170" s="75">
        <v>6167</v>
      </c>
      <c r="H6170">
        <f t="shared" ca="1" si="82"/>
        <v>-5.4846612968824232E-3</v>
      </c>
    </row>
    <row r="6171" spans="7:8" x14ac:dyDescent="0.3">
      <c r="G6171" s="75">
        <v>6168</v>
      </c>
      <c r="H6171">
        <f t="shared" ca="1" si="82"/>
        <v>-4.2549325001474507E-3</v>
      </c>
    </row>
    <row r="6172" spans="7:8" x14ac:dyDescent="0.3">
      <c r="G6172" s="75">
        <v>6169</v>
      </c>
      <c r="H6172">
        <f t="shared" ca="1" si="82"/>
        <v>2.2499087149849068E-2</v>
      </c>
    </row>
    <row r="6173" spans="7:8" x14ac:dyDescent="0.3">
      <c r="G6173" s="75">
        <v>6170</v>
      </c>
      <c r="H6173">
        <f t="shared" ca="1" si="82"/>
        <v>1.963540480892256E-2</v>
      </c>
    </row>
    <row r="6174" spans="7:8" x14ac:dyDescent="0.3">
      <c r="G6174" s="75">
        <v>6171</v>
      </c>
      <c r="H6174">
        <f t="shared" ca="1" si="82"/>
        <v>1.411775252762873E-2</v>
      </c>
    </row>
    <row r="6175" spans="7:8" x14ac:dyDescent="0.3">
      <c r="G6175" s="75">
        <v>6172</v>
      </c>
      <c r="H6175">
        <f t="shared" ca="1" si="82"/>
        <v>-9.7455763780278197E-3</v>
      </c>
    </row>
    <row r="6176" spans="7:8" x14ac:dyDescent="0.3">
      <c r="G6176" s="75">
        <v>6173</v>
      </c>
      <c r="H6176">
        <f t="shared" ca="1" si="82"/>
        <v>-1.2065902554043936E-2</v>
      </c>
    </row>
    <row r="6177" spans="7:8" x14ac:dyDescent="0.3">
      <c r="G6177" s="75">
        <v>6174</v>
      </c>
      <c r="H6177">
        <f t="shared" ca="1" si="82"/>
        <v>1.6827783274262747E-3</v>
      </c>
    </row>
    <row r="6178" spans="7:8" x14ac:dyDescent="0.3">
      <c r="G6178" s="75">
        <v>6175</v>
      </c>
      <c r="H6178">
        <f t="shared" ca="1" si="82"/>
        <v>1.6153665691393666E-2</v>
      </c>
    </row>
    <row r="6179" spans="7:8" x14ac:dyDescent="0.3">
      <c r="G6179" s="75">
        <v>6176</v>
      </c>
      <c r="H6179">
        <f t="shared" ca="1" si="82"/>
        <v>-1.0042847775232833E-2</v>
      </c>
    </row>
    <row r="6180" spans="7:8" x14ac:dyDescent="0.3">
      <c r="G6180" s="75">
        <v>6177</v>
      </c>
      <c r="H6180">
        <f t="shared" ca="1" si="82"/>
        <v>-8.0487470308653938E-3</v>
      </c>
    </row>
    <row r="6181" spans="7:8" x14ac:dyDescent="0.3">
      <c r="G6181" s="75">
        <v>6178</v>
      </c>
      <c r="H6181">
        <f t="shared" ca="1" si="82"/>
        <v>1.2229238666517669E-2</v>
      </c>
    </row>
    <row r="6182" spans="7:8" x14ac:dyDescent="0.3">
      <c r="G6182" s="75">
        <v>6179</v>
      </c>
      <c r="H6182">
        <f t="shared" ca="1" si="82"/>
        <v>-2.9640742648070462E-3</v>
      </c>
    </row>
    <row r="6183" spans="7:8" x14ac:dyDescent="0.3">
      <c r="G6183" s="75">
        <v>6180</v>
      </c>
      <c r="H6183">
        <f t="shared" ca="1" si="82"/>
        <v>-1.0878670075010194E-2</v>
      </c>
    </row>
    <row r="6184" spans="7:8" x14ac:dyDescent="0.3">
      <c r="G6184" s="75">
        <v>6181</v>
      </c>
      <c r="H6184">
        <f t="shared" ca="1" si="82"/>
        <v>8.1066484173080954E-3</v>
      </c>
    </row>
    <row r="6185" spans="7:8" x14ac:dyDescent="0.3">
      <c r="G6185" s="75">
        <v>6182</v>
      </c>
      <c r="H6185">
        <f t="shared" ca="1" si="82"/>
        <v>-1.9348982561680984E-2</v>
      </c>
    </row>
    <row r="6186" spans="7:8" x14ac:dyDescent="0.3">
      <c r="G6186" s="75">
        <v>6183</v>
      </c>
      <c r="H6186">
        <f t="shared" ca="1" si="82"/>
        <v>-2.2980416066616372E-2</v>
      </c>
    </row>
    <row r="6187" spans="7:8" x14ac:dyDescent="0.3">
      <c r="G6187" s="75">
        <v>6184</v>
      </c>
      <c r="H6187">
        <f t="shared" ca="1" si="82"/>
        <v>-5.6675764162967342E-5</v>
      </c>
    </row>
    <row r="6188" spans="7:8" x14ac:dyDescent="0.3">
      <c r="G6188" s="75">
        <v>6185</v>
      </c>
      <c r="H6188">
        <f t="shared" ca="1" si="82"/>
        <v>-2.0391873381793407E-2</v>
      </c>
    </row>
    <row r="6189" spans="7:8" x14ac:dyDescent="0.3">
      <c r="G6189" s="75">
        <v>6186</v>
      </c>
      <c r="H6189">
        <f t="shared" ca="1" si="82"/>
        <v>-3.5005981298590989E-3</v>
      </c>
    </row>
    <row r="6190" spans="7:8" x14ac:dyDescent="0.3">
      <c r="G6190" s="75">
        <v>6187</v>
      </c>
      <c r="H6190">
        <f t="shared" ca="1" si="82"/>
        <v>-1.7389741677179334E-2</v>
      </c>
    </row>
    <row r="6191" spans="7:8" x14ac:dyDescent="0.3">
      <c r="G6191" s="75">
        <v>6188</v>
      </c>
      <c r="H6191">
        <f t="shared" ca="1" si="82"/>
        <v>-1.3543981896172666E-2</v>
      </c>
    </row>
    <row r="6192" spans="7:8" x14ac:dyDescent="0.3">
      <c r="G6192" s="75">
        <v>6189</v>
      </c>
      <c r="H6192">
        <f t="shared" ca="1" si="82"/>
        <v>3.7068364168584052E-3</v>
      </c>
    </row>
    <row r="6193" spans="7:8" x14ac:dyDescent="0.3">
      <c r="G6193" s="75">
        <v>6190</v>
      </c>
      <c r="H6193">
        <f t="shared" ca="1" si="82"/>
        <v>-1.6240442077956101E-2</v>
      </c>
    </row>
    <row r="6194" spans="7:8" x14ac:dyDescent="0.3">
      <c r="G6194" s="75">
        <v>6191</v>
      </c>
      <c r="H6194">
        <f t="shared" ca="1" si="82"/>
        <v>-2.5396817741364507E-2</v>
      </c>
    </row>
    <row r="6195" spans="7:8" x14ac:dyDescent="0.3">
      <c r="G6195" s="75">
        <v>6192</v>
      </c>
      <c r="H6195">
        <f t="shared" ca="1" si="82"/>
        <v>1.7902448019830985E-2</v>
      </c>
    </row>
    <row r="6196" spans="7:8" x14ac:dyDescent="0.3">
      <c r="G6196" s="75">
        <v>6193</v>
      </c>
      <c r="H6196">
        <f t="shared" ca="1" si="82"/>
        <v>4.0155381637100883E-2</v>
      </c>
    </row>
    <row r="6197" spans="7:8" x14ac:dyDescent="0.3">
      <c r="G6197" s="75">
        <v>6194</v>
      </c>
      <c r="H6197">
        <f t="shared" ca="1" si="82"/>
        <v>3.0540794162500464E-2</v>
      </c>
    </row>
    <row r="6198" spans="7:8" x14ac:dyDescent="0.3">
      <c r="G6198" s="75">
        <v>6195</v>
      </c>
      <c r="H6198">
        <f t="shared" ca="1" si="82"/>
        <v>2.7074515934621653E-3</v>
      </c>
    </row>
    <row r="6199" spans="7:8" x14ac:dyDescent="0.3">
      <c r="G6199" s="75">
        <v>6196</v>
      </c>
      <c r="H6199">
        <f t="shared" ca="1" si="82"/>
        <v>4.4555992517768227E-3</v>
      </c>
    </row>
    <row r="6200" spans="7:8" x14ac:dyDescent="0.3">
      <c r="G6200" s="75">
        <v>6197</v>
      </c>
      <c r="H6200">
        <f t="shared" ca="1" si="82"/>
        <v>-2.4753721749913995E-2</v>
      </c>
    </row>
    <row r="6201" spans="7:8" x14ac:dyDescent="0.3">
      <c r="G6201" s="75">
        <v>6198</v>
      </c>
      <c r="H6201">
        <f t="shared" ca="1" si="82"/>
        <v>-3.0514243783042131E-2</v>
      </c>
    </row>
    <row r="6202" spans="7:8" x14ac:dyDescent="0.3">
      <c r="G6202" s="75">
        <v>6199</v>
      </c>
      <c r="H6202">
        <f t="shared" ca="1" si="82"/>
        <v>1.4677653089680094E-3</v>
      </c>
    </row>
    <row r="6203" spans="7:8" x14ac:dyDescent="0.3">
      <c r="G6203" s="75">
        <v>6200</v>
      </c>
      <c r="H6203">
        <f t="shared" ca="1" si="82"/>
        <v>-1.8371739853340384E-3</v>
      </c>
    </row>
    <row r="6204" spans="7:8" x14ac:dyDescent="0.3">
      <c r="G6204" s="75">
        <v>6201</v>
      </c>
      <c r="H6204">
        <f t="shared" ca="1" si="82"/>
        <v>-2.1192606561229232E-2</v>
      </c>
    </row>
    <row r="6205" spans="7:8" x14ac:dyDescent="0.3">
      <c r="G6205" s="75">
        <v>6202</v>
      </c>
      <c r="H6205">
        <f t="shared" ca="1" si="82"/>
        <v>-1.9942977719463045E-2</v>
      </c>
    </row>
    <row r="6206" spans="7:8" x14ac:dyDescent="0.3">
      <c r="G6206" s="75">
        <v>6203</v>
      </c>
      <c r="H6206">
        <f t="shared" ca="1" si="82"/>
        <v>-4.5977673481977805E-3</v>
      </c>
    </row>
    <row r="6207" spans="7:8" x14ac:dyDescent="0.3">
      <c r="G6207" s="75">
        <v>6204</v>
      </c>
      <c r="H6207">
        <f t="shared" ca="1" si="82"/>
        <v>-4.7028455972438496E-3</v>
      </c>
    </row>
    <row r="6208" spans="7:8" x14ac:dyDescent="0.3">
      <c r="G6208" s="75">
        <v>6205</v>
      </c>
      <c r="H6208">
        <f t="shared" ca="1" si="82"/>
        <v>2.6114198938346289E-3</v>
      </c>
    </row>
    <row r="6209" spans="7:8" x14ac:dyDescent="0.3">
      <c r="G6209" s="75">
        <v>6206</v>
      </c>
      <c r="H6209">
        <f t="shared" ca="1" si="82"/>
        <v>2.1422238815590283E-2</v>
      </c>
    </row>
    <row r="6210" spans="7:8" x14ac:dyDescent="0.3">
      <c r="G6210" s="75">
        <v>6207</v>
      </c>
      <c r="H6210">
        <f t="shared" ref="H6210:H6273" ca="1" si="83">_xlfn.NORM.INV(RAND(),$N$4,$N$5)</f>
        <v>-1.6990024504952333E-2</v>
      </c>
    </row>
    <row r="6211" spans="7:8" x14ac:dyDescent="0.3">
      <c r="G6211" s="75">
        <v>6208</v>
      </c>
      <c r="H6211">
        <f t="shared" ca="1" si="83"/>
        <v>8.2161928494553071E-3</v>
      </c>
    </row>
    <row r="6212" spans="7:8" x14ac:dyDescent="0.3">
      <c r="G6212" s="75">
        <v>6209</v>
      </c>
      <c r="H6212">
        <f t="shared" ca="1" si="83"/>
        <v>-8.6691464016052742E-3</v>
      </c>
    </row>
    <row r="6213" spans="7:8" x14ac:dyDescent="0.3">
      <c r="G6213" s="75">
        <v>6210</v>
      </c>
      <c r="H6213">
        <f t="shared" ca="1" si="83"/>
        <v>-5.4591188108038856E-3</v>
      </c>
    </row>
    <row r="6214" spans="7:8" x14ac:dyDescent="0.3">
      <c r="G6214" s="75">
        <v>6211</v>
      </c>
      <c r="H6214">
        <f t="shared" ca="1" si="83"/>
        <v>2.0239185792003605E-2</v>
      </c>
    </row>
    <row r="6215" spans="7:8" x14ac:dyDescent="0.3">
      <c r="G6215" s="75">
        <v>6212</v>
      </c>
      <c r="H6215">
        <f t="shared" ca="1" si="83"/>
        <v>1.4379877966506048E-3</v>
      </c>
    </row>
    <row r="6216" spans="7:8" x14ac:dyDescent="0.3">
      <c r="G6216" s="75">
        <v>6213</v>
      </c>
      <c r="H6216">
        <f t="shared" ca="1" si="83"/>
        <v>1.2466485508365958E-2</v>
      </c>
    </row>
    <row r="6217" spans="7:8" x14ac:dyDescent="0.3">
      <c r="G6217" s="75">
        <v>6214</v>
      </c>
      <c r="H6217">
        <f t="shared" ca="1" si="83"/>
        <v>6.7647296597448574E-3</v>
      </c>
    </row>
    <row r="6218" spans="7:8" x14ac:dyDescent="0.3">
      <c r="G6218" s="75">
        <v>6215</v>
      </c>
      <c r="H6218">
        <f t="shared" ca="1" si="83"/>
        <v>1.8435169544941667E-4</v>
      </c>
    </row>
    <row r="6219" spans="7:8" x14ac:dyDescent="0.3">
      <c r="G6219" s="75">
        <v>6216</v>
      </c>
      <c r="H6219">
        <f t="shared" ca="1" si="83"/>
        <v>1.1916662356652699E-3</v>
      </c>
    </row>
    <row r="6220" spans="7:8" x14ac:dyDescent="0.3">
      <c r="G6220" s="75">
        <v>6217</v>
      </c>
      <c r="H6220">
        <f t="shared" ca="1" si="83"/>
        <v>2.9079666070932907E-3</v>
      </c>
    </row>
    <row r="6221" spans="7:8" x14ac:dyDescent="0.3">
      <c r="G6221" s="75">
        <v>6218</v>
      </c>
      <c r="H6221">
        <f t="shared" ca="1" si="83"/>
        <v>2.3269690070890553E-2</v>
      </c>
    </row>
    <row r="6222" spans="7:8" x14ac:dyDescent="0.3">
      <c r="G6222" s="75">
        <v>6219</v>
      </c>
      <c r="H6222">
        <f t="shared" ca="1" si="83"/>
        <v>-2.0770271547653828E-2</v>
      </c>
    </row>
    <row r="6223" spans="7:8" x14ac:dyDescent="0.3">
      <c r="G6223" s="75">
        <v>6220</v>
      </c>
      <c r="H6223">
        <f t="shared" ca="1" si="83"/>
        <v>-9.4652485824819332E-3</v>
      </c>
    </row>
    <row r="6224" spans="7:8" x14ac:dyDescent="0.3">
      <c r="G6224" s="75">
        <v>6221</v>
      </c>
      <c r="H6224">
        <f t="shared" ca="1" si="83"/>
        <v>3.3020879877601432E-2</v>
      </c>
    </row>
    <row r="6225" spans="7:8" x14ac:dyDescent="0.3">
      <c r="G6225" s="75">
        <v>6222</v>
      </c>
      <c r="H6225">
        <f t="shared" ca="1" si="83"/>
        <v>-1.0235225473667319E-2</v>
      </c>
    </row>
    <row r="6226" spans="7:8" x14ac:dyDescent="0.3">
      <c r="G6226" s="75">
        <v>6223</v>
      </c>
      <c r="H6226">
        <f t="shared" ca="1" si="83"/>
        <v>-8.6447868838502896E-3</v>
      </c>
    </row>
    <row r="6227" spans="7:8" x14ac:dyDescent="0.3">
      <c r="G6227" s="75">
        <v>6224</v>
      </c>
      <c r="H6227">
        <f t="shared" ca="1" si="83"/>
        <v>3.2200621080255031E-2</v>
      </c>
    </row>
    <row r="6228" spans="7:8" x14ac:dyDescent="0.3">
      <c r="G6228" s="75">
        <v>6225</v>
      </c>
      <c r="H6228">
        <f t="shared" ca="1" si="83"/>
        <v>-1.2937199158516417E-2</v>
      </c>
    </row>
    <row r="6229" spans="7:8" x14ac:dyDescent="0.3">
      <c r="G6229" s="75">
        <v>6226</v>
      </c>
      <c r="H6229">
        <f t="shared" ca="1" si="83"/>
        <v>-2.1887728435083558E-2</v>
      </c>
    </row>
    <row r="6230" spans="7:8" x14ac:dyDescent="0.3">
      <c r="G6230" s="75">
        <v>6227</v>
      </c>
      <c r="H6230">
        <f t="shared" ca="1" si="83"/>
        <v>2.3090449021397647E-2</v>
      </c>
    </row>
    <row r="6231" spans="7:8" x14ac:dyDescent="0.3">
      <c r="G6231" s="75">
        <v>6228</v>
      </c>
      <c r="H6231">
        <f t="shared" ca="1" si="83"/>
        <v>4.5811510879541272E-4</v>
      </c>
    </row>
    <row r="6232" spans="7:8" x14ac:dyDescent="0.3">
      <c r="G6232" s="75">
        <v>6229</v>
      </c>
      <c r="H6232">
        <f t="shared" ca="1" si="83"/>
        <v>-1.6487527524750769E-2</v>
      </c>
    </row>
    <row r="6233" spans="7:8" x14ac:dyDescent="0.3">
      <c r="G6233" s="75">
        <v>6230</v>
      </c>
      <c r="H6233">
        <f t="shared" ca="1" si="83"/>
        <v>-3.2521174330045022E-4</v>
      </c>
    </row>
    <row r="6234" spans="7:8" x14ac:dyDescent="0.3">
      <c r="G6234" s="75">
        <v>6231</v>
      </c>
      <c r="H6234">
        <f t="shared" ca="1" si="83"/>
        <v>-8.6654257819150163E-3</v>
      </c>
    </row>
    <row r="6235" spans="7:8" x14ac:dyDescent="0.3">
      <c r="G6235" s="75">
        <v>6232</v>
      </c>
      <c r="H6235">
        <f t="shared" ca="1" si="83"/>
        <v>-2.2422463583717286E-2</v>
      </c>
    </row>
    <row r="6236" spans="7:8" x14ac:dyDescent="0.3">
      <c r="G6236" s="75">
        <v>6233</v>
      </c>
      <c r="H6236">
        <f t="shared" ca="1" si="83"/>
        <v>-3.7470046016130172E-3</v>
      </c>
    </row>
    <row r="6237" spans="7:8" x14ac:dyDescent="0.3">
      <c r="G6237" s="75">
        <v>6234</v>
      </c>
      <c r="H6237">
        <f t="shared" ca="1" si="83"/>
        <v>-3.1900165991379091E-2</v>
      </c>
    </row>
    <row r="6238" spans="7:8" x14ac:dyDescent="0.3">
      <c r="G6238" s="75">
        <v>6235</v>
      </c>
      <c r="H6238">
        <f t="shared" ca="1" si="83"/>
        <v>-1.4883662131679297E-2</v>
      </c>
    </row>
    <row r="6239" spans="7:8" x14ac:dyDescent="0.3">
      <c r="G6239" s="75">
        <v>6236</v>
      </c>
      <c r="H6239">
        <f t="shared" ca="1" si="83"/>
        <v>-3.9709563493482061E-3</v>
      </c>
    </row>
    <row r="6240" spans="7:8" x14ac:dyDescent="0.3">
      <c r="G6240" s="75">
        <v>6237</v>
      </c>
      <c r="H6240">
        <f t="shared" ca="1" si="83"/>
        <v>2.2197458441697474E-2</v>
      </c>
    </row>
    <row r="6241" spans="7:8" x14ac:dyDescent="0.3">
      <c r="G6241" s="75">
        <v>6238</v>
      </c>
      <c r="H6241">
        <f t="shared" ca="1" si="83"/>
        <v>6.598914543700562E-3</v>
      </c>
    </row>
    <row r="6242" spans="7:8" x14ac:dyDescent="0.3">
      <c r="G6242" s="75">
        <v>6239</v>
      </c>
      <c r="H6242">
        <f t="shared" ca="1" si="83"/>
        <v>-7.0113117746792852E-3</v>
      </c>
    </row>
    <row r="6243" spans="7:8" x14ac:dyDescent="0.3">
      <c r="G6243" s="75">
        <v>6240</v>
      </c>
      <c r="H6243">
        <f t="shared" ca="1" si="83"/>
        <v>-1.3266266078418874E-2</v>
      </c>
    </row>
    <row r="6244" spans="7:8" x14ac:dyDescent="0.3">
      <c r="G6244" s="75">
        <v>6241</v>
      </c>
      <c r="H6244">
        <f t="shared" ca="1" si="83"/>
        <v>-1.0381941372754219E-2</v>
      </c>
    </row>
    <row r="6245" spans="7:8" x14ac:dyDescent="0.3">
      <c r="G6245" s="75">
        <v>6242</v>
      </c>
      <c r="H6245">
        <f t="shared" ca="1" si="83"/>
        <v>2.9222085966580705E-3</v>
      </c>
    </row>
    <row r="6246" spans="7:8" x14ac:dyDescent="0.3">
      <c r="G6246" s="75">
        <v>6243</v>
      </c>
      <c r="H6246">
        <f t="shared" ca="1" si="83"/>
        <v>-3.2478655025908604E-3</v>
      </c>
    </row>
    <row r="6247" spans="7:8" x14ac:dyDescent="0.3">
      <c r="G6247" s="75">
        <v>6244</v>
      </c>
      <c r="H6247">
        <f t="shared" ca="1" si="83"/>
        <v>1.0633420050417714E-2</v>
      </c>
    </row>
    <row r="6248" spans="7:8" x14ac:dyDescent="0.3">
      <c r="G6248" s="75">
        <v>6245</v>
      </c>
      <c r="H6248">
        <f t="shared" ca="1" si="83"/>
        <v>3.5819947065637327E-2</v>
      </c>
    </row>
    <row r="6249" spans="7:8" x14ac:dyDescent="0.3">
      <c r="G6249" s="75">
        <v>6246</v>
      </c>
      <c r="H6249">
        <f t="shared" ca="1" si="83"/>
        <v>-4.4578710089303655E-3</v>
      </c>
    </row>
    <row r="6250" spans="7:8" x14ac:dyDescent="0.3">
      <c r="G6250" s="75">
        <v>6247</v>
      </c>
      <c r="H6250">
        <f t="shared" ca="1" si="83"/>
        <v>1.1975580213183819E-2</v>
      </c>
    </row>
    <row r="6251" spans="7:8" x14ac:dyDescent="0.3">
      <c r="G6251" s="75">
        <v>6248</v>
      </c>
      <c r="H6251">
        <f t="shared" ca="1" si="83"/>
        <v>4.0284903208680474E-3</v>
      </c>
    </row>
    <row r="6252" spans="7:8" x14ac:dyDescent="0.3">
      <c r="G6252" s="75">
        <v>6249</v>
      </c>
      <c r="H6252">
        <f t="shared" ca="1" si="83"/>
        <v>2.3356847478916295E-3</v>
      </c>
    </row>
    <row r="6253" spans="7:8" x14ac:dyDescent="0.3">
      <c r="G6253" s="75">
        <v>6250</v>
      </c>
      <c r="H6253">
        <f t="shared" ca="1" si="83"/>
        <v>7.0685206704493714E-3</v>
      </c>
    </row>
    <row r="6254" spans="7:8" x14ac:dyDescent="0.3">
      <c r="G6254" s="75">
        <v>6251</v>
      </c>
      <c r="H6254">
        <f t="shared" ca="1" si="83"/>
        <v>-2.030497991236513E-3</v>
      </c>
    </row>
    <row r="6255" spans="7:8" x14ac:dyDescent="0.3">
      <c r="G6255" s="75">
        <v>6252</v>
      </c>
      <c r="H6255">
        <f t="shared" ca="1" si="83"/>
        <v>-1.3522030469652389E-2</v>
      </c>
    </row>
    <row r="6256" spans="7:8" x14ac:dyDescent="0.3">
      <c r="G6256" s="75">
        <v>6253</v>
      </c>
      <c r="H6256">
        <f t="shared" ca="1" si="83"/>
        <v>9.535922263390402E-3</v>
      </c>
    </row>
    <row r="6257" spans="7:8" x14ac:dyDescent="0.3">
      <c r="G6257" s="75">
        <v>6254</v>
      </c>
      <c r="H6257">
        <f t="shared" ca="1" si="83"/>
        <v>8.701518121054852E-3</v>
      </c>
    </row>
    <row r="6258" spans="7:8" x14ac:dyDescent="0.3">
      <c r="G6258" s="75">
        <v>6255</v>
      </c>
      <c r="H6258">
        <f t="shared" ca="1" si="83"/>
        <v>8.3507546750615988E-3</v>
      </c>
    </row>
    <row r="6259" spans="7:8" x14ac:dyDescent="0.3">
      <c r="G6259" s="75">
        <v>6256</v>
      </c>
      <c r="H6259">
        <f t="shared" ca="1" si="83"/>
        <v>2.8147722405916665E-3</v>
      </c>
    </row>
    <row r="6260" spans="7:8" x14ac:dyDescent="0.3">
      <c r="G6260" s="75">
        <v>6257</v>
      </c>
      <c r="H6260">
        <f t="shared" ca="1" si="83"/>
        <v>2.2683792385033517E-2</v>
      </c>
    </row>
    <row r="6261" spans="7:8" x14ac:dyDescent="0.3">
      <c r="G6261" s="75">
        <v>6258</v>
      </c>
      <c r="H6261">
        <f t="shared" ca="1" si="83"/>
        <v>2.7860463257853862E-2</v>
      </c>
    </row>
    <row r="6262" spans="7:8" x14ac:dyDescent="0.3">
      <c r="G6262" s="75">
        <v>6259</v>
      </c>
      <c r="H6262">
        <f t="shared" ca="1" si="83"/>
        <v>6.3626879263463249E-3</v>
      </c>
    </row>
    <row r="6263" spans="7:8" x14ac:dyDescent="0.3">
      <c r="G6263" s="75">
        <v>6260</v>
      </c>
      <c r="H6263">
        <f t="shared" ca="1" si="83"/>
        <v>4.7790926131227752E-3</v>
      </c>
    </row>
    <row r="6264" spans="7:8" x14ac:dyDescent="0.3">
      <c r="G6264" s="75">
        <v>6261</v>
      </c>
      <c r="H6264">
        <f t="shared" ca="1" si="83"/>
        <v>-8.3266584558964827E-3</v>
      </c>
    </row>
    <row r="6265" spans="7:8" x14ac:dyDescent="0.3">
      <c r="G6265" s="75">
        <v>6262</v>
      </c>
      <c r="H6265">
        <f t="shared" ca="1" si="83"/>
        <v>1.3601532662210402E-2</v>
      </c>
    </row>
    <row r="6266" spans="7:8" x14ac:dyDescent="0.3">
      <c r="G6266" s="75">
        <v>6263</v>
      </c>
      <c r="H6266">
        <f t="shared" ca="1" si="83"/>
        <v>-6.806641369019744E-3</v>
      </c>
    </row>
    <row r="6267" spans="7:8" x14ac:dyDescent="0.3">
      <c r="G6267" s="75">
        <v>6264</v>
      </c>
      <c r="H6267">
        <f t="shared" ca="1" si="83"/>
        <v>1.0456029274717032E-2</v>
      </c>
    </row>
    <row r="6268" spans="7:8" x14ac:dyDescent="0.3">
      <c r="G6268" s="75">
        <v>6265</v>
      </c>
      <c r="H6268">
        <f t="shared" ca="1" si="83"/>
        <v>4.5545671727443577E-3</v>
      </c>
    </row>
    <row r="6269" spans="7:8" x14ac:dyDescent="0.3">
      <c r="G6269" s="75">
        <v>6266</v>
      </c>
      <c r="H6269">
        <f t="shared" ca="1" si="83"/>
        <v>-9.9915316239942813E-3</v>
      </c>
    </row>
    <row r="6270" spans="7:8" x14ac:dyDescent="0.3">
      <c r="G6270" s="75">
        <v>6267</v>
      </c>
      <c r="H6270">
        <f t="shared" ca="1" si="83"/>
        <v>1.3010423450190146E-2</v>
      </c>
    </row>
    <row r="6271" spans="7:8" x14ac:dyDescent="0.3">
      <c r="G6271" s="75">
        <v>6268</v>
      </c>
      <c r="H6271">
        <f t="shared" ca="1" si="83"/>
        <v>5.6309266426129967E-4</v>
      </c>
    </row>
    <row r="6272" spans="7:8" x14ac:dyDescent="0.3">
      <c r="G6272" s="75">
        <v>6269</v>
      </c>
      <c r="H6272">
        <f t="shared" ca="1" si="83"/>
        <v>1.4332233811518573E-2</v>
      </c>
    </row>
    <row r="6273" spans="7:8" x14ac:dyDescent="0.3">
      <c r="G6273" s="75">
        <v>6270</v>
      </c>
      <c r="H6273">
        <f t="shared" ca="1" si="83"/>
        <v>-1.2202503142725554E-3</v>
      </c>
    </row>
    <row r="6274" spans="7:8" x14ac:dyDescent="0.3">
      <c r="G6274" s="75">
        <v>6271</v>
      </c>
      <c r="H6274">
        <f t="shared" ref="H6274:H6337" ca="1" si="84">_xlfn.NORM.INV(RAND(),$N$4,$N$5)</f>
        <v>1.4168494438476401E-2</v>
      </c>
    </row>
    <row r="6275" spans="7:8" x14ac:dyDescent="0.3">
      <c r="G6275" s="75">
        <v>6272</v>
      </c>
      <c r="H6275">
        <f t="shared" ca="1" si="84"/>
        <v>-8.5391405451640152E-3</v>
      </c>
    </row>
    <row r="6276" spans="7:8" x14ac:dyDescent="0.3">
      <c r="G6276" s="75">
        <v>6273</v>
      </c>
      <c r="H6276">
        <f t="shared" ca="1" si="84"/>
        <v>2.0688631198941383E-2</v>
      </c>
    </row>
    <row r="6277" spans="7:8" x14ac:dyDescent="0.3">
      <c r="G6277" s="75">
        <v>6274</v>
      </c>
      <c r="H6277">
        <f t="shared" ca="1" si="84"/>
        <v>7.5896416288440119E-3</v>
      </c>
    </row>
    <row r="6278" spans="7:8" x14ac:dyDescent="0.3">
      <c r="G6278" s="75">
        <v>6275</v>
      </c>
      <c r="H6278">
        <f t="shared" ca="1" si="84"/>
        <v>-9.007948585527328E-3</v>
      </c>
    </row>
    <row r="6279" spans="7:8" x14ac:dyDescent="0.3">
      <c r="G6279" s="75">
        <v>6276</v>
      </c>
      <c r="H6279">
        <f t="shared" ca="1" si="84"/>
        <v>1.6718417673246711E-3</v>
      </c>
    </row>
    <row r="6280" spans="7:8" x14ac:dyDescent="0.3">
      <c r="G6280" s="75">
        <v>6277</v>
      </c>
      <c r="H6280">
        <f t="shared" ca="1" si="84"/>
        <v>-1.1137823901068744E-2</v>
      </c>
    </row>
    <row r="6281" spans="7:8" x14ac:dyDescent="0.3">
      <c r="G6281" s="75">
        <v>6278</v>
      </c>
      <c r="H6281">
        <f t="shared" ca="1" si="84"/>
        <v>4.7000670534973832E-3</v>
      </c>
    </row>
    <row r="6282" spans="7:8" x14ac:dyDescent="0.3">
      <c r="G6282" s="75">
        <v>6279</v>
      </c>
      <c r="H6282">
        <f t="shared" ca="1" si="84"/>
        <v>2.1507172028133667E-2</v>
      </c>
    </row>
    <row r="6283" spans="7:8" x14ac:dyDescent="0.3">
      <c r="G6283" s="75">
        <v>6280</v>
      </c>
      <c r="H6283">
        <f t="shared" ca="1" si="84"/>
        <v>-3.8677888747139053E-2</v>
      </c>
    </row>
    <row r="6284" spans="7:8" x14ac:dyDescent="0.3">
      <c r="G6284" s="75">
        <v>6281</v>
      </c>
      <c r="H6284">
        <f t="shared" ca="1" si="84"/>
        <v>-5.3674546173618776E-3</v>
      </c>
    </row>
    <row r="6285" spans="7:8" x14ac:dyDescent="0.3">
      <c r="G6285" s="75">
        <v>6282</v>
      </c>
      <c r="H6285">
        <f t="shared" ca="1" si="84"/>
        <v>-1.6391149011469309E-2</v>
      </c>
    </row>
    <row r="6286" spans="7:8" x14ac:dyDescent="0.3">
      <c r="G6286" s="75">
        <v>6283</v>
      </c>
      <c r="H6286">
        <f t="shared" ca="1" si="84"/>
        <v>7.9753487254195701E-3</v>
      </c>
    </row>
    <row r="6287" spans="7:8" x14ac:dyDescent="0.3">
      <c r="G6287" s="75">
        <v>6284</v>
      </c>
      <c r="H6287">
        <f t="shared" ca="1" si="84"/>
        <v>-2.2515267751381084E-3</v>
      </c>
    </row>
    <row r="6288" spans="7:8" x14ac:dyDescent="0.3">
      <c r="G6288" s="75">
        <v>6285</v>
      </c>
      <c r="H6288">
        <f t="shared" ca="1" si="84"/>
        <v>-4.2624104899778841E-3</v>
      </c>
    </row>
    <row r="6289" spans="7:8" x14ac:dyDescent="0.3">
      <c r="G6289" s="75">
        <v>6286</v>
      </c>
      <c r="H6289">
        <f t="shared" ca="1" si="84"/>
        <v>-1.0897062253691921E-2</v>
      </c>
    </row>
    <row r="6290" spans="7:8" x14ac:dyDescent="0.3">
      <c r="G6290" s="75">
        <v>6287</v>
      </c>
      <c r="H6290">
        <f t="shared" ca="1" si="84"/>
        <v>-1.6268975306860676E-3</v>
      </c>
    </row>
    <row r="6291" spans="7:8" x14ac:dyDescent="0.3">
      <c r="G6291" s="75">
        <v>6288</v>
      </c>
      <c r="H6291">
        <f t="shared" ca="1" si="84"/>
        <v>-1.1288562718405854E-2</v>
      </c>
    </row>
    <row r="6292" spans="7:8" x14ac:dyDescent="0.3">
      <c r="G6292" s="75">
        <v>6289</v>
      </c>
      <c r="H6292">
        <f t="shared" ca="1" si="84"/>
        <v>-9.6023954368489439E-3</v>
      </c>
    </row>
    <row r="6293" spans="7:8" x14ac:dyDescent="0.3">
      <c r="G6293" s="75">
        <v>6290</v>
      </c>
      <c r="H6293">
        <f t="shared" ca="1" si="84"/>
        <v>2.0248505369437654E-3</v>
      </c>
    </row>
    <row r="6294" spans="7:8" x14ac:dyDescent="0.3">
      <c r="G6294" s="75">
        <v>6291</v>
      </c>
      <c r="H6294">
        <f t="shared" ca="1" si="84"/>
        <v>1.3277344169428846E-2</v>
      </c>
    </row>
    <row r="6295" spans="7:8" x14ac:dyDescent="0.3">
      <c r="G6295" s="75">
        <v>6292</v>
      </c>
      <c r="H6295">
        <f t="shared" ca="1" si="84"/>
        <v>-7.5998184237807079E-3</v>
      </c>
    </row>
    <row r="6296" spans="7:8" x14ac:dyDescent="0.3">
      <c r="G6296" s="75">
        <v>6293</v>
      </c>
      <c r="H6296">
        <f t="shared" ca="1" si="84"/>
        <v>-8.5318017802098692E-3</v>
      </c>
    </row>
    <row r="6297" spans="7:8" x14ac:dyDescent="0.3">
      <c r="G6297" s="75">
        <v>6294</v>
      </c>
      <c r="H6297">
        <f t="shared" ca="1" si="84"/>
        <v>-7.7345388155178676E-3</v>
      </c>
    </row>
    <row r="6298" spans="7:8" x14ac:dyDescent="0.3">
      <c r="G6298" s="75">
        <v>6295</v>
      </c>
      <c r="H6298">
        <f t="shared" ca="1" si="84"/>
        <v>-6.6064695199551434E-3</v>
      </c>
    </row>
    <row r="6299" spans="7:8" x14ac:dyDescent="0.3">
      <c r="G6299" s="75">
        <v>6296</v>
      </c>
      <c r="H6299">
        <f t="shared" ca="1" si="84"/>
        <v>4.9772095331670702E-3</v>
      </c>
    </row>
    <row r="6300" spans="7:8" x14ac:dyDescent="0.3">
      <c r="G6300" s="75">
        <v>6297</v>
      </c>
      <c r="H6300">
        <f t="shared" ca="1" si="84"/>
        <v>-1.1828134912062135E-2</v>
      </c>
    </row>
    <row r="6301" spans="7:8" x14ac:dyDescent="0.3">
      <c r="G6301" s="75">
        <v>6298</v>
      </c>
      <c r="H6301">
        <f t="shared" ca="1" si="84"/>
        <v>2.1347122652679476E-2</v>
      </c>
    </row>
    <row r="6302" spans="7:8" x14ac:dyDescent="0.3">
      <c r="G6302" s="75">
        <v>6299</v>
      </c>
      <c r="H6302">
        <f t="shared" ca="1" si="84"/>
        <v>6.3502508335619452E-3</v>
      </c>
    </row>
    <row r="6303" spans="7:8" x14ac:dyDescent="0.3">
      <c r="G6303" s="75">
        <v>6300</v>
      </c>
      <c r="H6303">
        <f t="shared" ca="1" si="84"/>
        <v>-1.1173558826966865E-2</v>
      </c>
    </row>
    <row r="6304" spans="7:8" x14ac:dyDescent="0.3">
      <c r="G6304" s="75">
        <v>6301</v>
      </c>
      <c r="H6304">
        <f t="shared" ca="1" si="84"/>
        <v>-1.1981990899697975E-2</v>
      </c>
    </row>
    <row r="6305" spans="7:8" x14ac:dyDescent="0.3">
      <c r="G6305" s="75">
        <v>6302</v>
      </c>
      <c r="H6305">
        <f t="shared" ca="1" si="84"/>
        <v>1.1205543537990902E-2</v>
      </c>
    </row>
    <row r="6306" spans="7:8" x14ac:dyDescent="0.3">
      <c r="G6306" s="75">
        <v>6303</v>
      </c>
      <c r="H6306">
        <f t="shared" ca="1" si="84"/>
        <v>-4.1750198106630457E-3</v>
      </c>
    </row>
    <row r="6307" spans="7:8" x14ac:dyDescent="0.3">
      <c r="G6307" s="75">
        <v>6304</v>
      </c>
      <c r="H6307">
        <f t="shared" ca="1" si="84"/>
        <v>1.4240555216671904E-3</v>
      </c>
    </row>
    <row r="6308" spans="7:8" x14ac:dyDescent="0.3">
      <c r="G6308" s="75">
        <v>6305</v>
      </c>
      <c r="H6308">
        <f t="shared" ca="1" si="84"/>
        <v>1.4575048347978592E-2</v>
      </c>
    </row>
    <row r="6309" spans="7:8" x14ac:dyDescent="0.3">
      <c r="G6309" s="75">
        <v>6306</v>
      </c>
      <c r="H6309">
        <f t="shared" ca="1" si="84"/>
        <v>-4.2053571036330829E-3</v>
      </c>
    </row>
    <row r="6310" spans="7:8" x14ac:dyDescent="0.3">
      <c r="G6310" s="75">
        <v>6307</v>
      </c>
      <c r="H6310">
        <f t="shared" ca="1" si="84"/>
        <v>1.0863409603419946E-3</v>
      </c>
    </row>
    <row r="6311" spans="7:8" x14ac:dyDescent="0.3">
      <c r="G6311" s="75">
        <v>6308</v>
      </c>
      <c r="H6311">
        <f t="shared" ca="1" si="84"/>
        <v>-7.2747510388267529E-3</v>
      </c>
    </row>
    <row r="6312" spans="7:8" x14ac:dyDescent="0.3">
      <c r="G6312" s="75">
        <v>6309</v>
      </c>
      <c r="H6312">
        <f t="shared" ca="1" si="84"/>
        <v>4.8739952716671036E-3</v>
      </c>
    </row>
    <row r="6313" spans="7:8" x14ac:dyDescent="0.3">
      <c r="G6313" s="75">
        <v>6310</v>
      </c>
      <c r="H6313">
        <f t="shared" ca="1" si="84"/>
        <v>2.2206686480374595E-3</v>
      </c>
    </row>
    <row r="6314" spans="7:8" x14ac:dyDescent="0.3">
      <c r="G6314" s="75">
        <v>6311</v>
      </c>
      <c r="H6314">
        <f t="shared" ca="1" si="84"/>
        <v>1.7442900073922504E-2</v>
      </c>
    </row>
    <row r="6315" spans="7:8" x14ac:dyDescent="0.3">
      <c r="G6315" s="75">
        <v>6312</v>
      </c>
      <c r="H6315">
        <f t="shared" ca="1" si="84"/>
        <v>3.3431320843020401E-3</v>
      </c>
    </row>
    <row r="6316" spans="7:8" x14ac:dyDescent="0.3">
      <c r="G6316" s="75">
        <v>6313</v>
      </c>
      <c r="H6316">
        <f t="shared" ca="1" si="84"/>
        <v>-1.2530876689397492E-2</v>
      </c>
    </row>
    <row r="6317" spans="7:8" x14ac:dyDescent="0.3">
      <c r="G6317" s="75">
        <v>6314</v>
      </c>
      <c r="H6317">
        <f t="shared" ca="1" si="84"/>
        <v>1.2432994261448891E-3</v>
      </c>
    </row>
    <row r="6318" spans="7:8" x14ac:dyDescent="0.3">
      <c r="G6318" s="75">
        <v>6315</v>
      </c>
      <c r="H6318">
        <f t="shared" ca="1" si="84"/>
        <v>4.6288214551815053E-3</v>
      </c>
    </row>
    <row r="6319" spans="7:8" x14ac:dyDescent="0.3">
      <c r="G6319" s="75">
        <v>6316</v>
      </c>
      <c r="H6319">
        <f t="shared" ca="1" si="84"/>
        <v>-2.1102586947954602E-3</v>
      </c>
    </row>
    <row r="6320" spans="7:8" x14ac:dyDescent="0.3">
      <c r="G6320" s="75">
        <v>6317</v>
      </c>
      <c r="H6320">
        <f t="shared" ca="1" si="84"/>
        <v>2.252677715139987E-2</v>
      </c>
    </row>
    <row r="6321" spans="7:8" x14ac:dyDescent="0.3">
      <c r="G6321" s="75">
        <v>6318</v>
      </c>
      <c r="H6321">
        <f t="shared" ca="1" si="84"/>
        <v>5.2693148551508986E-3</v>
      </c>
    </row>
    <row r="6322" spans="7:8" x14ac:dyDescent="0.3">
      <c r="G6322" s="75">
        <v>6319</v>
      </c>
      <c r="H6322">
        <f t="shared" ca="1" si="84"/>
        <v>-1.7017214184741211E-2</v>
      </c>
    </row>
    <row r="6323" spans="7:8" x14ac:dyDescent="0.3">
      <c r="G6323" s="75">
        <v>6320</v>
      </c>
      <c r="H6323">
        <f t="shared" ca="1" si="84"/>
        <v>-5.8288314441470651E-3</v>
      </c>
    </row>
    <row r="6324" spans="7:8" x14ac:dyDescent="0.3">
      <c r="G6324" s="75">
        <v>6321</v>
      </c>
      <c r="H6324">
        <f t="shared" ca="1" si="84"/>
        <v>1.0200690199039839E-2</v>
      </c>
    </row>
    <row r="6325" spans="7:8" x14ac:dyDescent="0.3">
      <c r="G6325" s="75">
        <v>6322</v>
      </c>
      <c r="H6325">
        <f t="shared" ca="1" si="84"/>
        <v>-1.345850059268652E-2</v>
      </c>
    </row>
    <row r="6326" spans="7:8" x14ac:dyDescent="0.3">
      <c r="G6326" s="75">
        <v>6323</v>
      </c>
      <c r="H6326">
        <f t="shared" ca="1" si="84"/>
        <v>1.1437168779314999E-2</v>
      </c>
    </row>
    <row r="6327" spans="7:8" x14ac:dyDescent="0.3">
      <c r="G6327" s="75">
        <v>6324</v>
      </c>
      <c r="H6327">
        <f t="shared" ca="1" si="84"/>
        <v>1.527712445710113E-3</v>
      </c>
    </row>
    <row r="6328" spans="7:8" x14ac:dyDescent="0.3">
      <c r="G6328" s="75">
        <v>6325</v>
      </c>
      <c r="H6328">
        <f t="shared" ca="1" si="84"/>
        <v>-6.1045850599979841E-3</v>
      </c>
    </row>
    <row r="6329" spans="7:8" x14ac:dyDescent="0.3">
      <c r="G6329" s="75">
        <v>6326</v>
      </c>
      <c r="H6329">
        <f t="shared" ca="1" si="84"/>
        <v>-5.7138953210271043E-3</v>
      </c>
    </row>
    <row r="6330" spans="7:8" x14ac:dyDescent="0.3">
      <c r="G6330" s="75">
        <v>6327</v>
      </c>
      <c r="H6330">
        <f t="shared" ca="1" si="84"/>
        <v>-4.2970418256091615E-3</v>
      </c>
    </row>
    <row r="6331" spans="7:8" x14ac:dyDescent="0.3">
      <c r="G6331" s="75">
        <v>6328</v>
      </c>
      <c r="H6331">
        <f t="shared" ca="1" si="84"/>
        <v>-6.4571718667775571E-3</v>
      </c>
    </row>
    <row r="6332" spans="7:8" x14ac:dyDescent="0.3">
      <c r="G6332" s="75">
        <v>6329</v>
      </c>
      <c r="H6332">
        <f t="shared" ca="1" si="84"/>
        <v>2.0768473194532445E-2</v>
      </c>
    </row>
    <row r="6333" spans="7:8" x14ac:dyDescent="0.3">
      <c r="G6333" s="75">
        <v>6330</v>
      </c>
      <c r="H6333">
        <f t="shared" ca="1" si="84"/>
        <v>-2.6333883530767414E-3</v>
      </c>
    </row>
    <row r="6334" spans="7:8" x14ac:dyDescent="0.3">
      <c r="G6334" s="75">
        <v>6331</v>
      </c>
      <c r="H6334">
        <f t="shared" ca="1" si="84"/>
        <v>-5.2118367212689344E-3</v>
      </c>
    </row>
    <row r="6335" spans="7:8" x14ac:dyDescent="0.3">
      <c r="G6335" s="75">
        <v>6332</v>
      </c>
      <c r="H6335">
        <f t="shared" ca="1" si="84"/>
        <v>3.1722976926673867E-4</v>
      </c>
    </row>
    <row r="6336" spans="7:8" x14ac:dyDescent="0.3">
      <c r="G6336" s="75">
        <v>6333</v>
      </c>
      <c r="H6336">
        <f t="shared" ca="1" si="84"/>
        <v>2.3269671691029197E-3</v>
      </c>
    </row>
    <row r="6337" spans="7:8" x14ac:dyDescent="0.3">
      <c r="G6337" s="75">
        <v>6334</v>
      </c>
      <c r="H6337">
        <f t="shared" ca="1" si="84"/>
        <v>-1.138986942000441E-2</v>
      </c>
    </row>
    <row r="6338" spans="7:8" x14ac:dyDescent="0.3">
      <c r="G6338" s="75">
        <v>6335</v>
      </c>
      <c r="H6338">
        <f t="shared" ref="H6338:H6401" ca="1" si="85">_xlfn.NORM.INV(RAND(),$N$4,$N$5)</f>
        <v>-8.4188465191900857E-3</v>
      </c>
    </row>
    <row r="6339" spans="7:8" x14ac:dyDescent="0.3">
      <c r="G6339" s="75">
        <v>6336</v>
      </c>
      <c r="H6339">
        <f t="shared" ca="1" si="85"/>
        <v>-9.2220789976781951E-3</v>
      </c>
    </row>
    <row r="6340" spans="7:8" x14ac:dyDescent="0.3">
      <c r="G6340" s="75">
        <v>6337</v>
      </c>
      <c r="H6340">
        <f t="shared" ca="1" si="85"/>
        <v>2.655778992299805E-3</v>
      </c>
    </row>
    <row r="6341" spans="7:8" x14ac:dyDescent="0.3">
      <c r="G6341" s="75">
        <v>6338</v>
      </c>
      <c r="H6341">
        <f t="shared" ca="1" si="85"/>
        <v>-1.2455931235333322E-2</v>
      </c>
    </row>
    <row r="6342" spans="7:8" x14ac:dyDescent="0.3">
      <c r="G6342" s="75">
        <v>6339</v>
      </c>
      <c r="H6342">
        <f t="shared" ca="1" si="85"/>
        <v>4.7349588283421187E-4</v>
      </c>
    </row>
    <row r="6343" spans="7:8" x14ac:dyDescent="0.3">
      <c r="G6343" s="75">
        <v>6340</v>
      </c>
      <c r="H6343">
        <f t="shared" ca="1" si="85"/>
        <v>-8.4573106972445078E-3</v>
      </c>
    </row>
    <row r="6344" spans="7:8" x14ac:dyDescent="0.3">
      <c r="G6344" s="75">
        <v>6341</v>
      </c>
      <c r="H6344">
        <f t="shared" ca="1" si="85"/>
        <v>6.3458935634660525E-3</v>
      </c>
    </row>
    <row r="6345" spans="7:8" x14ac:dyDescent="0.3">
      <c r="G6345" s="75">
        <v>6342</v>
      </c>
      <c r="H6345">
        <f t="shared" ca="1" si="85"/>
        <v>-1.0520920642735616E-2</v>
      </c>
    </row>
    <row r="6346" spans="7:8" x14ac:dyDescent="0.3">
      <c r="G6346" s="75">
        <v>6343</v>
      </c>
      <c r="H6346">
        <f t="shared" ca="1" si="85"/>
        <v>4.2166685172499337E-3</v>
      </c>
    </row>
    <row r="6347" spans="7:8" x14ac:dyDescent="0.3">
      <c r="G6347" s="75">
        <v>6344</v>
      </c>
      <c r="H6347">
        <f t="shared" ca="1" si="85"/>
        <v>9.7902189138966336E-3</v>
      </c>
    </row>
    <row r="6348" spans="7:8" x14ac:dyDescent="0.3">
      <c r="G6348" s="75">
        <v>6345</v>
      </c>
      <c r="H6348">
        <f t="shared" ca="1" si="85"/>
        <v>3.7018458490660549E-3</v>
      </c>
    </row>
    <row r="6349" spans="7:8" x14ac:dyDescent="0.3">
      <c r="G6349" s="75">
        <v>6346</v>
      </c>
      <c r="H6349">
        <f t="shared" ca="1" si="85"/>
        <v>-1.6790030557614761E-2</v>
      </c>
    </row>
    <row r="6350" spans="7:8" x14ac:dyDescent="0.3">
      <c r="G6350" s="75">
        <v>6347</v>
      </c>
      <c r="H6350">
        <f t="shared" ca="1" si="85"/>
        <v>-5.2266519456975339E-3</v>
      </c>
    </row>
    <row r="6351" spans="7:8" x14ac:dyDescent="0.3">
      <c r="G6351" s="75">
        <v>6348</v>
      </c>
      <c r="H6351">
        <f t="shared" ca="1" si="85"/>
        <v>5.0119623527498458E-3</v>
      </c>
    </row>
    <row r="6352" spans="7:8" x14ac:dyDescent="0.3">
      <c r="G6352" s="75">
        <v>6349</v>
      </c>
      <c r="H6352">
        <f t="shared" ca="1" si="85"/>
        <v>8.1020608688906794E-3</v>
      </c>
    </row>
    <row r="6353" spans="7:8" x14ac:dyDescent="0.3">
      <c r="G6353" s="75">
        <v>6350</v>
      </c>
      <c r="H6353">
        <f t="shared" ca="1" si="85"/>
        <v>1.5507649381752611E-3</v>
      </c>
    </row>
    <row r="6354" spans="7:8" x14ac:dyDescent="0.3">
      <c r="G6354" s="75">
        <v>6351</v>
      </c>
      <c r="H6354">
        <f t="shared" ca="1" si="85"/>
        <v>-1.8930656920086903E-2</v>
      </c>
    </row>
    <row r="6355" spans="7:8" x14ac:dyDescent="0.3">
      <c r="G6355" s="75">
        <v>6352</v>
      </c>
      <c r="H6355">
        <f t="shared" ca="1" si="85"/>
        <v>-1.037868315202373E-2</v>
      </c>
    </row>
    <row r="6356" spans="7:8" x14ac:dyDescent="0.3">
      <c r="G6356" s="75">
        <v>6353</v>
      </c>
      <c r="H6356">
        <f t="shared" ca="1" si="85"/>
        <v>6.7579079337698293E-3</v>
      </c>
    </row>
    <row r="6357" spans="7:8" x14ac:dyDescent="0.3">
      <c r="G6357" s="75">
        <v>6354</v>
      </c>
      <c r="H6357">
        <f t="shared" ca="1" si="85"/>
        <v>4.2117024426621841E-3</v>
      </c>
    </row>
    <row r="6358" spans="7:8" x14ac:dyDescent="0.3">
      <c r="G6358" s="75">
        <v>6355</v>
      </c>
      <c r="H6358">
        <f t="shared" ca="1" si="85"/>
        <v>-5.3026260483162221E-3</v>
      </c>
    </row>
    <row r="6359" spans="7:8" x14ac:dyDescent="0.3">
      <c r="G6359" s="75">
        <v>6356</v>
      </c>
      <c r="H6359">
        <f t="shared" ca="1" si="85"/>
        <v>6.1661602625145955E-3</v>
      </c>
    </row>
    <row r="6360" spans="7:8" x14ac:dyDescent="0.3">
      <c r="G6360" s="75">
        <v>6357</v>
      </c>
      <c r="H6360">
        <f t="shared" ca="1" si="85"/>
        <v>-1.3628093758520051E-2</v>
      </c>
    </row>
    <row r="6361" spans="7:8" x14ac:dyDescent="0.3">
      <c r="G6361" s="75">
        <v>6358</v>
      </c>
      <c r="H6361">
        <f t="shared" ca="1" si="85"/>
        <v>-1.0936436506821259E-2</v>
      </c>
    </row>
    <row r="6362" spans="7:8" x14ac:dyDescent="0.3">
      <c r="G6362" s="75">
        <v>6359</v>
      </c>
      <c r="H6362">
        <f t="shared" ca="1" si="85"/>
        <v>1.8119380906241187E-2</v>
      </c>
    </row>
    <row r="6363" spans="7:8" x14ac:dyDescent="0.3">
      <c r="G6363" s="75">
        <v>6360</v>
      </c>
      <c r="H6363">
        <f t="shared" ca="1" si="85"/>
        <v>2.358461552872558E-2</v>
      </c>
    </row>
    <row r="6364" spans="7:8" x14ac:dyDescent="0.3">
      <c r="G6364" s="75">
        <v>6361</v>
      </c>
      <c r="H6364">
        <f t="shared" ca="1" si="85"/>
        <v>-1.2275297253681041E-2</v>
      </c>
    </row>
    <row r="6365" spans="7:8" x14ac:dyDescent="0.3">
      <c r="G6365" s="75">
        <v>6362</v>
      </c>
      <c r="H6365">
        <f t="shared" ca="1" si="85"/>
        <v>2.5575384660431362E-4</v>
      </c>
    </row>
    <row r="6366" spans="7:8" x14ac:dyDescent="0.3">
      <c r="G6366" s="75">
        <v>6363</v>
      </c>
      <c r="H6366">
        <f t="shared" ca="1" si="85"/>
        <v>1.6453143064960391E-2</v>
      </c>
    </row>
    <row r="6367" spans="7:8" x14ac:dyDescent="0.3">
      <c r="G6367" s="75">
        <v>6364</v>
      </c>
      <c r="H6367">
        <f t="shared" ca="1" si="85"/>
        <v>8.8296885675261637E-3</v>
      </c>
    </row>
    <row r="6368" spans="7:8" x14ac:dyDescent="0.3">
      <c r="G6368" s="75">
        <v>6365</v>
      </c>
      <c r="H6368">
        <f t="shared" ca="1" si="85"/>
        <v>-1.669766578100651E-2</v>
      </c>
    </row>
    <row r="6369" spans="7:8" x14ac:dyDescent="0.3">
      <c r="G6369" s="75">
        <v>6366</v>
      </c>
      <c r="H6369">
        <f t="shared" ca="1" si="85"/>
        <v>2.916893087837292E-4</v>
      </c>
    </row>
    <row r="6370" spans="7:8" x14ac:dyDescent="0.3">
      <c r="G6370" s="75">
        <v>6367</v>
      </c>
      <c r="H6370">
        <f t="shared" ca="1" si="85"/>
        <v>-4.4944982500226853E-3</v>
      </c>
    </row>
    <row r="6371" spans="7:8" x14ac:dyDescent="0.3">
      <c r="G6371" s="75">
        <v>6368</v>
      </c>
      <c r="H6371">
        <f t="shared" ca="1" si="85"/>
        <v>-9.9219937573938911E-3</v>
      </c>
    </row>
    <row r="6372" spans="7:8" x14ac:dyDescent="0.3">
      <c r="G6372" s="75">
        <v>6369</v>
      </c>
      <c r="H6372">
        <f t="shared" ca="1" si="85"/>
        <v>5.9449067274384678E-3</v>
      </c>
    </row>
    <row r="6373" spans="7:8" x14ac:dyDescent="0.3">
      <c r="G6373" s="75">
        <v>6370</v>
      </c>
      <c r="H6373">
        <f t="shared" ca="1" si="85"/>
        <v>-2.7970955684429406E-3</v>
      </c>
    </row>
    <row r="6374" spans="7:8" x14ac:dyDescent="0.3">
      <c r="G6374" s="75">
        <v>6371</v>
      </c>
      <c r="H6374">
        <f t="shared" ca="1" si="85"/>
        <v>-9.1026730758761755E-3</v>
      </c>
    </row>
    <row r="6375" spans="7:8" x14ac:dyDescent="0.3">
      <c r="G6375" s="75">
        <v>6372</v>
      </c>
      <c r="H6375">
        <f t="shared" ca="1" si="85"/>
        <v>-8.3470989355805391E-3</v>
      </c>
    </row>
    <row r="6376" spans="7:8" x14ac:dyDescent="0.3">
      <c r="G6376" s="75">
        <v>6373</v>
      </c>
      <c r="H6376">
        <f t="shared" ca="1" si="85"/>
        <v>2.1228576438148957E-4</v>
      </c>
    </row>
    <row r="6377" spans="7:8" x14ac:dyDescent="0.3">
      <c r="G6377" s="75">
        <v>6374</v>
      </c>
      <c r="H6377">
        <f t="shared" ca="1" si="85"/>
        <v>3.1402085790033451E-3</v>
      </c>
    </row>
    <row r="6378" spans="7:8" x14ac:dyDescent="0.3">
      <c r="G6378" s="75">
        <v>6375</v>
      </c>
      <c r="H6378">
        <f t="shared" ca="1" si="85"/>
        <v>1.6101366143637372E-2</v>
      </c>
    </row>
    <row r="6379" spans="7:8" x14ac:dyDescent="0.3">
      <c r="G6379" s="75">
        <v>6376</v>
      </c>
      <c r="H6379">
        <f t="shared" ca="1" si="85"/>
        <v>2.342106030133375E-3</v>
      </c>
    </row>
    <row r="6380" spans="7:8" x14ac:dyDescent="0.3">
      <c r="G6380" s="75">
        <v>6377</v>
      </c>
      <c r="H6380">
        <f t="shared" ca="1" si="85"/>
        <v>-1.9222714774541322E-2</v>
      </c>
    </row>
    <row r="6381" spans="7:8" x14ac:dyDescent="0.3">
      <c r="G6381" s="75">
        <v>6378</v>
      </c>
      <c r="H6381">
        <f t="shared" ca="1" si="85"/>
        <v>-3.8877416318149121E-3</v>
      </c>
    </row>
    <row r="6382" spans="7:8" x14ac:dyDescent="0.3">
      <c r="G6382" s="75">
        <v>6379</v>
      </c>
      <c r="H6382">
        <f t="shared" ca="1" si="85"/>
        <v>9.2659357379775709E-3</v>
      </c>
    </row>
    <row r="6383" spans="7:8" x14ac:dyDescent="0.3">
      <c r="G6383" s="75">
        <v>6380</v>
      </c>
      <c r="H6383">
        <f t="shared" ca="1" si="85"/>
        <v>1.6305945818366637E-2</v>
      </c>
    </row>
    <row r="6384" spans="7:8" x14ac:dyDescent="0.3">
      <c r="G6384" s="75">
        <v>6381</v>
      </c>
      <c r="H6384">
        <f t="shared" ca="1" si="85"/>
        <v>-2.1794304238424593E-2</v>
      </c>
    </row>
    <row r="6385" spans="7:8" x14ac:dyDescent="0.3">
      <c r="G6385" s="75">
        <v>6382</v>
      </c>
      <c r="H6385">
        <f t="shared" ca="1" si="85"/>
        <v>9.6353298324246338E-4</v>
      </c>
    </row>
    <row r="6386" spans="7:8" x14ac:dyDescent="0.3">
      <c r="G6386" s="75">
        <v>6383</v>
      </c>
      <c r="H6386">
        <f t="shared" ca="1" si="85"/>
        <v>-3.7453411292396634E-3</v>
      </c>
    </row>
    <row r="6387" spans="7:8" x14ac:dyDescent="0.3">
      <c r="G6387" s="75">
        <v>6384</v>
      </c>
      <c r="H6387">
        <f t="shared" ca="1" si="85"/>
        <v>1.6505851011827721E-2</v>
      </c>
    </row>
    <row r="6388" spans="7:8" x14ac:dyDescent="0.3">
      <c r="G6388" s="75">
        <v>6385</v>
      </c>
      <c r="H6388">
        <f t="shared" ca="1" si="85"/>
        <v>2.3167258603310613E-2</v>
      </c>
    </row>
    <row r="6389" spans="7:8" x14ac:dyDescent="0.3">
      <c r="G6389" s="75">
        <v>6386</v>
      </c>
      <c r="H6389">
        <f t="shared" ca="1" si="85"/>
        <v>3.4464772796858217E-3</v>
      </c>
    </row>
    <row r="6390" spans="7:8" x14ac:dyDescent="0.3">
      <c r="G6390" s="75">
        <v>6387</v>
      </c>
      <c r="H6390">
        <f t="shared" ca="1" si="85"/>
        <v>1.6741009052458372E-2</v>
      </c>
    </row>
    <row r="6391" spans="7:8" x14ac:dyDescent="0.3">
      <c r="G6391" s="75">
        <v>6388</v>
      </c>
      <c r="H6391">
        <f t="shared" ca="1" si="85"/>
        <v>1.664794359946549E-3</v>
      </c>
    </row>
    <row r="6392" spans="7:8" x14ac:dyDescent="0.3">
      <c r="G6392" s="75">
        <v>6389</v>
      </c>
      <c r="H6392">
        <f t="shared" ca="1" si="85"/>
        <v>9.6955738284791506E-3</v>
      </c>
    </row>
    <row r="6393" spans="7:8" x14ac:dyDescent="0.3">
      <c r="G6393" s="75">
        <v>6390</v>
      </c>
      <c r="H6393">
        <f t="shared" ca="1" si="85"/>
        <v>2.1882788111411731E-2</v>
      </c>
    </row>
    <row r="6394" spans="7:8" x14ac:dyDescent="0.3">
      <c r="G6394" s="75">
        <v>6391</v>
      </c>
      <c r="H6394">
        <f t="shared" ca="1" si="85"/>
        <v>-1.2736578725209943E-2</v>
      </c>
    </row>
    <row r="6395" spans="7:8" x14ac:dyDescent="0.3">
      <c r="G6395" s="75">
        <v>6392</v>
      </c>
      <c r="H6395">
        <f t="shared" ca="1" si="85"/>
        <v>-9.2880332230420425E-3</v>
      </c>
    </row>
    <row r="6396" spans="7:8" x14ac:dyDescent="0.3">
      <c r="G6396" s="75">
        <v>6393</v>
      </c>
      <c r="H6396">
        <f t="shared" ca="1" si="85"/>
        <v>4.4922741965796259E-3</v>
      </c>
    </row>
    <row r="6397" spans="7:8" x14ac:dyDescent="0.3">
      <c r="G6397" s="75">
        <v>6394</v>
      </c>
      <c r="H6397">
        <f t="shared" ca="1" si="85"/>
        <v>2.872690857589396E-2</v>
      </c>
    </row>
    <row r="6398" spans="7:8" x14ac:dyDescent="0.3">
      <c r="G6398" s="75">
        <v>6395</v>
      </c>
      <c r="H6398">
        <f t="shared" ca="1" si="85"/>
        <v>1.5500661963371407E-3</v>
      </c>
    </row>
    <row r="6399" spans="7:8" x14ac:dyDescent="0.3">
      <c r="G6399" s="75">
        <v>6396</v>
      </c>
      <c r="H6399">
        <f t="shared" ca="1" si="85"/>
        <v>-1.555408124057985E-2</v>
      </c>
    </row>
    <row r="6400" spans="7:8" x14ac:dyDescent="0.3">
      <c r="G6400" s="75">
        <v>6397</v>
      </c>
      <c r="H6400">
        <f t="shared" ca="1" si="85"/>
        <v>-6.1794951809172128E-3</v>
      </c>
    </row>
    <row r="6401" spans="7:8" x14ac:dyDescent="0.3">
      <c r="G6401" s="75">
        <v>6398</v>
      </c>
      <c r="H6401">
        <f t="shared" ca="1" si="85"/>
        <v>-1.2839463316858084E-2</v>
      </c>
    </row>
    <row r="6402" spans="7:8" x14ac:dyDescent="0.3">
      <c r="G6402" s="75">
        <v>6399</v>
      </c>
      <c r="H6402">
        <f t="shared" ref="H6402:H6465" ca="1" si="86">_xlfn.NORM.INV(RAND(),$N$4,$N$5)</f>
        <v>1.2636408470146297E-2</v>
      </c>
    </row>
    <row r="6403" spans="7:8" x14ac:dyDescent="0.3">
      <c r="G6403" s="75">
        <v>6400</v>
      </c>
      <c r="H6403">
        <f t="shared" ca="1" si="86"/>
        <v>1.2851646997776324E-3</v>
      </c>
    </row>
    <row r="6404" spans="7:8" x14ac:dyDescent="0.3">
      <c r="G6404" s="75">
        <v>6401</v>
      </c>
      <c r="H6404">
        <f t="shared" ca="1" si="86"/>
        <v>-2.9861933002171406E-2</v>
      </c>
    </row>
    <row r="6405" spans="7:8" x14ac:dyDescent="0.3">
      <c r="G6405" s="75">
        <v>6402</v>
      </c>
      <c r="H6405">
        <f t="shared" ca="1" si="86"/>
        <v>-2.8306286031037566E-3</v>
      </c>
    </row>
    <row r="6406" spans="7:8" x14ac:dyDescent="0.3">
      <c r="G6406" s="75">
        <v>6403</v>
      </c>
      <c r="H6406">
        <f t="shared" ca="1" si="86"/>
        <v>-1.8554435781622278E-2</v>
      </c>
    </row>
    <row r="6407" spans="7:8" x14ac:dyDescent="0.3">
      <c r="G6407" s="75">
        <v>6404</v>
      </c>
      <c r="H6407">
        <f t="shared" ca="1" si="86"/>
        <v>-6.3247785287815893E-5</v>
      </c>
    </row>
    <row r="6408" spans="7:8" x14ac:dyDescent="0.3">
      <c r="G6408" s="75">
        <v>6405</v>
      </c>
      <c r="H6408">
        <f t="shared" ca="1" si="86"/>
        <v>-5.4867334837408006E-3</v>
      </c>
    </row>
    <row r="6409" spans="7:8" x14ac:dyDescent="0.3">
      <c r="G6409" s="75">
        <v>6406</v>
      </c>
      <c r="H6409">
        <f t="shared" ca="1" si="86"/>
        <v>1.694979725325153E-2</v>
      </c>
    </row>
    <row r="6410" spans="7:8" x14ac:dyDescent="0.3">
      <c r="G6410" s="75">
        <v>6407</v>
      </c>
      <c r="H6410">
        <f t="shared" ca="1" si="86"/>
        <v>-1.3596912418657407E-2</v>
      </c>
    </row>
    <row r="6411" spans="7:8" x14ac:dyDescent="0.3">
      <c r="G6411" s="75">
        <v>6408</v>
      </c>
      <c r="H6411">
        <f t="shared" ca="1" si="86"/>
        <v>-1.0059381197311825E-3</v>
      </c>
    </row>
    <row r="6412" spans="7:8" x14ac:dyDescent="0.3">
      <c r="G6412" s="75">
        <v>6409</v>
      </c>
      <c r="H6412">
        <f t="shared" ca="1" si="86"/>
        <v>-1.5429826300748415E-2</v>
      </c>
    </row>
    <row r="6413" spans="7:8" x14ac:dyDescent="0.3">
      <c r="G6413" s="75">
        <v>6410</v>
      </c>
      <c r="H6413">
        <f t="shared" ca="1" si="86"/>
        <v>1.3141838720154179E-2</v>
      </c>
    </row>
    <row r="6414" spans="7:8" x14ac:dyDescent="0.3">
      <c r="G6414" s="75">
        <v>6411</v>
      </c>
      <c r="H6414">
        <f t="shared" ca="1" si="86"/>
        <v>-1.3438138839483475E-2</v>
      </c>
    </row>
    <row r="6415" spans="7:8" x14ac:dyDescent="0.3">
      <c r="G6415" s="75">
        <v>6412</v>
      </c>
      <c r="H6415">
        <f t="shared" ca="1" si="86"/>
        <v>1.1460404111231394E-2</v>
      </c>
    </row>
    <row r="6416" spans="7:8" x14ac:dyDescent="0.3">
      <c r="G6416" s="75">
        <v>6413</v>
      </c>
      <c r="H6416">
        <f t="shared" ca="1" si="86"/>
        <v>-2.2603109466212745E-2</v>
      </c>
    </row>
    <row r="6417" spans="7:8" x14ac:dyDescent="0.3">
      <c r="G6417" s="75">
        <v>6414</v>
      </c>
      <c r="H6417">
        <f t="shared" ca="1" si="86"/>
        <v>-1.1108454383696252E-2</v>
      </c>
    </row>
    <row r="6418" spans="7:8" x14ac:dyDescent="0.3">
      <c r="G6418" s="75">
        <v>6415</v>
      </c>
      <c r="H6418">
        <f t="shared" ca="1" si="86"/>
        <v>1.934410662323607E-2</v>
      </c>
    </row>
    <row r="6419" spans="7:8" x14ac:dyDescent="0.3">
      <c r="G6419" s="75">
        <v>6416</v>
      </c>
      <c r="H6419">
        <f t="shared" ca="1" si="86"/>
        <v>-2.3036592488240755E-3</v>
      </c>
    </row>
    <row r="6420" spans="7:8" x14ac:dyDescent="0.3">
      <c r="G6420" s="75">
        <v>6417</v>
      </c>
      <c r="H6420">
        <f t="shared" ca="1" si="86"/>
        <v>-4.1375068492214683E-4</v>
      </c>
    </row>
    <row r="6421" spans="7:8" x14ac:dyDescent="0.3">
      <c r="G6421" s="75">
        <v>6418</v>
      </c>
      <c r="H6421">
        <f t="shared" ca="1" si="86"/>
        <v>1.6020909163287106E-2</v>
      </c>
    </row>
    <row r="6422" spans="7:8" x14ac:dyDescent="0.3">
      <c r="G6422" s="75">
        <v>6419</v>
      </c>
      <c r="H6422">
        <f t="shared" ca="1" si="86"/>
        <v>-1.2346298042450851E-3</v>
      </c>
    </row>
    <row r="6423" spans="7:8" x14ac:dyDescent="0.3">
      <c r="G6423" s="75">
        <v>6420</v>
      </c>
      <c r="H6423">
        <f t="shared" ca="1" si="86"/>
        <v>-2.0399633443624447E-2</v>
      </c>
    </row>
    <row r="6424" spans="7:8" x14ac:dyDescent="0.3">
      <c r="G6424" s="75">
        <v>6421</v>
      </c>
      <c r="H6424">
        <f t="shared" ca="1" si="86"/>
        <v>-1.4077639705785886E-2</v>
      </c>
    </row>
    <row r="6425" spans="7:8" x14ac:dyDescent="0.3">
      <c r="G6425" s="75">
        <v>6422</v>
      </c>
      <c r="H6425">
        <f t="shared" ca="1" si="86"/>
        <v>8.2935311080492586E-3</v>
      </c>
    </row>
    <row r="6426" spans="7:8" x14ac:dyDescent="0.3">
      <c r="G6426" s="75">
        <v>6423</v>
      </c>
      <c r="H6426">
        <f t="shared" ca="1" si="86"/>
        <v>2.8627119894039914E-3</v>
      </c>
    </row>
    <row r="6427" spans="7:8" x14ac:dyDescent="0.3">
      <c r="G6427" s="75">
        <v>6424</v>
      </c>
      <c r="H6427">
        <f t="shared" ca="1" si="86"/>
        <v>-1.7665397742870625E-2</v>
      </c>
    </row>
    <row r="6428" spans="7:8" x14ac:dyDescent="0.3">
      <c r="G6428" s="75">
        <v>6425</v>
      </c>
      <c r="H6428">
        <f t="shared" ca="1" si="86"/>
        <v>5.7870676006057775E-4</v>
      </c>
    </row>
    <row r="6429" spans="7:8" x14ac:dyDescent="0.3">
      <c r="G6429" s="75">
        <v>6426</v>
      </c>
      <c r="H6429">
        <f t="shared" ca="1" si="86"/>
        <v>-2.1830675409376252E-2</v>
      </c>
    </row>
    <row r="6430" spans="7:8" x14ac:dyDescent="0.3">
      <c r="G6430" s="75">
        <v>6427</v>
      </c>
      <c r="H6430">
        <f t="shared" ca="1" si="86"/>
        <v>-7.1731153107369638E-3</v>
      </c>
    </row>
    <row r="6431" spans="7:8" x14ac:dyDescent="0.3">
      <c r="G6431" s="75">
        <v>6428</v>
      </c>
      <c r="H6431">
        <f t="shared" ca="1" si="86"/>
        <v>-1.8977037511909697E-2</v>
      </c>
    </row>
    <row r="6432" spans="7:8" x14ac:dyDescent="0.3">
      <c r="G6432" s="75">
        <v>6429</v>
      </c>
      <c r="H6432">
        <f t="shared" ca="1" si="86"/>
        <v>-1.9177739121172432E-2</v>
      </c>
    </row>
    <row r="6433" spans="7:8" x14ac:dyDescent="0.3">
      <c r="G6433" s="75">
        <v>6430</v>
      </c>
      <c r="H6433">
        <f t="shared" ca="1" si="86"/>
        <v>-2.0341715324871429E-3</v>
      </c>
    </row>
    <row r="6434" spans="7:8" x14ac:dyDescent="0.3">
      <c r="G6434" s="75">
        <v>6431</v>
      </c>
      <c r="H6434">
        <f t="shared" ca="1" si="86"/>
        <v>1.9081741359258723E-2</v>
      </c>
    </row>
    <row r="6435" spans="7:8" x14ac:dyDescent="0.3">
      <c r="G6435" s="75">
        <v>6432</v>
      </c>
      <c r="H6435">
        <f t="shared" ca="1" si="86"/>
        <v>1.3519329347675796E-2</v>
      </c>
    </row>
    <row r="6436" spans="7:8" x14ac:dyDescent="0.3">
      <c r="G6436" s="75">
        <v>6433</v>
      </c>
      <c r="H6436">
        <f t="shared" ca="1" si="86"/>
        <v>-5.6842204476771118E-3</v>
      </c>
    </row>
    <row r="6437" spans="7:8" x14ac:dyDescent="0.3">
      <c r="G6437" s="75">
        <v>6434</v>
      </c>
      <c r="H6437">
        <f t="shared" ca="1" si="86"/>
        <v>-9.4850527604374514E-4</v>
      </c>
    </row>
    <row r="6438" spans="7:8" x14ac:dyDescent="0.3">
      <c r="G6438" s="75">
        <v>6435</v>
      </c>
      <c r="H6438">
        <f t="shared" ca="1" si="86"/>
        <v>-1.6073630003278095E-2</v>
      </c>
    </row>
    <row r="6439" spans="7:8" x14ac:dyDescent="0.3">
      <c r="G6439" s="75">
        <v>6436</v>
      </c>
      <c r="H6439">
        <f t="shared" ca="1" si="86"/>
        <v>6.0214349092038476E-3</v>
      </c>
    </row>
    <row r="6440" spans="7:8" x14ac:dyDescent="0.3">
      <c r="G6440" s="75">
        <v>6437</v>
      </c>
      <c r="H6440">
        <f t="shared" ca="1" si="86"/>
        <v>1.7102692636309952E-2</v>
      </c>
    </row>
    <row r="6441" spans="7:8" x14ac:dyDescent="0.3">
      <c r="G6441" s="75">
        <v>6438</v>
      </c>
      <c r="H6441">
        <f t="shared" ca="1" si="86"/>
        <v>4.6209519132380961E-3</v>
      </c>
    </row>
    <row r="6442" spans="7:8" x14ac:dyDescent="0.3">
      <c r="G6442" s="75">
        <v>6439</v>
      </c>
      <c r="H6442">
        <f t="shared" ca="1" si="86"/>
        <v>1.8434830045142053E-2</v>
      </c>
    </row>
    <row r="6443" spans="7:8" x14ac:dyDescent="0.3">
      <c r="G6443" s="75">
        <v>6440</v>
      </c>
      <c r="H6443">
        <f t="shared" ca="1" si="86"/>
        <v>2.2031158562362485E-2</v>
      </c>
    </row>
    <row r="6444" spans="7:8" x14ac:dyDescent="0.3">
      <c r="G6444" s="75">
        <v>6441</v>
      </c>
      <c r="H6444">
        <f t="shared" ca="1" si="86"/>
        <v>-1.4654946858328646E-2</v>
      </c>
    </row>
    <row r="6445" spans="7:8" x14ac:dyDescent="0.3">
      <c r="G6445" s="75">
        <v>6442</v>
      </c>
      <c r="H6445">
        <f t="shared" ca="1" si="86"/>
        <v>-1.9471188157123159E-2</v>
      </c>
    </row>
    <row r="6446" spans="7:8" x14ac:dyDescent="0.3">
      <c r="G6446" s="75">
        <v>6443</v>
      </c>
      <c r="H6446">
        <f t="shared" ca="1" si="86"/>
        <v>1.7242485360516004E-2</v>
      </c>
    </row>
    <row r="6447" spans="7:8" x14ac:dyDescent="0.3">
      <c r="G6447" s="75">
        <v>6444</v>
      </c>
      <c r="H6447">
        <f t="shared" ca="1" si="86"/>
        <v>7.2290514174977441E-3</v>
      </c>
    </row>
    <row r="6448" spans="7:8" x14ac:dyDescent="0.3">
      <c r="G6448" s="75">
        <v>6445</v>
      </c>
      <c r="H6448">
        <f t="shared" ca="1" si="86"/>
        <v>2.3827456736426434E-2</v>
      </c>
    </row>
    <row r="6449" spans="7:8" x14ac:dyDescent="0.3">
      <c r="G6449" s="75">
        <v>6446</v>
      </c>
      <c r="H6449">
        <f t="shared" ca="1" si="86"/>
        <v>-2.0871128223312944E-2</v>
      </c>
    </row>
    <row r="6450" spans="7:8" x14ac:dyDescent="0.3">
      <c r="G6450" s="75">
        <v>6447</v>
      </c>
      <c r="H6450">
        <f t="shared" ca="1" si="86"/>
        <v>-3.287318934050648E-3</v>
      </c>
    </row>
    <row r="6451" spans="7:8" x14ac:dyDescent="0.3">
      <c r="G6451" s="75">
        <v>6448</v>
      </c>
      <c r="H6451">
        <f t="shared" ca="1" si="86"/>
        <v>1.3855936124135805E-2</v>
      </c>
    </row>
    <row r="6452" spans="7:8" x14ac:dyDescent="0.3">
      <c r="G6452" s="75">
        <v>6449</v>
      </c>
      <c r="H6452">
        <f t="shared" ca="1" si="86"/>
        <v>1.9604580133097935E-2</v>
      </c>
    </row>
    <row r="6453" spans="7:8" x14ac:dyDescent="0.3">
      <c r="G6453" s="75">
        <v>6450</v>
      </c>
      <c r="H6453">
        <f t="shared" ca="1" si="86"/>
        <v>-3.4183433482655186E-2</v>
      </c>
    </row>
    <row r="6454" spans="7:8" x14ac:dyDescent="0.3">
      <c r="G6454" s="75">
        <v>6451</v>
      </c>
      <c r="H6454">
        <f t="shared" ca="1" si="86"/>
        <v>-1.4447072820216278E-3</v>
      </c>
    </row>
    <row r="6455" spans="7:8" x14ac:dyDescent="0.3">
      <c r="G6455" s="75">
        <v>6452</v>
      </c>
      <c r="H6455">
        <f t="shared" ca="1" si="86"/>
        <v>3.3259111973748749E-2</v>
      </c>
    </row>
    <row r="6456" spans="7:8" x14ac:dyDescent="0.3">
      <c r="G6456" s="75">
        <v>6453</v>
      </c>
      <c r="H6456">
        <f t="shared" ca="1" si="86"/>
        <v>-1.4567886039819193E-2</v>
      </c>
    </row>
    <row r="6457" spans="7:8" x14ac:dyDescent="0.3">
      <c r="G6457" s="75">
        <v>6454</v>
      </c>
      <c r="H6457">
        <f t="shared" ca="1" si="86"/>
        <v>5.2562096634992325E-3</v>
      </c>
    </row>
    <row r="6458" spans="7:8" x14ac:dyDescent="0.3">
      <c r="G6458" s="75">
        <v>6455</v>
      </c>
      <c r="H6458">
        <f t="shared" ca="1" si="86"/>
        <v>1.7302457868357442E-2</v>
      </c>
    </row>
    <row r="6459" spans="7:8" x14ac:dyDescent="0.3">
      <c r="G6459" s="75">
        <v>6456</v>
      </c>
      <c r="H6459">
        <f t="shared" ca="1" si="86"/>
        <v>6.7951396393630646E-3</v>
      </c>
    </row>
    <row r="6460" spans="7:8" x14ac:dyDescent="0.3">
      <c r="G6460" s="75">
        <v>6457</v>
      </c>
      <c r="H6460">
        <f t="shared" ca="1" si="86"/>
        <v>-2.3699675069914296E-2</v>
      </c>
    </row>
    <row r="6461" spans="7:8" x14ac:dyDescent="0.3">
      <c r="G6461" s="75">
        <v>6458</v>
      </c>
      <c r="H6461">
        <f t="shared" ca="1" si="86"/>
        <v>6.6119657729892655E-3</v>
      </c>
    </row>
    <row r="6462" spans="7:8" x14ac:dyDescent="0.3">
      <c r="G6462" s="75">
        <v>6459</v>
      </c>
      <c r="H6462">
        <f t="shared" ca="1" si="86"/>
        <v>3.7694346678219062E-3</v>
      </c>
    </row>
    <row r="6463" spans="7:8" x14ac:dyDescent="0.3">
      <c r="G6463" s="75">
        <v>6460</v>
      </c>
      <c r="H6463">
        <f t="shared" ca="1" si="86"/>
        <v>-1.6063910341804636E-3</v>
      </c>
    </row>
    <row r="6464" spans="7:8" x14ac:dyDescent="0.3">
      <c r="G6464" s="75">
        <v>6461</v>
      </c>
      <c r="H6464">
        <f t="shared" ca="1" si="86"/>
        <v>-1.8021229568720251E-2</v>
      </c>
    </row>
    <row r="6465" spans="7:8" x14ac:dyDescent="0.3">
      <c r="G6465" s="75">
        <v>6462</v>
      </c>
      <c r="H6465">
        <f t="shared" ca="1" si="86"/>
        <v>-8.5300416312358331E-3</v>
      </c>
    </row>
    <row r="6466" spans="7:8" x14ac:dyDescent="0.3">
      <c r="G6466" s="75">
        <v>6463</v>
      </c>
      <c r="H6466">
        <f t="shared" ref="H6466:H6529" ca="1" si="87">_xlfn.NORM.INV(RAND(),$N$4,$N$5)</f>
        <v>1.9888811281596086E-2</v>
      </c>
    </row>
    <row r="6467" spans="7:8" x14ac:dyDescent="0.3">
      <c r="G6467" s="75">
        <v>6464</v>
      </c>
      <c r="H6467">
        <f t="shared" ca="1" si="87"/>
        <v>-1.302022773169095E-2</v>
      </c>
    </row>
    <row r="6468" spans="7:8" x14ac:dyDescent="0.3">
      <c r="G6468" s="75">
        <v>6465</v>
      </c>
      <c r="H6468">
        <f t="shared" ca="1" si="87"/>
        <v>-2.0599038132328874E-2</v>
      </c>
    </row>
    <row r="6469" spans="7:8" x14ac:dyDescent="0.3">
      <c r="G6469" s="75">
        <v>6466</v>
      </c>
      <c r="H6469">
        <f t="shared" ca="1" si="87"/>
        <v>-1.5204065058351703E-2</v>
      </c>
    </row>
    <row r="6470" spans="7:8" x14ac:dyDescent="0.3">
      <c r="G6470" s="75">
        <v>6467</v>
      </c>
      <c r="H6470">
        <f t="shared" ca="1" si="87"/>
        <v>3.8142662184203831E-3</v>
      </c>
    </row>
    <row r="6471" spans="7:8" x14ac:dyDescent="0.3">
      <c r="G6471" s="75">
        <v>6468</v>
      </c>
      <c r="H6471">
        <f t="shared" ca="1" si="87"/>
        <v>1.6957045088142335E-3</v>
      </c>
    </row>
    <row r="6472" spans="7:8" x14ac:dyDescent="0.3">
      <c r="G6472" s="75">
        <v>6469</v>
      </c>
      <c r="H6472">
        <f t="shared" ca="1" si="87"/>
        <v>1.5551399971151044E-2</v>
      </c>
    </row>
    <row r="6473" spans="7:8" x14ac:dyDescent="0.3">
      <c r="G6473" s="75">
        <v>6470</v>
      </c>
      <c r="H6473">
        <f t="shared" ca="1" si="87"/>
        <v>-2.3693390946858686E-4</v>
      </c>
    </row>
    <row r="6474" spans="7:8" x14ac:dyDescent="0.3">
      <c r="G6474" s="75">
        <v>6471</v>
      </c>
      <c r="H6474">
        <f t="shared" ca="1" si="87"/>
        <v>1.7455107339892469E-2</v>
      </c>
    </row>
    <row r="6475" spans="7:8" x14ac:dyDescent="0.3">
      <c r="G6475" s="75">
        <v>6472</v>
      </c>
      <c r="H6475">
        <f t="shared" ca="1" si="87"/>
        <v>2.1876963012867055E-4</v>
      </c>
    </row>
    <row r="6476" spans="7:8" x14ac:dyDescent="0.3">
      <c r="G6476" s="75">
        <v>6473</v>
      </c>
      <c r="H6476">
        <f t="shared" ca="1" si="87"/>
        <v>4.6181172707520117E-3</v>
      </c>
    </row>
    <row r="6477" spans="7:8" x14ac:dyDescent="0.3">
      <c r="G6477" s="75">
        <v>6474</v>
      </c>
      <c r="H6477">
        <f t="shared" ca="1" si="87"/>
        <v>-2.815699083956989E-3</v>
      </c>
    </row>
    <row r="6478" spans="7:8" x14ac:dyDescent="0.3">
      <c r="G6478" s="75">
        <v>6475</v>
      </c>
      <c r="H6478">
        <f t="shared" ca="1" si="87"/>
        <v>-1.2646597338556147E-2</v>
      </c>
    </row>
    <row r="6479" spans="7:8" x14ac:dyDescent="0.3">
      <c r="G6479" s="75">
        <v>6476</v>
      </c>
      <c r="H6479">
        <f t="shared" ca="1" si="87"/>
        <v>1.5643021874464924E-3</v>
      </c>
    </row>
    <row r="6480" spans="7:8" x14ac:dyDescent="0.3">
      <c r="G6480" s="75">
        <v>6477</v>
      </c>
      <c r="H6480">
        <f t="shared" ca="1" si="87"/>
        <v>-1.4382418240665175E-2</v>
      </c>
    </row>
    <row r="6481" spans="7:8" x14ac:dyDescent="0.3">
      <c r="G6481" s="75">
        <v>6478</v>
      </c>
      <c r="H6481">
        <f t="shared" ca="1" si="87"/>
        <v>2.7226462295440016E-2</v>
      </c>
    </row>
    <row r="6482" spans="7:8" x14ac:dyDescent="0.3">
      <c r="G6482" s="75">
        <v>6479</v>
      </c>
      <c r="H6482">
        <f t="shared" ca="1" si="87"/>
        <v>-2.7277841995146926E-3</v>
      </c>
    </row>
    <row r="6483" spans="7:8" x14ac:dyDescent="0.3">
      <c r="G6483" s="75">
        <v>6480</v>
      </c>
      <c r="H6483">
        <f t="shared" ca="1" si="87"/>
        <v>-9.2529246321371942E-3</v>
      </c>
    </row>
    <row r="6484" spans="7:8" x14ac:dyDescent="0.3">
      <c r="G6484" s="75">
        <v>6481</v>
      </c>
      <c r="H6484">
        <f t="shared" ca="1" si="87"/>
        <v>5.8902720748673712E-3</v>
      </c>
    </row>
    <row r="6485" spans="7:8" x14ac:dyDescent="0.3">
      <c r="G6485" s="75">
        <v>6482</v>
      </c>
      <c r="H6485">
        <f t="shared" ca="1" si="87"/>
        <v>-4.5325435785350714E-3</v>
      </c>
    </row>
    <row r="6486" spans="7:8" x14ac:dyDescent="0.3">
      <c r="G6486" s="75">
        <v>6483</v>
      </c>
      <c r="H6486">
        <f t="shared" ca="1" si="87"/>
        <v>-6.9727587217238065E-3</v>
      </c>
    </row>
    <row r="6487" spans="7:8" x14ac:dyDescent="0.3">
      <c r="G6487" s="75">
        <v>6484</v>
      </c>
      <c r="H6487">
        <f t="shared" ca="1" si="87"/>
        <v>8.3369568482370687E-3</v>
      </c>
    </row>
    <row r="6488" spans="7:8" x14ac:dyDescent="0.3">
      <c r="G6488" s="75">
        <v>6485</v>
      </c>
      <c r="H6488">
        <f t="shared" ca="1" si="87"/>
        <v>-1.4238361264538604E-2</v>
      </c>
    </row>
    <row r="6489" spans="7:8" x14ac:dyDescent="0.3">
      <c r="G6489" s="75">
        <v>6486</v>
      </c>
      <c r="H6489">
        <f t="shared" ca="1" si="87"/>
        <v>-1.232742752500458E-2</v>
      </c>
    </row>
    <row r="6490" spans="7:8" x14ac:dyDescent="0.3">
      <c r="G6490" s="75">
        <v>6487</v>
      </c>
      <c r="H6490">
        <f t="shared" ca="1" si="87"/>
        <v>6.1686335224261863E-3</v>
      </c>
    </row>
    <row r="6491" spans="7:8" x14ac:dyDescent="0.3">
      <c r="G6491" s="75">
        <v>6488</v>
      </c>
      <c r="H6491">
        <f t="shared" ca="1" si="87"/>
        <v>-2.0214198700171208E-2</v>
      </c>
    </row>
    <row r="6492" spans="7:8" x14ac:dyDescent="0.3">
      <c r="G6492" s="75">
        <v>6489</v>
      </c>
      <c r="H6492">
        <f t="shared" ca="1" si="87"/>
        <v>1.5866378964116062E-2</v>
      </c>
    </row>
    <row r="6493" spans="7:8" x14ac:dyDescent="0.3">
      <c r="G6493" s="75">
        <v>6490</v>
      </c>
      <c r="H6493">
        <f t="shared" ca="1" si="87"/>
        <v>-2.7072256559373335E-4</v>
      </c>
    </row>
    <row r="6494" spans="7:8" x14ac:dyDescent="0.3">
      <c r="G6494" s="75">
        <v>6491</v>
      </c>
      <c r="H6494">
        <f t="shared" ca="1" si="87"/>
        <v>-1.8563092776724136E-2</v>
      </c>
    </row>
    <row r="6495" spans="7:8" x14ac:dyDescent="0.3">
      <c r="G6495" s="75">
        <v>6492</v>
      </c>
      <c r="H6495">
        <f t="shared" ca="1" si="87"/>
        <v>-5.5541182058795029E-3</v>
      </c>
    </row>
    <row r="6496" spans="7:8" x14ac:dyDescent="0.3">
      <c r="G6496" s="75">
        <v>6493</v>
      </c>
      <c r="H6496">
        <f t="shared" ca="1" si="87"/>
        <v>-6.5570022464809981E-3</v>
      </c>
    </row>
    <row r="6497" spans="7:8" x14ac:dyDescent="0.3">
      <c r="G6497" s="75">
        <v>6494</v>
      </c>
      <c r="H6497">
        <f t="shared" ca="1" si="87"/>
        <v>-1.7376206230236588E-3</v>
      </c>
    </row>
    <row r="6498" spans="7:8" x14ac:dyDescent="0.3">
      <c r="G6498" s="75">
        <v>6495</v>
      </c>
      <c r="H6498">
        <f t="shared" ca="1" si="87"/>
        <v>1.2455040328634764E-2</v>
      </c>
    </row>
    <row r="6499" spans="7:8" x14ac:dyDescent="0.3">
      <c r="G6499" s="75">
        <v>6496</v>
      </c>
      <c r="H6499">
        <f t="shared" ca="1" si="87"/>
        <v>-4.6791874940378675E-3</v>
      </c>
    </row>
    <row r="6500" spans="7:8" x14ac:dyDescent="0.3">
      <c r="G6500" s="75">
        <v>6497</v>
      </c>
      <c r="H6500">
        <f t="shared" ca="1" si="87"/>
        <v>4.7096231612640989E-3</v>
      </c>
    </row>
    <row r="6501" spans="7:8" x14ac:dyDescent="0.3">
      <c r="G6501" s="75">
        <v>6498</v>
      </c>
      <c r="H6501">
        <f t="shared" ca="1" si="87"/>
        <v>1.8643253384559091E-2</v>
      </c>
    </row>
    <row r="6502" spans="7:8" x14ac:dyDescent="0.3">
      <c r="G6502" s="75">
        <v>6499</v>
      </c>
      <c r="H6502">
        <f t="shared" ca="1" si="87"/>
        <v>-7.8561103676627383E-3</v>
      </c>
    </row>
    <row r="6503" spans="7:8" x14ac:dyDescent="0.3">
      <c r="G6503" s="75">
        <v>6500</v>
      </c>
      <c r="H6503">
        <f t="shared" ca="1" si="87"/>
        <v>1.1657637155467573E-3</v>
      </c>
    </row>
    <row r="6504" spans="7:8" x14ac:dyDescent="0.3">
      <c r="G6504" s="75">
        <v>6501</v>
      </c>
      <c r="H6504">
        <f t="shared" ca="1" si="87"/>
        <v>5.7742245466080528E-4</v>
      </c>
    </row>
    <row r="6505" spans="7:8" x14ac:dyDescent="0.3">
      <c r="G6505" s="75">
        <v>6502</v>
      </c>
      <c r="H6505">
        <f t="shared" ca="1" si="87"/>
        <v>1.4533218906467879E-3</v>
      </c>
    </row>
    <row r="6506" spans="7:8" x14ac:dyDescent="0.3">
      <c r="G6506" s="75">
        <v>6503</v>
      </c>
      <c r="H6506">
        <f t="shared" ca="1" si="87"/>
        <v>-9.3126738944796991E-3</v>
      </c>
    </row>
    <row r="6507" spans="7:8" x14ac:dyDescent="0.3">
      <c r="G6507" s="75">
        <v>6504</v>
      </c>
      <c r="H6507">
        <f t="shared" ca="1" si="87"/>
        <v>1.0546549096348633E-2</v>
      </c>
    </row>
    <row r="6508" spans="7:8" x14ac:dyDescent="0.3">
      <c r="G6508" s="75">
        <v>6505</v>
      </c>
      <c r="H6508">
        <f t="shared" ca="1" si="87"/>
        <v>4.6797528374329144E-3</v>
      </c>
    </row>
    <row r="6509" spans="7:8" x14ac:dyDescent="0.3">
      <c r="G6509" s="75">
        <v>6506</v>
      </c>
      <c r="H6509">
        <f t="shared" ca="1" si="87"/>
        <v>-1.1376809158913792E-2</v>
      </c>
    </row>
    <row r="6510" spans="7:8" x14ac:dyDescent="0.3">
      <c r="G6510" s="75">
        <v>6507</v>
      </c>
      <c r="H6510">
        <f t="shared" ca="1" si="87"/>
        <v>5.6840418513909863E-3</v>
      </c>
    </row>
    <row r="6511" spans="7:8" x14ac:dyDescent="0.3">
      <c r="G6511" s="75">
        <v>6508</v>
      </c>
      <c r="H6511">
        <f t="shared" ca="1" si="87"/>
        <v>-1.2379416891656822E-3</v>
      </c>
    </row>
    <row r="6512" spans="7:8" x14ac:dyDescent="0.3">
      <c r="G6512" s="75">
        <v>6509</v>
      </c>
      <c r="H6512">
        <f t="shared" ca="1" si="87"/>
        <v>-2.1384083248672647E-2</v>
      </c>
    </row>
    <row r="6513" spans="7:8" x14ac:dyDescent="0.3">
      <c r="G6513" s="75">
        <v>6510</v>
      </c>
      <c r="H6513">
        <f t="shared" ca="1" si="87"/>
        <v>1.5787566053053634E-2</v>
      </c>
    </row>
    <row r="6514" spans="7:8" x14ac:dyDescent="0.3">
      <c r="G6514" s="75">
        <v>6511</v>
      </c>
      <c r="H6514">
        <f t="shared" ca="1" si="87"/>
        <v>-2.4673503470106269E-2</v>
      </c>
    </row>
    <row r="6515" spans="7:8" x14ac:dyDescent="0.3">
      <c r="G6515" s="75">
        <v>6512</v>
      </c>
      <c r="H6515">
        <f t="shared" ca="1" si="87"/>
        <v>1.3851291569896541E-2</v>
      </c>
    </row>
    <row r="6516" spans="7:8" x14ac:dyDescent="0.3">
      <c r="G6516" s="75">
        <v>6513</v>
      </c>
      <c r="H6516">
        <f t="shared" ca="1" si="87"/>
        <v>3.0413824360960187E-3</v>
      </c>
    </row>
    <row r="6517" spans="7:8" x14ac:dyDescent="0.3">
      <c r="G6517" s="75">
        <v>6514</v>
      </c>
      <c r="H6517">
        <f t="shared" ca="1" si="87"/>
        <v>5.7463328078121122E-3</v>
      </c>
    </row>
    <row r="6518" spans="7:8" x14ac:dyDescent="0.3">
      <c r="G6518" s="75">
        <v>6515</v>
      </c>
      <c r="H6518">
        <f t="shared" ca="1" si="87"/>
        <v>-2.0726276986414616E-3</v>
      </c>
    </row>
    <row r="6519" spans="7:8" x14ac:dyDescent="0.3">
      <c r="G6519" s="75">
        <v>6516</v>
      </c>
      <c r="H6519">
        <f t="shared" ca="1" si="87"/>
        <v>1.3494789427651093E-2</v>
      </c>
    </row>
    <row r="6520" spans="7:8" x14ac:dyDescent="0.3">
      <c r="G6520" s="75">
        <v>6517</v>
      </c>
      <c r="H6520">
        <f t="shared" ca="1" si="87"/>
        <v>2.9599995084487692E-2</v>
      </c>
    </row>
    <row r="6521" spans="7:8" x14ac:dyDescent="0.3">
      <c r="G6521" s="75">
        <v>6518</v>
      </c>
      <c r="H6521">
        <f t="shared" ca="1" si="87"/>
        <v>-1.0325370624792461E-2</v>
      </c>
    </row>
    <row r="6522" spans="7:8" x14ac:dyDescent="0.3">
      <c r="G6522" s="75">
        <v>6519</v>
      </c>
      <c r="H6522">
        <f t="shared" ca="1" si="87"/>
        <v>-5.256825122514212E-3</v>
      </c>
    </row>
    <row r="6523" spans="7:8" x14ac:dyDescent="0.3">
      <c r="G6523" s="75">
        <v>6520</v>
      </c>
      <c r="H6523">
        <f t="shared" ca="1" si="87"/>
        <v>4.8827344361151281E-3</v>
      </c>
    </row>
    <row r="6524" spans="7:8" x14ac:dyDescent="0.3">
      <c r="G6524" s="75">
        <v>6521</v>
      </c>
      <c r="H6524">
        <f t="shared" ca="1" si="87"/>
        <v>2.1933008677084791E-2</v>
      </c>
    </row>
    <row r="6525" spans="7:8" x14ac:dyDescent="0.3">
      <c r="G6525" s="75">
        <v>6522</v>
      </c>
      <c r="H6525">
        <f t="shared" ca="1" si="87"/>
        <v>1.1149484070808263E-2</v>
      </c>
    </row>
    <row r="6526" spans="7:8" x14ac:dyDescent="0.3">
      <c r="G6526" s="75">
        <v>6523</v>
      </c>
      <c r="H6526">
        <f t="shared" ca="1" si="87"/>
        <v>-2.3767907945800425E-2</v>
      </c>
    </row>
    <row r="6527" spans="7:8" x14ac:dyDescent="0.3">
      <c r="G6527" s="75">
        <v>6524</v>
      </c>
      <c r="H6527">
        <f t="shared" ca="1" si="87"/>
        <v>-3.807066550276514E-3</v>
      </c>
    </row>
    <row r="6528" spans="7:8" x14ac:dyDescent="0.3">
      <c r="G6528" s="75">
        <v>6525</v>
      </c>
      <c r="H6528">
        <f t="shared" ca="1" si="87"/>
        <v>1.8428955024659592E-3</v>
      </c>
    </row>
    <row r="6529" spans="7:8" x14ac:dyDescent="0.3">
      <c r="G6529" s="75">
        <v>6526</v>
      </c>
      <c r="H6529">
        <f t="shared" ca="1" si="87"/>
        <v>-1.4110644278204952E-2</v>
      </c>
    </row>
    <row r="6530" spans="7:8" x14ac:dyDescent="0.3">
      <c r="G6530" s="75">
        <v>6527</v>
      </c>
      <c r="H6530">
        <f t="shared" ref="H6530:H6593" ca="1" si="88">_xlfn.NORM.INV(RAND(),$N$4,$N$5)</f>
        <v>-1.1916154377690063E-2</v>
      </c>
    </row>
    <row r="6531" spans="7:8" x14ac:dyDescent="0.3">
      <c r="G6531" s="75">
        <v>6528</v>
      </c>
      <c r="H6531">
        <f t="shared" ca="1" si="88"/>
        <v>-1.873023434918927E-2</v>
      </c>
    </row>
    <row r="6532" spans="7:8" x14ac:dyDescent="0.3">
      <c r="G6532" s="75">
        <v>6529</v>
      </c>
      <c r="H6532">
        <f t="shared" ca="1" si="88"/>
        <v>2.1590313373810111E-2</v>
      </c>
    </row>
    <row r="6533" spans="7:8" x14ac:dyDescent="0.3">
      <c r="G6533" s="75">
        <v>6530</v>
      </c>
      <c r="H6533">
        <f t="shared" ca="1" si="88"/>
        <v>1.3226289702005499E-2</v>
      </c>
    </row>
    <row r="6534" spans="7:8" x14ac:dyDescent="0.3">
      <c r="G6534" s="75">
        <v>6531</v>
      </c>
      <c r="H6534">
        <f t="shared" ca="1" si="88"/>
        <v>-1.5828043697885145E-2</v>
      </c>
    </row>
    <row r="6535" spans="7:8" x14ac:dyDescent="0.3">
      <c r="G6535" s="75">
        <v>6532</v>
      </c>
      <c r="H6535">
        <f t="shared" ca="1" si="88"/>
        <v>1.8837811181574245E-2</v>
      </c>
    </row>
    <row r="6536" spans="7:8" x14ac:dyDescent="0.3">
      <c r="G6536" s="75">
        <v>6533</v>
      </c>
      <c r="H6536">
        <f t="shared" ca="1" si="88"/>
        <v>-3.1798058166930391E-4</v>
      </c>
    </row>
    <row r="6537" spans="7:8" x14ac:dyDescent="0.3">
      <c r="G6537" s="75">
        <v>6534</v>
      </c>
      <c r="H6537">
        <f t="shared" ca="1" si="88"/>
        <v>-4.6095771263358707E-3</v>
      </c>
    </row>
    <row r="6538" spans="7:8" x14ac:dyDescent="0.3">
      <c r="G6538" s="75">
        <v>6535</v>
      </c>
      <c r="H6538">
        <f t="shared" ca="1" si="88"/>
        <v>-1.1413631025390383E-2</v>
      </c>
    </row>
    <row r="6539" spans="7:8" x14ac:dyDescent="0.3">
      <c r="G6539" s="75">
        <v>6536</v>
      </c>
      <c r="H6539">
        <f t="shared" ca="1" si="88"/>
        <v>2.8311238162287804E-2</v>
      </c>
    </row>
    <row r="6540" spans="7:8" x14ac:dyDescent="0.3">
      <c r="G6540" s="75">
        <v>6537</v>
      </c>
      <c r="H6540">
        <f t="shared" ca="1" si="88"/>
        <v>-1.5436858408845127E-2</v>
      </c>
    </row>
    <row r="6541" spans="7:8" x14ac:dyDescent="0.3">
      <c r="G6541" s="75">
        <v>6538</v>
      </c>
      <c r="H6541">
        <f t="shared" ca="1" si="88"/>
        <v>7.6969933938311535E-3</v>
      </c>
    </row>
    <row r="6542" spans="7:8" x14ac:dyDescent="0.3">
      <c r="G6542" s="75">
        <v>6539</v>
      </c>
      <c r="H6542">
        <f t="shared" ca="1" si="88"/>
        <v>1.643076589158142E-2</v>
      </c>
    </row>
    <row r="6543" spans="7:8" x14ac:dyDescent="0.3">
      <c r="G6543" s="75">
        <v>6540</v>
      </c>
      <c r="H6543">
        <f t="shared" ca="1" si="88"/>
        <v>2.9972712965059316E-2</v>
      </c>
    </row>
    <row r="6544" spans="7:8" x14ac:dyDescent="0.3">
      <c r="G6544" s="75">
        <v>6541</v>
      </c>
      <c r="H6544">
        <f t="shared" ca="1" si="88"/>
        <v>-2.8964485699217559E-3</v>
      </c>
    </row>
    <row r="6545" spans="7:8" x14ac:dyDescent="0.3">
      <c r="G6545" s="75">
        <v>6542</v>
      </c>
      <c r="H6545">
        <f t="shared" ca="1" si="88"/>
        <v>8.7241492994615394E-3</v>
      </c>
    </row>
    <row r="6546" spans="7:8" x14ac:dyDescent="0.3">
      <c r="G6546" s="75">
        <v>6543</v>
      </c>
      <c r="H6546">
        <f t="shared" ca="1" si="88"/>
        <v>-3.5857839743947354E-3</v>
      </c>
    </row>
    <row r="6547" spans="7:8" x14ac:dyDescent="0.3">
      <c r="G6547" s="75">
        <v>6544</v>
      </c>
      <c r="H6547">
        <f t="shared" ca="1" si="88"/>
        <v>1.6119982145208451E-2</v>
      </c>
    </row>
    <row r="6548" spans="7:8" x14ac:dyDescent="0.3">
      <c r="G6548" s="75">
        <v>6545</v>
      </c>
      <c r="H6548">
        <f t="shared" ca="1" si="88"/>
        <v>2.2711380877937039E-2</v>
      </c>
    </row>
    <row r="6549" spans="7:8" x14ac:dyDescent="0.3">
      <c r="G6549" s="75">
        <v>6546</v>
      </c>
      <c r="H6549">
        <f t="shared" ca="1" si="88"/>
        <v>5.7774369175230839E-3</v>
      </c>
    </row>
    <row r="6550" spans="7:8" x14ac:dyDescent="0.3">
      <c r="G6550" s="75">
        <v>6547</v>
      </c>
      <c r="H6550">
        <f t="shared" ca="1" si="88"/>
        <v>-6.0800803965372734E-3</v>
      </c>
    </row>
    <row r="6551" spans="7:8" x14ac:dyDescent="0.3">
      <c r="G6551" s="75">
        <v>6548</v>
      </c>
      <c r="H6551">
        <f t="shared" ca="1" si="88"/>
        <v>1.8318658721213667E-2</v>
      </c>
    </row>
    <row r="6552" spans="7:8" x14ac:dyDescent="0.3">
      <c r="G6552" s="75">
        <v>6549</v>
      </c>
      <c r="H6552">
        <f t="shared" ca="1" si="88"/>
        <v>-4.5713538196433525E-3</v>
      </c>
    </row>
    <row r="6553" spans="7:8" x14ac:dyDescent="0.3">
      <c r="G6553" s="75">
        <v>6550</v>
      </c>
      <c r="H6553">
        <f t="shared" ca="1" si="88"/>
        <v>1.6652793369846385E-2</v>
      </c>
    </row>
    <row r="6554" spans="7:8" x14ac:dyDescent="0.3">
      <c r="G6554" s="75">
        <v>6551</v>
      </c>
      <c r="H6554">
        <f t="shared" ca="1" si="88"/>
        <v>-3.8175639636648575E-3</v>
      </c>
    </row>
    <row r="6555" spans="7:8" x14ac:dyDescent="0.3">
      <c r="G6555" s="75">
        <v>6552</v>
      </c>
      <c r="H6555">
        <f t="shared" ca="1" si="88"/>
        <v>-1.9089239058902627E-2</v>
      </c>
    </row>
    <row r="6556" spans="7:8" x14ac:dyDescent="0.3">
      <c r="G6556" s="75">
        <v>6553</v>
      </c>
      <c r="H6556">
        <f t="shared" ca="1" si="88"/>
        <v>2.6798568635495357E-3</v>
      </c>
    </row>
    <row r="6557" spans="7:8" x14ac:dyDescent="0.3">
      <c r="G6557" s="75">
        <v>6554</v>
      </c>
      <c r="H6557">
        <f t="shared" ca="1" si="88"/>
        <v>-3.2735818840975411E-3</v>
      </c>
    </row>
    <row r="6558" spans="7:8" x14ac:dyDescent="0.3">
      <c r="G6558" s="75">
        <v>6555</v>
      </c>
      <c r="H6558">
        <f t="shared" ca="1" si="88"/>
        <v>-8.4289903212119467E-3</v>
      </c>
    </row>
    <row r="6559" spans="7:8" x14ac:dyDescent="0.3">
      <c r="G6559" s="75">
        <v>6556</v>
      </c>
      <c r="H6559">
        <f t="shared" ca="1" si="88"/>
        <v>2.7953908964738912E-3</v>
      </c>
    </row>
    <row r="6560" spans="7:8" x14ac:dyDescent="0.3">
      <c r="G6560" s="75">
        <v>6557</v>
      </c>
      <c r="H6560">
        <f t="shared" ca="1" si="88"/>
        <v>-3.587459897700691E-3</v>
      </c>
    </row>
    <row r="6561" spans="7:8" x14ac:dyDescent="0.3">
      <c r="G6561" s="75">
        <v>6558</v>
      </c>
      <c r="H6561">
        <f t="shared" ca="1" si="88"/>
        <v>1.2844842442547234E-2</v>
      </c>
    </row>
    <row r="6562" spans="7:8" x14ac:dyDescent="0.3">
      <c r="G6562" s="75">
        <v>6559</v>
      </c>
      <c r="H6562">
        <f t="shared" ca="1" si="88"/>
        <v>-8.5527713270137536E-3</v>
      </c>
    </row>
    <row r="6563" spans="7:8" x14ac:dyDescent="0.3">
      <c r="G6563" s="75">
        <v>6560</v>
      </c>
      <c r="H6563">
        <f t="shared" ca="1" si="88"/>
        <v>1.0419078341461156E-2</v>
      </c>
    </row>
    <row r="6564" spans="7:8" x14ac:dyDescent="0.3">
      <c r="G6564" s="75">
        <v>6561</v>
      </c>
      <c r="H6564">
        <f t="shared" ca="1" si="88"/>
        <v>-1.5273883747139347E-2</v>
      </c>
    </row>
    <row r="6565" spans="7:8" x14ac:dyDescent="0.3">
      <c r="G6565" s="75">
        <v>6562</v>
      </c>
      <c r="H6565">
        <f t="shared" ca="1" si="88"/>
        <v>7.3726477760734568E-3</v>
      </c>
    </row>
    <row r="6566" spans="7:8" x14ac:dyDescent="0.3">
      <c r="G6566" s="75">
        <v>6563</v>
      </c>
      <c r="H6566">
        <f t="shared" ca="1" si="88"/>
        <v>-4.6500030062125034E-3</v>
      </c>
    </row>
    <row r="6567" spans="7:8" x14ac:dyDescent="0.3">
      <c r="G6567" s="75">
        <v>6564</v>
      </c>
      <c r="H6567">
        <f t="shared" ca="1" si="88"/>
        <v>3.3721082179672596E-2</v>
      </c>
    </row>
    <row r="6568" spans="7:8" x14ac:dyDescent="0.3">
      <c r="G6568" s="75">
        <v>6565</v>
      </c>
      <c r="H6568">
        <f t="shared" ca="1" si="88"/>
        <v>1.9511492573938978E-2</v>
      </c>
    </row>
    <row r="6569" spans="7:8" x14ac:dyDescent="0.3">
      <c r="G6569" s="75">
        <v>6566</v>
      </c>
      <c r="H6569">
        <f t="shared" ca="1" si="88"/>
        <v>-2.5271231651888665E-3</v>
      </c>
    </row>
    <row r="6570" spans="7:8" x14ac:dyDescent="0.3">
      <c r="G6570" s="75">
        <v>6567</v>
      </c>
      <c r="H6570">
        <f t="shared" ca="1" si="88"/>
        <v>3.5570168030978938E-3</v>
      </c>
    </row>
    <row r="6571" spans="7:8" x14ac:dyDescent="0.3">
      <c r="G6571" s="75">
        <v>6568</v>
      </c>
      <c r="H6571">
        <f t="shared" ca="1" si="88"/>
        <v>-6.9352029556531613E-3</v>
      </c>
    </row>
    <row r="6572" spans="7:8" x14ac:dyDescent="0.3">
      <c r="G6572" s="75">
        <v>6569</v>
      </c>
      <c r="H6572">
        <f t="shared" ca="1" si="88"/>
        <v>-7.5710491546840918E-3</v>
      </c>
    </row>
    <row r="6573" spans="7:8" x14ac:dyDescent="0.3">
      <c r="G6573" s="75">
        <v>6570</v>
      </c>
      <c r="H6573">
        <f t="shared" ca="1" si="88"/>
        <v>9.8859965436301836E-3</v>
      </c>
    </row>
    <row r="6574" spans="7:8" x14ac:dyDescent="0.3">
      <c r="G6574" s="75">
        <v>6571</v>
      </c>
      <c r="H6574">
        <f t="shared" ca="1" si="88"/>
        <v>2.9715763311577333E-3</v>
      </c>
    </row>
    <row r="6575" spans="7:8" x14ac:dyDescent="0.3">
      <c r="G6575" s="75">
        <v>6572</v>
      </c>
      <c r="H6575">
        <f t="shared" ca="1" si="88"/>
        <v>5.3911349644950111E-4</v>
      </c>
    </row>
    <row r="6576" spans="7:8" x14ac:dyDescent="0.3">
      <c r="G6576" s="75">
        <v>6573</v>
      </c>
      <c r="H6576">
        <f t="shared" ca="1" si="88"/>
        <v>-5.8264343002395851E-3</v>
      </c>
    </row>
    <row r="6577" spans="7:8" x14ac:dyDescent="0.3">
      <c r="G6577" s="75">
        <v>6574</v>
      </c>
      <c r="H6577">
        <f t="shared" ca="1" si="88"/>
        <v>3.0547298172586598E-2</v>
      </c>
    </row>
    <row r="6578" spans="7:8" x14ac:dyDescent="0.3">
      <c r="G6578" s="75">
        <v>6575</v>
      </c>
      <c r="H6578">
        <f t="shared" ca="1" si="88"/>
        <v>-5.0256999009502083E-3</v>
      </c>
    </row>
    <row r="6579" spans="7:8" x14ac:dyDescent="0.3">
      <c r="G6579" s="75">
        <v>6576</v>
      </c>
      <c r="H6579">
        <f t="shared" ca="1" si="88"/>
        <v>1.5190168340125166E-2</v>
      </c>
    </row>
    <row r="6580" spans="7:8" x14ac:dyDescent="0.3">
      <c r="G6580" s="75">
        <v>6577</v>
      </c>
      <c r="H6580">
        <f t="shared" ca="1" si="88"/>
        <v>1.0712346026562587E-2</v>
      </c>
    </row>
    <row r="6581" spans="7:8" x14ac:dyDescent="0.3">
      <c r="G6581" s="75">
        <v>6578</v>
      </c>
      <c r="H6581">
        <f t="shared" ca="1" si="88"/>
        <v>1.400029812372137E-2</v>
      </c>
    </row>
    <row r="6582" spans="7:8" x14ac:dyDescent="0.3">
      <c r="G6582" s="75">
        <v>6579</v>
      </c>
      <c r="H6582">
        <f t="shared" ca="1" si="88"/>
        <v>-1.3599468683289038E-2</v>
      </c>
    </row>
    <row r="6583" spans="7:8" x14ac:dyDescent="0.3">
      <c r="G6583" s="75">
        <v>6580</v>
      </c>
      <c r="H6583">
        <f t="shared" ca="1" si="88"/>
        <v>-2.837973924136732E-2</v>
      </c>
    </row>
    <row r="6584" spans="7:8" x14ac:dyDescent="0.3">
      <c r="G6584" s="75">
        <v>6581</v>
      </c>
      <c r="H6584">
        <f t="shared" ca="1" si="88"/>
        <v>-9.0035085313655144E-3</v>
      </c>
    </row>
    <row r="6585" spans="7:8" x14ac:dyDescent="0.3">
      <c r="G6585" s="75">
        <v>6582</v>
      </c>
      <c r="H6585">
        <f t="shared" ca="1" si="88"/>
        <v>-1.2922385458465619E-2</v>
      </c>
    </row>
    <row r="6586" spans="7:8" x14ac:dyDescent="0.3">
      <c r="G6586" s="75">
        <v>6583</v>
      </c>
      <c r="H6586">
        <f t="shared" ca="1" si="88"/>
        <v>7.5159402885315594E-3</v>
      </c>
    </row>
    <row r="6587" spans="7:8" x14ac:dyDescent="0.3">
      <c r="G6587" s="75">
        <v>6584</v>
      </c>
      <c r="H6587">
        <f t="shared" ca="1" si="88"/>
        <v>-3.1132719582377129E-2</v>
      </c>
    </row>
    <row r="6588" spans="7:8" x14ac:dyDescent="0.3">
      <c r="G6588" s="75">
        <v>6585</v>
      </c>
      <c r="H6588">
        <f t="shared" ca="1" si="88"/>
        <v>1.4245573639760641E-2</v>
      </c>
    </row>
    <row r="6589" spans="7:8" x14ac:dyDescent="0.3">
      <c r="G6589" s="75">
        <v>6586</v>
      </c>
      <c r="H6589">
        <f t="shared" ca="1" si="88"/>
        <v>2.0589148557841969E-2</v>
      </c>
    </row>
    <row r="6590" spans="7:8" x14ac:dyDescent="0.3">
      <c r="G6590" s="75">
        <v>6587</v>
      </c>
      <c r="H6590">
        <f t="shared" ca="1" si="88"/>
        <v>-1.5749969576616077E-2</v>
      </c>
    </row>
    <row r="6591" spans="7:8" x14ac:dyDescent="0.3">
      <c r="G6591" s="75">
        <v>6588</v>
      </c>
      <c r="H6591">
        <f t="shared" ca="1" si="88"/>
        <v>-1.2951829850093653E-2</v>
      </c>
    </row>
    <row r="6592" spans="7:8" x14ac:dyDescent="0.3">
      <c r="G6592" s="75">
        <v>6589</v>
      </c>
      <c r="H6592">
        <f t="shared" ca="1" si="88"/>
        <v>8.1039315233286495E-3</v>
      </c>
    </row>
    <row r="6593" spans="7:8" x14ac:dyDescent="0.3">
      <c r="G6593" s="75">
        <v>6590</v>
      </c>
      <c r="H6593">
        <f t="shared" ca="1" si="88"/>
        <v>-1.4975702686384935E-3</v>
      </c>
    </row>
    <row r="6594" spans="7:8" x14ac:dyDescent="0.3">
      <c r="G6594" s="75">
        <v>6591</v>
      </c>
      <c r="H6594">
        <f t="shared" ref="H6594:H6657" ca="1" si="89">_xlfn.NORM.INV(RAND(),$N$4,$N$5)</f>
        <v>5.9015071479570236E-3</v>
      </c>
    </row>
    <row r="6595" spans="7:8" x14ac:dyDescent="0.3">
      <c r="G6595" s="75">
        <v>6592</v>
      </c>
      <c r="H6595">
        <f t="shared" ca="1" si="89"/>
        <v>-1.714280691739511E-3</v>
      </c>
    </row>
    <row r="6596" spans="7:8" x14ac:dyDescent="0.3">
      <c r="G6596" s="75">
        <v>6593</v>
      </c>
      <c r="H6596">
        <f t="shared" ca="1" si="89"/>
        <v>-1.8129664515515238E-2</v>
      </c>
    </row>
    <row r="6597" spans="7:8" x14ac:dyDescent="0.3">
      <c r="G6597" s="75">
        <v>6594</v>
      </c>
      <c r="H6597">
        <f t="shared" ca="1" si="89"/>
        <v>3.1255298824038884E-3</v>
      </c>
    </row>
    <row r="6598" spans="7:8" x14ac:dyDescent="0.3">
      <c r="G6598" s="75">
        <v>6595</v>
      </c>
      <c r="H6598">
        <f t="shared" ca="1" si="89"/>
        <v>6.476616217227428E-3</v>
      </c>
    </row>
    <row r="6599" spans="7:8" x14ac:dyDescent="0.3">
      <c r="G6599" s="75">
        <v>6596</v>
      </c>
      <c r="H6599">
        <f t="shared" ca="1" si="89"/>
        <v>-7.3757811558831151E-3</v>
      </c>
    </row>
    <row r="6600" spans="7:8" x14ac:dyDescent="0.3">
      <c r="G6600" s="75">
        <v>6597</v>
      </c>
      <c r="H6600">
        <f t="shared" ca="1" si="89"/>
        <v>-7.7935340616259541E-4</v>
      </c>
    </row>
    <row r="6601" spans="7:8" x14ac:dyDescent="0.3">
      <c r="G6601" s="75">
        <v>6598</v>
      </c>
      <c r="H6601">
        <f t="shared" ca="1" si="89"/>
        <v>-6.7517057331389942E-3</v>
      </c>
    </row>
    <row r="6602" spans="7:8" x14ac:dyDescent="0.3">
      <c r="G6602" s="75">
        <v>6599</v>
      </c>
      <c r="H6602">
        <f t="shared" ca="1" si="89"/>
        <v>2.03511393448981E-2</v>
      </c>
    </row>
    <row r="6603" spans="7:8" x14ac:dyDescent="0.3">
      <c r="G6603" s="75">
        <v>6600</v>
      </c>
      <c r="H6603">
        <f t="shared" ca="1" si="89"/>
        <v>1.1504405840750642E-2</v>
      </c>
    </row>
    <row r="6604" spans="7:8" x14ac:dyDescent="0.3">
      <c r="G6604" s="75">
        <v>6601</v>
      </c>
      <c r="H6604">
        <f t="shared" ca="1" si="89"/>
        <v>-5.5908659391241547E-3</v>
      </c>
    </row>
    <row r="6605" spans="7:8" x14ac:dyDescent="0.3">
      <c r="G6605" s="75">
        <v>6602</v>
      </c>
      <c r="H6605">
        <f t="shared" ca="1" si="89"/>
        <v>-7.036618820598339E-3</v>
      </c>
    </row>
    <row r="6606" spans="7:8" x14ac:dyDescent="0.3">
      <c r="G6606" s="75">
        <v>6603</v>
      </c>
      <c r="H6606">
        <f t="shared" ca="1" si="89"/>
        <v>-5.0608026033951833E-3</v>
      </c>
    </row>
    <row r="6607" spans="7:8" x14ac:dyDescent="0.3">
      <c r="G6607" s="75">
        <v>6604</v>
      </c>
      <c r="H6607">
        <f t="shared" ca="1" si="89"/>
        <v>1.4511571806998429E-2</v>
      </c>
    </row>
    <row r="6608" spans="7:8" x14ac:dyDescent="0.3">
      <c r="G6608" s="75">
        <v>6605</v>
      </c>
      <c r="H6608">
        <f t="shared" ca="1" si="89"/>
        <v>1.746993544183199E-2</v>
      </c>
    </row>
    <row r="6609" spans="7:8" x14ac:dyDescent="0.3">
      <c r="G6609" s="75">
        <v>6606</v>
      </c>
      <c r="H6609">
        <f t="shared" ca="1" si="89"/>
        <v>2.4988465766181299E-3</v>
      </c>
    </row>
    <row r="6610" spans="7:8" x14ac:dyDescent="0.3">
      <c r="G6610" s="75">
        <v>6607</v>
      </c>
      <c r="H6610">
        <f t="shared" ca="1" si="89"/>
        <v>-1.2749920346600873E-2</v>
      </c>
    </row>
    <row r="6611" spans="7:8" x14ac:dyDescent="0.3">
      <c r="G6611" s="75">
        <v>6608</v>
      </c>
      <c r="H6611">
        <f t="shared" ca="1" si="89"/>
        <v>1.6792026887451052E-2</v>
      </c>
    </row>
    <row r="6612" spans="7:8" x14ac:dyDescent="0.3">
      <c r="G6612" s="75">
        <v>6609</v>
      </c>
      <c r="H6612">
        <f t="shared" ca="1" si="89"/>
        <v>3.7637273958537583E-3</v>
      </c>
    </row>
    <row r="6613" spans="7:8" x14ac:dyDescent="0.3">
      <c r="G6613" s="75">
        <v>6610</v>
      </c>
      <c r="H6613">
        <f t="shared" ca="1" si="89"/>
        <v>1.8117809376854303E-2</v>
      </c>
    </row>
    <row r="6614" spans="7:8" x14ac:dyDescent="0.3">
      <c r="G6614" s="75">
        <v>6611</v>
      </c>
      <c r="H6614">
        <f t="shared" ca="1" si="89"/>
        <v>-9.1113721779666011E-3</v>
      </c>
    </row>
    <row r="6615" spans="7:8" x14ac:dyDescent="0.3">
      <c r="G6615" s="75">
        <v>6612</v>
      </c>
      <c r="H6615">
        <f t="shared" ca="1" si="89"/>
        <v>-5.4772006173896401E-3</v>
      </c>
    </row>
    <row r="6616" spans="7:8" x14ac:dyDescent="0.3">
      <c r="G6616" s="75">
        <v>6613</v>
      </c>
      <c r="H6616">
        <f t="shared" ca="1" si="89"/>
        <v>-4.3923425724425678E-3</v>
      </c>
    </row>
    <row r="6617" spans="7:8" x14ac:dyDescent="0.3">
      <c r="G6617" s="75">
        <v>6614</v>
      </c>
      <c r="H6617">
        <f t="shared" ca="1" si="89"/>
        <v>-5.1944827197126881E-3</v>
      </c>
    </row>
    <row r="6618" spans="7:8" x14ac:dyDescent="0.3">
      <c r="G6618" s="75">
        <v>6615</v>
      </c>
      <c r="H6618">
        <f t="shared" ca="1" si="89"/>
        <v>-2.2105721129209023E-3</v>
      </c>
    </row>
    <row r="6619" spans="7:8" x14ac:dyDescent="0.3">
      <c r="G6619" s="75">
        <v>6616</v>
      </c>
      <c r="H6619">
        <f t="shared" ca="1" si="89"/>
        <v>-1.5579317393696718E-2</v>
      </c>
    </row>
    <row r="6620" spans="7:8" x14ac:dyDescent="0.3">
      <c r="G6620" s="75">
        <v>6617</v>
      </c>
      <c r="H6620">
        <f t="shared" ca="1" si="89"/>
        <v>5.4538761556721192E-3</v>
      </c>
    </row>
    <row r="6621" spans="7:8" x14ac:dyDescent="0.3">
      <c r="G6621" s="75">
        <v>6618</v>
      </c>
      <c r="H6621">
        <f t="shared" ca="1" si="89"/>
        <v>2.0219801236521008E-3</v>
      </c>
    </row>
    <row r="6622" spans="7:8" x14ac:dyDescent="0.3">
      <c r="G6622" s="75">
        <v>6619</v>
      </c>
      <c r="H6622">
        <f t="shared" ca="1" si="89"/>
        <v>-3.9892222209898603E-4</v>
      </c>
    </row>
    <row r="6623" spans="7:8" x14ac:dyDescent="0.3">
      <c r="G6623" s="75">
        <v>6620</v>
      </c>
      <c r="H6623">
        <f t="shared" ca="1" si="89"/>
        <v>1.8905936065367782E-2</v>
      </c>
    </row>
    <row r="6624" spans="7:8" x14ac:dyDescent="0.3">
      <c r="G6624" s="75">
        <v>6621</v>
      </c>
      <c r="H6624">
        <f t="shared" ca="1" si="89"/>
        <v>8.4777350988420735E-3</v>
      </c>
    </row>
    <row r="6625" spans="7:8" x14ac:dyDescent="0.3">
      <c r="G6625" s="75">
        <v>6622</v>
      </c>
      <c r="H6625">
        <f t="shared" ca="1" si="89"/>
        <v>-1.4021256859388232E-2</v>
      </c>
    </row>
    <row r="6626" spans="7:8" x14ac:dyDescent="0.3">
      <c r="G6626" s="75">
        <v>6623</v>
      </c>
      <c r="H6626">
        <f t="shared" ca="1" si="89"/>
        <v>-2.2844277081289527E-2</v>
      </c>
    </row>
    <row r="6627" spans="7:8" x14ac:dyDescent="0.3">
      <c r="G6627" s="75">
        <v>6624</v>
      </c>
      <c r="H6627">
        <f t="shared" ca="1" si="89"/>
        <v>-6.160579784799761E-3</v>
      </c>
    </row>
    <row r="6628" spans="7:8" x14ac:dyDescent="0.3">
      <c r="G6628" s="75">
        <v>6625</v>
      </c>
      <c r="H6628">
        <f t="shared" ca="1" si="89"/>
        <v>-2.7628468402157943E-3</v>
      </c>
    </row>
    <row r="6629" spans="7:8" x14ac:dyDescent="0.3">
      <c r="G6629" s="75">
        <v>6626</v>
      </c>
      <c r="H6629">
        <f t="shared" ca="1" si="89"/>
        <v>4.5171397939190909E-3</v>
      </c>
    </row>
    <row r="6630" spans="7:8" x14ac:dyDescent="0.3">
      <c r="G6630" s="75">
        <v>6627</v>
      </c>
      <c r="H6630">
        <f t="shared" ca="1" si="89"/>
        <v>-1.0983893447280037E-2</v>
      </c>
    </row>
    <row r="6631" spans="7:8" x14ac:dyDescent="0.3">
      <c r="G6631" s="75">
        <v>6628</v>
      </c>
      <c r="H6631">
        <f t="shared" ca="1" si="89"/>
        <v>-1.3539829996009287E-2</v>
      </c>
    </row>
    <row r="6632" spans="7:8" x14ac:dyDescent="0.3">
      <c r="G6632" s="75">
        <v>6629</v>
      </c>
      <c r="H6632">
        <f t="shared" ca="1" si="89"/>
        <v>-2.1694973184630353E-3</v>
      </c>
    </row>
    <row r="6633" spans="7:8" x14ac:dyDescent="0.3">
      <c r="G6633" s="75">
        <v>6630</v>
      </c>
      <c r="H6633">
        <f t="shared" ca="1" si="89"/>
        <v>1.5022175653633353E-2</v>
      </c>
    </row>
    <row r="6634" spans="7:8" x14ac:dyDescent="0.3">
      <c r="G6634" s="75">
        <v>6631</v>
      </c>
      <c r="H6634">
        <f t="shared" ca="1" si="89"/>
        <v>-6.8907556027209046E-3</v>
      </c>
    </row>
    <row r="6635" spans="7:8" x14ac:dyDescent="0.3">
      <c r="G6635" s="75">
        <v>6632</v>
      </c>
      <c r="H6635">
        <f t="shared" ca="1" si="89"/>
        <v>-1.6479846574928951E-2</v>
      </c>
    </row>
    <row r="6636" spans="7:8" x14ac:dyDescent="0.3">
      <c r="G6636" s="75">
        <v>6633</v>
      </c>
      <c r="H6636">
        <f t="shared" ca="1" si="89"/>
        <v>-1.2131186513528401E-2</v>
      </c>
    </row>
    <row r="6637" spans="7:8" x14ac:dyDescent="0.3">
      <c r="G6637" s="75">
        <v>6634</v>
      </c>
      <c r="H6637">
        <f t="shared" ca="1" si="89"/>
        <v>-1.0414928051348884E-2</v>
      </c>
    </row>
    <row r="6638" spans="7:8" x14ac:dyDescent="0.3">
      <c r="G6638" s="75">
        <v>6635</v>
      </c>
      <c r="H6638">
        <f t="shared" ca="1" si="89"/>
        <v>1.2753144151015706E-2</v>
      </c>
    </row>
    <row r="6639" spans="7:8" x14ac:dyDescent="0.3">
      <c r="G6639" s="75">
        <v>6636</v>
      </c>
      <c r="H6639">
        <f t="shared" ca="1" si="89"/>
        <v>1.8137107984485566E-2</v>
      </c>
    </row>
    <row r="6640" spans="7:8" x14ac:dyDescent="0.3">
      <c r="G6640" s="75">
        <v>6637</v>
      </c>
      <c r="H6640">
        <f t="shared" ca="1" si="89"/>
        <v>-2.3599401933583428E-2</v>
      </c>
    </row>
    <row r="6641" spans="7:8" x14ac:dyDescent="0.3">
      <c r="G6641" s="75">
        <v>6638</v>
      </c>
      <c r="H6641">
        <f t="shared" ca="1" si="89"/>
        <v>-3.2303367826478618E-3</v>
      </c>
    </row>
    <row r="6642" spans="7:8" x14ac:dyDescent="0.3">
      <c r="G6642" s="75">
        <v>6639</v>
      </c>
      <c r="H6642">
        <f t="shared" ca="1" si="89"/>
        <v>-2.8933567633793902E-3</v>
      </c>
    </row>
    <row r="6643" spans="7:8" x14ac:dyDescent="0.3">
      <c r="G6643" s="75">
        <v>6640</v>
      </c>
      <c r="H6643">
        <f t="shared" ca="1" si="89"/>
        <v>4.6605149488554111E-3</v>
      </c>
    </row>
    <row r="6644" spans="7:8" x14ac:dyDescent="0.3">
      <c r="G6644" s="75">
        <v>6641</v>
      </c>
      <c r="H6644">
        <f t="shared" ca="1" si="89"/>
        <v>-2.8806460226292289E-3</v>
      </c>
    </row>
    <row r="6645" spans="7:8" x14ac:dyDescent="0.3">
      <c r="G6645" s="75">
        <v>6642</v>
      </c>
      <c r="H6645">
        <f t="shared" ca="1" si="89"/>
        <v>1.365810740227346E-2</v>
      </c>
    </row>
    <row r="6646" spans="7:8" x14ac:dyDescent="0.3">
      <c r="G6646" s="75">
        <v>6643</v>
      </c>
      <c r="H6646">
        <f t="shared" ca="1" si="89"/>
        <v>-6.462060689078745E-3</v>
      </c>
    </row>
    <row r="6647" spans="7:8" x14ac:dyDescent="0.3">
      <c r="G6647" s="75">
        <v>6644</v>
      </c>
      <c r="H6647">
        <f t="shared" ca="1" si="89"/>
        <v>-6.1647770567738449E-3</v>
      </c>
    </row>
    <row r="6648" spans="7:8" x14ac:dyDescent="0.3">
      <c r="G6648" s="75">
        <v>6645</v>
      </c>
      <c r="H6648">
        <f t="shared" ca="1" si="89"/>
        <v>5.4122335842624212E-3</v>
      </c>
    </row>
    <row r="6649" spans="7:8" x14ac:dyDescent="0.3">
      <c r="G6649" s="75">
        <v>6646</v>
      </c>
      <c r="H6649">
        <f t="shared" ca="1" si="89"/>
        <v>-2.3242610908040945E-2</v>
      </c>
    </row>
    <row r="6650" spans="7:8" x14ac:dyDescent="0.3">
      <c r="G6650" s="75">
        <v>6647</v>
      </c>
      <c r="H6650">
        <f t="shared" ca="1" si="89"/>
        <v>8.3005239453340905E-4</v>
      </c>
    </row>
    <row r="6651" spans="7:8" x14ac:dyDescent="0.3">
      <c r="G6651" s="75">
        <v>6648</v>
      </c>
      <c r="H6651">
        <f t="shared" ca="1" si="89"/>
        <v>-4.4882316167104063E-3</v>
      </c>
    </row>
    <row r="6652" spans="7:8" x14ac:dyDescent="0.3">
      <c r="G6652" s="75">
        <v>6649</v>
      </c>
      <c r="H6652">
        <f t="shared" ca="1" si="89"/>
        <v>2.8957854802209387E-2</v>
      </c>
    </row>
    <row r="6653" spans="7:8" x14ac:dyDescent="0.3">
      <c r="G6653" s="75">
        <v>6650</v>
      </c>
      <c r="H6653">
        <f t="shared" ca="1" si="89"/>
        <v>-7.8542502255147025E-3</v>
      </c>
    </row>
    <row r="6654" spans="7:8" x14ac:dyDescent="0.3">
      <c r="G6654" s="75">
        <v>6651</v>
      </c>
      <c r="H6654">
        <f t="shared" ca="1" si="89"/>
        <v>-3.3013042085968409E-3</v>
      </c>
    </row>
    <row r="6655" spans="7:8" x14ac:dyDescent="0.3">
      <c r="G6655" s="75">
        <v>6652</v>
      </c>
      <c r="H6655">
        <f t="shared" ca="1" si="89"/>
        <v>-2.1519776028792636E-2</v>
      </c>
    </row>
    <row r="6656" spans="7:8" x14ac:dyDescent="0.3">
      <c r="G6656" s="75">
        <v>6653</v>
      </c>
      <c r="H6656">
        <f t="shared" ca="1" si="89"/>
        <v>9.1326880017653118E-3</v>
      </c>
    </row>
    <row r="6657" spans="7:8" x14ac:dyDescent="0.3">
      <c r="G6657" s="75">
        <v>6654</v>
      </c>
      <c r="H6657">
        <f t="shared" ca="1" si="89"/>
        <v>1.0852655454600959E-2</v>
      </c>
    </row>
    <row r="6658" spans="7:8" x14ac:dyDescent="0.3">
      <c r="G6658" s="75">
        <v>6655</v>
      </c>
      <c r="H6658">
        <f t="shared" ref="H6658:H6721" ca="1" si="90">_xlfn.NORM.INV(RAND(),$N$4,$N$5)</f>
        <v>2.4646326742015928E-2</v>
      </c>
    </row>
    <row r="6659" spans="7:8" x14ac:dyDescent="0.3">
      <c r="G6659" s="75">
        <v>6656</v>
      </c>
      <c r="H6659">
        <f t="shared" ca="1" si="90"/>
        <v>5.3401090712891395E-3</v>
      </c>
    </row>
    <row r="6660" spans="7:8" x14ac:dyDescent="0.3">
      <c r="G6660" s="75">
        <v>6657</v>
      </c>
      <c r="H6660">
        <f t="shared" ca="1" si="90"/>
        <v>2.5229117525589616E-2</v>
      </c>
    </row>
    <row r="6661" spans="7:8" x14ac:dyDescent="0.3">
      <c r="G6661" s="75">
        <v>6658</v>
      </c>
      <c r="H6661">
        <f t="shared" ca="1" si="90"/>
        <v>-2.3396135465157446E-2</v>
      </c>
    </row>
    <row r="6662" spans="7:8" x14ac:dyDescent="0.3">
      <c r="G6662" s="75">
        <v>6659</v>
      </c>
      <c r="H6662">
        <f t="shared" ca="1" si="90"/>
        <v>-3.3979131616296318E-3</v>
      </c>
    </row>
    <row r="6663" spans="7:8" x14ac:dyDescent="0.3">
      <c r="G6663" s="75">
        <v>6660</v>
      </c>
      <c r="H6663">
        <f t="shared" ca="1" si="90"/>
        <v>2.8394727906940888E-3</v>
      </c>
    </row>
    <row r="6664" spans="7:8" x14ac:dyDescent="0.3">
      <c r="G6664" s="75">
        <v>6661</v>
      </c>
      <c r="H6664">
        <f t="shared" ca="1" si="90"/>
        <v>-8.4563564826676627E-3</v>
      </c>
    </row>
    <row r="6665" spans="7:8" x14ac:dyDescent="0.3">
      <c r="G6665" s="75">
        <v>6662</v>
      </c>
      <c r="H6665">
        <f t="shared" ca="1" si="90"/>
        <v>-2.8262333422566809E-2</v>
      </c>
    </row>
    <row r="6666" spans="7:8" x14ac:dyDescent="0.3">
      <c r="G6666" s="75">
        <v>6663</v>
      </c>
      <c r="H6666">
        <f t="shared" ca="1" si="90"/>
        <v>5.999328559556852E-4</v>
      </c>
    </row>
    <row r="6667" spans="7:8" x14ac:dyDescent="0.3">
      <c r="G6667" s="75">
        <v>6664</v>
      </c>
      <c r="H6667">
        <f t="shared" ca="1" si="90"/>
        <v>1.6256059871595129E-2</v>
      </c>
    </row>
    <row r="6668" spans="7:8" x14ac:dyDescent="0.3">
      <c r="G6668" s="75">
        <v>6665</v>
      </c>
      <c r="H6668">
        <f t="shared" ca="1" si="90"/>
        <v>-2.1811826660456498E-2</v>
      </c>
    </row>
    <row r="6669" spans="7:8" x14ac:dyDescent="0.3">
      <c r="G6669" s="75">
        <v>6666</v>
      </c>
      <c r="H6669">
        <f t="shared" ca="1" si="90"/>
        <v>1.8176806855631958E-2</v>
      </c>
    </row>
    <row r="6670" spans="7:8" x14ac:dyDescent="0.3">
      <c r="G6670" s="75">
        <v>6667</v>
      </c>
      <c r="H6670">
        <f t="shared" ca="1" si="90"/>
        <v>-3.2542521900527026E-2</v>
      </c>
    </row>
    <row r="6671" spans="7:8" x14ac:dyDescent="0.3">
      <c r="G6671" s="75">
        <v>6668</v>
      </c>
      <c r="H6671">
        <f t="shared" ca="1" si="90"/>
        <v>1.3858930429610988E-2</v>
      </c>
    </row>
    <row r="6672" spans="7:8" x14ac:dyDescent="0.3">
      <c r="G6672" s="75">
        <v>6669</v>
      </c>
      <c r="H6672">
        <f t="shared" ca="1" si="90"/>
        <v>1.6984932169667255E-3</v>
      </c>
    </row>
    <row r="6673" spans="7:8" x14ac:dyDescent="0.3">
      <c r="G6673" s="75">
        <v>6670</v>
      </c>
      <c r="H6673">
        <f t="shared" ca="1" si="90"/>
        <v>-8.3964258334142516E-3</v>
      </c>
    </row>
    <row r="6674" spans="7:8" x14ac:dyDescent="0.3">
      <c r="G6674" s="75">
        <v>6671</v>
      </c>
      <c r="H6674">
        <f t="shared" ca="1" si="90"/>
        <v>-9.2186355503514814E-4</v>
      </c>
    </row>
    <row r="6675" spans="7:8" x14ac:dyDescent="0.3">
      <c r="G6675" s="75">
        <v>6672</v>
      </c>
      <c r="H6675">
        <f t="shared" ca="1" si="90"/>
        <v>7.1424225017746789E-3</v>
      </c>
    </row>
    <row r="6676" spans="7:8" x14ac:dyDescent="0.3">
      <c r="G6676" s="75">
        <v>6673</v>
      </c>
      <c r="H6676">
        <f t="shared" ca="1" si="90"/>
        <v>1.6665041294791301E-2</v>
      </c>
    </row>
    <row r="6677" spans="7:8" x14ac:dyDescent="0.3">
      <c r="G6677" s="75">
        <v>6674</v>
      </c>
      <c r="H6677">
        <f t="shared" ca="1" si="90"/>
        <v>-1.0813737575153262E-2</v>
      </c>
    </row>
    <row r="6678" spans="7:8" x14ac:dyDescent="0.3">
      <c r="G6678" s="75">
        <v>6675</v>
      </c>
      <c r="H6678">
        <f t="shared" ca="1" si="90"/>
        <v>-8.9222421318208654E-3</v>
      </c>
    </row>
    <row r="6679" spans="7:8" x14ac:dyDescent="0.3">
      <c r="G6679" s="75">
        <v>6676</v>
      </c>
      <c r="H6679">
        <f t="shared" ca="1" si="90"/>
        <v>-2.4621376925159626E-2</v>
      </c>
    </row>
    <row r="6680" spans="7:8" x14ac:dyDescent="0.3">
      <c r="G6680" s="75">
        <v>6677</v>
      </c>
      <c r="H6680">
        <f t="shared" ca="1" si="90"/>
        <v>-2.3570929090023365E-2</v>
      </c>
    </row>
    <row r="6681" spans="7:8" x14ac:dyDescent="0.3">
      <c r="G6681" s="75">
        <v>6678</v>
      </c>
      <c r="H6681">
        <f t="shared" ca="1" si="90"/>
        <v>-8.2092597852107298E-3</v>
      </c>
    </row>
    <row r="6682" spans="7:8" x14ac:dyDescent="0.3">
      <c r="G6682" s="75">
        <v>6679</v>
      </c>
      <c r="H6682">
        <f t="shared" ca="1" si="90"/>
        <v>-3.555792128603992E-2</v>
      </c>
    </row>
    <row r="6683" spans="7:8" x14ac:dyDescent="0.3">
      <c r="G6683" s="75">
        <v>6680</v>
      </c>
      <c r="H6683">
        <f t="shared" ca="1" si="90"/>
        <v>-2.1035601351668733E-2</v>
      </c>
    </row>
    <row r="6684" spans="7:8" x14ac:dyDescent="0.3">
      <c r="G6684" s="75">
        <v>6681</v>
      </c>
      <c r="H6684">
        <f t="shared" ca="1" si="90"/>
        <v>-2.478247905613548E-3</v>
      </c>
    </row>
    <row r="6685" spans="7:8" x14ac:dyDescent="0.3">
      <c r="G6685" s="75">
        <v>6682</v>
      </c>
      <c r="H6685">
        <f t="shared" ca="1" si="90"/>
        <v>6.2162194380326018E-3</v>
      </c>
    </row>
    <row r="6686" spans="7:8" x14ac:dyDescent="0.3">
      <c r="G6686" s="75">
        <v>6683</v>
      </c>
      <c r="H6686">
        <f t="shared" ca="1" si="90"/>
        <v>2.243487191981967E-3</v>
      </c>
    </row>
    <row r="6687" spans="7:8" x14ac:dyDescent="0.3">
      <c r="G6687" s="75">
        <v>6684</v>
      </c>
      <c r="H6687">
        <f t="shared" ca="1" si="90"/>
        <v>6.0502981948530529E-3</v>
      </c>
    </row>
    <row r="6688" spans="7:8" x14ac:dyDescent="0.3">
      <c r="G6688" s="75">
        <v>6685</v>
      </c>
      <c r="H6688">
        <f t="shared" ca="1" si="90"/>
        <v>4.7734724272775675E-3</v>
      </c>
    </row>
    <row r="6689" spans="7:8" x14ac:dyDescent="0.3">
      <c r="G6689" s="75">
        <v>6686</v>
      </c>
      <c r="H6689">
        <f t="shared" ca="1" si="90"/>
        <v>-4.2646232052945031E-3</v>
      </c>
    </row>
    <row r="6690" spans="7:8" x14ac:dyDescent="0.3">
      <c r="G6690" s="75">
        <v>6687</v>
      </c>
      <c r="H6690">
        <f t="shared" ca="1" si="90"/>
        <v>-9.6614877925168367E-3</v>
      </c>
    </row>
    <row r="6691" spans="7:8" x14ac:dyDescent="0.3">
      <c r="G6691" s="75">
        <v>6688</v>
      </c>
      <c r="H6691">
        <f t="shared" ca="1" si="90"/>
        <v>-1.2708798469064217E-3</v>
      </c>
    </row>
    <row r="6692" spans="7:8" x14ac:dyDescent="0.3">
      <c r="G6692" s="75">
        <v>6689</v>
      </c>
      <c r="H6692">
        <f t="shared" ca="1" si="90"/>
        <v>7.0350824646415316E-3</v>
      </c>
    </row>
    <row r="6693" spans="7:8" x14ac:dyDescent="0.3">
      <c r="G6693" s="75">
        <v>6690</v>
      </c>
      <c r="H6693">
        <f t="shared" ca="1" si="90"/>
        <v>5.9295225684454561E-3</v>
      </c>
    </row>
    <row r="6694" spans="7:8" x14ac:dyDescent="0.3">
      <c r="G6694" s="75">
        <v>6691</v>
      </c>
      <c r="H6694">
        <f t="shared" ca="1" si="90"/>
        <v>-8.5457938169048191E-4</v>
      </c>
    </row>
    <row r="6695" spans="7:8" x14ac:dyDescent="0.3">
      <c r="G6695" s="75">
        <v>6692</v>
      </c>
      <c r="H6695">
        <f t="shared" ca="1" si="90"/>
        <v>-8.5567018349161415E-4</v>
      </c>
    </row>
    <row r="6696" spans="7:8" x14ac:dyDescent="0.3">
      <c r="G6696" s="75">
        <v>6693</v>
      </c>
      <c r="H6696">
        <f t="shared" ca="1" si="90"/>
        <v>1.7423670945719651E-2</v>
      </c>
    </row>
    <row r="6697" spans="7:8" x14ac:dyDescent="0.3">
      <c r="G6697" s="75">
        <v>6694</v>
      </c>
      <c r="H6697">
        <f t="shared" ca="1" si="90"/>
        <v>-2.921678252455269E-3</v>
      </c>
    </row>
    <row r="6698" spans="7:8" x14ac:dyDescent="0.3">
      <c r="G6698" s="75">
        <v>6695</v>
      </c>
      <c r="H6698">
        <f t="shared" ca="1" si="90"/>
        <v>-1.9810751243037807E-2</v>
      </c>
    </row>
    <row r="6699" spans="7:8" x14ac:dyDescent="0.3">
      <c r="G6699" s="75">
        <v>6696</v>
      </c>
      <c r="H6699">
        <f t="shared" ca="1" si="90"/>
        <v>-3.258020471697648E-2</v>
      </c>
    </row>
    <row r="6700" spans="7:8" x14ac:dyDescent="0.3">
      <c r="G6700" s="75">
        <v>6697</v>
      </c>
      <c r="H6700">
        <f t="shared" ca="1" si="90"/>
        <v>7.4412350486339797E-3</v>
      </c>
    </row>
    <row r="6701" spans="7:8" x14ac:dyDescent="0.3">
      <c r="G6701" s="75">
        <v>6698</v>
      </c>
      <c r="H6701">
        <f t="shared" ca="1" si="90"/>
        <v>7.1999070014279716E-3</v>
      </c>
    </row>
    <row r="6702" spans="7:8" x14ac:dyDescent="0.3">
      <c r="G6702" s="75">
        <v>6699</v>
      </c>
      <c r="H6702">
        <f t="shared" ca="1" si="90"/>
        <v>2.2957137180290257E-2</v>
      </c>
    </row>
    <row r="6703" spans="7:8" x14ac:dyDescent="0.3">
      <c r="G6703" s="75">
        <v>6700</v>
      </c>
      <c r="H6703">
        <f t="shared" ca="1" si="90"/>
        <v>7.9947599821421755E-3</v>
      </c>
    </row>
    <row r="6704" spans="7:8" x14ac:dyDescent="0.3">
      <c r="G6704" s="75">
        <v>6701</v>
      </c>
      <c r="H6704">
        <f t="shared" ca="1" si="90"/>
        <v>-1.5377213497836743E-2</v>
      </c>
    </row>
    <row r="6705" spans="7:8" x14ac:dyDescent="0.3">
      <c r="G6705" s="75">
        <v>6702</v>
      </c>
      <c r="H6705">
        <f t="shared" ca="1" si="90"/>
        <v>-2.7051575345152894E-3</v>
      </c>
    </row>
    <row r="6706" spans="7:8" x14ac:dyDescent="0.3">
      <c r="G6706" s="75">
        <v>6703</v>
      </c>
      <c r="H6706">
        <f t="shared" ca="1" si="90"/>
        <v>7.679864877900588E-3</v>
      </c>
    </row>
    <row r="6707" spans="7:8" x14ac:dyDescent="0.3">
      <c r="G6707" s="75">
        <v>6704</v>
      </c>
      <c r="H6707">
        <f t="shared" ca="1" si="90"/>
        <v>1.1561701371790361E-2</v>
      </c>
    </row>
    <row r="6708" spans="7:8" x14ac:dyDescent="0.3">
      <c r="G6708" s="75">
        <v>6705</v>
      </c>
      <c r="H6708">
        <f t="shared" ca="1" si="90"/>
        <v>-3.0041552927925985E-2</v>
      </c>
    </row>
    <row r="6709" spans="7:8" x14ac:dyDescent="0.3">
      <c r="G6709" s="75">
        <v>6706</v>
      </c>
      <c r="H6709">
        <f t="shared" ca="1" si="90"/>
        <v>-2.7374013554781664E-2</v>
      </c>
    </row>
    <row r="6710" spans="7:8" x14ac:dyDescent="0.3">
      <c r="G6710" s="75">
        <v>6707</v>
      </c>
      <c r="H6710">
        <f t="shared" ca="1" si="90"/>
        <v>-1.1274004701439565E-2</v>
      </c>
    </row>
    <row r="6711" spans="7:8" x14ac:dyDescent="0.3">
      <c r="G6711" s="75">
        <v>6708</v>
      </c>
      <c r="H6711">
        <f t="shared" ca="1" si="90"/>
        <v>1.4759949613422483E-2</v>
      </c>
    </row>
    <row r="6712" spans="7:8" x14ac:dyDescent="0.3">
      <c r="G6712" s="75">
        <v>6709</v>
      </c>
      <c r="H6712">
        <f t="shared" ca="1" si="90"/>
        <v>2.5302907342696003E-4</v>
      </c>
    </row>
    <row r="6713" spans="7:8" x14ac:dyDescent="0.3">
      <c r="G6713" s="75">
        <v>6710</v>
      </c>
      <c r="H6713">
        <f t="shared" ca="1" si="90"/>
        <v>1.0160956333203217E-2</v>
      </c>
    </row>
    <row r="6714" spans="7:8" x14ac:dyDescent="0.3">
      <c r="G6714" s="75">
        <v>6711</v>
      </c>
      <c r="H6714">
        <f t="shared" ca="1" si="90"/>
        <v>-3.3370368800279999E-2</v>
      </c>
    </row>
    <row r="6715" spans="7:8" x14ac:dyDescent="0.3">
      <c r="G6715" s="75">
        <v>6712</v>
      </c>
      <c r="H6715">
        <f t="shared" ca="1" si="90"/>
        <v>-7.6436154689076552E-3</v>
      </c>
    </row>
    <row r="6716" spans="7:8" x14ac:dyDescent="0.3">
      <c r="G6716" s="75">
        <v>6713</v>
      </c>
      <c r="H6716">
        <f t="shared" ca="1" si="90"/>
        <v>4.416135144785195E-3</v>
      </c>
    </row>
    <row r="6717" spans="7:8" x14ac:dyDescent="0.3">
      <c r="G6717" s="75">
        <v>6714</v>
      </c>
      <c r="H6717">
        <f t="shared" ca="1" si="90"/>
        <v>-1.9869035825311614E-2</v>
      </c>
    </row>
    <row r="6718" spans="7:8" x14ac:dyDescent="0.3">
      <c r="G6718" s="75">
        <v>6715</v>
      </c>
      <c r="H6718">
        <f t="shared" ca="1" si="90"/>
        <v>-7.5328216177638699E-3</v>
      </c>
    </row>
    <row r="6719" spans="7:8" x14ac:dyDescent="0.3">
      <c r="G6719" s="75">
        <v>6716</v>
      </c>
      <c r="H6719">
        <f t="shared" ca="1" si="90"/>
        <v>-2.2629577057200648E-3</v>
      </c>
    </row>
    <row r="6720" spans="7:8" x14ac:dyDescent="0.3">
      <c r="G6720" s="75">
        <v>6717</v>
      </c>
      <c r="H6720">
        <f t="shared" ca="1" si="90"/>
        <v>-4.3897872603320008E-3</v>
      </c>
    </row>
    <row r="6721" spans="7:8" x14ac:dyDescent="0.3">
      <c r="G6721" s="75">
        <v>6718</v>
      </c>
      <c r="H6721">
        <f t="shared" ca="1" si="90"/>
        <v>3.4081869416030144E-3</v>
      </c>
    </row>
    <row r="6722" spans="7:8" x14ac:dyDescent="0.3">
      <c r="G6722" s="75">
        <v>6719</v>
      </c>
      <c r="H6722">
        <f t="shared" ref="H6722:H6785" ca="1" si="91">_xlfn.NORM.INV(RAND(),$N$4,$N$5)</f>
        <v>1.0456366041446208E-2</v>
      </c>
    </row>
    <row r="6723" spans="7:8" x14ac:dyDescent="0.3">
      <c r="G6723" s="75">
        <v>6720</v>
      </c>
      <c r="H6723">
        <f t="shared" ca="1" si="91"/>
        <v>-1.7039170940033321E-2</v>
      </c>
    </row>
    <row r="6724" spans="7:8" x14ac:dyDescent="0.3">
      <c r="G6724" s="75">
        <v>6721</v>
      </c>
      <c r="H6724">
        <f t="shared" ca="1" si="91"/>
        <v>1.4179657529295232E-3</v>
      </c>
    </row>
    <row r="6725" spans="7:8" x14ac:dyDescent="0.3">
      <c r="G6725" s="75">
        <v>6722</v>
      </c>
      <c r="H6725">
        <f t="shared" ca="1" si="91"/>
        <v>-1.9681296969100915E-2</v>
      </c>
    </row>
    <row r="6726" spans="7:8" x14ac:dyDescent="0.3">
      <c r="G6726" s="75">
        <v>6723</v>
      </c>
      <c r="H6726">
        <f t="shared" ca="1" si="91"/>
        <v>-6.4988821203903905E-3</v>
      </c>
    </row>
    <row r="6727" spans="7:8" x14ac:dyDescent="0.3">
      <c r="G6727" s="75">
        <v>6724</v>
      </c>
      <c r="H6727">
        <f t="shared" ca="1" si="91"/>
        <v>6.9723097489920857E-3</v>
      </c>
    </row>
    <row r="6728" spans="7:8" x14ac:dyDescent="0.3">
      <c r="G6728" s="75">
        <v>6725</v>
      </c>
      <c r="H6728">
        <f t="shared" ca="1" si="91"/>
        <v>3.4334083414093622E-2</v>
      </c>
    </row>
    <row r="6729" spans="7:8" x14ac:dyDescent="0.3">
      <c r="G6729" s="75">
        <v>6726</v>
      </c>
      <c r="H6729">
        <f t="shared" ca="1" si="91"/>
        <v>2.1029819116477978E-2</v>
      </c>
    </row>
    <row r="6730" spans="7:8" x14ac:dyDescent="0.3">
      <c r="G6730" s="75">
        <v>6727</v>
      </c>
      <c r="H6730">
        <f t="shared" ca="1" si="91"/>
        <v>-3.0498576891048968E-3</v>
      </c>
    </row>
    <row r="6731" spans="7:8" x14ac:dyDescent="0.3">
      <c r="G6731" s="75">
        <v>6728</v>
      </c>
      <c r="H6731">
        <f t="shared" ca="1" si="91"/>
        <v>2.7184046462437571E-3</v>
      </c>
    </row>
    <row r="6732" spans="7:8" x14ac:dyDescent="0.3">
      <c r="G6732" s="75">
        <v>6729</v>
      </c>
      <c r="H6732">
        <f t="shared" ca="1" si="91"/>
        <v>2.7393533849865859E-2</v>
      </c>
    </row>
    <row r="6733" spans="7:8" x14ac:dyDescent="0.3">
      <c r="G6733" s="75">
        <v>6730</v>
      </c>
      <c r="H6733">
        <f t="shared" ca="1" si="91"/>
        <v>3.0169751707432562E-3</v>
      </c>
    </row>
    <row r="6734" spans="7:8" x14ac:dyDescent="0.3">
      <c r="G6734" s="75">
        <v>6731</v>
      </c>
      <c r="H6734">
        <f t="shared" ca="1" si="91"/>
        <v>1.1899890958404231E-2</v>
      </c>
    </row>
    <row r="6735" spans="7:8" x14ac:dyDescent="0.3">
      <c r="G6735" s="75">
        <v>6732</v>
      </c>
      <c r="H6735">
        <f t="shared" ca="1" si="91"/>
        <v>2.3175561295816469E-2</v>
      </c>
    </row>
    <row r="6736" spans="7:8" x14ac:dyDescent="0.3">
      <c r="G6736" s="75">
        <v>6733</v>
      </c>
      <c r="H6736">
        <f t="shared" ca="1" si="91"/>
        <v>1.5411265578014597E-2</v>
      </c>
    </row>
    <row r="6737" spans="7:8" x14ac:dyDescent="0.3">
      <c r="G6737" s="75">
        <v>6734</v>
      </c>
      <c r="H6737">
        <f t="shared" ca="1" si="91"/>
        <v>5.381004915764708E-3</v>
      </c>
    </row>
    <row r="6738" spans="7:8" x14ac:dyDescent="0.3">
      <c r="G6738" s="75">
        <v>6735</v>
      </c>
      <c r="H6738">
        <f t="shared" ca="1" si="91"/>
        <v>1.4820233804843324E-2</v>
      </c>
    </row>
    <row r="6739" spans="7:8" x14ac:dyDescent="0.3">
      <c r="G6739" s="75">
        <v>6736</v>
      </c>
      <c r="H6739">
        <f t="shared" ca="1" si="91"/>
        <v>-4.999187307795379E-3</v>
      </c>
    </row>
    <row r="6740" spans="7:8" x14ac:dyDescent="0.3">
      <c r="G6740" s="75">
        <v>6737</v>
      </c>
      <c r="H6740">
        <f t="shared" ca="1" si="91"/>
        <v>-1.1358228303137116E-2</v>
      </c>
    </row>
    <row r="6741" spans="7:8" x14ac:dyDescent="0.3">
      <c r="G6741" s="75">
        <v>6738</v>
      </c>
      <c r="H6741">
        <f t="shared" ca="1" si="91"/>
        <v>3.160268464180761E-3</v>
      </c>
    </row>
    <row r="6742" spans="7:8" x14ac:dyDescent="0.3">
      <c r="G6742" s="75">
        <v>6739</v>
      </c>
      <c r="H6742">
        <f t="shared" ca="1" si="91"/>
        <v>2.4388855936125883E-2</v>
      </c>
    </row>
    <row r="6743" spans="7:8" x14ac:dyDescent="0.3">
      <c r="G6743" s="75">
        <v>6740</v>
      </c>
      <c r="H6743">
        <f t="shared" ca="1" si="91"/>
        <v>-5.5227571841714373E-3</v>
      </c>
    </row>
    <row r="6744" spans="7:8" x14ac:dyDescent="0.3">
      <c r="G6744" s="75">
        <v>6741</v>
      </c>
      <c r="H6744">
        <f t="shared" ca="1" si="91"/>
        <v>2.8820160693043648E-2</v>
      </c>
    </row>
    <row r="6745" spans="7:8" x14ac:dyDescent="0.3">
      <c r="G6745" s="75">
        <v>6742</v>
      </c>
      <c r="H6745">
        <f t="shared" ca="1" si="91"/>
        <v>-1.3946317315964924E-2</v>
      </c>
    </row>
    <row r="6746" spans="7:8" x14ac:dyDescent="0.3">
      <c r="G6746" s="75">
        <v>6743</v>
      </c>
      <c r="H6746">
        <f t="shared" ca="1" si="91"/>
        <v>-1.0463133616094348E-3</v>
      </c>
    </row>
    <row r="6747" spans="7:8" x14ac:dyDescent="0.3">
      <c r="G6747" s="75">
        <v>6744</v>
      </c>
      <c r="H6747">
        <f t="shared" ca="1" si="91"/>
        <v>-4.3458027840050008E-3</v>
      </c>
    </row>
    <row r="6748" spans="7:8" x14ac:dyDescent="0.3">
      <c r="G6748" s="75">
        <v>6745</v>
      </c>
      <c r="H6748">
        <f t="shared" ca="1" si="91"/>
        <v>-1.4833307526253897E-3</v>
      </c>
    </row>
    <row r="6749" spans="7:8" x14ac:dyDescent="0.3">
      <c r="G6749" s="75">
        <v>6746</v>
      </c>
      <c r="H6749">
        <f t="shared" ca="1" si="91"/>
        <v>9.6529301645681478E-3</v>
      </c>
    </row>
    <row r="6750" spans="7:8" x14ac:dyDescent="0.3">
      <c r="G6750" s="75">
        <v>6747</v>
      </c>
      <c r="H6750">
        <f t="shared" ca="1" si="91"/>
        <v>-4.9819179582436266E-3</v>
      </c>
    </row>
    <row r="6751" spans="7:8" x14ac:dyDescent="0.3">
      <c r="G6751" s="75">
        <v>6748</v>
      </c>
      <c r="H6751">
        <f t="shared" ca="1" si="91"/>
        <v>3.0360725677622626E-2</v>
      </c>
    </row>
    <row r="6752" spans="7:8" x14ac:dyDescent="0.3">
      <c r="G6752" s="75">
        <v>6749</v>
      </c>
      <c r="H6752">
        <f t="shared" ca="1" si="91"/>
        <v>1.4359430579750972E-2</v>
      </c>
    </row>
    <row r="6753" spans="7:8" x14ac:dyDescent="0.3">
      <c r="G6753" s="75">
        <v>6750</v>
      </c>
      <c r="H6753">
        <f t="shared" ca="1" si="91"/>
        <v>1.4889287139536621E-2</v>
      </c>
    </row>
    <row r="6754" spans="7:8" x14ac:dyDescent="0.3">
      <c r="G6754" s="75">
        <v>6751</v>
      </c>
      <c r="H6754">
        <f t="shared" ca="1" si="91"/>
        <v>-1.9792478775341724E-2</v>
      </c>
    </row>
    <row r="6755" spans="7:8" x14ac:dyDescent="0.3">
      <c r="G6755" s="75">
        <v>6752</v>
      </c>
      <c r="H6755">
        <f t="shared" ca="1" si="91"/>
        <v>-1.9450641167397732E-2</v>
      </c>
    </row>
    <row r="6756" spans="7:8" x14ac:dyDescent="0.3">
      <c r="G6756" s="75">
        <v>6753</v>
      </c>
      <c r="H6756">
        <f t="shared" ca="1" si="91"/>
        <v>-3.3287750676001164E-3</v>
      </c>
    </row>
    <row r="6757" spans="7:8" x14ac:dyDescent="0.3">
      <c r="G6757" s="75">
        <v>6754</v>
      </c>
      <c r="H6757">
        <f t="shared" ca="1" si="91"/>
        <v>-6.0425895967332064E-3</v>
      </c>
    </row>
    <row r="6758" spans="7:8" x14ac:dyDescent="0.3">
      <c r="G6758" s="75">
        <v>6755</v>
      </c>
      <c r="H6758">
        <f t="shared" ca="1" si="91"/>
        <v>3.12718369875123E-3</v>
      </c>
    </row>
    <row r="6759" spans="7:8" x14ac:dyDescent="0.3">
      <c r="G6759" s="75">
        <v>6756</v>
      </c>
      <c r="H6759">
        <f t="shared" ca="1" si="91"/>
        <v>-2.5480787432605695E-3</v>
      </c>
    </row>
    <row r="6760" spans="7:8" x14ac:dyDescent="0.3">
      <c r="G6760" s="75">
        <v>6757</v>
      </c>
      <c r="H6760">
        <f t="shared" ca="1" si="91"/>
        <v>-2.0924068540228637E-2</v>
      </c>
    </row>
    <row r="6761" spans="7:8" x14ac:dyDescent="0.3">
      <c r="G6761" s="75">
        <v>6758</v>
      </c>
      <c r="H6761">
        <f t="shared" ca="1" si="91"/>
        <v>-1.3229109990202565E-2</v>
      </c>
    </row>
    <row r="6762" spans="7:8" x14ac:dyDescent="0.3">
      <c r="G6762" s="75">
        <v>6759</v>
      </c>
      <c r="H6762">
        <f t="shared" ca="1" si="91"/>
        <v>7.5541820096687836E-3</v>
      </c>
    </row>
    <row r="6763" spans="7:8" x14ac:dyDescent="0.3">
      <c r="G6763" s="75">
        <v>6760</v>
      </c>
      <c r="H6763">
        <f t="shared" ca="1" si="91"/>
        <v>-9.1028114056861033E-3</v>
      </c>
    </row>
    <row r="6764" spans="7:8" x14ac:dyDescent="0.3">
      <c r="G6764" s="75">
        <v>6761</v>
      </c>
      <c r="H6764">
        <f t="shared" ca="1" si="91"/>
        <v>1.0747652020621308E-2</v>
      </c>
    </row>
    <row r="6765" spans="7:8" x14ac:dyDescent="0.3">
      <c r="G6765" s="75">
        <v>6762</v>
      </c>
      <c r="H6765">
        <f t="shared" ca="1" si="91"/>
        <v>6.8547768213567551E-3</v>
      </c>
    </row>
    <row r="6766" spans="7:8" x14ac:dyDescent="0.3">
      <c r="G6766" s="75">
        <v>6763</v>
      </c>
      <c r="H6766">
        <f t="shared" ca="1" si="91"/>
        <v>-1.1293454371061114E-2</v>
      </c>
    </row>
    <row r="6767" spans="7:8" x14ac:dyDescent="0.3">
      <c r="G6767" s="75">
        <v>6764</v>
      </c>
      <c r="H6767">
        <f t="shared" ca="1" si="91"/>
        <v>2.3529243552871384E-3</v>
      </c>
    </row>
    <row r="6768" spans="7:8" x14ac:dyDescent="0.3">
      <c r="G6768" s="75">
        <v>6765</v>
      </c>
      <c r="H6768">
        <f t="shared" ca="1" si="91"/>
        <v>2.2547670486467585E-3</v>
      </c>
    </row>
    <row r="6769" spans="7:8" x14ac:dyDescent="0.3">
      <c r="G6769" s="75">
        <v>6766</v>
      </c>
      <c r="H6769">
        <f t="shared" ca="1" si="91"/>
        <v>-8.6226342693675687E-3</v>
      </c>
    </row>
    <row r="6770" spans="7:8" x14ac:dyDescent="0.3">
      <c r="G6770" s="75">
        <v>6767</v>
      </c>
      <c r="H6770">
        <f t="shared" ca="1" si="91"/>
        <v>1.8310156981230178E-2</v>
      </c>
    </row>
    <row r="6771" spans="7:8" x14ac:dyDescent="0.3">
      <c r="G6771" s="75">
        <v>6768</v>
      </c>
      <c r="H6771">
        <f t="shared" ca="1" si="91"/>
        <v>2.3551718578805451E-2</v>
      </c>
    </row>
    <row r="6772" spans="7:8" x14ac:dyDescent="0.3">
      <c r="G6772" s="75">
        <v>6769</v>
      </c>
      <c r="H6772">
        <f t="shared" ca="1" si="91"/>
        <v>1.2492162950202569E-2</v>
      </c>
    </row>
    <row r="6773" spans="7:8" x14ac:dyDescent="0.3">
      <c r="G6773" s="75">
        <v>6770</v>
      </c>
      <c r="H6773">
        <f t="shared" ca="1" si="91"/>
        <v>-1.5245289035198161E-3</v>
      </c>
    </row>
    <row r="6774" spans="7:8" x14ac:dyDescent="0.3">
      <c r="G6774" s="75">
        <v>6771</v>
      </c>
      <c r="H6774">
        <f t="shared" ca="1" si="91"/>
        <v>-2.3287589568857056E-2</v>
      </c>
    </row>
    <row r="6775" spans="7:8" x14ac:dyDescent="0.3">
      <c r="G6775" s="75">
        <v>6772</v>
      </c>
      <c r="H6775">
        <f t="shared" ca="1" si="91"/>
        <v>-7.7898279380808199E-4</v>
      </c>
    </row>
    <row r="6776" spans="7:8" x14ac:dyDescent="0.3">
      <c r="G6776" s="75">
        <v>6773</v>
      </c>
      <c r="H6776">
        <f t="shared" ca="1" si="91"/>
        <v>6.4969833195146834E-3</v>
      </c>
    </row>
    <row r="6777" spans="7:8" x14ac:dyDescent="0.3">
      <c r="G6777" s="75">
        <v>6774</v>
      </c>
      <c r="H6777">
        <f t="shared" ca="1" si="91"/>
        <v>3.0190393995640281E-2</v>
      </c>
    </row>
    <row r="6778" spans="7:8" x14ac:dyDescent="0.3">
      <c r="G6778" s="75">
        <v>6775</v>
      </c>
      <c r="H6778">
        <f t="shared" ca="1" si="91"/>
        <v>1.2605087660731477E-2</v>
      </c>
    </row>
    <row r="6779" spans="7:8" x14ac:dyDescent="0.3">
      <c r="G6779" s="75">
        <v>6776</v>
      </c>
      <c r="H6779">
        <f t="shared" ca="1" si="91"/>
        <v>-1.3867113052357721E-2</v>
      </c>
    </row>
    <row r="6780" spans="7:8" x14ac:dyDescent="0.3">
      <c r="G6780" s="75">
        <v>6777</v>
      </c>
      <c r="H6780">
        <f t="shared" ca="1" si="91"/>
        <v>-4.1404075602042525E-2</v>
      </c>
    </row>
    <row r="6781" spans="7:8" x14ac:dyDescent="0.3">
      <c r="G6781" s="75">
        <v>6778</v>
      </c>
      <c r="H6781">
        <f t="shared" ca="1" si="91"/>
        <v>-1.7234325949818632E-2</v>
      </c>
    </row>
    <row r="6782" spans="7:8" x14ac:dyDescent="0.3">
      <c r="G6782" s="75">
        <v>6779</v>
      </c>
      <c r="H6782">
        <f t="shared" ca="1" si="91"/>
        <v>1.1010970166492577E-2</v>
      </c>
    </row>
    <row r="6783" spans="7:8" x14ac:dyDescent="0.3">
      <c r="G6783" s="75">
        <v>6780</v>
      </c>
      <c r="H6783">
        <f t="shared" ca="1" si="91"/>
        <v>-1.0711922184676152E-2</v>
      </c>
    </row>
    <row r="6784" spans="7:8" x14ac:dyDescent="0.3">
      <c r="G6784" s="75">
        <v>6781</v>
      </c>
      <c r="H6784">
        <f t="shared" ca="1" si="91"/>
        <v>-1.480107653488299E-2</v>
      </c>
    </row>
    <row r="6785" spans="7:8" x14ac:dyDescent="0.3">
      <c r="G6785" s="75">
        <v>6782</v>
      </c>
      <c r="H6785">
        <f t="shared" ca="1" si="91"/>
        <v>-3.4932197150658239E-3</v>
      </c>
    </row>
    <row r="6786" spans="7:8" x14ac:dyDescent="0.3">
      <c r="G6786" s="75">
        <v>6783</v>
      </c>
      <c r="H6786">
        <f t="shared" ref="H6786:H6849" ca="1" si="92">_xlfn.NORM.INV(RAND(),$N$4,$N$5)</f>
        <v>-9.8945764852612621E-3</v>
      </c>
    </row>
    <row r="6787" spans="7:8" x14ac:dyDescent="0.3">
      <c r="G6787" s="75">
        <v>6784</v>
      </c>
      <c r="H6787">
        <f t="shared" ca="1" si="92"/>
        <v>1.5290631199993503E-2</v>
      </c>
    </row>
    <row r="6788" spans="7:8" x14ac:dyDescent="0.3">
      <c r="G6788" s="75">
        <v>6785</v>
      </c>
      <c r="H6788">
        <f t="shared" ca="1" si="92"/>
        <v>9.892204112987411E-3</v>
      </c>
    </row>
    <row r="6789" spans="7:8" x14ac:dyDescent="0.3">
      <c r="G6789" s="75">
        <v>6786</v>
      </c>
      <c r="H6789">
        <f t="shared" ca="1" si="92"/>
        <v>1.527212396601433E-2</v>
      </c>
    </row>
    <row r="6790" spans="7:8" x14ac:dyDescent="0.3">
      <c r="G6790" s="75">
        <v>6787</v>
      </c>
      <c r="H6790">
        <f t="shared" ca="1" si="92"/>
        <v>-3.0367480567385655E-2</v>
      </c>
    </row>
    <row r="6791" spans="7:8" x14ac:dyDescent="0.3">
      <c r="G6791" s="75">
        <v>6788</v>
      </c>
      <c r="H6791">
        <f t="shared" ca="1" si="92"/>
        <v>-9.5873510744891085E-3</v>
      </c>
    </row>
    <row r="6792" spans="7:8" x14ac:dyDescent="0.3">
      <c r="G6792" s="75">
        <v>6789</v>
      </c>
      <c r="H6792">
        <f t="shared" ca="1" si="92"/>
        <v>1.1905947750354695E-2</v>
      </c>
    </row>
    <row r="6793" spans="7:8" x14ac:dyDescent="0.3">
      <c r="G6793" s="75">
        <v>6790</v>
      </c>
      <c r="H6793">
        <f t="shared" ca="1" si="92"/>
        <v>-2.9746017119147809E-2</v>
      </c>
    </row>
    <row r="6794" spans="7:8" x14ac:dyDescent="0.3">
      <c r="G6794" s="75">
        <v>6791</v>
      </c>
      <c r="H6794">
        <f t="shared" ca="1" si="92"/>
        <v>5.767064958770776E-3</v>
      </c>
    </row>
    <row r="6795" spans="7:8" x14ac:dyDescent="0.3">
      <c r="G6795" s="75">
        <v>6792</v>
      </c>
      <c r="H6795">
        <f t="shared" ca="1" si="92"/>
        <v>2.1695444998586205E-2</v>
      </c>
    </row>
    <row r="6796" spans="7:8" x14ac:dyDescent="0.3">
      <c r="G6796" s="75">
        <v>6793</v>
      </c>
      <c r="H6796">
        <f t="shared" ca="1" si="92"/>
        <v>1.125387382425515E-2</v>
      </c>
    </row>
    <row r="6797" spans="7:8" x14ac:dyDescent="0.3">
      <c r="G6797" s="75">
        <v>6794</v>
      </c>
      <c r="H6797">
        <f t="shared" ca="1" si="92"/>
        <v>5.3584193064845839E-3</v>
      </c>
    </row>
    <row r="6798" spans="7:8" x14ac:dyDescent="0.3">
      <c r="G6798" s="75">
        <v>6795</v>
      </c>
      <c r="H6798">
        <f t="shared" ca="1" si="92"/>
        <v>1.5566671698269027E-2</v>
      </c>
    </row>
    <row r="6799" spans="7:8" x14ac:dyDescent="0.3">
      <c r="G6799" s="75">
        <v>6796</v>
      </c>
      <c r="H6799">
        <f t="shared" ca="1" si="92"/>
        <v>2.1982074601292464E-2</v>
      </c>
    </row>
    <row r="6800" spans="7:8" x14ac:dyDescent="0.3">
      <c r="G6800" s="75">
        <v>6797</v>
      </c>
      <c r="H6800">
        <f t="shared" ca="1" si="92"/>
        <v>-9.5381035477372291E-4</v>
      </c>
    </row>
    <row r="6801" spans="7:8" x14ac:dyDescent="0.3">
      <c r="G6801" s="75">
        <v>6798</v>
      </c>
      <c r="H6801">
        <f t="shared" ca="1" si="92"/>
        <v>-1.52022693383579E-2</v>
      </c>
    </row>
    <row r="6802" spans="7:8" x14ac:dyDescent="0.3">
      <c r="G6802" s="75">
        <v>6799</v>
      </c>
      <c r="H6802">
        <f t="shared" ca="1" si="92"/>
        <v>-1.2028759626512104E-2</v>
      </c>
    </row>
    <row r="6803" spans="7:8" x14ac:dyDescent="0.3">
      <c r="G6803" s="75">
        <v>6800</v>
      </c>
      <c r="H6803">
        <f t="shared" ca="1" si="92"/>
        <v>2.1640654437720831E-2</v>
      </c>
    </row>
    <row r="6804" spans="7:8" x14ac:dyDescent="0.3">
      <c r="G6804" s="75">
        <v>6801</v>
      </c>
      <c r="H6804">
        <f t="shared" ca="1" si="92"/>
        <v>-2.5964164095281819E-2</v>
      </c>
    </row>
    <row r="6805" spans="7:8" x14ac:dyDescent="0.3">
      <c r="G6805" s="75">
        <v>6802</v>
      </c>
      <c r="H6805">
        <f t="shared" ca="1" si="92"/>
        <v>-1.1102776654622811E-2</v>
      </c>
    </row>
    <row r="6806" spans="7:8" x14ac:dyDescent="0.3">
      <c r="G6806" s="75">
        <v>6803</v>
      </c>
      <c r="H6806">
        <f t="shared" ca="1" si="92"/>
        <v>7.0543100185056209E-3</v>
      </c>
    </row>
    <row r="6807" spans="7:8" x14ac:dyDescent="0.3">
      <c r="G6807" s="75">
        <v>6804</v>
      </c>
      <c r="H6807">
        <f t="shared" ca="1" si="92"/>
        <v>2.8754248595282618E-2</v>
      </c>
    </row>
    <row r="6808" spans="7:8" x14ac:dyDescent="0.3">
      <c r="G6808" s="75">
        <v>6805</v>
      </c>
      <c r="H6808">
        <f t="shared" ca="1" si="92"/>
        <v>1.2015331510497725E-2</v>
      </c>
    </row>
    <row r="6809" spans="7:8" x14ac:dyDescent="0.3">
      <c r="G6809" s="75">
        <v>6806</v>
      </c>
      <c r="H6809">
        <f t="shared" ca="1" si="92"/>
        <v>2.9403898870677236E-2</v>
      </c>
    </row>
    <row r="6810" spans="7:8" x14ac:dyDescent="0.3">
      <c r="G6810" s="75">
        <v>6807</v>
      </c>
      <c r="H6810">
        <f t="shared" ca="1" si="92"/>
        <v>-1.4510839776408874E-2</v>
      </c>
    </row>
    <row r="6811" spans="7:8" x14ac:dyDescent="0.3">
      <c r="G6811" s="75">
        <v>6808</v>
      </c>
      <c r="H6811">
        <f t="shared" ca="1" si="92"/>
        <v>-1.003546330654609E-2</v>
      </c>
    </row>
    <row r="6812" spans="7:8" x14ac:dyDescent="0.3">
      <c r="G6812" s="75">
        <v>6809</v>
      </c>
      <c r="H6812">
        <f t="shared" ca="1" si="92"/>
        <v>1.9126016187183178E-2</v>
      </c>
    </row>
    <row r="6813" spans="7:8" x14ac:dyDescent="0.3">
      <c r="G6813" s="75">
        <v>6810</v>
      </c>
      <c r="H6813">
        <f t="shared" ca="1" si="92"/>
        <v>2.1642698067210593E-2</v>
      </c>
    </row>
    <row r="6814" spans="7:8" x14ac:dyDescent="0.3">
      <c r="G6814" s="75">
        <v>6811</v>
      </c>
      <c r="H6814">
        <f t="shared" ca="1" si="92"/>
        <v>5.5017275221674548E-3</v>
      </c>
    </row>
    <row r="6815" spans="7:8" x14ac:dyDescent="0.3">
      <c r="G6815" s="75">
        <v>6812</v>
      </c>
      <c r="H6815">
        <f t="shared" ca="1" si="92"/>
        <v>-1.6704996940842282E-2</v>
      </c>
    </row>
    <row r="6816" spans="7:8" x14ac:dyDescent="0.3">
      <c r="G6816" s="75">
        <v>6813</v>
      </c>
      <c r="H6816">
        <f t="shared" ca="1" si="92"/>
        <v>1.3639442686199517E-2</v>
      </c>
    </row>
    <row r="6817" spans="7:8" x14ac:dyDescent="0.3">
      <c r="G6817" s="75">
        <v>6814</v>
      </c>
      <c r="H6817">
        <f t="shared" ca="1" si="92"/>
        <v>7.1766889873471542E-3</v>
      </c>
    </row>
    <row r="6818" spans="7:8" x14ac:dyDescent="0.3">
      <c r="G6818" s="75">
        <v>6815</v>
      </c>
      <c r="H6818">
        <f t="shared" ca="1" si="92"/>
        <v>1.1780682579072183E-2</v>
      </c>
    </row>
    <row r="6819" spans="7:8" x14ac:dyDescent="0.3">
      <c r="G6819" s="75">
        <v>6816</v>
      </c>
      <c r="H6819">
        <f t="shared" ca="1" si="92"/>
        <v>-2.166570167955419E-2</v>
      </c>
    </row>
    <row r="6820" spans="7:8" x14ac:dyDescent="0.3">
      <c r="G6820" s="75">
        <v>6817</v>
      </c>
      <c r="H6820">
        <f t="shared" ca="1" si="92"/>
        <v>5.977355814341165E-3</v>
      </c>
    </row>
    <row r="6821" spans="7:8" x14ac:dyDescent="0.3">
      <c r="G6821" s="75">
        <v>6818</v>
      </c>
      <c r="H6821">
        <f t="shared" ca="1" si="92"/>
        <v>-2.6979762501686635E-3</v>
      </c>
    </row>
    <row r="6822" spans="7:8" x14ac:dyDescent="0.3">
      <c r="G6822" s="75">
        <v>6819</v>
      </c>
      <c r="H6822">
        <f t="shared" ca="1" si="92"/>
        <v>-1.636888535682858E-2</v>
      </c>
    </row>
    <row r="6823" spans="7:8" x14ac:dyDescent="0.3">
      <c r="G6823" s="75">
        <v>6820</v>
      </c>
      <c r="H6823">
        <f t="shared" ca="1" si="92"/>
        <v>-6.8144208426797965E-3</v>
      </c>
    </row>
    <row r="6824" spans="7:8" x14ac:dyDescent="0.3">
      <c r="G6824" s="75">
        <v>6821</v>
      </c>
      <c r="H6824">
        <f t="shared" ca="1" si="92"/>
        <v>-1.8169433789130447E-2</v>
      </c>
    </row>
    <row r="6825" spans="7:8" x14ac:dyDescent="0.3">
      <c r="G6825" s="75">
        <v>6822</v>
      </c>
      <c r="H6825">
        <f t="shared" ca="1" si="92"/>
        <v>-7.1550070819015174E-3</v>
      </c>
    </row>
    <row r="6826" spans="7:8" x14ac:dyDescent="0.3">
      <c r="G6826" s="75">
        <v>6823</v>
      </c>
      <c r="H6826">
        <f t="shared" ca="1" si="92"/>
        <v>3.5565027386389955E-3</v>
      </c>
    </row>
    <row r="6827" spans="7:8" x14ac:dyDescent="0.3">
      <c r="G6827" s="75">
        <v>6824</v>
      </c>
      <c r="H6827">
        <f t="shared" ca="1" si="92"/>
        <v>-1.0974885936887144E-2</v>
      </c>
    </row>
    <row r="6828" spans="7:8" x14ac:dyDescent="0.3">
      <c r="G6828" s="75">
        <v>6825</v>
      </c>
      <c r="H6828">
        <f t="shared" ca="1" si="92"/>
        <v>-1.357540851014475E-2</v>
      </c>
    </row>
    <row r="6829" spans="7:8" x14ac:dyDescent="0.3">
      <c r="G6829" s="75">
        <v>6826</v>
      </c>
      <c r="H6829">
        <f t="shared" ca="1" si="92"/>
        <v>8.9120996060534554E-3</v>
      </c>
    </row>
    <row r="6830" spans="7:8" x14ac:dyDescent="0.3">
      <c r="G6830" s="75">
        <v>6827</v>
      </c>
      <c r="H6830">
        <f t="shared" ca="1" si="92"/>
        <v>-4.7451848483904087E-3</v>
      </c>
    </row>
    <row r="6831" spans="7:8" x14ac:dyDescent="0.3">
      <c r="G6831" s="75">
        <v>6828</v>
      </c>
      <c r="H6831">
        <f t="shared" ca="1" si="92"/>
        <v>-2.4426372898615423E-2</v>
      </c>
    </row>
    <row r="6832" spans="7:8" x14ac:dyDescent="0.3">
      <c r="G6832" s="75">
        <v>6829</v>
      </c>
      <c r="H6832">
        <f t="shared" ca="1" si="92"/>
        <v>1.5623876865068077E-3</v>
      </c>
    </row>
    <row r="6833" spans="7:8" x14ac:dyDescent="0.3">
      <c r="G6833" s="75">
        <v>6830</v>
      </c>
      <c r="H6833">
        <f t="shared" ca="1" si="92"/>
        <v>-1.6773340867866367E-2</v>
      </c>
    </row>
    <row r="6834" spans="7:8" x14ac:dyDescent="0.3">
      <c r="G6834" s="75">
        <v>6831</v>
      </c>
      <c r="H6834">
        <f t="shared" ca="1" si="92"/>
        <v>-1.2655345773135178E-2</v>
      </c>
    </row>
    <row r="6835" spans="7:8" x14ac:dyDescent="0.3">
      <c r="G6835" s="75">
        <v>6832</v>
      </c>
      <c r="H6835">
        <f t="shared" ca="1" si="92"/>
        <v>-1.8595991905024957E-3</v>
      </c>
    </row>
    <row r="6836" spans="7:8" x14ac:dyDescent="0.3">
      <c r="G6836" s="75">
        <v>6833</v>
      </c>
      <c r="H6836">
        <f t="shared" ca="1" si="92"/>
        <v>4.3324038073934146E-3</v>
      </c>
    </row>
    <row r="6837" spans="7:8" x14ac:dyDescent="0.3">
      <c r="G6837" s="75">
        <v>6834</v>
      </c>
      <c r="H6837">
        <f t="shared" ca="1" si="92"/>
        <v>-1.9117481829908554E-2</v>
      </c>
    </row>
    <row r="6838" spans="7:8" x14ac:dyDescent="0.3">
      <c r="G6838" s="75">
        <v>6835</v>
      </c>
      <c r="H6838">
        <f t="shared" ca="1" si="92"/>
        <v>1.1043130733133611E-2</v>
      </c>
    </row>
    <row r="6839" spans="7:8" x14ac:dyDescent="0.3">
      <c r="G6839" s="75">
        <v>6836</v>
      </c>
      <c r="H6839">
        <f t="shared" ca="1" si="92"/>
        <v>-1.2706212490450834E-2</v>
      </c>
    </row>
    <row r="6840" spans="7:8" x14ac:dyDescent="0.3">
      <c r="G6840" s="75">
        <v>6837</v>
      </c>
      <c r="H6840">
        <f t="shared" ca="1" si="92"/>
        <v>-2.5846576285164791E-2</v>
      </c>
    </row>
    <row r="6841" spans="7:8" x14ac:dyDescent="0.3">
      <c r="G6841" s="75">
        <v>6838</v>
      </c>
      <c r="H6841">
        <f t="shared" ca="1" si="92"/>
        <v>-3.276273231253323E-3</v>
      </c>
    </row>
    <row r="6842" spans="7:8" x14ac:dyDescent="0.3">
      <c r="G6842" s="75">
        <v>6839</v>
      </c>
      <c r="H6842">
        <f t="shared" ca="1" si="92"/>
        <v>9.7163337481780271E-3</v>
      </c>
    </row>
    <row r="6843" spans="7:8" x14ac:dyDescent="0.3">
      <c r="G6843" s="75">
        <v>6840</v>
      </c>
      <c r="H6843">
        <f t="shared" ca="1" si="92"/>
        <v>1.2196700578530759E-2</v>
      </c>
    </row>
    <row r="6844" spans="7:8" x14ac:dyDescent="0.3">
      <c r="G6844" s="75">
        <v>6841</v>
      </c>
      <c r="H6844">
        <f t="shared" ca="1" si="92"/>
        <v>2.3613399309094017E-3</v>
      </c>
    </row>
    <row r="6845" spans="7:8" x14ac:dyDescent="0.3">
      <c r="G6845" s="75">
        <v>6842</v>
      </c>
      <c r="H6845">
        <f t="shared" ca="1" si="92"/>
        <v>3.6756909529411824E-2</v>
      </c>
    </row>
    <row r="6846" spans="7:8" x14ac:dyDescent="0.3">
      <c r="G6846" s="75">
        <v>6843</v>
      </c>
      <c r="H6846">
        <f t="shared" ca="1" si="92"/>
        <v>1.9796235263844138E-4</v>
      </c>
    </row>
    <row r="6847" spans="7:8" x14ac:dyDescent="0.3">
      <c r="G6847" s="75">
        <v>6844</v>
      </c>
      <c r="H6847">
        <f t="shared" ca="1" si="92"/>
        <v>-1.7543629456165728E-2</v>
      </c>
    </row>
    <row r="6848" spans="7:8" x14ac:dyDescent="0.3">
      <c r="G6848" s="75">
        <v>6845</v>
      </c>
      <c r="H6848">
        <f t="shared" ca="1" si="92"/>
        <v>7.6021429251456833E-3</v>
      </c>
    </row>
    <row r="6849" spans="7:8" x14ac:dyDescent="0.3">
      <c r="G6849" s="75">
        <v>6846</v>
      </c>
      <c r="H6849">
        <f t="shared" ca="1" si="92"/>
        <v>-1.3146217151645049E-2</v>
      </c>
    </row>
    <row r="6850" spans="7:8" x14ac:dyDescent="0.3">
      <c r="G6850" s="75">
        <v>6847</v>
      </c>
      <c r="H6850">
        <f t="shared" ref="H6850:H6913" ca="1" si="93">_xlfn.NORM.INV(RAND(),$N$4,$N$5)</f>
        <v>2.1177734422592489E-2</v>
      </c>
    </row>
    <row r="6851" spans="7:8" x14ac:dyDescent="0.3">
      <c r="G6851" s="75">
        <v>6848</v>
      </c>
      <c r="H6851">
        <f t="shared" ca="1" si="93"/>
        <v>-8.4430083164535336E-3</v>
      </c>
    </row>
    <row r="6852" spans="7:8" x14ac:dyDescent="0.3">
      <c r="G6852" s="75">
        <v>6849</v>
      </c>
      <c r="H6852">
        <f t="shared" ca="1" si="93"/>
        <v>7.3285254823929292E-4</v>
      </c>
    </row>
    <row r="6853" spans="7:8" x14ac:dyDescent="0.3">
      <c r="G6853" s="75">
        <v>6850</v>
      </c>
      <c r="H6853">
        <f t="shared" ca="1" si="93"/>
        <v>1.4278752180308161E-4</v>
      </c>
    </row>
    <row r="6854" spans="7:8" x14ac:dyDescent="0.3">
      <c r="G6854" s="75">
        <v>6851</v>
      </c>
      <c r="H6854">
        <f t="shared" ca="1" si="93"/>
        <v>-1.2200320948179853E-2</v>
      </c>
    </row>
    <row r="6855" spans="7:8" x14ac:dyDescent="0.3">
      <c r="G6855" s="75">
        <v>6852</v>
      </c>
      <c r="H6855">
        <f t="shared" ca="1" si="93"/>
        <v>7.9092268218250578E-3</v>
      </c>
    </row>
    <row r="6856" spans="7:8" x14ac:dyDescent="0.3">
      <c r="G6856" s="75">
        <v>6853</v>
      </c>
      <c r="H6856">
        <f t="shared" ca="1" si="93"/>
        <v>-2.7527777985629238E-2</v>
      </c>
    </row>
    <row r="6857" spans="7:8" x14ac:dyDescent="0.3">
      <c r="G6857" s="75">
        <v>6854</v>
      </c>
      <c r="H6857">
        <f t="shared" ca="1" si="93"/>
        <v>-2.7629318976812593E-2</v>
      </c>
    </row>
    <row r="6858" spans="7:8" x14ac:dyDescent="0.3">
      <c r="G6858" s="75">
        <v>6855</v>
      </c>
      <c r="H6858">
        <f t="shared" ca="1" si="93"/>
        <v>1.0003779921930692E-2</v>
      </c>
    </row>
    <row r="6859" spans="7:8" x14ac:dyDescent="0.3">
      <c r="G6859" s="75">
        <v>6856</v>
      </c>
      <c r="H6859">
        <f t="shared" ca="1" si="93"/>
        <v>7.9739501103638071E-3</v>
      </c>
    </row>
    <row r="6860" spans="7:8" x14ac:dyDescent="0.3">
      <c r="G6860" s="75">
        <v>6857</v>
      </c>
      <c r="H6860">
        <f t="shared" ca="1" si="93"/>
        <v>-1.4694735033445762E-2</v>
      </c>
    </row>
    <row r="6861" spans="7:8" x14ac:dyDescent="0.3">
      <c r="G6861" s="75">
        <v>6858</v>
      </c>
      <c r="H6861">
        <f t="shared" ca="1" si="93"/>
        <v>-2.0409007101418412E-2</v>
      </c>
    </row>
    <row r="6862" spans="7:8" x14ac:dyDescent="0.3">
      <c r="G6862" s="75">
        <v>6859</v>
      </c>
      <c r="H6862">
        <f t="shared" ca="1" si="93"/>
        <v>1.0393066378339763E-2</v>
      </c>
    </row>
    <row r="6863" spans="7:8" x14ac:dyDescent="0.3">
      <c r="G6863" s="75">
        <v>6860</v>
      </c>
      <c r="H6863">
        <f t="shared" ca="1" si="93"/>
        <v>9.9972706058354625E-3</v>
      </c>
    </row>
    <row r="6864" spans="7:8" x14ac:dyDescent="0.3">
      <c r="G6864" s="75">
        <v>6861</v>
      </c>
      <c r="H6864">
        <f t="shared" ca="1" si="93"/>
        <v>1.3570646990263141E-2</v>
      </c>
    </row>
    <row r="6865" spans="7:8" x14ac:dyDescent="0.3">
      <c r="G6865" s="75">
        <v>6862</v>
      </c>
      <c r="H6865">
        <f t="shared" ca="1" si="93"/>
        <v>1.2813597028686007E-3</v>
      </c>
    </row>
    <row r="6866" spans="7:8" x14ac:dyDescent="0.3">
      <c r="G6866" s="75">
        <v>6863</v>
      </c>
      <c r="H6866">
        <f t="shared" ca="1" si="93"/>
        <v>-4.6383488540980488E-3</v>
      </c>
    </row>
    <row r="6867" spans="7:8" x14ac:dyDescent="0.3">
      <c r="G6867" s="75">
        <v>6864</v>
      </c>
      <c r="H6867">
        <f t="shared" ca="1" si="93"/>
        <v>-8.6543791682616364E-4</v>
      </c>
    </row>
    <row r="6868" spans="7:8" x14ac:dyDescent="0.3">
      <c r="G6868" s="75">
        <v>6865</v>
      </c>
      <c r="H6868">
        <f t="shared" ca="1" si="93"/>
        <v>-2.969422599948163E-3</v>
      </c>
    </row>
    <row r="6869" spans="7:8" x14ac:dyDescent="0.3">
      <c r="G6869" s="75">
        <v>6866</v>
      </c>
      <c r="H6869">
        <f t="shared" ca="1" si="93"/>
        <v>-3.3893249996376205E-3</v>
      </c>
    </row>
    <row r="6870" spans="7:8" x14ac:dyDescent="0.3">
      <c r="G6870" s="75">
        <v>6867</v>
      </c>
      <c r="H6870">
        <f t="shared" ca="1" si="93"/>
        <v>-5.5413829971617014E-3</v>
      </c>
    </row>
    <row r="6871" spans="7:8" x14ac:dyDescent="0.3">
      <c r="G6871" s="75">
        <v>6868</v>
      </c>
      <c r="H6871">
        <f t="shared" ca="1" si="93"/>
        <v>2.7438461458431521E-3</v>
      </c>
    </row>
    <row r="6872" spans="7:8" x14ac:dyDescent="0.3">
      <c r="G6872" s="75">
        <v>6869</v>
      </c>
      <c r="H6872">
        <f t="shared" ca="1" si="93"/>
        <v>5.8084851394276217E-4</v>
      </c>
    </row>
    <row r="6873" spans="7:8" x14ac:dyDescent="0.3">
      <c r="G6873" s="75">
        <v>6870</v>
      </c>
      <c r="H6873">
        <f t="shared" ca="1" si="93"/>
        <v>1.2463503038382917E-2</v>
      </c>
    </row>
    <row r="6874" spans="7:8" x14ac:dyDescent="0.3">
      <c r="G6874" s="75">
        <v>6871</v>
      </c>
      <c r="H6874">
        <f t="shared" ca="1" si="93"/>
        <v>8.0821604703706553E-3</v>
      </c>
    </row>
    <row r="6875" spans="7:8" x14ac:dyDescent="0.3">
      <c r="G6875" s="75">
        <v>6872</v>
      </c>
      <c r="H6875">
        <f t="shared" ca="1" si="93"/>
        <v>-1.7162789527979457E-2</v>
      </c>
    </row>
    <row r="6876" spans="7:8" x14ac:dyDescent="0.3">
      <c r="G6876" s="75">
        <v>6873</v>
      </c>
      <c r="H6876">
        <f t="shared" ca="1" si="93"/>
        <v>-1.1081570994506596E-2</v>
      </c>
    </row>
    <row r="6877" spans="7:8" x14ac:dyDescent="0.3">
      <c r="G6877" s="75">
        <v>6874</v>
      </c>
      <c r="H6877">
        <f t="shared" ca="1" si="93"/>
        <v>-5.9245933607347881E-3</v>
      </c>
    </row>
    <row r="6878" spans="7:8" x14ac:dyDescent="0.3">
      <c r="G6878" s="75">
        <v>6875</v>
      </c>
      <c r="H6878">
        <f t="shared" ca="1" si="93"/>
        <v>-1.2127337260858505E-2</v>
      </c>
    </row>
    <row r="6879" spans="7:8" x14ac:dyDescent="0.3">
      <c r="G6879" s="75">
        <v>6876</v>
      </c>
      <c r="H6879">
        <f t="shared" ca="1" si="93"/>
        <v>-4.2285866031041798E-3</v>
      </c>
    </row>
    <row r="6880" spans="7:8" x14ac:dyDescent="0.3">
      <c r="G6880" s="75">
        <v>6877</v>
      </c>
      <c r="H6880">
        <f t="shared" ca="1" si="93"/>
        <v>-1.751383880770005E-2</v>
      </c>
    </row>
    <row r="6881" spans="7:8" x14ac:dyDescent="0.3">
      <c r="G6881" s="75">
        <v>6878</v>
      </c>
      <c r="H6881">
        <f t="shared" ca="1" si="93"/>
        <v>-1.745516570851641E-2</v>
      </c>
    </row>
    <row r="6882" spans="7:8" x14ac:dyDescent="0.3">
      <c r="G6882" s="75">
        <v>6879</v>
      </c>
      <c r="H6882">
        <f t="shared" ca="1" si="93"/>
        <v>-1.5289421139832381E-2</v>
      </c>
    </row>
    <row r="6883" spans="7:8" x14ac:dyDescent="0.3">
      <c r="G6883" s="75">
        <v>6880</v>
      </c>
      <c r="H6883">
        <f t="shared" ca="1" si="93"/>
        <v>-2.0298259192260928E-2</v>
      </c>
    </row>
    <row r="6884" spans="7:8" x14ac:dyDescent="0.3">
      <c r="G6884" s="75">
        <v>6881</v>
      </c>
      <c r="H6884">
        <f t="shared" ca="1" si="93"/>
        <v>1.2159423229789617E-2</v>
      </c>
    </row>
    <row r="6885" spans="7:8" x14ac:dyDescent="0.3">
      <c r="G6885" s="75">
        <v>6882</v>
      </c>
      <c r="H6885">
        <f t="shared" ca="1" si="93"/>
        <v>-3.1656652348304219E-2</v>
      </c>
    </row>
    <row r="6886" spans="7:8" x14ac:dyDescent="0.3">
      <c r="G6886" s="75">
        <v>6883</v>
      </c>
      <c r="H6886">
        <f t="shared" ca="1" si="93"/>
        <v>4.9175827912618427E-3</v>
      </c>
    </row>
    <row r="6887" spans="7:8" x14ac:dyDescent="0.3">
      <c r="G6887" s="75">
        <v>6884</v>
      </c>
      <c r="H6887">
        <f t="shared" ca="1" si="93"/>
        <v>1.0378181058143034E-2</v>
      </c>
    </row>
    <row r="6888" spans="7:8" x14ac:dyDescent="0.3">
      <c r="G6888" s="75">
        <v>6885</v>
      </c>
      <c r="H6888">
        <f t="shared" ca="1" si="93"/>
        <v>1.7364135263140273E-2</v>
      </c>
    </row>
    <row r="6889" spans="7:8" x14ac:dyDescent="0.3">
      <c r="G6889" s="75">
        <v>6886</v>
      </c>
      <c r="H6889">
        <f t="shared" ca="1" si="93"/>
        <v>2.0361528613628541E-2</v>
      </c>
    </row>
    <row r="6890" spans="7:8" x14ac:dyDescent="0.3">
      <c r="G6890" s="75">
        <v>6887</v>
      </c>
      <c r="H6890">
        <f t="shared" ca="1" si="93"/>
        <v>-1.2356556385678641E-2</v>
      </c>
    </row>
    <row r="6891" spans="7:8" x14ac:dyDescent="0.3">
      <c r="G6891" s="75">
        <v>6888</v>
      </c>
      <c r="H6891">
        <f t="shared" ca="1" si="93"/>
        <v>-1.1611215624320159E-2</v>
      </c>
    </row>
    <row r="6892" spans="7:8" x14ac:dyDescent="0.3">
      <c r="G6892" s="75">
        <v>6889</v>
      </c>
      <c r="H6892">
        <f t="shared" ca="1" si="93"/>
        <v>6.720861732560029E-3</v>
      </c>
    </row>
    <row r="6893" spans="7:8" x14ac:dyDescent="0.3">
      <c r="G6893" s="75">
        <v>6890</v>
      </c>
      <c r="H6893">
        <f t="shared" ca="1" si="93"/>
        <v>-1.4222541636012912E-2</v>
      </c>
    </row>
    <row r="6894" spans="7:8" x14ac:dyDescent="0.3">
      <c r="G6894" s="75">
        <v>6891</v>
      </c>
      <c r="H6894">
        <f t="shared" ca="1" si="93"/>
        <v>-1.9590986346917352E-3</v>
      </c>
    </row>
    <row r="6895" spans="7:8" x14ac:dyDescent="0.3">
      <c r="G6895" s="75">
        <v>6892</v>
      </c>
      <c r="H6895">
        <f t="shared" ca="1" si="93"/>
        <v>2.1861276148845043E-2</v>
      </c>
    </row>
    <row r="6896" spans="7:8" x14ac:dyDescent="0.3">
      <c r="G6896" s="75">
        <v>6893</v>
      </c>
      <c r="H6896">
        <f t="shared" ca="1" si="93"/>
        <v>-2.7495950712632432E-3</v>
      </c>
    </row>
    <row r="6897" spans="7:8" x14ac:dyDescent="0.3">
      <c r="G6897" s="75">
        <v>6894</v>
      </c>
      <c r="H6897">
        <f t="shared" ca="1" si="93"/>
        <v>1.2699695779216546E-2</v>
      </c>
    </row>
    <row r="6898" spans="7:8" x14ac:dyDescent="0.3">
      <c r="G6898" s="75">
        <v>6895</v>
      </c>
      <c r="H6898">
        <f t="shared" ca="1" si="93"/>
        <v>-1.066513131714036E-2</v>
      </c>
    </row>
    <row r="6899" spans="7:8" x14ac:dyDescent="0.3">
      <c r="G6899" s="75">
        <v>6896</v>
      </c>
      <c r="H6899">
        <f t="shared" ca="1" si="93"/>
        <v>-1.9887618344237024E-2</v>
      </c>
    </row>
    <row r="6900" spans="7:8" x14ac:dyDescent="0.3">
      <c r="G6900" s="75">
        <v>6897</v>
      </c>
      <c r="H6900">
        <f t="shared" ca="1" si="93"/>
        <v>9.6955054578834032E-3</v>
      </c>
    </row>
    <row r="6901" spans="7:8" x14ac:dyDescent="0.3">
      <c r="G6901" s="75">
        <v>6898</v>
      </c>
      <c r="H6901">
        <f t="shared" ca="1" si="93"/>
        <v>1.2445074906024296E-2</v>
      </c>
    </row>
    <row r="6902" spans="7:8" x14ac:dyDescent="0.3">
      <c r="G6902" s="75">
        <v>6899</v>
      </c>
      <c r="H6902">
        <f t="shared" ca="1" si="93"/>
        <v>-4.8607528236838893E-2</v>
      </c>
    </row>
    <row r="6903" spans="7:8" x14ac:dyDescent="0.3">
      <c r="G6903" s="75">
        <v>6900</v>
      </c>
      <c r="H6903">
        <f t="shared" ca="1" si="93"/>
        <v>5.1453137001812696E-4</v>
      </c>
    </row>
    <row r="6904" spans="7:8" x14ac:dyDescent="0.3">
      <c r="G6904" s="75">
        <v>6901</v>
      </c>
      <c r="H6904">
        <f t="shared" ca="1" si="93"/>
        <v>-6.3738402804124888E-3</v>
      </c>
    </row>
    <row r="6905" spans="7:8" x14ac:dyDescent="0.3">
      <c r="G6905" s="75">
        <v>6902</v>
      </c>
      <c r="H6905">
        <f t="shared" ca="1" si="93"/>
        <v>6.4919119733338818E-3</v>
      </c>
    </row>
    <row r="6906" spans="7:8" x14ac:dyDescent="0.3">
      <c r="G6906" s="75">
        <v>6903</v>
      </c>
      <c r="H6906">
        <f t="shared" ca="1" si="93"/>
        <v>-4.0624415731230971E-4</v>
      </c>
    </row>
    <row r="6907" spans="7:8" x14ac:dyDescent="0.3">
      <c r="G6907" s="75">
        <v>6904</v>
      </c>
      <c r="H6907">
        <f t="shared" ca="1" si="93"/>
        <v>-1.1606813237754995E-2</v>
      </c>
    </row>
    <row r="6908" spans="7:8" x14ac:dyDescent="0.3">
      <c r="G6908" s="75">
        <v>6905</v>
      </c>
      <c r="H6908">
        <f t="shared" ca="1" si="93"/>
        <v>2.7871025368161697E-3</v>
      </c>
    </row>
    <row r="6909" spans="7:8" x14ac:dyDescent="0.3">
      <c r="G6909" s="75">
        <v>6906</v>
      </c>
      <c r="H6909">
        <f t="shared" ca="1" si="93"/>
        <v>-2.9467326909052457E-2</v>
      </c>
    </row>
    <row r="6910" spans="7:8" x14ac:dyDescent="0.3">
      <c r="G6910" s="75">
        <v>6907</v>
      </c>
      <c r="H6910">
        <f t="shared" ca="1" si="93"/>
        <v>1.8036444763016683E-3</v>
      </c>
    </row>
    <row r="6911" spans="7:8" x14ac:dyDescent="0.3">
      <c r="G6911" s="75">
        <v>6908</v>
      </c>
      <c r="H6911">
        <f t="shared" ca="1" si="93"/>
        <v>-6.1299536428736565E-4</v>
      </c>
    </row>
    <row r="6912" spans="7:8" x14ac:dyDescent="0.3">
      <c r="G6912" s="75">
        <v>6909</v>
      </c>
      <c r="H6912">
        <f t="shared" ca="1" si="93"/>
        <v>5.0263513027422723E-3</v>
      </c>
    </row>
    <row r="6913" spans="7:8" x14ac:dyDescent="0.3">
      <c r="G6913" s="75">
        <v>6910</v>
      </c>
      <c r="H6913">
        <f t="shared" ca="1" si="93"/>
        <v>-2.9673014854217097E-2</v>
      </c>
    </row>
    <row r="6914" spans="7:8" x14ac:dyDescent="0.3">
      <c r="G6914" s="75">
        <v>6911</v>
      </c>
      <c r="H6914">
        <f t="shared" ref="H6914:H6977" ca="1" si="94">_xlfn.NORM.INV(RAND(),$N$4,$N$5)</f>
        <v>-2.0963658860765923E-2</v>
      </c>
    </row>
    <row r="6915" spans="7:8" x14ac:dyDescent="0.3">
      <c r="G6915" s="75">
        <v>6912</v>
      </c>
      <c r="H6915">
        <f t="shared" ca="1" si="94"/>
        <v>1.645865952332138E-2</v>
      </c>
    </row>
    <row r="6916" spans="7:8" x14ac:dyDescent="0.3">
      <c r="G6916" s="75">
        <v>6913</v>
      </c>
      <c r="H6916">
        <f t="shared" ca="1" si="94"/>
        <v>1.3389636801018035E-2</v>
      </c>
    </row>
    <row r="6917" spans="7:8" x14ac:dyDescent="0.3">
      <c r="G6917" s="75">
        <v>6914</v>
      </c>
      <c r="H6917">
        <f t="shared" ca="1" si="94"/>
        <v>-1.261795838163657E-2</v>
      </c>
    </row>
    <row r="6918" spans="7:8" x14ac:dyDescent="0.3">
      <c r="G6918" s="75">
        <v>6915</v>
      </c>
      <c r="H6918">
        <f t="shared" ca="1" si="94"/>
        <v>-4.6802070888364317E-4</v>
      </c>
    </row>
    <row r="6919" spans="7:8" x14ac:dyDescent="0.3">
      <c r="G6919" s="75">
        <v>6916</v>
      </c>
      <c r="H6919">
        <f t="shared" ca="1" si="94"/>
        <v>-1.00564768596754E-2</v>
      </c>
    </row>
    <row r="6920" spans="7:8" x14ac:dyDescent="0.3">
      <c r="G6920" s="75">
        <v>6917</v>
      </c>
      <c r="H6920">
        <f t="shared" ca="1" si="94"/>
        <v>9.4385738477523289E-3</v>
      </c>
    </row>
    <row r="6921" spans="7:8" x14ac:dyDescent="0.3">
      <c r="G6921" s="75">
        <v>6918</v>
      </c>
      <c r="H6921">
        <f t="shared" ca="1" si="94"/>
        <v>-9.0067652992667519E-3</v>
      </c>
    </row>
    <row r="6922" spans="7:8" x14ac:dyDescent="0.3">
      <c r="G6922" s="75">
        <v>6919</v>
      </c>
      <c r="H6922">
        <f t="shared" ca="1" si="94"/>
        <v>-2.2702439289638755E-2</v>
      </c>
    </row>
    <row r="6923" spans="7:8" x14ac:dyDescent="0.3">
      <c r="G6923" s="75">
        <v>6920</v>
      </c>
      <c r="H6923">
        <f t="shared" ca="1" si="94"/>
        <v>-4.1566763715253528E-3</v>
      </c>
    </row>
    <row r="6924" spans="7:8" x14ac:dyDescent="0.3">
      <c r="G6924" s="75">
        <v>6921</v>
      </c>
      <c r="H6924">
        <f t="shared" ca="1" si="94"/>
        <v>1.7805552382014478E-2</v>
      </c>
    </row>
    <row r="6925" spans="7:8" x14ac:dyDescent="0.3">
      <c r="G6925" s="75">
        <v>6922</v>
      </c>
      <c r="H6925">
        <f t="shared" ca="1" si="94"/>
        <v>2.3645458757794754E-3</v>
      </c>
    </row>
    <row r="6926" spans="7:8" x14ac:dyDescent="0.3">
      <c r="G6926" s="75">
        <v>6923</v>
      </c>
      <c r="H6926">
        <f t="shared" ca="1" si="94"/>
        <v>1.3525197937879357E-3</v>
      </c>
    </row>
    <row r="6927" spans="7:8" x14ac:dyDescent="0.3">
      <c r="G6927" s="75">
        <v>6924</v>
      </c>
      <c r="H6927">
        <f t="shared" ca="1" si="94"/>
        <v>-6.3644224635884617E-3</v>
      </c>
    </row>
    <row r="6928" spans="7:8" x14ac:dyDescent="0.3">
      <c r="G6928" s="75">
        <v>6925</v>
      </c>
      <c r="H6928">
        <f t="shared" ca="1" si="94"/>
        <v>-1.4380941958422908E-2</v>
      </c>
    </row>
    <row r="6929" spans="7:8" x14ac:dyDescent="0.3">
      <c r="G6929" s="75">
        <v>6926</v>
      </c>
      <c r="H6929">
        <f t="shared" ca="1" si="94"/>
        <v>-1.4862350477791312E-3</v>
      </c>
    </row>
    <row r="6930" spans="7:8" x14ac:dyDescent="0.3">
      <c r="G6930" s="75">
        <v>6927</v>
      </c>
      <c r="H6930">
        <f t="shared" ca="1" si="94"/>
        <v>1.1746112130185993E-2</v>
      </c>
    </row>
    <row r="6931" spans="7:8" x14ac:dyDescent="0.3">
      <c r="G6931" s="75">
        <v>6928</v>
      </c>
      <c r="H6931">
        <f t="shared" ca="1" si="94"/>
        <v>-5.3577094334923319E-3</v>
      </c>
    </row>
    <row r="6932" spans="7:8" x14ac:dyDescent="0.3">
      <c r="G6932" s="75">
        <v>6929</v>
      </c>
      <c r="H6932">
        <f t="shared" ca="1" si="94"/>
        <v>-1.5459418760124131E-2</v>
      </c>
    </row>
    <row r="6933" spans="7:8" x14ac:dyDescent="0.3">
      <c r="G6933" s="75">
        <v>6930</v>
      </c>
      <c r="H6933">
        <f t="shared" ca="1" si="94"/>
        <v>1.1704810951852551E-2</v>
      </c>
    </row>
    <row r="6934" spans="7:8" x14ac:dyDescent="0.3">
      <c r="G6934" s="75">
        <v>6931</v>
      </c>
      <c r="H6934">
        <f t="shared" ca="1" si="94"/>
        <v>-7.8047973163108096E-3</v>
      </c>
    </row>
    <row r="6935" spans="7:8" x14ac:dyDescent="0.3">
      <c r="G6935" s="75">
        <v>6932</v>
      </c>
      <c r="H6935">
        <f t="shared" ca="1" si="94"/>
        <v>-1.3920164740734127E-2</v>
      </c>
    </row>
    <row r="6936" spans="7:8" x14ac:dyDescent="0.3">
      <c r="G6936" s="75">
        <v>6933</v>
      </c>
      <c r="H6936">
        <f t="shared" ca="1" si="94"/>
        <v>-1.0514433805767866E-2</v>
      </c>
    </row>
    <row r="6937" spans="7:8" x14ac:dyDescent="0.3">
      <c r="G6937" s="75">
        <v>6934</v>
      </c>
      <c r="H6937">
        <f t="shared" ca="1" si="94"/>
        <v>-1.0501225159224472E-2</v>
      </c>
    </row>
    <row r="6938" spans="7:8" x14ac:dyDescent="0.3">
      <c r="G6938" s="75">
        <v>6935</v>
      </c>
      <c r="H6938">
        <f t="shared" ca="1" si="94"/>
        <v>1.5690781442625534E-2</v>
      </c>
    </row>
    <row r="6939" spans="7:8" x14ac:dyDescent="0.3">
      <c r="G6939" s="75">
        <v>6936</v>
      </c>
      <c r="H6939">
        <f t="shared" ca="1" si="94"/>
        <v>-1.5640638945142185E-2</v>
      </c>
    </row>
    <row r="6940" spans="7:8" x14ac:dyDescent="0.3">
      <c r="G6940" s="75">
        <v>6937</v>
      </c>
      <c r="H6940">
        <f t="shared" ca="1" si="94"/>
        <v>5.2910234502280456E-3</v>
      </c>
    </row>
    <row r="6941" spans="7:8" x14ac:dyDescent="0.3">
      <c r="G6941" s="75">
        <v>6938</v>
      </c>
      <c r="H6941">
        <f t="shared" ca="1" si="94"/>
        <v>1.9738510999934879E-2</v>
      </c>
    </row>
    <row r="6942" spans="7:8" x14ac:dyDescent="0.3">
      <c r="G6942" s="75">
        <v>6939</v>
      </c>
      <c r="H6942">
        <f t="shared" ca="1" si="94"/>
        <v>2.2763001898062417E-3</v>
      </c>
    </row>
    <row r="6943" spans="7:8" x14ac:dyDescent="0.3">
      <c r="G6943" s="75">
        <v>6940</v>
      </c>
      <c r="H6943">
        <f t="shared" ca="1" si="94"/>
        <v>-5.6420874175598717E-3</v>
      </c>
    </row>
    <row r="6944" spans="7:8" x14ac:dyDescent="0.3">
      <c r="G6944" s="75">
        <v>6941</v>
      </c>
      <c r="H6944">
        <f t="shared" ca="1" si="94"/>
        <v>-9.5543680212094723E-3</v>
      </c>
    </row>
    <row r="6945" spans="7:8" x14ac:dyDescent="0.3">
      <c r="G6945" s="75">
        <v>6942</v>
      </c>
      <c r="H6945">
        <f t="shared" ca="1" si="94"/>
        <v>-5.9718204155393981E-3</v>
      </c>
    </row>
    <row r="6946" spans="7:8" x14ac:dyDescent="0.3">
      <c r="G6946" s="75">
        <v>6943</v>
      </c>
      <c r="H6946">
        <f t="shared" ca="1" si="94"/>
        <v>-8.052939676895611E-3</v>
      </c>
    </row>
    <row r="6947" spans="7:8" x14ac:dyDescent="0.3">
      <c r="G6947" s="75">
        <v>6944</v>
      </c>
      <c r="H6947">
        <f t="shared" ca="1" si="94"/>
        <v>4.9262048248554157E-3</v>
      </c>
    </row>
    <row r="6948" spans="7:8" x14ac:dyDescent="0.3">
      <c r="G6948" s="75">
        <v>6945</v>
      </c>
      <c r="H6948">
        <f t="shared" ca="1" si="94"/>
        <v>1.5988905359834493E-2</v>
      </c>
    </row>
    <row r="6949" spans="7:8" x14ac:dyDescent="0.3">
      <c r="G6949" s="75">
        <v>6946</v>
      </c>
      <c r="H6949">
        <f t="shared" ca="1" si="94"/>
        <v>-1.0803695739865411E-2</v>
      </c>
    </row>
    <row r="6950" spans="7:8" x14ac:dyDescent="0.3">
      <c r="G6950" s="75">
        <v>6947</v>
      </c>
      <c r="H6950">
        <f t="shared" ca="1" si="94"/>
        <v>5.456188244794657E-4</v>
      </c>
    </row>
    <row r="6951" spans="7:8" x14ac:dyDescent="0.3">
      <c r="G6951" s="75">
        <v>6948</v>
      </c>
      <c r="H6951">
        <f t="shared" ca="1" si="94"/>
        <v>-1.5278395829141091E-2</v>
      </c>
    </row>
    <row r="6952" spans="7:8" x14ac:dyDescent="0.3">
      <c r="G6952" s="75">
        <v>6949</v>
      </c>
      <c r="H6952">
        <f t="shared" ca="1" si="94"/>
        <v>-1.3416825631155965E-3</v>
      </c>
    </row>
    <row r="6953" spans="7:8" x14ac:dyDescent="0.3">
      <c r="G6953" s="75">
        <v>6950</v>
      </c>
      <c r="H6953">
        <f t="shared" ca="1" si="94"/>
        <v>-2.9870205402863972E-5</v>
      </c>
    </row>
    <row r="6954" spans="7:8" x14ac:dyDescent="0.3">
      <c r="G6954" s="75">
        <v>6951</v>
      </c>
      <c r="H6954">
        <f t="shared" ca="1" si="94"/>
        <v>-3.0156049684524852E-3</v>
      </c>
    </row>
    <row r="6955" spans="7:8" x14ac:dyDescent="0.3">
      <c r="G6955" s="75">
        <v>6952</v>
      </c>
      <c r="H6955">
        <f t="shared" ca="1" si="94"/>
        <v>1.9570367585180201E-2</v>
      </c>
    </row>
    <row r="6956" spans="7:8" x14ac:dyDescent="0.3">
      <c r="G6956" s="75">
        <v>6953</v>
      </c>
      <c r="H6956">
        <f t="shared" ca="1" si="94"/>
        <v>-3.3238031936221064E-3</v>
      </c>
    </row>
    <row r="6957" spans="7:8" x14ac:dyDescent="0.3">
      <c r="G6957" s="75">
        <v>6954</v>
      </c>
      <c r="H6957">
        <f t="shared" ca="1" si="94"/>
        <v>-2.672487347853764E-2</v>
      </c>
    </row>
    <row r="6958" spans="7:8" x14ac:dyDescent="0.3">
      <c r="G6958" s="75">
        <v>6955</v>
      </c>
      <c r="H6958">
        <f t="shared" ca="1" si="94"/>
        <v>1.0777030474593729E-2</v>
      </c>
    </row>
    <row r="6959" spans="7:8" x14ac:dyDescent="0.3">
      <c r="G6959" s="75">
        <v>6956</v>
      </c>
      <c r="H6959">
        <f t="shared" ca="1" si="94"/>
        <v>-4.5524759683208075E-3</v>
      </c>
    </row>
    <row r="6960" spans="7:8" x14ac:dyDescent="0.3">
      <c r="G6960" s="75">
        <v>6957</v>
      </c>
      <c r="H6960">
        <f t="shared" ca="1" si="94"/>
        <v>-1.2204306670699053E-2</v>
      </c>
    </row>
    <row r="6961" spans="7:8" x14ac:dyDescent="0.3">
      <c r="G6961" s="75">
        <v>6958</v>
      </c>
      <c r="H6961">
        <f t="shared" ca="1" si="94"/>
        <v>-1.1779443022769223E-2</v>
      </c>
    </row>
    <row r="6962" spans="7:8" x14ac:dyDescent="0.3">
      <c r="G6962" s="75">
        <v>6959</v>
      </c>
      <c r="H6962">
        <f t="shared" ca="1" si="94"/>
        <v>9.0692401622667149E-3</v>
      </c>
    </row>
    <row r="6963" spans="7:8" x14ac:dyDescent="0.3">
      <c r="G6963" s="75">
        <v>6960</v>
      </c>
      <c r="H6963">
        <f t="shared" ca="1" si="94"/>
        <v>1.0606378088366628E-2</v>
      </c>
    </row>
    <row r="6964" spans="7:8" x14ac:dyDescent="0.3">
      <c r="G6964" s="75">
        <v>6961</v>
      </c>
      <c r="H6964">
        <f t="shared" ca="1" si="94"/>
        <v>-8.5821826016444537E-3</v>
      </c>
    </row>
    <row r="6965" spans="7:8" x14ac:dyDescent="0.3">
      <c r="G6965" s="75">
        <v>6962</v>
      </c>
      <c r="H6965">
        <f t="shared" ca="1" si="94"/>
        <v>1.1083603456547728E-2</v>
      </c>
    </row>
    <row r="6966" spans="7:8" x14ac:dyDescent="0.3">
      <c r="G6966" s="75">
        <v>6963</v>
      </c>
      <c r="H6966">
        <f t="shared" ca="1" si="94"/>
        <v>5.9869098938475909E-3</v>
      </c>
    </row>
    <row r="6967" spans="7:8" x14ac:dyDescent="0.3">
      <c r="G6967" s="75">
        <v>6964</v>
      </c>
      <c r="H6967">
        <f t="shared" ca="1" si="94"/>
        <v>1.7651508485793003E-2</v>
      </c>
    </row>
    <row r="6968" spans="7:8" x14ac:dyDescent="0.3">
      <c r="G6968" s="75">
        <v>6965</v>
      </c>
      <c r="H6968">
        <f t="shared" ca="1" si="94"/>
        <v>2.3041114604422904E-3</v>
      </c>
    </row>
    <row r="6969" spans="7:8" x14ac:dyDescent="0.3">
      <c r="G6969" s="75">
        <v>6966</v>
      </c>
      <c r="H6969">
        <f t="shared" ca="1" si="94"/>
        <v>8.5118175202754977E-3</v>
      </c>
    </row>
    <row r="6970" spans="7:8" x14ac:dyDescent="0.3">
      <c r="G6970" s="75">
        <v>6967</v>
      </c>
      <c r="H6970">
        <f t="shared" ca="1" si="94"/>
        <v>3.6577400568554583E-3</v>
      </c>
    </row>
    <row r="6971" spans="7:8" x14ac:dyDescent="0.3">
      <c r="G6971" s="75">
        <v>6968</v>
      </c>
      <c r="H6971">
        <f t="shared" ca="1" si="94"/>
        <v>-9.6087298772205721E-3</v>
      </c>
    </row>
    <row r="6972" spans="7:8" x14ac:dyDescent="0.3">
      <c r="G6972" s="75">
        <v>6969</v>
      </c>
      <c r="H6972">
        <f t="shared" ca="1" si="94"/>
        <v>1.2644875747680742E-2</v>
      </c>
    </row>
    <row r="6973" spans="7:8" x14ac:dyDescent="0.3">
      <c r="G6973" s="75">
        <v>6970</v>
      </c>
      <c r="H6973">
        <f t="shared" ca="1" si="94"/>
        <v>2.449432962241355E-2</v>
      </c>
    </row>
    <row r="6974" spans="7:8" x14ac:dyDescent="0.3">
      <c r="G6974" s="75">
        <v>6971</v>
      </c>
      <c r="H6974">
        <f t="shared" ca="1" si="94"/>
        <v>4.582094745470694E-4</v>
      </c>
    </row>
    <row r="6975" spans="7:8" x14ac:dyDescent="0.3">
      <c r="G6975" s="75">
        <v>6972</v>
      </c>
      <c r="H6975">
        <f t="shared" ca="1" si="94"/>
        <v>1.1892008851085375E-2</v>
      </c>
    </row>
    <row r="6976" spans="7:8" x14ac:dyDescent="0.3">
      <c r="G6976" s="75">
        <v>6973</v>
      </c>
      <c r="H6976">
        <f t="shared" ca="1" si="94"/>
        <v>1.3550707376543599E-2</v>
      </c>
    </row>
    <row r="6977" spans="7:8" x14ac:dyDescent="0.3">
      <c r="G6977" s="75">
        <v>6974</v>
      </c>
      <c r="H6977">
        <f t="shared" ca="1" si="94"/>
        <v>8.6169550118404322E-3</v>
      </c>
    </row>
    <row r="6978" spans="7:8" x14ac:dyDescent="0.3">
      <c r="G6978" s="75">
        <v>6975</v>
      </c>
      <c r="H6978">
        <f t="shared" ref="H6978:H7041" ca="1" si="95">_xlfn.NORM.INV(RAND(),$N$4,$N$5)</f>
        <v>1.2380512758960939E-2</v>
      </c>
    </row>
    <row r="6979" spans="7:8" x14ac:dyDescent="0.3">
      <c r="G6979" s="75">
        <v>6976</v>
      </c>
      <c r="H6979">
        <f t="shared" ca="1" si="95"/>
        <v>1.4739819704420429E-2</v>
      </c>
    </row>
    <row r="6980" spans="7:8" x14ac:dyDescent="0.3">
      <c r="G6980" s="75">
        <v>6977</v>
      </c>
      <c r="H6980">
        <f t="shared" ca="1" si="95"/>
        <v>9.8047034827679815E-3</v>
      </c>
    </row>
    <row r="6981" spans="7:8" x14ac:dyDescent="0.3">
      <c r="G6981" s="75">
        <v>6978</v>
      </c>
      <c r="H6981">
        <f t="shared" ca="1" si="95"/>
        <v>3.2642422374413943E-3</v>
      </c>
    </row>
    <row r="6982" spans="7:8" x14ac:dyDescent="0.3">
      <c r="G6982" s="75">
        <v>6979</v>
      </c>
      <c r="H6982">
        <f t="shared" ca="1" si="95"/>
        <v>-1.6117968706103498E-2</v>
      </c>
    </row>
    <row r="6983" spans="7:8" x14ac:dyDescent="0.3">
      <c r="G6983" s="75">
        <v>6980</v>
      </c>
      <c r="H6983">
        <f t="shared" ca="1" si="95"/>
        <v>-1.4643496962494527E-2</v>
      </c>
    </row>
    <row r="6984" spans="7:8" x14ac:dyDescent="0.3">
      <c r="G6984" s="75">
        <v>6981</v>
      </c>
      <c r="H6984">
        <f t="shared" ca="1" si="95"/>
        <v>2.388396342886612E-3</v>
      </c>
    </row>
    <row r="6985" spans="7:8" x14ac:dyDescent="0.3">
      <c r="G6985" s="75">
        <v>6982</v>
      </c>
      <c r="H6985">
        <f t="shared" ca="1" si="95"/>
        <v>-9.9868227734640352E-3</v>
      </c>
    </row>
    <row r="6986" spans="7:8" x14ac:dyDescent="0.3">
      <c r="G6986" s="75">
        <v>6983</v>
      </c>
      <c r="H6986">
        <f t="shared" ca="1" si="95"/>
        <v>1.0486134975070794E-2</v>
      </c>
    </row>
    <row r="6987" spans="7:8" x14ac:dyDescent="0.3">
      <c r="G6987" s="75">
        <v>6984</v>
      </c>
      <c r="H6987">
        <f t="shared" ca="1" si="95"/>
        <v>-7.733917401686401E-3</v>
      </c>
    </row>
    <row r="6988" spans="7:8" x14ac:dyDescent="0.3">
      <c r="G6988" s="75">
        <v>6985</v>
      </c>
      <c r="H6988">
        <f t="shared" ca="1" si="95"/>
        <v>1.6088031390741222E-3</v>
      </c>
    </row>
    <row r="6989" spans="7:8" x14ac:dyDescent="0.3">
      <c r="G6989" s="75">
        <v>6986</v>
      </c>
      <c r="H6989">
        <f t="shared" ca="1" si="95"/>
        <v>-1.906671178325272E-2</v>
      </c>
    </row>
    <row r="6990" spans="7:8" x14ac:dyDescent="0.3">
      <c r="G6990" s="75">
        <v>6987</v>
      </c>
      <c r="H6990">
        <f t="shared" ca="1" si="95"/>
        <v>-1.1612357846762547E-2</v>
      </c>
    </row>
    <row r="6991" spans="7:8" x14ac:dyDescent="0.3">
      <c r="G6991" s="75">
        <v>6988</v>
      </c>
      <c r="H6991">
        <f t="shared" ca="1" si="95"/>
        <v>3.908117083870899E-3</v>
      </c>
    </row>
    <row r="6992" spans="7:8" x14ac:dyDescent="0.3">
      <c r="G6992" s="75">
        <v>6989</v>
      </c>
      <c r="H6992">
        <f t="shared" ca="1" si="95"/>
        <v>2.7578616293036139E-3</v>
      </c>
    </row>
    <row r="6993" spans="7:8" x14ac:dyDescent="0.3">
      <c r="G6993" s="75">
        <v>6990</v>
      </c>
      <c r="H6993">
        <f t="shared" ca="1" si="95"/>
        <v>7.1651573013102659E-3</v>
      </c>
    </row>
    <row r="6994" spans="7:8" x14ac:dyDescent="0.3">
      <c r="G6994" s="75">
        <v>6991</v>
      </c>
      <c r="H6994">
        <f t="shared" ca="1" si="95"/>
        <v>-1.1790077145262773E-3</v>
      </c>
    </row>
    <row r="6995" spans="7:8" x14ac:dyDescent="0.3">
      <c r="G6995" s="75">
        <v>6992</v>
      </c>
      <c r="H6995">
        <f t="shared" ca="1" si="95"/>
        <v>7.0003672545582585E-3</v>
      </c>
    </row>
    <row r="6996" spans="7:8" x14ac:dyDescent="0.3">
      <c r="G6996" s="75">
        <v>6993</v>
      </c>
      <c r="H6996">
        <f t="shared" ca="1" si="95"/>
        <v>-7.429136775899509E-3</v>
      </c>
    </row>
    <row r="6997" spans="7:8" x14ac:dyDescent="0.3">
      <c r="G6997" s="75">
        <v>6994</v>
      </c>
      <c r="H6997">
        <f t="shared" ca="1" si="95"/>
        <v>-5.4266896795931458E-3</v>
      </c>
    </row>
    <row r="6998" spans="7:8" x14ac:dyDescent="0.3">
      <c r="G6998" s="75">
        <v>6995</v>
      </c>
      <c r="H6998">
        <f t="shared" ca="1" si="95"/>
        <v>-1.0264450665654172E-2</v>
      </c>
    </row>
    <row r="6999" spans="7:8" x14ac:dyDescent="0.3">
      <c r="G6999" s="75">
        <v>6996</v>
      </c>
      <c r="H6999">
        <f t="shared" ca="1" si="95"/>
        <v>-8.9300847087306848E-3</v>
      </c>
    </row>
    <row r="7000" spans="7:8" x14ac:dyDescent="0.3">
      <c r="G7000" s="75">
        <v>6997</v>
      </c>
      <c r="H7000">
        <f t="shared" ca="1" si="95"/>
        <v>-1.664076235925166E-2</v>
      </c>
    </row>
    <row r="7001" spans="7:8" x14ac:dyDescent="0.3">
      <c r="G7001" s="75">
        <v>6998</v>
      </c>
      <c r="H7001">
        <f t="shared" ca="1" si="95"/>
        <v>1.2188155723247937E-3</v>
      </c>
    </row>
    <row r="7002" spans="7:8" x14ac:dyDescent="0.3">
      <c r="G7002" s="75">
        <v>6999</v>
      </c>
      <c r="H7002">
        <f t="shared" ca="1" si="95"/>
        <v>-2.34108486178243E-2</v>
      </c>
    </row>
    <row r="7003" spans="7:8" x14ac:dyDescent="0.3">
      <c r="G7003" s="75">
        <v>7000</v>
      </c>
      <c r="H7003">
        <f t="shared" ca="1" si="95"/>
        <v>9.7939443670399442E-3</v>
      </c>
    </row>
    <row r="7004" spans="7:8" x14ac:dyDescent="0.3">
      <c r="G7004" s="75">
        <v>7001</v>
      </c>
      <c r="H7004">
        <f t="shared" ca="1" si="95"/>
        <v>1.4284026934862916E-2</v>
      </c>
    </row>
    <row r="7005" spans="7:8" x14ac:dyDescent="0.3">
      <c r="G7005" s="75">
        <v>7002</v>
      </c>
      <c r="H7005">
        <f t="shared" ca="1" si="95"/>
        <v>-6.3811143111482582E-4</v>
      </c>
    </row>
    <row r="7006" spans="7:8" x14ac:dyDescent="0.3">
      <c r="G7006" s="75">
        <v>7003</v>
      </c>
      <c r="H7006">
        <f t="shared" ca="1" si="95"/>
        <v>1.861110447231341E-2</v>
      </c>
    </row>
    <row r="7007" spans="7:8" x14ac:dyDescent="0.3">
      <c r="G7007" s="75">
        <v>7004</v>
      </c>
      <c r="H7007">
        <f t="shared" ca="1" si="95"/>
        <v>1.2262099284167141E-2</v>
      </c>
    </row>
    <row r="7008" spans="7:8" x14ac:dyDescent="0.3">
      <c r="G7008" s="75">
        <v>7005</v>
      </c>
      <c r="H7008">
        <f t="shared" ca="1" si="95"/>
        <v>-1.5228992136758728E-2</v>
      </c>
    </row>
    <row r="7009" spans="7:8" x14ac:dyDescent="0.3">
      <c r="G7009" s="75">
        <v>7006</v>
      </c>
      <c r="H7009">
        <f t="shared" ca="1" si="95"/>
        <v>9.5178284902726826E-3</v>
      </c>
    </row>
    <row r="7010" spans="7:8" x14ac:dyDescent="0.3">
      <c r="G7010" s="75">
        <v>7007</v>
      </c>
      <c r="H7010">
        <f t="shared" ca="1" si="95"/>
        <v>1.4630104995906226E-3</v>
      </c>
    </row>
    <row r="7011" spans="7:8" x14ac:dyDescent="0.3">
      <c r="G7011" s="75">
        <v>7008</v>
      </c>
      <c r="H7011">
        <f t="shared" ca="1" si="95"/>
        <v>1.1910677579689471E-2</v>
      </c>
    </row>
    <row r="7012" spans="7:8" x14ac:dyDescent="0.3">
      <c r="G7012" s="75">
        <v>7009</v>
      </c>
      <c r="H7012">
        <f t="shared" ca="1" si="95"/>
        <v>7.9377980355327931E-3</v>
      </c>
    </row>
    <row r="7013" spans="7:8" x14ac:dyDescent="0.3">
      <c r="G7013" s="75">
        <v>7010</v>
      </c>
      <c r="H7013">
        <f t="shared" ca="1" si="95"/>
        <v>3.6042613443440703E-5</v>
      </c>
    </row>
    <row r="7014" spans="7:8" x14ac:dyDescent="0.3">
      <c r="G7014" s="75">
        <v>7011</v>
      </c>
      <c r="H7014">
        <f t="shared" ca="1" si="95"/>
        <v>-5.0176859124971213E-3</v>
      </c>
    </row>
    <row r="7015" spans="7:8" x14ac:dyDescent="0.3">
      <c r="G7015" s="75">
        <v>7012</v>
      </c>
      <c r="H7015">
        <f t="shared" ca="1" si="95"/>
        <v>5.9465841141317869E-3</v>
      </c>
    </row>
    <row r="7016" spans="7:8" x14ac:dyDescent="0.3">
      <c r="G7016" s="75">
        <v>7013</v>
      </c>
      <c r="H7016">
        <f t="shared" ca="1" si="95"/>
        <v>-8.1956096906687457E-3</v>
      </c>
    </row>
    <row r="7017" spans="7:8" x14ac:dyDescent="0.3">
      <c r="G7017" s="75">
        <v>7014</v>
      </c>
      <c r="H7017">
        <f t="shared" ca="1" si="95"/>
        <v>-3.3093017841468939E-4</v>
      </c>
    </row>
    <row r="7018" spans="7:8" x14ac:dyDescent="0.3">
      <c r="G7018" s="75">
        <v>7015</v>
      </c>
      <c r="H7018">
        <f t="shared" ca="1" si="95"/>
        <v>1.5010463864936161E-2</v>
      </c>
    </row>
    <row r="7019" spans="7:8" x14ac:dyDescent="0.3">
      <c r="G7019" s="75">
        <v>7016</v>
      </c>
      <c r="H7019">
        <f t="shared" ca="1" si="95"/>
        <v>2.4195528235021396E-2</v>
      </c>
    </row>
    <row r="7020" spans="7:8" x14ac:dyDescent="0.3">
      <c r="G7020" s="75">
        <v>7017</v>
      </c>
      <c r="H7020">
        <f t="shared" ca="1" si="95"/>
        <v>-1.9888430690363366E-2</v>
      </c>
    </row>
    <row r="7021" spans="7:8" x14ac:dyDescent="0.3">
      <c r="G7021" s="75">
        <v>7018</v>
      </c>
      <c r="H7021">
        <f t="shared" ca="1" si="95"/>
        <v>-8.0174540797507236E-3</v>
      </c>
    </row>
    <row r="7022" spans="7:8" x14ac:dyDescent="0.3">
      <c r="G7022" s="75">
        <v>7019</v>
      </c>
      <c r="H7022">
        <f t="shared" ca="1" si="95"/>
        <v>-2.9739403611990811E-3</v>
      </c>
    </row>
    <row r="7023" spans="7:8" x14ac:dyDescent="0.3">
      <c r="G7023" s="75">
        <v>7020</v>
      </c>
      <c r="H7023">
        <f t="shared" ca="1" si="95"/>
        <v>-7.1640827029352816E-3</v>
      </c>
    </row>
    <row r="7024" spans="7:8" x14ac:dyDescent="0.3">
      <c r="G7024" s="75">
        <v>7021</v>
      </c>
      <c r="H7024">
        <f t="shared" ca="1" si="95"/>
        <v>-1.5183911493043076E-3</v>
      </c>
    </row>
    <row r="7025" spans="7:8" x14ac:dyDescent="0.3">
      <c r="G7025" s="75">
        <v>7022</v>
      </c>
      <c r="H7025">
        <f t="shared" ca="1" si="95"/>
        <v>1.6654229503823084E-2</v>
      </c>
    </row>
    <row r="7026" spans="7:8" x14ac:dyDescent="0.3">
      <c r="G7026" s="75">
        <v>7023</v>
      </c>
      <c r="H7026">
        <f t="shared" ca="1" si="95"/>
        <v>5.9781348763108142E-3</v>
      </c>
    </row>
    <row r="7027" spans="7:8" x14ac:dyDescent="0.3">
      <c r="G7027" s="75">
        <v>7024</v>
      </c>
      <c r="H7027">
        <f t="shared" ca="1" si="95"/>
        <v>1.6739293180153238E-2</v>
      </c>
    </row>
    <row r="7028" spans="7:8" x14ac:dyDescent="0.3">
      <c r="G7028" s="75">
        <v>7025</v>
      </c>
      <c r="H7028">
        <f t="shared" ca="1" si="95"/>
        <v>1.9965267684419228E-2</v>
      </c>
    </row>
    <row r="7029" spans="7:8" x14ac:dyDescent="0.3">
      <c r="G7029" s="75">
        <v>7026</v>
      </c>
      <c r="H7029">
        <f t="shared" ca="1" si="95"/>
        <v>-1.578705941526274E-2</v>
      </c>
    </row>
    <row r="7030" spans="7:8" x14ac:dyDescent="0.3">
      <c r="G7030" s="75">
        <v>7027</v>
      </c>
      <c r="H7030">
        <f t="shared" ca="1" si="95"/>
        <v>-1.3456227857572386E-2</v>
      </c>
    </row>
    <row r="7031" spans="7:8" x14ac:dyDescent="0.3">
      <c r="G7031" s="75">
        <v>7028</v>
      </c>
      <c r="H7031">
        <f t="shared" ca="1" si="95"/>
        <v>5.0960245946634411E-3</v>
      </c>
    </row>
    <row r="7032" spans="7:8" x14ac:dyDescent="0.3">
      <c r="G7032" s="75">
        <v>7029</v>
      </c>
      <c r="H7032">
        <f t="shared" ca="1" si="95"/>
        <v>-1.5155602406283943E-2</v>
      </c>
    </row>
    <row r="7033" spans="7:8" x14ac:dyDescent="0.3">
      <c r="G7033" s="75">
        <v>7030</v>
      </c>
      <c r="H7033">
        <f t="shared" ca="1" si="95"/>
        <v>-1.3734931302450992E-2</v>
      </c>
    </row>
    <row r="7034" spans="7:8" x14ac:dyDescent="0.3">
      <c r="G7034" s="75">
        <v>7031</v>
      </c>
      <c r="H7034">
        <f t="shared" ca="1" si="95"/>
        <v>6.6701727270346411E-3</v>
      </c>
    </row>
    <row r="7035" spans="7:8" x14ac:dyDescent="0.3">
      <c r="G7035" s="75">
        <v>7032</v>
      </c>
      <c r="H7035">
        <f t="shared" ca="1" si="95"/>
        <v>2.4336903527947475E-3</v>
      </c>
    </row>
    <row r="7036" spans="7:8" x14ac:dyDescent="0.3">
      <c r="G7036" s="75">
        <v>7033</v>
      </c>
      <c r="H7036">
        <f t="shared" ca="1" si="95"/>
        <v>-7.2901418570397926E-4</v>
      </c>
    </row>
    <row r="7037" spans="7:8" x14ac:dyDescent="0.3">
      <c r="G7037" s="75">
        <v>7034</v>
      </c>
      <c r="H7037">
        <f t="shared" ca="1" si="95"/>
        <v>1.1203279759399474E-2</v>
      </c>
    </row>
    <row r="7038" spans="7:8" x14ac:dyDescent="0.3">
      <c r="G7038" s="75">
        <v>7035</v>
      </c>
      <c r="H7038">
        <f t="shared" ca="1" si="95"/>
        <v>6.1131052216969219E-3</v>
      </c>
    </row>
    <row r="7039" spans="7:8" x14ac:dyDescent="0.3">
      <c r="G7039" s="75">
        <v>7036</v>
      </c>
      <c r="H7039">
        <f t="shared" ca="1" si="95"/>
        <v>2.4005360680563772E-2</v>
      </c>
    </row>
    <row r="7040" spans="7:8" x14ac:dyDescent="0.3">
      <c r="G7040" s="75">
        <v>7037</v>
      </c>
      <c r="H7040">
        <f t="shared" ca="1" si="95"/>
        <v>1.387552286600079E-2</v>
      </c>
    </row>
    <row r="7041" spans="7:8" x14ac:dyDescent="0.3">
      <c r="G7041" s="75">
        <v>7038</v>
      </c>
      <c r="H7041">
        <f t="shared" ca="1" si="95"/>
        <v>1.4504511480454989E-2</v>
      </c>
    </row>
    <row r="7042" spans="7:8" x14ac:dyDescent="0.3">
      <c r="G7042" s="75">
        <v>7039</v>
      </c>
      <c r="H7042">
        <f t="shared" ref="H7042:H7105" ca="1" si="96">_xlfn.NORM.INV(RAND(),$N$4,$N$5)</f>
        <v>1.819438782834264E-2</v>
      </c>
    </row>
    <row r="7043" spans="7:8" x14ac:dyDescent="0.3">
      <c r="G7043" s="75">
        <v>7040</v>
      </c>
      <c r="H7043">
        <f t="shared" ca="1" si="96"/>
        <v>1.3757187747194593E-2</v>
      </c>
    </row>
    <row r="7044" spans="7:8" x14ac:dyDescent="0.3">
      <c r="G7044" s="75">
        <v>7041</v>
      </c>
      <c r="H7044">
        <f t="shared" ca="1" si="96"/>
        <v>7.0021472521404702E-3</v>
      </c>
    </row>
    <row r="7045" spans="7:8" x14ac:dyDescent="0.3">
      <c r="G7045" s="75">
        <v>7042</v>
      </c>
      <c r="H7045">
        <f t="shared" ca="1" si="96"/>
        <v>8.2814672290558167E-3</v>
      </c>
    </row>
    <row r="7046" spans="7:8" x14ac:dyDescent="0.3">
      <c r="G7046" s="75">
        <v>7043</v>
      </c>
      <c r="H7046">
        <f t="shared" ca="1" si="96"/>
        <v>1.023073374305754E-2</v>
      </c>
    </row>
    <row r="7047" spans="7:8" x14ac:dyDescent="0.3">
      <c r="G7047" s="75">
        <v>7044</v>
      </c>
      <c r="H7047">
        <f t="shared" ca="1" si="96"/>
        <v>-9.4018142542442971E-3</v>
      </c>
    </row>
    <row r="7048" spans="7:8" x14ac:dyDescent="0.3">
      <c r="G7048" s="75">
        <v>7045</v>
      </c>
      <c r="H7048">
        <f t="shared" ca="1" si="96"/>
        <v>-1.9745114421373684E-2</v>
      </c>
    </row>
    <row r="7049" spans="7:8" x14ac:dyDescent="0.3">
      <c r="G7049" s="75">
        <v>7046</v>
      </c>
      <c r="H7049">
        <f t="shared" ca="1" si="96"/>
        <v>-1.3843853528186938E-2</v>
      </c>
    </row>
    <row r="7050" spans="7:8" x14ac:dyDescent="0.3">
      <c r="G7050" s="75">
        <v>7047</v>
      </c>
      <c r="H7050">
        <f t="shared" ca="1" si="96"/>
        <v>-1.3310349720062086E-3</v>
      </c>
    </row>
    <row r="7051" spans="7:8" x14ac:dyDescent="0.3">
      <c r="G7051" s="75">
        <v>7048</v>
      </c>
      <c r="H7051">
        <f t="shared" ca="1" si="96"/>
        <v>6.8341172804130546E-3</v>
      </c>
    </row>
    <row r="7052" spans="7:8" x14ac:dyDescent="0.3">
      <c r="G7052" s="75">
        <v>7049</v>
      </c>
      <c r="H7052">
        <f t="shared" ca="1" si="96"/>
        <v>-2.7379999665070268E-2</v>
      </c>
    </row>
    <row r="7053" spans="7:8" x14ac:dyDescent="0.3">
      <c r="G7053" s="75">
        <v>7050</v>
      </c>
      <c r="H7053">
        <f t="shared" ca="1" si="96"/>
        <v>-1.3118653001941677E-2</v>
      </c>
    </row>
    <row r="7054" spans="7:8" x14ac:dyDescent="0.3">
      <c r="G7054" s="75">
        <v>7051</v>
      </c>
      <c r="H7054">
        <f t="shared" ca="1" si="96"/>
        <v>-2.220547257486914E-3</v>
      </c>
    </row>
    <row r="7055" spans="7:8" x14ac:dyDescent="0.3">
      <c r="G7055" s="75">
        <v>7052</v>
      </c>
      <c r="H7055">
        <f t="shared" ca="1" si="96"/>
        <v>-1.6688804048795566E-2</v>
      </c>
    </row>
    <row r="7056" spans="7:8" x14ac:dyDescent="0.3">
      <c r="G7056" s="75">
        <v>7053</v>
      </c>
      <c r="H7056">
        <f t="shared" ca="1" si="96"/>
        <v>4.5591075807893235E-3</v>
      </c>
    </row>
    <row r="7057" spans="7:8" x14ac:dyDescent="0.3">
      <c r="G7057" s="75">
        <v>7054</v>
      </c>
      <c r="H7057">
        <f t="shared" ca="1" si="96"/>
        <v>-2.3327254731265009E-2</v>
      </c>
    </row>
    <row r="7058" spans="7:8" x14ac:dyDescent="0.3">
      <c r="G7058" s="75">
        <v>7055</v>
      </c>
      <c r="H7058">
        <f t="shared" ca="1" si="96"/>
        <v>-1.3500592363299761E-2</v>
      </c>
    </row>
    <row r="7059" spans="7:8" x14ac:dyDescent="0.3">
      <c r="G7059" s="75">
        <v>7056</v>
      </c>
      <c r="H7059">
        <f t="shared" ca="1" si="96"/>
        <v>-5.5296686518132672E-3</v>
      </c>
    </row>
    <row r="7060" spans="7:8" x14ac:dyDescent="0.3">
      <c r="G7060" s="75">
        <v>7057</v>
      </c>
      <c r="H7060">
        <f t="shared" ca="1" si="96"/>
        <v>-1.9722457564053011E-2</v>
      </c>
    </row>
    <row r="7061" spans="7:8" x14ac:dyDescent="0.3">
      <c r="G7061" s="75">
        <v>7058</v>
      </c>
      <c r="H7061">
        <f t="shared" ca="1" si="96"/>
        <v>6.8946780697371193E-3</v>
      </c>
    </row>
    <row r="7062" spans="7:8" x14ac:dyDescent="0.3">
      <c r="G7062" s="75">
        <v>7059</v>
      </c>
      <c r="H7062">
        <f t="shared" ca="1" si="96"/>
        <v>-5.8075790595189412E-3</v>
      </c>
    </row>
    <row r="7063" spans="7:8" x14ac:dyDescent="0.3">
      <c r="G7063" s="75">
        <v>7060</v>
      </c>
      <c r="H7063">
        <f t="shared" ca="1" si="96"/>
        <v>1.3598470254356386E-2</v>
      </c>
    </row>
    <row r="7064" spans="7:8" x14ac:dyDescent="0.3">
      <c r="G7064" s="75">
        <v>7061</v>
      </c>
      <c r="H7064">
        <f t="shared" ca="1" si="96"/>
        <v>6.1138033074347271E-3</v>
      </c>
    </row>
    <row r="7065" spans="7:8" x14ac:dyDescent="0.3">
      <c r="G7065" s="75">
        <v>7062</v>
      </c>
      <c r="H7065">
        <f t="shared" ca="1" si="96"/>
        <v>-7.9066370235087726E-4</v>
      </c>
    </row>
    <row r="7066" spans="7:8" x14ac:dyDescent="0.3">
      <c r="G7066" s="75">
        <v>7063</v>
      </c>
      <c r="H7066">
        <f t="shared" ca="1" si="96"/>
        <v>-1.3651113683077429E-2</v>
      </c>
    </row>
    <row r="7067" spans="7:8" x14ac:dyDescent="0.3">
      <c r="G7067" s="75">
        <v>7064</v>
      </c>
      <c r="H7067">
        <f t="shared" ca="1" si="96"/>
        <v>1.4468373711113661E-5</v>
      </c>
    </row>
    <row r="7068" spans="7:8" x14ac:dyDescent="0.3">
      <c r="G7068" s="75">
        <v>7065</v>
      </c>
      <c r="H7068">
        <f t="shared" ca="1" si="96"/>
        <v>5.3891017526436994E-3</v>
      </c>
    </row>
    <row r="7069" spans="7:8" x14ac:dyDescent="0.3">
      <c r="G7069" s="75">
        <v>7066</v>
      </c>
      <c r="H7069">
        <f t="shared" ca="1" si="96"/>
        <v>1.5965667877075283E-2</v>
      </c>
    </row>
    <row r="7070" spans="7:8" x14ac:dyDescent="0.3">
      <c r="G7070" s="75">
        <v>7067</v>
      </c>
      <c r="H7070">
        <f t="shared" ca="1" si="96"/>
        <v>-5.0221498075945338E-3</v>
      </c>
    </row>
    <row r="7071" spans="7:8" x14ac:dyDescent="0.3">
      <c r="G7071" s="75">
        <v>7068</v>
      </c>
      <c r="H7071">
        <f t="shared" ca="1" si="96"/>
        <v>-2.6136066686115213E-2</v>
      </c>
    </row>
    <row r="7072" spans="7:8" x14ac:dyDescent="0.3">
      <c r="G7072" s="75">
        <v>7069</v>
      </c>
      <c r="H7072">
        <f t="shared" ca="1" si="96"/>
        <v>-1.5184115907007608E-2</v>
      </c>
    </row>
    <row r="7073" spans="7:8" x14ac:dyDescent="0.3">
      <c r="G7073" s="75">
        <v>7070</v>
      </c>
      <c r="H7073">
        <f t="shared" ca="1" si="96"/>
        <v>9.3769687212881588E-3</v>
      </c>
    </row>
    <row r="7074" spans="7:8" x14ac:dyDescent="0.3">
      <c r="G7074" s="75">
        <v>7071</v>
      </c>
      <c r="H7074">
        <f t="shared" ca="1" si="96"/>
        <v>-1.1933510337501127E-2</v>
      </c>
    </row>
    <row r="7075" spans="7:8" x14ac:dyDescent="0.3">
      <c r="G7075" s="75">
        <v>7072</v>
      </c>
      <c r="H7075">
        <f t="shared" ca="1" si="96"/>
        <v>-9.099278453129217E-3</v>
      </c>
    </row>
    <row r="7076" spans="7:8" x14ac:dyDescent="0.3">
      <c r="G7076" s="75">
        <v>7073</v>
      </c>
      <c r="H7076">
        <f t="shared" ca="1" si="96"/>
        <v>-9.75043719813928E-3</v>
      </c>
    </row>
    <row r="7077" spans="7:8" x14ac:dyDescent="0.3">
      <c r="G7077" s="75">
        <v>7074</v>
      </c>
      <c r="H7077">
        <f t="shared" ca="1" si="96"/>
        <v>6.7161771262930084E-3</v>
      </c>
    </row>
    <row r="7078" spans="7:8" x14ac:dyDescent="0.3">
      <c r="G7078" s="75">
        <v>7075</v>
      </c>
      <c r="H7078">
        <f t="shared" ca="1" si="96"/>
        <v>-1.9558358787807378E-3</v>
      </c>
    </row>
    <row r="7079" spans="7:8" x14ac:dyDescent="0.3">
      <c r="G7079" s="75">
        <v>7076</v>
      </c>
      <c r="H7079">
        <f t="shared" ca="1" si="96"/>
        <v>-9.4721423725171675E-3</v>
      </c>
    </row>
    <row r="7080" spans="7:8" x14ac:dyDescent="0.3">
      <c r="G7080" s="75">
        <v>7077</v>
      </c>
      <c r="H7080">
        <f t="shared" ca="1" si="96"/>
        <v>5.1161745601223585E-3</v>
      </c>
    </row>
    <row r="7081" spans="7:8" x14ac:dyDescent="0.3">
      <c r="G7081" s="75">
        <v>7078</v>
      </c>
      <c r="H7081">
        <f t="shared" ca="1" si="96"/>
        <v>2.517218681543841E-2</v>
      </c>
    </row>
    <row r="7082" spans="7:8" x14ac:dyDescent="0.3">
      <c r="G7082" s="75">
        <v>7079</v>
      </c>
      <c r="H7082">
        <f t="shared" ca="1" si="96"/>
        <v>-7.2221432883137317E-3</v>
      </c>
    </row>
    <row r="7083" spans="7:8" x14ac:dyDescent="0.3">
      <c r="G7083" s="75">
        <v>7080</v>
      </c>
      <c r="H7083">
        <f t="shared" ca="1" si="96"/>
        <v>3.3628971899284116E-3</v>
      </c>
    </row>
    <row r="7084" spans="7:8" x14ac:dyDescent="0.3">
      <c r="G7084" s="75">
        <v>7081</v>
      </c>
      <c r="H7084">
        <f t="shared" ca="1" si="96"/>
        <v>1.1703230073460663E-3</v>
      </c>
    </row>
    <row r="7085" spans="7:8" x14ac:dyDescent="0.3">
      <c r="G7085" s="75">
        <v>7082</v>
      </c>
      <c r="H7085">
        <f t="shared" ca="1" si="96"/>
        <v>-1.4956557314976427E-2</v>
      </c>
    </row>
    <row r="7086" spans="7:8" x14ac:dyDescent="0.3">
      <c r="G7086" s="75">
        <v>7083</v>
      </c>
      <c r="H7086">
        <f t="shared" ca="1" si="96"/>
        <v>-3.946750401052984E-3</v>
      </c>
    </row>
    <row r="7087" spans="7:8" x14ac:dyDescent="0.3">
      <c r="G7087" s="75">
        <v>7084</v>
      </c>
      <c r="H7087">
        <f t="shared" ca="1" si="96"/>
        <v>4.036827001288679E-3</v>
      </c>
    </row>
    <row r="7088" spans="7:8" x14ac:dyDescent="0.3">
      <c r="G7088" s="75">
        <v>7085</v>
      </c>
      <c r="H7088">
        <f t="shared" ca="1" si="96"/>
        <v>9.6280085981659339E-3</v>
      </c>
    </row>
    <row r="7089" spans="7:8" x14ac:dyDescent="0.3">
      <c r="G7089" s="75">
        <v>7086</v>
      </c>
      <c r="H7089">
        <f t="shared" ca="1" si="96"/>
        <v>1.5672027326933867E-2</v>
      </c>
    </row>
    <row r="7090" spans="7:8" x14ac:dyDescent="0.3">
      <c r="G7090" s="75">
        <v>7087</v>
      </c>
      <c r="H7090">
        <f t="shared" ca="1" si="96"/>
        <v>-3.8700557026455915E-4</v>
      </c>
    </row>
    <row r="7091" spans="7:8" x14ac:dyDescent="0.3">
      <c r="G7091" s="75">
        <v>7088</v>
      </c>
      <c r="H7091">
        <f t="shared" ca="1" si="96"/>
        <v>2.0675519423732438E-2</v>
      </c>
    </row>
    <row r="7092" spans="7:8" x14ac:dyDescent="0.3">
      <c r="G7092" s="75">
        <v>7089</v>
      </c>
      <c r="H7092">
        <f t="shared" ca="1" si="96"/>
        <v>-7.7331456101169972E-3</v>
      </c>
    </row>
    <row r="7093" spans="7:8" x14ac:dyDescent="0.3">
      <c r="G7093" s="75">
        <v>7090</v>
      </c>
      <c r="H7093">
        <f t="shared" ca="1" si="96"/>
        <v>4.4704189190559263E-3</v>
      </c>
    </row>
    <row r="7094" spans="7:8" x14ac:dyDescent="0.3">
      <c r="G7094" s="75">
        <v>7091</v>
      </c>
      <c r="H7094">
        <f t="shared" ca="1" si="96"/>
        <v>-3.376679511780418E-3</v>
      </c>
    </row>
    <row r="7095" spans="7:8" x14ac:dyDescent="0.3">
      <c r="G7095" s="75">
        <v>7092</v>
      </c>
      <c r="H7095">
        <f t="shared" ca="1" si="96"/>
        <v>-9.4676881515215342E-7</v>
      </c>
    </row>
    <row r="7096" spans="7:8" x14ac:dyDescent="0.3">
      <c r="G7096" s="75">
        <v>7093</v>
      </c>
      <c r="H7096">
        <f t="shared" ca="1" si="96"/>
        <v>9.8082949004119329E-3</v>
      </c>
    </row>
    <row r="7097" spans="7:8" x14ac:dyDescent="0.3">
      <c r="G7097" s="75">
        <v>7094</v>
      </c>
      <c r="H7097">
        <f t="shared" ca="1" si="96"/>
        <v>-1.2322337702028988E-2</v>
      </c>
    </row>
    <row r="7098" spans="7:8" x14ac:dyDescent="0.3">
      <c r="G7098" s="75">
        <v>7095</v>
      </c>
      <c r="H7098">
        <f t="shared" ca="1" si="96"/>
        <v>7.7973504061365729E-3</v>
      </c>
    </row>
    <row r="7099" spans="7:8" x14ac:dyDescent="0.3">
      <c r="G7099" s="75">
        <v>7096</v>
      </c>
      <c r="H7099">
        <f t="shared" ca="1" si="96"/>
        <v>1.4711016551275101E-2</v>
      </c>
    </row>
    <row r="7100" spans="7:8" x14ac:dyDescent="0.3">
      <c r="G7100" s="75">
        <v>7097</v>
      </c>
      <c r="H7100">
        <f t="shared" ca="1" si="96"/>
        <v>1.1227716459798769E-2</v>
      </c>
    </row>
    <row r="7101" spans="7:8" x14ac:dyDescent="0.3">
      <c r="G7101" s="75">
        <v>7098</v>
      </c>
      <c r="H7101">
        <f t="shared" ca="1" si="96"/>
        <v>-2.3671284408423587E-2</v>
      </c>
    </row>
    <row r="7102" spans="7:8" x14ac:dyDescent="0.3">
      <c r="G7102" s="75">
        <v>7099</v>
      </c>
      <c r="H7102">
        <f t="shared" ca="1" si="96"/>
        <v>2.8330720252958397E-2</v>
      </c>
    </row>
    <row r="7103" spans="7:8" x14ac:dyDescent="0.3">
      <c r="G7103" s="75">
        <v>7100</v>
      </c>
      <c r="H7103">
        <f t="shared" ca="1" si="96"/>
        <v>1.0930704668572934E-2</v>
      </c>
    </row>
    <row r="7104" spans="7:8" x14ac:dyDescent="0.3">
      <c r="G7104" s="75">
        <v>7101</v>
      </c>
      <c r="H7104">
        <f t="shared" ca="1" si="96"/>
        <v>1.455413160697294E-2</v>
      </c>
    </row>
    <row r="7105" spans="7:8" x14ac:dyDescent="0.3">
      <c r="G7105" s="75">
        <v>7102</v>
      </c>
      <c r="H7105">
        <f t="shared" ca="1" si="96"/>
        <v>-2.2012170366438311E-2</v>
      </c>
    </row>
    <row r="7106" spans="7:8" x14ac:dyDescent="0.3">
      <c r="G7106" s="75">
        <v>7103</v>
      </c>
      <c r="H7106">
        <f t="shared" ref="H7106:H7169" ca="1" si="97">_xlfn.NORM.INV(RAND(),$N$4,$N$5)</f>
        <v>5.0273929109419541E-3</v>
      </c>
    </row>
    <row r="7107" spans="7:8" x14ac:dyDescent="0.3">
      <c r="G7107" s="75">
        <v>7104</v>
      </c>
      <c r="H7107">
        <f t="shared" ca="1" si="97"/>
        <v>2.9958264492541147E-4</v>
      </c>
    </row>
    <row r="7108" spans="7:8" x14ac:dyDescent="0.3">
      <c r="G7108" s="75">
        <v>7105</v>
      </c>
      <c r="H7108">
        <f t="shared" ca="1" si="97"/>
        <v>-1.3940233891767068E-2</v>
      </c>
    </row>
    <row r="7109" spans="7:8" x14ac:dyDescent="0.3">
      <c r="G7109" s="75">
        <v>7106</v>
      </c>
      <c r="H7109">
        <f t="shared" ca="1" si="97"/>
        <v>-4.1803606818345447E-3</v>
      </c>
    </row>
    <row r="7110" spans="7:8" x14ac:dyDescent="0.3">
      <c r="G7110" s="75">
        <v>7107</v>
      </c>
      <c r="H7110">
        <f t="shared" ca="1" si="97"/>
        <v>-1.8564907522569462E-2</v>
      </c>
    </row>
    <row r="7111" spans="7:8" x14ac:dyDescent="0.3">
      <c r="G7111" s="75">
        <v>7108</v>
      </c>
      <c r="H7111">
        <f t="shared" ca="1" si="97"/>
        <v>-4.144699571352238E-3</v>
      </c>
    </row>
    <row r="7112" spans="7:8" x14ac:dyDescent="0.3">
      <c r="G7112" s="75">
        <v>7109</v>
      </c>
      <c r="H7112">
        <f t="shared" ca="1" si="97"/>
        <v>8.782906492218712E-3</v>
      </c>
    </row>
    <row r="7113" spans="7:8" x14ac:dyDescent="0.3">
      <c r="G7113" s="75">
        <v>7110</v>
      </c>
      <c r="H7113">
        <f t="shared" ca="1" si="97"/>
        <v>1.4841520664683309E-2</v>
      </c>
    </row>
    <row r="7114" spans="7:8" x14ac:dyDescent="0.3">
      <c r="G7114" s="75">
        <v>7111</v>
      </c>
      <c r="H7114">
        <f t="shared" ca="1" si="97"/>
        <v>-6.2669264459712347E-3</v>
      </c>
    </row>
    <row r="7115" spans="7:8" x14ac:dyDescent="0.3">
      <c r="G7115" s="75">
        <v>7112</v>
      </c>
      <c r="H7115">
        <f t="shared" ca="1" si="97"/>
        <v>1.0416380147480739E-2</v>
      </c>
    </row>
    <row r="7116" spans="7:8" x14ac:dyDescent="0.3">
      <c r="G7116" s="75">
        <v>7113</v>
      </c>
      <c r="H7116">
        <f t="shared" ca="1" si="97"/>
        <v>-2.8219307586088753E-2</v>
      </c>
    </row>
    <row r="7117" spans="7:8" x14ac:dyDescent="0.3">
      <c r="G7117" s="75">
        <v>7114</v>
      </c>
      <c r="H7117">
        <f t="shared" ca="1" si="97"/>
        <v>2.2206613559581537E-3</v>
      </c>
    </row>
    <row r="7118" spans="7:8" x14ac:dyDescent="0.3">
      <c r="G7118" s="75">
        <v>7115</v>
      </c>
      <c r="H7118">
        <f t="shared" ca="1" si="97"/>
        <v>5.5854896680509374E-3</v>
      </c>
    </row>
    <row r="7119" spans="7:8" x14ac:dyDescent="0.3">
      <c r="G7119" s="75">
        <v>7116</v>
      </c>
      <c r="H7119">
        <f t="shared" ca="1" si="97"/>
        <v>-2.2370667179996029E-2</v>
      </c>
    </row>
    <row r="7120" spans="7:8" x14ac:dyDescent="0.3">
      <c r="G7120" s="75">
        <v>7117</v>
      </c>
      <c r="H7120">
        <f t="shared" ca="1" si="97"/>
        <v>2.5923838242721802E-3</v>
      </c>
    </row>
    <row r="7121" spans="7:8" x14ac:dyDescent="0.3">
      <c r="G7121" s="75">
        <v>7118</v>
      </c>
      <c r="H7121">
        <f t="shared" ca="1" si="97"/>
        <v>2.0922325817571623E-3</v>
      </c>
    </row>
    <row r="7122" spans="7:8" x14ac:dyDescent="0.3">
      <c r="G7122" s="75">
        <v>7119</v>
      </c>
      <c r="H7122">
        <f t="shared" ca="1" si="97"/>
        <v>1.7889414432405649E-2</v>
      </c>
    </row>
    <row r="7123" spans="7:8" x14ac:dyDescent="0.3">
      <c r="G7123" s="75">
        <v>7120</v>
      </c>
      <c r="H7123">
        <f t="shared" ca="1" si="97"/>
        <v>5.40043193025622E-4</v>
      </c>
    </row>
    <row r="7124" spans="7:8" x14ac:dyDescent="0.3">
      <c r="G7124" s="75">
        <v>7121</v>
      </c>
      <c r="H7124">
        <f t="shared" ca="1" si="97"/>
        <v>3.2795684993537312E-3</v>
      </c>
    </row>
    <row r="7125" spans="7:8" x14ac:dyDescent="0.3">
      <c r="G7125" s="75">
        <v>7122</v>
      </c>
      <c r="H7125">
        <f t="shared" ca="1" si="97"/>
        <v>6.7400129590743747E-4</v>
      </c>
    </row>
    <row r="7126" spans="7:8" x14ac:dyDescent="0.3">
      <c r="G7126" s="75">
        <v>7123</v>
      </c>
      <c r="H7126">
        <f t="shared" ca="1" si="97"/>
        <v>-1.3410946697395801E-2</v>
      </c>
    </row>
    <row r="7127" spans="7:8" x14ac:dyDescent="0.3">
      <c r="G7127" s="75">
        <v>7124</v>
      </c>
      <c r="H7127">
        <f t="shared" ca="1" si="97"/>
        <v>-1.7632807849294187E-2</v>
      </c>
    </row>
    <row r="7128" spans="7:8" x14ac:dyDescent="0.3">
      <c r="G7128" s="75">
        <v>7125</v>
      </c>
      <c r="H7128">
        <f t="shared" ca="1" si="97"/>
        <v>-3.1123504768898337E-2</v>
      </c>
    </row>
    <row r="7129" spans="7:8" x14ac:dyDescent="0.3">
      <c r="G7129" s="75">
        <v>7126</v>
      </c>
      <c r="H7129">
        <f t="shared" ca="1" si="97"/>
        <v>-2.3446796658185755E-2</v>
      </c>
    </row>
    <row r="7130" spans="7:8" x14ac:dyDescent="0.3">
      <c r="G7130" s="75">
        <v>7127</v>
      </c>
      <c r="H7130">
        <f t="shared" ca="1" si="97"/>
        <v>-8.4735729779432771E-3</v>
      </c>
    </row>
    <row r="7131" spans="7:8" x14ac:dyDescent="0.3">
      <c r="G7131" s="75">
        <v>7128</v>
      </c>
      <c r="H7131">
        <f t="shared" ca="1" si="97"/>
        <v>8.6777625264243367E-3</v>
      </c>
    </row>
    <row r="7132" spans="7:8" x14ac:dyDescent="0.3">
      <c r="G7132" s="75">
        <v>7129</v>
      </c>
      <c r="H7132">
        <f t="shared" ca="1" si="97"/>
        <v>1.4298762444378268E-2</v>
      </c>
    </row>
    <row r="7133" spans="7:8" x14ac:dyDescent="0.3">
      <c r="G7133" s="75">
        <v>7130</v>
      </c>
      <c r="H7133">
        <f t="shared" ca="1" si="97"/>
        <v>-5.1931272591207826E-3</v>
      </c>
    </row>
    <row r="7134" spans="7:8" x14ac:dyDescent="0.3">
      <c r="G7134" s="75">
        <v>7131</v>
      </c>
      <c r="H7134">
        <f t="shared" ca="1" si="97"/>
        <v>-2.6343784964868448E-2</v>
      </c>
    </row>
    <row r="7135" spans="7:8" x14ac:dyDescent="0.3">
      <c r="G7135" s="75">
        <v>7132</v>
      </c>
      <c r="H7135">
        <f t="shared" ca="1" si="97"/>
        <v>1.3155987046064781E-2</v>
      </c>
    </row>
    <row r="7136" spans="7:8" x14ac:dyDescent="0.3">
      <c r="G7136" s="75">
        <v>7133</v>
      </c>
      <c r="H7136">
        <f t="shared" ca="1" si="97"/>
        <v>6.3694861145650854E-3</v>
      </c>
    </row>
    <row r="7137" spans="7:8" x14ac:dyDescent="0.3">
      <c r="G7137" s="75">
        <v>7134</v>
      </c>
      <c r="H7137">
        <f t="shared" ca="1" si="97"/>
        <v>-2.7390603234329208E-2</v>
      </c>
    </row>
    <row r="7138" spans="7:8" x14ac:dyDescent="0.3">
      <c r="G7138" s="75">
        <v>7135</v>
      </c>
      <c r="H7138">
        <f t="shared" ca="1" si="97"/>
        <v>-1.320588681111201E-3</v>
      </c>
    </row>
    <row r="7139" spans="7:8" x14ac:dyDescent="0.3">
      <c r="G7139" s="75">
        <v>7136</v>
      </c>
      <c r="H7139">
        <f t="shared" ca="1" si="97"/>
        <v>1.5809681486722372E-3</v>
      </c>
    </row>
    <row r="7140" spans="7:8" x14ac:dyDescent="0.3">
      <c r="G7140" s="75">
        <v>7137</v>
      </c>
      <c r="H7140">
        <f t="shared" ca="1" si="97"/>
        <v>1.2178285767198996E-2</v>
      </c>
    </row>
    <row r="7141" spans="7:8" x14ac:dyDescent="0.3">
      <c r="G7141" s="75">
        <v>7138</v>
      </c>
      <c r="H7141">
        <f t="shared" ca="1" si="97"/>
        <v>1.2978912722013216E-3</v>
      </c>
    </row>
    <row r="7142" spans="7:8" x14ac:dyDescent="0.3">
      <c r="G7142" s="75">
        <v>7139</v>
      </c>
      <c r="H7142">
        <f t="shared" ca="1" si="97"/>
        <v>-1.0628410064405635E-3</v>
      </c>
    </row>
    <row r="7143" spans="7:8" x14ac:dyDescent="0.3">
      <c r="G7143" s="75">
        <v>7140</v>
      </c>
      <c r="H7143">
        <f t="shared" ca="1" si="97"/>
        <v>-2.2205840188781675E-3</v>
      </c>
    </row>
    <row r="7144" spans="7:8" x14ac:dyDescent="0.3">
      <c r="G7144" s="75">
        <v>7141</v>
      </c>
      <c r="H7144">
        <f t="shared" ca="1" si="97"/>
        <v>2.011341792847059E-2</v>
      </c>
    </row>
    <row r="7145" spans="7:8" x14ac:dyDescent="0.3">
      <c r="G7145" s="75">
        <v>7142</v>
      </c>
      <c r="H7145">
        <f t="shared" ca="1" si="97"/>
        <v>1.5755630684850346E-2</v>
      </c>
    </row>
    <row r="7146" spans="7:8" x14ac:dyDescent="0.3">
      <c r="G7146" s="75">
        <v>7143</v>
      </c>
      <c r="H7146">
        <f t="shared" ca="1" si="97"/>
        <v>2.2229274544742769E-2</v>
      </c>
    </row>
    <row r="7147" spans="7:8" x14ac:dyDescent="0.3">
      <c r="G7147" s="75">
        <v>7144</v>
      </c>
      <c r="H7147">
        <f t="shared" ca="1" si="97"/>
        <v>-4.0674997835639269E-3</v>
      </c>
    </row>
    <row r="7148" spans="7:8" x14ac:dyDescent="0.3">
      <c r="G7148" s="75">
        <v>7145</v>
      </c>
      <c r="H7148">
        <f t="shared" ca="1" si="97"/>
        <v>-4.493119459810888E-4</v>
      </c>
    </row>
    <row r="7149" spans="7:8" x14ac:dyDescent="0.3">
      <c r="G7149" s="75">
        <v>7146</v>
      </c>
      <c r="H7149">
        <f t="shared" ca="1" si="97"/>
        <v>1.1393184143232229E-3</v>
      </c>
    </row>
    <row r="7150" spans="7:8" x14ac:dyDescent="0.3">
      <c r="G7150" s="75">
        <v>7147</v>
      </c>
      <c r="H7150">
        <f t="shared" ca="1" si="97"/>
        <v>2.7377427627505675E-2</v>
      </c>
    </row>
    <row r="7151" spans="7:8" x14ac:dyDescent="0.3">
      <c r="G7151" s="75">
        <v>7148</v>
      </c>
      <c r="H7151">
        <f t="shared" ca="1" si="97"/>
        <v>2.2433357662747263E-3</v>
      </c>
    </row>
    <row r="7152" spans="7:8" x14ac:dyDescent="0.3">
      <c r="G7152" s="75">
        <v>7149</v>
      </c>
      <c r="H7152">
        <f t="shared" ca="1" si="97"/>
        <v>8.5767940374839591E-3</v>
      </c>
    </row>
    <row r="7153" spans="7:8" x14ac:dyDescent="0.3">
      <c r="G7153" s="75">
        <v>7150</v>
      </c>
      <c r="H7153">
        <f t="shared" ca="1" si="97"/>
        <v>1.3271711428581318E-2</v>
      </c>
    </row>
    <row r="7154" spans="7:8" x14ac:dyDescent="0.3">
      <c r="G7154" s="75">
        <v>7151</v>
      </c>
      <c r="H7154">
        <f t="shared" ca="1" si="97"/>
        <v>-4.6694473868846946E-3</v>
      </c>
    </row>
    <row r="7155" spans="7:8" x14ac:dyDescent="0.3">
      <c r="G7155" s="75">
        <v>7152</v>
      </c>
      <c r="H7155">
        <f t="shared" ca="1" si="97"/>
        <v>-4.9355753330476053E-3</v>
      </c>
    </row>
    <row r="7156" spans="7:8" x14ac:dyDescent="0.3">
      <c r="G7156" s="75">
        <v>7153</v>
      </c>
      <c r="H7156">
        <f t="shared" ca="1" si="97"/>
        <v>-2.0181928335288181E-2</v>
      </c>
    </row>
    <row r="7157" spans="7:8" x14ac:dyDescent="0.3">
      <c r="G7157" s="75">
        <v>7154</v>
      </c>
      <c r="H7157">
        <f t="shared" ca="1" si="97"/>
        <v>4.7457477244955346E-3</v>
      </c>
    </row>
    <row r="7158" spans="7:8" x14ac:dyDescent="0.3">
      <c r="G7158" s="75">
        <v>7155</v>
      </c>
      <c r="H7158">
        <f t="shared" ca="1" si="97"/>
        <v>-1.9267270742499728E-2</v>
      </c>
    </row>
    <row r="7159" spans="7:8" x14ac:dyDescent="0.3">
      <c r="G7159" s="75">
        <v>7156</v>
      </c>
      <c r="H7159">
        <f t="shared" ca="1" si="97"/>
        <v>-1.0819842463230772E-3</v>
      </c>
    </row>
    <row r="7160" spans="7:8" x14ac:dyDescent="0.3">
      <c r="G7160" s="75">
        <v>7157</v>
      </c>
      <c r="H7160">
        <f t="shared" ca="1" si="97"/>
        <v>-2.0527985605583332E-2</v>
      </c>
    </row>
    <row r="7161" spans="7:8" x14ac:dyDescent="0.3">
      <c r="G7161" s="75">
        <v>7158</v>
      </c>
      <c r="H7161">
        <f t="shared" ca="1" si="97"/>
        <v>-1.5554008018401304E-2</v>
      </c>
    </row>
    <row r="7162" spans="7:8" x14ac:dyDescent="0.3">
      <c r="G7162" s="75">
        <v>7159</v>
      </c>
      <c r="H7162">
        <f t="shared" ca="1" si="97"/>
        <v>-1.7264797696447686E-2</v>
      </c>
    </row>
    <row r="7163" spans="7:8" x14ac:dyDescent="0.3">
      <c r="G7163" s="75">
        <v>7160</v>
      </c>
      <c r="H7163">
        <f t="shared" ca="1" si="97"/>
        <v>1.2338525255565429E-3</v>
      </c>
    </row>
    <row r="7164" spans="7:8" x14ac:dyDescent="0.3">
      <c r="G7164" s="75">
        <v>7161</v>
      </c>
      <c r="H7164">
        <f t="shared" ca="1" si="97"/>
        <v>-1.0645617674194977E-2</v>
      </c>
    </row>
    <row r="7165" spans="7:8" x14ac:dyDescent="0.3">
      <c r="G7165" s="75">
        <v>7162</v>
      </c>
      <c r="H7165">
        <f t="shared" ca="1" si="97"/>
        <v>-2.3920886350904383E-3</v>
      </c>
    </row>
    <row r="7166" spans="7:8" x14ac:dyDescent="0.3">
      <c r="G7166" s="75">
        <v>7163</v>
      </c>
      <c r="H7166">
        <f t="shared" ca="1" si="97"/>
        <v>9.9273255120531064E-4</v>
      </c>
    </row>
    <row r="7167" spans="7:8" x14ac:dyDescent="0.3">
      <c r="G7167" s="75">
        <v>7164</v>
      </c>
      <c r="H7167">
        <f t="shared" ca="1" si="97"/>
        <v>-1.7457337603850251E-2</v>
      </c>
    </row>
    <row r="7168" spans="7:8" x14ac:dyDescent="0.3">
      <c r="G7168" s="75">
        <v>7165</v>
      </c>
      <c r="H7168">
        <f t="shared" ca="1" si="97"/>
        <v>1.2651966054761921E-2</v>
      </c>
    </row>
    <row r="7169" spans="7:8" x14ac:dyDescent="0.3">
      <c r="G7169" s="75">
        <v>7166</v>
      </c>
      <c r="H7169">
        <f t="shared" ca="1" si="97"/>
        <v>5.8618416579557632E-3</v>
      </c>
    </row>
    <row r="7170" spans="7:8" x14ac:dyDescent="0.3">
      <c r="G7170" s="75">
        <v>7167</v>
      </c>
      <c r="H7170">
        <f t="shared" ref="H7170:H7233" ca="1" si="98">_xlfn.NORM.INV(RAND(),$N$4,$N$5)</f>
        <v>2.8437135702394062E-2</v>
      </c>
    </row>
    <row r="7171" spans="7:8" x14ac:dyDescent="0.3">
      <c r="G7171" s="75">
        <v>7168</v>
      </c>
      <c r="H7171">
        <f t="shared" ca="1" si="98"/>
        <v>1.970712417571184E-2</v>
      </c>
    </row>
    <row r="7172" spans="7:8" x14ac:dyDescent="0.3">
      <c r="G7172" s="75">
        <v>7169</v>
      </c>
      <c r="H7172">
        <f t="shared" ca="1" si="98"/>
        <v>9.039236861566961E-3</v>
      </c>
    </row>
    <row r="7173" spans="7:8" x14ac:dyDescent="0.3">
      <c r="G7173" s="75">
        <v>7170</v>
      </c>
      <c r="H7173">
        <f t="shared" ca="1" si="98"/>
        <v>1.8953047750175266E-2</v>
      </c>
    </row>
    <row r="7174" spans="7:8" x14ac:dyDescent="0.3">
      <c r="G7174" s="75">
        <v>7171</v>
      </c>
      <c r="H7174">
        <f t="shared" ca="1" si="98"/>
        <v>-4.7628948038282931E-3</v>
      </c>
    </row>
    <row r="7175" spans="7:8" x14ac:dyDescent="0.3">
      <c r="G7175" s="75">
        <v>7172</v>
      </c>
      <c r="H7175">
        <f t="shared" ca="1" si="98"/>
        <v>1.1069307746140728E-2</v>
      </c>
    </row>
    <row r="7176" spans="7:8" x14ac:dyDescent="0.3">
      <c r="G7176" s="75">
        <v>7173</v>
      </c>
      <c r="H7176">
        <f t="shared" ca="1" si="98"/>
        <v>1.4315761031617106E-2</v>
      </c>
    </row>
    <row r="7177" spans="7:8" x14ac:dyDescent="0.3">
      <c r="G7177" s="75">
        <v>7174</v>
      </c>
      <c r="H7177">
        <f t="shared" ca="1" si="98"/>
        <v>6.6558003289610371E-3</v>
      </c>
    </row>
    <row r="7178" spans="7:8" x14ac:dyDescent="0.3">
      <c r="G7178" s="75">
        <v>7175</v>
      </c>
      <c r="H7178">
        <f t="shared" ca="1" si="98"/>
        <v>-1.175744786655226E-3</v>
      </c>
    </row>
    <row r="7179" spans="7:8" x14ac:dyDescent="0.3">
      <c r="G7179" s="75">
        <v>7176</v>
      </c>
      <c r="H7179">
        <f t="shared" ca="1" si="98"/>
        <v>-7.0046446998695425E-3</v>
      </c>
    </row>
    <row r="7180" spans="7:8" x14ac:dyDescent="0.3">
      <c r="G7180" s="75">
        <v>7177</v>
      </c>
      <c r="H7180">
        <f t="shared" ca="1" si="98"/>
        <v>-9.3989467098916282E-3</v>
      </c>
    </row>
    <row r="7181" spans="7:8" x14ac:dyDescent="0.3">
      <c r="G7181" s="75">
        <v>7178</v>
      </c>
      <c r="H7181">
        <f t="shared" ca="1" si="98"/>
        <v>8.5274356575768592E-3</v>
      </c>
    </row>
    <row r="7182" spans="7:8" x14ac:dyDescent="0.3">
      <c r="G7182" s="75">
        <v>7179</v>
      </c>
      <c r="H7182">
        <f t="shared" ca="1" si="98"/>
        <v>1.3449127342677995E-3</v>
      </c>
    </row>
    <row r="7183" spans="7:8" x14ac:dyDescent="0.3">
      <c r="G7183" s="75">
        <v>7180</v>
      </c>
      <c r="H7183">
        <f t="shared" ca="1" si="98"/>
        <v>1.428930979232646E-2</v>
      </c>
    </row>
    <row r="7184" spans="7:8" x14ac:dyDescent="0.3">
      <c r="G7184" s="75">
        <v>7181</v>
      </c>
      <c r="H7184">
        <f t="shared" ca="1" si="98"/>
        <v>1.3579522203753551E-2</v>
      </c>
    </row>
    <row r="7185" spans="7:8" x14ac:dyDescent="0.3">
      <c r="G7185" s="75">
        <v>7182</v>
      </c>
      <c r="H7185">
        <f t="shared" ca="1" si="98"/>
        <v>5.2924419874917821E-3</v>
      </c>
    </row>
    <row r="7186" spans="7:8" x14ac:dyDescent="0.3">
      <c r="G7186" s="75">
        <v>7183</v>
      </c>
      <c r="H7186">
        <f t="shared" ca="1" si="98"/>
        <v>-2.1596185977111017E-2</v>
      </c>
    </row>
    <row r="7187" spans="7:8" x14ac:dyDescent="0.3">
      <c r="G7187" s="75">
        <v>7184</v>
      </c>
      <c r="H7187">
        <f t="shared" ca="1" si="98"/>
        <v>-2.0667349342052607E-2</v>
      </c>
    </row>
    <row r="7188" spans="7:8" x14ac:dyDescent="0.3">
      <c r="G7188" s="75">
        <v>7185</v>
      </c>
      <c r="H7188">
        <f t="shared" ca="1" si="98"/>
        <v>3.2203843722097142E-2</v>
      </c>
    </row>
    <row r="7189" spans="7:8" x14ac:dyDescent="0.3">
      <c r="G7189" s="75">
        <v>7186</v>
      </c>
      <c r="H7189">
        <f t="shared" ca="1" si="98"/>
        <v>1.8623560960165486E-2</v>
      </c>
    </row>
    <row r="7190" spans="7:8" x14ac:dyDescent="0.3">
      <c r="G7190" s="75">
        <v>7187</v>
      </c>
      <c r="H7190">
        <f t="shared" ca="1" si="98"/>
        <v>8.0255075423650759E-3</v>
      </c>
    </row>
    <row r="7191" spans="7:8" x14ac:dyDescent="0.3">
      <c r="G7191" s="75">
        <v>7188</v>
      </c>
      <c r="H7191">
        <f t="shared" ca="1" si="98"/>
        <v>-1.9128336492443672E-2</v>
      </c>
    </row>
    <row r="7192" spans="7:8" x14ac:dyDescent="0.3">
      <c r="G7192" s="75">
        <v>7189</v>
      </c>
      <c r="H7192">
        <f t="shared" ca="1" si="98"/>
        <v>-9.761744369287188E-4</v>
      </c>
    </row>
    <row r="7193" spans="7:8" x14ac:dyDescent="0.3">
      <c r="G7193" s="75">
        <v>7190</v>
      </c>
      <c r="H7193">
        <f t="shared" ca="1" si="98"/>
        <v>-5.5038892335520779E-5</v>
      </c>
    </row>
    <row r="7194" spans="7:8" x14ac:dyDescent="0.3">
      <c r="G7194" s="75">
        <v>7191</v>
      </c>
      <c r="H7194">
        <f t="shared" ca="1" si="98"/>
        <v>1.1287131016188693E-2</v>
      </c>
    </row>
    <row r="7195" spans="7:8" x14ac:dyDescent="0.3">
      <c r="G7195" s="75">
        <v>7192</v>
      </c>
      <c r="H7195">
        <f t="shared" ca="1" si="98"/>
        <v>1.6780622669690201E-2</v>
      </c>
    </row>
    <row r="7196" spans="7:8" x14ac:dyDescent="0.3">
      <c r="G7196" s="75">
        <v>7193</v>
      </c>
      <c r="H7196">
        <f t="shared" ca="1" si="98"/>
        <v>7.6477897860911508E-3</v>
      </c>
    </row>
    <row r="7197" spans="7:8" x14ac:dyDescent="0.3">
      <c r="G7197" s="75">
        <v>7194</v>
      </c>
      <c r="H7197">
        <f t="shared" ca="1" si="98"/>
        <v>2.6139995070791565E-3</v>
      </c>
    </row>
    <row r="7198" spans="7:8" x14ac:dyDescent="0.3">
      <c r="G7198" s="75">
        <v>7195</v>
      </c>
      <c r="H7198">
        <f t="shared" ca="1" si="98"/>
        <v>-3.2523993653577822E-3</v>
      </c>
    </row>
    <row r="7199" spans="7:8" x14ac:dyDescent="0.3">
      <c r="G7199" s="75">
        <v>7196</v>
      </c>
      <c r="H7199">
        <f t="shared" ca="1" si="98"/>
        <v>-1.6614049842612891E-2</v>
      </c>
    </row>
    <row r="7200" spans="7:8" x14ac:dyDescent="0.3">
      <c r="G7200" s="75">
        <v>7197</v>
      </c>
      <c r="H7200">
        <f t="shared" ca="1" si="98"/>
        <v>6.4918336845781579E-3</v>
      </c>
    </row>
    <row r="7201" spans="7:8" x14ac:dyDescent="0.3">
      <c r="G7201" s="75">
        <v>7198</v>
      </c>
      <c r="H7201">
        <f t="shared" ca="1" si="98"/>
        <v>2.4940812947346597E-2</v>
      </c>
    </row>
    <row r="7202" spans="7:8" x14ac:dyDescent="0.3">
      <c r="G7202" s="75">
        <v>7199</v>
      </c>
      <c r="H7202">
        <f t="shared" ca="1" si="98"/>
        <v>-8.6732417666620862E-3</v>
      </c>
    </row>
    <row r="7203" spans="7:8" x14ac:dyDescent="0.3">
      <c r="G7203" s="75">
        <v>7200</v>
      </c>
      <c r="H7203">
        <f t="shared" ca="1" si="98"/>
        <v>5.620648361602692E-3</v>
      </c>
    </row>
    <row r="7204" spans="7:8" x14ac:dyDescent="0.3">
      <c r="G7204" s="75">
        <v>7201</v>
      </c>
      <c r="H7204">
        <f t="shared" ca="1" si="98"/>
        <v>-1.9858005693978793E-3</v>
      </c>
    </row>
    <row r="7205" spans="7:8" x14ac:dyDescent="0.3">
      <c r="G7205" s="75">
        <v>7202</v>
      </c>
      <c r="H7205">
        <f t="shared" ca="1" si="98"/>
        <v>4.1064822037186061E-3</v>
      </c>
    </row>
    <row r="7206" spans="7:8" x14ac:dyDescent="0.3">
      <c r="G7206" s="75">
        <v>7203</v>
      </c>
      <c r="H7206">
        <f t="shared" ca="1" si="98"/>
        <v>3.1502105377108208E-3</v>
      </c>
    </row>
    <row r="7207" spans="7:8" x14ac:dyDescent="0.3">
      <c r="G7207" s="75">
        <v>7204</v>
      </c>
      <c r="H7207">
        <f t="shared" ca="1" si="98"/>
        <v>3.7816597001629234E-3</v>
      </c>
    </row>
    <row r="7208" spans="7:8" x14ac:dyDescent="0.3">
      <c r="G7208" s="75">
        <v>7205</v>
      </c>
      <c r="H7208">
        <f t="shared" ca="1" si="98"/>
        <v>6.1839963802723186E-3</v>
      </c>
    </row>
    <row r="7209" spans="7:8" x14ac:dyDescent="0.3">
      <c r="G7209" s="75">
        <v>7206</v>
      </c>
      <c r="H7209">
        <f t="shared" ca="1" si="98"/>
        <v>-1.9993944418032462E-2</v>
      </c>
    </row>
    <row r="7210" spans="7:8" x14ac:dyDescent="0.3">
      <c r="G7210" s="75">
        <v>7207</v>
      </c>
      <c r="H7210">
        <f t="shared" ca="1" si="98"/>
        <v>7.2969878453250482E-3</v>
      </c>
    </row>
    <row r="7211" spans="7:8" x14ac:dyDescent="0.3">
      <c r="G7211" s="75">
        <v>7208</v>
      </c>
      <c r="H7211">
        <f t="shared" ca="1" si="98"/>
        <v>-3.0135286569331139E-3</v>
      </c>
    </row>
    <row r="7212" spans="7:8" x14ac:dyDescent="0.3">
      <c r="G7212" s="75">
        <v>7209</v>
      </c>
      <c r="H7212">
        <f t="shared" ca="1" si="98"/>
        <v>1.3600083203752587E-3</v>
      </c>
    </row>
    <row r="7213" spans="7:8" x14ac:dyDescent="0.3">
      <c r="G7213" s="75">
        <v>7210</v>
      </c>
      <c r="H7213">
        <f t="shared" ca="1" si="98"/>
        <v>1.9159354267437482E-2</v>
      </c>
    </row>
    <row r="7214" spans="7:8" x14ac:dyDescent="0.3">
      <c r="G7214" s="75">
        <v>7211</v>
      </c>
      <c r="H7214">
        <f t="shared" ca="1" si="98"/>
        <v>-3.0506803351837201E-2</v>
      </c>
    </row>
    <row r="7215" spans="7:8" x14ac:dyDescent="0.3">
      <c r="G7215" s="75">
        <v>7212</v>
      </c>
      <c r="H7215">
        <f t="shared" ca="1" si="98"/>
        <v>8.822810479270091E-3</v>
      </c>
    </row>
    <row r="7216" spans="7:8" x14ac:dyDescent="0.3">
      <c r="G7216" s="75">
        <v>7213</v>
      </c>
      <c r="H7216">
        <f t="shared" ca="1" si="98"/>
        <v>1.2118734865332319E-3</v>
      </c>
    </row>
    <row r="7217" spans="7:8" x14ac:dyDescent="0.3">
      <c r="G7217" s="75">
        <v>7214</v>
      </c>
      <c r="H7217">
        <f t="shared" ca="1" si="98"/>
        <v>1.3863687385798525E-4</v>
      </c>
    </row>
    <row r="7218" spans="7:8" x14ac:dyDescent="0.3">
      <c r="G7218" s="75">
        <v>7215</v>
      </c>
      <c r="H7218">
        <f t="shared" ca="1" si="98"/>
        <v>5.3147569645494467E-3</v>
      </c>
    </row>
    <row r="7219" spans="7:8" x14ac:dyDescent="0.3">
      <c r="G7219" s="75">
        <v>7216</v>
      </c>
      <c r="H7219">
        <f t="shared" ca="1" si="98"/>
        <v>-1.5631683348621701E-2</v>
      </c>
    </row>
    <row r="7220" spans="7:8" x14ac:dyDescent="0.3">
      <c r="G7220" s="75">
        <v>7217</v>
      </c>
      <c r="H7220">
        <f t="shared" ca="1" si="98"/>
        <v>-1.5731045385409377E-2</v>
      </c>
    </row>
    <row r="7221" spans="7:8" x14ac:dyDescent="0.3">
      <c r="G7221" s="75">
        <v>7218</v>
      </c>
      <c r="H7221">
        <f t="shared" ca="1" si="98"/>
        <v>-6.5155504371494546E-4</v>
      </c>
    </row>
    <row r="7222" spans="7:8" x14ac:dyDescent="0.3">
      <c r="G7222" s="75">
        <v>7219</v>
      </c>
      <c r="H7222">
        <f t="shared" ca="1" si="98"/>
        <v>8.6244254148491097E-3</v>
      </c>
    </row>
    <row r="7223" spans="7:8" x14ac:dyDescent="0.3">
      <c r="G7223" s="75">
        <v>7220</v>
      </c>
      <c r="H7223">
        <f t="shared" ca="1" si="98"/>
        <v>1.9013292465974333E-2</v>
      </c>
    </row>
    <row r="7224" spans="7:8" x14ac:dyDescent="0.3">
      <c r="G7224" s="75">
        <v>7221</v>
      </c>
      <c r="H7224">
        <f t="shared" ca="1" si="98"/>
        <v>7.6732217607854425E-3</v>
      </c>
    </row>
    <row r="7225" spans="7:8" x14ac:dyDescent="0.3">
      <c r="G7225" s="75">
        <v>7222</v>
      </c>
      <c r="H7225">
        <f t="shared" ca="1" si="98"/>
        <v>-5.4940020885085698E-3</v>
      </c>
    </row>
    <row r="7226" spans="7:8" x14ac:dyDescent="0.3">
      <c r="G7226" s="75">
        <v>7223</v>
      </c>
      <c r="H7226">
        <f t="shared" ca="1" si="98"/>
        <v>-5.5507247024473346E-3</v>
      </c>
    </row>
    <row r="7227" spans="7:8" x14ac:dyDescent="0.3">
      <c r="G7227" s="75">
        <v>7224</v>
      </c>
      <c r="H7227">
        <f t="shared" ca="1" si="98"/>
        <v>1.8525463713493034E-2</v>
      </c>
    </row>
    <row r="7228" spans="7:8" x14ac:dyDescent="0.3">
      <c r="G7228" s="75">
        <v>7225</v>
      </c>
      <c r="H7228">
        <f t="shared" ca="1" si="98"/>
        <v>1.8850951586732639E-2</v>
      </c>
    </row>
    <row r="7229" spans="7:8" x14ac:dyDescent="0.3">
      <c r="G7229" s="75">
        <v>7226</v>
      </c>
      <c r="H7229">
        <f t="shared" ca="1" si="98"/>
        <v>2.0371240562079545E-2</v>
      </c>
    </row>
    <row r="7230" spans="7:8" x14ac:dyDescent="0.3">
      <c r="G7230" s="75">
        <v>7227</v>
      </c>
      <c r="H7230">
        <f t="shared" ca="1" si="98"/>
        <v>1.5389615104041154E-3</v>
      </c>
    </row>
    <row r="7231" spans="7:8" x14ac:dyDescent="0.3">
      <c r="G7231" s="75">
        <v>7228</v>
      </c>
      <c r="H7231">
        <f t="shared" ca="1" si="98"/>
        <v>6.2989877513693485E-3</v>
      </c>
    </row>
    <row r="7232" spans="7:8" x14ac:dyDescent="0.3">
      <c r="G7232" s="75">
        <v>7229</v>
      </c>
      <c r="H7232">
        <f t="shared" ca="1" si="98"/>
        <v>2.4822184763819617E-3</v>
      </c>
    </row>
    <row r="7233" spans="7:8" x14ac:dyDescent="0.3">
      <c r="G7233" s="75">
        <v>7230</v>
      </c>
      <c r="H7233">
        <f t="shared" ca="1" si="98"/>
        <v>-1.233786176504476E-2</v>
      </c>
    </row>
    <row r="7234" spans="7:8" x14ac:dyDescent="0.3">
      <c r="G7234" s="75">
        <v>7231</v>
      </c>
      <c r="H7234">
        <f t="shared" ref="H7234:H7297" ca="1" si="99">_xlfn.NORM.INV(RAND(),$N$4,$N$5)</f>
        <v>1.1015359472272558E-2</v>
      </c>
    </row>
    <row r="7235" spans="7:8" x14ac:dyDescent="0.3">
      <c r="G7235" s="75">
        <v>7232</v>
      </c>
      <c r="H7235">
        <f t="shared" ca="1" si="99"/>
        <v>1.4464712532519285E-2</v>
      </c>
    </row>
    <row r="7236" spans="7:8" x14ac:dyDescent="0.3">
      <c r="G7236" s="75">
        <v>7233</v>
      </c>
      <c r="H7236">
        <f t="shared" ca="1" si="99"/>
        <v>-3.7044154892487732E-2</v>
      </c>
    </row>
    <row r="7237" spans="7:8" x14ac:dyDescent="0.3">
      <c r="G7237" s="75">
        <v>7234</v>
      </c>
      <c r="H7237">
        <f t="shared" ca="1" si="99"/>
        <v>1.8187321446686552E-2</v>
      </c>
    </row>
    <row r="7238" spans="7:8" x14ac:dyDescent="0.3">
      <c r="G7238" s="75">
        <v>7235</v>
      </c>
      <c r="H7238">
        <f t="shared" ca="1" si="99"/>
        <v>1.680546194936075E-2</v>
      </c>
    </row>
    <row r="7239" spans="7:8" x14ac:dyDescent="0.3">
      <c r="G7239" s="75">
        <v>7236</v>
      </c>
      <c r="H7239">
        <f t="shared" ca="1" si="99"/>
        <v>-2.2345589491941393E-2</v>
      </c>
    </row>
    <row r="7240" spans="7:8" x14ac:dyDescent="0.3">
      <c r="G7240" s="75">
        <v>7237</v>
      </c>
      <c r="H7240">
        <f t="shared" ca="1" si="99"/>
        <v>-6.4962755520290363E-3</v>
      </c>
    </row>
    <row r="7241" spans="7:8" x14ac:dyDescent="0.3">
      <c r="G7241" s="75">
        <v>7238</v>
      </c>
      <c r="H7241">
        <f t="shared" ca="1" si="99"/>
        <v>2.2413075056531688E-3</v>
      </c>
    </row>
    <row r="7242" spans="7:8" x14ac:dyDescent="0.3">
      <c r="G7242" s="75">
        <v>7239</v>
      </c>
      <c r="H7242">
        <f t="shared" ca="1" si="99"/>
        <v>6.9542121980928151E-3</v>
      </c>
    </row>
    <row r="7243" spans="7:8" x14ac:dyDescent="0.3">
      <c r="G7243" s="75">
        <v>7240</v>
      </c>
      <c r="H7243">
        <f t="shared" ca="1" si="99"/>
        <v>-3.8234561274572134E-3</v>
      </c>
    </row>
    <row r="7244" spans="7:8" x14ac:dyDescent="0.3">
      <c r="G7244" s="75">
        <v>7241</v>
      </c>
      <c r="H7244">
        <f t="shared" ca="1" si="99"/>
        <v>1.558660323726024E-2</v>
      </c>
    </row>
    <row r="7245" spans="7:8" x14ac:dyDescent="0.3">
      <c r="G7245" s="75">
        <v>7242</v>
      </c>
      <c r="H7245">
        <f t="shared" ca="1" si="99"/>
        <v>1.2367418102032325E-2</v>
      </c>
    </row>
    <row r="7246" spans="7:8" x14ac:dyDescent="0.3">
      <c r="G7246" s="75">
        <v>7243</v>
      </c>
      <c r="H7246">
        <f t="shared" ca="1" si="99"/>
        <v>-2.1448005352964574E-3</v>
      </c>
    </row>
    <row r="7247" spans="7:8" x14ac:dyDescent="0.3">
      <c r="G7247" s="75">
        <v>7244</v>
      </c>
      <c r="H7247">
        <f t="shared" ca="1" si="99"/>
        <v>-1.0498024175289566E-3</v>
      </c>
    </row>
    <row r="7248" spans="7:8" x14ac:dyDescent="0.3">
      <c r="G7248" s="75">
        <v>7245</v>
      </c>
      <c r="H7248">
        <f t="shared" ca="1" si="99"/>
        <v>-2.227504814395148E-3</v>
      </c>
    </row>
    <row r="7249" spans="7:8" x14ac:dyDescent="0.3">
      <c r="G7249" s="75">
        <v>7246</v>
      </c>
      <c r="H7249">
        <f t="shared" ca="1" si="99"/>
        <v>2.3556299168445538E-2</v>
      </c>
    </row>
    <row r="7250" spans="7:8" x14ac:dyDescent="0.3">
      <c r="G7250" s="75">
        <v>7247</v>
      </c>
      <c r="H7250">
        <f t="shared" ca="1" si="99"/>
        <v>-8.7768420704102661E-3</v>
      </c>
    </row>
    <row r="7251" spans="7:8" x14ac:dyDescent="0.3">
      <c r="G7251" s="75">
        <v>7248</v>
      </c>
      <c r="H7251">
        <f t="shared" ca="1" si="99"/>
        <v>-5.593107881616896E-4</v>
      </c>
    </row>
    <row r="7252" spans="7:8" x14ac:dyDescent="0.3">
      <c r="G7252" s="75">
        <v>7249</v>
      </c>
      <c r="H7252">
        <f t="shared" ca="1" si="99"/>
        <v>-1.1455174942886686E-2</v>
      </c>
    </row>
    <row r="7253" spans="7:8" x14ac:dyDescent="0.3">
      <c r="G7253" s="75">
        <v>7250</v>
      </c>
      <c r="H7253">
        <f t="shared" ca="1" si="99"/>
        <v>8.8559743049146326E-3</v>
      </c>
    </row>
    <row r="7254" spans="7:8" x14ac:dyDescent="0.3">
      <c r="G7254" s="75">
        <v>7251</v>
      </c>
      <c r="H7254">
        <f t="shared" ca="1" si="99"/>
        <v>-3.9762308850384044E-3</v>
      </c>
    </row>
    <row r="7255" spans="7:8" x14ac:dyDescent="0.3">
      <c r="G7255" s="75">
        <v>7252</v>
      </c>
      <c r="H7255">
        <f t="shared" ca="1" si="99"/>
        <v>-4.1224874261311271E-3</v>
      </c>
    </row>
    <row r="7256" spans="7:8" x14ac:dyDescent="0.3">
      <c r="G7256" s="75">
        <v>7253</v>
      </c>
      <c r="H7256">
        <f t="shared" ca="1" si="99"/>
        <v>-1.3588333816965748E-3</v>
      </c>
    </row>
    <row r="7257" spans="7:8" x14ac:dyDescent="0.3">
      <c r="G7257" s="75">
        <v>7254</v>
      </c>
      <c r="H7257">
        <f t="shared" ca="1" si="99"/>
        <v>5.0796477543748409E-3</v>
      </c>
    </row>
    <row r="7258" spans="7:8" x14ac:dyDescent="0.3">
      <c r="G7258" s="75">
        <v>7255</v>
      </c>
      <c r="H7258">
        <f t="shared" ca="1" si="99"/>
        <v>-2.1973566015392295E-2</v>
      </c>
    </row>
    <row r="7259" spans="7:8" x14ac:dyDescent="0.3">
      <c r="G7259" s="75">
        <v>7256</v>
      </c>
      <c r="H7259">
        <f t="shared" ca="1" si="99"/>
        <v>7.156130949271272E-3</v>
      </c>
    </row>
    <row r="7260" spans="7:8" x14ac:dyDescent="0.3">
      <c r="G7260" s="75">
        <v>7257</v>
      </c>
      <c r="H7260">
        <f t="shared" ca="1" si="99"/>
        <v>1.5774687456795975E-2</v>
      </c>
    </row>
    <row r="7261" spans="7:8" x14ac:dyDescent="0.3">
      <c r="G7261" s="75">
        <v>7258</v>
      </c>
      <c r="H7261">
        <f t="shared" ca="1" si="99"/>
        <v>-4.5630210737411161E-3</v>
      </c>
    </row>
    <row r="7262" spans="7:8" x14ac:dyDescent="0.3">
      <c r="G7262" s="75">
        <v>7259</v>
      </c>
      <c r="H7262">
        <f t="shared" ca="1" si="99"/>
        <v>-6.8599930106266489E-3</v>
      </c>
    </row>
    <row r="7263" spans="7:8" x14ac:dyDescent="0.3">
      <c r="G7263" s="75">
        <v>7260</v>
      </c>
      <c r="H7263">
        <f t="shared" ca="1" si="99"/>
        <v>1.4045939473959616E-4</v>
      </c>
    </row>
    <row r="7264" spans="7:8" x14ac:dyDescent="0.3">
      <c r="G7264" s="75">
        <v>7261</v>
      </c>
      <c r="H7264">
        <f t="shared" ca="1" si="99"/>
        <v>1.0535333891737216E-3</v>
      </c>
    </row>
    <row r="7265" spans="7:8" x14ac:dyDescent="0.3">
      <c r="G7265" s="75">
        <v>7262</v>
      </c>
      <c r="H7265">
        <f t="shared" ca="1" si="99"/>
        <v>1.2069046660720681E-2</v>
      </c>
    </row>
    <row r="7266" spans="7:8" x14ac:dyDescent="0.3">
      <c r="G7266" s="75">
        <v>7263</v>
      </c>
      <c r="H7266">
        <f t="shared" ca="1" si="99"/>
        <v>1.8877282382013199E-4</v>
      </c>
    </row>
    <row r="7267" spans="7:8" x14ac:dyDescent="0.3">
      <c r="G7267" s="75">
        <v>7264</v>
      </c>
      <c r="H7267">
        <f t="shared" ca="1" si="99"/>
        <v>-3.7585771031381993E-3</v>
      </c>
    </row>
    <row r="7268" spans="7:8" x14ac:dyDescent="0.3">
      <c r="G7268" s="75">
        <v>7265</v>
      </c>
      <c r="H7268">
        <f t="shared" ca="1" si="99"/>
        <v>-3.7416294710342279E-3</v>
      </c>
    </row>
    <row r="7269" spans="7:8" x14ac:dyDescent="0.3">
      <c r="G7269" s="75">
        <v>7266</v>
      </c>
      <c r="H7269">
        <f t="shared" ca="1" si="99"/>
        <v>1.5790921428716502E-4</v>
      </c>
    </row>
    <row r="7270" spans="7:8" x14ac:dyDescent="0.3">
      <c r="G7270" s="75">
        <v>7267</v>
      </c>
      <c r="H7270">
        <f t="shared" ca="1" si="99"/>
        <v>-3.3097126509840993E-3</v>
      </c>
    </row>
    <row r="7271" spans="7:8" x14ac:dyDescent="0.3">
      <c r="G7271" s="75">
        <v>7268</v>
      </c>
      <c r="H7271">
        <f t="shared" ca="1" si="99"/>
        <v>1.1113824003573821E-2</v>
      </c>
    </row>
    <row r="7272" spans="7:8" x14ac:dyDescent="0.3">
      <c r="G7272" s="75">
        <v>7269</v>
      </c>
      <c r="H7272">
        <f t="shared" ca="1" si="99"/>
        <v>-2.6746566968472697E-2</v>
      </c>
    </row>
    <row r="7273" spans="7:8" x14ac:dyDescent="0.3">
      <c r="G7273" s="75">
        <v>7270</v>
      </c>
      <c r="H7273">
        <f t="shared" ca="1" si="99"/>
        <v>1.01851395064179E-2</v>
      </c>
    </row>
    <row r="7274" spans="7:8" x14ac:dyDescent="0.3">
      <c r="G7274" s="75">
        <v>7271</v>
      </c>
      <c r="H7274">
        <f t="shared" ca="1" si="99"/>
        <v>-1.3273414419153287E-3</v>
      </c>
    </row>
    <row r="7275" spans="7:8" x14ac:dyDescent="0.3">
      <c r="G7275" s="75">
        <v>7272</v>
      </c>
      <c r="H7275">
        <f t="shared" ca="1" si="99"/>
        <v>1.5689580729358079E-2</v>
      </c>
    </row>
    <row r="7276" spans="7:8" x14ac:dyDescent="0.3">
      <c r="G7276" s="75">
        <v>7273</v>
      </c>
      <c r="H7276">
        <f t="shared" ca="1" si="99"/>
        <v>-1.4557735210231576E-2</v>
      </c>
    </row>
    <row r="7277" spans="7:8" x14ac:dyDescent="0.3">
      <c r="G7277" s="75">
        <v>7274</v>
      </c>
      <c r="H7277">
        <f t="shared" ca="1" si="99"/>
        <v>2.9254937862173789E-2</v>
      </c>
    </row>
    <row r="7278" spans="7:8" x14ac:dyDescent="0.3">
      <c r="G7278" s="75">
        <v>7275</v>
      </c>
      <c r="H7278">
        <f t="shared" ca="1" si="99"/>
        <v>2.2777130640892349E-2</v>
      </c>
    </row>
    <row r="7279" spans="7:8" x14ac:dyDescent="0.3">
      <c r="G7279" s="75">
        <v>7276</v>
      </c>
      <c r="H7279">
        <f t="shared" ca="1" si="99"/>
        <v>1.8659337486748753E-3</v>
      </c>
    </row>
    <row r="7280" spans="7:8" x14ac:dyDescent="0.3">
      <c r="G7280" s="75">
        <v>7277</v>
      </c>
      <c r="H7280">
        <f t="shared" ca="1" si="99"/>
        <v>4.6948279257293828E-5</v>
      </c>
    </row>
    <row r="7281" spans="7:8" x14ac:dyDescent="0.3">
      <c r="G7281" s="75">
        <v>7278</v>
      </c>
      <c r="H7281">
        <f t="shared" ca="1" si="99"/>
        <v>7.960187341940728E-3</v>
      </c>
    </row>
    <row r="7282" spans="7:8" x14ac:dyDescent="0.3">
      <c r="G7282" s="75">
        <v>7279</v>
      </c>
      <c r="H7282">
        <f t="shared" ca="1" si="99"/>
        <v>-4.1970345206092784E-3</v>
      </c>
    </row>
    <row r="7283" spans="7:8" x14ac:dyDescent="0.3">
      <c r="G7283" s="75">
        <v>7280</v>
      </c>
      <c r="H7283">
        <f t="shared" ca="1" si="99"/>
        <v>3.5920554181719843E-3</v>
      </c>
    </row>
    <row r="7284" spans="7:8" x14ac:dyDescent="0.3">
      <c r="G7284" s="75">
        <v>7281</v>
      </c>
      <c r="H7284">
        <f t="shared" ca="1" si="99"/>
        <v>6.1237279317687245E-3</v>
      </c>
    </row>
    <row r="7285" spans="7:8" x14ac:dyDescent="0.3">
      <c r="G7285" s="75">
        <v>7282</v>
      </c>
      <c r="H7285">
        <f t="shared" ca="1" si="99"/>
        <v>-1.7696278012564331E-2</v>
      </c>
    </row>
    <row r="7286" spans="7:8" x14ac:dyDescent="0.3">
      <c r="G7286" s="75">
        <v>7283</v>
      </c>
      <c r="H7286">
        <f t="shared" ca="1" si="99"/>
        <v>1.9043719524147632E-2</v>
      </c>
    </row>
    <row r="7287" spans="7:8" x14ac:dyDescent="0.3">
      <c r="G7287" s="75">
        <v>7284</v>
      </c>
      <c r="H7287">
        <f t="shared" ca="1" si="99"/>
        <v>5.1994226322516976E-3</v>
      </c>
    </row>
    <row r="7288" spans="7:8" x14ac:dyDescent="0.3">
      <c r="G7288" s="75">
        <v>7285</v>
      </c>
      <c r="H7288">
        <f t="shared" ca="1" si="99"/>
        <v>-4.5442810234748122E-3</v>
      </c>
    </row>
    <row r="7289" spans="7:8" x14ac:dyDescent="0.3">
      <c r="G7289" s="75">
        <v>7286</v>
      </c>
      <c r="H7289">
        <f t="shared" ca="1" si="99"/>
        <v>-1.7413559059907349E-2</v>
      </c>
    </row>
    <row r="7290" spans="7:8" x14ac:dyDescent="0.3">
      <c r="G7290" s="75">
        <v>7287</v>
      </c>
      <c r="H7290">
        <f t="shared" ca="1" si="99"/>
        <v>2.326682374329532E-2</v>
      </c>
    </row>
    <row r="7291" spans="7:8" x14ac:dyDescent="0.3">
      <c r="G7291" s="75">
        <v>7288</v>
      </c>
      <c r="H7291">
        <f t="shared" ca="1" si="99"/>
        <v>8.9558112933055083E-4</v>
      </c>
    </row>
    <row r="7292" spans="7:8" x14ac:dyDescent="0.3">
      <c r="G7292" s="75">
        <v>7289</v>
      </c>
      <c r="H7292">
        <f t="shared" ca="1" si="99"/>
        <v>2.8938921178749319E-3</v>
      </c>
    </row>
    <row r="7293" spans="7:8" x14ac:dyDescent="0.3">
      <c r="G7293" s="75">
        <v>7290</v>
      </c>
      <c r="H7293">
        <f t="shared" ca="1" si="99"/>
        <v>3.7531437203024653E-3</v>
      </c>
    </row>
    <row r="7294" spans="7:8" x14ac:dyDescent="0.3">
      <c r="G7294" s="75">
        <v>7291</v>
      </c>
      <c r="H7294">
        <f t="shared" ca="1" si="99"/>
        <v>-1.5515233795583656E-2</v>
      </c>
    </row>
    <row r="7295" spans="7:8" x14ac:dyDescent="0.3">
      <c r="G7295" s="75">
        <v>7292</v>
      </c>
      <c r="H7295">
        <f t="shared" ca="1" si="99"/>
        <v>2.5261162099850585E-3</v>
      </c>
    </row>
    <row r="7296" spans="7:8" x14ac:dyDescent="0.3">
      <c r="G7296" s="75">
        <v>7293</v>
      </c>
      <c r="H7296">
        <f t="shared" ca="1" si="99"/>
        <v>-5.3968016194146996E-4</v>
      </c>
    </row>
    <row r="7297" spans="7:8" x14ac:dyDescent="0.3">
      <c r="G7297" s="75">
        <v>7294</v>
      </c>
      <c r="H7297">
        <f t="shared" ca="1" si="99"/>
        <v>-1.2860115243680715E-2</v>
      </c>
    </row>
    <row r="7298" spans="7:8" x14ac:dyDescent="0.3">
      <c r="G7298" s="75">
        <v>7295</v>
      </c>
      <c r="H7298">
        <f t="shared" ref="H7298:H7361" ca="1" si="100">_xlfn.NORM.INV(RAND(),$N$4,$N$5)</f>
        <v>1.9185768782540986E-2</v>
      </c>
    </row>
    <row r="7299" spans="7:8" x14ac:dyDescent="0.3">
      <c r="G7299" s="75">
        <v>7296</v>
      </c>
      <c r="H7299">
        <f t="shared" ca="1" si="100"/>
        <v>1.450344067978957E-2</v>
      </c>
    </row>
    <row r="7300" spans="7:8" x14ac:dyDescent="0.3">
      <c r="G7300" s="75">
        <v>7297</v>
      </c>
      <c r="H7300">
        <f t="shared" ca="1" si="100"/>
        <v>-5.9635951368457226E-3</v>
      </c>
    </row>
    <row r="7301" spans="7:8" x14ac:dyDescent="0.3">
      <c r="G7301" s="75">
        <v>7298</v>
      </c>
      <c r="H7301">
        <f t="shared" ca="1" si="100"/>
        <v>8.21805904740237E-3</v>
      </c>
    </row>
    <row r="7302" spans="7:8" x14ac:dyDescent="0.3">
      <c r="G7302" s="75">
        <v>7299</v>
      </c>
      <c r="H7302">
        <f t="shared" ca="1" si="100"/>
        <v>-1.2123172754420221E-2</v>
      </c>
    </row>
    <row r="7303" spans="7:8" x14ac:dyDescent="0.3">
      <c r="G7303" s="75">
        <v>7300</v>
      </c>
      <c r="H7303">
        <f t="shared" ca="1" si="100"/>
        <v>-3.3345192740052827E-2</v>
      </c>
    </row>
    <row r="7304" spans="7:8" x14ac:dyDescent="0.3">
      <c r="G7304" s="75">
        <v>7301</v>
      </c>
      <c r="H7304">
        <f t="shared" ca="1" si="100"/>
        <v>8.4053793485801397E-3</v>
      </c>
    </row>
    <row r="7305" spans="7:8" x14ac:dyDescent="0.3">
      <c r="G7305" s="75">
        <v>7302</v>
      </c>
      <c r="H7305">
        <f t="shared" ca="1" si="100"/>
        <v>1.5962749214163185E-2</v>
      </c>
    </row>
    <row r="7306" spans="7:8" x14ac:dyDescent="0.3">
      <c r="G7306" s="75">
        <v>7303</v>
      </c>
      <c r="H7306">
        <f t="shared" ca="1" si="100"/>
        <v>-2.0569467870651576E-2</v>
      </c>
    </row>
    <row r="7307" spans="7:8" x14ac:dyDescent="0.3">
      <c r="G7307" s="75">
        <v>7304</v>
      </c>
      <c r="H7307">
        <f t="shared" ca="1" si="100"/>
        <v>-1.7714654421350385E-2</v>
      </c>
    </row>
    <row r="7308" spans="7:8" x14ac:dyDescent="0.3">
      <c r="G7308" s="75">
        <v>7305</v>
      </c>
      <c r="H7308">
        <f t="shared" ca="1" si="100"/>
        <v>-2.1556848634973778E-2</v>
      </c>
    </row>
    <row r="7309" spans="7:8" x14ac:dyDescent="0.3">
      <c r="G7309" s="75">
        <v>7306</v>
      </c>
      <c r="H7309">
        <f t="shared" ca="1" si="100"/>
        <v>3.3064270000777471E-3</v>
      </c>
    </row>
    <row r="7310" spans="7:8" x14ac:dyDescent="0.3">
      <c r="G7310" s="75">
        <v>7307</v>
      </c>
      <c r="H7310">
        <f t="shared" ca="1" si="100"/>
        <v>1.208967003322453E-3</v>
      </c>
    </row>
    <row r="7311" spans="7:8" x14ac:dyDescent="0.3">
      <c r="G7311" s="75">
        <v>7308</v>
      </c>
      <c r="H7311">
        <f t="shared" ca="1" si="100"/>
        <v>-3.6697586534700996E-3</v>
      </c>
    </row>
    <row r="7312" spans="7:8" x14ac:dyDescent="0.3">
      <c r="G7312" s="75">
        <v>7309</v>
      </c>
      <c r="H7312">
        <f t="shared" ca="1" si="100"/>
        <v>-2.700410215388337E-4</v>
      </c>
    </row>
    <row r="7313" spans="7:8" x14ac:dyDescent="0.3">
      <c r="G7313" s="75">
        <v>7310</v>
      </c>
      <c r="H7313">
        <f t="shared" ca="1" si="100"/>
        <v>-9.9063390809334077E-3</v>
      </c>
    </row>
    <row r="7314" spans="7:8" x14ac:dyDescent="0.3">
      <c r="G7314" s="75">
        <v>7311</v>
      </c>
      <c r="H7314">
        <f t="shared" ca="1" si="100"/>
        <v>-5.0135665940623372E-3</v>
      </c>
    </row>
    <row r="7315" spans="7:8" x14ac:dyDescent="0.3">
      <c r="G7315" s="75">
        <v>7312</v>
      </c>
      <c r="H7315">
        <f t="shared" ca="1" si="100"/>
        <v>-9.2720419244176205E-3</v>
      </c>
    </row>
    <row r="7316" spans="7:8" x14ac:dyDescent="0.3">
      <c r="G7316" s="75">
        <v>7313</v>
      </c>
      <c r="H7316">
        <f t="shared" ca="1" si="100"/>
        <v>3.4803434873655571E-3</v>
      </c>
    </row>
    <row r="7317" spans="7:8" x14ac:dyDescent="0.3">
      <c r="G7317" s="75">
        <v>7314</v>
      </c>
      <c r="H7317">
        <f t="shared" ca="1" si="100"/>
        <v>1.629110223127709E-3</v>
      </c>
    </row>
    <row r="7318" spans="7:8" x14ac:dyDescent="0.3">
      <c r="G7318" s="75">
        <v>7315</v>
      </c>
      <c r="H7318">
        <f t="shared" ca="1" si="100"/>
        <v>1.2103579598408753E-2</v>
      </c>
    </row>
    <row r="7319" spans="7:8" x14ac:dyDescent="0.3">
      <c r="G7319" s="75">
        <v>7316</v>
      </c>
      <c r="H7319">
        <f t="shared" ca="1" si="100"/>
        <v>2.2508223509190853E-2</v>
      </c>
    </row>
    <row r="7320" spans="7:8" x14ac:dyDescent="0.3">
      <c r="G7320" s="75">
        <v>7317</v>
      </c>
      <c r="H7320">
        <f t="shared" ca="1" si="100"/>
        <v>-1.1140095155505106E-2</v>
      </c>
    </row>
    <row r="7321" spans="7:8" x14ac:dyDescent="0.3">
      <c r="G7321" s="75">
        <v>7318</v>
      </c>
      <c r="H7321">
        <f t="shared" ca="1" si="100"/>
        <v>-1.6674508489235643E-4</v>
      </c>
    </row>
    <row r="7322" spans="7:8" x14ac:dyDescent="0.3">
      <c r="G7322" s="75">
        <v>7319</v>
      </c>
      <c r="H7322">
        <f t="shared" ca="1" si="100"/>
        <v>1.2687729681302782E-2</v>
      </c>
    </row>
    <row r="7323" spans="7:8" x14ac:dyDescent="0.3">
      <c r="G7323" s="75">
        <v>7320</v>
      </c>
      <c r="H7323">
        <f t="shared" ca="1" si="100"/>
        <v>8.859872213553421E-3</v>
      </c>
    </row>
    <row r="7324" spans="7:8" x14ac:dyDescent="0.3">
      <c r="G7324" s="75">
        <v>7321</v>
      </c>
      <c r="H7324">
        <f t="shared" ca="1" si="100"/>
        <v>1.5204373062232946E-2</v>
      </c>
    </row>
    <row r="7325" spans="7:8" x14ac:dyDescent="0.3">
      <c r="G7325" s="75">
        <v>7322</v>
      </c>
      <c r="H7325">
        <f t="shared" ca="1" si="100"/>
        <v>1.5112853531574282E-2</v>
      </c>
    </row>
    <row r="7326" spans="7:8" x14ac:dyDescent="0.3">
      <c r="G7326" s="75">
        <v>7323</v>
      </c>
      <c r="H7326">
        <f t="shared" ca="1" si="100"/>
        <v>-3.1335360377010746E-3</v>
      </c>
    </row>
    <row r="7327" spans="7:8" x14ac:dyDescent="0.3">
      <c r="G7327" s="75">
        <v>7324</v>
      </c>
      <c r="H7327">
        <f t="shared" ca="1" si="100"/>
        <v>-3.7358796464143822E-3</v>
      </c>
    </row>
    <row r="7328" spans="7:8" x14ac:dyDescent="0.3">
      <c r="G7328" s="75">
        <v>7325</v>
      </c>
      <c r="H7328">
        <f t="shared" ca="1" si="100"/>
        <v>-1.4160534829678663E-2</v>
      </c>
    </row>
    <row r="7329" spans="7:8" x14ac:dyDescent="0.3">
      <c r="G7329" s="75">
        <v>7326</v>
      </c>
      <c r="H7329">
        <f t="shared" ca="1" si="100"/>
        <v>-1.0024677257514181E-2</v>
      </c>
    </row>
    <row r="7330" spans="7:8" x14ac:dyDescent="0.3">
      <c r="G7330" s="75">
        <v>7327</v>
      </c>
      <c r="H7330">
        <f t="shared" ca="1" si="100"/>
        <v>-4.9692808724115375E-3</v>
      </c>
    </row>
    <row r="7331" spans="7:8" x14ac:dyDescent="0.3">
      <c r="G7331" s="75">
        <v>7328</v>
      </c>
      <c r="H7331">
        <f t="shared" ca="1" si="100"/>
        <v>-1.4246068358953076E-2</v>
      </c>
    </row>
    <row r="7332" spans="7:8" x14ac:dyDescent="0.3">
      <c r="G7332" s="75">
        <v>7329</v>
      </c>
      <c r="H7332">
        <f t="shared" ca="1" si="100"/>
        <v>-7.4077342029761611E-3</v>
      </c>
    </row>
    <row r="7333" spans="7:8" x14ac:dyDescent="0.3">
      <c r="G7333" s="75">
        <v>7330</v>
      </c>
      <c r="H7333">
        <f t="shared" ca="1" si="100"/>
        <v>6.423814936308064E-3</v>
      </c>
    </row>
    <row r="7334" spans="7:8" x14ac:dyDescent="0.3">
      <c r="G7334" s="75">
        <v>7331</v>
      </c>
      <c r="H7334">
        <f t="shared" ca="1" si="100"/>
        <v>-9.7933881381362005E-3</v>
      </c>
    </row>
    <row r="7335" spans="7:8" x14ac:dyDescent="0.3">
      <c r="G7335" s="75">
        <v>7332</v>
      </c>
      <c r="H7335">
        <f t="shared" ca="1" si="100"/>
        <v>7.0541170838175271E-3</v>
      </c>
    </row>
    <row r="7336" spans="7:8" x14ac:dyDescent="0.3">
      <c r="G7336" s="75">
        <v>7333</v>
      </c>
      <c r="H7336">
        <f t="shared" ca="1" si="100"/>
        <v>-1.2113570839719442E-2</v>
      </c>
    </row>
    <row r="7337" spans="7:8" x14ac:dyDescent="0.3">
      <c r="G7337" s="75">
        <v>7334</v>
      </c>
      <c r="H7337">
        <f t="shared" ca="1" si="100"/>
        <v>2.2977506472272586E-3</v>
      </c>
    </row>
    <row r="7338" spans="7:8" x14ac:dyDescent="0.3">
      <c r="G7338" s="75">
        <v>7335</v>
      </c>
      <c r="H7338">
        <f t="shared" ca="1" si="100"/>
        <v>-2.9581528702936542E-2</v>
      </c>
    </row>
    <row r="7339" spans="7:8" x14ac:dyDescent="0.3">
      <c r="G7339" s="75">
        <v>7336</v>
      </c>
      <c r="H7339">
        <f t="shared" ca="1" si="100"/>
        <v>4.8958929470041945E-3</v>
      </c>
    </row>
    <row r="7340" spans="7:8" x14ac:dyDescent="0.3">
      <c r="G7340" s="75">
        <v>7337</v>
      </c>
      <c r="H7340">
        <f t="shared" ca="1" si="100"/>
        <v>-1.5987521695309894E-2</v>
      </c>
    </row>
    <row r="7341" spans="7:8" x14ac:dyDescent="0.3">
      <c r="G7341" s="75">
        <v>7338</v>
      </c>
      <c r="H7341">
        <f t="shared" ca="1" si="100"/>
        <v>1.2989108240756447E-2</v>
      </c>
    </row>
    <row r="7342" spans="7:8" x14ac:dyDescent="0.3">
      <c r="G7342" s="75">
        <v>7339</v>
      </c>
      <c r="H7342">
        <f t="shared" ca="1" si="100"/>
        <v>4.8905436173251682E-3</v>
      </c>
    </row>
    <row r="7343" spans="7:8" x14ac:dyDescent="0.3">
      <c r="G7343" s="75">
        <v>7340</v>
      </c>
      <c r="H7343">
        <f t="shared" ca="1" si="100"/>
        <v>-7.021137838636512E-3</v>
      </c>
    </row>
    <row r="7344" spans="7:8" x14ac:dyDescent="0.3">
      <c r="G7344" s="75">
        <v>7341</v>
      </c>
      <c r="H7344">
        <f t="shared" ca="1" si="100"/>
        <v>-9.0725698584015937E-3</v>
      </c>
    </row>
    <row r="7345" spans="7:8" x14ac:dyDescent="0.3">
      <c r="G7345" s="75">
        <v>7342</v>
      </c>
      <c r="H7345">
        <f t="shared" ca="1" si="100"/>
        <v>-8.4334075244934924E-3</v>
      </c>
    </row>
    <row r="7346" spans="7:8" x14ac:dyDescent="0.3">
      <c r="G7346" s="75">
        <v>7343</v>
      </c>
      <c r="H7346">
        <f t="shared" ca="1" si="100"/>
        <v>6.7008963684796899E-3</v>
      </c>
    </row>
    <row r="7347" spans="7:8" x14ac:dyDescent="0.3">
      <c r="G7347" s="75">
        <v>7344</v>
      </c>
      <c r="H7347">
        <f t="shared" ca="1" si="100"/>
        <v>2.9645267152328347E-2</v>
      </c>
    </row>
    <row r="7348" spans="7:8" x14ac:dyDescent="0.3">
      <c r="G7348" s="75">
        <v>7345</v>
      </c>
      <c r="H7348">
        <f t="shared" ca="1" si="100"/>
        <v>4.1662258259043813E-3</v>
      </c>
    </row>
    <row r="7349" spans="7:8" x14ac:dyDescent="0.3">
      <c r="G7349" s="75">
        <v>7346</v>
      </c>
      <c r="H7349">
        <f t="shared" ca="1" si="100"/>
        <v>1.1143542837569577E-2</v>
      </c>
    </row>
    <row r="7350" spans="7:8" x14ac:dyDescent="0.3">
      <c r="G7350" s="75">
        <v>7347</v>
      </c>
      <c r="H7350">
        <f t="shared" ca="1" si="100"/>
        <v>3.138674908971328E-3</v>
      </c>
    </row>
    <row r="7351" spans="7:8" x14ac:dyDescent="0.3">
      <c r="G7351" s="75">
        <v>7348</v>
      </c>
      <c r="H7351">
        <f t="shared" ca="1" si="100"/>
        <v>3.4102588301076348E-2</v>
      </c>
    </row>
    <row r="7352" spans="7:8" x14ac:dyDescent="0.3">
      <c r="G7352" s="75">
        <v>7349</v>
      </c>
      <c r="H7352">
        <f t="shared" ca="1" si="100"/>
        <v>2.4840154055797047E-2</v>
      </c>
    </row>
    <row r="7353" spans="7:8" x14ac:dyDescent="0.3">
      <c r="G7353" s="75">
        <v>7350</v>
      </c>
      <c r="H7353">
        <f t="shared" ca="1" si="100"/>
        <v>4.6096132102725522E-3</v>
      </c>
    </row>
    <row r="7354" spans="7:8" x14ac:dyDescent="0.3">
      <c r="G7354" s="75">
        <v>7351</v>
      </c>
      <c r="H7354">
        <f t="shared" ca="1" si="100"/>
        <v>6.6516666519856257E-3</v>
      </c>
    </row>
    <row r="7355" spans="7:8" x14ac:dyDescent="0.3">
      <c r="G7355" s="75">
        <v>7352</v>
      </c>
      <c r="H7355">
        <f t="shared" ca="1" si="100"/>
        <v>-1.9367100281029812E-2</v>
      </c>
    </row>
    <row r="7356" spans="7:8" x14ac:dyDescent="0.3">
      <c r="G7356" s="75">
        <v>7353</v>
      </c>
      <c r="H7356">
        <f t="shared" ca="1" si="100"/>
        <v>-9.2620567644153377E-3</v>
      </c>
    </row>
    <row r="7357" spans="7:8" x14ac:dyDescent="0.3">
      <c r="G7357" s="75">
        <v>7354</v>
      </c>
      <c r="H7357">
        <f t="shared" ca="1" si="100"/>
        <v>-9.065973071793092E-3</v>
      </c>
    </row>
    <row r="7358" spans="7:8" x14ac:dyDescent="0.3">
      <c r="G7358" s="75">
        <v>7355</v>
      </c>
      <c r="H7358">
        <f t="shared" ca="1" si="100"/>
        <v>-5.7820926778074291E-3</v>
      </c>
    </row>
    <row r="7359" spans="7:8" x14ac:dyDescent="0.3">
      <c r="G7359" s="75">
        <v>7356</v>
      </c>
      <c r="H7359">
        <f t="shared" ca="1" si="100"/>
        <v>-1.0333775131851424E-2</v>
      </c>
    </row>
    <row r="7360" spans="7:8" x14ac:dyDescent="0.3">
      <c r="G7360" s="75">
        <v>7357</v>
      </c>
      <c r="H7360">
        <f t="shared" ca="1" si="100"/>
        <v>-1.4736214995449573E-2</v>
      </c>
    </row>
    <row r="7361" spans="7:8" x14ac:dyDescent="0.3">
      <c r="G7361" s="75">
        <v>7358</v>
      </c>
      <c r="H7361">
        <f t="shared" ca="1" si="100"/>
        <v>1.3340253987103279E-2</v>
      </c>
    </row>
    <row r="7362" spans="7:8" x14ac:dyDescent="0.3">
      <c r="G7362" s="75">
        <v>7359</v>
      </c>
      <c r="H7362">
        <f t="shared" ref="H7362:H7425" ca="1" si="101">_xlfn.NORM.INV(RAND(),$N$4,$N$5)</f>
        <v>6.1063118373221974E-3</v>
      </c>
    </row>
    <row r="7363" spans="7:8" x14ac:dyDescent="0.3">
      <c r="G7363" s="75">
        <v>7360</v>
      </c>
      <c r="H7363">
        <f t="shared" ca="1" si="101"/>
        <v>1.7500724721311506E-2</v>
      </c>
    </row>
    <row r="7364" spans="7:8" x14ac:dyDescent="0.3">
      <c r="G7364" s="75">
        <v>7361</v>
      </c>
      <c r="H7364">
        <f t="shared" ca="1" si="101"/>
        <v>1.8233053779517044E-2</v>
      </c>
    </row>
    <row r="7365" spans="7:8" x14ac:dyDescent="0.3">
      <c r="G7365" s="75">
        <v>7362</v>
      </c>
      <c r="H7365">
        <f t="shared" ca="1" si="101"/>
        <v>-2.8137330314696715E-2</v>
      </c>
    </row>
    <row r="7366" spans="7:8" x14ac:dyDescent="0.3">
      <c r="G7366" s="75">
        <v>7363</v>
      </c>
      <c r="H7366">
        <f t="shared" ca="1" si="101"/>
        <v>-1.3145139438921543E-2</v>
      </c>
    </row>
    <row r="7367" spans="7:8" x14ac:dyDescent="0.3">
      <c r="G7367" s="75">
        <v>7364</v>
      </c>
      <c r="H7367">
        <f t="shared" ca="1" si="101"/>
        <v>-2.1479354133159261E-2</v>
      </c>
    </row>
    <row r="7368" spans="7:8" x14ac:dyDescent="0.3">
      <c r="G7368" s="75">
        <v>7365</v>
      </c>
      <c r="H7368">
        <f t="shared" ca="1" si="101"/>
        <v>-1.6678344881750049E-2</v>
      </c>
    </row>
    <row r="7369" spans="7:8" x14ac:dyDescent="0.3">
      <c r="G7369" s="75">
        <v>7366</v>
      </c>
      <c r="H7369">
        <f t="shared" ca="1" si="101"/>
        <v>-5.7328835005663872E-3</v>
      </c>
    </row>
    <row r="7370" spans="7:8" x14ac:dyDescent="0.3">
      <c r="G7370" s="75">
        <v>7367</v>
      </c>
      <c r="H7370">
        <f t="shared" ca="1" si="101"/>
        <v>-6.5835394010323298E-4</v>
      </c>
    </row>
    <row r="7371" spans="7:8" x14ac:dyDescent="0.3">
      <c r="G7371" s="75">
        <v>7368</v>
      </c>
      <c r="H7371">
        <f t="shared" ca="1" si="101"/>
        <v>1.8944705165006757E-3</v>
      </c>
    </row>
    <row r="7372" spans="7:8" x14ac:dyDescent="0.3">
      <c r="G7372" s="75">
        <v>7369</v>
      </c>
      <c r="H7372">
        <f t="shared" ca="1" si="101"/>
        <v>1.021880254699838E-2</v>
      </c>
    </row>
    <row r="7373" spans="7:8" x14ac:dyDescent="0.3">
      <c r="G7373" s="75">
        <v>7370</v>
      </c>
      <c r="H7373">
        <f t="shared" ca="1" si="101"/>
        <v>-1.7877009337564528E-2</v>
      </c>
    </row>
    <row r="7374" spans="7:8" x14ac:dyDescent="0.3">
      <c r="G7374" s="75">
        <v>7371</v>
      </c>
      <c r="H7374">
        <f t="shared" ca="1" si="101"/>
        <v>-1.5671447791864364E-2</v>
      </c>
    </row>
    <row r="7375" spans="7:8" x14ac:dyDescent="0.3">
      <c r="G7375" s="75">
        <v>7372</v>
      </c>
      <c r="H7375">
        <f t="shared" ca="1" si="101"/>
        <v>1.1041740160598416E-2</v>
      </c>
    </row>
    <row r="7376" spans="7:8" x14ac:dyDescent="0.3">
      <c r="G7376" s="75">
        <v>7373</v>
      </c>
      <c r="H7376">
        <f t="shared" ca="1" si="101"/>
        <v>1.0997557876326378E-2</v>
      </c>
    </row>
    <row r="7377" spans="7:8" x14ac:dyDescent="0.3">
      <c r="G7377" s="75">
        <v>7374</v>
      </c>
      <c r="H7377">
        <f t="shared" ca="1" si="101"/>
        <v>6.7354167425999773E-3</v>
      </c>
    </row>
    <row r="7378" spans="7:8" x14ac:dyDescent="0.3">
      <c r="G7378" s="75">
        <v>7375</v>
      </c>
      <c r="H7378">
        <f t="shared" ca="1" si="101"/>
        <v>8.9611533978986597E-3</v>
      </c>
    </row>
    <row r="7379" spans="7:8" x14ac:dyDescent="0.3">
      <c r="G7379" s="75">
        <v>7376</v>
      </c>
      <c r="H7379">
        <f t="shared" ca="1" si="101"/>
        <v>-1.1395491160110559E-2</v>
      </c>
    </row>
    <row r="7380" spans="7:8" x14ac:dyDescent="0.3">
      <c r="G7380" s="75">
        <v>7377</v>
      </c>
      <c r="H7380">
        <f t="shared" ca="1" si="101"/>
        <v>1.7256809026996597E-2</v>
      </c>
    </row>
    <row r="7381" spans="7:8" x14ac:dyDescent="0.3">
      <c r="G7381" s="75">
        <v>7378</v>
      </c>
      <c r="H7381">
        <f t="shared" ca="1" si="101"/>
        <v>1.5366307153549317E-2</v>
      </c>
    </row>
    <row r="7382" spans="7:8" x14ac:dyDescent="0.3">
      <c r="G7382" s="75">
        <v>7379</v>
      </c>
      <c r="H7382">
        <f t="shared" ca="1" si="101"/>
        <v>2.5275059090160475E-3</v>
      </c>
    </row>
    <row r="7383" spans="7:8" x14ac:dyDescent="0.3">
      <c r="G7383" s="75">
        <v>7380</v>
      </c>
      <c r="H7383">
        <f t="shared" ca="1" si="101"/>
        <v>1.2982486563492537E-2</v>
      </c>
    </row>
    <row r="7384" spans="7:8" x14ac:dyDescent="0.3">
      <c r="G7384" s="75">
        <v>7381</v>
      </c>
      <c r="H7384">
        <f t="shared" ca="1" si="101"/>
        <v>1.4667912885852831E-3</v>
      </c>
    </row>
    <row r="7385" spans="7:8" x14ac:dyDescent="0.3">
      <c r="G7385" s="75">
        <v>7382</v>
      </c>
      <c r="H7385">
        <f t="shared" ca="1" si="101"/>
        <v>-5.7292832682708759E-3</v>
      </c>
    </row>
    <row r="7386" spans="7:8" x14ac:dyDescent="0.3">
      <c r="G7386" s="75">
        <v>7383</v>
      </c>
      <c r="H7386">
        <f t="shared" ca="1" si="101"/>
        <v>-1.2659862603774366E-2</v>
      </c>
    </row>
    <row r="7387" spans="7:8" x14ac:dyDescent="0.3">
      <c r="G7387" s="75">
        <v>7384</v>
      </c>
      <c r="H7387">
        <f t="shared" ca="1" si="101"/>
        <v>4.0882996507645751E-3</v>
      </c>
    </row>
    <row r="7388" spans="7:8" x14ac:dyDescent="0.3">
      <c r="G7388" s="75">
        <v>7385</v>
      </c>
      <c r="H7388">
        <f t="shared" ca="1" si="101"/>
        <v>1.848325865581809E-2</v>
      </c>
    </row>
    <row r="7389" spans="7:8" x14ac:dyDescent="0.3">
      <c r="G7389" s="75">
        <v>7386</v>
      </c>
      <c r="H7389">
        <f t="shared" ca="1" si="101"/>
        <v>1.7184672299087916E-2</v>
      </c>
    </row>
    <row r="7390" spans="7:8" x14ac:dyDescent="0.3">
      <c r="G7390" s="75">
        <v>7387</v>
      </c>
      <c r="H7390">
        <f t="shared" ca="1" si="101"/>
        <v>-1.9982423372584681E-2</v>
      </c>
    </row>
    <row r="7391" spans="7:8" x14ac:dyDescent="0.3">
      <c r="G7391" s="75">
        <v>7388</v>
      </c>
      <c r="H7391">
        <f t="shared" ca="1" si="101"/>
        <v>-1.1824557468557706E-2</v>
      </c>
    </row>
    <row r="7392" spans="7:8" x14ac:dyDescent="0.3">
      <c r="G7392" s="75">
        <v>7389</v>
      </c>
      <c r="H7392">
        <f t="shared" ca="1" si="101"/>
        <v>-1.1218657996179764E-2</v>
      </c>
    </row>
    <row r="7393" spans="7:8" x14ac:dyDescent="0.3">
      <c r="G7393" s="75">
        <v>7390</v>
      </c>
      <c r="H7393">
        <f t="shared" ca="1" si="101"/>
        <v>4.9201183662897652E-3</v>
      </c>
    </row>
    <row r="7394" spans="7:8" x14ac:dyDescent="0.3">
      <c r="G7394" s="75">
        <v>7391</v>
      </c>
      <c r="H7394">
        <f t="shared" ca="1" si="101"/>
        <v>1.1547665789141456E-2</v>
      </c>
    </row>
    <row r="7395" spans="7:8" x14ac:dyDescent="0.3">
      <c r="G7395" s="75">
        <v>7392</v>
      </c>
      <c r="H7395">
        <f t="shared" ca="1" si="101"/>
        <v>4.8355274178183867E-3</v>
      </c>
    </row>
    <row r="7396" spans="7:8" x14ac:dyDescent="0.3">
      <c r="G7396" s="75">
        <v>7393</v>
      </c>
      <c r="H7396">
        <f t="shared" ca="1" si="101"/>
        <v>2.7240908101143931E-2</v>
      </c>
    </row>
    <row r="7397" spans="7:8" x14ac:dyDescent="0.3">
      <c r="G7397" s="75">
        <v>7394</v>
      </c>
      <c r="H7397">
        <f t="shared" ca="1" si="101"/>
        <v>1.1450639129745003E-2</v>
      </c>
    </row>
    <row r="7398" spans="7:8" x14ac:dyDescent="0.3">
      <c r="G7398" s="75">
        <v>7395</v>
      </c>
      <c r="H7398">
        <f t="shared" ca="1" si="101"/>
        <v>2.8395956639093107E-3</v>
      </c>
    </row>
    <row r="7399" spans="7:8" x14ac:dyDescent="0.3">
      <c r="G7399" s="75">
        <v>7396</v>
      </c>
      <c r="H7399">
        <f t="shared" ca="1" si="101"/>
        <v>-3.2395521001802319E-3</v>
      </c>
    </row>
    <row r="7400" spans="7:8" x14ac:dyDescent="0.3">
      <c r="G7400" s="75">
        <v>7397</v>
      </c>
      <c r="H7400">
        <f t="shared" ca="1" si="101"/>
        <v>2.2106125961808058E-2</v>
      </c>
    </row>
    <row r="7401" spans="7:8" x14ac:dyDescent="0.3">
      <c r="G7401" s="75">
        <v>7398</v>
      </c>
      <c r="H7401">
        <f t="shared" ca="1" si="101"/>
        <v>1.1149477396453262E-2</v>
      </c>
    </row>
    <row r="7402" spans="7:8" x14ac:dyDescent="0.3">
      <c r="G7402" s="75">
        <v>7399</v>
      </c>
      <c r="H7402">
        <f t="shared" ca="1" si="101"/>
        <v>7.0487029038643068E-3</v>
      </c>
    </row>
    <row r="7403" spans="7:8" x14ac:dyDescent="0.3">
      <c r="G7403" s="75">
        <v>7400</v>
      </c>
      <c r="H7403">
        <f t="shared" ca="1" si="101"/>
        <v>-1.3974851626235588E-2</v>
      </c>
    </row>
    <row r="7404" spans="7:8" x14ac:dyDescent="0.3">
      <c r="G7404" s="75">
        <v>7401</v>
      </c>
      <c r="H7404">
        <f t="shared" ca="1" si="101"/>
        <v>-1.1141430455174333E-2</v>
      </c>
    </row>
    <row r="7405" spans="7:8" x14ac:dyDescent="0.3">
      <c r="G7405" s="75">
        <v>7402</v>
      </c>
      <c r="H7405">
        <f t="shared" ca="1" si="101"/>
        <v>6.8744363019311323E-3</v>
      </c>
    </row>
    <row r="7406" spans="7:8" x14ac:dyDescent="0.3">
      <c r="G7406" s="75">
        <v>7403</v>
      </c>
      <c r="H7406">
        <f t="shared" ca="1" si="101"/>
        <v>-8.7549773866900226E-3</v>
      </c>
    </row>
    <row r="7407" spans="7:8" x14ac:dyDescent="0.3">
      <c r="G7407" s="75">
        <v>7404</v>
      </c>
      <c r="H7407">
        <f t="shared" ca="1" si="101"/>
        <v>2.0218790155443467E-2</v>
      </c>
    </row>
    <row r="7408" spans="7:8" x14ac:dyDescent="0.3">
      <c r="G7408" s="75">
        <v>7405</v>
      </c>
      <c r="H7408">
        <f t="shared" ca="1" si="101"/>
        <v>-8.8524870778335237E-4</v>
      </c>
    </row>
    <row r="7409" spans="7:8" x14ac:dyDescent="0.3">
      <c r="G7409" s="75">
        <v>7406</v>
      </c>
      <c r="H7409">
        <f t="shared" ca="1" si="101"/>
        <v>2.4857006094779217E-3</v>
      </c>
    </row>
    <row r="7410" spans="7:8" x14ac:dyDescent="0.3">
      <c r="G7410" s="75">
        <v>7407</v>
      </c>
      <c r="H7410">
        <f t="shared" ca="1" si="101"/>
        <v>8.7811106304288157E-4</v>
      </c>
    </row>
    <row r="7411" spans="7:8" x14ac:dyDescent="0.3">
      <c r="G7411" s="75">
        <v>7408</v>
      </c>
      <c r="H7411">
        <f t="shared" ca="1" si="101"/>
        <v>-2.1921705362632219E-2</v>
      </c>
    </row>
    <row r="7412" spans="7:8" x14ac:dyDescent="0.3">
      <c r="G7412" s="75">
        <v>7409</v>
      </c>
      <c r="H7412">
        <f t="shared" ca="1" si="101"/>
        <v>-4.4098103420669651E-3</v>
      </c>
    </row>
    <row r="7413" spans="7:8" x14ac:dyDescent="0.3">
      <c r="G7413" s="75">
        <v>7410</v>
      </c>
      <c r="H7413">
        <f t="shared" ca="1" si="101"/>
        <v>-1.6001154975059744E-3</v>
      </c>
    </row>
    <row r="7414" spans="7:8" x14ac:dyDescent="0.3">
      <c r="G7414" s="75">
        <v>7411</v>
      </c>
      <c r="H7414">
        <f t="shared" ca="1" si="101"/>
        <v>-6.7280947243977254E-3</v>
      </c>
    </row>
    <row r="7415" spans="7:8" x14ac:dyDescent="0.3">
      <c r="G7415" s="75">
        <v>7412</v>
      </c>
      <c r="H7415">
        <f t="shared" ca="1" si="101"/>
        <v>-1.3738325311586258E-2</v>
      </c>
    </row>
    <row r="7416" spans="7:8" x14ac:dyDescent="0.3">
      <c r="G7416" s="75">
        <v>7413</v>
      </c>
      <c r="H7416">
        <f t="shared" ca="1" si="101"/>
        <v>1.0711621871704239E-2</v>
      </c>
    </row>
    <row r="7417" spans="7:8" x14ac:dyDescent="0.3">
      <c r="G7417" s="75">
        <v>7414</v>
      </c>
      <c r="H7417">
        <f t="shared" ca="1" si="101"/>
        <v>-2.4245589272217784E-2</v>
      </c>
    </row>
    <row r="7418" spans="7:8" x14ac:dyDescent="0.3">
      <c r="G7418" s="75">
        <v>7415</v>
      </c>
      <c r="H7418">
        <f t="shared" ca="1" si="101"/>
        <v>-3.0010542466664758E-3</v>
      </c>
    </row>
    <row r="7419" spans="7:8" x14ac:dyDescent="0.3">
      <c r="G7419" s="75">
        <v>7416</v>
      </c>
      <c r="H7419">
        <f t="shared" ca="1" si="101"/>
        <v>2.5967879002291853E-2</v>
      </c>
    </row>
    <row r="7420" spans="7:8" x14ac:dyDescent="0.3">
      <c r="G7420" s="75">
        <v>7417</v>
      </c>
      <c r="H7420">
        <f t="shared" ca="1" si="101"/>
        <v>-1.9946842650729438E-2</v>
      </c>
    </row>
    <row r="7421" spans="7:8" x14ac:dyDescent="0.3">
      <c r="G7421" s="75">
        <v>7418</v>
      </c>
      <c r="H7421">
        <f t="shared" ca="1" si="101"/>
        <v>-2.3977322250164267E-2</v>
      </c>
    </row>
    <row r="7422" spans="7:8" x14ac:dyDescent="0.3">
      <c r="G7422" s="75">
        <v>7419</v>
      </c>
      <c r="H7422">
        <f t="shared" ca="1" si="101"/>
        <v>-1.3311353634676625E-2</v>
      </c>
    </row>
    <row r="7423" spans="7:8" x14ac:dyDescent="0.3">
      <c r="G7423" s="75">
        <v>7420</v>
      </c>
      <c r="H7423">
        <f t="shared" ca="1" si="101"/>
        <v>-3.2471608587147007E-3</v>
      </c>
    </row>
    <row r="7424" spans="7:8" x14ac:dyDescent="0.3">
      <c r="G7424" s="75">
        <v>7421</v>
      </c>
      <c r="H7424">
        <f t="shared" ca="1" si="101"/>
        <v>2.3766533447702055E-2</v>
      </c>
    </row>
    <row r="7425" spans="7:8" x14ac:dyDescent="0.3">
      <c r="G7425" s="75">
        <v>7422</v>
      </c>
      <c r="H7425">
        <f t="shared" ca="1" si="101"/>
        <v>-2.9165716995668738E-3</v>
      </c>
    </row>
    <row r="7426" spans="7:8" x14ac:dyDescent="0.3">
      <c r="G7426" s="75">
        <v>7423</v>
      </c>
      <c r="H7426">
        <f t="shared" ref="H7426:H7489" ca="1" si="102">_xlfn.NORM.INV(RAND(),$N$4,$N$5)</f>
        <v>2.8852868621064027E-2</v>
      </c>
    </row>
    <row r="7427" spans="7:8" x14ac:dyDescent="0.3">
      <c r="G7427" s="75">
        <v>7424</v>
      </c>
      <c r="H7427">
        <f t="shared" ca="1" si="102"/>
        <v>7.9287710182689482E-3</v>
      </c>
    </row>
    <row r="7428" spans="7:8" x14ac:dyDescent="0.3">
      <c r="G7428" s="75">
        <v>7425</v>
      </c>
      <c r="H7428">
        <f t="shared" ca="1" si="102"/>
        <v>-4.0457310091697639E-2</v>
      </c>
    </row>
    <row r="7429" spans="7:8" x14ac:dyDescent="0.3">
      <c r="G7429" s="75">
        <v>7426</v>
      </c>
      <c r="H7429">
        <f t="shared" ca="1" si="102"/>
        <v>2.2873992434952042E-2</v>
      </c>
    </row>
    <row r="7430" spans="7:8" x14ac:dyDescent="0.3">
      <c r="G7430" s="75">
        <v>7427</v>
      </c>
      <c r="H7430">
        <f t="shared" ca="1" si="102"/>
        <v>1.2798074144406976E-2</v>
      </c>
    </row>
    <row r="7431" spans="7:8" x14ac:dyDescent="0.3">
      <c r="G7431" s="75">
        <v>7428</v>
      </c>
      <c r="H7431">
        <f t="shared" ca="1" si="102"/>
        <v>-1.7168356736464219E-2</v>
      </c>
    </row>
    <row r="7432" spans="7:8" x14ac:dyDescent="0.3">
      <c r="G7432" s="75">
        <v>7429</v>
      </c>
      <c r="H7432">
        <f t="shared" ca="1" si="102"/>
        <v>3.1432188461205587E-3</v>
      </c>
    </row>
    <row r="7433" spans="7:8" x14ac:dyDescent="0.3">
      <c r="G7433" s="75">
        <v>7430</v>
      </c>
      <c r="H7433">
        <f t="shared" ca="1" si="102"/>
        <v>-3.2405144126074112E-3</v>
      </c>
    </row>
    <row r="7434" spans="7:8" x14ac:dyDescent="0.3">
      <c r="G7434" s="75">
        <v>7431</v>
      </c>
      <c r="H7434">
        <f t="shared" ca="1" si="102"/>
        <v>-1.5714000904355182E-3</v>
      </c>
    </row>
    <row r="7435" spans="7:8" x14ac:dyDescent="0.3">
      <c r="G7435" s="75">
        <v>7432</v>
      </c>
      <c r="H7435">
        <f t="shared" ca="1" si="102"/>
        <v>-2.030029324131391E-2</v>
      </c>
    </row>
    <row r="7436" spans="7:8" x14ac:dyDescent="0.3">
      <c r="G7436" s="75">
        <v>7433</v>
      </c>
      <c r="H7436">
        <f t="shared" ca="1" si="102"/>
        <v>1.9214927519474491E-2</v>
      </c>
    </row>
    <row r="7437" spans="7:8" x14ac:dyDescent="0.3">
      <c r="G7437" s="75">
        <v>7434</v>
      </c>
      <c r="H7437">
        <f t="shared" ca="1" si="102"/>
        <v>1.9244052097934474E-2</v>
      </c>
    </row>
    <row r="7438" spans="7:8" x14ac:dyDescent="0.3">
      <c r="G7438" s="75">
        <v>7435</v>
      </c>
      <c r="H7438">
        <f t="shared" ca="1" si="102"/>
        <v>-1.8220960862860895E-2</v>
      </c>
    </row>
    <row r="7439" spans="7:8" x14ac:dyDescent="0.3">
      <c r="G7439" s="75">
        <v>7436</v>
      </c>
      <c r="H7439">
        <f t="shared" ca="1" si="102"/>
        <v>-1.0240799270004384E-2</v>
      </c>
    </row>
    <row r="7440" spans="7:8" x14ac:dyDescent="0.3">
      <c r="G7440" s="75">
        <v>7437</v>
      </c>
      <c r="H7440">
        <f t="shared" ca="1" si="102"/>
        <v>-6.5165613570383578E-3</v>
      </c>
    </row>
    <row r="7441" spans="7:8" x14ac:dyDescent="0.3">
      <c r="G7441" s="75">
        <v>7438</v>
      </c>
      <c r="H7441">
        <f t="shared" ca="1" si="102"/>
        <v>2.0593383518769195E-3</v>
      </c>
    </row>
    <row r="7442" spans="7:8" x14ac:dyDescent="0.3">
      <c r="G7442" s="75">
        <v>7439</v>
      </c>
      <c r="H7442">
        <f t="shared" ca="1" si="102"/>
        <v>-2.6558231892673924E-3</v>
      </c>
    </row>
    <row r="7443" spans="7:8" x14ac:dyDescent="0.3">
      <c r="G7443" s="75">
        <v>7440</v>
      </c>
      <c r="H7443">
        <f t="shared" ca="1" si="102"/>
        <v>1.6680631250738501E-2</v>
      </c>
    </row>
    <row r="7444" spans="7:8" x14ac:dyDescent="0.3">
      <c r="G7444" s="75">
        <v>7441</v>
      </c>
      <c r="H7444">
        <f t="shared" ca="1" si="102"/>
        <v>5.0503979261551889E-3</v>
      </c>
    </row>
    <row r="7445" spans="7:8" x14ac:dyDescent="0.3">
      <c r="G7445" s="75">
        <v>7442</v>
      </c>
      <c r="H7445">
        <f t="shared" ca="1" si="102"/>
        <v>-1.6762052268980799E-2</v>
      </c>
    </row>
    <row r="7446" spans="7:8" x14ac:dyDescent="0.3">
      <c r="G7446" s="75">
        <v>7443</v>
      </c>
      <c r="H7446">
        <f t="shared" ca="1" si="102"/>
        <v>-6.9947384144739859E-3</v>
      </c>
    </row>
    <row r="7447" spans="7:8" x14ac:dyDescent="0.3">
      <c r="G7447" s="75">
        <v>7444</v>
      </c>
      <c r="H7447">
        <f t="shared" ca="1" si="102"/>
        <v>2.1892691101470643E-2</v>
      </c>
    </row>
    <row r="7448" spans="7:8" x14ac:dyDescent="0.3">
      <c r="G7448" s="75">
        <v>7445</v>
      </c>
      <c r="H7448">
        <f t="shared" ca="1" si="102"/>
        <v>-2.9897829172139782E-3</v>
      </c>
    </row>
    <row r="7449" spans="7:8" x14ac:dyDescent="0.3">
      <c r="G7449" s="75">
        <v>7446</v>
      </c>
      <c r="H7449">
        <f t="shared" ca="1" si="102"/>
        <v>-4.093966695130429E-3</v>
      </c>
    </row>
    <row r="7450" spans="7:8" x14ac:dyDescent="0.3">
      <c r="G7450" s="75">
        <v>7447</v>
      </c>
      <c r="H7450">
        <f t="shared" ca="1" si="102"/>
        <v>-1.4687383522162937E-3</v>
      </c>
    </row>
    <row r="7451" spans="7:8" x14ac:dyDescent="0.3">
      <c r="G7451" s="75">
        <v>7448</v>
      </c>
      <c r="H7451">
        <f t="shared" ca="1" si="102"/>
        <v>4.6662336325164642E-3</v>
      </c>
    </row>
    <row r="7452" spans="7:8" x14ac:dyDescent="0.3">
      <c r="G7452" s="75">
        <v>7449</v>
      </c>
      <c r="H7452">
        <f t="shared" ca="1" si="102"/>
        <v>-8.6856958139133709E-3</v>
      </c>
    </row>
    <row r="7453" spans="7:8" x14ac:dyDescent="0.3">
      <c r="G7453" s="75">
        <v>7450</v>
      </c>
      <c r="H7453">
        <f t="shared" ca="1" si="102"/>
        <v>-6.6690371513668557E-3</v>
      </c>
    </row>
    <row r="7454" spans="7:8" x14ac:dyDescent="0.3">
      <c r="G7454" s="75">
        <v>7451</v>
      </c>
      <c r="H7454">
        <f t="shared" ca="1" si="102"/>
        <v>3.2019553787718938E-2</v>
      </c>
    </row>
    <row r="7455" spans="7:8" x14ac:dyDescent="0.3">
      <c r="G7455" s="75">
        <v>7452</v>
      </c>
      <c r="H7455">
        <f t="shared" ca="1" si="102"/>
        <v>4.2543396264419836E-3</v>
      </c>
    </row>
    <row r="7456" spans="7:8" x14ac:dyDescent="0.3">
      <c r="G7456" s="75">
        <v>7453</v>
      </c>
      <c r="H7456">
        <f t="shared" ca="1" si="102"/>
        <v>2.0818974511149373E-2</v>
      </c>
    </row>
    <row r="7457" spans="7:8" x14ac:dyDescent="0.3">
      <c r="G7457" s="75">
        <v>7454</v>
      </c>
      <c r="H7457">
        <f t="shared" ca="1" si="102"/>
        <v>2.9848279679487383E-3</v>
      </c>
    </row>
    <row r="7458" spans="7:8" x14ac:dyDescent="0.3">
      <c r="G7458" s="75">
        <v>7455</v>
      </c>
      <c r="H7458">
        <f t="shared" ca="1" si="102"/>
        <v>-1.2441602686070016E-2</v>
      </c>
    </row>
    <row r="7459" spans="7:8" x14ac:dyDescent="0.3">
      <c r="G7459" s="75">
        <v>7456</v>
      </c>
      <c r="H7459">
        <f t="shared" ca="1" si="102"/>
        <v>-2.5012273847797618E-2</v>
      </c>
    </row>
    <row r="7460" spans="7:8" x14ac:dyDescent="0.3">
      <c r="G7460" s="75">
        <v>7457</v>
      </c>
      <c r="H7460">
        <f t="shared" ca="1" si="102"/>
        <v>-8.7017093371141978E-3</v>
      </c>
    </row>
    <row r="7461" spans="7:8" x14ac:dyDescent="0.3">
      <c r="G7461" s="75">
        <v>7458</v>
      </c>
      <c r="H7461">
        <f t="shared" ca="1" si="102"/>
        <v>-1.252127622230987E-2</v>
      </c>
    </row>
    <row r="7462" spans="7:8" x14ac:dyDescent="0.3">
      <c r="G7462" s="75">
        <v>7459</v>
      </c>
      <c r="H7462">
        <f t="shared" ca="1" si="102"/>
        <v>6.5968787513698453E-4</v>
      </c>
    </row>
    <row r="7463" spans="7:8" x14ac:dyDescent="0.3">
      <c r="G7463" s="75">
        <v>7460</v>
      </c>
      <c r="H7463">
        <f t="shared" ca="1" si="102"/>
        <v>-1.9708005456721585E-2</v>
      </c>
    </row>
    <row r="7464" spans="7:8" x14ac:dyDescent="0.3">
      <c r="G7464" s="75">
        <v>7461</v>
      </c>
      <c r="H7464">
        <f t="shared" ca="1" si="102"/>
        <v>5.0314957914137804E-3</v>
      </c>
    </row>
    <row r="7465" spans="7:8" x14ac:dyDescent="0.3">
      <c r="G7465" s="75">
        <v>7462</v>
      </c>
      <c r="H7465">
        <f t="shared" ca="1" si="102"/>
        <v>-7.404896381958773E-3</v>
      </c>
    </row>
    <row r="7466" spans="7:8" x14ac:dyDescent="0.3">
      <c r="G7466" s="75">
        <v>7463</v>
      </c>
      <c r="H7466">
        <f t="shared" ca="1" si="102"/>
        <v>2.3718998277564005E-2</v>
      </c>
    </row>
    <row r="7467" spans="7:8" x14ac:dyDescent="0.3">
      <c r="G7467" s="75">
        <v>7464</v>
      </c>
      <c r="H7467">
        <f t="shared" ca="1" si="102"/>
        <v>6.2694535211313485E-3</v>
      </c>
    </row>
    <row r="7468" spans="7:8" x14ac:dyDescent="0.3">
      <c r="G7468" s="75">
        <v>7465</v>
      </c>
      <c r="H7468">
        <f t="shared" ca="1" si="102"/>
        <v>2.7897558805293338E-2</v>
      </c>
    </row>
    <row r="7469" spans="7:8" x14ac:dyDescent="0.3">
      <c r="G7469" s="75">
        <v>7466</v>
      </c>
      <c r="H7469">
        <f t="shared" ca="1" si="102"/>
        <v>-1.9586075224805421E-3</v>
      </c>
    </row>
    <row r="7470" spans="7:8" x14ac:dyDescent="0.3">
      <c r="G7470" s="75">
        <v>7467</v>
      </c>
      <c r="H7470">
        <f t="shared" ca="1" si="102"/>
        <v>-6.7282871891993492E-3</v>
      </c>
    </row>
    <row r="7471" spans="7:8" x14ac:dyDescent="0.3">
      <c r="G7471" s="75">
        <v>7468</v>
      </c>
      <c r="H7471">
        <f t="shared" ca="1" si="102"/>
        <v>-5.1932198000919207E-4</v>
      </c>
    </row>
    <row r="7472" spans="7:8" x14ac:dyDescent="0.3">
      <c r="G7472" s="75">
        <v>7469</v>
      </c>
      <c r="H7472">
        <f t="shared" ca="1" si="102"/>
        <v>-3.7161718080690022E-3</v>
      </c>
    </row>
    <row r="7473" spans="7:8" x14ac:dyDescent="0.3">
      <c r="G7473" s="75">
        <v>7470</v>
      </c>
      <c r="H7473">
        <f t="shared" ca="1" si="102"/>
        <v>1.1757738335274511E-2</v>
      </c>
    </row>
    <row r="7474" spans="7:8" x14ac:dyDescent="0.3">
      <c r="G7474" s="75">
        <v>7471</v>
      </c>
      <c r="H7474">
        <f t="shared" ca="1" si="102"/>
        <v>-2.058681052845894E-2</v>
      </c>
    </row>
    <row r="7475" spans="7:8" x14ac:dyDescent="0.3">
      <c r="G7475" s="75">
        <v>7472</v>
      </c>
      <c r="H7475">
        <f t="shared" ca="1" si="102"/>
        <v>1.0351649227382465E-2</v>
      </c>
    </row>
    <row r="7476" spans="7:8" x14ac:dyDescent="0.3">
      <c r="G7476" s="75">
        <v>7473</v>
      </c>
      <c r="H7476">
        <f t="shared" ca="1" si="102"/>
        <v>-2.0542201847190144E-2</v>
      </c>
    </row>
    <row r="7477" spans="7:8" x14ac:dyDescent="0.3">
      <c r="G7477" s="75">
        <v>7474</v>
      </c>
      <c r="H7477">
        <f t="shared" ca="1" si="102"/>
        <v>-6.7298064784022636E-3</v>
      </c>
    </row>
    <row r="7478" spans="7:8" x14ac:dyDescent="0.3">
      <c r="G7478" s="75">
        <v>7475</v>
      </c>
      <c r="H7478">
        <f t="shared" ca="1" si="102"/>
        <v>-6.1138794106084119E-3</v>
      </c>
    </row>
    <row r="7479" spans="7:8" x14ac:dyDescent="0.3">
      <c r="G7479" s="75">
        <v>7476</v>
      </c>
      <c r="H7479">
        <f t="shared" ca="1" si="102"/>
        <v>1.691663995579723E-2</v>
      </c>
    </row>
    <row r="7480" spans="7:8" x14ac:dyDescent="0.3">
      <c r="G7480" s="75">
        <v>7477</v>
      </c>
      <c r="H7480">
        <f t="shared" ca="1" si="102"/>
        <v>1.4975804365320016E-2</v>
      </c>
    </row>
    <row r="7481" spans="7:8" x14ac:dyDescent="0.3">
      <c r="G7481" s="75">
        <v>7478</v>
      </c>
      <c r="H7481">
        <f t="shared" ca="1" si="102"/>
        <v>1.6164131934049476E-3</v>
      </c>
    </row>
    <row r="7482" spans="7:8" x14ac:dyDescent="0.3">
      <c r="G7482" s="75">
        <v>7479</v>
      </c>
      <c r="H7482">
        <f t="shared" ca="1" si="102"/>
        <v>3.4788454878907308E-3</v>
      </c>
    </row>
    <row r="7483" spans="7:8" x14ac:dyDescent="0.3">
      <c r="G7483" s="75">
        <v>7480</v>
      </c>
      <c r="H7483">
        <f t="shared" ca="1" si="102"/>
        <v>-5.4317341588021508E-3</v>
      </c>
    </row>
    <row r="7484" spans="7:8" x14ac:dyDescent="0.3">
      <c r="G7484" s="75">
        <v>7481</v>
      </c>
      <c r="H7484">
        <f t="shared" ca="1" si="102"/>
        <v>3.2383699926204833E-3</v>
      </c>
    </row>
    <row r="7485" spans="7:8" x14ac:dyDescent="0.3">
      <c r="G7485" s="75">
        <v>7482</v>
      </c>
      <c r="H7485">
        <f t="shared" ca="1" si="102"/>
        <v>1.4187074917441794E-2</v>
      </c>
    </row>
    <row r="7486" spans="7:8" x14ac:dyDescent="0.3">
      <c r="G7486" s="75">
        <v>7483</v>
      </c>
      <c r="H7486">
        <f t="shared" ca="1" si="102"/>
        <v>1.4901682728674259E-2</v>
      </c>
    </row>
    <row r="7487" spans="7:8" x14ac:dyDescent="0.3">
      <c r="G7487" s="75">
        <v>7484</v>
      </c>
      <c r="H7487">
        <f t="shared" ca="1" si="102"/>
        <v>4.8169803650417349E-3</v>
      </c>
    </row>
    <row r="7488" spans="7:8" x14ac:dyDescent="0.3">
      <c r="G7488" s="75">
        <v>7485</v>
      </c>
      <c r="H7488">
        <f t="shared" ca="1" si="102"/>
        <v>-6.824714248119336E-4</v>
      </c>
    </row>
    <row r="7489" spans="7:8" x14ac:dyDescent="0.3">
      <c r="G7489" s="75">
        <v>7486</v>
      </c>
      <c r="H7489">
        <f t="shared" ca="1" si="102"/>
        <v>-1.8154540982374606E-2</v>
      </c>
    </row>
    <row r="7490" spans="7:8" x14ac:dyDescent="0.3">
      <c r="G7490" s="75">
        <v>7487</v>
      </c>
      <c r="H7490">
        <f t="shared" ref="H7490:H7553" ca="1" si="103">_xlfn.NORM.INV(RAND(),$N$4,$N$5)</f>
        <v>-1.5982292005934439E-2</v>
      </c>
    </row>
    <row r="7491" spans="7:8" x14ac:dyDescent="0.3">
      <c r="G7491" s="75">
        <v>7488</v>
      </c>
      <c r="H7491">
        <f t="shared" ca="1" si="103"/>
        <v>5.9437641797919442E-3</v>
      </c>
    </row>
    <row r="7492" spans="7:8" x14ac:dyDescent="0.3">
      <c r="G7492" s="75">
        <v>7489</v>
      </c>
      <c r="H7492">
        <f t="shared" ca="1" si="103"/>
        <v>4.4913855508141023E-3</v>
      </c>
    </row>
    <row r="7493" spans="7:8" x14ac:dyDescent="0.3">
      <c r="G7493" s="75">
        <v>7490</v>
      </c>
      <c r="H7493">
        <f t="shared" ca="1" si="103"/>
        <v>6.8930870719702774E-4</v>
      </c>
    </row>
    <row r="7494" spans="7:8" x14ac:dyDescent="0.3">
      <c r="G7494" s="75">
        <v>7491</v>
      </c>
      <c r="H7494">
        <f t="shared" ca="1" si="103"/>
        <v>1.5014691903782316E-2</v>
      </c>
    </row>
    <row r="7495" spans="7:8" x14ac:dyDescent="0.3">
      <c r="G7495" s="75">
        <v>7492</v>
      </c>
      <c r="H7495">
        <f t="shared" ca="1" si="103"/>
        <v>1.1483238789439852E-2</v>
      </c>
    </row>
    <row r="7496" spans="7:8" x14ac:dyDescent="0.3">
      <c r="G7496" s="75">
        <v>7493</v>
      </c>
      <c r="H7496">
        <f t="shared" ca="1" si="103"/>
        <v>7.2180072740144693E-3</v>
      </c>
    </row>
    <row r="7497" spans="7:8" x14ac:dyDescent="0.3">
      <c r="G7497" s="75">
        <v>7494</v>
      </c>
      <c r="H7497">
        <f t="shared" ca="1" si="103"/>
        <v>-2.0625467422169951E-3</v>
      </c>
    </row>
    <row r="7498" spans="7:8" x14ac:dyDescent="0.3">
      <c r="G7498" s="75">
        <v>7495</v>
      </c>
      <c r="H7498">
        <f t="shared" ca="1" si="103"/>
        <v>-1.3794156004825009E-2</v>
      </c>
    </row>
    <row r="7499" spans="7:8" x14ac:dyDescent="0.3">
      <c r="G7499" s="75">
        <v>7496</v>
      </c>
      <c r="H7499">
        <f t="shared" ca="1" si="103"/>
        <v>2.1375387221004064E-4</v>
      </c>
    </row>
    <row r="7500" spans="7:8" x14ac:dyDescent="0.3">
      <c r="G7500" s="75">
        <v>7497</v>
      </c>
      <c r="H7500">
        <f t="shared" ca="1" si="103"/>
        <v>-3.9445056743755589E-4</v>
      </c>
    </row>
    <row r="7501" spans="7:8" x14ac:dyDescent="0.3">
      <c r="G7501" s="75">
        <v>7498</v>
      </c>
      <c r="H7501">
        <f t="shared" ca="1" si="103"/>
        <v>-1.2712939058303688E-2</v>
      </c>
    </row>
    <row r="7502" spans="7:8" x14ac:dyDescent="0.3">
      <c r="G7502" s="75">
        <v>7499</v>
      </c>
      <c r="H7502">
        <f t="shared" ca="1" si="103"/>
        <v>1.968318276085834E-3</v>
      </c>
    </row>
    <row r="7503" spans="7:8" x14ac:dyDescent="0.3">
      <c r="G7503" s="75">
        <v>7500</v>
      </c>
      <c r="H7503">
        <f t="shared" ca="1" si="103"/>
        <v>1.1472535308469872E-2</v>
      </c>
    </row>
    <row r="7504" spans="7:8" x14ac:dyDescent="0.3">
      <c r="G7504" s="75">
        <v>7501</v>
      </c>
      <c r="H7504">
        <f t="shared" ca="1" si="103"/>
        <v>8.8090938093819109E-3</v>
      </c>
    </row>
    <row r="7505" spans="7:8" x14ac:dyDescent="0.3">
      <c r="G7505" s="75">
        <v>7502</v>
      </c>
      <c r="H7505">
        <f t="shared" ca="1" si="103"/>
        <v>-6.6831340453722091E-4</v>
      </c>
    </row>
    <row r="7506" spans="7:8" x14ac:dyDescent="0.3">
      <c r="G7506" s="75">
        <v>7503</v>
      </c>
      <c r="H7506">
        <f t="shared" ca="1" si="103"/>
        <v>4.1475722941238975E-3</v>
      </c>
    </row>
    <row r="7507" spans="7:8" x14ac:dyDescent="0.3">
      <c r="G7507" s="75">
        <v>7504</v>
      </c>
      <c r="H7507">
        <f t="shared" ca="1" si="103"/>
        <v>-1.6868121575886921E-2</v>
      </c>
    </row>
    <row r="7508" spans="7:8" x14ac:dyDescent="0.3">
      <c r="G7508" s="75">
        <v>7505</v>
      </c>
      <c r="H7508">
        <f t="shared" ca="1" si="103"/>
        <v>2.5349420911650535E-3</v>
      </c>
    </row>
    <row r="7509" spans="7:8" x14ac:dyDescent="0.3">
      <c r="G7509" s="75">
        <v>7506</v>
      </c>
      <c r="H7509">
        <f t="shared" ca="1" si="103"/>
        <v>2.7766979732585861E-2</v>
      </c>
    </row>
    <row r="7510" spans="7:8" x14ac:dyDescent="0.3">
      <c r="G7510" s="75">
        <v>7507</v>
      </c>
      <c r="H7510">
        <f t="shared" ca="1" si="103"/>
        <v>1.8275909523103599E-3</v>
      </c>
    </row>
    <row r="7511" spans="7:8" x14ac:dyDescent="0.3">
      <c r="G7511" s="75">
        <v>7508</v>
      </c>
      <c r="H7511">
        <f t="shared" ca="1" si="103"/>
        <v>-6.8517239468743277E-3</v>
      </c>
    </row>
    <row r="7512" spans="7:8" x14ac:dyDescent="0.3">
      <c r="G7512" s="75">
        <v>7509</v>
      </c>
      <c r="H7512">
        <f t="shared" ca="1" si="103"/>
        <v>4.9709360530045535E-3</v>
      </c>
    </row>
    <row r="7513" spans="7:8" x14ac:dyDescent="0.3">
      <c r="G7513" s="75">
        <v>7510</v>
      </c>
      <c r="H7513">
        <f t="shared" ca="1" si="103"/>
        <v>1.3468140539122902E-3</v>
      </c>
    </row>
    <row r="7514" spans="7:8" x14ac:dyDescent="0.3">
      <c r="G7514" s="75">
        <v>7511</v>
      </c>
      <c r="H7514">
        <f t="shared" ca="1" si="103"/>
        <v>-2.0306364402926047E-2</v>
      </c>
    </row>
    <row r="7515" spans="7:8" x14ac:dyDescent="0.3">
      <c r="G7515" s="75">
        <v>7512</v>
      </c>
      <c r="H7515">
        <f t="shared" ca="1" si="103"/>
        <v>-2.8178215882209427E-2</v>
      </c>
    </row>
    <row r="7516" spans="7:8" x14ac:dyDescent="0.3">
      <c r="G7516" s="75">
        <v>7513</v>
      </c>
      <c r="H7516">
        <f t="shared" ca="1" si="103"/>
        <v>-1.9876055026804583E-2</v>
      </c>
    </row>
    <row r="7517" spans="7:8" x14ac:dyDescent="0.3">
      <c r="G7517" s="75">
        <v>7514</v>
      </c>
      <c r="H7517">
        <f t="shared" ca="1" si="103"/>
        <v>7.355746931168766E-3</v>
      </c>
    </row>
    <row r="7518" spans="7:8" x14ac:dyDescent="0.3">
      <c r="G7518" s="75">
        <v>7515</v>
      </c>
      <c r="H7518">
        <f t="shared" ca="1" si="103"/>
        <v>8.6681427429409104E-3</v>
      </c>
    </row>
    <row r="7519" spans="7:8" x14ac:dyDescent="0.3">
      <c r="G7519" s="75">
        <v>7516</v>
      </c>
      <c r="H7519">
        <f t="shared" ca="1" si="103"/>
        <v>1.8910770507662523E-2</v>
      </c>
    </row>
    <row r="7520" spans="7:8" x14ac:dyDescent="0.3">
      <c r="G7520" s="75">
        <v>7517</v>
      </c>
      <c r="H7520">
        <f t="shared" ca="1" si="103"/>
        <v>4.2070340104419625E-3</v>
      </c>
    </row>
    <row r="7521" spans="7:8" x14ac:dyDescent="0.3">
      <c r="G7521" s="75">
        <v>7518</v>
      </c>
      <c r="H7521">
        <f t="shared" ca="1" si="103"/>
        <v>2.7989495574479301E-3</v>
      </c>
    </row>
    <row r="7522" spans="7:8" x14ac:dyDescent="0.3">
      <c r="G7522" s="75">
        <v>7519</v>
      </c>
      <c r="H7522">
        <f t="shared" ca="1" si="103"/>
        <v>2.7131265873684541E-4</v>
      </c>
    </row>
    <row r="7523" spans="7:8" x14ac:dyDescent="0.3">
      <c r="G7523" s="75">
        <v>7520</v>
      </c>
      <c r="H7523">
        <f t="shared" ca="1" si="103"/>
        <v>-5.1493734812943929E-3</v>
      </c>
    </row>
    <row r="7524" spans="7:8" x14ac:dyDescent="0.3">
      <c r="G7524" s="75">
        <v>7521</v>
      </c>
      <c r="H7524">
        <f t="shared" ca="1" si="103"/>
        <v>-7.2168937402450235E-3</v>
      </c>
    </row>
    <row r="7525" spans="7:8" x14ac:dyDescent="0.3">
      <c r="G7525" s="75">
        <v>7522</v>
      </c>
      <c r="H7525">
        <f t="shared" ca="1" si="103"/>
        <v>1.441220054512706E-2</v>
      </c>
    </row>
    <row r="7526" spans="7:8" x14ac:dyDescent="0.3">
      <c r="G7526" s="75">
        <v>7523</v>
      </c>
      <c r="H7526">
        <f t="shared" ca="1" si="103"/>
        <v>1.321022262917658E-2</v>
      </c>
    </row>
    <row r="7527" spans="7:8" x14ac:dyDescent="0.3">
      <c r="G7527" s="75">
        <v>7524</v>
      </c>
      <c r="H7527">
        <f t="shared" ca="1" si="103"/>
        <v>4.163496199310981E-3</v>
      </c>
    </row>
    <row r="7528" spans="7:8" x14ac:dyDescent="0.3">
      <c r="G7528" s="75">
        <v>7525</v>
      </c>
      <c r="H7528">
        <f t="shared" ca="1" si="103"/>
        <v>-2.5837815392243287E-3</v>
      </c>
    </row>
    <row r="7529" spans="7:8" x14ac:dyDescent="0.3">
      <c r="G7529" s="75">
        <v>7526</v>
      </c>
      <c r="H7529">
        <f t="shared" ca="1" si="103"/>
        <v>-1.9493919329947398E-2</v>
      </c>
    </row>
    <row r="7530" spans="7:8" x14ac:dyDescent="0.3">
      <c r="G7530" s="75">
        <v>7527</v>
      </c>
      <c r="H7530">
        <f t="shared" ca="1" si="103"/>
        <v>-1.7583091922557813E-2</v>
      </c>
    </row>
    <row r="7531" spans="7:8" x14ac:dyDescent="0.3">
      <c r="G7531" s="75">
        <v>7528</v>
      </c>
      <c r="H7531">
        <f t="shared" ca="1" si="103"/>
        <v>-8.125384101453385E-3</v>
      </c>
    </row>
    <row r="7532" spans="7:8" x14ac:dyDescent="0.3">
      <c r="G7532" s="75">
        <v>7529</v>
      </c>
      <c r="H7532">
        <f t="shared" ca="1" si="103"/>
        <v>-4.8657227114678719E-3</v>
      </c>
    </row>
    <row r="7533" spans="7:8" x14ac:dyDescent="0.3">
      <c r="G7533" s="75">
        <v>7530</v>
      </c>
      <c r="H7533">
        <f t="shared" ca="1" si="103"/>
        <v>-1.818776293035252E-2</v>
      </c>
    </row>
    <row r="7534" spans="7:8" x14ac:dyDescent="0.3">
      <c r="G7534" s="75">
        <v>7531</v>
      </c>
      <c r="H7534">
        <f t="shared" ca="1" si="103"/>
        <v>-8.5739867889370325E-3</v>
      </c>
    </row>
    <row r="7535" spans="7:8" x14ac:dyDescent="0.3">
      <c r="G7535" s="75">
        <v>7532</v>
      </c>
      <c r="H7535">
        <f t="shared" ca="1" si="103"/>
        <v>1.4092923044462325E-2</v>
      </c>
    </row>
    <row r="7536" spans="7:8" x14ac:dyDescent="0.3">
      <c r="G7536" s="75">
        <v>7533</v>
      </c>
      <c r="H7536">
        <f t="shared" ca="1" si="103"/>
        <v>1.6619384968712882E-2</v>
      </c>
    </row>
    <row r="7537" spans="7:8" x14ac:dyDescent="0.3">
      <c r="G7537" s="75">
        <v>7534</v>
      </c>
      <c r="H7537">
        <f t="shared" ca="1" si="103"/>
        <v>-7.4965088623407446E-3</v>
      </c>
    </row>
    <row r="7538" spans="7:8" x14ac:dyDescent="0.3">
      <c r="G7538" s="75">
        <v>7535</v>
      </c>
      <c r="H7538">
        <f t="shared" ca="1" si="103"/>
        <v>2.5222553194938938E-2</v>
      </c>
    </row>
    <row r="7539" spans="7:8" x14ac:dyDescent="0.3">
      <c r="G7539" s="75">
        <v>7536</v>
      </c>
      <c r="H7539">
        <f t="shared" ca="1" si="103"/>
        <v>1.176816797557792E-2</v>
      </c>
    </row>
    <row r="7540" spans="7:8" x14ac:dyDescent="0.3">
      <c r="G7540" s="75">
        <v>7537</v>
      </c>
      <c r="H7540">
        <f t="shared" ca="1" si="103"/>
        <v>-1.311430866209921E-2</v>
      </c>
    </row>
    <row r="7541" spans="7:8" x14ac:dyDescent="0.3">
      <c r="G7541" s="75">
        <v>7538</v>
      </c>
      <c r="H7541">
        <f t="shared" ca="1" si="103"/>
        <v>1.0281197931090598E-2</v>
      </c>
    </row>
    <row r="7542" spans="7:8" x14ac:dyDescent="0.3">
      <c r="G7542" s="75">
        <v>7539</v>
      </c>
      <c r="H7542">
        <f t="shared" ca="1" si="103"/>
        <v>-7.0776932430955293E-3</v>
      </c>
    </row>
    <row r="7543" spans="7:8" x14ac:dyDescent="0.3">
      <c r="G7543" s="75">
        <v>7540</v>
      </c>
      <c r="H7543">
        <f t="shared" ca="1" si="103"/>
        <v>3.0629358553347846E-2</v>
      </c>
    </row>
    <row r="7544" spans="7:8" x14ac:dyDescent="0.3">
      <c r="G7544" s="75">
        <v>7541</v>
      </c>
      <c r="H7544">
        <f t="shared" ca="1" si="103"/>
        <v>-8.643267841229034E-3</v>
      </c>
    </row>
    <row r="7545" spans="7:8" x14ac:dyDescent="0.3">
      <c r="G7545" s="75">
        <v>7542</v>
      </c>
      <c r="H7545">
        <f t="shared" ca="1" si="103"/>
        <v>1.8864530176168064E-2</v>
      </c>
    </row>
    <row r="7546" spans="7:8" x14ac:dyDescent="0.3">
      <c r="G7546" s="75">
        <v>7543</v>
      </c>
      <c r="H7546">
        <f t="shared" ca="1" si="103"/>
        <v>-3.5828121281005244E-3</v>
      </c>
    </row>
    <row r="7547" spans="7:8" x14ac:dyDescent="0.3">
      <c r="G7547" s="75">
        <v>7544</v>
      </c>
      <c r="H7547">
        <f t="shared" ca="1" si="103"/>
        <v>-8.3078128046082684E-3</v>
      </c>
    </row>
    <row r="7548" spans="7:8" x14ac:dyDescent="0.3">
      <c r="G7548" s="75">
        <v>7545</v>
      </c>
      <c r="H7548">
        <f t="shared" ca="1" si="103"/>
        <v>3.3999149983663005E-2</v>
      </c>
    </row>
    <row r="7549" spans="7:8" x14ac:dyDescent="0.3">
      <c r="G7549" s="75">
        <v>7546</v>
      </c>
      <c r="H7549">
        <f t="shared" ca="1" si="103"/>
        <v>-5.6927290914804219E-3</v>
      </c>
    </row>
    <row r="7550" spans="7:8" x14ac:dyDescent="0.3">
      <c r="G7550" s="75">
        <v>7547</v>
      </c>
      <c r="H7550">
        <f t="shared" ca="1" si="103"/>
        <v>-1.7822152753023241E-3</v>
      </c>
    </row>
    <row r="7551" spans="7:8" x14ac:dyDescent="0.3">
      <c r="G7551" s="75">
        <v>7548</v>
      </c>
      <c r="H7551">
        <f t="shared" ca="1" si="103"/>
        <v>1.0633540477386206E-2</v>
      </c>
    </row>
    <row r="7552" spans="7:8" x14ac:dyDescent="0.3">
      <c r="G7552" s="75">
        <v>7549</v>
      </c>
      <c r="H7552">
        <f t="shared" ca="1" si="103"/>
        <v>-1.520473332822409E-2</v>
      </c>
    </row>
    <row r="7553" spans="7:8" x14ac:dyDescent="0.3">
      <c r="G7553" s="75">
        <v>7550</v>
      </c>
      <c r="H7553">
        <f t="shared" ca="1" si="103"/>
        <v>-1.4524839981966726E-2</v>
      </c>
    </row>
    <row r="7554" spans="7:8" x14ac:dyDescent="0.3">
      <c r="G7554" s="75">
        <v>7551</v>
      </c>
      <c r="H7554">
        <f t="shared" ref="H7554:H7617" ca="1" si="104">_xlfn.NORM.INV(RAND(),$N$4,$N$5)</f>
        <v>5.4015189762997694E-3</v>
      </c>
    </row>
    <row r="7555" spans="7:8" x14ac:dyDescent="0.3">
      <c r="G7555" s="75">
        <v>7552</v>
      </c>
      <c r="H7555">
        <f t="shared" ca="1" si="104"/>
        <v>-8.4795565622705401E-3</v>
      </c>
    </row>
    <row r="7556" spans="7:8" x14ac:dyDescent="0.3">
      <c r="G7556" s="75">
        <v>7553</v>
      </c>
      <c r="H7556">
        <f t="shared" ca="1" si="104"/>
        <v>2.5812925973509953E-3</v>
      </c>
    </row>
    <row r="7557" spans="7:8" x14ac:dyDescent="0.3">
      <c r="G7557" s="75">
        <v>7554</v>
      </c>
      <c r="H7557">
        <f t="shared" ca="1" si="104"/>
        <v>-1.7561896441805124E-2</v>
      </c>
    </row>
    <row r="7558" spans="7:8" x14ac:dyDescent="0.3">
      <c r="G7558" s="75">
        <v>7555</v>
      </c>
      <c r="H7558">
        <f t="shared" ca="1" si="104"/>
        <v>4.156009429079845E-3</v>
      </c>
    </row>
    <row r="7559" spans="7:8" x14ac:dyDescent="0.3">
      <c r="G7559" s="75">
        <v>7556</v>
      </c>
      <c r="H7559">
        <f t="shared" ca="1" si="104"/>
        <v>9.924771971464668E-3</v>
      </c>
    </row>
    <row r="7560" spans="7:8" x14ac:dyDescent="0.3">
      <c r="G7560" s="75">
        <v>7557</v>
      </c>
      <c r="H7560">
        <f t="shared" ca="1" si="104"/>
        <v>-2.3253398683783935E-3</v>
      </c>
    </row>
    <row r="7561" spans="7:8" x14ac:dyDescent="0.3">
      <c r="G7561" s="75">
        <v>7558</v>
      </c>
      <c r="H7561">
        <f t="shared" ca="1" si="104"/>
        <v>-4.2098211791454952E-3</v>
      </c>
    </row>
    <row r="7562" spans="7:8" x14ac:dyDescent="0.3">
      <c r="G7562" s="75">
        <v>7559</v>
      </c>
      <c r="H7562">
        <f t="shared" ca="1" si="104"/>
        <v>-3.0203154918635217E-3</v>
      </c>
    </row>
    <row r="7563" spans="7:8" x14ac:dyDescent="0.3">
      <c r="G7563" s="75">
        <v>7560</v>
      </c>
      <c r="H7563">
        <f t="shared" ca="1" si="104"/>
        <v>1.0496106657651114E-2</v>
      </c>
    </row>
    <row r="7564" spans="7:8" x14ac:dyDescent="0.3">
      <c r="G7564" s="75">
        <v>7561</v>
      </c>
      <c r="H7564">
        <f t="shared" ca="1" si="104"/>
        <v>2.2892604114819353E-3</v>
      </c>
    </row>
    <row r="7565" spans="7:8" x14ac:dyDescent="0.3">
      <c r="G7565" s="75">
        <v>7562</v>
      </c>
      <c r="H7565">
        <f t="shared" ca="1" si="104"/>
        <v>-1.0748023157509771E-3</v>
      </c>
    </row>
    <row r="7566" spans="7:8" x14ac:dyDescent="0.3">
      <c r="G7566" s="75">
        <v>7563</v>
      </c>
      <c r="H7566">
        <f t="shared" ca="1" si="104"/>
        <v>-5.0315588792678341E-3</v>
      </c>
    </row>
    <row r="7567" spans="7:8" x14ac:dyDescent="0.3">
      <c r="G7567" s="75">
        <v>7564</v>
      </c>
      <c r="H7567">
        <f t="shared" ca="1" si="104"/>
        <v>-2.4331900926724024E-2</v>
      </c>
    </row>
    <row r="7568" spans="7:8" x14ac:dyDescent="0.3">
      <c r="G7568" s="75">
        <v>7565</v>
      </c>
      <c r="H7568">
        <f t="shared" ca="1" si="104"/>
        <v>4.6973613556300512E-3</v>
      </c>
    </row>
    <row r="7569" spans="7:8" x14ac:dyDescent="0.3">
      <c r="G7569" s="75">
        <v>7566</v>
      </c>
      <c r="H7569">
        <f t="shared" ca="1" si="104"/>
        <v>-5.4923019127966115E-3</v>
      </c>
    </row>
    <row r="7570" spans="7:8" x14ac:dyDescent="0.3">
      <c r="G7570" s="75">
        <v>7567</v>
      </c>
      <c r="H7570">
        <f t="shared" ca="1" si="104"/>
        <v>1.1632808356912619E-2</v>
      </c>
    </row>
    <row r="7571" spans="7:8" x14ac:dyDescent="0.3">
      <c r="G7571" s="75">
        <v>7568</v>
      </c>
      <c r="H7571">
        <f t="shared" ca="1" si="104"/>
        <v>-1.1132858491566247E-2</v>
      </c>
    </row>
    <row r="7572" spans="7:8" x14ac:dyDescent="0.3">
      <c r="G7572" s="75">
        <v>7569</v>
      </c>
      <c r="H7572">
        <f t="shared" ca="1" si="104"/>
        <v>-3.384611850303969E-4</v>
      </c>
    </row>
    <row r="7573" spans="7:8" x14ac:dyDescent="0.3">
      <c r="G7573" s="75">
        <v>7570</v>
      </c>
      <c r="H7573">
        <f t="shared" ca="1" si="104"/>
        <v>-6.6331796284816542E-3</v>
      </c>
    </row>
    <row r="7574" spans="7:8" x14ac:dyDescent="0.3">
      <c r="G7574" s="75">
        <v>7571</v>
      </c>
      <c r="H7574">
        <f t="shared" ca="1" si="104"/>
        <v>1.9759803446346867E-3</v>
      </c>
    </row>
    <row r="7575" spans="7:8" x14ac:dyDescent="0.3">
      <c r="G7575" s="75">
        <v>7572</v>
      </c>
      <c r="H7575">
        <f t="shared" ca="1" si="104"/>
        <v>-1.866691428125776E-2</v>
      </c>
    </row>
    <row r="7576" spans="7:8" x14ac:dyDescent="0.3">
      <c r="G7576" s="75">
        <v>7573</v>
      </c>
      <c r="H7576">
        <f t="shared" ca="1" si="104"/>
        <v>7.3619050402389868E-3</v>
      </c>
    </row>
    <row r="7577" spans="7:8" x14ac:dyDescent="0.3">
      <c r="G7577" s="75">
        <v>7574</v>
      </c>
      <c r="H7577">
        <f t="shared" ca="1" si="104"/>
        <v>-1.2640562274292885E-3</v>
      </c>
    </row>
    <row r="7578" spans="7:8" x14ac:dyDescent="0.3">
      <c r="G7578" s="75">
        <v>7575</v>
      </c>
      <c r="H7578">
        <f t="shared" ca="1" si="104"/>
        <v>5.9062803868263685E-3</v>
      </c>
    </row>
    <row r="7579" spans="7:8" x14ac:dyDescent="0.3">
      <c r="G7579" s="75">
        <v>7576</v>
      </c>
      <c r="H7579">
        <f t="shared" ca="1" si="104"/>
        <v>-3.171320694484192E-3</v>
      </c>
    </row>
    <row r="7580" spans="7:8" x14ac:dyDescent="0.3">
      <c r="G7580" s="75">
        <v>7577</v>
      </c>
      <c r="H7580">
        <f t="shared" ca="1" si="104"/>
        <v>2.0463066355516823E-2</v>
      </c>
    </row>
    <row r="7581" spans="7:8" x14ac:dyDescent="0.3">
      <c r="G7581" s="75">
        <v>7578</v>
      </c>
      <c r="H7581">
        <f t="shared" ca="1" si="104"/>
        <v>-1.2072589264259812E-2</v>
      </c>
    </row>
    <row r="7582" spans="7:8" x14ac:dyDescent="0.3">
      <c r="G7582" s="75">
        <v>7579</v>
      </c>
      <c r="H7582">
        <f t="shared" ca="1" si="104"/>
        <v>5.8986232580851795E-3</v>
      </c>
    </row>
    <row r="7583" spans="7:8" x14ac:dyDescent="0.3">
      <c r="G7583" s="75">
        <v>7580</v>
      </c>
      <c r="H7583">
        <f t="shared" ca="1" si="104"/>
        <v>-9.3674232884152792E-3</v>
      </c>
    </row>
    <row r="7584" spans="7:8" x14ac:dyDescent="0.3">
      <c r="G7584" s="75">
        <v>7581</v>
      </c>
      <c r="H7584">
        <f t="shared" ca="1" si="104"/>
        <v>5.2784086820875454E-3</v>
      </c>
    </row>
    <row r="7585" spans="7:8" x14ac:dyDescent="0.3">
      <c r="G7585" s="75">
        <v>7582</v>
      </c>
      <c r="H7585">
        <f t="shared" ca="1" si="104"/>
        <v>-1.1240498266749215E-2</v>
      </c>
    </row>
    <row r="7586" spans="7:8" x14ac:dyDescent="0.3">
      <c r="G7586" s="75">
        <v>7583</v>
      </c>
      <c r="H7586">
        <f t="shared" ca="1" si="104"/>
        <v>-2.1617370169363471E-2</v>
      </c>
    </row>
    <row r="7587" spans="7:8" x14ac:dyDescent="0.3">
      <c r="G7587" s="75">
        <v>7584</v>
      </c>
      <c r="H7587">
        <f t="shared" ca="1" si="104"/>
        <v>-9.9842591344032929E-5</v>
      </c>
    </row>
    <row r="7588" spans="7:8" x14ac:dyDescent="0.3">
      <c r="G7588" s="75">
        <v>7585</v>
      </c>
      <c r="H7588">
        <f t="shared" ca="1" si="104"/>
        <v>1.7543700524403419E-2</v>
      </c>
    </row>
    <row r="7589" spans="7:8" x14ac:dyDescent="0.3">
      <c r="G7589" s="75">
        <v>7586</v>
      </c>
      <c r="H7589">
        <f t="shared" ca="1" si="104"/>
        <v>-2.6945393677747494E-4</v>
      </c>
    </row>
    <row r="7590" spans="7:8" x14ac:dyDescent="0.3">
      <c r="G7590" s="75">
        <v>7587</v>
      </c>
      <c r="H7590">
        <f t="shared" ca="1" si="104"/>
        <v>-6.8856162215410847E-3</v>
      </c>
    </row>
    <row r="7591" spans="7:8" x14ac:dyDescent="0.3">
      <c r="G7591" s="75">
        <v>7588</v>
      </c>
      <c r="H7591">
        <f t="shared" ca="1" si="104"/>
        <v>1.1410306209389553E-2</v>
      </c>
    </row>
    <row r="7592" spans="7:8" x14ac:dyDescent="0.3">
      <c r="G7592" s="75">
        <v>7589</v>
      </c>
      <c r="H7592">
        <f t="shared" ca="1" si="104"/>
        <v>-1.4241371861599775E-2</v>
      </c>
    </row>
    <row r="7593" spans="7:8" x14ac:dyDescent="0.3">
      <c r="G7593" s="75">
        <v>7590</v>
      </c>
      <c r="H7593">
        <f t="shared" ca="1" si="104"/>
        <v>1.9830378108240216E-3</v>
      </c>
    </row>
    <row r="7594" spans="7:8" x14ac:dyDescent="0.3">
      <c r="G7594" s="75">
        <v>7591</v>
      </c>
      <c r="H7594">
        <f t="shared" ca="1" si="104"/>
        <v>-9.387979321324718E-3</v>
      </c>
    </row>
    <row r="7595" spans="7:8" x14ac:dyDescent="0.3">
      <c r="G7595" s="75">
        <v>7592</v>
      </c>
      <c r="H7595">
        <f t="shared" ca="1" si="104"/>
        <v>7.627891571324384E-3</v>
      </c>
    </row>
    <row r="7596" spans="7:8" x14ac:dyDescent="0.3">
      <c r="G7596" s="75">
        <v>7593</v>
      </c>
      <c r="H7596">
        <f t="shared" ca="1" si="104"/>
        <v>-1.3557270687595132E-2</v>
      </c>
    </row>
    <row r="7597" spans="7:8" x14ac:dyDescent="0.3">
      <c r="G7597" s="75">
        <v>7594</v>
      </c>
      <c r="H7597">
        <f t="shared" ca="1" si="104"/>
        <v>-1.4235692048666629E-2</v>
      </c>
    </row>
    <row r="7598" spans="7:8" x14ac:dyDescent="0.3">
      <c r="G7598" s="75">
        <v>7595</v>
      </c>
      <c r="H7598">
        <f t="shared" ca="1" si="104"/>
        <v>3.1505701822188217E-2</v>
      </c>
    </row>
    <row r="7599" spans="7:8" x14ac:dyDescent="0.3">
      <c r="G7599" s="75">
        <v>7596</v>
      </c>
      <c r="H7599">
        <f t="shared" ca="1" si="104"/>
        <v>-1.3679867776245651E-2</v>
      </c>
    </row>
    <row r="7600" spans="7:8" x14ac:dyDescent="0.3">
      <c r="G7600" s="75">
        <v>7597</v>
      </c>
      <c r="H7600">
        <f t="shared" ca="1" si="104"/>
        <v>4.7171294303284747E-3</v>
      </c>
    </row>
    <row r="7601" spans="7:8" x14ac:dyDescent="0.3">
      <c r="G7601" s="75">
        <v>7598</v>
      </c>
      <c r="H7601">
        <f t="shared" ca="1" si="104"/>
        <v>1.2279544624171071E-2</v>
      </c>
    </row>
    <row r="7602" spans="7:8" x14ac:dyDescent="0.3">
      <c r="G7602" s="75">
        <v>7599</v>
      </c>
      <c r="H7602">
        <f t="shared" ca="1" si="104"/>
        <v>1.2087590141201322E-2</v>
      </c>
    </row>
    <row r="7603" spans="7:8" x14ac:dyDescent="0.3">
      <c r="G7603" s="75">
        <v>7600</v>
      </c>
      <c r="H7603">
        <f t="shared" ca="1" si="104"/>
        <v>-1.7136048556584162E-2</v>
      </c>
    </row>
    <row r="7604" spans="7:8" x14ac:dyDescent="0.3">
      <c r="G7604" s="75">
        <v>7601</v>
      </c>
      <c r="H7604">
        <f t="shared" ca="1" si="104"/>
        <v>1.0175446230235381E-2</v>
      </c>
    </row>
    <row r="7605" spans="7:8" x14ac:dyDescent="0.3">
      <c r="G7605" s="75">
        <v>7602</v>
      </c>
      <c r="H7605">
        <f t="shared" ca="1" si="104"/>
        <v>3.4898142827565494E-3</v>
      </c>
    </row>
    <row r="7606" spans="7:8" x14ac:dyDescent="0.3">
      <c r="G7606" s="75">
        <v>7603</v>
      </c>
      <c r="H7606">
        <f t="shared" ca="1" si="104"/>
        <v>7.7140412993657497E-3</v>
      </c>
    </row>
    <row r="7607" spans="7:8" x14ac:dyDescent="0.3">
      <c r="G7607" s="75">
        <v>7604</v>
      </c>
      <c r="H7607">
        <f t="shared" ca="1" si="104"/>
        <v>-2.365304710996277E-3</v>
      </c>
    </row>
    <row r="7608" spans="7:8" x14ac:dyDescent="0.3">
      <c r="G7608" s="75">
        <v>7605</v>
      </c>
      <c r="H7608">
        <f t="shared" ca="1" si="104"/>
        <v>-1.3007747033436677E-2</v>
      </c>
    </row>
    <row r="7609" spans="7:8" x14ac:dyDescent="0.3">
      <c r="G7609" s="75">
        <v>7606</v>
      </c>
      <c r="H7609">
        <f t="shared" ca="1" si="104"/>
        <v>-2.1864146860829478E-2</v>
      </c>
    </row>
    <row r="7610" spans="7:8" x14ac:dyDescent="0.3">
      <c r="G7610" s="75">
        <v>7607</v>
      </c>
      <c r="H7610">
        <f t="shared" ca="1" si="104"/>
        <v>-8.7307259129614078E-3</v>
      </c>
    </row>
    <row r="7611" spans="7:8" x14ac:dyDescent="0.3">
      <c r="G7611" s="75">
        <v>7608</v>
      </c>
      <c r="H7611">
        <f t="shared" ca="1" si="104"/>
        <v>-2.0988107038437197E-2</v>
      </c>
    </row>
    <row r="7612" spans="7:8" x14ac:dyDescent="0.3">
      <c r="G7612" s="75">
        <v>7609</v>
      </c>
      <c r="H7612">
        <f t="shared" ca="1" si="104"/>
        <v>1.0733563519987017E-2</v>
      </c>
    </row>
    <row r="7613" spans="7:8" x14ac:dyDescent="0.3">
      <c r="G7613" s="75">
        <v>7610</v>
      </c>
      <c r="H7613">
        <f t="shared" ca="1" si="104"/>
        <v>-2.1490633662824561E-2</v>
      </c>
    </row>
    <row r="7614" spans="7:8" x14ac:dyDescent="0.3">
      <c r="G7614" s="75">
        <v>7611</v>
      </c>
      <c r="H7614">
        <f t="shared" ca="1" si="104"/>
        <v>-1.5148479093411221E-3</v>
      </c>
    </row>
    <row r="7615" spans="7:8" x14ac:dyDescent="0.3">
      <c r="G7615" s="75">
        <v>7612</v>
      </c>
      <c r="H7615">
        <f t="shared" ca="1" si="104"/>
        <v>1.0419853823880342E-2</v>
      </c>
    </row>
    <row r="7616" spans="7:8" x14ac:dyDescent="0.3">
      <c r="G7616" s="75">
        <v>7613</v>
      </c>
      <c r="H7616">
        <f t="shared" ca="1" si="104"/>
        <v>7.3390422464630518E-3</v>
      </c>
    </row>
    <row r="7617" spans="7:8" x14ac:dyDescent="0.3">
      <c r="G7617" s="75">
        <v>7614</v>
      </c>
      <c r="H7617">
        <f t="shared" ca="1" si="104"/>
        <v>2.9406006478759138E-3</v>
      </c>
    </row>
    <row r="7618" spans="7:8" x14ac:dyDescent="0.3">
      <c r="G7618" s="75">
        <v>7615</v>
      </c>
      <c r="H7618">
        <f t="shared" ref="H7618:H7681" ca="1" si="105">_xlfn.NORM.INV(RAND(),$N$4,$N$5)</f>
        <v>2.4889604201807601E-3</v>
      </c>
    </row>
    <row r="7619" spans="7:8" x14ac:dyDescent="0.3">
      <c r="G7619" s="75">
        <v>7616</v>
      </c>
      <c r="H7619">
        <f t="shared" ca="1" si="105"/>
        <v>3.0365965499139888E-3</v>
      </c>
    </row>
    <row r="7620" spans="7:8" x14ac:dyDescent="0.3">
      <c r="G7620" s="75">
        <v>7617</v>
      </c>
      <c r="H7620">
        <f t="shared" ca="1" si="105"/>
        <v>1.7529800226802575E-2</v>
      </c>
    </row>
    <row r="7621" spans="7:8" x14ac:dyDescent="0.3">
      <c r="G7621" s="75">
        <v>7618</v>
      </c>
      <c r="H7621">
        <f t="shared" ca="1" si="105"/>
        <v>-2.6106117069402676E-2</v>
      </c>
    </row>
    <row r="7622" spans="7:8" x14ac:dyDescent="0.3">
      <c r="G7622" s="75">
        <v>7619</v>
      </c>
      <c r="H7622">
        <f t="shared" ca="1" si="105"/>
        <v>1.8718514854700389E-2</v>
      </c>
    </row>
    <row r="7623" spans="7:8" x14ac:dyDescent="0.3">
      <c r="G7623" s="75">
        <v>7620</v>
      </c>
      <c r="H7623">
        <f t="shared" ca="1" si="105"/>
        <v>9.6053737762395678E-3</v>
      </c>
    </row>
    <row r="7624" spans="7:8" x14ac:dyDescent="0.3">
      <c r="G7624" s="75">
        <v>7621</v>
      </c>
      <c r="H7624">
        <f t="shared" ca="1" si="105"/>
        <v>-1.6807405790711986E-3</v>
      </c>
    </row>
    <row r="7625" spans="7:8" x14ac:dyDescent="0.3">
      <c r="G7625" s="75">
        <v>7622</v>
      </c>
      <c r="H7625">
        <f t="shared" ca="1" si="105"/>
        <v>-2.3002391234058085E-3</v>
      </c>
    </row>
    <row r="7626" spans="7:8" x14ac:dyDescent="0.3">
      <c r="G7626" s="75">
        <v>7623</v>
      </c>
      <c r="H7626">
        <f t="shared" ca="1" si="105"/>
        <v>6.0861804021529317E-3</v>
      </c>
    </row>
    <row r="7627" spans="7:8" x14ac:dyDescent="0.3">
      <c r="G7627" s="75">
        <v>7624</v>
      </c>
      <c r="H7627">
        <f t="shared" ca="1" si="105"/>
        <v>1.6864064585776373E-2</v>
      </c>
    </row>
    <row r="7628" spans="7:8" x14ac:dyDescent="0.3">
      <c r="G7628" s="75">
        <v>7625</v>
      </c>
      <c r="H7628">
        <f t="shared" ca="1" si="105"/>
        <v>-1.2643227918146328E-2</v>
      </c>
    </row>
    <row r="7629" spans="7:8" x14ac:dyDescent="0.3">
      <c r="G7629" s="75">
        <v>7626</v>
      </c>
      <c r="H7629">
        <f t="shared" ca="1" si="105"/>
        <v>1.5461984321792492E-2</v>
      </c>
    </row>
    <row r="7630" spans="7:8" x14ac:dyDescent="0.3">
      <c r="G7630" s="75">
        <v>7627</v>
      </c>
      <c r="H7630">
        <f t="shared" ca="1" si="105"/>
        <v>-2.3763942615609465E-3</v>
      </c>
    </row>
    <row r="7631" spans="7:8" x14ac:dyDescent="0.3">
      <c r="G7631" s="75">
        <v>7628</v>
      </c>
      <c r="H7631">
        <f t="shared" ca="1" si="105"/>
        <v>-7.0140788608594818E-3</v>
      </c>
    </row>
    <row r="7632" spans="7:8" x14ac:dyDescent="0.3">
      <c r="G7632" s="75">
        <v>7629</v>
      </c>
      <c r="H7632">
        <f t="shared" ca="1" si="105"/>
        <v>2.2181059751851764E-2</v>
      </c>
    </row>
    <row r="7633" spans="7:8" x14ac:dyDescent="0.3">
      <c r="G7633" s="75">
        <v>7630</v>
      </c>
      <c r="H7633">
        <f t="shared" ca="1" si="105"/>
        <v>5.2285771500244641E-3</v>
      </c>
    </row>
    <row r="7634" spans="7:8" x14ac:dyDescent="0.3">
      <c r="G7634" s="75">
        <v>7631</v>
      </c>
      <c r="H7634">
        <f t="shared" ca="1" si="105"/>
        <v>-9.5406732147077858E-3</v>
      </c>
    </row>
    <row r="7635" spans="7:8" x14ac:dyDescent="0.3">
      <c r="G7635" s="75">
        <v>7632</v>
      </c>
      <c r="H7635">
        <f t="shared" ca="1" si="105"/>
        <v>1.5855057230882187E-2</v>
      </c>
    </row>
    <row r="7636" spans="7:8" x14ac:dyDescent="0.3">
      <c r="G7636" s="75">
        <v>7633</v>
      </c>
      <c r="H7636">
        <f t="shared" ca="1" si="105"/>
        <v>-5.2612231368540216E-4</v>
      </c>
    </row>
    <row r="7637" spans="7:8" x14ac:dyDescent="0.3">
      <c r="G7637" s="75">
        <v>7634</v>
      </c>
      <c r="H7637">
        <f t="shared" ca="1" si="105"/>
        <v>3.8999042222898584E-3</v>
      </c>
    </row>
    <row r="7638" spans="7:8" x14ac:dyDescent="0.3">
      <c r="G7638" s="75">
        <v>7635</v>
      </c>
      <c r="H7638">
        <f t="shared" ca="1" si="105"/>
        <v>5.6661647982736187E-3</v>
      </c>
    </row>
    <row r="7639" spans="7:8" x14ac:dyDescent="0.3">
      <c r="G7639" s="75">
        <v>7636</v>
      </c>
      <c r="H7639">
        <f t="shared" ca="1" si="105"/>
        <v>2.8166301357547906E-2</v>
      </c>
    </row>
    <row r="7640" spans="7:8" x14ac:dyDescent="0.3">
      <c r="G7640" s="75">
        <v>7637</v>
      </c>
      <c r="H7640">
        <f t="shared" ca="1" si="105"/>
        <v>3.4872509629735093E-2</v>
      </c>
    </row>
    <row r="7641" spans="7:8" x14ac:dyDescent="0.3">
      <c r="G7641" s="75">
        <v>7638</v>
      </c>
      <c r="H7641">
        <f t="shared" ca="1" si="105"/>
        <v>-3.1223338312369453E-2</v>
      </c>
    </row>
    <row r="7642" spans="7:8" x14ac:dyDescent="0.3">
      <c r="G7642" s="75">
        <v>7639</v>
      </c>
      <c r="H7642">
        <f t="shared" ca="1" si="105"/>
        <v>1.4118551596628391E-2</v>
      </c>
    </row>
    <row r="7643" spans="7:8" x14ac:dyDescent="0.3">
      <c r="G7643" s="75">
        <v>7640</v>
      </c>
      <c r="H7643">
        <f t="shared" ca="1" si="105"/>
        <v>1.9727756300553515E-2</v>
      </c>
    </row>
    <row r="7644" spans="7:8" x14ac:dyDescent="0.3">
      <c r="G7644" s="75">
        <v>7641</v>
      </c>
      <c r="H7644">
        <f t="shared" ca="1" si="105"/>
        <v>1.3514701970854586E-2</v>
      </c>
    </row>
    <row r="7645" spans="7:8" x14ac:dyDescent="0.3">
      <c r="G7645" s="75">
        <v>7642</v>
      </c>
      <c r="H7645">
        <f t="shared" ca="1" si="105"/>
        <v>-3.7527992507983771E-3</v>
      </c>
    </row>
    <row r="7646" spans="7:8" x14ac:dyDescent="0.3">
      <c r="G7646" s="75">
        <v>7643</v>
      </c>
      <c r="H7646">
        <f t="shared" ca="1" si="105"/>
        <v>-1.748650788119842E-3</v>
      </c>
    </row>
    <row r="7647" spans="7:8" x14ac:dyDescent="0.3">
      <c r="G7647" s="75">
        <v>7644</v>
      </c>
      <c r="H7647">
        <f t="shared" ca="1" si="105"/>
        <v>-7.1426825470746512E-3</v>
      </c>
    </row>
    <row r="7648" spans="7:8" x14ac:dyDescent="0.3">
      <c r="G7648" s="75">
        <v>7645</v>
      </c>
      <c r="H7648">
        <f t="shared" ca="1" si="105"/>
        <v>-2.5432209949743895E-3</v>
      </c>
    </row>
    <row r="7649" spans="7:8" x14ac:dyDescent="0.3">
      <c r="G7649" s="75">
        <v>7646</v>
      </c>
      <c r="H7649">
        <f t="shared" ca="1" si="105"/>
        <v>1.6016781252806834E-3</v>
      </c>
    </row>
    <row r="7650" spans="7:8" x14ac:dyDescent="0.3">
      <c r="G7650" s="75">
        <v>7647</v>
      </c>
      <c r="H7650">
        <f t="shared" ca="1" si="105"/>
        <v>-1.9574569604812912E-2</v>
      </c>
    </row>
    <row r="7651" spans="7:8" x14ac:dyDescent="0.3">
      <c r="G7651" s="75">
        <v>7648</v>
      </c>
      <c r="H7651">
        <f t="shared" ca="1" si="105"/>
        <v>2.1154196363333721E-2</v>
      </c>
    </row>
    <row r="7652" spans="7:8" x14ac:dyDescent="0.3">
      <c r="G7652" s="75">
        <v>7649</v>
      </c>
      <c r="H7652">
        <f t="shared" ca="1" si="105"/>
        <v>-1.0017712561551498E-2</v>
      </c>
    </row>
    <row r="7653" spans="7:8" x14ac:dyDescent="0.3">
      <c r="G7653" s="75">
        <v>7650</v>
      </c>
      <c r="H7653">
        <f t="shared" ca="1" si="105"/>
        <v>-1.8890164076373481E-2</v>
      </c>
    </row>
    <row r="7654" spans="7:8" x14ac:dyDescent="0.3">
      <c r="G7654" s="75">
        <v>7651</v>
      </c>
      <c r="H7654">
        <f t="shared" ca="1" si="105"/>
        <v>-1.1266576449107479E-2</v>
      </c>
    </row>
    <row r="7655" spans="7:8" x14ac:dyDescent="0.3">
      <c r="G7655" s="75">
        <v>7652</v>
      </c>
      <c r="H7655">
        <f t="shared" ca="1" si="105"/>
        <v>1.3570156985979622E-2</v>
      </c>
    </row>
    <row r="7656" spans="7:8" x14ac:dyDescent="0.3">
      <c r="G7656" s="75">
        <v>7653</v>
      </c>
      <c r="H7656">
        <f t="shared" ca="1" si="105"/>
        <v>2.8981951267057559E-2</v>
      </c>
    </row>
    <row r="7657" spans="7:8" x14ac:dyDescent="0.3">
      <c r="G7657" s="75">
        <v>7654</v>
      </c>
      <c r="H7657">
        <f t="shared" ca="1" si="105"/>
        <v>3.5081494308918361E-2</v>
      </c>
    </row>
    <row r="7658" spans="7:8" x14ac:dyDescent="0.3">
      <c r="G7658" s="75">
        <v>7655</v>
      </c>
      <c r="H7658">
        <f t="shared" ca="1" si="105"/>
        <v>-3.5767717096165545E-2</v>
      </c>
    </row>
    <row r="7659" spans="7:8" x14ac:dyDescent="0.3">
      <c r="G7659" s="75">
        <v>7656</v>
      </c>
      <c r="H7659">
        <f t="shared" ca="1" si="105"/>
        <v>-4.6368897122158331E-3</v>
      </c>
    </row>
    <row r="7660" spans="7:8" x14ac:dyDescent="0.3">
      <c r="G7660" s="75">
        <v>7657</v>
      </c>
      <c r="H7660">
        <f t="shared" ca="1" si="105"/>
        <v>-1.1717486760847852E-3</v>
      </c>
    </row>
    <row r="7661" spans="7:8" x14ac:dyDescent="0.3">
      <c r="G7661" s="75">
        <v>7658</v>
      </c>
      <c r="H7661">
        <f t="shared" ca="1" si="105"/>
        <v>1.3968827978599557E-2</v>
      </c>
    </row>
    <row r="7662" spans="7:8" x14ac:dyDescent="0.3">
      <c r="G7662" s="75">
        <v>7659</v>
      </c>
      <c r="H7662">
        <f t="shared" ca="1" si="105"/>
        <v>2.6981048377967571E-2</v>
      </c>
    </row>
    <row r="7663" spans="7:8" x14ac:dyDescent="0.3">
      <c r="G7663" s="75">
        <v>7660</v>
      </c>
      <c r="H7663">
        <f t="shared" ca="1" si="105"/>
        <v>6.9562578023034359E-3</v>
      </c>
    </row>
    <row r="7664" spans="7:8" x14ac:dyDescent="0.3">
      <c r="G7664" s="75">
        <v>7661</v>
      </c>
      <c r="H7664">
        <f t="shared" ca="1" si="105"/>
        <v>-3.332584863908806E-3</v>
      </c>
    </row>
    <row r="7665" spans="7:8" x14ac:dyDescent="0.3">
      <c r="G7665" s="75">
        <v>7662</v>
      </c>
      <c r="H7665">
        <f t="shared" ca="1" si="105"/>
        <v>4.8889369632654231E-3</v>
      </c>
    </row>
    <row r="7666" spans="7:8" x14ac:dyDescent="0.3">
      <c r="G7666" s="75">
        <v>7663</v>
      </c>
      <c r="H7666">
        <f t="shared" ca="1" si="105"/>
        <v>-8.3789442818009915E-3</v>
      </c>
    </row>
    <row r="7667" spans="7:8" x14ac:dyDescent="0.3">
      <c r="G7667" s="75">
        <v>7664</v>
      </c>
      <c r="H7667">
        <f t="shared" ca="1" si="105"/>
        <v>8.5233651469999051E-3</v>
      </c>
    </row>
    <row r="7668" spans="7:8" x14ac:dyDescent="0.3">
      <c r="G7668" s="75">
        <v>7665</v>
      </c>
      <c r="H7668">
        <f t="shared" ca="1" si="105"/>
        <v>1.6869930301769257E-2</v>
      </c>
    </row>
    <row r="7669" spans="7:8" x14ac:dyDescent="0.3">
      <c r="G7669" s="75">
        <v>7666</v>
      </c>
      <c r="H7669">
        <f t="shared" ca="1" si="105"/>
        <v>-4.9523320848128228E-3</v>
      </c>
    </row>
    <row r="7670" spans="7:8" x14ac:dyDescent="0.3">
      <c r="G7670" s="75">
        <v>7667</v>
      </c>
      <c r="H7670">
        <f t="shared" ca="1" si="105"/>
        <v>1.0472771439255941E-2</v>
      </c>
    </row>
    <row r="7671" spans="7:8" x14ac:dyDescent="0.3">
      <c r="G7671" s="75">
        <v>7668</v>
      </c>
      <c r="H7671">
        <f t="shared" ca="1" si="105"/>
        <v>1.5312546215463976E-2</v>
      </c>
    </row>
    <row r="7672" spans="7:8" x14ac:dyDescent="0.3">
      <c r="G7672" s="75">
        <v>7669</v>
      </c>
      <c r="H7672">
        <f t="shared" ca="1" si="105"/>
        <v>1.5331444294594647E-2</v>
      </c>
    </row>
    <row r="7673" spans="7:8" x14ac:dyDescent="0.3">
      <c r="G7673" s="75">
        <v>7670</v>
      </c>
      <c r="H7673">
        <f t="shared" ca="1" si="105"/>
        <v>1.0082488115087527E-2</v>
      </c>
    </row>
    <row r="7674" spans="7:8" x14ac:dyDescent="0.3">
      <c r="G7674" s="75">
        <v>7671</v>
      </c>
      <c r="H7674">
        <f t="shared" ca="1" si="105"/>
        <v>7.2239056382776253E-3</v>
      </c>
    </row>
    <row r="7675" spans="7:8" x14ac:dyDescent="0.3">
      <c r="G7675" s="75">
        <v>7672</v>
      </c>
      <c r="H7675">
        <f t="shared" ca="1" si="105"/>
        <v>6.1833538351031316E-3</v>
      </c>
    </row>
    <row r="7676" spans="7:8" x14ac:dyDescent="0.3">
      <c r="G7676" s="75">
        <v>7673</v>
      </c>
      <c r="H7676">
        <f t="shared" ca="1" si="105"/>
        <v>-1.2071756642437849E-2</v>
      </c>
    </row>
    <row r="7677" spans="7:8" x14ac:dyDescent="0.3">
      <c r="G7677" s="75">
        <v>7674</v>
      </c>
      <c r="H7677">
        <f t="shared" ca="1" si="105"/>
        <v>-1.2426256960848972E-2</v>
      </c>
    </row>
    <row r="7678" spans="7:8" x14ac:dyDescent="0.3">
      <c r="G7678" s="75">
        <v>7675</v>
      </c>
      <c r="H7678">
        <f t="shared" ca="1" si="105"/>
        <v>-8.9738409477693702E-3</v>
      </c>
    </row>
    <row r="7679" spans="7:8" x14ac:dyDescent="0.3">
      <c r="G7679" s="75">
        <v>7676</v>
      </c>
      <c r="H7679">
        <f t="shared" ca="1" si="105"/>
        <v>-1.9230345601491033E-2</v>
      </c>
    </row>
    <row r="7680" spans="7:8" x14ac:dyDescent="0.3">
      <c r="G7680" s="75">
        <v>7677</v>
      </c>
      <c r="H7680">
        <f t="shared" ca="1" si="105"/>
        <v>-7.6682170000380179E-3</v>
      </c>
    </row>
    <row r="7681" spans="7:8" x14ac:dyDescent="0.3">
      <c r="G7681" s="75">
        <v>7678</v>
      </c>
      <c r="H7681">
        <f t="shared" ca="1" si="105"/>
        <v>3.1988126870570719E-3</v>
      </c>
    </row>
    <row r="7682" spans="7:8" x14ac:dyDescent="0.3">
      <c r="G7682" s="75">
        <v>7679</v>
      </c>
      <c r="H7682">
        <f t="shared" ref="H7682:H7745" ca="1" si="106">_xlfn.NORM.INV(RAND(),$N$4,$N$5)</f>
        <v>-1.5074106117571305E-2</v>
      </c>
    </row>
    <row r="7683" spans="7:8" x14ac:dyDescent="0.3">
      <c r="G7683" s="75">
        <v>7680</v>
      </c>
      <c r="H7683">
        <f t="shared" ca="1" si="106"/>
        <v>6.3911469473450352E-3</v>
      </c>
    </row>
    <row r="7684" spans="7:8" x14ac:dyDescent="0.3">
      <c r="G7684" s="75">
        <v>7681</v>
      </c>
      <c r="H7684">
        <f t="shared" ca="1" si="106"/>
        <v>-3.8729660153455671E-3</v>
      </c>
    </row>
    <row r="7685" spans="7:8" x14ac:dyDescent="0.3">
      <c r="G7685" s="75">
        <v>7682</v>
      </c>
      <c r="H7685">
        <f t="shared" ca="1" si="106"/>
        <v>-4.2140859508120639E-3</v>
      </c>
    </row>
    <row r="7686" spans="7:8" x14ac:dyDescent="0.3">
      <c r="G7686" s="75">
        <v>7683</v>
      </c>
      <c r="H7686">
        <f t="shared" ca="1" si="106"/>
        <v>6.6473004111335414E-4</v>
      </c>
    </row>
    <row r="7687" spans="7:8" x14ac:dyDescent="0.3">
      <c r="G7687" s="75">
        <v>7684</v>
      </c>
      <c r="H7687">
        <f t="shared" ca="1" si="106"/>
        <v>8.3491743628676882E-3</v>
      </c>
    </row>
    <row r="7688" spans="7:8" x14ac:dyDescent="0.3">
      <c r="G7688" s="75">
        <v>7685</v>
      </c>
      <c r="H7688">
        <f t="shared" ca="1" si="106"/>
        <v>-2.6459606298771494E-2</v>
      </c>
    </row>
    <row r="7689" spans="7:8" x14ac:dyDescent="0.3">
      <c r="G7689" s="75">
        <v>7686</v>
      </c>
      <c r="H7689">
        <f t="shared" ca="1" si="106"/>
        <v>-1.397862077532573E-2</v>
      </c>
    </row>
    <row r="7690" spans="7:8" x14ac:dyDescent="0.3">
      <c r="G7690" s="75">
        <v>7687</v>
      </c>
      <c r="H7690">
        <f t="shared" ca="1" si="106"/>
        <v>-2.5693186373370879E-2</v>
      </c>
    </row>
    <row r="7691" spans="7:8" x14ac:dyDescent="0.3">
      <c r="G7691" s="75">
        <v>7688</v>
      </c>
      <c r="H7691">
        <f t="shared" ca="1" si="106"/>
        <v>2.4495242867381335E-3</v>
      </c>
    </row>
    <row r="7692" spans="7:8" x14ac:dyDescent="0.3">
      <c r="G7692" s="75">
        <v>7689</v>
      </c>
      <c r="H7692">
        <f t="shared" ca="1" si="106"/>
        <v>1.7622223259670722E-2</v>
      </c>
    </row>
    <row r="7693" spans="7:8" x14ac:dyDescent="0.3">
      <c r="G7693" s="75">
        <v>7690</v>
      </c>
      <c r="H7693">
        <f t="shared" ca="1" si="106"/>
        <v>1.0793859784257483E-2</v>
      </c>
    </row>
    <row r="7694" spans="7:8" x14ac:dyDescent="0.3">
      <c r="G7694" s="75">
        <v>7691</v>
      </c>
      <c r="H7694">
        <f t="shared" ca="1" si="106"/>
        <v>-1.7365965492179447E-2</v>
      </c>
    </row>
    <row r="7695" spans="7:8" x14ac:dyDescent="0.3">
      <c r="G7695" s="75">
        <v>7692</v>
      </c>
      <c r="H7695">
        <f t="shared" ca="1" si="106"/>
        <v>-1.0481464929033697E-2</v>
      </c>
    </row>
    <row r="7696" spans="7:8" x14ac:dyDescent="0.3">
      <c r="G7696" s="75">
        <v>7693</v>
      </c>
      <c r="H7696">
        <f t="shared" ca="1" si="106"/>
        <v>6.1919574244727361E-3</v>
      </c>
    </row>
    <row r="7697" spans="7:8" x14ac:dyDescent="0.3">
      <c r="G7697" s="75">
        <v>7694</v>
      </c>
      <c r="H7697">
        <f t="shared" ca="1" si="106"/>
        <v>1.2271095875551544E-2</v>
      </c>
    </row>
    <row r="7698" spans="7:8" x14ac:dyDescent="0.3">
      <c r="G7698" s="75">
        <v>7695</v>
      </c>
      <c r="H7698">
        <f t="shared" ca="1" si="106"/>
        <v>6.2061359041248668E-3</v>
      </c>
    </row>
    <row r="7699" spans="7:8" x14ac:dyDescent="0.3">
      <c r="G7699" s="75">
        <v>7696</v>
      </c>
      <c r="H7699">
        <f t="shared" ca="1" si="106"/>
        <v>-1.7372088608514143E-2</v>
      </c>
    </row>
    <row r="7700" spans="7:8" x14ac:dyDescent="0.3">
      <c r="G7700" s="75">
        <v>7697</v>
      </c>
      <c r="H7700">
        <f t="shared" ca="1" si="106"/>
        <v>-8.0287370071218127E-4</v>
      </c>
    </row>
    <row r="7701" spans="7:8" x14ac:dyDescent="0.3">
      <c r="G7701" s="75">
        <v>7698</v>
      </c>
      <c r="H7701">
        <f t="shared" ca="1" si="106"/>
        <v>6.0756510507822313E-3</v>
      </c>
    </row>
    <row r="7702" spans="7:8" x14ac:dyDescent="0.3">
      <c r="G7702" s="75">
        <v>7699</v>
      </c>
      <c r="H7702">
        <f t="shared" ca="1" si="106"/>
        <v>8.5735597156005872E-3</v>
      </c>
    </row>
    <row r="7703" spans="7:8" x14ac:dyDescent="0.3">
      <c r="G7703" s="75">
        <v>7700</v>
      </c>
      <c r="H7703">
        <f t="shared" ca="1" si="106"/>
        <v>-5.8071742701796831E-4</v>
      </c>
    </row>
    <row r="7704" spans="7:8" x14ac:dyDescent="0.3">
      <c r="G7704" s="75">
        <v>7701</v>
      </c>
      <c r="H7704">
        <f t="shared" ca="1" si="106"/>
        <v>-3.8800728709712387E-3</v>
      </c>
    </row>
    <row r="7705" spans="7:8" x14ac:dyDescent="0.3">
      <c r="G7705" s="75">
        <v>7702</v>
      </c>
      <c r="H7705">
        <f t="shared" ca="1" si="106"/>
        <v>1.2521592782267743E-2</v>
      </c>
    </row>
    <row r="7706" spans="7:8" x14ac:dyDescent="0.3">
      <c r="G7706" s="75">
        <v>7703</v>
      </c>
      <c r="H7706">
        <f t="shared" ca="1" si="106"/>
        <v>-1.4534250762340006E-2</v>
      </c>
    </row>
    <row r="7707" spans="7:8" x14ac:dyDescent="0.3">
      <c r="G7707" s="75">
        <v>7704</v>
      </c>
      <c r="H7707">
        <f t="shared" ca="1" si="106"/>
        <v>2.5385194740443883E-2</v>
      </c>
    </row>
    <row r="7708" spans="7:8" x14ac:dyDescent="0.3">
      <c r="G7708" s="75">
        <v>7705</v>
      </c>
      <c r="H7708">
        <f t="shared" ca="1" si="106"/>
        <v>-9.2534547893010442E-3</v>
      </c>
    </row>
    <row r="7709" spans="7:8" x14ac:dyDescent="0.3">
      <c r="G7709" s="75">
        <v>7706</v>
      </c>
      <c r="H7709">
        <f t="shared" ca="1" si="106"/>
        <v>5.6450869552973886E-3</v>
      </c>
    </row>
    <row r="7710" spans="7:8" x14ac:dyDescent="0.3">
      <c r="G7710" s="75">
        <v>7707</v>
      </c>
      <c r="H7710">
        <f t="shared" ca="1" si="106"/>
        <v>-2.9830534679019086E-2</v>
      </c>
    </row>
    <row r="7711" spans="7:8" x14ac:dyDescent="0.3">
      <c r="G7711" s="75">
        <v>7708</v>
      </c>
      <c r="H7711">
        <f t="shared" ca="1" si="106"/>
        <v>1.7615543801883522E-2</v>
      </c>
    </row>
    <row r="7712" spans="7:8" x14ac:dyDescent="0.3">
      <c r="G7712" s="75">
        <v>7709</v>
      </c>
      <c r="H7712">
        <f t="shared" ca="1" si="106"/>
        <v>-8.2576047949583769E-3</v>
      </c>
    </row>
    <row r="7713" spans="7:8" x14ac:dyDescent="0.3">
      <c r="G7713" s="75">
        <v>7710</v>
      </c>
      <c r="H7713">
        <f t="shared" ca="1" si="106"/>
        <v>-6.5382513109953962E-3</v>
      </c>
    </row>
    <row r="7714" spans="7:8" x14ac:dyDescent="0.3">
      <c r="G7714" s="75">
        <v>7711</v>
      </c>
      <c r="H7714">
        <f t="shared" ca="1" si="106"/>
        <v>-1.2916329931754155E-2</v>
      </c>
    </row>
    <row r="7715" spans="7:8" x14ac:dyDescent="0.3">
      <c r="G7715" s="75">
        <v>7712</v>
      </c>
      <c r="H7715">
        <f t="shared" ca="1" si="106"/>
        <v>-2.3780958104403912E-5</v>
      </c>
    </row>
    <row r="7716" spans="7:8" x14ac:dyDescent="0.3">
      <c r="G7716" s="75">
        <v>7713</v>
      </c>
      <c r="H7716">
        <f t="shared" ca="1" si="106"/>
        <v>-1.5311149292671321E-3</v>
      </c>
    </row>
    <row r="7717" spans="7:8" x14ac:dyDescent="0.3">
      <c r="G7717" s="75">
        <v>7714</v>
      </c>
      <c r="H7717">
        <f t="shared" ca="1" si="106"/>
        <v>-9.0096923861543322E-3</v>
      </c>
    </row>
    <row r="7718" spans="7:8" x14ac:dyDescent="0.3">
      <c r="G7718" s="75">
        <v>7715</v>
      </c>
      <c r="H7718">
        <f t="shared" ca="1" si="106"/>
        <v>-3.2103611622168928E-3</v>
      </c>
    </row>
    <row r="7719" spans="7:8" x14ac:dyDescent="0.3">
      <c r="G7719" s="75">
        <v>7716</v>
      </c>
      <c r="H7719">
        <f t="shared" ca="1" si="106"/>
        <v>1.3638751921112467E-2</v>
      </c>
    </row>
    <row r="7720" spans="7:8" x14ac:dyDescent="0.3">
      <c r="G7720" s="75">
        <v>7717</v>
      </c>
      <c r="H7720">
        <f t="shared" ca="1" si="106"/>
        <v>1.8953442602611434E-2</v>
      </c>
    </row>
    <row r="7721" spans="7:8" x14ac:dyDescent="0.3">
      <c r="G7721" s="75">
        <v>7718</v>
      </c>
      <c r="H7721">
        <f t="shared" ca="1" si="106"/>
        <v>1.1313059380292352E-2</v>
      </c>
    </row>
    <row r="7722" spans="7:8" x14ac:dyDescent="0.3">
      <c r="G7722" s="75">
        <v>7719</v>
      </c>
      <c r="H7722">
        <f t="shared" ca="1" si="106"/>
        <v>8.3487104757049464E-3</v>
      </c>
    </row>
    <row r="7723" spans="7:8" x14ac:dyDescent="0.3">
      <c r="G7723" s="75">
        <v>7720</v>
      </c>
      <c r="H7723">
        <f t="shared" ca="1" si="106"/>
        <v>-3.8013140553650564E-3</v>
      </c>
    </row>
    <row r="7724" spans="7:8" x14ac:dyDescent="0.3">
      <c r="G7724" s="75">
        <v>7721</v>
      </c>
      <c r="H7724">
        <f t="shared" ca="1" si="106"/>
        <v>-1.9555560062301585E-3</v>
      </c>
    </row>
    <row r="7725" spans="7:8" x14ac:dyDescent="0.3">
      <c r="G7725" s="75">
        <v>7722</v>
      </c>
      <c r="H7725">
        <f t="shared" ca="1" si="106"/>
        <v>1.299255256339006E-2</v>
      </c>
    </row>
    <row r="7726" spans="7:8" x14ac:dyDescent="0.3">
      <c r="G7726" s="75">
        <v>7723</v>
      </c>
      <c r="H7726">
        <f t="shared" ca="1" si="106"/>
        <v>-3.6694830126277177E-3</v>
      </c>
    </row>
    <row r="7727" spans="7:8" x14ac:dyDescent="0.3">
      <c r="G7727" s="75">
        <v>7724</v>
      </c>
      <c r="H7727">
        <f t="shared" ca="1" si="106"/>
        <v>8.9797442612198543E-3</v>
      </c>
    </row>
    <row r="7728" spans="7:8" x14ac:dyDescent="0.3">
      <c r="G7728" s="75">
        <v>7725</v>
      </c>
      <c r="H7728">
        <f t="shared" ca="1" si="106"/>
        <v>8.4286736414550447E-3</v>
      </c>
    </row>
    <row r="7729" spans="7:8" x14ac:dyDescent="0.3">
      <c r="G7729" s="75">
        <v>7726</v>
      </c>
      <c r="H7729">
        <f t="shared" ca="1" si="106"/>
        <v>-9.6918509648827623E-3</v>
      </c>
    </row>
    <row r="7730" spans="7:8" x14ac:dyDescent="0.3">
      <c r="G7730" s="75">
        <v>7727</v>
      </c>
      <c r="H7730">
        <f t="shared" ca="1" si="106"/>
        <v>1.8761883656351402E-3</v>
      </c>
    </row>
    <row r="7731" spans="7:8" x14ac:dyDescent="0.3">
      <c r="G7731" s="75">
        <v>7728</v>
      </c>
      <c r="H7731">
        <f t="shared" ca="1" si="106"/>
        <v>5.8036762643265813E-3</v>
      </c>
    </row>
    <row r="7732" spans="7:8" x14ac:dyDescent="0.3">
      <c r="G7732" s="75">
        <v>7729</v>
      </c>
      <c r="H7732">
        <f t="shared" ca="1" si="106"/>
        <v>-1.3708394331182755E-2</v>
      </c>
    </row>
    <row r="7733" spans="7:8" x14ac:dyDescent="0.3">
      <c r="G7733" s="75">
        <v>7730</v>
      </c>
      <c r="H7733">
        <f t="shared" ca="1" si="106"/>
        <v>1.215163721987341E-3</v>
      </c>
    </row>
    <row r="7734" spans="7:8" x14ac:dyDescent="0.3">
      <c r="G7734" s="75">
        <v>7731</v>
      </c>
      <c r="H7734">
        <f t="shared" ca="1" si="106"/>
        <v>2.3180980736818135E-4</v>
      </c>
    </row>
    <row r="7735" spans="7:8" x14ac:dyDescent="0.3">
      <c r="G7735" s="75">
        <v>7732</v>
      </c>
      <c r="H7735">
        <f t="shared" ca="1" si="106"/>
        <v>-1.8373269050798922E-2</v>
      </c>
    </row>
    <row r="7736" spans="7:8" x14ac:dyDescent="0.3">
      <c r="G7736" s="75">
        <v>7733</v>
      </c>
      <c r="H7736">
        <f t="shared" ca="1" si="106"/>
        <v>1.5014934045579504E-2</v>
      </c>
    </row>
    <row r="7737" spans="7:8" x14ac:dyDescent="0.3">
      <c r="G7737" s="75">
        <v>7734</v>
      </c>
      <c r="H7737">
        <f t="shared" ca="1" si="106"/>
        <v>2.6661429306175391E-2</v>
      </c>
    </row>
    <row r="7738" spans="7:8" x14ac:dyDescent="0.3">
      <c r="G7738" s="75">
        <v>7735</v>
      </c>
      <c r="H7738">
        <f t="shared" ca="1" si="106"/>
        <v>6.5229866999044284E-3</v>
      </c>
    </row>
    <row r="7739" spans="7:8" x14ac:dyDescent="0.3">
      <c r="G7739" s="75">
        <v>7736</v>
      </c>
      <c r="H7739">
        <f t="shared" ca="1" si="106"/>
        <v>6.5313997944057723E-3</v>
      </c>
    </row>
    <row r="7740" spans="7:8" x14ac:dyDescent="0.3">
      <c r="G7740" s="75">
        <v>7737</v>
      </c>
      <c r="H7740">
        <f t="shared" ca="1" si="106"/>
        <v>3.3921647536303144E-3</v>
      </c>
    </row>
    <row r="7741" spans="7:8" x14ac:dyDescent="0.3">
      <c r="G7741" s="75">
        <v>7738</v>
      </c>
      <c r="H7741">
        <f t="shared" ca="1" si="106"/>
        <v>1.2730691374700356E-2</v>
      </c>
    </row>
    <row r="7742" spans="7:8" x14ac:dyDescent="0.3">
      <c r="G7742" s="75">
        <v>7739</v>
      </c>
      <c r="H7742">
        <f t="shared" ca="1" si="106"/>
        <v>-1.4855235906954534E-3</v>
      </c>
    </row>
    <row r="7743" spans="7:8" x14ac:dyDescent="0.3">
      <c r="G7743" s="75">
        <v>7740</v>
      </c>
      <c r="H7743">
        <f t="shared" ca="1" si="106"/>
        <v>-8.218331966670947E-3</v>
      </c>
    </row>
    <row r="7744" spans="7:8" x14ac:dyDescent="0.3">
      <c r="G7744" s="75">
        <v>7741</v>
      </c>
      <c r="H7744">
        <f t="shared" ca="1" si="106"/>
        <v>9.9603974319133161E-4</v>
      </c>
    </row>
    <row r="7745" spans="7:8" x14ac:dyDescent="0.3">
      <c r="G7745" s="75">
        <v>7742</v>
      </c>
      <c r="H7745">
        <f t="shared" ca="1" si="106"/>
        <v>3.5510856152392977E-3</v>
      </c>
    </row>
    <row r="7746" spans="7:8" x14ac:dyDescent="0.3">
      <c r="G7746" s="75">
        <v>7743</v>
      </c>
      <c r="H7746">
        <f t="shared" ref="H7746:H7809" ca="1" si="107">_xlfn.NORM.INV(RAND(),$N$4,$N$5)</f>
        <v>1.980003803043617E-2</v>
      </c>
    </row>
    <row r="7747" spans="7:8" x14ac:dyDescent="0.3">
      <c r="G7747" s="75">
        <v>7744</v>
      </c>
      <c r="H7747">
        <f t="shared" ca="1" si="107"/>
        <v>9.36225946690563E-3</v>
      </c>
    </row>
    <row r="7748" spans="7:8" x14ac:dyDescent="0.3">
      <c r="G7748" s="75">
        <v>7745</v>
      </c>
      <c r="H7748">
        <f t="shared" ca="1" si="107"/>
        <v>9.0154576594449407E-3</v>
      </c>
    </row>
    <row r="7749" spans="7:8" x14ac:dyDescent="0.3">
      <c r="G7749" s="75">
        <v>7746</v>
      </c>
      <c r="H7749">
        <f t="shared" ca="1" si="107"/>
        <v>-2.4730225494349563E-2</v>
      </c>
    </row>
    <row r="7750" spans="7:8" x14ac:dyDescent="0.3">
      <c r="G7750" s="75">
        <v>7747</v>
      </c>
      <c r="H7750">
        <f t="shared" ca="1" si="107"/>
        <v>7.6086025059709933E-3</v>
      </c>
    </row>
    <row r="7751" spans="7:8" x14ac:dyDescent="0.3">
      <c r="G7751" s="75">
        <v>7748</v>
      </c>
      <c r="H7751">
        <f t="shared" ca="1" si="107"/>
        <v>-9.6670414861910071E-3</v>
      </c>
    </row>
    <row r="7752" spans="7:8" x14ac:dyDescent="0.3">
      <c r="G7752" s="75">
        <v>7749</v>
      </c>
      <c r="H7752">
        <f t="shared" ca="1" si="107"/>
        <v>-9.1806339127689061E-3</v>
      </c>
    </row>
    <row r="7753" spans="7:8" x14ac:dyDescent="0.3">
      <c r="G7753" s="75">
        <v>7750</v>
      </c>
      <c r="H7753">
        <f t="shared" ca="1" si="107"/>
        <v>-2.9632955839449604E-3</v>
      </c>
    </row>
    <row r="7754" spans="7:8" x14ac:dyDescent="0.3">
      <c r="G7754" s="75">
        <v>7751</v>
      </c>
      <c r="H7754">
        <f t="shared" ca="1" si="107"/>
        <v>1.9798287295357008E-5</v>
      </c>
    </row>
    <row r="7755" spans="7:8" x14ac:dyDescent="0.3">
      <c r="G7755" s="75">
        <v>7752</v>
      </c>
      <c r="H7755">
        <f t="shared" ca="1" si="107"/>
        <v>-1.6282210358185129E-2</v>
      </c>
    </row>
    <row r="7756" spans="7:8" x14ac:dyDescent="0.3">
      <c r="G7756" s="75">
        <v>7753</v>
      </c>
      <c r="H7756">
        <f t="shared" ca="1" si="107"/>
        <v>5.3939317223218207E-3</v>
      </c>
    </row>
    <row r="7757" spans="7:8" x14ac:dyDescent="0.3">
      <c r="G7757" s="75">
        <v>7754</v>
      </c>
      <c r="H7757">
        <f t="shared" ca="1" si="107"/>
        <v>5.1246599608576983E-3</v>
      </c>
    </row>
    <row r="7758" spans="7:8" x14ac:dyDescent="0.3">
      <c r="G7758" s="75">
        <v>7755</v>
      </c>
      <c r="H7758">
        <f t="shared" ca="1" si="107"/>
        <v>-7.4937530722258006E-3</v>
      </c>
    </row>
    <row r="7759" spans="7:8" x14ac:dyDescent="0.3">
      <c r="G7759" s="75">
        <v>7756</v>
      </c>
      <c r="H7759">
        <f t="shared" ca="1" si="107"/>
        <v>-9.9567007056519273E-4</v>
      </c>
    </row>
    <row r="7760" spans="7:8" x14ac:dyDescent="0.3">
      <c r="G7760" s="75">
        <v>7757</v>
      </c>
      <c r="H7760">
        <f t="shared" ca="1" si="107"/>
        <v>-2.878951443931257E-3</v>
      </c>
    </row>
    <row r="7761" spans="7:8" x14ac:dyDescent="0.3">
      <c r="G7761" s="75">
        <v>7758</v>
      </c>
      <c r="H7761">
        <f t="shared" ca="1" si="107"/>
        <v>7.6737775755357134E-3</v>
      </c>
    </row>
    <row r="7762" spans="7:8" x14ac:dyDescent="0.3">
      <c r="G7762" s="75">
        <v>7759</v>
      </c>
      <c r="H7762">
        <f t="shared" ca="1" si="107"/>
        <v>4.8382547354004378E-3</v>
      </c>
    </row>
    <row r="7763" spans="7:8" x14ac:dyDescent="0.3">
      <c r="G7763" s="75">
        <v>7760</v>
      </c>
      <c r="H7763">
        <f t="shared" ca="1" si="107"/>
        <v>-1.3061460026760015E-2</v>
      </c>
    </row>
    <row r="7764" spans="7:8" x14ac:dyDescent="0.3">
      <c r="G7764" s="75">
        <v>7761</v>
      </c>
      <c r="H7764">
        <f t="shared" ca="1" si="107"/>
        <v>1.4667842930820388E-2</v>
      </c>
    </row>
    <row r="7765" spans="7:8" x14ac:dyDescent="0.3">
      <c r="G7765" s="75">
        <v>7762</v>
      </c>
      <c r="H7765">
        <f t="shared" ca="1" si="107"/>
        <v>1.4838820333849806E-4</v>
      </c>
    </row>
    <row r="7766" spans="7:8" x14ac:dyDescent="0.3">
      <c r="G7766" s="75">
        <v>7763</v>
      </c>
      <c r="H7766">
        <f t="shared" ca="1" si="107"/>
        <v>-5.4704324886965562E-3</v>
      </c>
    </row>
    <row r="7767" spans="7:8" x14ac:dyDescent="0.3">
      <c r="G7767" s="75">
        <v>7764</v>
      </c>
      <c r="H7767">
        <f t="shared" ca="1" si="107"/>
        <v>1.7200386299435846E-2</v>
      </c>
    </row>
    <row r="7768" spans="7:8" x14ac:dyDescent="0.3">
      <c r="G7768" s="75">
        <v>7765</v>
      </c>
      <c r="H7768">
        <f t="shared" ca="1" si="107"/>
        <v>5.6813363015807087E-3</v>
      </c>
    </row>
    <row r="7769" spans="7:8" x14ac:dyDescent="0.3">
      <c r="G7769" s="75">
        <v>7766</v>
      </c>
      <c r="H7769">
        <f t="shared" ca="1" si="107"/>
        <v>1.7653024115922906E-2</v>
      </c>
    </row>
    <row r="7770" spans="7:8" x14ac:dyDescent="0.3">
      <c r="G7770" s="75">
        <v>7767</v>
      </c>
      <c r="H7770">
        <f t="shared" ca="1" si="107"/>
        <v>-2.0657304201696447E-3</v>
      </c>
    </row>
    <row r="7771" spans="7:8" x14ac:dyDescent="0.3">
      <c r="G7771" s="75">
        <v>7768</v>
      </c>
      <c r="H7771">
        <f t="shared" ca="1" si="107"/>
        <v>-2.6314432549648281E-3</v>
      </c>
    </row>
    <row r="7772" spans="7:8" x14ac:dyDescent="0.3">
      <c r="G7772" s="75">
        <v>7769</v>
      </c>
      <c r="H7772">
        <f t="shared" ca="1" si="107"/>
        <v>1.5904776478001641E-3</v>
      </c>
    </row>
    <row r="7773" spans="7:8" x14ac:dyDescent="0.3">
      <c r="G7773" s="75">
        <v>7770</v>
      </c>
      <c r="H7773">
        <f t="shared" ca="1" si="107"/>
        <v>-1.065663868907666E-2</v>
      </c>
    </row>
    <row r="7774" spans="7:8" x14ac:dyDescent="0.3">
      <c r="G7774" s="75">
        <v>7771</v>
      </c>
      <c r="H7774">
        <f t="shared" ca="1" si="107"/>
        <v>1.2715245377553593E-2</v>
      </c>
    </row>
    <row r="7775" spans="7:8" x14ac:dyDescent="0.3">
      <c r="G7775" s="75">
        <v>7772</v>
      </c>
      <c r="H7775">
        <f t="shared" ca="1" si="107"/>
        <v>-6.4491057905592258E-3</v>
      </c>
    </row>
    <row r="7776" spans="7:8" x14ac:dyDescent="0.3">
      <c r="G7776" s="75">
        <v>7773</v>
      </c>
      <c r="H7776">
        <f t="shared" ca="1" si="107"/>
        <v>-1.4100387283346099E-2</v>
      </c>
    </row>
    <row r="7777" spans="7:8" x14ac:dyDescent="0.3">
      <c r="G7777" s="75">
        <v>7774</v>
      </c>
      <c r="H7777">
        <f t="shared" ca="1" si="107"/>
        <v>1.6278001148192389E-2</v>
      </c>
    </row>
    <row r="7778" spans="7:8" x14ac:dyDescent="0.3">
      <c r="G7778" s="75">
        <v>7775</v>
      </c>
      <c r="H7778">
        <f t="shared" ca="1" si="107"/>
        <v>9.3121347838793604E-3</v>
      </c>
    </row>
    <row r="7779" spans="7:8" x14ac:dyDescent="0.3">
      <c r="G7779" s="75">
        <v>7776</v>
      </c>
      <c r="H7779">
        <f t="shared" ca="1" si="107"/>
        <v>1.7620403159811147E-2</v>
      </c>
    </row>
    <row r="7780" spans="7:8" x14ac:dyDescent="0.3">
      <c r="G7780" s="75">
        <v>7777</v>
      </c>
      <c r="H7780">
        <f t="shared" ca="1" si="107"/>
        <v>-8.0551856123088853E-3</v>
      </c>
    </row>
    <row r="7781" spans="7:8" x14ac:dyDescent="0.3">
      <c r="G7781" s="75">
        <v>7778</v>
      </c>
      <c r="H7781">
        <f t="shared" ca="1" si="107"/>
        <v>4.1273537735073303E-4</v>
      </c>
    </row>
    <row r="7782" spans="7:8" x14ac:dyDescent="0.3">
      <c r="G7782" s="75">
        <v>7779</v>
      </c>
      <c r="H7782">
        <f t="shared" ca="1" si="107"/>
        <v>-1.3748764093959834E-3</v>
      </c>
    </row>
    <row r="7783" spans="7:8" x14ac:dyDescent="0.3">
      <c r="G7783" s="75">
        <v>7780</v>
      </c>
      <c r="H7783">
        <f t="shared" ca="1" si="107"/>
        <v>9.1920097849222168E-3</v>
      </c>
    </row>
    <row r="7784" spans="7:8" x14ac:dyDescent="0.3">
      <c r="G7784" s="75">
        <v>7781</v>
      </c>
      <c r="H7784">
        <f t="shared" ca="1" si="107"/>
        <v>6.5836120281229631E-3</v>
      </c>
    </row>
    <row r="7785" spans="7:8" x14ac:dyDescent="0.3">
      <c r="G7785" s="75">
        <v>7782</v>
      </c>
      <c r="H7785">
        <f t="shared" ca="1" si="107"/>
        <v>4.6904369567046713E-4</v>
      </c>
    </row>
    <row r="7786" spans="7:8" x14ac:dyDescent="0.3">
      <c r="G7786" s="75">
        <v>7783</v>
      </c>
      <c r="H7786">
        <f t="shared" ca="1" si="107"/>
        <v>8.3829611928088413E-3</v>
      </c>
    </row>
    <row r="7787" spans="7:8" x14ac:dyDescent="0.3">
      <c r="G7787" s="75">
        <v>7784</v>
      </c>
      <c r="H7787">
        <f t="shared" ca="1" si="107"/>
        <v>1.7616233866049488E-2</v>
      </c>
    </row>
    <row r="7788" spans="7:8" x14ac:dyDescent="0.3">
      <c r="G7788" s="75">
        <v>7785</v>
      </c>
      <c r="H7788">
        <f t="shared" ca="1" si="107"/>
        <v>1.7139829154813667E-3</v>
      </c>
    </row>
    <row r="7789" spans="7:8" x14ac:dyDescent="0.3">
      <c r="G7789" s="75">
        <v>7786</v>
      </c>
      <c r="H7789">
        <f t="shared" ca="1" si="107"/>
        <v>-7.7400306072616873E-3</v>
      </c>
    </row>
    <row r="7790" spans="7:8" x14ac:dyDescent="0.3">
      <c r="G7790" s="75">
        <v>7787</v>
      </c>
      <c r="H7790">
        <f t="shared" ca="1" si="107"/>
        <v>1.0127892315679152E-2</v>
      </c>
    </row>
    <row r="7791" spans="7:8" x14ac:dyDescent="0.3">
      <c r="G7791" s="75">
        <v>7788</v>
      </c>
      <c r="H7791">
        <f t="shared" ca="1" si="107"/>
        <v>-1.4077000006804792E-2</v>
      </c>
    </row>
    <row r="7792" spans="7:8" x14ac:dyDescent="0.3">
      <c r="G7792" s="75">
        <v>7789</v>
      </c>
      <c r="H7792">
        <f t="shared" ca="1" si="107"/>
        <v>1.0807742236670173E-3</v>
      </c>
    </row>
    <row r="7793" spans="7:8" x14ac:dyDescent="0.3">
      <c r="G7793" s="75">
        <v>7790</v>
      </c>
      <c r="H7793">
        <f t="shared" ca="1" si="107"/>
        <v>-2.5278018911333452E-2</v>
      </c>
    </row>
    <row r="7794" spans="7:8" x14ac:dyDescent="0.3">
      <c r="G7794" s="75">
        <v>7791</v>
      </c>
      <c r="H7794">
        <f t="shared" ca="1" si="107"/>
        <v>5.5289939669511158E-3</v>
      </c>
    </row>
    <row r="7795" spans="7:8" x14ac:dyDescent="0.3">
      <c r="G7795" s="75">
        <v>7792</v>
      </c>
      <c r="H7795">
        <f t="shared" ca="1" si="107"/>
        <v>-1.694252239434214E-2</v>
      </c>
    </row>
    <row r="7796" spans="7:8" x14ac:dyDescent="0.3">
      <c r="G7796" s="75">
        <v>7793</v>
      </c>
      <c r="H7796">
        <f t="shared" ca="1" si="107"/>
        <v>-3.0825038974466265E-3</v>
      </c>
    </row>
    <row r="7797" spans="7:8" x14ac:dyDescent="0.3">
      <c r="G7797" s="75">
        <v>7794</v>
      </c>
      <c r="H7797">
        <f t="shared" ca="1" si="107"/>
        <v>-1.075815656416796E-2</v>
      </c>
    </row>
    <row r="7798" spans="7:8" x14ac:dyDescent="0.3">
      <c r="G7798" s="75">
        <v>7795</v>
      </c>
      <c r="H7798">
        <f t="shared" ca="1" si="107"/>
        <v>3.1681857628018629E-3</v>
      </c>
    </row>
    <row r="7799" spans="7:8" x14ac:dyDescent="0.3">
      <c r="G7799" s="75">
        <v>7796</v>
      </c>
      <c r="H7799">
        <f t="shared" ca="1" si="107"/>
        <v>1.5901860950906725E-2</v>
      </c>
    </row>
    <row r="7800" spans="7:8" x14ac:dyDescent="0.3">
      <c r="G7800" s="75">
        <v>7797</v>
      </c>
      <c r="H7800">
        <f t="shared" ca="1" si="107"/>
        <v>-5.5899810810237007E-3</v>
      </c>
    </row>
    <row r="7801" spans="7:8" x14ac:dyDescent="0.3">
      <c r="G7801" s="75">
        <v>7798</v>
      </c>
      <c r="H7801">
        <f t="shared" ca="1" si="107"/>
        <v>5.5139302857102395E-3</v>
      </c>
    </row>
    <row r="7802" spans="7:8" x14ac:dyDescent="0.3">
      <c r="G7802" s="75">
        <v>7799</v>
      </c>
      <c r="H7802">
        <f t="shared" ca="1" si="107"/>
        <v>1.3473586952068467E-2</v>
      </c>
    </row>
    <row r="7803" spans="7:8" x14ac:dyDescent="0.3">
      <c r="G7803" s="75">
        <v>7800</v>
      </c>
      <c r="H7803">
        <f t="shared" ca="1" si="107"/>
        <v>-4.0880076544979856E-3</v>
      </c>
    </row>
    <row r="7804" spans="7:8" x14ac:dyDescent="0.3">
      <c r="G7804" s="75">
        <v>7801</v>
      </c>
      <c r="H7804">
        <f t="shared" ca="1" si="107"/>
        <v>1.0649586386773192E-2</v>
      </c>
    </row>
    <row r="7805" spans="7:8" x14ac:dyDescent="0.3">
      <c r="G7805" s="75">
        <v>7802</v>
      </c>
      <c r="H7805">
        <f t="shared" ca="1" si="107"/>
        <v>-9.2992203230047536E-3</v>
      </c>
    </row>
    <row r="7806" spans="7:8" x14ac:dyDescent="0.3">
      <c r="G7806" s="75">
        <v>7803</v>
      </c>
      <c r="H7806">
        <f t="shared" ca="1" si="107"/>
        <v>2.8140061448571964E-4</v>
      </c>
    </row>
    <row r="7807" spans="7:8" x14ac:dyDescent="0.3">
      <c r="G7807" s="75">
        <v>7804</v>
      </c>
      <c r="H7807">
        <f t="shared" ca="1" si="107"/>
        <v>-3.2059332452140316E-3</v>
      </c>
    </row>
    <row r="7808" spans="7:8" x14ac:dyDescent="0.3">
      <c r="G7808" s="75">
        <v>7805</v>
      </c>
      <c r="H7808">
        <f t="shared" ca="1" si="107"/>
        <v>-1.3042071014990222E-3</v>
      </c>
    </row>
    <row r="7809" spans="7:8" x14ac:dyDescent="0.3">
      <c r="G7809" s="75">
        <v>7806</v>
      </c>
      <c r="H7809">
        <f t="shared" ca="1" si="107"/>
        <v>-1.9850523410531753E-2</v>
      </c>
    </row>
    <row r="7810" spans="7:8" x14ac:dyDescent="0.3">
      <c r="G7810" s="75">
        <v>7807</v>
      </c>
      <c r="H7810">
        <f t="shared" ref="H7810:H7873" ca="1" si="108">_xlfn.NORM.INV(RAND(),$N$4,$N$5)</f>
        <v>1.9556157416225434E-2</v>
      </c>
    </row>
    <row r="7811" spans="7:8" x14ac:dyDescent="0.3">
      <c r="G7811" s="75">
        <v>7808</v>
      </c>
      <c r="H7811">
        <f t="shared" ca="1" si="108"/>
        <v>-1.7957193466246101E-2</v>
      </c>
    </row>
    <row r="7812" spans="7:8" x14ac:dyDescent="0.3">
      <c r="G7812" s="75">
        <v>7809</v>
      </c>
      <c r="H7812">
        <f t="shared" ca="1" si="108"/>
        <v>7.3673002619448497E-3</v>
      </c>
    </row>
    <row r="7813" spans="7:8" x14ac:dyDescent="0.3">
      <c r="G7813" s="75">
        <v>7810</v>
      </c>
      <c r="H7813">
        <f t="shared" ca="1" si="108"/>
        <v>2.210585635053073E-2</v>
      </c>
    </row>
    <row r="7814" spans="7:8" x14ac:dyDescent="0.3">
      <c r="G7814" s="75">
        <v>7811</v>
      </c>
      <c r="H7814">
        <f t="shared" ca="1" si="108"/>
        <v>-1.5475234529829586E-2</v>
      </c>
    </row>
    <row r="7815" spans="7:8" x14ac:dyDescent="0.3">
      <c r="G7815" s="75">
        <v>7812</v>
      </c>
      <c r="H7815">
        <f t="shared" ca="1" si="108"/>
        <v>1.4611906635146814E-3</v>
      </c>
    </row>
    <row r="7816" spans="7:8" x14ac:dyDescent="0.3">
      <c r="G7816" s="75">
        <v>7813</v>
      </c>
      <c r="H7816">
        <f t="shared" ca="1" si="108"/>
        <v>-8.738085964680193E-3</v>
      </c>
    </row>
    <row r="7817" spans="7:8" x14ac:dyDescent="0.3">
      <c r="G7817" s="75">
        <v>7814</v>
      </c>
      <c r="H7817">
        <f t="shared" ca="1" si="108"/>
        <v>-3.2481934103417019E-3</v>
      </c>
    </row>
    <row r="7818" spans="7:8" x14ac:dyDescent="0.3">
      <c r="G7818" s="75">
        <v>7815</v>
      </c>
      <c r="H7818">
        <f t="shared" ca="1" si="108"/>
        <v>9.6952422786454624E-3</v>
      </c>
    </row>
    <row r="7819" spans="7:8" x14ac:dyDescent="0.3">
      <c r="G7819" s="75">
        <v>7816</v>
      </c>
      <c r="H7819">
        <f t="shared" ca="1" si="108"/>
        <v>-2.1473975253173395E-2</v>
      </c>
    </row>
    <row r="7820" spans="7:8" x14ac:dyDescent="0.3">
      <c r="G7820" s="75">
        <v>7817</v>
      </c>
      <c r="H7820">
        <f t="shared" ca="1" si="108"/>
        <v>6.2552615623442751E-3</v>
      </c>
    </row>
    <row r="7821" spans="7:8" x14ac:dyDescent="0.3">
      <c r="G7821" s="75">
        <v>7818</v>
      </c>
      <c r="H7821">
        <f t="shared" ca="1" si="108"/>
        <v>-5.8711687459803283E-3</v>
      </c>
    </row>
    <row r="7822" spans="7:8" x14ac:dyDescent="0.3">
      <c r="G7822" s="75">
        <v>7819</v>
      </c>
      <c r="H7822">
        <f t="shared" ca="1" si="108"/>
        <v>3.4234489448306668E-3</v>
      </c>
    </row>
    <row r="7823" spans="7:8" x14ac:dyDescent="0.3">
      <c r="G7823" s="75">
        <v>7820</v>
      </c>
      <c r="H7823">
        <f t="shared" ca="1" si="108"/>
        <v>2.7697528528420213E-4</v>
      </c>
    </row>
    <row r="7824" spans="7:8" x14ac:dyDescent="0.3">
      <c r="G7824" s="75">
        <v>7821</v>
      </c>
      <c r="H7824">
        <f t="shared" ca="1" si="108"/>
        <v>5.510636043963282E-3</v>
      </c>
    </row>
    <row r="7825" spans="7:8" x14ac:dyDescent="0.3">
      <c r="G7825" s="75">
        <v>7822</v>
      </c>
      <c r="H7825">
        <f t="shared" ca="1" si="108"/>
        <v>2.2678707292380592E-3</v>
      </c>
    </row>
    <row r="7826" spans="7:8" x14ac:dyDescent="0.3">
      <c r="G7826" s="75">
        <v>7823</v>
      </c>
      <c r="H7826">
        <f t="shared" ca="1" si="108"/>
        <v>1.6857916157788231E-2</v>
      </c>
    </row>
    <row r="7827" spans="7:8" x14ac:dyDescent="0.3">
      <c r="G7827" s="75">
        <v>7824</v>
      </c>
      <c r="H7827">
        <f t="shared" ca="1" si="108"/>
        <v>-1.9641525023218788E-2</v>
      </c>
    </row>
    <row r="7828" spans="7:8" x14ac:dyDescent="0.3">
      <c r="G7828" s="75">
        <v>7825</v>
      </c>
      <c r="H7828">
        <f t="shared" ca="1" si="108"/>
        <v>1.9769545870966011E-2</v>
      </c>
    </row>
    <row r="7829" spans="7:8" x14ac:dyDescent="0.3">
      <c r="G7829" s="75">
        <v>7826</v>
      </c>
      <c r="H7829">
        <f t="shared" ca="1" si="108"/>
        <v>-1.6179273813335535E-2</v>
      </c>
    </row>
    <row r="7830" spans="7:8" x14ac:dyDescent="0.3">
      <c r="G7830" s="75">
        <v>7827</v>
      </c>
      <c r="H7830">
        <f t="shared" ca="1" si="108"/>
        <v>-2.8794976974541048E-2</v>
      </c>
    </row>
    <row r="7831" spans="7:8" x14ac:dyDescent="0.3">
      <c r="G7831" s="75">
        <v>7828</v>
      </c>
      <c r="H7831">
        <f t="shared" ca="1" si="108"/>
        <v>-9.4384907076717189E-3</v>
      </c>
    </row>
    <row r="7832" spans="7:8" x14ac:dyDescent="0.3">
      <c r="G7832" s="75">
        <v>7829</v>
      </c>
      <c r="H7832">
        <f t="shared" ca="1" si="108"/>
        <v>1.200855936284427E-3</v>
      </c>
    </row>
    <row r="7833" spans="7:8" x14ac:dyDescent="0.3">
      <c r="G7833" s="75">
        <v>7830</v>
      </c>
      <c r="H7833">
        <f t="shared" ca="1" si="108"/>
        <v>1.2319826892012418E-2</v>
      </c>
    </row>
    <row r="7834" spans="7:8" x14ac:dyDescent="0.3">
      <c r="G7834" s="75">
        <v>7831</v>
      </c>
      <c r="H7834">
        <f t="shared" ca="1" si="108"/>
        <v>7.4986616230874222E-3</v>
      </c>
    </row>
    <row r="7835" spans="7:8" x14ac:dyDescent="0.3">
      <c r="G7835" s="75">
        <v>7832</v>
      </c>
      <c r="H7835">
        <f t="shared" ca="1" si="108"/>
        <v>1.1846382901968648E-2</v>
      </c>
    </row>
    <row r="7836" spans="7:8" x14ac:dyDescent="0.3">
      <c r="G7836" s="75">
        <v>7833</v>
      </c>
      <c r="H7836">
        <f t="shared" ca="1" si="108"/>
        <v>3.7024221676919956E-3</v>
      </c>
    </row>
    <row r="7837" spans="7:8" x14ac:dyDescent="0.3">
      <c r="G7837" s="75">
        <v>7834</v>
      </c>
      <c r="H7837">
        <f t="shared" ca="1" si="108"/>
        <v>-1.5250636061116802E-2</v>
      </c>
    </row>
    <row r="7838" spans="7:8" x14ac:dyDescent="0.3">
      <c r="G7838" s="75">
        <v>7835</v>
      </c>
      <c r="H7838">
        <f t="shared" ca="1" si="108"/>
        <v>-9.2175938604481585E-3</v>
      </c>
    </row>
    <row r="7839" spans="7:8" x14ac:dyDescent="0.3">
      <c r="G7839" s="75">
        <v>7836</v>
      </c>
      <c r="H7839">
        <f t="shared" ca="1" si="108"/>
        <v>-4.8395409524699231E-3</v>
      </c>
    </row>
    <row r="7840" spans="7:8" x14ac:dyDescent="0.3">
      <c r="G7840" s="75">
        <v>7837</v>
      </c>
      <c r="H7840">
        <f t="shared" ca="1" si="108"/>
        <v>-8.4284499162286166E-6</v>
      </c>
    </row>
    <row r="7841" spans="7:8" x14ac:dyDescent="0.3">
      <c r="G7841" s="75">
        <v>7838</v>
      </c>
      <c r="H7841">
        <f t="shared" ca="1" si="108"/>
        <v>-1.5951223083472521E-2</v>
      </c>
    </row>
    <row r="7842" spans="7:8" x14ac:dyDescent="0.3">
      <c r="G7842" s="75">
        <v>7839</v>
      </c>
      <c r="H7842">
        <f t="shared" ca="1" si="108"/>
        <v>7.5642078556014559E-3</v>
      </c>
    </row>
    <row r="7843" spans="7:8" x14ac:dyDescent="0.3">
      <c r="G7843" s="75">
        <v>7840</v>
      </c>
      <c r="H7843">
        <f t="shared" ca="1" si="108"/>
        <v>5.8748179907621373E-3</v>
      </c>
    </row>
    <row r="7844" spans="7:8" x14ac:dyDescent="0.3">
      <c r="G7844" s="75">
        <v>7841</v>
      </c>
      <c r="H7844">
        <f t="shared" ca="1" si="108"/>
        <v>-1.9055091211373592E-2</v>
      </c>
    </row>
    <row r="7845" spans="7:8" x14ac:dyDescent="0.3">
      <c r="G7845" s="75">
        <v>7842</v>
      </c>
      <c r="H7845">
        <f t="shared" ca="1" si="108"/>
        <v>6.7187110975154077E-3</v>
      </c>
    </row>
    <row r="7846" spans="7:8" x14ac:dyDescent="0.3">
      <c r="G7846" s="75">
        <v>7843</v>
      </c>
      <c r="H7846">
        <f t="shared" ca="1" si="108"/>
        <v>1.5643730886105017E-2</v>
      </c>
    </row>
    <row r="7847" spans="7:8" x14ac:dyDescent="0.3">
      <c r="G7847" s="75">
        <v>7844</v>
      </c>
      <c r="H7847">
        <f t="shared" ca="1" si="108"/>
        <v>-5.8515958042105647E-3</v>
      </c>
    </row>
    <row r="7848" spans="7:8" x14ac:dyDescent="0.3">
      <c r="G7848" s="75">
        <v>7845</v>
      </c>
      <c r="H7848">
        <f t="shared" ca="1" si="108"/>
        <v>-4.8676677417414365E-6</v>
      </c>
    </row>
    <row r="7849" spans="7:8" x14ac:dyDescent="0.3">
      <c r="G7849" s="75">
        <v>7846</v>
      </c>
      <c r="H7849">
        <f t="shared" ca="1" si="108"/>
        <v>-2.4462899057196346E-3</v>
      </c>
    </row>
    <row r="7850" spans="7:8" x14ac:dyDescent="0.3">
      <c r="G7850" s="75">
        <v>7847</v>
      </c>
      <c r="H7850">
        <f t="shared" ca="1" si="108"/>
        <v>9.9513851074373647E-3</v>
      </c>
    </row>
    <row r="7851" spans="7:8" x14ac:dyDescent="0.3">
      <c r="G7851" s="75">
        <v>7848</v>
      </c>
      <c r="H7851">
        <f t="shared" ca="1" si="108"/>
        <v>5.8999540144708167E-3</v>
      </c>
    </row>
    <row r="7852" spans="7:8" x14ac:dyDescent="0.3">
      <c r="G7852" s="75">
        <v>7849</v>
      </c>
      <c r="H7852">
        <f t="shared" ca="1" si="108"/>
        <v>-6.5480051954183239E-3</v>
      </c>
    </row>
    <row r="7853" spans="7:8" x14ac:dyDescent="0.3">
      <c r="G7853" s="75">
        <v>7850</v>
      </c>
      <c r="H7853">
        <f t="shared" ca="1" si="108"/>
        <v>-1.8711596297783226E-2</v>
      </c>
    </row>
    <row r="7854" spans="7:8" x14ac:dyDescent="0.3">
      <c r="G7854" s="75">
        <v>7851</v>
      </c>
      <c r="H7854">
        <f t="shared" ca="1" si="108"/>
        <v>1.6795448038592058E-2</v>
      </c>
    </row>
    <row r="7855" spans="7:8" x14ac:dyDescent="0.3">
      <c r="G7855" s="75">
        <v>7852</v>
      </c>
      <c r="H7855">
        <f t="shared" ca="1" si="108"/>
        <v>4.1791489585261228E-4</v>
      </c>
    </row>
    <row r="7856" spans="7:8" x14ac:dyDescent="0.3">
      <c r="G7856" s="75">
        <v>7853</v>
      </c>
      <c r="H7856">
        <f t="shared" ca="1" si="108"/>
        <v>-2.462278986069534E-4</v>
      </c>
    </row>
    <row r="7857" spans="7:8" x14ac:dyDescent="0.3">
      <c r="G7857" s="75">
        <v>7854</v>
      </c>
      <c r="H7857">
        <f t="shared" ca="1" si="108"/>
        <v>2.0640932621479521E-2</v>
      </c>
    </row>
    <row r="7858" spans="7:8" x14ac:dyDescent="0.3">
      <c r="G7858" s="75">
        <v>7855</v>
      </c>
      <c r="H7858">
        <f t="shared" ca="1" si="108"/>
        <v>-1.8439801809046617E-2</v>
      </c>
    </row>
    <row r="7859" spans="7:8" x14ac:dyDescent="0.3">
      <c r="G7859" s="75">
        <v>7856</v>
      </c>
      <c r="H7859">
        <f t="shared" ca="1" si="108"/>
        <v>-7.2471263022813679E-3</v>
      </c>
    </row>
    <row r="7860" spans="7:8" x14ac:dyDescent="0.3">
      <c r="G7860" s="75">
        <v>7857</v>
      </c>
      <c r="H7860">
        <f t="shared" ca="1" si="108"/>
        <v>-3.2234851626953921E-2</v>
      </c>
    </row>
    <row r="7861" spans="7:8" x14ac:dyDescent="0.3">
      <c r="G7861" s="75">
        <v>7858</v>
      </c>
      <c r="H7861">
        <f t="shared" ca="1" si="108"/>
        <v>1.2058800350563892E-2</v>
      </c>
    </row>
    <row r="7862" spans="7:8" x14ac:dyDescent="0.3">
      <c r="G7862" s="75">
        <v>7859</v>
      </c>
      <c r="H7862">
        <f t="shared" ca="1" si="108"/>
        <v>2.9979307153270265E-2</v>
      </c>
    </row>
    <row r="7863" spans="7:8" x14ac:dyDescent="0.3">
      <c r="G7863" s="75">
        <v>7860</v>
      </c>
      <c r="H7863">
        <f t="shared" ca="1" si="108"/>
        <v>1.8184971233999075E-2</v>
      </c>
    </row>
    <row r="7864" spans="7:8" x14ac:dyDescent="0.3">
      <c r="G7864" s="75">
        <v>7861</v>
      </c>
      <c r="H7864">
        <f t="shared" ca="1" si="108"/>
        <v>4.1414530200100454E-4</v>
      </c>
    </row>
    <row r="7865" spans="7:8" x14ac:dyDescent="0.3">
      <c r="G7865" s="75">
        <v>7862</v>
      </c>
      <c r="H7865">
        <f t="shared" ca="1" si="108"/>
        <v>6.1075716897319538E-3</v>
      </c>
    </row>
    <row r="7866" spans="7:8" x14ac:dyDescent="0.3">
      <c r="G7866" s="75">
        <v>7863</v>
      </c>
      <c r="H7866">
        <f t="shared" ca="1" si="108"/>
        <v>8.1544430452327264E-3</v>
      </c>
    </row>
    <row r="7867" spans="7:8" x14ac:dyDescent="0.3">
      <c r="G7867" s="75">
        <v>7864</v>
      </c>
      <c r="H7867">
        <f t="shared" ca="1" si="108"/>
        <v>7.2806520059038823E-4</v>
      </c>
    </row>
    <row r="7868" spans="7:8" x14ac:dyDescent="0.3">
      <c r="G7868" s="75">
        <v>7865</v>
      </c>
      <c r="H7868">
        <f t="shared" ca="1" si="108"/>
        <v>1.0390697536957601E-2</v>
      </c>
    </row>
    <row r="7869" spans="7:8" x14ac:dyDescent="0.3">
      <c r="G7869" s="75">
        <v>7866</v>
      </c>
      <c r="H7869">
        <f t="shared" ca="1" si="108"/>
        <v>1.105631667807757E-2</v>
      </c>
    </row>
    <row r="7870" spans="7:8" x14ac:dyDescent="0.3">
      <c r="G7870" s="75">
        <v>7867</v>
      </c>
      <c r="H7870">
        <f t="shared" ca="1" si="108"/>
        <v>1.4865981931955329E-2</v>
      </c>
    </row>
    <row r="7871" spans="7:8" x14ac:dyDescent="0.3">
      <c r="G7871" s="75">
        <v>7868</v>
      </c>
      <c r="H7871">
        <f t="shared" ca="1" si="108"/>
        <v>1.4545440926544073E-3</v>
      </c>
    </row>
    <row r="7872" spans="7:8" x14ac:dyDescent="0.3">
      <c r="G7872" s="75">
        <v>7869</v>
      </c>
      <c r="H7872">
        <f t="shared" ca="1" si="108"/>
        <v>1.0833130544772413E-2</v>
      </c>
    </row>
    <row r="7873" spans="7:8" x14ac:dyDescent="0.3">
      <c r="G7873" s="75">
        <v>7870</v>
      </c>
      <c r="H7873">
        <f t="shared" ca="1" si="108"/>
        <v>-2.1841183224505581E-3</v>
      </c>
    </row>
    <row r="7874" spans="7:8" x14ac:dyDescent="0.3">
      <c r="G7874" s="75">
        <v>7871</v>
      </c>
      <c r="H7874">
        <f t="shared" ref="H7874:H7937" ca="1" si="109">_xlfn.NORM.INV(RAND(),$N$4,$N$5)</f>
        <v>-1.1763695552338846E-2</v>
      </c>
    </row>
    <row r="7875" spans="7:8" x14ac:dyDescent="0.3">
      <c r="G7875" s="75">
        <v>7872</v>
      </c>
      <c r="H7875">
        <f t="shared" ca="1" si="109"/>
        <v>1.2610359305867522E-2</v>
      </c>
    </row>
    <row r="7876" spans="7:8" x14ac:dyDescent="0.3">
      <c r="G7876" s="75">
        <v>7873</v>
      </c>
      <c r="H7876">
        <f t="shared" ca="1" si="109"/>
        <v>-4.7258088499498811E-3</v>
      </c>
    </row>
    <row r="7877" spans="7:8" x14ac:dyDescent="0.3">
      <c r="G7877" s="75">
        <v>7874</v>
      </c>
      <c r="H7877">
        <f t="shared" ca="1" si="109"/>
        <v>-1.0639305989084375E-2</v>
      </c>
    </row>
    <row r="7878" spans="7:8" x14ac:dyDescent="0.3">
      <c r="G7878" s="75">
        <v>7875</v>
      </c>
      <c r="H7878">
        <f t="shared" ca="1" si="109"/>
        <v>-1.5744763997818392E-2</v>
      </c>
    </row>
    <row r="7879" spans="7:8" x14ac:dyDescent="0.3">
      <c r="G7879" s="75">
        <v>7876</v>
      </c>
      <c r="H7879">
        <f t="shared" ca="1" si="109"/>
        <v>-1.4823944321187695E-2</v>
      </c>
    </row>
    <row r="7880" spans="7:8" x14ac:dyDescent="0.3">
      <c r="G7880" s="75">
        <v>7877</v>
      </c>
      <c r="H7880">
        <f t="shared" ca="1" si="109"/>
        <v>-2.8905588317484306E-3</v>
      </c>
    </row>
    <row r="7881" spans="7:8" x14ac:dyDescent="0.3">
      <c r="G7881" s="75">
        <v>7878</v>
      </c>
      <c r="H7881">
        <f t="shared" ca="1" si="109"/>
        <v>1.0891949856890669E-2</v>
      </c>
    </row>
    <row r="7882" spans="7:8" x14ac:dyDescent="0.3">
      <c r="G7882" s="75">
        <v>7879</v>
      </c>
      <c r="H7882">
        <f t="shared" ca="1" si="109"/>
        <v>9.4338237945263423E-4</v>
      </c>
    </row>
    <row r="7883" spans="7:8" x14ac:dyDescent="0.3">
      <c r="G7883" s="75">
        <v>7880</v>
      </c>
      <c r="H7883">
        <f t="shared" ca="1" si="109"/>
        <v>2.7028513329657878E-3</v>
      </c>
    </row>
    <row r="7884" spans="7:8" x14ac:dyDescent="0.3">
      <c r="G7884" s="75">
        <v>7881</v>
      </c>
      <c r="H7884">
        <f t="shared" ca="1" si="109"/>
        <v>9.6645819649663189E-3</v>
      </c>
    </row>
    <row r="7885" spans="7:8" x14ac:dyDescent="0.3">
      <c r="G7885" s="75">
        <v>7882</v>
      </c>
      <c r="H7885">
        <f t="shared" ca="1" si="109"/>
        <v>9.6958661101179241E-4</v>
      </c>
    </row>
    <row r="7886" spans="7:8" x14ac:dyDescent="0.3">
      <c r="G7886" s="75">
        <v>7883</v>
      </c>
      <c r="H7886">
        <f t="shared" ca="1" si="109"/>
        <v>2.5392973060064987E-2</v>
      </c>
    </row>
    <row r="7887" spans="7:8" x14ac:dyDescent="0.3">
      <c r="G7887" s="75">
        <v>7884</v>
      </c>
      <c r="H7887">
        <f t="shared" ca="1" si="109"/>
        <v>-2.8086996559057286E-3</v>
      </c>
    </row>
    <row r="7888" spans="7:8" x14ac:dyDescent="0.3">
      <c r="G7888" s="75">
        <v>7885</v>
      </c>
      <c r="H7888">
        <f t="shared" ca="1" si="109"/>
        <v>4.6961446014818073E-3</v>
      </c>
    </row>
    <row r="7889" spans="7:8" x14ac:dyDescent="0.3">
      <c r="G7889" s="75">
        <v>7886</v>
      </c>
      <c r="H7889">
        <f t="shared" ca="1" si="109"/>
        <v>3.2246393164088193E-3</v>
      </c>
    </row>
    <row r="7890" spans="7:8" x14ac:dyDescent="0.3">
      <c r="G7890" s="75">
        <v>7887</v>
      </c>
      <c r="H7890">
        <f t="shared" ca="1" si="109"/>
        <v>-1.0311956413479529E-2</v>
      </c>
    </row>
    <row r="7891" spans="7:8" x14ac:dyDescent="0.3">
      <c r="G7891" s="75">
        <v>7888</v>
      </c>
      <c r="H7891">
        <f t="shared" ca="1" si="109"/>
        <v>-1.3779365497499358E-2</v>
      </c>
    </row>
    <row r="7892" spans="7:8" x14ac:dyDescent="0.3">
      <c r="G7892" s="75">
        <v>7889</v>
      </c>
      <c r="H7892">
        <f t="shared" ca="1" si="109"/>
        <v>-1.6782331528581566E-3</v>
      </c>
    </row>
    <row r="7893" spans="7:8" x14ac:dyDescent="0.3">
      <c r="G7893" s="75">
        <v>7890</v>
      </c>
      <c r="H7893">
        <f t="shared" ca="1" si="109"/>
        <v>-2.155985550980995E-2</v>
      </c>
    </row>
    <row r="7894" spans="7:8" x14ac:dyDescent="0.3">
      <c r="G7894" s="75">
        <v>7891</v>
      </c>
      <c r="H7894">
        <f t="shared" ca="1" si="109"/>
        <v>-1.3703840427556327E-2</v>
      </c>
    </row>
    <row r="7895" spans="7:8" x14ac:dyDescent="0.3">
      <c r="G7895" s="75">
        <v>7892</v>
      </c>
      <c r="H7895">
        <f t="shared" ca="1" si="109"/>
        <v>-5.1123920407693171E-3</v>
      </c>
    </row>
    <row r="7896" spans="7:8" x14ac:dyDescent="0.3">
      <c r="G7896" s="75">
        <v>7893</v>
      </c>
      <c r="H7896">
        <f t="shared" ca="1" si="109"/>
        <v>-4.2006853740445783E-3</v>
      </c>
    </row>
    <row r="7897" spans="7:8" x14ac:dyDescent="0.3">
      <c r="G7897" s="75">
        <v>7894</v>
      </c>
      <c r="H7897">
        <f t="shared" ca="1" si="109"/>
        <v>4.2954377482064985E-3</v>
      </c>
    </row>
    <row r="7898" spans="7:8" x14ac:dyDescent="0.3">
      <c r="G7898" s="75">
        <v>7895</v>
      </c>
      <c r="H7898">
        <f t="shared" ca="1" si="109"/>
        <v>-4.1154776692015407E-3</v>
      </c>
    </row>
    <row r="7899" spans="7:8" x14ac:dyDescent="0.3">
      <c r="G7899" s="75">
        <v>7896</v>
      </c>
      <c r="H7899">
        <f t="shared" ca="1" si="109"/>
        <v>1.5426968044164962E-3</v>
      </c>
    </row>
    <row r="7900" spans="7:8" x14ac:dyDescent="0.3">
      <c r="G7900" s="75">
        <v>7897</v>
      </c>
      <c r="H7900">
        <f t="shared" ca="1" si="109"/>
        <v>-6.3731112248402097E-3</v>
      </c>
    </row>
    <row r="7901" spans="7:8" x14ac:dyDescent="0.3">
      <c r="G7901" s="75">
        <v>7898</v>
      </c>
      <c r="H7901">
        <f t="shared" ca="1" si="109"/>
        <v>1.5203045457280037E-2</v>
      </c>
    </row>
    <row r="7902" spans="7:8" x14ac:dyDescent="0.3">
      <c r="G7902" s="75">
        <v>7899</v>
      </c>
      <c r="H7902">
        <f t="shared" ca="1" si="109"/>
        <v>8.5912462055905778E-3</v>
      </c>
    </row>
    <row r="7903" spans="7:8" x14ac:dyDescent="0.3">
      <c r="G7903" s="75">
        <v>7900</v>
      </c>
      <c r="H7903">
        <f t="shared" ca="1" si="109"/>
        <v>-8.2335429255393072E-4</v>
      </c>
    </row>
    <row r="7904" spans="7:8" x14ac:dyDescent="0.3">
      <c r="G7904" s="75">
        <v>7901</v>
      </c>
      <c r="H7904">
        <f t="shared" ca="1" si="109"/>
        <v>2.2985326166957913E-2</v>
      </c>
    </row>
    <row r="7905" spans="7:8" x14ac:dyDescent="0.3">
      <c r="G7905" s="75">
        <v>7902</v>
      </c>
      <c r="H7905">
        <f t="shared" ca="1" si="109"/>
        <v>9.2187369911598E-3</v>
      </c>
    </row>
    <row r="7906" spans="7:8" x14ac:dyDescent="0.3">
      <c r="G7906" s="75">
        <v>7903</v>
      </c>
      <c r="H7906">
        <f t="shared" ca="1" si="109"/>
        <v>3.0155297472523558E-3</v>
      </c>
    </row>
    <row r="7907" spans="7:8" x14ac:dyDescent="0.3">
      <c r="G7907" s="75">
        <v>7904</v>
      </c>
      <c r="H7907">
        <f t="shared" ca="1" si="109"/>
        <v>2.4807517298461809E-2</v>
      </c>
    </row>
    <row r="7908" spans="7:8" x14ac:dyDescent="0.3">
      <c r="G7908" s="75">
        <v>7905</v>
      </c>
      <c r="H7908">
        <f t="shared" ca="1" si="109"/>
        <v>3.7944918058540676E-3</v>
      </c>
    </row>
    <row r="7909" spans="7:8" x14ac:dyDescent="0.3">
      <c r="G7909" s="75">
        <v>7906</v>
      </c>
      <c r="H7909">
        <f t="shared" ca="1" si="109"/>
        <v>-1.1181846661054425E-2</v>
      </c>
    </row>
    <row r="7910" spans="7:8" x14ac:dyDescent="0.3">
      <c r="G7910" s="75">
        <v>7907</v>
      </c>
      <c r="H7910">
        <f t="shared" ca="1" si="109"/>
        <v>-1.7509293444089309E-2</v>
      </c>
    </row>
    <row r="7911" spans="7:8" x14ac:dyDescent="0.3">
      <c r="G7911" s="75">
        <v>7908</v>
      </c>
      <c r="H7911">
        <f t="shared" ca="1" si="109"/>
        <v>-6.4849409018845365E-3</v>
      </c>
    </row>
    <row r="7912" spans="7:8" x14ac:dyDescent="0.3">
      <c r="G7912" s="75">
        <v>7909</v>
      </c>
      <c r="H7912">
        <f t="shared" ca="1" si="109"/>
        <v>-1.0264555113243737E-2</v>
      </c>
    </row>
    <row r="7913" spans="7:8" x14ac:dyDescent="0.3">
      <c r="G7913" s="75">
        <v>7910</v>
      </c>
      <c r="H7913">
        <f t="shared" ca="1" si="109"/>
        <v>-5.3942758910363164E-3</v>
      </c>
    </row>
    <row r="7914" spans="7:8" x14ac:dyDescent="0.3">
      <c r="G7914" s="75">
        <v>7911</v>
      </c>
      <c r="H7914">
        <f t="shared" ca="1" si="109"/>
        <v>4.2730559258856394E-3</v>
      </c>
    </row>
    <row r="7915" spans="7:8" x14ac:dyDescent="0.3">
      <c r="G7915" s="75">
        <v>7912</v>
      </c>
      <c r="H7915">
        <f t="shared" ca="1" si="109"/>
        <v>-2.635752891526324E-3</v>
      </c>
    </row>
    <row r="7916" spans="7:8" x14ac:dyDescent="0.3">
      <c r="G7916" s="75">
        <v>7913</v>
      </c>
      <c r="H7916">
        <f t="shared" ca="1" si="109"/>
        <v>-5.3398115640381104E-3</v>
      </c>
    </row>
    <row r="7917" spans="7:8" x14ac:dyDescent="0.3">
      <c r="G7917" s="75">
        <v>7914</v>
      </c>
      <c r="H7917">
        <f t="shared" ca="1" si="109"/>
        <v>2.6141294591860002E-3</v>
      </c>
    </row>
    <row r="7918" spans="7:8" x14ac:dyDescent="0.3">
      <c r="G7918" s="75">
        <v>7915</v>
      </c>
      <c r="H7918">
        <f t="shared" ca="1" si="109"/>
        <v>-8.239001990454688E-3</v>
      </c>
    </row>
    <row r="7919" spans="7:8" x14ac:dyDescent="0.3">
      <c r="G7919" s="75">
        <v>7916</v>
      </c>
      <c r="H7919">
        <f t="shared" ca="1" si="109"/>
        <v>2.1722579027010695E-2</v>
      </c>
    </row>
    <row r="7920" spans="7:8" x14ac:dyDescent="0.3">
      <c r="G7920" s="75">
        <v>7917</v>
      </c>
      <c r="H7920">
        <f t="shared" ca="1" si="109"/>
        <v>-8.7195726935227844E-3</v>
      </c>
    </row>
    <row r="7921" spans="7:8" x14ac:dyDescent="0.3">
      <c r="G7921" s="75">
        <v>7918</v>
      </c>
      <c r="H7921">
        <f t="shared" ca="1" si="109"/>
        <v>1.1899763931845751E-2</v>
      </c>
    </row>
    <row r="7922" spans="7:8" x14ac:dyDescent="0.3">
      <c r="G7922" s="75">
        <v>7919</v>
      </c>
      <c r="H7922">
        <f t="shared" ca="1" si="109"/>
        <v>-1.0511012535981438E-2</v>
      </c>
    </row>
    <row r="7923" spans="7:8" x14ac:dyDescent="0.3">
      <c r="G7923" s="75">
        <v>7920</v>
      </c>
      <c r="H7923">
        <f t="shared" ca="1" si="109"/>
        <v>-2.8411739605865675E-3</v>
      </c>
    </row>
    <row r="7924" spans="7:8" x14ac:dyDescent="0.3">
      <c r="G7924" s="75">
        <v>7921</v>
      </c>
      <c r="H7924">
        <f t="shared" ca="1" si="109"/>
        <v>1.0356101216810774E-2</v>
      </c>
    </row>
    <row r="7925" spans="7:8" x14ac:dyDescent="0.3">
      <c r="G7925" s="75">
        <v>7922</v>
      </c>
      <c r="H7925">
        <f t="shared" ca="1" si="109"/>
        <v>-2.9079524275313618E-2</v>
      </c>
    </row>
    <row r="7926" spans="7:8" x14ac:dyDescent="0.3">
      <c r="G7926" s="75">
        <v>7923</v>
      </c>
      <c r="H7926">
        <f t="shared" ca="1" si="109"/>
        <v>1.3268775273310419E-4</v>
      </c>
    </row>
    <row r="7927" spans="7:8" x14ac:dyDescent="0.3">
      <c r="G7927" s="75">
        <v>7924</v>
      </c>
      <c r="H7927">
        <f t="shared" ca="1" si="109"/>
        <v>3.5392630272843852E-3</v>
      </c>
    </row>
    <row r="7928" spans="7:8" x14ac:dyDescent="0.3">
      <c r="G7928" s="75">
        <v>7925</v>
      </c>
      <c r="H7928">
        <f t="shared" ca="1" si="109"/>
        <v>-9.0686594966205621E-3</v>
      </c>
    </row>
    <row r="7929" spans="7:8" x14ac:dyDescent="0.3">
      <c r="G7929" s="75">
        <v>7926</v>
      </c>
      <c r="H7929">
        <f t="shared" ca="1" si="109"/>
        <v>2.0965595741547327E-2</v>
      </c>
    </row>
    <row r="7930" spans="7:8" x14ac:dyDescent="0.3">
      <c r="G7930" s="75">
        <v>7927</v>
      </c>
      <c r="H7930">
        <f t="shared" ca="1" si="109"/>
        <v>2.390264984991284E-2</v>
      </c>
    </row>
    <row r="7931" spans="7:8" x14ac:dyDescent="0.3">
      <c r="G7931" s="75">
        <v>7928</v>
      </c>
      <c r="H7931">
        <f t="shared" ca="1" si="109"/>
        <v>-1.3281622119071232E-2</v>
      </c>
    </row>
    <row r="7932" spans="7:8" x14ac:dyDescent="0.3">
      <c r="G7932" s="75">
        <v>7929</v>
      </c>
      <c r="H7932">
        <f t="shared" ca="1" si="109"/>
        <v>1.9718591042257178E-2</v>
      </c>
    </row>
    <row r="7933" spans="7:8" x14ac:dyDescent="0.3">
      <c r="G7933" s="75">
        <v>7930</v>
      </c>
      <c r="H7933">
        <f t="shared" ca="1" si="109"/>
        <v>-9.7923229403120999E-3</v>
      </c>
    </row>
    <row r="7934" spans="7:8" x14ac:dyDescent="0.3">
      <c r="G7934" s="75">
        <v>7931</v>
      </c>
      <c r="H7934">
        <f t="shared" ca="1" si="109"/>
        <v>4.0125639370731546E-4</v>
      </c>
    </row>
    <row r="7935" spans="7:8" x14ac:dyDescent="0.3">
      <c r="G7935" s="75">
        <v>7932</v>
      </c>
      <c r="H7935">
        <f t="shared" ca="1" si="109"/>
        <v>-1.8369965410977077E-2</v>
      </c>
    </row>
    <row r="7936" spans="7:8" x14ac:dyDescent="0.3">
      <c r="G7936" s="75">
        <v>7933</v>
      </c>
      <c r="H7936">
        <f t="shared" ca="1" si="109"/>
        <v>7.0802744937688679E-3</v>
      </c>
    </row>
    <row r="7937" spans="7:8" x14ac:dyDescent="0.3">
      <c r="G7937" s="75">
        <v>7934</v>
      </c>
      <c r="H7937">
        <f t="shared" ca="1" si="109"/>
        <v>1.3449410605250527E-3</v>
      </c>
    </row>
    <row r="7938" spans="7:8" x14ac:dyDescent="0.3">
      <c r="G7938" s="75">
        <v>7935</v>
      </c>
      <c r="H7938">
        <f t="shared" ref="H7938:H8001" ca="1" si="110">_xlfn.NORM.INV(RAND(),$N$4,$N$5)</f>
        <v>-2.1631214585174628E-3</v>
      </c>
    </row>
    <row r="7939" spans="7:8" x14ac:dyDescent="0.3">
      <c r="G7939" s="75">
        <v>7936</v>
      </c>
      <c r="H7939">
        <f t="shared" ca="1" si="110"/>
        <v>-1.1752509947175608E-2</v>
      </c>
    </row>
    <row r="7940" spans="7:8" x14ac:dyDescent="0.3">
      <c r="G7940" s="75">
        <v>7937</v>
      </c>
      <c r="H7940">
        <f t="shared" ca="1" si="110"/>
        <v>7.9627348045484495E-3</v>
      </c>
    </row>
    <row r="7941" spans="7:8" x14ac:dyDescent="0.3">
      <c r="G7941" s="75">
        <v>7938</v>
      </c>
      <c r="H7941">
        <f t="shared" ca="1" si="110"/>
        <v>1.6891589295555533E-2</v>
      </c>
    </row>
    <row r="7942" spans="7:8" x14ac:dyDescent="0.3">
      <c r="G7942" s="75">
        <v>7939</v>
      </c>
      <c r="H7942">
        <f t="shared" ca="1" si="110"/>
        <v>-5.8581669548336606E-3</v>
      </c>
    </row>
    <row r="7943" spans="7:8" x14ac:dyDescent="0.3">
      <c r="G7943" s="75">
        <v>7940</v>
      </c>
      <c r="H7943">
        <f t="shared" ca="1" si="110"/>
        <v>-3.6811413771261324E-4</v>
      </c>
    </row>
    <row r="7944" spans="7:8" x14ac:dyDescent="0.3">
      <c r="G7944" s="75">
        <v>7941</v>
      </c>
      <c r="H7944">
        <f t="shared" ca="1" si="110"/>
        <v>2.0284124683579575E-2</v>
      </c>
    </row>
    <row r="7945" spans="7:8" x14ac:dyDescent="0.3">
      <c r="G7945" s="75">
        <v>7942</v>
      </c>
      <c r="H7945">
        <f t="shared" ca="1" si="110"/>
        <v>3.1383792760256537E-4</v>
      </c>
    </row>
    <row r="7946" spans="7:8" x14ac:dyDescent="0.3">
      <c r="G7946" s="75">
        <v>7943</v>
      </c>
      <c r="H7946">
        <f t="shared" ca="1" si="110"/>
        <v>9.3223272325089132E-3</v>
      </c>
    </row>
    <row r="7947" spans="7:8" x14ac:dyDescent="0.3">
      <c r="G7947" s="75">
        <v>7944</v>
      </c>
      <c r="H7947">
        <f t="shared" ca="1" si="110"/>
        <v>-8.6221998762319035E-3</v>
      </c>
    </row>
    <row r="7948" spans="7:8" x14ac:dyDescent="0.3">
      <c r="G7948" s="75">
        <v>7945</v>
      </c>
      <c r="H7948">
        <f t="shared" ca="1" si="110"/>
        <v>1.5835606543183105E-2</v>
      </c>
    </row>
    <row r="7949" spans="7:8" x14ac:dyDescent="0.3">
      <c r="G7949" s="75">
        <v>7946</v>
      </c>
      <c r="H7949">
        <f t="shared" ca="1" si="110"/>
        <v>1.2439140045865571E-2</v>
      </c>
    </row>
    <row r="7950" spans="7:8" x14ac:dyDescent="0.3">
      <c r="G7950" s="75">
        <v>7947</v>
      </c>
      <c r="H7950">
        <f t="shared" ca="1" si="110"/>
        <v>2.5050689610707669E-2</v>
      </c>
    </row>
    <row r="7951" spans="7:8" x14ac:dyDescent="0.3">
      <c r="G7951" s="75">
        <v>7948</v>
      </c>
      <c r="H7951">
        <f t="shared" ca="1" si="110"/>
        <v>3.0682360727091506E-3</v>
      </c>
    </row>
    <row r="7952" spans="7:8" x14ac:dyDescent="0.3">
      <c r="G7952" s="75">
        <v>7949</v>
      </c>
      <c r="H7952">
        <f t="shared" ca="1" si="110"/>
        <v>-3.5005731379026163E-2</v>
      </c>
    </row>
    <row r="7953" spans="7:8" x14ac:dyDescent="0.3">
      <c r="G7953" s="75">
        <v>7950</v>
      </c>
      <c r="H7953">
        <f t="shared" ca="1" si="110"/>
        <v>1.0357671842521139E-2</v>
      </c>
    </row>
    <row r="7954" spans="7:8" x14ac:dyDescent="0.3">
      <c r="G7954" s="75">
        <v>7951</v>
      </c>
      <c r="H7954">
        <f t="shared" ca="1" si="110"/>
        <v>-1.9243620782953438E-2</v>
      </c>
    </row>
    <row r="7955" spans="7:8" x14ac:dyDescent="0.3">
      <c r="G7955" s="75">
        <v>7952</v>
      </c>
      <c r="H7955">
        <f t="shared" ca="1" si="110"/>
        <v>-1.177682442165354E-3</v>
      </c>
    </row>
    <row r="7956" spans="7:8" x14ac:dyDescent="0.3">
      <c r="G7956" s="75">
        <v>7953</v>
      </c>
      <c r="H7956">
        <f t="shared" ca="1" si="110"/>
        <v>-1.6350002753107558E-2</v>
      </c>
    </row>
    <row r="7957" spans="7:8" x14ac:dyDescent="0.3">
      <c r="G7957" s="75">
        <v>7954</v>
      </c>
      <c r="H7957">
        <f t="shared" ca="1" si="110"/>
        <v>1.5019610996253461E-2</v>
      </c>
    </row>
    <row r="7958" spans="7:8" x14ac:dyDescent="0.3">
      <c r="G7958" s="75">
        <v>7955</v>
      </c>
      <c r="H7958">
        <f t="shared" ca="1" si="110"/>
        <v>1.2897046756500715E-2</v>
      </c>
    </row>
    <row r="7959" spans="7:8" x14ac:dyDescent="0.3">
      <c r="G7959" s="75">
        <v>7956</v>
      </c>
      <c r="H7959">
        <f t="shared" ca="1" si="110"/>
        <v>-5.5713939181478182E-3</v>
      </c>
    </row>
    <row r="7960" spans="7:8" x14ac:dyDescent="0.3">
      <c r="G7960" s="75">
        <v>7957</v>
      </c>
      <c r="H7960">
        <f t="shared" ca="1" si="110"/>
        <v>2.6451234236555621E-3</v>
      </c>
    </row>
    <row r="7961" spans="7:8" x14ac:dyDescent="0.3">
      <c r="G7961" s="75">
        <v>7958</v>
      </c>
      <c r="H7961">
        <f t="shared" ca="1" si="110"/>
        <v>1.509777769761074E-2</v>
      </c>
    </row>
    <row r="7962" spans="7:8" x14ac:dyDescent="0.3">
      <c r="G7962" s="75">
        <v>7959</v>
      </c>
      <c r="H7962">
        <f t="shared" ca="1" si="110"/>
        <v>-1.2656919039277926E-3</v>
      </c>
    </row>
    <row r="7963" spans="7:8" x14ac:dyDescent="0.3">
      <c r="G7963" s="75">
        <v>7960</v>
      </c>
      <c r="H7963">
        <f t="shared" ca="1" si="110"/>
        <v>-1.7511055744752823E-2</v>
      </c>
    </row>
    <row r="7964" spans="7:8" x14ac:dyDescent="0.3">
      <c r="G7964" s="75">
        <v>7961</v>
      </c>
      <c r="H7964">
        <f t="shared" ca="1" si="110"/>
        <v>1.5491999525086148E-2</v>
      </c>
    </row>
    <row r="7965" spans="7:8" x14ac:dyDescent="0.3">
      <c r="G7965" s="75">
        <v>7962</v>
      </c>
      <c r="H7965">
        <f t="shared" ca="1" si="110"/>
        <v>-1.158601364272851E-2</v>
      </c>
    </row>
    <row r="7966" spans="7:8" x14ac:dyDescent="0.3">
      <c r="G7966" s="75">
        <v>7963</v>
      </c>
      <c r="H7966">
        <f t="shared" ca="1" si="110"/>
        <v>-1.8707819447398438E-2</v>
      </c>
    </row>
    <row r="7967" spans="7:8" x14ac:dyDescent="0.3">
      <c r="G7967" s="75">
        <v>7964</v>
      </c>
      <c r="H7967">
        <f t="shared" ca="1" si="110"/>
        <v>-5.4780702108621539E-3</v>
      </c>
    </row>
    <row r="7968" spans="7:8" x14ac:dyDescent="0.3">
      <c r="G7968" s="75">
        <v>7965</v>
      </c>
      <c r="H7968">
        <f t="shared" ca="1" si="110"/>
        <v>-2.6309426023592118E-2</v>
      </c>
    </row>
    <row r="7969" spans="7:8" x14ac:dyDescent="0.3">
      <c r="G7969" s="75">
        <v>7966</v>
      </c>
      <c r="H7969">
        <f t="shared" ca="1" si="110"/>
        <v>-3.1732413942358712E-3</v>
      </c>
    </row>
    <row r="7970" spans="7:8" x14ac:dyDescent="0.3">
      <c r="G7970" s="75">
        <v>7967</v>
      </c>
      <c r="H7970">
        <f t="shared" ca="1" si="110"/>
        <v>5.8477551761947997E-3</v>
      </c>
    </row>
    <row r="7971" spans="7:8" x14ac:dyDescent="0.3">
      <c r="G7971" s="75">
        <v>7968</v>
      </c>
      <c r="H7971">
        <f t="shared" ca="1" si="110"/>
        <v>-4.4904094532693091E-3</v>
      </c>
    </row>
    <row r="7972" spans="7:8" x14ac:dyDescent="0.3">
      <c r="G7972" s="75">
        <v>7969</v>
      </c>
      <c r="H7972">
        <f t="shared" ca="1" si="110"/>
        <v>-7.0311006599172035E-3</v>
      </c>
    </row>
    <row r="7973" spans="7:8" x14ac:dyDescent="0.3">
      <c r="G7973" s="75">
        <v>7970</v>
      </c>
      <c r="H7973">
        <f t="shared" ca="1" si="110"/>
        <v>-6.2670887943930059E-3</v>
      </c>
    </row>
    <row r="7974" spans="7:8" x14ac:dyDescent="0.3">
      <c r="G7974" s="75">
        <v>7971</v>
      </c>
      <c r="H7974">
        <f t="shared" ca="1" si="110"/>
        <v>-3.7615164581272535E-3</v>
      </c>
    </row>
    <row r="7975" spans="7:8" x14ac:dyDescent="0.3">
      <c r="G7975" s="75">
        <v>7972</v>
      </c>
      <c r="H7975">
        <f t="shared" ca="1" si="110"/>
        <v>3.7325902018494517E-3</v>
      </c>
    </row>
    <row r="7976" spans="7:8" x14ac:dyDescent="0.3">
      <c r="G7976" s="75">
        <v>7973</v>
      </c>
      <c r="H7976">
        <f t="shared" ca="1" si="110"/>
        <v>1.317151584387456E-2</v>
      </c>
    </row>
    <row r="7977" spans="7:8" x14ac:dyDescent="0.3">
      <c r="G7977" s="75">
        <v>7974</v>
      </c>
      <c r="H7977">
        <f t="shared" ca="1" si="110"/>
        <v>1.0158388044700581E-2</v>
      </c>
    </row>
    <row r="7978" spans="7:8" x14ac:dyDescent="0.3">
      <c r="G7978" s="75">
        <v>7975</v>
      </c>
      <c r="H7978">
        <f t="shared" ca="1" si="110"/>
        <v>1.6850452703332713E-2</v>
      </c>
    </row>
    <row r="7979" spans="7:8" x14ac:dyDescent="0.3">
      <c r="G7979" s="75">
        <v>7976</v>
      </c>
      <c r="H7979">
        <f t="shared" ca="1" si="110"/>
        <v>1.5949215981755006E-2</v>
      </c>
    </row>
    <row r="7980" spans="7:8" x14ac:dyDescent="0.3">
      <c r="G7980" s="75">
        <v>7977</v>
      </c>
      <c r="H7980">
        <f t="shared" ca="1" si="110"/>
        <v>-6.0712865138238693E-3</v>
      </c>
    </row>
    <row r="7981" spans="7:8" x14ac:dyDescent="0.3">
      <c r="G7981" s="75">
        <v>7978</v>
      </c>
      <c r="H7981">
        <f t="shared" ca="1" si="110"/>
        <v>3.180950421511129E-3</v>
      </c>
    </row>
    <row r="7982" spans="7:8" x14ac:dyDescent="0.3">
      <c r="G7982" s="75">
        <v>7979</v>
      </c>
      <c r="H7982">
        <f t="shared" ca="1" si="110"/>
        <v>-1.726166814480961E-2</v>
      </c>
    </row>
    <row r="7983" spans="7:8" x14ac:dyDescent="0.3">
      <c r="G7983" s="75">
        <v>7980</v>
      </c>
      <c r="H7983">
        <f t="shared" ca="1" si="110"/>
        <v>1.629675287058735E-2</v>
      </c>
    </row>
    <row r="7984" spans="7:8" x14ac:dyDescent="0.3">
      <c r="G7984" s="75">
        <v>7981</v>
      </c>
      <c r="H7984">
        <f t="shared" ca="1" si="110"/>
        <v>2.0049958022767139E-2</v>
      </c>
    </row>
    <row r="7985" spans="7:8" x14ac:dyDescent="0.3">
      <c r="G7985" s="75">
        <v>7982</v>
      </c>
      <c r="H7985">
        <f t="shared" ca="1" si="110"/>
        <v>8.3058809268379327E-3</v>
      </c>
    </row>
    <row r="7986" spans="7:8" x14ac:dyDescent="0.3">
      <c r="G7986" s="75">
        <v>7983</v>
      </c>
      <c r="H7986">
        <f t="shared" ca="1" si="110"/>
        <v>1.5005805562976898E-3</v>
      </c>
    </row>
    <row r="7987" spans="7:8" x14ac:dyDescent="0.3">
      <c r="G7987" s="75">
        <v>7984</v>
      </c>
      <c r="H7987">
        <f t="shared" ca="1" si="110"/>
        <v>2.1172068746961904E-3</v>
      </c>
    </row>
    <row r="7988" spans="7:8" x14ac:dyDescent="0.3">
      <c r="G7988" s="75">
        <v>7985</v>
      </c>
      <c r="H7988">
        <f t="shared" ca="1" si="110"/>
        <v>1.1076313910416601E-2</v>
      </c>
    </row>
    <row r="7989" spans="7:8" x14ac:dyDescent="0.3">
      <c r="G7989" s="75">
        <v>7986</v>
      </c>
      <c r="H7989">
        <f t="shared" ca="1" si="110"/>
        <v>-5.5475173013654804E-3</v>
      </c>
    </row>
    <row r="7990" spans="7:8" x14ac:dyDescent="0.3">
      <c r="G7990" s="75">
        <v>7987</v>
      </c>
      <c r="H7990">
        <f t="shared" ca="1" si="110"/>
        <v>-1.8277936288260885E-2</v>
      </c>
    </row>
    <row r="7991" spans="7:8" x14ac:dyDescent="0.3">
      <c r="G7991" s="75">
        <v>7988</v>
      </c>
      <c r="H7991">
        <f t="shared" ca="1" si="110"/>
        <v>-9.4649043781228192E-3</v>
      </c>
    </row>
    <row r="7992" spans="7:8" x14ac:dyDescent="0.3">
      <c r="G7992" s="75">
        <v>7989</v>
      </c>
      <c r="H7992">
        <f t="shared" ca="1" si="110"/>
        <v>1.309956377290214E-2</v>
      </c>
    </row>
    <row r="7993" spans="7:8" x14ac:dyDescent="0.3">
      <c r="G7993" s="75">
        <v>7990</v>
      </c>
      <c r="H7993">
        <f t="shared" ca="1" si="110"/>
        <v>-5.0628437564287756E-3</v>
      </c>
    </row>
    <row r="7994" spans="7:8" x14ac:dyDescent="0.3">
      <c r="G7994" s="75">
        <v>7991</v>
      </c>
      <c r="H7994">
        <f t="shared" ca="1" si="110"/>
        <v>2.6469836667663226E-4</v>
      </c>
    </row>
    <row r="7995" spans="7:8" x14ac:dyDescent="0.3">
      <c r="G7995" s="75">
        <v>7992</v>
      </c>
      <c r="H7995">
        <f t="shared" ca="1" si="110"/>
        <v>-3.0341605937282769E-2</v>
      </c>
    </row>
    <row r="7996" spans="7:8" x14ac:dyDescent="0.3">
      <c r="G7996" s="75">
        <v>7993</v>
      </c>
      <c r="H7996">
        <f t="shared" ca="1" si="110"/>
        <v>7.9654842804779118E-3</v>
      </c>
    </row>
    <row r="7997" spans="7:8" x14ac:dyDescent="0.3">
      <c r="G7997" s="75">
        <v>7994</v>
      </c>
      <c r="H7997">
        <f t="shared" ca="1" si="110"/>
        <v>2.0621613978631544E-2</v>
      </c>
    </row>
    <row r="7998" spans="7:8" x14ac:dyDescent="0.3">
      <c r="G7998" s="75">
        <v>7995</v>
      </c>
      <c r="H7998">
        <f t="shared" ca="1" si="110"/>
        <v>-2.8053621181929563E-2</v>
      </c>
    </row>
    <row r="7999" spans="7:8" x14ac:dyDescent="0.3">
      <c r="G7999" s="75">
        <v>7996</v>
      </c>
      <c r="H7999">
        <f t="shared" ca="1" si="110"/>
        <v>-2.0200012688745467E-2</v>
      </c>
    </row>
    <row r="8000" spans="7:8" x14ac:dyDescent="0.3">
      <c r="G8000" s="75">
        <v>7997</v>
      </c>
      <c r="H8000">
        <f t="shared" ca="1" si="110"/>
        <v>4.0807086525921363E-3</v>
      </c>
    </row>
    <row r="8001" spans="7:8" x14ac:dyDescent="0.3">
      <c r="G8001" s="75">
        <v>7998</v>
      </c>
      <c r="H8001">
        <f t="shared" ca="1" si="110"/>
        <v>-3.3843900529370891E-2</v>
      </c>
    </row>
    <row r="8002" spans="7:8" x14ac:dyDescent="0.3">
      <c r="G8002" s="75">
        <v>7999</v>
      </c>
      <c r="H8002">
        <f t="shared" ref="H8002:H8065" ca="1" si="111">_xlfn.NORM.INV(RAND(),$N$4,$N$5)</f>
        <v>-1.6417084518734325E-2</v>
      </c>
    </row>
    <row r="8003" spans="7:8" x14ac:dyDescent="0.3">
      <c r="G8003" s="75">
        <v>8000</v>
      </c>
      <c r="H8003">
        <f t="shared" ca="1" si="111"/>
        <v>4.0787839392917424E-3</v>
      </c>
    </row>
    <row r="8004" spans="7:8" x14ac:dyDescent="0.3">
      <c r="G8004" s="75">
        <v>8001</v>
      </c>
      <c r="H8004">
        <f t="shared" ca="1" si="111"/>
        <v>-7.8719973033789699E-3</v>
      </c>
    </row>
    <row r="8005" spans="7:8" x14ac:dyDescent="0.3">
      <c r="G8005" s="75">
        <v>8002</v>
      </c>
      <c r="H8005">
        <f t="shared" ca="1" si="111"/>
        <v>9.2495187517083518E-3</v>
      </c>
    </row>
    <row r="8006" spans="7:8" x14ac:dyDescent="0.3">
      <c r="G8006" s="75">
        <v>8003</v>
      </c>
      <c r="H8006">
        <f t="shared" ca="1" si="111"/>
        <v>1.9100863732891719E-2</v>
      </c>
    </row>
    <row r="8007" spans="7:8" x14ac:dyDescent="0.3">
      <c r="G8007" s="75">
        <v>8004</v>
      </c>
      <c r="H8007">
        <f t="shared" ca="1" si="111"/>
        <v>7.4895768120208997E-3</v>
      </c>
    </row>
    <row r="8008" spans="7:8" x14ac:dyDescent="0.3">
      <c r="G8008" s="75">
        <v>8005</v>
      </c>
      <c r="H8008">
        <f t="shared" ca="1" si="111"/>
        <v>1.3697361162439341E-2</v>
      </c>
    </row>
    <row r="8009" spans="7:8" x14ac:dyDescent="0.3">
      <c r="G8009" s="75">
        <v>8006</v>
      </c>
      <c r="H8009">
        <f t="shared" ca="1" si="111"/>
        <v>-1.2628385799829575E-2</v>
      </c>
    </row>
    <row r="8010" spans="7:8" x14ac:dyDescent="0.3">
      <c r="G8010" s="75">
        <v>8007</v>
      </c>
      <c r="H8010">
        <f t="shared" ca="1" si="111"/>
        <v>5.4925473164070641E-3</v>
      </c>
    </row>
    <row r="8011" spans="7:8" x14ac:dyDescent="0.3">
      <c r="G8011" s="75">
        <v>8008</v>
      </c>
      <c r="H8011">
        <f t="shared" ca="1" si="111"/>
        <v>6.6369318670277747E-3</v>
      </c>
    </row>
    <row r="8012" spans="7:8" x14ac:dyDescent="0.3">
      <c r="G8012" s="75">
        <v>8009</v>
      </c>
      <c r="H8012">
        <f t="shared" ca="1" si="111"/>
        <v>-3.2480425460426295E-4</v>
      </c>
    </row>
    <row r="8013" spans="7:8" x14ac:dyDescent="0.3">
      <c r="G8013" s="75">
        <v>8010</v>
      </c>
      <c r="H8013">
        <f t="shared" ca="1" si="111"/>
        <v>1.2200886215073438E-2</v>
      </c>
    </row>
    <row r="8014" spans="7:8" x14ac:dyDescent="0.3">
      <c r="G8014" s="75">
        <v>8011</v>
      </c>
      <c r="H8014">
        <f t="shared" ca="1" si="111"/>
        <v>-1.5267003673623625E-3</v>
      </c>
    </row>
    <row r="8015" spans="7:8" x14ac:dyDescent="0.3">
      <c r="G8015" s="75">
        <v>8012</v>
      </c>
      <c r="H8015">
        <f t="shared" ca="1" si="111"/>
        <v>-9.0541457887532636E-3</v>
      </c>
    </row>
    <row r="8016" spans="7:8" x14ac:dyDescent="0.3">
      <c r="G8016" s="75">
        <v>8013</v>
      </c>
      <c r="H8016">
        <f t="shared" ca="1" si="111"/>
        <v>-1.6660435607714328E-2</v>
      </c>
    </row>
    <row r="8017" spans="7:8" x14ac:dyDescent="0.3">
      <c r="G8017" s="75">
        <v>8014</v>
      </c>
      <c r="H8017">
        <f t="shared" ca="1" si="111"/>
        <v>-3.2167492878762576E-3</v>
      </c>
    </row>
    <row r="8018" spans="7:8" x14ac:dyDescent="0.3">
      <c r="G8018" s="75">
        <v>8015</v>
      </c>
      <c r="H8018">
        <f t="shared" ca="1" si="111"/>
        <v>-6.579266517900164E-3</v>
      </c>
    </row>
    <row r="8019" spans="7:8" x14ac:dyDescent="0.3">
      <c r="G8019" s="75">
        <v>8016</v>
      </c>
      <c r="H8019">
        <f t="shared" ca="1" si="111"/>
        <v>7.1393965518968434E-3</v>
      </c>
    </row>
    <row r="8020" spans="7:8" x14ac:dyDescent="0.3">
      <c r="G8020" s="75">
        <v>8017</v>
      </c>
      <c r="H8020">
        <f t="shared" ca="1" si="111"/>
        <v>-1.1975259408414533E-2</v>
      </c>
    </row>
    <row r="8021" spans="7:8" x14ac:dyDescent="0.3">
      <c r="G8021" s="75">
        <v>8018</v>
      </c>
      <c r="H8021">
        <f t="shared" ca="1" si="111"/>
        <v>-3.359218543228439E-3</v>
      </c>
    </row>
    <row r="8022" spans="7:8" x14ac:dyDescent="0.3">
      <c r="G8022" s="75">
        <v>8019</v>
      </c>
      <c r="H8022">
        <f t="shared" ca="1" si="111"/>
        <v>2.6119060581568508E-2</v>
      </c>
    </row>
    <row r="8023" spans="7:8" x14ac:dyDescent="0.3">
      <c r="G8023" s="75">
        <v>8020</v>
      </c>
      <c r="H8023">
        <f t="shared" ca="1" si="111"/>
        <v>-1.5702121551745978E-2</v>
      </c>
    </row>
    <row r="8024" spans="7:8" x14ac:dyDescent="0.3">
      <c r="G8024" s="75">
        <v>8021</v>
      </c>
      <c r="H8024">
        <f t="shared" ca="1" si="111"/>
        <v>-1.5428608591593456E-2</v>
      </c>
    </row>
    <row r="8025" spans="7:8" x14ac:dyDescent="0.3">
      <c r="G8025" s="75">
        <v>8022</v>
      </c>
      <c r="H8025">
        <f t="shared" ca="1" si="111"/>
        <v>-1.8471419356112986E-3</v>
      </c>
    </row>
    <row r="8026" spans="7:8" x14ac:dyDescent="0.3">
      <c r="G8026" s="75">
        <v>8023</v>
      </c>
      <c r="H8026">
        <f t="shared" ca="1" si="111"/>
        <v>1.2744912131617544E-4</v>
      </c>
    </row>
    <row r="8027" spans="7:8" x14ac:dyDescent="0.3">
      <c r="G8027" s="75">
        <v>8024</v>
      </c>
      <c r="H8027">
        <f t="shared" ca="1" si="111"/>
        <v>1.8350865229504767E-2</v>
      </c>
    </row>
    <row r="8028" spans="7:8" x14ac:dyDescent="0.3">
      <c r="G8028" s="75">
        <v>8025</v>
      </c>
      <c r="H8028">
        <f t="shared" ca="1" si="111"/>
        <v>-1.6094437798188744E-2</v>
      </c>
    </row>
    <row r="8029" spans="7:8" x14ac:dyDescent="0.3">
      <c r="G8029" s="75">
        <v>8026</v>
      </c>
      <c r="H8029">
        <f t="shared" ca="1" si="111"/>
        <v>2.4363419933944093E-2</v>
      </c>
    </row>
    <row r="8030" spans="7:8" x14ac:dyDescent="0.3">
      <c r="G8030" s="75">
        <v>8027</v>
      </c>
      <c r="H8030">
        <f t="shared" ca="1" si="111"/>
        <v>9.4680645679613099E-4</v>
      </c>
    </row>
    <row r="8031" spans="7:8" x14ac:dyDescent="0.3">
      <c r="G8031" s="75">
        <v>8028</v>
      </c>
      <c r="H8031">
        <f t="shared" ca="1" si="111"/>
        <v>-5.2098988962904448E-3</v>
      </c>
    </row>
    <row r="8032" spans="7:8" x14ac:dyDescent="0.3">
      <c r="G8032" s="75">
        <v>8029</v>
      </c>
      <c r="H8032">
        <f t="shared" ca="1" si="111"/>
        <v>-3.1679950427572151E-3</v>
      </c>
    </row>
    <row r="8033" spans="7:8" x14ac:dyDescent="0.3">
      <c r="G8033" s="75">
        <v>8030</v>
      </c>
      <c r="H8033">
        <f t="shared" ca="1" si="111"/>
        <v>1.9483024754602526E-3</v>
      </c>
    </row>
    <row r="8034" spans="7:8" x14ac:dyDescent="0.3">
      <c r="G8034" s="75">
        <v>8031</v>
      </c>
      <c r="H8034">
        <f t="shared" ca="1" si="111"/>
        <v>-4.4617250970150843E-4</v>
      </c>
    </row>
    <row r="8035" spans="7:8" x14ac:dyDescent="0.3">
      <c r="G8035" s="75">
        <v>8032</v>
      </c>
      <c r="H8035">
        <f t="shared" ca="1" si="111"/>
        <v>1.4265581628215156E-2</v>
      </c>
    </row>
    <row r="8036" spans="7:8" x14ac:dyDescent="0.3">
      <c r="G8036" s="75">
        <v>8033</v>
      </c>
      <c r="H8036">
        <f t="shared" ca="1" si="111"/>
        <v>-3.7078501519148327E-3</v>
      </c>
    </row>
    <row r="8037" spans="7:8" x14ac:dyDescent="0.3">
      <c r="G8037" s="75">
        <v>8034</v>
      </c>
      <c r="H8037">
        <f t="shared" ca="1" si="111"/>
        <v>-1.7883525624979635E-2</v>
      </c>
    </row>
    <row r="8038" spans="7:8" x14ac:dyDescent="0.3">
      <c r="G8038" s="75">
        <v>8035</v>
      </c>
      <c r="H8038">
        <f t="shared" ca="1" si="111"/>
        <v>-2.9197323561403487E-2</v>
      </c>
    </row>
    <row r="8039" spans="7:8" x14ac:dyDescent="0.3">
      <c r="G8039" s="75">
        <v>8036</v>
      </c>
      <c r="H8039">
        <f t="shared" ca="1" si="111"/>
        <v>-2.7272654146773246E-3</v>
      </c>
    </row>
    <row r="8040" spans="7:8" x14ac:dyDescent="0.3">
      <c r="G8040" s="75">
        <v>8037</v>
      </c>
      <c r="H8040">
        <f t="shared" ca="1" si="111"/>
        <v>-1.0449463416986509E-2</v>
      </c>
    </row>
    <row r="8041" spans="7:8" x14ac:dyDescent="0.3">
      <c r="G8041" s="75">
        <v>8038</v>
      </c>
      <c r="H8041">
        <f t="shared" ca="1" si="111"/>
        <v>-6.1327251259970014E-3</v>
      </c>
    </row>
    <row r="8042" spans="7:8" x14ac:dyDescent="0.3">
      <c r="G8042" s="75">
        <v>8039</v>
      </c>
      <c r="H8042">
        <f t="shared" ca="1" si="111"/>
        <v>1.7616052493522453E-3</v>
      </c>
    </row>
    <row r="8043" spans="7:8" x14ac:dyDescent="0.3">
      <c r="G8043" s="75">
        <v>8040</v>
      </c>
      <c r="H8043">
        <f t="shared" ca="1" si="111"/>
        <v>5.7943378036834957E-3</v>
      </c>
    </row>
    <row r="8044" spans="7:8" x14ac:dyDescent="0.3">
      <c r="G8044" s="75">
        <v>8041</v>
      </c>
      <c r="H8044">
        <f t="shared" ca="1" si="111"/>
        <v>-2.7336573458128149E-2</v>
      </c>
    </row>
    <row r="8045" spans="7:8" x14ac:dyDescent="0.3">
      <c r="G8045" s="75">
        <v>8042</v>
      </c>
      <c r="H8045">
        <f t="shared" ca="1" si="111"/>
        <v>1.1287905773398792E-2</v>
      </c>
    </row>
    <row r="8046" spans="7:8" x14ac:dyDescent="0.3">
      <c r="G8046" s="75">
        <v>8043</v>
      </c>
      <c r="H8046">
        <f t="shared" ca="1" si="111"/>
        <v>-3.1500240688372205E-2</v>
      </c>
    </row>
    <row r="8047" spans="7:8" x14ac:dyDescent="0.3">
      <c r="G8047" s="75">
        <v>8044</v>
      </c>
      <c r="H8047">
        <f t="shared" ca="1" si="111"/>
        <v>1.0101539958560477E-2</v>
      </c>
    </row>
    <row r="8048" spans="7:8" x14ac:dyDescent="0.3">
      <c r="G8048" s="75">
        <v>8045</v>
      </c>
      <c r="H8048">
        <f t="shared" ca="1" si="111"/>
        <v>4.3348561179256369E-3</v>
      </c>
    </row>
    <row r="8049" spans="7:8" x14ac:dyDescent="0.3">
      <c r="G8049" s="75">
        <v>8046</v>
      </c>
      <c r="H8049">
        <f t="shared" ca="1" si="111"/>
        <v>3.102257183511654E-3</v>
      </c>
    </row>
    <row r="8050" spans="7:8" x14ac:dyDescent="0.3">
      <c r="G8050" s="75">
        <v>8047</v>
      </c>
      <c r="H8050">
        <f t="shared" ca="1" si="111"/>
        <v>-1.1769172518369713E-2</v>
      </c>
    </row>
    <row r="8051" spans="7:8" x14ac:dyDescent="0.3">
      <c r="G8051" s="75">
        <v>8048</v>
      </c>
      <c r="H8051">
        <f t="shared" ca="1" si="111"/>
        <v>-2.1485607998875576E-2</v>
      </c>
    </row>
    <row r="8052" spans="7:8" x14ac:dyDescent="0.3">
      <c r="G8052" s="75">
        <v>8049</v>
      </c>
      <c r="H8052">
        <f t="shared" ca="1" si="111"/>
        <v>5.0078043738967593E-3</v>
      </c>
    </row>
    <row r="8053" spans="7:8" x14ac:dyDescent="0.3">
      <c r="G8053" s="75">
        <v>8050</v>
      </c>
      <c r="H8053">
        <f t="shared" ca="1" si="111"/>
        <v>1.9257690567685845E-3</v>
      </c>
    </row>
    <row r="8054" spans="7:8" x14ac:dyDescent="0.3">
      <c r="G8054" s="75">
        <v>8051</v>
      </c>
      <c r="H8054">
        <f t="shared" ca="1" si="111"/>
        <v>1.1688569417668089E-2</v>
      </c>
    </row>
    <row r="8055" spans="7:8" x14ac:dyDescent="0.3">
      <c r="G8055" s="75">
        <v>8052</v>
      </c>
      <c r="H8055">
        <f t="shared" ca="1" si="111"/>
        <v>-1.5982958989298846E-2</v>
      </c>
    </row>
    <row r="8056" spans="7:8" x14ac:dyDescent="0.3">
      <c r="G8056" s="75">
        <v>8053</v>
      </c>
      <c r="H8056">
        <f t="shared" ca="1" si="111"/>
        <v>1.2570256985814522E-2</v>
      </c>
    </row>
    <row r="8057" spans="7:8" x14ac:dyDescent="0.3">
      <c r="G8057" s="75">
        <v>8054</v>
      </c>
      <c r="H8057">
        <f t="shared" ca="1" si="111"/>
        <v>-3.3453325069127422E-3</v>
      </c>
    </row>
    <row r="8058" spans="7:8" x14ac:dyDescent="0.3">
      <c r="G8058" s="75">
        <v>8055</v>
      </c>
      <c r="H8058">
        <f t="shared" ca="1" si="111"/>
        <v>5.9674006606740392E-3</v>
      </c>
    </row>
    <row r="8059" spans="7:8" x14ac:dyDescent="0.3">
      <c r="G8059" s="75">
        <v>8056</v>
      </c>
      <c r="H8059">
        <f t="shared" ca="1" si="111"/>
        <v>-4.3948562867858094E-3</v>
      </c>
    </row>
    <row r="8060" spans="7:8" x14ac:dyDescent="0.3">
      <c r="G8060" s="75">
        <v>8057</v>
      </c>
      <c r="H8060">
        <f t="shared" ca="1" si="111"/>
        <v>2.1230624491303442E-2</v>
      </c>
    </row>
    <row r="8061" spans="7:8" x14ac:dyDescent="0.3">
      <c r="G8061" s="75">
        <v>8058</v>
      </c>
      <c r="H8061">
        <f t="shared" ca="1" si="111"/>
        <v>1.3961616659447882E-3</v>
      </c>
    </row>
    <row r="8062" spans="7:8" x14ac:dyDescent="0.3">
      <c r="G8062" s="75">
        <v>8059</v>
      </c>
      <c r="H8062">
        <f t="shared" ca="1" si="111"/>
        <v>5.6930951832208929E-3</v>
      </c>
    </row>
    <row r="8063" spans="7:8" x14ac:dyDescent="0.3">
      <c r="G8063" s="75">
        <v>8060</v>
      </c>
      <c r="H8063">
        <f t="shared" ca="1" si="111"/>
        <v>-1.347427434608583E-2</v>
      </c>
    </row>
    <row r="8064" spans="7:8" x14ac:dyDescent="0.3">
      <c r="G8064" s="75">
        <v>8061</v>
      </c>
      <c r="H8064">
        <f t="shared" ca="1" si="111"/>
        <v>-2.9657951278148778E-3</v>
      </c>
    </row>
    <row r="8065" spans="7:8" x14ac:dyDescent="0.3">
      <c r="G8065" s="75">
        <v>8062</v>
      </c>
      <c r="H8065">
        <f t="shared" ca="1" si="111"/>
        <v>-6.4632454425091017E-3</v>
      </c>
    </row>
    <row r="8066" spans="7:8" x14ac:dyDescent="0.3">
      <c r="G8066" s="75">
        <v>8063</v>
      </c>
      <c r="H8066">
        <f t="shared" ref="H8066:H8129" ca="1" si="112">_xlfn.NORM.INV(RAND(),$N$4,$N$5)</f>
        <v>9.9776552906440455E-3</v>
      </c>
    </row>
    <row r="8067" spans="7:8" x14ac:dyDescent="0.3">
      <c r="G8067" s="75">
        <v>8064</v>
      </c>
      <c r="H8067">
        <f t="shared" ca="1" si="112"/>
        <v>1.440517067668954E-2</v>
      </c>
    </row>
    <row r="8068" spans="7:8" x14ac:dyDescent="0.3">
      <c r="G8068" s="75">
        <v>8065</v>
      </c>
      <c r="H8068">
        <f t="shared" ca="1" si="112"/>
        <v>1.3921480598552565E-2</v>
      </c>
    </row>
    <row r="8069" spans="7:8" x14ac:dyDescent="0.3">
      <c r="G8069" s="75">
        <v>8066</v>
      </c>
      <c r="H8069">
        <f t="shared" ca="1" si="112"/>
        <v>4.3469779072133974E-3</v>
      </c>
    </row>
    <row r="8070" spans="7:8" x14ac:dyDescent="0.3">
      <c r="G8070" s="75">
        <v>8067</v>
      </c>
      <c r="H8070">
        <f t="shared" ca="1" si="112"/>
        <v>-2.0301901087941249E-2</v>
      </c>
    </row>
    <row r="8071" spans="7:8" x14ac:dyDescent="0.3">
      <c r="G8071" s="75">
        <v>8068</v>
      </c>
      <c r="H8071">
        <f t="shared" ca="1" si="112"/>
        <v>1.0191849857778046E-2</v>
      </c>
    </row>
    <row r="8072" spans="7:8" x14ac:dyDescent="0.3">
      <c r="G8072" s="75">
        <v>8069</v>
      </c>
      <c r="H8072">
        <f t="shared" ca="1" si="112"/>
        <v>-3.5827746798677395E-4</v>
      </c>
    </row>
    <row r="8073" spans="7:8" x14ac:dyDescent="0.3">
      <c r="G8073" s="75">
        <v>8070</v>
      </c>
      <c r="H8073">
        <f t="shared" ca="1" si="112"/>
        <v>-1.7810894886051826E-2</v>
      </c>
    </row>
    <row r="8074" spans="7:8" x14ac:dyDescent="0.3">
      <c r="G8074" s="75">
        <v>8071</v>
      </c>
      <c r="H8074">
        <f t="shared" ca="1" si="112"/>
        <v>-3.2831507982078192E-2</v>
      </c>
    </row>
    <row r="8075" spans="7:8" x14ac:dyDescent="0.3">
      <c r="G8075" s="75">
        <v>8072</v>
      </c>
      <c r="H8075">
        <f t="shared" ca="1" si="112"/>
        <v>-4.7427410102212101E-3</v>
      </c>
    </row>
    <row r="8076" spans="7:8" x14ac:dyDescent="0.3">
      <c r="G8076" s="75">
        <v>8073</v>
      </c>
      <c r="H8076">
        <f t="shared" ca="1" si="112"/>
        <v>4.6624340012923361E-3</v>
      </c>
    </row>
    <row r="8077" spans="7:8" x14ac:dyDescent="0.3">
      <c r="G8077" s="75">
        <v>8074</v>
      </c>
      <c r="H8077">
        <f t="shared" ca="1" si="112"/>
        <v>1.1503812046071609E-2</v>
      </c>
    </row>
    <row r="8078" spans="7:8" x14ac:dyDescent="0.3">
      <c r="G8078" s="75">
        <v>8075</v>
      </c>
      <c r="H8078">
        <f t="shared" ca="1" si="112"/>
        <v>-5.2047219917076837E-3</v>
      </c>
    </row>
    <row r="8079" spans="7:8" x14ac:dyDescent="0.3">
      <c r="G8079" s="75">
        <v>8076</v>
      </c>
      <c r="H8079">
        <f t="shared" ca="1" si="112"/>
        <v>-1.1340704025003241E-2</v>
      </c>
    </row>
    <row r="8080" spans="7:8" x14ac:dyDescent="0.3">
      <c r="G8080" s="75">
        <v>8077</v>
      </c>
      <c r="H8080">
        <f t="shared" ca="1" si="112"/>
        <v>3.1654006448725803E-3</v>
      </c>
    </row>
    <row r="8081" spans="7:8" x14ac:dyDescent="0.3">
      <c r="G8081" s="75">
        <v>8078</v>
      </c>
      <c r="H8081">
        <f t="shared" ca="1" si="112"/>
        <v>2.4524086714186374E-2</v>
      </c>
    </row>
    <row r="8082" spans="7:8" x14ac:dyDescent="0.3">
      <c r="G8082" s="75">
        <v>8079</v>
      </c>
      <c r="H8082">
        <f t="shared" ca="1" si="112"/>
        <v>-2.0559484468548408E-2</v>
      </c>
    </row>
    <row r="8083" spans="7:8" x14ac:dyDescent="0.3">
      <c r="G8083" s="75">
        <v>8080</v>
      </c>
      <c r="H8083">
        <f t="shared" ca="1" si="112"/>
        <v>2.4852695523869667E-2</v>
      </c>
    </row>
    <row r="8084" spans="7:8" x14ac:dyDescent="0.3">
      <c r="G8084" s="75">
        <v>8081</v>
      </c>
      <c r="H8084">
        <f t="shared" ca="1" si="112"/>
        <v>-9.984697592686503E-3</v>
      </c>
    </row>
    <row r="8085" spans="7:8" x14ac:dyDescent="0.3">
      <c r="G8085" s="75">
        <v>8082</v>
      </c>
      <c r="H8085">
        <f t="shared" ca="1" si="112"/>
        <v>-4.7321655168550171E-3</v>
      </c>
    </row>
    <row r="8086" spans="7:8" x14ac:dyDescent="0.3">
      <c r="G8086" s="75">
        <v>8083</v>
      </c>
      <c r="H8086">
        <f t="shared" ca="1" si="112"/>
        <v>-2.4353707537088671E-2</v>
      </c>
    </row>
    <row r="8087" spans="7:8" x14ac:dyDescent="0.3">
      <c r="G8087" s="75">
        <v>8084</v>
      </c>
      <c r="H8087">
        <f t="shared" ca="1" si="112"/>
        <v>-4.9250430411121879E-3</v>
      </c>
    </row>
    <row r="8088" spans="7:8" x14ac:dyDescent="0.3">
      <c r="G8088" s="75">
        <v>8085</v>
      </c>
      <c r="H8088">
        <f t="shared" ca="1" si="112"/>
        <v>4.6261180461223154E-3</v>
      </c>
    </row>
    <row r="8089" spans="7:8" x14ac:dyDescent="0.3">
      <c r="G8089" s="75">
        <v>8086</v>
      </c>
      <c r="H8089">
        <f t="shared" ca="1" si="112"/>
        <v>-4.2832789898763777E-3</v>
      </c>
    </row>
    <row r="8090" spans="7:8" x14ac:dyDescent="0.3">
      <c r="G8090" s="75">
        <v>8087</v>
      </c>
      <c r="H8090">
        <f t="shared" ca="1" si="112"/>
        <v>-4.7709080933712117E-3</v>
      </c>
    </row>
    <row r="8091" spans="7:8" x14ac:dyDescent="0.3">
      <c r="G8091" s="75">
        <v>8088</v>
      </c>
      <c r="H8091">
        <f t="shared" ca="1" si="112"/>
        <v>-4.2033679310225615E-3</v>
      </c>
    </row>
    <row r="8092" spans="7:8" x14ac:dyDescent="0.3">
      <c r="G8092" s="75">
        <v>8089</v>
      </c>
      <c r="H8092">
        <f t="shared" ca="1" si="112"/>
        <v>-1.8558973895261379E-3</v>
      </c>
    </row>
    <row r="8093" spans="7:8" x14ac:dyDescent="0.3">
      <c r="G8093" s="75">
        <v>8090</v>
      </c>
      <c r="H8093">
        <f t="shared" ca="1" si="112"/>
        <v>-1.0939681104125104E-2</v>
      </c>
    </row>
    <row r="8094" spans="7:8" x14ac:dyDescent="0.3">
      <c r="G8094" s="75">
        <v>8091</v>
      </c>
      <c r="H8094">
        <f t="shared" ca="1" si="112"/>
        <v>-2.4145148826473974E-2</v>
      </c>
    </row>
    <row r="8095" spans="7:8" x14ac:dyDescent="0.3">
      <c r="G8095" s="75">
        <v>8092</v>
      </c>
      <c r="H8095">
        <f t="shared" ca="1" si="112"/>
        <v>-1.0654811079395365E-2</v>
      </c>
    </row>
    <row r="8096" spans="7:8" x14ac:dyDescent="0.3">
      <c r="G8096" s="75">
        <v>8093</v>
      </c>
      <c r="H8096">
        <f t="shared" ca="1" si="112"/>
        <v>-5.2846665008305736E-3</v>
      </c>
    </row>
    <row r="8097" spans="7:8" x14ac:dyDescent="0.3">
      <c r="G8097" s="75">
        <v>8094</v>
      </c>
      <c r="H8097">
        <f t="shared" ca="1" si="112"/>
        <v>1.4493421935163137E-2</v>
      </c>
    </row>
    <row r="8098" spans="7:8" x14ac:dyDescent="0.3">
      <c r="G8098" s="75">
        <v>8095</v>
      </c>
      <c r="H8098">
        <f t="shared" ca="1" si="112"/>
        <v>2.6661405671356175E-2</v>
      </c>
    </row>
    <row r="8099" spans="7:8" x14ac:dyDescent="0.3">
      <c r="G8099" s="75">
        <v>8096</v>
      </c>
      <c r="H8099">
        <f t="shared" ca="1" si="112"/>
        <v>1.1778774636976713E-2</v>
      </c>
    </row>
    <row r="8100" spans="7:8" x14ac:dyDescent="0.3">
      <c r="G8100" s="75">
        <v>8097</v>
      </c>
      <c r="H8100">
        <f t="shared" ca="1" si="112"/>
        <v>5.7615113818384181E-3</v>
      </c>
    </row>
    <row r="8101" spans="7:8" x14ac:dyDescent="0.3">
      <c r="G8101" s="75">
        <v>8098</v>
      </c>
      <c r="H8101">
        <f t="shared" ca="1" si="112"/>
        <v>9.5062010493598276E-3</v>
      </c>
    </row>
    <row r="8102" spans="7:8" x14ac:dyDescent="0.3">
      <c r="G8102" s="75">
        <v>8099</v>
      </c>
      <c r="H8102">
        <f t="shared" ca="1" si="112"/>
        <v>1.6535699267360017E-2</v>
      </c>
    </row>
    <row r="8103" spans="7:8" x14ac:dyDescent="0.3">
      <c r="G8103" s="75">
        <v>8100</v>
      </c>
      <c r="H8103">
        <f t="shared" ca="1" si="112"/>
        <v>6.5633082546999464E-3</v>
      </c>
    </row>
    <row r="8104" spans="7:8" x14ac:dyDescent="0.3">
      <c r="G8104" s="75">
        <v>8101</v>
      </c>
      <c r="H8104">
        <f t="shared" ca="1" si="112"/>
        <v>-1.4835054338759137E-2</v>
      </c>
    </row>
    <row r="8105" spans="7:8" x14ac:dyDescent="0.3">
      <c r="G8105" s="75">
        <v>8102</v>
      </c>
      <c r="H8105">
        <f t="shared" ca="1" si="112"/>
        <v>-4.564723808821205E-3</v>
      </c>
    </row>
    <row r="8106" spans="7:8" x14ac:dyDescent="0.3">
      <c r="G8106" s="75">
        <v>8103</v>
      </c>
      <c r="H8106">
        <f t="shared" ca="1" si="112"/>
        <v>5.6438210179404523E-3</v>
      </c>
    </row>
    <row r="8107" spans="7:8" x14ac:dyDescent="0.3">
      <c r="G8107" s="75">
        <v>8104</v>
      </c>
      <c r="H8107">
        <f t="shared" ca="1" si="112"/>
        <v>-5.0926978592303494E-3</v>
      </c>
    </row>
    <row r="8108" spans="7:8" x14ac:dyDescent="0.3">
      <c r="G8108" s="75">
        <v>8105</v>
      </c>
      <c r="H8108">
        <f t="shared" ca="1" si="112"/>
        <v>6.3547908188923124E-3</v>
      </c>
    </row>
    <row r="8109" spans="7:8" x14ac:dyDescent="0.3">
      <c r="G8109" s="75">
        <v>8106</v>
      </c>
      <c r="H8109">
        <f t="shared" ca="1" si="112"/>
        <v>-1.4962666340666078E-2</v>
      </c>
    </row>
    <row r="8110" spans="7:8" x14ac:dyDescent="0.3">
      <c r="G8110" s="75">
        <v>8107</v>
      </c>
      <c r="H8110">
        <f t="shared" ca="1" si="112"/>
        <v>1.2012488920204263E-2</v>
      </c>
    </row>
    <row r="8111" spans="7:8" x14ac:dyDescent="0.3">
      <c r="G8111" s="75">
        <v>8108</v>
      </c>
      <c r="H8111">
        <f t="shared" ca="1" si="112"/>
        <v>-1.8450908278643648E-2</v>
      </c>
    </row>
    <row r="8112" spans="7:8" x14ac:dyDescent="0.3">
      <c r="G8112" s="75">
        <v>8109</v>
      </c>
      <c r="H8112">
        <f t="shared" ca="1" si="112"/>
        <v>-1.1232223871639774E-2</v>
      </c>
    </row>
    <row r="8113" spans="7:8" x14ac:dyDescent="0.3">
      <c r="G8113" s="75">
        <v>8110</v>
      </c>
      <c r="H8113">
        <f t="shared" ca="1" si="112"/>
        <v>-6.5184767252609551E-3</v>
      </c>
    </row>
    <row r="8114" spans="7:8" x14ac:dyDescent="0.3">
      <c r="G8114" s="75">
        <v>8111</v>
      </c>
      <c r="H8114">
        <f t="shared" ca="1" si="112"/>
        <v>2.1310294870903742E-2</v>
      </c>
    </row>
    <row r="8115" spans="7:8" x14ac:dyDescent="0.3">
      <c r="G8115" s="75">
        <v>8112</v>
      </c>
      <c r="H8115">
        <f t="shared" ca="1" si="112"/>
        <v>1.7552360097996655E-2</v>
      </c>
    </row>
    <row r="8116" spans="7:8" x14ac:dyDescent="0.3">
      <c r="G8116" s="75">
        <v>8113</v>
      </c>
      <c r="H8116">
        <f t="shared" ca="1" si="112"/>
        <v>-2.642335787753829E-2</v>
      </c>
    </row>
    <row r="8117" spans="7:8" x14ac:dyDescent="0.3">
      <c r="G8117" s="75">
        <v>8114</v>
      </c>
      <c r="H8117">
        <f t="shared" ca="1" si="112"/>
        <v>2.5002629962020254E-3</v>
      </c>
    </row>
    <row r="8118" spans="7:8" x14ac:dyDescent="0.3">
      <c r="G8118" s="75">
        <v>8115</v>
      </c>
      <c r="H8118">
        <f t="shared" ca="1" si="112"/>
        <v>6.4949287932996227E-3</v>
      </c>
    </row>
    <row r="8119" spans="7:8" x14ac:dyDescent="0.3">
      <c r="G8119" s="75">
        <v>8116</v>
      </c>
      <c r="H8119">
        <f t="shared" ca="1" si="112"/>
        <v>2.3294943809775145E-2</v>
      </c>
    </row>
    <row r="8120" spans="7:8" x14ac:dyDescent="0.3">
      <c r="G8120" s="75">
        <v>8117</v>
      </c>
      <c r="H8120">
        <f t="shared" ca="1" si="112"/>
        <v>1.4821786607550904E-2</v>
      </c>
    </row>
    <row r="8121" spans="7:8" x14ac:dyDescent="0.3">
      <c r="G8121" s="75">
        <v>8118</v>
      </c>
      <c r="H8121">
        <f t="shared" ca="1" si="112"/>
        <v>-1.9961979222007938E-2</v>
      </c>
    </row>
    <row r="8122" spans="7:8" x14ac:dyDescent="0.3">
      <c r="G8122" s="75">
        <v>8119</v>
      </c>
      <c r="H8122">
        <f t="shared" ca="1" si="112"/>
        <v>2.1106966008025203E-2</v>
      </c>
    </row>
    <row r="8123" spans="7:8" x14ac:dyDescent="0.3">
      <c r="G8123" s="75">
        <v>8120</v>
      </c>
      <c r="H8123">
        <f t="shared" ca="1" si="112"/>
        <v>-5.897934969787493E-3</v>
      </c>
    </row>
    <row r="8124" spans="7:8" x14ac:dyDescent="0.3">
      <c r="G8124" s="75">
        <v>8121</v>
      </c>
      <c r="H8124">
        <f t="shared" ca="1" si="112"/>
        <v>-3.6629771491807645E-3</v>
      </c>
    </row>
    <row r="8125" spans="7:8" x14ac:dyDescent="0.3">
      <c r="G8125" s="75">
        <v>8122</v>
      </c>
      <c r="H8125">
        <f t="shared" ca="1" si="112"/>
        <v>-2.7564605144735962E-3</v>
      </c>
    </row>
    <row r="8126" spans="7:8" x14ac:dyDescent="0.3">
      <c r="G8126" s="75">
        <v>8123</v>
      </c>
      <c r="H8126">
        <f t="shared" ca="1" si="112"/>
        <v>1.3336690909797395E-2</v>
      </c>
    </row>
    <row r="8127" spans="7:8" x14ac:dyDescent="0.3">
      <c r="G8127" s="75">
        <v>8124</v>
      </c>
      <c r="H8127">
        <f t="shared" ca="1" si="112"/>
        <v>-1.0561516823488066E-2</v>
      </c>
    </row>
    <row r="8128" spans="7:8" x14ac:dyDescent="0.3">
      <c r="G8128" s="75">
        <v>8125</v>
      </c>
      <c r="H8128">
        <f t="shared" ca="1" si="112"/>
        <v>-7.5120759647217504E-3</v>
      </c>
    </row>
    <row r="8129" spans="7:8" x14ac:dyDescent="0.3">
      <c r="G8129" s="75">
        <v>8126</v>
      </c>
      <c r="H8129">
        <f t="shared" ca="1" si="112"/>
        <v>-1.1723364913564433E-3</v>
      </c>
    </row>
    <row r="8130" spans="7:8" x14ac:dyDescent="0.3">
      <c r="G8130" s="75">
        <v>8127</v>
      </c>
      <c r="H8130">
        <f t="shared" ref="H8130:H8193" ca="1" si="113">_xlfn.NORM.INV(RAND(),$N$4,$N$5)</f>
        <v>-1.4349159468379563E-2</v>
      </c>
    </row>
    <row r="8131" spans="7:8" x14ac:dyDescent="0.3">
      <c r="G8131" s="75">
        <v>8128</v>
      </c>
      <c r="H8131">
        <f t="shared" ca="1" si="113"/>
        <v>1.8165098937110099E-2</v>
      </c>
    </row>
    <row r="8132" spans="7:8" x14ac:dyDescent="0.3">
      <c r="G8132" s="75">
        <v>8129</v>
      </c>
      <c r="H8132">
        <f t="shared" ca="1" si="113"/>
        <v>1.015741625537234E-2</v>
      </c>
    </row>
    <row r="8133" spans="7:8" x14ac:dyDescent="0.3">
      <c r="G8133" s="75">
        <v>8130</v>
      </c>
      <c r="H8133">
        <f t="shared" ca="1" si="113"/>
        <v>8.07989101285643E-3</v>
      </c>
    </row>
    <row r="8134" spans="7:8" x14ac:dyDescent="0.3">
      <c r="G8134" s="75">
        <v>8131</v>
      </c>
      <c r="H8134">
        <f t="shared" ca="1" si="113"/>
        <v>8.3814273505814687E-3</v>
      </c>
    </row>
    <row r="8135" spans="7:8" x14ac:dyDescent="0.3">
      <c r="G8135" s="75">
        <v>8132</v>
      </c>
      <c r="H8135">
        <f t="shared" ca="1" si="113"/>
        <v>-2.5079032703264332E-3</v>
      </c>
    </row>
    <row r="8136" spans="7:8" x14ac:dyDescent="0.3">
      <c r="G8136" s="75">
        <v>8133</v>
      </c>
      <c r="H8136">
        <f t="shared" ca="1" si="113"/>
        <v>1.50963246642277E-2</v>
      </c>
    </row>
    <row r="8137" spans="7:8" x14ac:dyDescent="0.3">
      <c r="G8137" s="75">
        <v>8134</v>
      </c>
      <c r="H8137">
        <f t="shared" ca="1" si="113"/>
        <v>-9.1394020356650504E-3</v>
      </c>
    </row>
    <row r="8138" spans="7:8" x14ac:dyDescent="0.3">
      <c r="G8138" s="75">
        <v>8135</v>
      </c>
      <c r="H8138">
        <f t="shared" ca="1" si="113"/>
        <v>1.9656223036121145E-2</v>
      </c>
    </row>
    <row r="8139" spans="7:8" x14ac:dyDescent="0.3">
      <c r="G8139" s="75">
        <v>8136</v>
      </c>
      <c r="H8139">
        <f t="shared" ca="1" si="113"/>
        <v>8.9584614683256344E-3</v>
      </c>
    </row>
    <row r="8140" spans="7:8" x14ac:dyDescent="0.3">
      <c r="G8140" s="75">
        <v>8137</v>
      </c>
      <c r="H8140">
        <f t="shared" ca="1" si="113"/>
        <v>6.3674574186441159E-3</v>
      </c>
    </row>
    <row r="8141" spans="7:8" x14ac:dyDescent="0.3">
      <c r="G8141" s="75">
        <v>8138</v>
      </c>
      <c r="H8141">
        <f t="shared" ca="1" si="113"/>
        <v>-1.0009646769099422E-2</v>
      </c>
    </row>
    <row r="8142" spans="7:8" x14ac:dyDescent="0.3">
      <c r="G8142" s="75">
        <v>8139</v>
      </c>
      <c r="H8142">
        <f t="shared" ca="1" si="113"/>
        <v>2.5365768659133597E-3</v>
      </c>
    </row>
    <row r="8143" spans="7:8" x14ac:dyDescent="0.3">
      <c r="G8143" s="75">
        <v>8140</v>
      </c>
      <c r="H8143">
        <f t="shared" ca="1" si="113"/>
        <v>-1.5245440058526545E-2</v>
      </c>
    </row>
    <row r="8144" spans="7:8" x14ac:dyDescent="0.3">
      <c r="G8144" s="75">
        <v>8141</v>
      </c>
      <c r="H8144">
        <f t="shared" ca="1" si="113"/>
        <v>1.4823855552340412E-3</v>
      </c>
    </row>
    <row r="8145" spans="7:8" x14ac:dyDescent="0.3">
      <c r="G8145" s="75">
        <v>8142</v>
      </c>
      <c r="H8145">
        <f t="shared" ca="1" si="113"/>
        <v>6.3403824057572302E-3</v>
      </c>
    </row>
    <row r="8146" spans="7:8" x14ac:dyDescent="0.3">
      <c r="G8146" s="75">
        <v>8143</v>
      </c>
      <c r="H8146">
        <f t="shared" ca="1" si="113"/>
        <v>-9.7315448182245159E-3</v>
      </c>
    </row>
    <row r="8147" spans="7:8" x14ac:dyDescent="0.3">
      <c r="G8147" s="75">
        <v>8144</v>
      </c>
      <c r="H8147">
        <f t="shared" ca="1" si="113"/>
        <v>5.6327811812253827E-3</v>
      </c>
    </row>
    <row r="8148" spans="7:8" x14ac:dyDescent="0.3">
      <c r="G8148" s="75">
        <v>8145</v>
      </c>
      <c r="H8148">
        <f t="shared" ca="1" si="113"/>
        <v>-4.4507238576822553E-3</v>
      </c>
    </row>
    <row r="8149" spans="7:8" x14ac:dyDescent="0.3">
      <c r="G8149" s="75">
        <v>8146</v>
      </c>
      <c r="H8149">
        <f t="shared" ca="1" si="113"/>
        <v>2.0936807181207331E-3</v>
      </c>
    </row>
    <row r="8150" spans="7:8" x14ac:dyDescent="0.3">
      <c r="G8150" s="75">
        <v>8147</v>
      </c>
      <c r="H8150">
        <f t="shared" ca="1" si="113"/>
        <v>3.1859515819314594E-3</v>
      </c>
    </row>
    <row r="8151" spans="7:8" x14ac:dyDescent="0.3">
      <c r="G8151" s="75">
        <v>8148</v>
      </c>
      <c r="H8151">
        <f t="shared" ca="1" si="113"/>
        <v>6.1111927189306907E-3</v>
      </c>
    </row>
    <row r="8152" spans="7:8" x14ac:dyDescent="0.3">
      <c r="G8152" s="75">
        <v>8149</v>
      </c>
      <c r="H8152">
        <f t="shared" ca="1" si="113"/>
        <v>4.830278256879786E-3</v>
      </c>
    </row>
    <row r="8153" spans="7:8" x14ac:dyDescent="0.3">
      <c r="G8153" s="75">
        <v>8150</v>
      </c>
      <c r="H8153">
        <f t="shared" ca="1" si="113"/>
        <v>2.5602802248166492E-2</v>
      </c>
    </row>
    <row r="8154" spans="7:8" x14ac:dyDescent="0.3">
      <c r="G8154" s="75">
        <v>8151</v>
      </c>
      <c r="H8154">
        <f t="shared" ca="1" si="113"/>
        <v>3.9212006485005647E-2</v>
      </c>
    </row>
    <row r="8155" spans="7:8" x14ac:dyDescent="0.3">
      <c r="G8155" s="75">
        <v>8152</v>
      </c>
      <c r="H8155">
        <f t="shared" ca="1" si="113"/>
        <v>-2.8516193728080931E-3</v>
      </c>
    </row>
    <row r="8156" spans="7:8" x14ac:dyDescent="0.3">
      <c r="G8156" s="75">
        <v>8153</v>
      </c>
      <c r="H8156">
        <f t="shared" ca="1" si="113"/>
        <v>1.6453489848743818E-4</v>
      </c>
    </row>
    <row r="8157" spans="7:8" x14ac:dyDescent="0.3">
      <c r="G8157" s="75">
        <v>8154</v>
      </c>
      <c r="H8157">
        <f t="shared" ca="1" si="113"/>
        <v>3.2693146715137072E-3</v>
      </c>
    </row>
    <row r="8158" spans="7:8" x14ac:dyDescent="0.3">
      <c r="G8158" s="75">
        <v>8155</v>
      </c>
      <c r="H8158">
        <f t="shared" ca="1" si="113"/>
        <v>-1.2896203250981475E-2</v>
      </c>
    </row>
    <row r="8159" spans="7:8" x14ac:dyDescent="0.3">
      <c r="G8159" s="75">
        <v>8156</v>
      </c>
      <c r="H8159">
        <f t="shared" ca="1" si="113"/>
        <v>2.1223701950536571E-2</v>
      </c>
    </row>
    <row r="8160" spans="7:8" x14ac:dyDescent="0.3">
      <c r="G8160" s="75">
        <v>8157</v>
      </c>
      <c r="H8160">
        <f t="shared" ca="1" si="113"/>
        <v>2.4643119394681993E-3</v>
      </c>
    </row>
    <row r="8161" spans="7:8" x14ac:dyDescent="0.3">
      <c r="G8161" s="75">
        <v>8158</v>
      </c>
      <c r="H8161">
        <f t="shared" ca="1" si="113"/>
        <v>-1.2751878088562816E-2</v>
      </c>
    </row>
    <row r="8162" spans="7:8" x14ac:dyDescent="0.3">
      <c r="G8162" s="75">
        <v>8159</v>
      </c>
      <c r="H8162">
        <f t="shared" ca="1" si="113"/>
        <v>-9.269307125018585E-3</v>
      </c>
    </row>
    <row r="8163" spans="7:8" x14ac:dyDescent="0.3">
      <c r="G8163" s="75">
        <v>8160</v>
      </c>
      <c r="H8163">
        <f t="shared" ca="1" si="113"/>
        <v>2.1043320079888215E-2</v>
      </c>
    </row>
    <row r="8164" spans="7:8" x14ac:dyDescent="0.3">
      <c r="G8164" s="75">
        <v>8161</v>
      </c>
      <c r="H8164">
        <f t="shared" ca="1" si="113"/>
        <v>-9.5127664836895075E-3</v>
      </c>
    </row>
    <row r="8165" spans="7:8" x14ac:dyDescent="0.3">
      <c r="G8165" s="75">
        <v>8162</v>
      </c>
      <c r="H8165">
        <f t="shared" ca="1" si="113"/>
        <v>1.2212278186026786E-2</v>
      </c>
    </row>
    <row r="8166" spans="7:8" x14ac:dyDescent="0.3">
      <c r="G8166" s="75">
        <v>8163</v>
      </c>
      <c r="H8166">
        <f t="shared" ca="1" si="113"/>
        <v>-1.3786852834292075E-2</v>
      </c>
    </row>
    <row r="8167" spans="7:8" x14ac:dyDescent="0.3">
      <c r="G8167" s="75">
        <v>8164</v>
      </c>
      <c r="H8167">
        <f t="shared" ca="1" si="113"/>
        <v>-4.6755228000885142E-3</v>
      </c>
    </row>
    <row r="8168" spans="7:8" x14ac:dyDescent="0.3">
      <c r="G8168" s="75">
        <v>8165</v>
      </c>
      <c r="H8168">
        <f t="shared" ca="1" si="113"/>
        <v>1.0939411846379849E-2</v>
      </c>
    </row>
    <row r="8169" spans="7:8" x14ac:dyDescent="0.3">
      <c r="G8169" s="75">
        <v>8166</v>
      </c>
      <c r="H8169">
        <f t="shared" ca="1" si="113"/>
        <v>-2.22637666096456E-3</v>
      </c>
    </row>
    <row r="8170" spans="7:8" x14ac:dyDescent="0.3">
      <c r="G8170" s="75">
        <v>8167</v>
      </c>
      <c r="H8170">
        <f t="shared" ca="1" si="113"/>
        <v>-2.294897658110049E-2</v>
      </c>
    </row>
    <row r="8171" spans="7:8" x14ac:dyDescent="0.3">
      <c r="G8171" s="75">
        <v>8168</v>
      </c>
      <c r="H8171">
        <f t="shared" ca="1" si="113"/>
        <v>-1.4454338495410746E-2</v>
      </c>
    </row>
    <row r="8172" spans="7:8" x14ac:dyDescent="0.3">
      <c r="G8172" s="75">
        <v>8169</v>
      </c>
      <c r="H8172">
        <f t="shared" ca="1" si="113"/>
        <v>-2.8898525442555027E-3</v>
      </c>
    </row>
    <row r="8173" spans="7:8" x14ac:dyDescent="0.3">
      <c r="G8173" s="75">
        <v>8170</v>
      </c>
      <c r="H8173">
        <f t="shared" ca="1" si="113"/>
        <v>-6.27270618015182E-3</v>
      </c>
    </row>
    <row r="8174" spans="7:8" x14ac:dyDescent="0.3">
      <c r="G8174" s="75">
        <v>8171</v>
      </c>
      <c r="H8174">
        <f t="shared" ca="1" si="113"/>
        <v>9.458122958690458E-3</v>
      </c>
    </row>
    <row r="8175" spans="7:8" x14ac:dyDescent="0.3">
      <c r="G8175" s="75">
        <v>8172</v>
      </c>
      <c r="H8175">
        <f t="shared" ca="1" si="113"/>
        <v>1.6446796782357408E-2</v>
      </c>
    </row>
    <row r="8176" spans="7:8" x14ac:dyDescent="0.3">
      <c r="G8176" s="75">
        <v>8173</v>
      </c>
      <c r="H8176">
        <f t="shared" ca="1" si="113"/>
        <v>-6.1014265774566243E-3</v>
      </c>
    </row>
    <row r="8177" spans="7:8" x14ac:dyDescent="0.3">
      <c r="G8177" s="75">
        <v>8174</v>
      </c>
      <c r="H8177">
        <f t="shared" ca="1" si="113"/>
        <v>5.4380633711094807E-3</v>
      </c>
    </row>
    <row r="8178" spans="7:8" x14ac:dyDescent="0.3">
      <c r="G8178" s="75">
        <v>8175</v>
      </c>
      <c r="H8178">
        <f t="shared" ca="1" si="113"/>
        <v>-5.7794899153107314E-3</v>
      </c>
    </row>
    <row r="8179" spans="7:8" x14ac:dyDescent="0.3">
      <c r="G8179" s="75">
        <v>8176</v>
      </c>
      <c r="H8179">
        <f t="shared" ca="1" si="113"/>
        <v>-9.8237645107972817E-3</v>
      </c>
    </row>
    <row r="8180" spans="7:8" x14ac:dyDescent="0.3">
      <c r="G8180" s="75">
        <v>8177</v>
      </c>
      <c r="H8180">
        <f t="shared" ca="1" si="113"/>
        <v>-8.0907883694234604E-3</v>
      </c>
    </row>
    <row r="8181" spans="7:8" x14ac:dyDescent="0.3">
      <c r="G8181" s="75">
        <v>8178</v>
      </c>
      <c r="H8181">
        <f t="shared" ca="1" si="113"/>
        <v>-8.8306530798228262E-3</v>
      </c>
    </row>
    <row r="8182" spans="7:8" x14ac:dyDescent="0.3">
      <c r="G8182" s="75">
        <v>8179</v>
      </c>
      <c r="H8182">
        <f t="shared" ca="1" si="113"/>
        <v>-1.46763965310858E-2</v>
      </c>
    </row>
    <row r="8183" spans="7:8" x14ac:dyDescent="0.3">
      <c r="G8183" s="75">
        <v>8180</v>
      </c>
      <c r="H8183">
        <f t="shared" ca="1" si="113"/>
        <v>2.0349851500126152E-3</v>
      </c>
    </row>
    <row r="8184" spans="7:8" x14ac:dyDescent="0.3">
      <c r="G8184" s="75">
        <v>8181</v>
      </c>
      <c r="H8184">
        <f t="shared" ca="1" si="113"/>
        <v>-2.2894388760532715E-2</v>
      </c>
    </row>
    <row r="8185" spans="7:8" x14ac:dyDescent="0.3">
      <c r="G8185" s="75">
        <v>8182</v>
      </c>
      <c r="H8185">
        <f t="shared" ca="1" si="113"/>
        <v>3.6211989683114973E-3</v>
      </c>
    </row>
    <row r="8186" spans="7:8" x14ac:dyDescent="0.3">
      <c r="G8186" s="75">
        <v>8183</v>
      </c>
      <c r="H8186">
        <f t="shared" ca="1" si="113"/>
        <v>-1.8680157657331026E-3</v>
      </c>
    </row>
    <row r="8187" spans="7:8" x14ac:dyDescent="0.3">
      <c r="G8187" s="75">
        <v>8184</v>
      </c>
      <c r="H8187">
        <f t="shared" ca="1" si="113"/>
        <v>-8.5995196890773888E-3</v>
      </c>
    </row>
    <row r="8188" spans="7:8" x14ac:dyDescent="0.3">
      <c r="G8188" s="75">
        <v>8185</v>
      </c>
      <c r="H8188">
        <f t="shared" ca="1" si="113"/>
        <v>-3.2984121637271158E-2</v>
      </c>
    </row>
    <row r="8189" spans="7:8" x14ac:dyDescent="0.3">
      <c r="G8189" s="75">
        <v>8186</v>
      </c>
      <c r="H8189">
        <f t="shared" ca="1" si="113"/>
        <v>-9.4952277868374884E-4</v>
      </c>
    </row>
    <row r="8190" spans="7:8" x14ac:dyDescent="0.3">
      <c r="G8190" s="75">
        <v>8187</v>
      </c>
      <c r="H8190">
        <f t="shared" ca="1" si="113"/>
        <v>3.3748333534587413E-3</v>
      </c>
    </row>
    <row r="8191" spans="7:8" x14ac:dyDescent="0.3">
      <c r="G8191" s="75">
        <v>8188</v>
      </c>
      <c r="H8191">
        <f t="shared" ca="1" si="113"/>
        <v>9.6897035590530229E-5</v>
      </c>
    </row>
    <row r="8192" spans="7:8" x14ac:dyDescent="0.3">
      <c r="G8192" s="75">
        <v>8189</v>
      </c>
      <c r="H8192">
        <f t="shared" ca="1" si="113"/>
        <v>-9.3800239240981794E-3</v>
      </c>
    </row>
    <row r="8193" spans="7:8" x14ac:dyDescent="0.3">
      <c r="G8193" s="75">
        <v>8190</v>
      </c>
      <c r="H8193">
        <f t="shared" ca="1" si="113"/>
        <v>2.7350832770767695E-2</v>
      </c>
    </row>
    <row r="8194" spans="7:8" x14ac:dyDescent="0.3">
      <c r="G8194" s="75">
        <v>8191</v>
      </c>
      <c r="H8194">
        <f t="shared" ref="H8194:H8257" ca="1" si="114">_xlfn.NORM.INV(RAND(),$N$4,$N$5)</f>
        <v>1.7425256417172127E-2</v>
      </c>
    </row>
    <row r="8195" spans="7:8" x14ac:dyDescent="0.3">
      <c r="G8195" s="75">
        <v>8192</v>
      </c>
      <c r="H8195">
        <f t="shared" ca="1" si="114"/>
        <v>4.6742350109314039E-3</v>
      </c>
    </row>
    <row r="8196" spans="7:8" x14ac:dyDescent="0.3">
      <c r="G8196" s="75">
        <v>8193</v>
      </c>
      <c r="H8196">
        <f t="shared" ca="1" si="114"/>
        <v>-1.3615170482099838E-3</v>
      </c>
    </row>
    <row r="8197" spans="7:8" x14ac:dyDescent="0.3">
      <c r="G8197" s="75">
        <v>8194</v>
      </c>
      <c r="H8197">
        <f t="shared" ca="1" si="114"/>
        <v>-1.1688755684592335E-2</v>
      </c>
    </row>
    <row r="8198" spans="7:8" x14ac:dyDescent="0.3">
      <c r="G8198" s="75">
        <v>8195</v>
      </c>
      <c r="H8198">
        <f t="shared" ca="1" si="114"/>
        <v>3.7716041805015573E-3</v>
      </c>
    </row>
    <row r="8199" spans="7:8" x14ac:dyDescent="0.3">
      <c r="G8199" s="75">
        <v>8196</v>
      </c>
      <c r="H8199">
        <f t="shared" ca="1" si="114"/>
        <v>8.2588357351403314E-3</v>
      </c>
    </row>
    <row r="8200" spans="7:8" x14ac:dyDescent="0.3">
      <c r="G8200" s="75">
        <v>8197</v>
      </c>
      <c r="H8200">
        <f t="shared" ca="1" si="114"/>
        <v>-4.9374433533066675E-3</v>
      </c>
    </row>
    <row r="8201" spans="7:8" x14ac:dyDescent="0.3">
      <c r="G8201" s="75">
        <v>8198</v>
      </c>
      <c r="H8201">
        <f t="shared" ca="1" si="114"/>
        <v>-6.0212630336473989E-3</v>
      </c>
    </row>
    <row r="8202" spans="7:8" x14ac:dyDescent="0.3">
      <c r="G8202" s="75">
        <v>8199</v>
      </c>
      <c r="H8202">
        <f t="shared" ca="1" si="114"/>
        <v>8.1570394935379879E-4</v>
      </c>
    </row>
    <row r="8203" spans="7:8" x14ac:dyDescent="0.3">
      <c r="G8203" s="75">
        <v>8200</v>
      </c>
      <c r="H8203">
        <f t="shared" ca="1" si="114"/>
        <v>4.7798749554405443E-3</v>
      </c>
    </row>
    <row r="8204" spans="7:8" x14ac:dyDescent="0.3">
      <c r="G8204" s="75">
        <v>8201</v>
      </c>
      <c r="H8204">
        <f t="shared" ca="1" si="114"/>
        <v>-1.858028853830241E-2</v>
      </c>
    </row>
    <row r="8205" spans="7:8" x14ac:dyDescent="0.3">
      <c r="G8205" s="75">
        <v>8202</v>
      </c>
      <c r="H8205">
        <f t="shared" ca="1" si="114"/>
        <v>8.1068895859624079E-3</v>
      </c>
    </row>
    <row r="8206" spans="7:8" x14ac:dyDescent="0.3">
      <c r="G8206" s="75">
        <v>8203</v>
      </c>
      <c r="H8206">
        <f t="shared" ca="1" si="114"/>
        <v>-3.0995097895371872E-3</v>
      </c>
    </row>
    <row r="8207" spans="7:8" x14ac:dyDescent="0.3">
      <c r="G8207" s="75">
        <v>8204</v>
      </c>
      <c r="H8207">
        <f t="shared" ca="1" si="114"/>
        <v>2.2209399350992184E-2</v>
      </c>
    </row>
    <row r="8208" spans="7:8" x14ac:dyDescent="0.3">
      <c r="G8208" s="75">
        <v>8205</v>
      </c>
      <c r="H8208">
        <f t="shared" ca="1" si="114"/>
        <v>-3.2651208942650065E-3</v>
      </c>
    </row>
    <row r="8209" spans="7:8" x14ac:dyDescent="0.3">
      <c r="G8209" s="75">
        <v>8206</v>
      </c>
      <c r="H8209">
        <f t="shared" ca="1" si="114"/>
        <v>-1.3803112949194484E-2</v>
      </c>
    </row>
    <row r="8210" spans="7:8" x14ac:dyDescent="0.3">
      <c r="G8210" s="75">
        <v>8207</v>
      </c>
      <c r="H8210">
        <f t="shared" ca="1" si="114"/>
        <v>-3.9957588071472747E-3</v>
      </c>
    </row>
    <row r="8211" spans="7:8" x14ac:dyDescent="0.3">
      <c r="G8211" s="75">
        <v>8208</v>
      </c>
      <c r="H8211">
        <f t="shared" ca="1" si="114"/>
        <v>2.8629739463989948E-3</v>
      </c>
    </row>
    <row r="8212" spans="7:8" x14ac:dyDescent="0.3">
      <c r="G8212" s="75">
        <v>8209</v>
      </c>
      <c r="H8212">
        <f t="shared" ca="1" si="114"/>
        <v>-1.0170098267475712E-2</v>
      </c>
    </row>
    <row r="8213" spans="7:8" x14ac:dyDescent="0.3">
      <c r="G8213" s="75">
        <v>8210</v>
      </c>
      <c r="H8213">
        <f t="shared" ca="1" si="114"/>
        <v>4.3392877784788611E-3</v>
      </c>
    </row>
    <row r="8214" spans="7:8" x14ac:dyDescent="0.3">
      <c r="G8214" s="75">
        <v>8211</v>
      </c>
      <c r="H8214">
        <f t="shared" ca="1" si="114"/>
        <v>-1.031173322613059E-2</v>
      </c>
    </row>
    <row r="8215" spans="7:8" x14ac:dyDescent="0.3">
      <c r="G8215" s="75">
        <v>8212</v>
      </c>
      <c r="H8215">
        <f t="shared" ca="1" si="114"/>
        <v>-1.3036815173265468E-2</v>
      </c>
    </row>
    <row r="8216" spans="7:8" x14ac:dyDescent="0.3">
      <c r="G8216" s="75">
        <v>8213</v>
      </c>
      <c r="H8216">
        <f t="shared" ca="1" si="114"/>
        <v>-2.1707730471759853E-3</v>
      </c>
    </row>
    <row r="8217" spans="7:8" x14ac:dyDescent="0.3">
      <c r="G8217" s="75">
        <v>8214</v>
      </c>
      <c r="H8217">
        <f t="shared" ca="1" si="114"/>
        <v>1.5048356715634497E-2</v>
      </c>
    </row>
    <row r="8218" spans="7:8" x14ac:dyDescent="0.3">
      <c r="G8218" s="75">
        <v>8215</v>
      </c>
      <c r="H8218">
        <f t="shared" ca="1" si="114"/>
        <v>5.3061914172523135E-3</v>
      </c>
    </row>
    <row r="8219" spans="7:8" x14ac:dyDescent="0.3">
      <c r="G8219" s="75">
        <v>8216</v>
      </c>
      <c r="H8219">
        <f t="shared" ca="1" si="114"/>
        <v>-1.2657892787531225E-2</v>
      </c>
    </row>
    <row r="8220" spans="7:8" x14ac:dyDescent="0.3">
      <c r="G8220" s="75">
        <v>8217</v>
      </c>
      <c r="H8220">
        <f t="shared" ca="1" si="114"/>
        <v>3.1357261788804644E-3</v>
      </c>
    </row>
    <row r="8221" spans="7:8" x14ac:dyDescent="0.3">
      <c r="G8221" s="75">
        <v>8218</v>
      </c>
      <c r="H8221">
        <f t="shared" ca="1" si="114"/>
        <v>2.0716505632510054E-2</v>
      </c>
    </row>
    <row r="8222" spans="7:8" x14ac:dyDescent="0.3">
      <c r="G8222" s="75">
        <v>8219</v>
      </c>
      <c r="H8222">
        <f t="shared" ca="1" si="114"/>
        <v>-3.2672918092889101E-3</v>
      </c>
    </row>
    <row r="8223" spans="7:8" x14ac:dyDescent="0.3">
      <c r="G8223" s="75">
        <v>8220</v>
      </c>
      <c r="H8223">
        <f t="shared" ca="1" si="114"/>
        <v>8.7156747289136877E-3</v>
      </c>
    </row>
    <row r="8224" spans="7:8" x14ac:dyDescent="0.3">
      <c r="G8224" s="75">
        <v>8221</v>
      </c>
      <c r="H8224">
        <f t="shared" ca="1" si="114"/>
        <v>-8.5365474108518044E-4</v>
      </c>
    </row>
    <row r="8225" spans="7:8" x14ac:dyDescent="0.3">
      <c r="G8225" s="75">
        <v>8222</v>
      </c>
      <c r="H8225">
        <f t="shared" ca="1" si="114"/>
        <v>9.0595188534746667E-3</v>
      </c>
    </row>
    <row r="8226" spans="7:8" x14ac:dyDescent="0.3">
      <c r="G8226" s="75">
        <v>8223</v>
      </c>
      <c r="H8226">
        <f t="shared" ca="1" si="114"/>
        <v>-1.1908166799652092E-2</v>
      </c>
    </row>
    <row r="8227" spans="7:8" x14ac:dyDescent="0.3">
      <c r="G8227" s="75">
        <v>8224</v>
      </c>
      <c r="H8227">
        <f t="shared" ca="1" si="114"/>
        <v>7.0298663166975858E-3</v>
      </c>
    </row>
    <row r="8228" spans="7:8" x14ac:dyDescent="0.3">
      <c r="G8228" s="75">
        <v>8225</v>
      </c>
      <c r="H8228">
        <f t="shared" ca="1" si="114"/>
        <v>3.3728690879871126E-2</v>
      </c>
    </row>
    <row r="8229" spans="7:8" x14ac:dyDescent="0.3">
      <c r="G8229" s="75">
        <v>8226</v>
      </c>
      <c r="H8229">
        <f t="shared" ca="1" si="114"/>
        <v>-1.4010080629459031E-2</v>
      </c>
    </row>
    <row r="8230" spans="7:8" x14ac:dyDescent="0.3">
      <c r="G8230" s="75">
        <v>8227</v>
      </c>
      <c r="H8230">
        <f t="shared" ca="1" si="114"/>
        <v>2.4587513239758489E-2</v>
      </c>
    </row>
    <row r="8231" spans="7:8" x14ac:dyDescent="0.3">
      <c r="G8231" s="75">
        <v>8228</v>
      </c>
      <c r="H8231">
        <f t="shared" ca="1" si="114"/>
        <v>-1.1871238374253024E-2</v>
      </c>
    </row>
    <row r="8232" spans="7:8" x14ac:dyDescent="0.3">
      <c r="G8232" s="75">
        <v>8229</v>
      </c>
      <c r="H8232">
        <f t="shared" ca="1" si="114"/>
        <v>1.2792354388700506E-2</v>
      </c>
    </row>
    <row r="8233" spans="7:8" x14ac:dyDescent="0.3">
      <c r="G8233" s="75">
        <v>8230</v>
      </c>
      <c r="H8233">
        <f t="shared" ca="1" si="114"/>
        <v>9.2681575535265605E-3</v>
      </c>
    </row>
    <row r="8234" spans="7:8" x14ac:dyDescent="0.3">
      <c r="G8234" s="75">
        <v>8231</v>
      </c>
      <c r="H8234">
        <f t="shared" ca="1" si="114"/>
        <v>1.1325203722600331E-4</v>
      </c>
    </row>
    <row r="8235" spans="7:8" x14ac:dyDescent="0.3">
      <c r="G8235" s="75">
        <v>8232</v>
      </c>
      <c r="H8235">
        <f t="shared" ca="1" si="114"/>
        <v>-6.5307589678408973E-4</v>
      </c>
    </row>
    <row r="8236" spans="7:8" x14ac:dyDescent="0.3">
      <c r="G8236" s="75">
        <v>8233</v>
      </c>
      <c r="H8236">
        <f t="shared" ca="1" si="114"/>
        <v>1.8078280790835902E-2</v>
      </c>
    </row>
    <row r="8237" spans="7:8" x14ac:dyDescent="0.3">
      <c r="G8237" s="75">
        <v>8234</v>
      </c>
      <c r="H8237">
        <f t="shared" ca="1" si="114"/>
        <v>1.5562721837953492E-3</v>
      </c>
    </row>
    <row r="8238" spans="7:8" x14ac:dyDescent="0.3">
      <c r="G8238" s="75">
        <v>8235</v>
      </c>
      <c r="H8238">
        <f t="shared" ca="1" si="114"/>
        <v>-4.9156506441788966E-3</v>
      </c>
    </row>
    <row r="8239" spans="7:8" x14ac:dyDescent="0.3">
      <c r="G8239" s="75">
        <v>8236</v>
      </c>
      <c r="H8239">
        <f t="shared" ca="1" si="114"/>
        <v>-2.3462008228718207E-3</v>
      </c>
    </row>
    <row r="8240" spans="7:8" x14ac:dyDescent="0.3">
      <c r="G8240" s="75">
        <v>8237</v>
      </c>
      <c r="H8240">
        <f t="shared" ca="1" si="114"/>
        <v>1.0330873436270696E-2</v>
      </c>
    </row>
    <row r="8241" spans="7:8" x14ac:dyDescent="0.3">
      <c r="G8241" s="75">
        <v>8238</v>
      </c>
      <c r="H8241">
        <f t="shared" ca="1" si="114"/>
        <v>2.5968008844403259E-3</v>
      </c>
    </row>
    <row r="8242" spans="7:8" x14ac:dyDescent="0.3">
      <c r="G8242" s="75">
        <v>8239</v>
      </c>
      <c r="H8242">
        <f t="shared" ca="1" si="114"/>
        <v>-2.3124993576954184E-3</v>
      </c>
    </row>
    <row r="8243" spans="7:8" x14ac:dyDescent="0.3">
      <c r="G8243" s="75">
        <v>8240</v>
      </c>
      <c r="H8243">
        <f t="shared" ca="1" si="114"/>
        <v>-1.5551051874700002E-3</v>
      </c>
    </row>
    <row r="8244" spans="7:8" x14ac:dyDescent="0.3">
      <c r="G8244" s="75">
        <v>8241</v>
      </c>
      <c r="H8244">
        <f t="shared" ca="1" si="114"/>
        <v>1.6540728994427968E-2</v>
      </c>
    </row>
    <row r="8245" spans="7:8" x14ac:dyDescent="0.3">
      <c r="G8245" s="75">
        <v>8242</v>
      </c>
      <c r="H8245">
        <f t="shared" ca="1" si="114"/>
        <v>9.9097699031013356E-3</v>
      </c>
    </row>
    <row r="8246" spans="7:8" x14ac:dyDescent="0.3">
      <c r="G8246" s="75">
        <v>8243</v>
      </c>
      <c r="H8246">
        <f t="shared" ca="1" si="114"/>
        <v>-1.7857393475071797E-2</v>
      </c>
    </row>
    <row r="8247" spans="7:8" x14ac:dyDescent="0.3">
      <c r="G8247" s="75">
        <v>8244</v>
      </c>
      <c r="H8247">
        <f t="shared" ca="1" si="114"/>
        <v>-1.1576372559236707E-2</v>
      </c>
    </row>
    <row r="8248" spans="7:8" x14ac:dyDescent="0.3">
      <c r="G8248" s="75">
        <v>8245</v>
      </c>
      <c r="H8248">
        <f t="shared" ca="1" si="114"/>
        <v>-1.0553821821792294E-2</v>
      </c>
    </row>
    <row r="8249" spans="7:8" x14ac:dyDescent="0.3">
      <c r="G8249" s="75">
        <v>8246</v>
      </c>
      <c r="H8249">
        <f t="shared" ca="1" si="114"/>
        <v>2.1179988705126156E-2</v>
      </c>
    </row>
    <row r="8250" spans="7:8" x14ac:dyDescent="0.3">
      <c r="G8250" s="75">
        <v>8247</v>
      </c>
      <c r="H8250">
        <f t="shared" ca="1" si="114"/>
        <v>9.2888114487431565E-3</v>
      </c>
    </row>
    <row r="8251" spans="7:8" x14ac:dyDescent="0.3">
      <c r="G8251" s="75">
        <v>8248</v>
      </c>
      <c r="H8251">
        <f t="shared" ca="1" si="114"/>
        <v>6.0063384451672919E-3</v>
      </c>
    </row>
    <row r="8252" spans="7:8" x14ac:dyDescent="0.3">
      <c r="G8252" s="75">
        <v>8249</v>
      </c>
      <c r="H8252">
        <f t="shared" ca="1" si="114"/>
        <v>1.0033673370010186E-2</v>
      </c>
    </row>
    <row r="8253" spans="7:8" x14ac:dyDescent="0.3">
      <c r="G8253" s="75">
        <v>8250</v>
      </c>
      <c r="H8253">
        <f t="shared" ca="1" si="114"/>
        <v>2.4832621938673066E-2</v>
      </c>
    </row>
    <row r="8254" spans="7:8" x14ac:dyDescent="0.3">
      <c r="G8254" s="75">
        <v>8251</v>
      </c>
      <c r="H8254">
        <f t="shared" ca="1" si="114"/>
        <v>9.1543941542399417E-3</v>
      </c>
    </row>
    <row r="8255" spans="7:8" x14ac:dyDescent="0.3">
      <c r="G8255" s="75">
        <v>8252</v>
      </c>
      <c r="H8255">
        <f t="shared" ca="1" si="114"/>
        <v>1.522088515431458E-2</v>
      </c>
    </row>
    <row r="8256" spans="7:8" x14ac:dyDescent="0.3">
      <c r="G8256" s="75">
        <v>8253</v>
      </c>
      <c r="H8256">
        <f t="shared" ca="1" si="114"/>
        <v>1.4898185058939287E-3</v>
      </c>
    </row>
    <row r="8257" spans="7:8" x14ac:dyDescent="0.3">
      <c r="G8257" s="75">
        <v>8254</v>
      </c>
      <c r="H8257">
        <f t="shared" ca="1" si="114"/>
        <v>1.2874119327589004E-2</v>
      </c>
    </row>
    <row r="8258" spans="7:8" x14ac:dyDescent="0.3">
      <c r="G8258" s="75">
        <v>8255</v>
      </c>
      <c r="H8258">
        <f t="shared" ref="H8258:H8321" ca="1" si="115">_xlfn.NORM.INV(RAND(),$N$4,$N$5)</f>
        <v>-1.1110487789475888E-2</v>
      </c>
    </row>
    <row r="8259" spans="7:8" x14ac:dyDescent="0.3">
      <c r="G8259" s="75">
        <v>8256</v>
      </c>
      <c r="H8259">
        <f t="shared" ca="1" si="115"/>
        <v>-4.6163774212539229E-3</v>
      </c>
    </row>
    <row r="8260" spans="7:8" x14ac:dyDescent="0.3">
      <c r="G8260" s="75">
        <v>8257</v>
      </c>
      <c r="H8260">
        <f t="shared" ca="1" si="115"/>
        <v>-1.7077110677079059E-2</v>
      </c>
    </row>
    <row r="8261" spans="7:8" x14ac:dyDescent="0.3">
      <c r="G8261" s="75">
        <v>8258</v>
      </c>
      <c r="H8261">
        <f t="shared" ca="1" si="115"/>
        <v>-1.2525170184747966E-2</v>
      </c>
    </row>
    <row r="8262" spans="7:8" x14ac:dyDescent="0.3">
      <c r="G8262" s="75">
        <v>8259</v>
      </c>
      <c r="H8262">
        <f t="shared" ca="1" si="115"/>
        <v>9.9032651019518286E-3</v>
      </c>
    </row>
    <row r="8263" spans="7:8" x14ac:dyDescent="0.3">
      <c r="G8263" s="75">
        <v>8260</v>
      </c>
      <c r="H8263">
        <f t="shared" ca="1" si="115"/>
        <v>1.0942789850476413E-2</v>
      </c>
    </row>
    <row r="8264" spans="7:8" x14ac:dyDescent="0.3">
      <c r="G8264" s="75">
        <v>8261</v>
      </c>
      <c r="H8264">
        <f t="shared" ca="1" si="115"/>
        <v>-3.5156845888403938E-3</v>
      </c>
    </row>
    <row r="8265" spans="7:8" x14ac:dyDescent="0.3">
      <c r="G8265" s="75">
        <v>8262</v>
      </c>
      <c r="H8265">
        <f t="shared" ca="1" si="115"/>
        <v>1.6888872729349368E-2</v>
      </c>
    </row>
    <row r="8266" spans="7:8" x14ac:dyDescent="0.3">
      <c r="G8266" s="75">
        <v>8263</v>
      </c>
      <c r="H8266">
        <f t="shared" ca="1" si="115"/>
        <v>8.0971604931029586E-3</v>
      </c>
    </row>
    <row r="8267" spans="7:8" x14ac:dyDescent="0.3">
      <c r="G8267" s="75">
        <v>8264</v>
      </c>
      <c r="H8267">
        <f t="shared" ca="1" si="115"/>
        <v>-1.4300907441295181E-2</v>
      </c>
    </row>
    <row r="8268" spans="7:8" x14ac:dyDescent="0.3">
      <c r="G8268" s="75">
        <v>8265</v>
      </c>
      <c r="H8268">
        <f t="shared" ca="1" si="115"/>
        <v>-2.2606513174644516E-2</v>
      </c>
    </row>
    <row r="8269" spans="7:8" x14ac:dyDescent="0.3">
      <c r="G8269" s="75">
        <v>8266</v>
      </c>
      <c r="H8269">
        <f t="shared" ca="1" si="115"/>
        <v>8.4978517744913763E-3</v>
      </c>
    </row>
    <row r="8270" spans="7:8" x14ac:dyDescent="0.3">
      <c r="G8270" s="75">
        <v>8267</v>
      </c>
      <c r="H8270">
        <f t="shared" ca="1" si="115"/>
        <v>-9.3526852178021369E-3</v>
      </c>
    </row>
    <row r="8271" spans="7:8" x14ac:dyDescent="0.3">
      <c r="G8271" s="75">
        <v>8268</v>
      </c>
      <c r="H8271">
        <f t="shared" ca="1" si="115"/>
        <v>1.9345985659598275E-2</v>
      </c>
    </row>
    <row r="8272" spans="7:8" x14ac:dyDescent="0.3">
      <c r="G8272" s="75">
        <v>8269</v>
      </c>
      <c r="H8272">
        <f t="shared" ca="1" si="115"/>
        <v>2.3917517473048711E-2</v>
      </c>
    </row>
    <row r="8273" spans="7:8" x14ac:dyDescent="0.3">
      <c r="G8273" s="75">
        <v>8270</v>
      </c>
      <c r="H8273">
        <f t="shared" ca="1" si="115"/>
        <v>-3.2435631618109146E-3</v>
      </c>
    </row>
    <row r="8274" spans="7:8" x14ac:dyDescent="0.3">
      <c r="G8274" s="75">
        <v>8271</v>
      </c>
      <c r="H8274">
        <f t="shared" ca="1" si="115"/>
        <v>1.9277792147554974E-2</v>
      </c>
    </row>
    <row r="8275" spans="7:8" x14ac:dyDescent="0.3">
      <c r="G8275" s="75">
        <v>8272</v>
      </c>
      <c r="H8275">
        <f t="shared" ca="1" si="115"/>
        <v>1.6661908916756923E-2</v>
      </c>
    </row>
    <row r="8276" spans="7:8" x14ac:dyDescent="0.3">
      <c r="G8276" s="75">
        <v>8273</v>
      </c>
      <c r="H8276">
        <f t="shared" ca="1" si="115"/>
        <v>2.6837545289256363E-2</v>
      </c>
    </row>
    <row r="8277" spans="7:8" x14ac:dyDescent="0.3">
      <c r="G8277" s="75">
        <v>8274</v>
      </c>
      <c r="H8277">
        <f t="shared" ca="1" si="115"/>
        <v>2.8348286918768314E-4</v>
      </c>
    </row>
    <row r="8278" spans="7:8" x14ac:dyDescent="0.3">
      <c r="G8278" s="75">
        <v>8275</v>
      </c>
      <c r="H8278">
        <f t="shared" ca="1" si="115"/>
        <v>1.0895933700004141E-2</v>
      </c>
    </row>
    <row r="8279" spans="7:8" x14ac:dyDescent="0.3">
      <c r="G8279" s="75">
        <v>8276</v>
      </c>
      <c r="H8279">
        <f t="shared" ca="1" si="115"/>
        <v>1.9763275559681194E-2</v>
      </c>
    </row>
    <row r="8280" spans="7:8" x14ac:dyDescent="0.3">
      <c r="G8280" s="75">
        <v>8277</v>
      </c>
      <c r="H8280">
        <f t="shared" ca="1" si="115"/>
        <v>1.4814613617295587E-2</v>
      </c>
    </row>
    <row r="8281" spans="7:8" x14ac:dyDescent="0.3">
      <c r="G8281" s="75">
        <v>8278</v>
      </c>
      <c r="H8281">
        <f t="shared" ca="1" si="115"/>
        <v>-5.9375935704502536E-3</v>
      </c>
    </row>
    <row r="8282" spans="7:8" x14ac:dyDescent="0.3">
      <c r="G8282" s="75">
        <v>8279</v>
      </c>
      <c r="H8282">
        <f t="shared" ca="1" si="115"/>
        <v>-2.50531526715026E-3</v>
      </c>
    </row>
    <row r="8283" spans="7:8" x14ac:dyDescent="0.3">
      <c r="G8283" s="75">
        <v>8280</v>
      </c>
      <c r="H8283">
        <f t="shared" ca="1" si="115"/>
        <v>-2.4364593523946668E-2</v>
      </c>
    </row>
    <row r="8284" spans="7:8" x14ac:dyDescent="0.3">
      <c r="G8284" s="75">
        <v>8281</v>
      </c>
      <c r="H8284">
        <f t="shared" ca="1" si="115"/>
        <v>-2.4188569529677337E-2</v>
      </c>
    </row>
    <row r="8285" spans="7:8" x14ac:dyDescent="0.3">
      <c r="G8285" s="75">
        <v>8282</v>
      </c>
      <c r="H8285">
        <f t="shared" ca="1" si="115"/>
        <v>7.7342783043495063E-3</v>
      </c>
    </row>
    <row r="8286" spans="7:8" x14ac:dyDescent="0.3">
      <c r="G8286" s="75">
        <v>8283</v>
      </c>
      <c r="H8286">
        <f t="shared" ca="1" si="115"/>
        <v>-3.5055553170165125E-3</v>
      </c>
    </row>
    <row r="8287" spans="7:8" x14ac:dyDescent="0.3">
      <c r="G8287" s="75">
        <v>8284</v>
      </c>
      <c r="H8287">
        <f t="shared" ca="1" si="115"/>
        <v>-1.033073136709175E-3</v>
      </c>
    </row>
    <row r="8288" spans="7:8" x14ac:dyDescent="0.3">
      <c r="G8288" s="75">
        <v>8285</v>
      </c>
      <c r="H8288">
        <f t="shared" ca="1" si="115"/>
        <v>-3.7063676456357816E-2</v>
      </c>
    </row>
    <row r="8289" spans="7:8" x14ac:dyDescent="0.3">
      <c r="G8289" s="75">
        <v>8286</v>
      </c>
      <c r="H8289">
        <f t="shared" ca="1" si="115"/>
        <v>-1.8772662534378037E-2</v>
      </c>
    </row>
    <row r="8290" spans="7:8" x14ac:dyDescent="0.3">
      <c r="G8290" s="75">
        <v>8287</v>
      </c>
      <c r="H8290">
        <f t="shared" ca="1" si="115"/>
        <v>1.5185699215448122E-2</v>
      </c>
    </row>
    <row r="8291" spans="7:8" x14ac:dyDescent="0.3">
      <c r="G8291" s="75">
        <v>8288</v>
      </c>
      <c r="H8291">
        <f t="shared" ca="1" si="115"/>
        <v>3.1062794783367917E-2</v>
      </c>
    </row>
    <row r="8292" spans="7:8" x14ac:dyDescent="0.3">
      <c r="G8292" s="75">
        <v>8289</v>
      </c>
      <c r="H8292">
        <f t="shared" ca="1" si="115"/>
        <v>2.4114620374727871E-3</v>
      </c>
    </row>
    <row r="8293" spans="7:8" x14ac:dyDescent="0.3">
      <c r="G8293" s="75">
        <v>8290</v>
      </c>
      <c r="H8293">
        <f t="shared" ca="1" si="115"/>
        <v>4.3971137438186449E-3</v>
      </c>
    </row>
    <row r="8294" spans="7:8" x14ac:dyDescent="0.3">
      <c r="G8294" s="75">
        <v>8291</v>
      </c>
      <c r="H8294">
        <f t="shared" ca="1" si="115"/>
        <v>1.3515134280828792E-2</v>
      </c>
    </row>
    <row r="8295" spans="7:8" x14ac:dyDescent="0.3">
      <c r="G8295" s="75">
        <v>8292</v>
      </c>
      <c r="H8295">
        <f t="shared" ca="1" si="115"/>
        <v>-7.659655517440191E-3</v>
      </c>
    </row>
    <row r="8296" spans="7:8" x14ac:dyDescent="0.3">
      <c r="G8296" s="75">
        <v>8293</v>
      </c>
      <c r="H8296">
        <f t="shared" ca="1" si="115"/>
        <v>1.2822322571884832E-2</v>
      </c>
    </row>
    <row r="8297" spans="7:8" x14ac:dyDescent="0.3">
      <c r="G8297" s="75">
        <v>8294</v>
      </c>
      <c r="H8297">
        <f t="shared" ca="1" si="115"/>
        <v>7.1172740830013374E-3</v>
      </c>
    </row>
    <row r="8298" spans="7:8" x14ac:dyDescent="0.3">
      <c r="G8298" s="75">
        <v>8295</v>
      </c>
      <c r="H8298">
        <f t="shared" ca="1" si="115"/>
        <v>-1.2794116762279749E-5</v>
      </c>
    </row>
    <row r="8299" spans="7:8" x14ac:dyDescent="0.3">
      <c r="G8299" s="75">
        <v>8296</v>
      </c>
      <c r="H8299">
        <f t="shared" ca="1" si="115"/>
        <v>-7.0654335138514313E-3</v>
      </c>
    </row>
    <row r="8300" spans="7:8" x14ac:dyDescent="0.3">
      <c r="G8300" s="75">
        <v>8297</v>
      </c>
      <c r="H8300">
        <f t="shared" ca="1" si="115"/>
        <v>-1.5525021554698587E-2</v>
      </c>
    </row>
    <row r="8301" spans="7:8" x14ac:dyDescent="0.3">
      <c r="G8301" s="75">
        <v>8298</v>
      </c>
      <c r="H8301">
        <f t="shared" ca="1" si="115"/>
        <v>-1.567668130365639E-2</v>
      </c>
    </row>
    <row r="8302" spans="7:8" x14ac:dyDescent="0.3">
      <c r="G8302" s="75">
        <v>8299</v>
      </c>
      <c r="H8302">
        <f t="shared" ca="1" si="115"/>
        <v>-4.2278405591429282E-3</v>
      </c>
    </row>
    <row r="8303" spans="7:8" x14ac:dyDescent="0.3">
      <c r="G8303" s="75">
        <v>8300</v>
      </c>
      <c r="H8303">
        <f t="shared" ca="1" si="115"/>
        <v>1.4382793405199365E-2</v>
      </c>
    </row>
    <row r="8304" spans="7:8" x14ac:dyDescent="0.3">
      <c r="G8304" s="75">
        <v>8301</v>
      </c>
      <c r="H8304">
        <f t="shared" ca="1" si="115"/>
        <v>-1.2881860136252176E-2</v>
      </c>
    </row>
    <row r="8305" spans="7:8" x14ac:dyDescent="0.3">
      <c r="G8305" s="75">
        <v>8302</v>
      </c>
      <c r="H8305">
        <f t="shared" ca="1" si="115"/>
        <v>-4.3824468324570841E-3</v>
      </c>
    </row>
    <row r="8306" spans="7:8" x14ac:dyDescent="0.3">
      <c r="G8306" s="75">
        <v>8303</v>
      </c>
      <c r="H8306">
        <f t="shared" ca="1" si="115"/>
        <v>-2.6206730043687367E-3</v>
      </c>
    </row>
    <row r="8307" spans="7:8" x14ac:dyDescent="0.3">
      <c r="G8307" s="75">
        <v>8304</v>
      </c>
      <c r="H8307">
        <f t="shared" ca="1" si="115"/>
        <v>-1.9497444619664333E-2</v>
      </c>
    </row>
    <row r="8308" spans="7:8" x14ac:dyDescent="0.3">
      <c r="G8308" s="75">
        <v>8305</v>
      </c>
      <c r="H8308">
        <f t="shared" ca="1" si="115"/>
        <v>-1.5862678603708501E-2</v>
      </c>
    </row>
    <row r="8309" spans="7:8" x14ac:dyDescent="0.3">
      <c r="G8309" s="75">
        <v>8306</v>
      </c>
      <c r="H8309">
        <f t="shared" ca="1" si="115"/>
        <v>-9.7363609122437973E-3</v>
      </c>
    </row>
    <row r="8310" spans="7:8" x14ac:dyDescent="0.3">
      <c r="G8310" s="75">
        <v>8307</v>
      </c>
      <c r="H8310">
        <f t="shared" ca="1" si="115"/>
        <v>-4.0343464200617574E-3</v>
      </c>
    </row>
    <row r="8311" spans="7:8" x14ac:dyDescent="0.3">
      <c r="G8311" s="75">
        <v>8308</v>
      </c>
      <c r="H8311">
        <f t="shared" ca="1" si="115"/>
        <v>7.1290068811457243E-3</v>
      </c>
    </row>
    <row r="8312" spans="7:8" x14ac:dyDescent="0.3">
      <c r="G8312" s="75">
        <v>8309</v>
      </c>
      <c r="H8312">
        <f t="shared" ca="1" si="115"/>
        <v>2.1039918555687254E-2</v>
      </c>
    </row>
    <row r="8313" spans="7:8" x14ac:dyDescent="0.3">
      <c r="G8313" s="75">
        <v>8310</v>
      </c>
      <c r="H8313">
        <f t="shared" ca="1" si="115"/>
        <v>6.5212649170593145E-3</v>
      </c>
    </row>
    <row r="8314" spans="7:8" x14ac:dyDescent="0.3">
      <c r="G8314" s="75">
        <v>8311</v>
      </c>
      <c r="H8314">
        <f t="shared" ca="1" si="115"/>
        <v>-1.0632250870537256E-2</v>
      </c>
    </row>
    <row r="8315" spans="7:8" x14ac:dyDescent="0.3">
      <c r="G8315" s="75">
        <v>8312</v>
      </c>
      <c r="H8315">
        <f t="shared" ca="1" si="115"/>
        <v>1.7573189966921459E-2</v>
      </c>
    </row>
    <row r="8316" spans="7:8" x14ac:dyDescent="0.3">
      <c r="G8316" s="75">
        <v>8313</v>
      </c>
      <c r="H8316">
        <f t="shared" ca="1" si="115"/>
        <v>3.2974749438346024E-2</v>
      </c>
    </row>
    <row r="8317" spans="7:8" x14ac:dyDescent="0.3">
      <c r="G8317" s="75">
        <v>8314</v>
      </c>
      <c r="H8317">
        <f t="shared" ca="1" si="115"/>
        <v>3.5156783528989912E-3</v>
      </c>
    </row>
    <row r="8318" spans="7:8" x14ac:dyDescent="0.3">
      <c r="G8318" s="75">
        <v>8315</v>
      </c>
      <c r="H8318">
        <f t="shared" ca="1" si="115"/>
        <v>5.6441761647319294E-3</v>
      </c>
    </row>
    <row r="8319" spans="7:8" x14ac:dyDescent="0.3">
      <c r="G8319" s="75">
        <v>8316</v>
      </c>
      <c r="H8319">
        <f t="shared" ca="1" si="115"/>
        <v>2.3157077562483384E-2</v>
      </c>
    </row>
    <row r="8320" spans="7:8" x14ac:dyDescent="0.3">
      <c r="G8320" s="75">
        <v>8317</v>
      </c>
      <c r="H8320">
        <f t="shared" ca="1" si="115"/>
        <v>-1.4961298046270643E-3</v>
      </c>
    </row>
    <row r="8321" spans="7:8" x14ac:dyDescent="0.3">
      <c r="G8321" s="75">
        <v>8318</v>
      </c>
      <c r="H8321">
        <f t="shared" ca="1" si="115"/>
        <v>-8.2966400937965878E-3</v>
      </c>
    </row>
    <row r="8322" spans="7:8" x14ac:dyDescent="0.3">
      <c r="G8322" s="75">
        <v>8319</v>
      </c>
      <c r="H8322">
        <f t="shared" ref="H8322:H8385" ca="1" si="116">_xlfn.NORM.INV(RAND(),$N$4,$N$5)</f>
        <v>-9.054671559582413E-4</v>
      </c>
    </row>
    <row r="8323" spans="7:8" x14ac:dyDescent="0.3">
      <c r="G8323" s="75">
        <v>8320</v>
      </c>
      <c r="H8323">
        <f t="shared" ca="1" si="116"/>
        <v>1.5189430055286375E-3</v>
      </c>
    </row>
    <row r="8324" spans="7:8" x14ac:dyDescent="0.3">
      <c r="G8324" s="75">
        <v>8321</v>
      </c>
      <c r="H8324">
        <f t="shared" ca="1" si="116"/>
        <v>-1.8385605664528756E-4</v>
      </c>
    </row>
    <row r="8325" spans="7:8" x14ac:dyDescent="0.3">
      <c r="G8325" s="75">
        <v>8322</v>
      </c>
      <c r="H8325">
        <f t="shared" ca="1" si="116"/>
        <v>1.3394626871152008E-2</v>
      </c>
    </row>
    <row r="8326" spans="7:8" x14ac:dyDescent="0.3">
      <c r="G8326" s="75">
        <v>8323</v>
      </c>
      <c r="H8326">
        <f t="shared" ca="1" si="116"/>
        <v>-3.5016305603077658E-3</v>
      </c>
    </row>
    <row r="8327" spans="7:8" x14ac:dyDescent="0.3">
      <c r="G8327" s="75">
        <v>8324</v>
      </c>
      <c r="H8327">
        <f t="shared" ca="1" si="116"/>
        <v>-1.0243199816004921E-2</v>
      </c>
    </row>
    <row r="8328" spans="7:8" x14ac:dyDescent="0.3">
      <c r="G8328" s="75">
        <v>8325</v>
      </c>
      <c r="H8328">
        <f t="shared" ca="1" si="116"/>
        <v>-1.1565818923535478E-2</v>
      </c>
    </row>
    <row r="8329" spans="7:8" x14ac:dyDescent="0.3">
      <c r="G8329" s="75">
        <v>8326</v>
      </c>
      <c r="H8329">
        <f t="shared" ca="1" si="116"/>
        <v>1.6643064852550685E-2</v>
      </c>
    </row>
    <row r="8330" spans="7:8" x14ac:dyDescent="0.3">
      <c r="G8330" s="75">
        <v>8327</v>
      </c>
      <c r="H8330">
        <f t="shared" ca="1" si="116"/>
        <v>1.3217553157361934E-2</v>
      </c>
    </row>
    <row r="8331" spans="7:8" x14ac:dyDescent="0.3">
      <c r="G8331" s="75">
        <v>8328</v>
      </c>
      <c r="H8331">
        <f t="shared" ca="1" si="116"/>
        <v>3.1313522887661219E-4</v>
      </c>
    </row>
    <row r="8332" spans="7:8" x14ac:dyDescent="0.3">
      <c r="G8332" s="75">
        <v>8329</v>
      </c>
      <c r="H8332">
        <f t="shared" ca="1" si="116"/>
        <v>6.5913787930059961E-3</v>
      </c>
    </row>
    <row r="8333" spans="7:8" x14ac:dyDescent="0.3">
      <c r="G8333" s="75">
        <v>8330</v>
      </c>
      <c r="H8333">
        <f t="shared" ca="1" si="116"/>
        <v>2.0151382353385486E-2</v>
      </c>
    </row>
    <row r="8334" spans="7:8" x14ac:dyDescent="0.3">
      <c r="G8334" s="75">
        <v>8331</v>
      </c>
      <c r="H8334">
        <f t="shared" ca="1" si="116"/>
        <v>-2.2018816308698789E-2</v>
      </c>
    </row>
    <row r="8335" spans="7:8" x14ac:dyDescent="0.3">
      <c r="G8335" s="75">
        <v>8332</v>
      </c>
      <c r="H8335">
        <f t="shared" ca="1" si="116"/>
        <v>1.9356863002564291E-2</v>
      </c>
    </row>
    <row r="8336" spans="7:8" x14ac:dyDescent="0.3">
      <c r="G8336" s="75">
        <v>8333</v>
      </c>
      <c r="H8336">
        <f t="shared" ca="1" si="116"/>
        <v>6.8990785039597206E-3</v>
      </c>
    </row>
    <row r="8337" spans="7:8" x14ac:dyDescent="0.3">
      <c r="G8337" s="75">
        <v>8334</v>
      </c>
      <c r="H8337">
        <f t="shared" ca="1" si="116"/>
        <v>-1.2373309352566362E-2</v>
      </c>
    </row>
    <row r="8338" spans="7:8" x14ac:dyDescent="0.3">
      <c r="G8338" s="75">
        <v>8335</v>
      </c>
      <c r="H8338">
        <f t="shared" ca="1" si="116"/>
        <v>6.4201700033736132E-3</v>
      </c>
    </row>
    <row r="8339" spans="7:8" x14ac:dyDescent="0.3">
      <c r="G8339" s="75">
        <v>8336</v>
      </c>
      <c r="H8339">
        <f t="shared" ca="1" si="116"/>
        <v>-1.2484678978075656E-2</v>
      </c>
    </row>
    <row r="8340" spans="7:8" x14ac:dyDescent="0.3">
      <c r="G8340" s="75">
        <v>8337</v>
      </c>
      <c r="H8340">
        <f t="shared" ca="1" si="116"/>
        <v>2.5246314753458607E-2</v>
      </c>
    </row>
    <row r="8341" spans="7:8" x14ac:dyDescent="0.3">
      <c r="G8341" s="75">
        <v>8338</v>
      </c>
      <c r="H8341">
        <f t="shared" ca="1" si="116"/>
        <v>3.8719359567730141E-3</v>
      </c>
    </row>
    <row r="8342" spans="7:8" x14ac:dyDescent="0.3">
      <c r="G8342" s="75">
        <v>8339</v>
      </c>
      <c r="H8342">
        <f t="shared" ca="1" si="116"/>
        <v>-1.3385478958208293E-2</v>
      </c>
    </row>
    <row r="8343" spans="7:8" x14ac:dyDescent="0.3">
      <c r="G8343" s="75">
        <v>8340</v>
      </c>
      <c r="H8343">
        <f t="shared" ca="1" si="116"/>
        <v>2.6308486101893247E-3</v>
      </c>
    </row>
    <row r="8344" spans="7:8" x14ac:dyDescent="0.3">
      <c r="G8344" s="75">
        <v>8341</v>
      </c>
      <c r="H8344">
        <f t="shared" ca="1" si="116"/>
        <v>3.8657651171023618E-3</v>
      </c>
    </row>
    <row r="8345" spans="7:8" x14ac:dyDescent="0.3">
      <c r="G8345" s="75">
        <v>8342</v>
      </c>
      <c r="H8345">
        <f t="shared" ca="1" si="116"/>
        <v>-9.8104956700927545E-3</v>
      </c>
    </row>
    <row r="8346" spans="7:8" x14ac:dyDescent="0.3">
      <c r="G8346" s="75">
        <v>8343</v>
      </c>
      <c r="H8346">
        <f t="shared" ca="1" si="116"/>
        <v>7.8139680550695714E-3</v>
      </c>
    </row>
    <row r="8347" spans="7:8" x14ac:dyDescent="0.3">
      <c r="G8347" s="75">
        <v>8344</v>
      </c>
      <c r="H8347">
        <f t="shared" ca="1" si="116"/>
        <v>1.1744441284333268E-2</v>
      </c>
    </row>
    <row r="8348" spans="7:8" x14ac:dyDescent="0.3">
      <c r="G8348" s="75">
        <v>8345</v>
      </c>
      <c r="H8348">
        <f t="shared" ca="1" si="116"/>
        <v>1.0277175087625722E-2</v>
      </c>
    </row>
    <row r="8349" spans="7:8" x14ac:dyDescent="0.3">
      <c r="G8349" s="75">
        <v>8346</v>
      </c>
      <c r="H8349">
        <f t="shared" ca="1" si="116"/>
        <v>-1.3779452556508505E-4</v>
      </c>
    </row>
    <row r="8350" spans="7:8" x14ac:dyDescent="0.3">
      <c r="G8350" s="75">
        <v>8347</v>
      </c>
      <c r="H8350">
        <f t="shared" ca="1" si="116"/>
        <v>-6.426742828543084E-3</v>
      </c>
    </row>
    <row r="8351" spans="7:8" x14ac:dyDescent="0.3">
      <c r="G8351" s="75">
        <v>8348</v>
      </c>
      <c r="H8351">
        <f t="shared" ca="1" si="116"/>
        <v>6.3011470067328226E-3</v>
      </c>
    </row>
    <row r="8352" spans="7:8" x14ac:dyDescent="0.3">
      <c r="G8352" s="75">
        <v>8349</v>
      </c>
      <c r="H8352">
        <f t="shared" ca="1" si="116"/>
        <v>-5.3586138465895475E-3</v>
      </c>
    </row>
    <row r="8353" spans="7:8" x14ac:dyDescent="0.3">
      <c r="G8353" s="75">
        <v>8350</v>
      </c>
      <c r="H8353">
        <f t="shared" ca="1" si="116"/>
        <v>1.1959206756386342E-2</v>
      </c>
    </row>
    <row r="8354" spans="7:8" x14ac:dyDescent="0.3">
      <c r="G8354" s="75">
        <v>8351</v>
      </c>
      <c r="H8354">
        <f t="shared" ca="1" si="116"/>
        <v>1.2377397859487188E-2</v>
      </c>
    </row>
    <row r="8355" spans="7:8" x14ac:dyDescent="0.3">
      <c r="G8355" s="75">
        <v>8352</v>
      </c>
      <c r="H8355">
        <f t="shared" ca="1" si="116"/>
        <v>2.1027833042864242E-3</v>
      </c>
    </row>
    <row r="8356" spans="7:8" x14ac:dyDescent="0.3">
      <c r="G8356" s="75">
        <v>8353</v>
      </c>
      <c r="H8356">
        <f t="shared" ca="1" si="116"/>
        <v>1.9657048423558209E-2</v>
      </c>
    </row>
    <row r="8357" spans="7:8" x14ac:dyDescent="0.3">
      <c r="G8357" s="75">
        <v>8354</v>
      </c>
      <c r="H8357">
        <f t="shared" ca="1" si="116"/>
        <v>-2.2012701000033847E-2</v>
      </c>
    </row>
    <row r="8358" spans="7:8" x14ac:dyDescent="0.3">
      <c r="G8358" s="75">
        <v>8355</v>
      </c>
      <c r="H8358">
        <f t="shared" ca="1" si="116"/>
        <v>-1.856598760716267E-2</v>
      </c>
    </row>
    <row r="8359" spans="7:8" x14ac:dyDescent="0.3">
      <c r="G8359" s="75">
        <v>8356</v>
      </c>
      <c r="H8359">
        <f t="shared" ca="1" si="116"/>
        <v>-1.3653418526066505E-2</v>
      </c>
    </row>
    <row r="8360" spans="7:8" x14ac:dyDescent="0.3">
      <c r="G8360" s="75">
        <v>8357</v>
      </c>
      <c r="H8360">
        <f t="shared" ca="1" si="116"/>
        <v>-4.0775262844369459E-3</v>
      </c>
    </row>
    <row r="8361" spans="7:8" x14ac:dyDescent="0.3">
      <c r="G8361" s="75">
        <v>8358</v>
      </c>
      <c r="H8361">
        <f t="shared" ca="1" si="116"/>
        <v>-9.4463010057376784E-3</v>
      </c>
    </row>
    <row r="8362" spans="7:8" x14ac:dyDescent="0.3">
      <c r="G8362" s="75">
        <v>8359</v>
      </c>
      <c r="H8362">
        <f t="shared" ca="1" si="116"/>
        <v>1.1296627817749838E-2</v>
      </c>
    </row>
    <row r="8363" spans="7:8" x14ac:dyDescent="0.3">
      <c r="G8363" s="75">
        <v>8360</v>
      </c>
      <c r="H8363">
        <f t="shared" ca="1" si="116"/>
        <v>3.1317983237063684E-3</v>
      </c>
    </row>
    <row r="8364" spans="7:8" x14ac:dyDescent="0.3">
      <c r="G8364" s="75">
        <v>8361</v>
      </c>
      <c r="H8364">
        <f t="shared" ca="1" si="116"/>
        <v>1.8272627912622876E-2</v>
      </c>
    </row>
    <row r="8365" spans="7:8" x14ac:dyDescent="0.3">
      <c r="G8365" s="75">
        <v>8362</v>
      </c>
      <c r="H8365">
        <f t="shared" ca="1" si="116"/>
        <v>2.012734863563375E-2</v>
      </c>
    </row>
    <row r="8366" spans="7:8" x14ac:dyDescent="0.3">
      <c r="G8366" s="75">
        <v>8363</v>
      </c>
      <c r="H8366">
        <f t="shared" ca="1" si="116"/>
        <v>-2.5257455098722764E-2</v>
      </c>
    </row>
    <row r="8367" spans="7:8" x14ac:dyDescent="0.3">
      <c r="G8367" s="75">
        <v>8364</v>
      </c>
      <c r="H8367">
        <f t="shared" ca="1" si="116"/>
        <v>-2.3116651121578426E-2</v>
      </c>
    </row>
    <row r="8368" spans="7:8" x14ac:dyDescent="0.3">
      <c r="G8368" s="75">
        <v>8365</v>
      </c>
      <c r="H8368">
        <f t="shared" ca="1" si="116"/>
        <v>1.4052345307849927E-2</v>
      </c>
    </row>
    <row r="8369" spans="7:8" x14ac:dyDescent="0.3">
      <c r="G8369" s="75">
        <v>8366</v>
      </c>
      <c r="H8369">
        <f t="shared" ca="1" si="116"/>
        <v>2.6990784786365095E-2</v>
      </c>
    </row>
    <row r="8370" spans="7:8" x14ac:dyDescent="0.3">
      <c r="G8370" s="75">
        <v>8367</v>
      </c>
      <c r="H8370">
        <f t="shared" ca="1" si="116"/>
        <v>4.9729336488941031E-3</v>
      </c>
    </row>
    <row r="8371" spans="7:8" x14ac:dyDescent="0.3">
      <c r="G8371" s="75">
        <v>8368</v>
      </c>
      <c r="H8371">
        <f t="shared" ca="1" si="116"/>
        <v>-1.5026530747746012E-2</v>
      </c>
    </row>
    <row r="8372" spans="7:8" x14ac:dyDescent="0.3">
      <c r="G8372" s="75">
        <v>8369</v>
      </c>
      <c r="H8372">
        <f t="shared" ca="1" si="116"/>
        <v>1.2711702803165885E-2</v>
      </c>
    </row>
    <row r="8373" spans="7:8" x14ac:dyDescent="0.3">
      <c r="G8373" s="75">
        <v>8370</v>
      </c>
      <c r="H8373">
        <f t="shared" ca="1" si="116"/>
        <v>-1.4906404944856014E-2</v>
      </c>
    </row>
    <row r="8374" spans="7:8" x14ac:dyDescent="0.3">
      <c r="G8374" s="75">
        <v>8371</v>
      </c>
      <c r="H8374">
        <f t="shared" ca="1" si="116"/>
        <v>2.2014071366389166E-3</v>
      </c>
    </row>
    <row r="8375" spans="7:8" x14ac:dyDescent="0.3">
      <c r="G8375" s="75">
        <v>8372</v>
      </c>
      <c r="H8375">
        <f t="shared" ca="1" si="116"/>
        <v>1.6939104419207061E-2</v>
      </c>
    </row>
    <row r="8376" spans="7:8" x14ac:dyDescent="0.3">
      <c r="G8376" s="75">
        <v>8373</v>
      </c>
      <c r="H8376">
        <f t="shared" ca="1" si="116"/>
        <v>2.3690783366611293E-2</v>
      </c>
    </row>
    <row r="8377" spans="7:8" x14ac:dyDescent="0.3">
      <c r="G8377" s="75">
        <v>8374</v>
      </c>
      <c r="H8377">
        <f t="shared" ca="1" si="116"/>
        <v>-6.81354363974689E-3</v>
      </c>
    </row>
    <row r="8378" spans="7:8" x14ac:dyDescent="0.3">
      <c r="G8378" s="75">
        <v>8375</v>
      </c>
      <c r="H8378">
        <f t="shared" ca="1" si="116"/>
        <v>-2.5798719892029729E-2</v>
      </c>
    </row>
    <row r="8379" spans="7:8" x14ac:dyDescent="0.3">
      <c r="G8379" s="75">
        <v>8376</v>
      </c>
      <c r="H8379">
        <f t="shared" ca="1" si="116"/>
        <v>-3.7032569417823347E-3</v>
      </c>
    </row>
    <row r="8380" spans="7:8" x14ac:dyDescent="0.3">
      <c r="G8380" s="75">
        <v>8377</v>
      </c>
      <c r="H8380">
        <f t="shared" ca="1" si="116"/>
        <v>-7.9309543351418522E-3</v>
      </c>
    </row>
    <row r="8381" spans="7:8" x14ac:dyDescent="0.3">
      <c r="G8381" s="75">
        <v>8378</v>
      </c>
      <c r="H8381">
        <f t="shared" ca="1" si="116"/>
        <v>1.6292790143394794E-2</v>
      </c>
    </row>
    <row r="8382" spans="7:8" x14ac:dyDescent="0.3">
      <c r="G8382" s="75">
        <v>8379</v>
      </c>
      <c r="H8382">
        <f t="shared" ca="1" si="116"/>
        <v>1.6703493724228587E-2</v>
      </c>
    </row>
    <row r="8383" spans="7:8" x14ac:dyDescent="0.3">
      <c r="G8383" s="75">
        <v>8380</v>
      </c>
      <c r="H8383">
        <f t="shared" ca="1" si="116"/>
        <v>1.1192334743646362E-3</v>
      </c>
    </row>
    <row r="8384" spans="7:8" x14ac:dyDescent="0.3">
      <c r="G8384" s="75">
        <v>8381</v>
      </c>
      <c r="H8384">
        <f t="shared" ca="1" si="116"/>
        <v>7.0161561829303817E-3</v>
      </c>
    </row>
    <row r="8385" spans="7:8" x14ac:dyDescent="0.3">
      <c r="G8385" s="75">
        <v>8382</v>
      </c>
      <c r="H8385">
        <f t="shared" ca="1" si="116"/>
        <v>1.6583993525664035E-2</v>
      </c>
    </row>
    <row r="8386" spans="7:8" x14ac:dyDescent="0.3">
      <c r="G8386" s="75">
        <v>8383</v>
      </c>
      <c r="H8386">
        <f t="shared" ref="H8386:H8449" ca="1" si="117">_xlfn.NORM.INV(RAND(),$N$4,$N$5)</f>
        <v>5.2368633989957024E-3</v>
      </c>
    </row>
    <row r="8387" spans="7:8" x14ac:dyDescent="0.3">
      <c r="G8387" s="75">
        <v>8384</v>
      </c>
      <c r="H8387">
        <f t="shared" ca="1" si="117"/>
        <v>6.4182398046872752E-3</v>
      </c>
    </row>
    <row r="8388" spans="7:8" x14ac:dyDescent="0.3">
      <c r="G8388" s="75">
        <v>8385</v>
      </c>
      <c r="H8388">
        <f t="shared" ca="1" si="117"/>
        <v>-8.9883327799770828E-3</v>
      </c>
    </row>
    <row r="8389" spans="7:8" x14ac:dyDescent="0.3">
      <c r="G8389" s="75">
        <v>8386</v>
      </c>
      <c r="H8389">
        <f t="shared" ca="1" si="117"/>
        <v>3.3861136871827977E-3</v>
      </c>
    </row>
    <row r="8390" spans="7:8" x14ac:dyDescent="0.3">
      <c r="G8390" s="75">
        <v>8387</v>
      </c>
      <c r="H8390">
        <f t="shared" ca="1" si="117"/>
        <v>-2.9470652771860549E-3</v>
      </c>
    </row>
    <row r="8391" spans="7:8" x14ac:dyDescent="0.3">
      <c r="G8391" s="75">
        <v>8388</v>
      </c>
      <c r="H8391">
        <f t="shared" ca="1" si="117"/>
        <v>9.7972150677110917E-3</v>
      </c>
    </row>
    <row r="8392" spans="7:8" x14ac:dyDescent="0.3">
      <c r="G8392" s="75">
        <v>8389</v>
      </c>
      <c r="H8392">
        <f t="shared" ca="1" si="117"/>
        <v>1.9061410064658241E-2</v>
      </c>
    </row>
    <row r="8393" spans="7:8" x14ac:dyDescent="0.3">
      <c r="G8393" s="75">
        <v>8390</v>
      </c>
      <c r="H8393">
        <f t="shared" ca="1" si="117"/>
        <v>1.8261388821283326E-2</v>
      </c>
    </row>
    <row r="8394" spans="7:8" x14ac:dyDescent="0.3">
      <c r="G8394" s="75">
        <v>8391</v>
      </c>
      <c r="H8394">
        <f t="shared" ca="1" si="117"/>
        <v>-1.9873243174897474E-2</v>
      </c>
    </row>
    <row r="8395" spans="7:8" x14ac:dyDescent="0.3">
      <c r="G8395" s="75">
        <v>8392</v>
      </c>
      <c r="H8395">
        <f t="shared" ca="1" si="117"/>
        <v>6.8354174044533917E-3</v>
      </c>
    </row>
    <row r="8396" spans="7:8" x14ac:dyDescent="0.3">
      <c r="G8396" s="75">
        <v>8393</v>
      </c>
      <c r="H8396">
        <f t="shared" ca="1" si="117"/>
        <v>-3.4045241431549978E-3</v>
      </c>
    </row>
    <row r="8397" spans="7:8" x14ac:dyDescent="0.3">
      <c r="G8397" s="75">
        <v>8394</v>
      </c>
      <c r="H8397">
        <f t="shared" ca="1" si="117"/>
        <v>1.0459033097611842E-2</v>
      </c>
    </row>
    <row r="8398" spans="7:8" x14ac:dyDescent="0.3">
      <c r="G8398" s="75">
        <v>8395</v>
      </c>
      <c r="H8398">
        <f t="shared" ca="1" si="117"/>
        <v>5.258182369291607E-3</v>
      </c>
    </row>
    <row r="8399" spans="7:8" x14ac:dyDescent="0.3">
      <c r="G8399" s="75">
        <v>8396</v>
      </c>
      <c r="H8399">
        <f t="shared" ca="1" si="117"/>
        <v>3.5921824429077182E-2</v>
      </c>
    </row>
    <row r="8400" spans="7:8" x14ac:dyDescent="0.3">
      <c r="G8400" s="75">
        <v>8397</v>
      </c>
      <c r="H8400">
        <f t="shared" ca="1" si="117"/>
        <v>-1.1548998659288717E-2</v>
      </c>
    </row>
    <row r="8401" spans="7:8" x14ac:dyDescent="0.3">
      <c r="G8401" s="75">
        <v>8398</v>
      </c>
      <c r="H8401">
        <f t="shared" ca="1" si="117"/>
        <v>2.241922220188606E-3</v>
      </c>
    </row>
    <row r="8402" spans="7:8" x14ac:dyDescent="0.3">
      <c r="G8402" s="75">
        <v>8399</v>
      </c>
      <c r="H8402">
        <f t="shared" ca="1" si="117"/>
        <v>-1.8572821803976465E-2</v>
      </c>
    </row>
    <row r="8403" spans="7:8" x14ac:dyDescent="0.3">
      <c r="G8403" s="75">
        <v>8400</v>
      </c>
      <c r="H8403">
        <f t="shared" ca="1" si="117"/>
        <v>9.343181418077072E-3</v>
      </c>
    </row>
    <row r="8404" spans="7:8" x14ac:dyDescent="0.3">
      <c r="G8404" s="75">
        <v>8401</v>
      </c>
      <c r="H8404">
        <f t="shared" ca="1" si="117"/>
        <v>-3.9396608925853366E-4</v>
      </c>
    </row>
    <row r="8405" spans="7:8" x14ac:dyDescent="0.3">
      <c r="G8405" s="75">
        <v>8402</v>
      </c>
      <c r="H8405">
        <f t="shared" ca="1" si="117"/>
        <v>2.19802845689603E-3</v>
      </c>
    </row>
    <row r="8406" spans="7:8" x14ac:dyDescent="0.3">
      <c r="G8406" s="75">
        <v>8403</v>
      </c>
      <c r="H8406">
        <f t="shared" ca="1" si="117"/>
        <v>8.9827197864880987E-3</v>
      </c>
    </row>
    <row r="8407" spans="7:8" x14ac:dyDescent="0.3">
      <c r="G8407" s="75">
        <v>8404</v>
      </c>
      <c r="H8407">
        <f t="shared" ca="1" si="117"/>
        <v>-1.6360126365316807E-2</v>
      </c>
    </row>
    <row r="8408" spans="7:8" x14ac:dyDescent="0.3">
      <c r="G8408" s="75">
        <v>8405</v>
      </c>
      <c r="H8408">
        <f t="shared" ca="1" si="117"/>
        <v>4.5506296589880955E-3</v>
      </c>
    </row>
    <row r="8409" spans="7:8" x14ac:dyDescent="0.3">
      <c r="G8409" s="75">
        <v>8406</v>
      </c>
      <c r="H8409">
        <f t="shared" ca="1" si="117"/>
        <v>6.9293886534879962E-3</v>
      </c>
    </row>
    <row r="8410" spans="7:8" x14ac:dyDescent="0.3">
      <c r="G8410" s="75">
        <v>8407</v>
      </c>
      <c r="H8410">
        <f t="shared" ca="1" si="117"/>
        <v>-9.6117339426190739E-3</v>
      </c>
    </row>
    <row r="8411" spans="7:8" x14ac:dyDescent="0.3">
      <c r="G8411" s="75">
        <v>8408</v>
      </c>
      <c r="H8411">
        <f t="shared" ca="1" si="117"/>
        <v>-2.3128869564479769E-3</v>
      </c>
    </row>
    <row r="8412" spans="7:8" x14ac:dyDescent="0.3">
      <c r="G8412" s="75">
        <v>8409</v>
      </c>
      <c r="H8412">
        <f t="shared" ca="1" si="117"/>
        <v>-4.6080646893786803E-3</v>
      </c>
    </row>
    <row r="8413" spans="7:8" x14ac:dyDescent="0.3">
      <c r="G8413" s="75">
        <v>8410</v>
      </c>
      <c r="H8413">
        <f t="shared" ca="1" si="117"/>
        <v>-1.7680897976187111E-4</v>
      </c>
    </row>
    <row r="8414" spans="7:8" x14ac:dyDescent="0.3">
      <c r="G8414" s="75">
        <v>8411</v>
      </c>
      <c r="H8414">
        <f t="shared" ca="1" si="117"/>
        <v>2.2330085882985202E-2</v>
      </c>
    </row>
    <row r="8415" spans="7:8" x14ac:dyDescent="0.3">
      <c r="G8415" s="75">
        <v>8412</v>
      </c>
      <c r="H8415">
        <f t="shared" ca="1" si="117"/>
        <v>3.8609268289169385E-2</v>
      </c>
    </row>
    <row r="8416" spans="7:8" x14ac:dyDescent="0.3">
      <c r="G8416" s="75">
        <v>8413</v>
      </c>
      <c r="H8416">
        <f t="shared" ca="1" si="117"/>
        <v>-2.5036654694105672E-3</v>
      </c>
    </row>
    <row r="8417" spans="7:8" x14ac:dyDescent="0.3">
      <c r="G8417" s="75">
        <v>8414</v>
      </c>
      <c r="H8417">
        <f t="shared" ca="1" si="117"/>
        <v>1.0281380414244073E-2</v>
      </c>
    </row>
    <row r="8418" spans="7:8" x14ac:dyDescent="0.3">
      <c r="G8418" s="75">
        <v>8415</v>
      </c>
      <c r="H8418">
        <f t="shared" ca="1" si="117"/>
        <v>-8.6305298002853185E-3</v>
      </c>
    </row>
    <row r="8419" spans="7:8" x14ac:dyDescent="0.3">
      <c r="G8419" s="75">
        <v>8416</v>
      </c>
      <c r="H8419">
        <f t="shared" ca="1" si="117"/>
        <v>7.3792811707276374E-3</v>
      </c>
    </row>
    <row r="8420" spans="7:8" x14ac:dyDescent="0.3">
      <c r="G8420" s="75">
        <v>8417</v>
      </c>
      <c r="H8420">
        <f t="shared" ca="1" si="117"/>
        <v>-1.4286661151069725E-2</v>
      </c>
    </row>
    <row r="8421" spans="7:8" x14ac:dyDescent="0.3">
      <c r="G8421" s="75">
        <v>8418</v>
      </c>
      <c r="H8421">
        <f t="shared" ca="1" si="117"/>
        <v>-1.0921720717672204E-3</v>
      </c>
    </row>
    <row r="8422" spans="7:8" x14ac:dyDescent="0.3">
      <c r="G8422" s="75">
        <v>8419</v>
      </c>
      <c r="H8422">
        <f t="shared" ca="1" si="117"/>
        <v>-7.4967824478655298E-3</v>
      </c>
    </row>
    <row r="8423" spans="7:8" x14ac:dyDescent="0.3">
      <c r="G8423" s="75">
        <v>8420</v>
      </c>
      <c r="H8423">
        <f t="shared" ca="1" si="117"/>
        <v>-8.2764623068335291E-3</v>
      </c>
    </row>
    <row r="8424" spans="7:8" x14ac:dyDescent="0.3">
      <c r="G8424" s="75">
        <v>8421</v>
      </c>
      <c r="H8424">
        <f t="shared" ca="1" si="117"/>
        <v>1.3252378775063798E-2</v>
      </c>
    </row>
    <row r="8425" spans="7:8" x14ac:dyDescent="0.3">
      <c r="G8425" s="75">
        <v>8422</v>
      </c>
      <c r="H8425">
        <f t="shared" ca="1" si="117"/>
        <v>-2.2977791558952266E-3</v>
      </c>
    </row>
    <row r="8426" spans="7:8" x14ac:dyDescent="0.3">
      <c r="G8426" s="75">
        <v>8423</v>
      </c>
      <c r="H8426">
        <f t="shared" ca="1" si="117"/>
        <v>9.8319465018210546E-3</v>
      </c>
    </row>
    <row r="8427" spans="7:8" x14ac:dyDescent="0.3">
      <c r="G8427" s="75">
        <v>8424</v>
      </c>
      <c r="H8427">
        <f t="shared" ca="1" si="117"/>
        <v>1.7530319652967408E-2</v>
      </c>
    </row>
    <row r="8428" spans="7:8" x14ac:dyDescent="0.3">
      <c r="G8428" s="75">
        <v>8425</v>
      </c>
      <c r="H8428">
        <f t="shared" ca="1" si="117"/>
        <v>1.325186568939448E-3</v>
      </c>
    </row>
    <row r="8429" spans="7:8" x14ac:dyDescent="0.3">
      <c r="G8429" s="75">
        <v>8426</v>
      </c>
      <c r="H8429">
        <f t="shared" ca="1" si="117"/>
        <v>-5.0577224188702412E-3</v>
      </c>
    </row>
    <row r="8430" spans="7:8" x14ac:dyDescent="0.3">
      <c r="G8430" s="75">
        <v>8427</v>
      </c>
      <c r="H8430">
        <f t="shared" ca="1" si="117"/>
        <v>1.9530366060006389E-2</v>
      </c>
    </row>
    <row r="8431" spans="7:8" x14ac:dyDescent="0.3">
      <c r="G8431" s="75">
        <v>8428</v>
      </c>
      <c r="H8431">
        <f t="shared" ca="1" si="117"/>
        <v>-1.1794548169362798E-2</v>
      </c>
    </row>
    <row r="8432" spans="7:8" x14ac:dyDescent="0.3">
      <c r="G8432" s="75">
        <v>8429</v>
      </c>
      <c r="H8432">
        <f t="shared" ca="1" si="117"/>
        <v>-8.7338700542280712E-3</v>
      </c>
    </row>
    <row r="8433" spans="7:8" x14ac:dyDescent="0.3">
      <c r="G8433" s="75">
        <v>8430</v>
      </c>
      <c r="H8433">
        <f t="shared" ca="1" si="117"/>
        <v>4.5128079275760721E-3</v>
      </c>
    </row>
    <row r="8434" spans="7:8" x14ac:dyDescent="0.3">
      <c r="G8434" s="75">
        <v>8431</v>
      </c>
      <c r="H8434">
        <f t="shared" ca="1" si="117"/>
        <v>6.6581675824035954E-3</v>
      </c>
    </row>
    <row r="8435" spans="7:8" x14ac:dyDescent="0.3">
      <c r="G8435" s="75">
        <v>8432</v>
      </c>
      <c r="H8435">
        <f t="shared" ca="1" si="117"/>
        <v>1.4642523615294721E-2</v>
      </c>
    </row>
    <row r="8436" spans="7:8" x14ac:dyDescent="0.3">
      <c r="G8436" s="75">
        <v>8433</v>
      </c>
      <c r="H8436">
        <f t="shared" ca="1" si="117"/>
        <v>-1.4679274561853525E-3</v>
      </c>
    </row>
    <row r="8437" spans="7:8" x14ac:dyDescent="0.3">
      <c r="G8437" s="75">
        <v>8434</v>
      </c>
      <c r="H8437">
        <f t="shared" ca="1" si="117"/>
        <v>3.2595696059043056E-2</v>
      </c>
    </row>
    <row r="8438" spans="7:8" x14ac:dyDescent="0.3">
      <c r="G8438" s="75">
        <v>8435</v>
      </c>
      <c r="H8438">
        <f t="shared" ca="1" si="117"/>
        <v>-1.6225384766343987E-2</v>
      </c>
    </row>
    <row r="8439" spans="7:8" x14ac:dyDescent="0.3">
      <c r="G8439" s="75">
        <v>8436</v>
      </c>
      <c r="H8439">
        <f t="shared" ca="1" si="117"/>
        <v>-1.1481426704906469E-2</v>
      </c>
    </row>
    <row r="8440" spans="7:8" x14ac:dyDescent="0.3">
      <c r="G8440" s="75">
        <v>8437</v>
      </c>
      <c r="H8440">
        <f t="shared" ca="1" si="117"/>
        <v>-1.6092762050051036E-2</v>
      </c>
    </row>
    <row r="8441" spans="7:8" x14ac:dyDescent="0.3">
      <c r="G8441" s="75">
        <v>8438</v>
      </c>
      <c r="H8441">
        <f t="shared" ca="1" si="117"/>
        <v>2.251443797124307E-2</v>
      </c>
    </row>
    <row r="8442" spans="7:8" x14ac:dyDescent="0.3">
      <c r="G8442" s="75">
        <v>8439</v>
      </c>
      <c r="H8442">
        <f t="shared" ca="1" si="117"/>
        <v>8.0715880022717377E-3</v>
      </c>
    </row>
    <row r="8443" spans="7:8" x14ac:dyDescent="0.3">
      <c r="G8443" s="75">
        <v>8440</v>
      </c>
      <c r="H8443">
        <f t="shared" ca="1" si="117"/>
        <v>7.3950119435354979E-3</v>
      </c>
    </row>
    <row r="8444" spans="7:8" x14ac:dyDescent="0.3">
      <c r="G8444" s="75">
        <v>8441</v>
      </c>
      <c r="H8444">
        <f t="shared" ca="1" si="117"/>
        <v>6.5311628605627028E-3</v>
      </c>
    </row>
    <row r="8445" spans="7:8" x14ac:dyDescent="0.3">
      <c r="G8445" s="75">
        <v>8442</v>
      </c>
      <c r="H8445">
        <f t="shared" ca="1" si="117"/>
        <v>1.1090024446970397E-2</v>
      </c>
    </row>
    <row r="8446" spans="7:8" x14ac:dyDescent="0.3">
      <c r="G8446" s="75">
        <v>8443</v>
      </c>
      <c r="H8446">
        <f t="shared" ca="1" si="117"/>
        <v>-9.2335185885237953E-3</v>
      </c>
    </row>
    <row r="8447" spans="7:8" x14ac:dyDescent="0.3">
      <c r="G8447" s="75">
        <v>8444</v>
      </c>
      <c r="H8447">
        <f t="shared" ca="1" si="117"/>
        <v>-7.4634562311167701E-3</v>
      </c>
    </row>
    <row r="8448" spans="7:8" x14ac:dyDescent="0.3">
      <c r="G8448" s="75">
        <v>8445</v>
      </c>
      <c r="H8448">
        <f t="shared" ca="1" si="117"/>
        <v>2.6758966424045259E-3</v>
      </c>
    </row>
    <row r="8449" spans="7:8" x14ac:dyDescent="0.3">
      <c r="G8449" s="75">
        <v>8446</v>
      </c>
      <c r="H8449">
        <f t="shared" ca="1" si="117"/>
        <v>-1.04495825716341E-2</v>
      </c>
    </row>
    <row r="8450" spans="7:8" x14ac:dyDescent="0.3">
      <c r="G8450" s="75">
        <v>8447</v>
      </c>
      <c r="H8450">
        <f t="shared" ref="H8450:H8513" ca="1" si="118">_xlfn.NORM.INV(RAND(),$N$4,$N$5)</f>
        <v>1.0240821407070549E-3</v>
      </c>
    </row>
    <row r="8451" spans="7:8" x14ac:dyDescent="0.3">
      <c r="G8451" s="75">
        <v>8448</v>
      </c>
      <c r="H8451">
        <f t="shared" ca="1" si="118"/>
        <v>-5.7839557319338498E-3</v>
      </c>
    </row>
    <row r="8452" spans="7:8" x14ac:dyDescent="0.3">
      <c r="G8452" s="75">
        <v>8449</v>
      </c>
      <c r="H8452">
        <f t="shared" ca="1" si="118"/>
        <v>6.9119681904076494E-4</v>
      </c>
    </row>
    <row r="8453" spans="7:8" x14ac:dyDescent="0.3">
      <c r="G8453" s="75">
        <v>8450</v>
      </c>
      <c r="H8453">
        <f t="shared" ca="1" si="118"/>
        <v>6.4192437436725929E-3</v>
      </c>
    </row>
    <row r="8454" spans="7:8" x14ac:dyDescent="0.3">
      <c r="G8454" s="75">
        <v>8451</v>
      </c>
      <c r="H8454">
        <f t="shared" ca="1" si="118"/>
        <v>2.9081307082013536E-2</v>
      </c>
    </row>
    <row r="8455" spans="7:8" x14ac:dyDescent="0.3">
      <c r="G8455" s="75">
        <v>8452</v>
      </c>
      <c r="H8455">
        <f t="shared" ca="1" si="118"/>
        <v>1.0497474463832165E-2</v>
      </c>
    </row>
    <row r="8456" spans="7:8" x14ac:dyDescent="0.3">
      <c r="G8456" s="75">
        <v>8453</v>
      </c>
      <c r="H8456">
        <f t="shared" ca="1" si="118"/>
        <v>4.7488701292008615E-3</v>
      </c>
    </row>
    <row r="8457" spans="7:8" x14ac:dyDescent="0.3">
      <c r="G8457" s="75">
        <v>8454</v>
      </c>
      <c r="H8457">
        <f t="shared" ca="1" si="118"/>
        <v>1.2974927926338146E-2</v>
      </c>
    </row>
    <row r="8458" spans="7:8" x14ac:dyDescent="0.3">
      <c r="G8458" s="75">
        <v>8455</v>
      </c>
      <c r="H8458">
        <f t="shared" ca="1" si="118"/>
        <v>6.632523734910984E-3</v>
      </c>
    </row>
    <row r="8459" spans="7:8" x14ac:dyDescent="0.3">
      <c r="G8459" s="75">
        <v>8456</v>
      </c>
      <c r="H8459">
        <f t="shared" ca="1" si="118"/>
        <v>2.3965359731585808E-2</v>
      </c>
    </row>
    <row r="8460" spans="7:8" x14ac:dyDescent="0.3">
      <c r="G8460" s="75">
        <v>8457</v>
      </c>
      <c r="H8460">
        <f t="shared" ca="1" si="118"/>
        <v>-1.3188658895133916E-3</v>
      </c>
    </row>
    <row r="8461" spans="7:8" x14ac:dyDescent="0.3">
      <c r="G8461" s="75">
        <v>8458</v>
      </c>
      <c r="H8461">
        <f t="shared" ca="1" si="118"/>
        <v>-3.2788157830129718E-3</v>
      </c>
    </row>
    <row r="8462" spans="7:8" x14ac:dyDescent="0.3">
      <c r="G8462" s="75">
        <v>8459</v>
      </c>
      <c r="H8462">
        <f t="shared" ca="1" si="118"/>
        <v>-2.0684540311935997E-3</v>
      </c>
    </row>
    <row r="8463" spans="7:8" x14ac:dyDescent="0.3">
      <c r="G8463" s="75">
        <v>8460</v>
      </c>
      <c r="H8463">
        <f t="shared" ca="1" si="118"/>
        <v>-1.8541917568787574E-2</v>
      </c>
    </row>
    <row r="8464" spans="7:8" x14ac:dyDescent="0.3">
      <c r="G8464" s="75">
        <v>8461</v>
      </c>
      <c r="H8464">
        <f t="shared" ca="1" si="118"/>
        <v>-3.4626023658829129E-3</v>
      </c>
    </row>
    <row r="8465" spans="7:8" x14ac:dyDescent="0.3">
      <c r="G8465" s="75">
        <v>8462</v>
      </c>
      <c r="H8465">
        <f t="shared" ca="1" si="118"/>
        <v>-2.141344460258689E-2</v>
      </c>
    </row>
    <row r="8466" spans="7:8" x14ac:dyDescent="0.3">
      <c r="G8466" s="75">
        <v>8463</v>
      </c>
      <c r="H8466">
        <f t="shared" ca="1" si="118"/>
        <v>-2.4259389527058198E-2</v>
      </c>
    </row>
    <row r="8467" spans="7:8" x14ac:dyDescent="0.3">
      <c r="G8467" s="75">
        <v>8464</v>
      </c>
      <c r="H8467">
        <f t="shared" ca="1" si="118"/>
        <v>-1.3136854678027696E-2</v>
      </c>
    </row>
    <row r="8468" spans="7:8" x14ac:dyDescent="0.3">
      <c r="G8468" s="75">
        <v>8465</v>
      </c>
      <c r="H8468">
        <f t="shared" ca="1" si="118"/>
        <v>-6.6372084332979179E-3</v>
      </c>
    </row>
    <row r="8469" spans="7:8" x14ac:dyDescent="0.3">
      <c r="G8469" s="75">
        <v>8466</v>
      </c>
      <c r="H8469">
        <f t="shared" ca="1" si="118"/>
        <v>8.2106474195251383E-3</v>
      </c>
    </row>
    <row r="8470" spans="7:8" x14ac:dyDescent="0.3">
      <c r="G8470" s="75">
        <v>8467</v>
      </c>
      <c r="H8470">
        <f t="shared" ca="1" si="118"/>
        <v>6.8950594618482951E-3</v>
      </c>
    </row>
    <row r="8471" spans="7:8" x14ac:dyDescent="0.3">
      <c r="G8471" s="75">
        <v>8468</v>
      </c>
      <c r="H8471">
        <f t="shared" ca="1" si="118"/>
        <v>6.9154073301455144E-3</v>
      </c>
    </row>
    <row r="8472" spans="7:8" x14ac:dyDescent="0.3">
      <c r="G8472" s="75">
        <v>8469</v>
      </c>
      <c r="H8472">
        <f t="shared" ca="1" si="118"/>
        <v>-7.7816769510673563E-3</v>
      </c>
    </row>
    <row r="8473" spans="7:8" x14ac:dyDescent="0.3">
      <c r="G8473" s="75">
        <v>8470</v>
      </c>
      <c r="H8473">
        <f t="shared" ca="1" si="118"/>
        <v>-3.2422029335144174E-2</v>
      </c>
    </row>
    <row r="8474" spans="7:8" x14ac:dyDescent="0.3">
      <c r="G8474" s="75">
        <v>8471</v>
      </c>
      <c r="H8474">
        <f t="shared" ca="1" si="118"/>
        <v>-1.8803231549825088E-2</v>
      </c>
    </row>
    <row r="8475" spans="7:8" x14ac:dyDescent="0.3">
      <c r="G8475" s="75">
        <v>8472</v>
      </c>
      <c r="H8475">
        <f t="shared" ca="1" si="118"/>
        <v>1.1459364276136863E-2</v>
      </c>
    </row>
    <row r="8476" spans="7:8" x14ac:dyDescent="0.3">
      <c r="G8476" s="75">
        <v>8473</v>
      </c>
      <c r="H8476">
        <f t="shared" ca="1" si="118"/>
        <v>-3.9955015478707993E-3</v>
      </c>
    </row>
    <row r="8477" spans="7:8" x14ac:dyDescent="0.3">
      <c r="G8477" s="75">
        <v>8474</v>
      </c>
      <c r="H8477">
        <f t="shared" ca="1" si="118"/>
        <v>6.8980648683543352E-3</v>
      </c>
    </row>
    <row r="8478" spans="7:8" x14ac:dyDescent="0.3">
      <c r="G8478" s="75">
        <v>8475</v>
      </c>
      <c r="H8478">
        <f t="shared" ca="1" si="118"/>
        <v>2.2441132858249987E-2</v>
      </c>
    </row>
    <row r="8479" spans="7:8" x14ac:dyDescent="0.3">
      <c r="G8479" s="75">
        <v>8476</v>
      </c>
      <c r="H8479">
        <f t="shared" ca="1" si="118"/>
        <v>-1.4234193950508196E-2</v>
      </c>
    </row>
    <row r="8480" spans="7:8" x14ac:dyDescent="0.3">
      <c r="G8480" s="75">
        <v>8477</v>
      </c>
      <c r="H8480">
        <f t="shared" ca="1" si="118"/>
        <v>8.7583901372814276E-4</v>
      </c>
    </row>
    <row r="8481" spans="7:8" x14ac:dyDescent="0.3">
      <c r="G8481" s="75">
        <v>8478</v>
      </c>
      <c r="H8481">
        <f t="shared" ca="1" si="118"/>
        <v>-6.7148561120856454E-3</v>
      </c>
    </row>
    <row r="8482" spans="7:8" x14ac:dyDescent="0.3">
      <c r="G8482" s="75">
        <v>8479</v>
      </c>
      <c r="H8482">
        <f t="shared" ca="1" si="118"/>
        <v>-3.7239666848072383E-3</v>
      </c>
    </row>
    <row r="8483" spans="7:8" x14ac:dyDescent="0.3">
      <c r="G8483" s="75">
        <v>8480</v>
      </c>
      <c r="H8483">
        <f t="shared" ca="1" si="118"/>
        <v>1.2168263516152369E-2</v>
      </c>
    </row>
    <row r="8484" spans="7:8" x14ac:dyDescent="0.3">
      <c r="G8484" s="75">
        <v>8481</v>
      </c>
      <c r="H8484">
        <f t="shared" ca="1" si="118"/>
        <v>1.2044771748856653E-2</v>
      </c>
    </row>
    <row r="8485" spans="7:8" x14ac:dyDescent="0.3">
      <c r="G8485" s="75">
        <v>8482</v>
      </c>
      <c r="H8485">
        <f t="shared" ca="1" si="118"/>
        <v>-9.7151669953465351E-3</v>
      </c>
    </row>
    <row r="8486" spans="7:8" x14ac:dyDescent="0.3">
      <c r="G8486" s="75">
        <v>8483</v>
      </c>
      <c r="H8486">
        <f t="shared" ca="1" si="118"/>
        <v>-1.9416470094422089E-4</v>
      </c>
    </row>
    <row r="8487" spans="7:8" x14ac:dyDescent="0.3">
      <c r="G8487" s="75">
        <v>8484</v>
      </c>
      <c r="H8487">
        <f t="shared" ca="1" si="118"/>
        <v>8.3908327088574007E-3</v>
      </c>
    </row>
    <row r="8488" spans="7:8" x14ac:dyDescent="0.3">
      <c r="G8488" s="75">
        <v>8485</v>
      </c>
      <c r="H8488">
        <f t="shared" ca="1" si="118"/>
        <v>1.5670216780228154E-2</v>
      </c>
    </row>
    <row r="8489" spans="7:8" x14ac:dyDescent="0.3">
      <c r="G8489" s="75">
        <v>8486</v>
      </c>
      <c r="H8489">
        <f t="shared" ca="1" si="118"/>
        <v>1.1554393773797944E-2</v>
      </c>
    </row>
    <row r="8490" spans="7:8" x14ac:dyDescent="0.3">
      <c r="G8490" s="75">
        <v>8487</v>
      </c>
      <c r="H8490">
        <f t="shared" ca="1" si="118"/>
        <v>-2.9536184297725169E-3</v>
      </c>
    </row>
    <row r="8491" spans="7:8" x14ac:dyDescent="0.3">
      <c r="G8491" s="75">
        <v>8488</v>
      </c>
      <c r="H8491">
        <f t="shared" ca="1" si="118"/>
        <v>4.1161411568043059E-3</v>
      </c>
    </row>
    <row r="8492" spans="7:8" x14ac:dyDescent="0.3">
      <c r="G8492" s="75">
        <v>8489</v>
      </c>
      <c r="H8492">
        <f t="shared" ca="1" si="118"/>
        <v>2.5835323396240957E-2</v>
      </c>
    </row>
    <row r="8493" spans="7:8" x14ac:dyDescent="0.3">
      <c r="G8493" s="75">
        <v>8490</v>
      </c>
      <c r="H8493">
        <f t="shared" ca="1" si="118"/>
        <v>2.0498822993005924E-2</v>
      </c>
    </row>
    <row r="8494" spans="7:8" x14ac:dyDescent="0.3">
      <c r="G8494" s="75">
        <v>8491</v>
      </c>
      <c r="H8494">
        <f t="shared" ca="1" si="118"/>
        <v>3.7964884241573865E-3</v>
      </c>
    </row>
    <row r="8495" spans="7:8" x14ac:dyDescent="0.3">
      <c r="G8495" s="75">
        <v>8492</v>
      </c>
      <c r="H8495">
        <f t="shared" ca="1" si="118"/>
        <v>3.6734490632497649E-3</v>
      </c>
    </row>
    <row r="8496" spans="7:8" x14ac:dyDescent="0.3">
      <c r="G8496" s="75">
        <v>8493</v>
      </c>
      <c r="H8496">
        <f t="shared" ca="1" si="118"/>
        <v>1.1671901546989553E-2</v>
      </c>
    </row>
    <row r="8497" spans="7:8" x14ac:dyDescent="0.3">
      <c r="G8497" s="75">
        <v>8494</v>
      </c>
      <c r="H8497">
        <f t="shared" ca="1" si="118"/>
        <v>-6.4950957853204512E-3</v>
      </c>
    </row>
    <row r="8498" spans="7:8" x14ac:dyDescent="0.3">
      <c r="G8498" s="75">
        <v>8495</v>
      </c>
      <c r="H8498">
        <f t="shared" ca="1" si="118"/>
        <v>-7.0677901744137586E-3</v>
      </c>
    </row>
    <row r="8499" spans="7:8" x14ac:dyDescent="0.3">
      <c r="G8499" s="75">
        <v>8496</v>
      </c>
      <c r="H8499">
        <f t="shared" ca="1" si="118"/>
        <v>-6.2251079916958432E-3</v>
      </c>
    </row>
    <row r="8500" spans="7:8" x14ac:dyDescent="0.3">
      <c r="G8500" s="75">
        <v>8497</v>
      </c>
      <c r="H8500">
        <f t="shared" ca="1" si="118"/>
        <v>-2.4339865834542861E-2</v>
      </c>
    </row>
    <row r="8501" spans="7:8" x14ac:dyDescent="0.3">
      <c r="G8501" s="75">
        <v>8498</v>
      </c>
      <c r="H8501">
        <f t="shared" ca="1" si="118"/>
        <v>7.1943361654325287E-4</v>
      </c>
    </row>
    <row r="8502" spans="7:8" x14ac:dyDescent="0.3">
      <c r="G8502" s="75">
        <v>8499</v>
      </c>
      <c r="H8502">
        <f t="shared" ca="1" si="118"/>
        <v>-4.8712537190539005E-3</v>
      </c>
    </row>
    <row r="8503" spans="7:8" x14ac:dyDescent="0.3">
      <c r="G8503" s="75">
        <v>8500</v>
      </c>
      <c r="H8503">
        <f t="shared" ca="1" si="118"/>
        <v>1.8937958018166019E-2</v>
      </c>
    </row>
    <row r="8504" spans="7:8" x14ac:dyDescent="0.3">
      <c r="G8504" s="75">
        <v>8501</v>
      </c>
      <c r="H8504">
        <f t="shared" ca="1" si="118"/>
        <v>1.1018436305796672E-2</v>
      </c>
    </row>
    <row r="8505" spans="7:8" x14ac:dyDescent="0.3">
      <c r="G8505" s="75">
        <v>8502</v>
      </c>
      <c r="H8505">
        <f t="shared" ca="1" si="118"/>
        <v>-9.6224118255470691E-3</v>
      </c>
    </row>
    <row r="8506" spans="7:8" x14ac:dyDescent="0.3">
      <c r="G8506" s="75">
        <v>8503</v>
      </c>
      <c r="H8506">
        <f t="shared" ca="1" si="118"/>
        <v>-1.0144147272044012E-2</v>
      </c>
    </row>
    <row r="8507" spans="7:8" x14ac:dyDescent="0.3">
      <c r="G8507" s="75">
        <v>8504</v>
      </c>
      <c r="H8507">
        <f t="shared" ca="1" si="118"/>
        <v>-5.5615214542396299E-4</v>
      </c>
    </row>
    <row r="8508" spans="7:8" x14ac:dyDescent="0.3">
      <c r="G8508" s="75">
        <v>8505</v>
      </c>
      <c r="H8508">
        <f t="shared" ca="1" si="118"/>
        <v>4.9821518004437035E-4</v>
      </c>
    </row>
    <row r="8509" spans="7:8" x14ac:dyDescent="0.3">
      <c r="G8509" s="75">
        <v>8506</v>
      </c>
      <c r="H8509">
        <f t="shared" ca="1" si="118"/>
        <v>-3.0095485168124842E-2</v>
      </c>
    </row>
    <row r="8510" spans="7:8" x14ac:dyDescent="0.3">
      <c r="G8510" s="75">
        <v>8507</v>
      </c>
      <c r="H8510">
        <f t="shared" ca="1" si="118"/>
        <v>-3.636945319086515E-3</v>
      </c>
    </row>
    <row r="8511" spans="7:8" x14ac:dyDescent="0.3">
      <c r="G8511" s="75">
        <v>8508</v>
      </c>
      <c r="H8511">
        <f t="shared" ca="1" si="118"/>
        <v>1.3006062256766022E-2</v>
      </c>
    </row>
    <row r="8512" spans="7:8" x14ac:dyDescent="0.3">
      <c r="G8512" s="75">
        <v>8509</v>
      </c>
      <c r="H8512">
        <f t="shared" ca="1" si="118"/>
        <v>4.7095264691146103E-3</v>
      </c>
    </row>
    <row r="8513" spans="7:8" x14ac:dyDescent="0.3">
      <c r="G8513" s="75">
        <v>8510</v>
      </c>
      <c r="H8513">
        <f t="shared" ca="1" si="118"/>
        <v>-1.0791955661585665E-2</v>
      </c>
    </row>
    <row r="8514" spans="7:8" x14ac:dyDescent="0.3">
      <c r="G8514" s="75">
        <v>8511</v>
      </c>
      <c r="H8514">
        <f t="shared" ref="H8514:H8577" ca="1" si="119">_xlfn.NORM.INV(RAND(),$N$4,$N$5)</f>
        <v>2.4421663106185071E-2</v>
      </c>
    </row>
    <row r="8515" spans="7:8" x14ac:dyDescent="0.3">
      <c r="G8515" s="75">
        <v>8512</v>
      </c>
      <c r="H8515">
        <f t="shared" ca="1" si="119"/>
        <v>-4.1439296263497388E-3</v>
      </c>
    </row>
    <row r="8516" spans="7:8" x14ac:dyDescent="0.3">
      <c r="G8516" s="75">
        <v>8513</v>
      </c>
      <c r="H8516">
        <f t="shared" ca="1" si="119"/>
        <v>3.8871897359366112E-4</v>
      </c>
    </row>
    <row r="8517" spans="7:8" x14ac:dyDescent="0.3">
      <c r="G8517" s="75">
        <v>8514</v>
      </c>
      <c r="H8517">
        <f t="shared" ca="1" si="119"/>
        <v>-1.6188452001726427E-2</v>
      </c>
    </row>
    <row r="8518" spans="7:8" x14ac:dyDescent="0.3">
      <c r="G8518" s="75">
        <v>8515</v>
      </c>
      <c r="H8518">
        <f t="shared" ca="1" si="119"/>
        <v>1.8020806563968147E-2</v>
      </c>
    </row>
    <row r="8519" spans="7:8" x14ac:dyDescent="0.3">
      <c r="G8519" s="75">
        <v>8516</v>
      </c>
      <c r="H8519">
        <f t="shared" ca="1" si="119"/>
        <v>-2.2258314429636335E-2</v>
      </c>
    </row>
    <row r="8520" spans="7:8" x14ac:dyDescent="0.3">
      <c r="G8520" s="75">
        <v>8517</v>
      </c>
      <c r="H8520">
        <f t="shared" ca="1" si="119"/>
        <v>-1.5308799380355969E-2</v>
      </c>
    </row>
    <row r="8521" spans="7:8" x14ac:dyDescent="0.3">
      <c r="G8521" s="75">
        <v>8518</v>
      </c>
      <c r="H8521">
        <f t="shared" ca="1" si="119"/>
        <v>-1.8245842856292127E-3</v>
      </c>
    </row>
    <row r="8522" spans="7:8" x14ac:dyDescent="0.3">
      <c r="G8522" s="75">
        <v>8519</v>
      </c>
      <c r="H8522">
        <f t="shared" ca="1" si="119"/>
        <v>-1.1437775737200492E-3</v>
      </c>
    </row>
    <row r="8523" spans="7:8" x14ac:dyDescent="0.3">
      <c r="G8523" s="75">
        <v>8520</v>
      </c>
      <c r="H8523">
        <f t="shared" ca="1" si="119"/>
        <v>7.4037871487617497E-3</v>
      </c>
    </row>
    <row r="8524" spans="7:8" x14ac:dyDescent="0.3">
      <c r="G8524" s="75">
        <v>8521</v>
      </c>
      <c r="H8524">
        <f t="shared" ca="1" si="119"/>
        <v>-9.6688355943508799E-3</v>
      </c>
    </row>
    <row r="8525" spans="7:8" x14ac:dyDescent="0.3">
      <c r="G8525" s="75">
        <v>8522</v>
      </c>
      <c r="H8525">
        <f t="shared" ca="1" si="119"/>
        <v>-8.8562921590935515E-4</v>
      </c>
    </row>
    <row r="8526" spans="7:8" x14ac:dyDescent="0.3">
      <c r="G8526" s="75">
        <v>8523</v>
      </c>
      <c r="H8526">
        <f t="shared" ca="1" si="119"/>
        <v>2.3954424304183267E-2</v>
      </c>
    </row>
    <row r="8527" spans="7:8" x14ac:dyDescent="0.3">
      <c r="G8527" s="75">
        <v>8524</v>
      </c>
      <c r="H8527">
        <f t="shared" ca="1" si="119"/>
        <v>1.4546357121244481E-3</v>
      </c>
    </row>
    <row r="8528" spans="7:8" x14ac:dyDescent="0.3">
      <c r="G8528" s="75">
        <v>8525</v>
      </c>
      <c r="H8528">
        <f t="shared" ca="1" si="119"/>
        <v>1.6670856976696642E-3</v>
      </c>
    </row>
    <row r="8529" spans="7:8" x14ac:dyDescent="0.3">
      <c r="G8529" s="75">
        <v>8526</v>
      </c>
      <c r="H8529">
        <f t="shared" ca="1" si="119"/>
        <v>5.8412267539240364E-4</v>
      </c>
    </row>
    <row r="8530" spans="7:8" x14ac:dyDescent="0.3">
      <c r="G8530" s="75">
        <v>8527</v>
      </c>
      <c r="H8530">
        <f t="shared" ca="1" si="119"/>
        <v>1.0243125947056817E-2</v>
      </c>
    </row>
    <row r="8531" spans="7:8" x14ac:dyDescent="0.3">
      <c r="G8531" s="75">
        <v>8528</v>
      </c>
      <c r="H8531">
        <f t="shared" ca="1" si="119"/>
        <v>-2.8329414955679405E-4</v>
      </c>
    </row>
    <row r="8532" spans="7:8" x14ac:dyDescent="0.3">
      <c r="G8532" s="75">
        <v>8529</v>
      </c>
      <c r="H8532">
        <f t="shared" ca="1" si="119"/>
        <v>-4.2715455584104939E-3</v>
      </c>
    </row>
    <row r="8533" spans="7:8" x14ac:dyDescent="0.3">
      <c r="G8533" s="75">
        <v>8530</v>
      </c>
      <c r="H8533">
        <f t="shared" ca="1" si="119"/>
        <v>1.3378085233436593E-2</v>
      </c>
    </row>
    <row r="8534" spans="7:8" x14ac:dyDescent="0.3">
      <c r="G8534" s="75">
        <v>8531</v>
      </c>
      <c r="H8534">
        <f t="shared" ca="1" si="119"/>
        <v>1.4238279040925015E-2</v>
      </c>
    </row>
    <row r="8535" spans="7:8" x14ac:dyDescent="0.3">
      <c r="G8535" s="75">
        <v>8532</v>
      </c>
      <c r="H8535">
        <f t="shared" ca="1" si="119"/>
        <v>-2.4284186239107762E-3</v>
      </c>
    </row>
    <row r="8536" spans="7:8" x14ac:dyDescent="0.3">
      <c r="G8536" s="75">
        <v>8533</v>
      </c>
      <c r="H8536">
        <f t="shared" ca="1" si="119"/>
        <v>-1.48966803941689E-2</v>
      </c>
    </row>
    <row r="8537" spans="7:8" x14ac:dyDescent="0.3">
      <c r="G8537" s="75">
        <v>8534</v>
      </c>
      <c r="H8537">
        <f t="shared" ca="1" si="119"/>
        <v>-3.5826534726031679E-2</v>
      </c>
    </row>
    <row r="8538" spans="7:8" x14ac:dyDescent="0.3">
      <c r="G8538" s="75">
        <v>8535</v>
      </c>
      <c r="H8538">
        <f t="shared" ca="1" si="119"/>
        <v>1.4289659242245768E-2</v>
      </c>
    </row>
    <row r="8539" spans="7:8" x14ac:dyDescent="0.3">
      <c r="G8539" s="75">
        <v>8536</v>
      </c>
      <c r="H8539">
        <f t="shared" ca="1" si="119"/>
        <v>-3.5391781113962356E-3</v>
      </c>
    </row>
    <row r="8540" spans="7:8" x14ac:dyDescent="0.3">
      <c r="G8540" s="75">
        <v>8537</v>
      </c>
      <c r="H8540">
        <f t="shared" ca="1" si="119"/>
        <v>2.0440202955048516E-3</v>
      </c>
    </row>
    <row r="8541" spans="7:8" x14ac:dyDescent="0.3">
      <c r="G8541" s="75">
        <v>8538</v>
      </c>
      <c r="H8541">
        <f t="shared" ca="1" si="119"/>
        <v>1.8100008608334144E-2</v>
      </c>
    </row>
    <row r="8542" spans="7:8" x14ac:dyDescent="0.3">
      <c r="G8542" s="75">
        <v>8539</v>
      </c>
      <c r="H8542">
        <f t="shared" ca="1" si="119"/>
        <v>-1.0907024303181141E-2</v>
      </c>
    </row>
    <row r="8543" spans="7:8" x14ac:dyDescent="0.3">
      <c r="G8543" s="75">
        <v>8540</v>
      </c>
      <c r="H8543">
        <f t="shared" ca="1" si="119"/>
        <v>-1.2685667817279949E-3</v>
      </c>
    </row>
    <row r="8544" spans="7:8" x14ac:dyDescent="0.3">
      <c r="G8544" s="75">
        <v>8541</v>
      </c>
      <c r="H8544">
        <f t="shared" ca="1" si="119"/>
        <v>-2.118701804460129E-2</v>
      </c>
    </row>
    <row r="8545" spans="7:8" x14ac:dyDescent="0.3">
      <c r="G8545" s="75">
        <v>8542</v>
      </c>
      <c r="H8545">
        <f t="shared" ca="1" si="119"/>
        <v>-6.5025933774866583E-3</v>
      </c>
    </row>
    <row r="8546" spans="7:8" x14ac:dyDescent="0.3">
      <c r="G8546" s="75">
        <v>8543</v>
      </c>
      <c r="H8546">
        <f t="shared" ca="1" si="119"/>
        <v>8.2258766230789426E-3</v>
      </c>
    </row>
    <row r="8547" spans="7:8" x14ac:dyDescent="0.3">
      <c r="G8547" s="75">
        <v>8544</v>
      </c>
      <c r="H8547">
        <f t="shared" ca="1" si="119"/>
        <v>2.7613498427145562E-2</v>
      </c>
    </row>
    <row r="8548" spans="7:8" x14ac:dyDescent="0.3">
      <c r="G8548" s="75">
        <v>8545</v>
      </c>
      <c r="H8548">
        <f t="shared" ca="1" si="119"/>
        <v>-2.5856897730002055E-3</v>
      </c>
    </row>
    <row r="8549" spans="7:8" x14ac:dyDescent="0.3">
      <c r="G8549" s="75">
        <v>8546</v>
      </c>
      <c r="H8549">
        <f t="shared" ca="1" si="119"/>
        <v>2.6528738466768141E-2</v>
      </c>
    </row>
    <row r="8550" spans="7:8" x14ac:dyDescent="0.3">
      <c r="G8550" s="75">
        <v>8547</v>
      </c>
      <c r="H8550">
        <f t="shared" ca="1" si="119"/>
        <v>-1.5458263530473774E-2</v>
      </c>
    </row>
    <row r="8551" spans="7:8" x14ac:dyDescent="0.3">
      <c r="G8551" s="75">
        <v>8548</v>
      </c>
      <c r="H8551">
        <f t="shared" ca="1" si="119"/>
        <v>-1.9553481830498465E-3</v>
      </c>
    </row>
    <row r="8552" spans="7:8" x14ac:dyDescent="0.3">
      <c r="G8552" s="75">
        <v>8549</v>
      </c>
      <c r="H8552">
        <f t="shared" ca="1" si="119"/>
        <v>1.4358555817578213E-4</v>
      </c>
    </row>
    <row r="8553" spans="7:8" x14ac:dyDescent="0.3">
      <c r="G8553" s="75">
        <v>8550</v>
      </c>
      <c r="H8553">
        <f t="shared" ca="1" si="119"/>
        <v>1.2857884450059098E-2</v>
      </c>
    </row>
    <row r="8554" spans="7:8" x14ac:dyDescent="0.3">
      <c r="G8554" s="75">
        <v>8551</v>
      </c>
      <c r="H8554">
        <f t="shared" ca="1" si="119"/>
        <v>-2.0922686503528918E-3</v>
      </c>
    </row>
    <row r="8555" spans="7:8" x14ac:dyDescent="0.3">
      <c r="G8555" s="75">
        <v>8552</v>
      </c>
      <c r="H8555">
        <f t="shared" ca="1" si="119"/>
        <v>-4.8762675457117407E-3</v>
      </c>
    </row>
    <row r="8556" spans="7:8" x14ac:dyDescent="0.3">
      <c r="G8556" s="75">
        <v>8553</v>
      </c>
      <c r="H8556">
        <f t="shared" ca="1" si="119"/>
        <v>-4.8335326642046268E-3</v>
      </c>
    </row>
    <row r="8557" spans="7:8" x14ac:dyDescent="0.3">
      <c r="G8557" s="75">
        <v>8554</v>
      </c>
      <c r="H8557">
        <f t="shared" ca="1" si="119"/>
        <v>-1.3545999229201537E-2</v>
      </c>
    </row>
    <row r="8558" spans="7:8" x14ac:dyDescent="0.3">
      <c r="G8558" s="75">
        <v>8555</v>
      </c>
      <c r="H8558">
        <f t="shared" ca="1" si="119"/>
        <v>-9.2373765546171771E-3</v>
      </c>
    </row>
    <row r="8559" spans="7:8" x14ac:dyDescent="0.3">
      <c r="G8559" s="75">
        <v>8556</v>
      </c>
      <c r="H8559">
        <f t="shared" ca="1" si="119"/>
        <v>-1.3585295253311E-2</v>
      </c>
    </row>
    <row r="8560" spans="7:8" x14ac:dyDescent="0.3">
      <c r="G8560" s="75">
        <v>8557</v>
      </c>
      <c r="H8560">
        <f t="shared" ca="1" si="119"/>
        <v>-4.8917354359316893E-4</v>
      </c>
    </row>
    <row r="8561" spans="7:8" x14ac:dyDescent="0.3">
      <c r="G8561" s="75">
        <v>8558</v>
      </c>
      <c r="H8561">
        <f t="shared" ca="1" si="119"/>
        <v>-1.1579138562258772E-2</v>
      </c>
    </row>
    <row r="8562" spans="7:8" x14ac:dyDescent="0.3">
      <c r="G8562" s="75">
        <v>8559</v>
      </c>
      <c r="H8562">
        <f t="shared" ca="1" si="119"/>
        <v>-2.2912964311882427E-2</v>
      </c>
    </row>
    <row r="8563" spans="7:8" x14ac:dyDescent="0.3">
      <c r="G8563" s="75">
        <v>8560</v>
      </c>
      <c r="H8563">
        <f t="shared" ca="1" si="119"/>
        <v>-7.8766511857694538E-3</v>
      </c>
    </row>
    <row r="8564" spans="7:8" x14ac:dyDescent="0.3">
      <c r="G8564" s="75">
        <v>8561</v>
      </c>
      <c r="H8564">
        <f t="shared" ca="1" si="119"/>
        <v>-1.116425880409286E-2</v>
      </c>
    </row>
    <row r="8565" spans="7:8" x14ac:dyDescent="0.3">
      <c r="G8565" s="75">
        <v>8562</v>
      </c>
      <c r="H8565">
        <f t="shared" ca="1" si="119"/>
        <v>-1.0825990974088838E-2</v>
      </c>
    </row>
    <row r="8566" spans="7:8" x14ac:dyDescent="0.3">
      <c r="G8566" s="75">
        <v>8563</v>
      </c>
      <c r="H8566">
        <f t="shared" ca="1" si="119"/>
        <v>-2.6171761246081813E-2</v>
      </c>
    </row>
    <row r="8567" spans="7:8" x14ac:dyDescent="0.3">
      <c r="G8567" s="75">
        <v>8564</v>
      </c>
      <c r="H8567">
        <f t="shared" ca="1" si="119"/>
        <v>-2.8319831596037074E-2</v>
      </c>
    </row>
    <row r="8568" spans="7:8" x14ac:dyDescent="0.3">
      <c r="G8568" s="75">
        <v>8565</v>
      </c>
      <c r="H8568">
        <f t="shared" ca="1" si="119"/>
        <v>-8.4776091309772094E-4</v>
      </c>
    </row>
    <row r="8569" spans="7:8" x14ac:dyDescent="0.3">
      <c r="G8569" s="75">
        <v>8566</v>
      </c>
      <c r="H8569">
        <f t="shared" ca="1" si="119"/>
        <v>7.3656434858085037E-4</v>
      </c>
    </row>
    <row r="8570" spans="7:8" x14ac:dyDescent="0.3">
      <c r="G8570" s="75">
        <v>8567</v>
      </c>
      <c r="H8570">
        <f t="shared" ca="1" si="119"/>
        <v>9.6117929312373642E-3</v>
      </c>
    </row>
    <row r="8571" spans="7:8" x14ac:dyDescent="0.3">
      <c r="G8571" s="75">
        <v>8568</v>
      </c>
      <c r="H8571">
        <f t="shared" ca="1" si="119"/>
        <v>-1.7502665852185302E-3</v>
      </c>
    </row>
    <row r="8572" spans="7:8" x14ac:dyDescent="0.3">
      <c r="G8572" s="75">
        <v>8569</v>
      </c>
      <c r="H8572">
        <f t="shared" ca="1" si="119"/>
        <v>-4.5141223308361247E-3</v>
      </c>
    </row>
    <row r="8573" spans="7:8" x14ac:dyDescent="0.3">
      <c r="G8573" s="75">
        <v>8570</v>
      </c>
      <c r="H8573">
        <f t="shared" ca="1" si="119"/>
        <v>-2.2277276061329185E-4</v>
      </c>
    </row>
    <row r="8574" spans="7:8" x14ac:dyDescent="0.3">
      <c r="G8574" s="75">
        <v>8571</v>
      </c>
      <c r="H8574">
        <f t="shared" ca="1" si="119"/>
        <v>-1.5579416704350686E-2</v>
      </c>
    </row>
    <row r="8575" spans="7:8" x14ac:dyDescent="0.3">
      <c r="G8575" s="75">
        <v>8572</v>
      </c>
      <c r="H8575">
        <f t="shared" ca="1" si="119"/>
        <v>-1.0769221711873344E-2</v>
      </c>
    </row>
    <row r="8576" spans="7:8" x14ac:dyDescent="0.3">
      <c r="G8576" s="75">
        <v>8573</v>
      </c>
      <c r="H8576">
        <f t="shared" ca="1" si="119"/>
        <v>1.1905698626594583E-2</v>
      </c>
    </row>
    <row r="8577" spans="7:8" x14ac:dyDescent="0.3">
      <c r="G8577" s="75">
        <v>8574</v>
      </c>
      <c r="H8577">
        <f t="shared" ca="1" si="119"/>
        <v>2.7096965329327205E-2</v>
      </c>
    </row>
    <row r="8578" spans="7:8" x14ac:dyDescent="0.3">
      <c r="G8578" s="75">
        <v>8575</v>
      </c>
      <c r="H8578">
        <f t="shared" ref="H8578:H8641" ca="1" si="120">_xlfn.NORM.INV(RAND(),$N$4,$N$5)</f>
        <v>1.2334278951710333E-2</v>
      </c>
    </row>
    <row r="8579" spans="7:8" x14ac:dyDescent="0.3">
      <c r="G8579" s="75">
        <v>8576</v>
      </c>
      <c r="H8579">
        <f t="shared" ca="1" si="120"/>
        <v>2.2984113789768064E-2</v>
      </c>
    </row>
    <row r="8580" spans="7:8" x14ac:dyDescent="0.3">
      <c r="G8580" s="75">
        <v>8577</v>
      </c>
      <c r="H8580">
        <f t="shared" ca="1" si="120"/>
        <v>-1.3189865216777322E-2</v>
      </c>
    </row>
    <row r="8581" spans="7:8" x14ac:dyDescent="0.3">
      <c r="G8581" s="75">
        <v>8578</v>
      </c>
      <c r="H8581">
        <f t="shared" ca="1" si="120"/>
        <v>4.0615438608554259E-3</v>
      </c>
    </row>
    <row r="8582" spans="7:8" x14ac:dyDescent="0.3">
      <c r="G8582" s="75">
        <v>8579</v>
      </c>
      <c r="H8582">
        <f t="shared" ca="1" si="120"/>
        <v>4.8805041934289013E-3</v>
      </c>
    </row>
    <row r="8583" spans="7:8" x14ac:dyDescent="0.3">
      <c r="G8583" s="75">
        <v>8580</v>
      </c>
      <c r="H8583">
        <f t="shared" ca="1" si="120"/>
        <v>-2.1242059276538654E-2</v>
      </c>
    </row>
    <row r="8584" spans="7:8" x14ac:dyDescent="0.3">
      <c r="G8584" s="75">
        <v>8581</v>
      </c>
      <c r="H8584">
        <f t="shared" ca="1" si="120"/>
        <v>-5.1019618049736237E-3</v>
      </c>
    </row>
    <row r="8585" spans="7:8" x14ac:dyDescent="0.3">
      <c r="G8585" s="75">
        <v>8582</v>
      </c>
      <c r="H8585">
        <f t="shared" ca="1" si="120"/>
        <v>2.3646948871131689E-2</v>
      </c>
    </row>
    <row r="8586" spans="7:8" x14ac:dyDescent="0.3">
      <c r="G8586" s="75">
        <v>8583</v>
      </c>
      <c r="H8586">
        <f t="shared" ca="1" si="120"/>
        <v>-7.9703429077629361E-3</v>
      </c>
    </row>
    <row r="8587" spans="7:8" x14ac:dyDescent="0.3">
      <c r="G8587" s="75">
        <v>8584</v>
      </c>
      <c r="H8587">
        <f t="shared" ca="1" si="120"/>
        <v>2.2048850032533523E-2</v>
      </c>
    </row>
    <row r="8588" spans="7:8" x14ac:dyDescent="0.3">
      <c r="G8588" s="75">
        <v>8585</v>
      </c>
      <c r="H8588">
        <f t="shared" ca="1" si="120"/>
        <v>9.6819313996466972E-3</v>
      </c>
    </row>
    <row r="8589" spans="7:8" x14ac:dyDescent="0.3">
      <c r="G8589" s="75">
        <v>8586</v>
      </c>
      <c r="H8589">
        <f t="shared" ca="1" si="120"/>
        <v>1.5481695442137533E-2</v>
      </c>
    </row>
    <row r="8590" spans="7:8" x14ac:dyDescent="0.3">
      <c r="G8590" s="75">
        <v>8587</v>
      </c>
      <c r="H8590">
        <f t="shared" ca="1" si="120"/>
        <v>-1.2978604753070256E-3</v>
      </c>
    </row>
    <row r="8591" spans="7:8" x14ac:dyDescent="0.3">
      <c r="G8591" s="75">
        <v>8588</v>
      </c>
      <c r="H8591">
        <f t="shared" ca="1" si="120"/>
        <v>1.9373895203060206E-2</v>
      </c>
    </row>
    <row r="8592" spans="7:8" x14ac:dyDescent="0.3">
      <c r="G8592" s="75">
        <v>8589</v>
      </c>
      <c r="H8592">
        <f t="shared" ca="1" si="120"/>
        <v>-1.0702066855209724E-2</v>
      </c>
    </row>
    <row r="8593" spans="7:8" x14ac:dyDescent="0.3">
      <c r="G8593" s="75">
        <v>8590</v>
      </c>
      <c r="H8593">
        <f t="shared" ca="1" si="120"/>
        <v>-5.7274872276664333E-3</v>
      </c>
    </row>
    <row r="8594" spans="7:8" x14ac:dyDescent="0.3">
      <c r="G8594" s="75">
        <v>8591</v>
      </c>
      <c r="H8594">
        <f t="shared" ca="1" si="120"/>
        <v>9.470348470950728E-3</v>
      </c>
    </row>
    <row r="8595" spans="7:8" x14ac:dyDescent="0.3">
      <c r="G8595" s="75">
        <v>8592</v>
      </c>
      <c r="H8595">
        <f t="shared" ca="1" si="120"/>
        <v>-2.8391417414833739E-2</v>
      </c>
    </row>
    <row r="8596" spans="7:8" x14ac:dyDescent="0.3">
      <c r="G8596" s="75">
        <v>8593</v>
      </c>
      <c r="H8596">
        <f t="shared" ca="1" si="120"/>
        <v>1.2594735474959548E-2</v>
      </c>
    </row>
    <row r="8597" spans="7:8" x14ac:dyDescent="0.3">
      <c r="G8597" s="75">
        <v>8594</v>
      </c>
      <c r="H8597">
        <f t="shared" ca="1" si="120"/>
        <v>-1.887632176667324E-2</v>
      </c>
    </row>
    <row r="8598" spans="7:8" x14ac:dyDescent="0.3">
      <c r="G8598" s="75">
        <v>8595</v>
      </c>
      <c r="H8598">
        <f t="shared" ca="1" si="120"/>
        <v>5.9307447213820435E-3</v>
      </c>
    </row>
    <row r="8599" spans="7:8" x14ac:dyDescent="0.3">
      <c r="G8599" s="75">
        <v>8596</v>
      </c>
      <c r="H8599">
        <f t="shared" ca="1" si="120"/>
        <v>-2.1811308719679522E-2</v>
      </c>
    </row>
    <row r="8600" spans="7:8" x14ac:dyDescent="0.3">
      <c r="G8600" s="75">
        <v>8597</v>
      </c>
      <c r="H8600">
        <f t="shared" ca="1" si="120"/>
        <v>1.7242745153850325E-2</v>
      </c>
    </row>
    <row r="8601" spans="7:8" x14ac:dyDescent="0.3">
      <c r="G8601" s="75">
        <v>8598</v>
      </c>
      <c r="H8601">
        <f t="shared" ca="1" si="120"/>
        <v>1.5397014752168269E-2</v>
      </c>
    </row>
    <row r="8602" spans="7:8" x14ac:dyDescent="0.3">
      <c r="G8602" s="75">
        <v>8599</v>
      </c>
      <c r="H8602">
        <f t="shared" ca="1" si="120"/>
        <v>4.151881588215868E-3</v>
      </c>
    </row>
    <row r="8603" spans="7:8" x14ac:dyDescent="0.3">
      <c r="G8603" s="75">
        <v>8600</v>
      </c>
      <c r="H8603">
        <f t="shared" ca="1" si="120"/>
        <v>2.6905128144369263E-2</v>
      </c>
    </row>
    <row r="8604" spans="7:8" x14ac:dyDescent="0.3">
      <c r="G8604" s="75">
        <v>8601</v>
      </c>
      <c r="H8604">
        <f t="shared" ca="1" si="120"/>
        <v>-3.8011768652622888E-3</v>
      </c>
    </row>
    <row r="8605" spans="7:8" x14ac:dyDescent="0.3">
      <c r="G8605" s="75">
        <v>8602</v>
      </c>
      <c r="H8605">
        <f t="shared" ca="1" si="120"/>
        <v>-8.0243061718173053E-3</v>
      </c>
    </row>
    <row r="8606" spans="7:8" x14ac:dyDescent="0.3">
      <c r="G8606" s="75">
        <v>8603</v>
      </c>
      <c r="H8606">
        <f t="shared" ca="1" si="120"/>
        <v>6.1255951924269634E-3</v>
      </c>
    </row>
    <row r="8607" spans="7:8" x14ac:dyDescent="0.3">
      <c r="G8607" s="75">
        <v>8604</v>
      </c>
      <c r="H8607">
        <f t="shared" ca="1" si="120"/>
        <v>-5.3194957742774883E-4</v>
      </c>
    </row>
    <row r="8608" spans="7:8" x14ac:dyDescent="0.3">
      <c r="G8608" s="75">
        <v>8605</v>
      </c>
      <c r="H8608">
        <f t="shared" ca="1" si="120"/>
        <v>-3.6479499856125423E-3</v>
      </c>
    </row>
    <row r="8609" spans="7:8" x14ac:dyDescent="0.3">
      <c r="G8609" s="75">
        <v>8606</v>
      </c>
      <c r="H8609">
        <f t="shared" ca="1" si="120"/>
        <v>-2.7530391805320981E-2</v>
      </c>
    </row>
    <row r="8610" spans="7:8" x14ac:dyDescent="0.3">
      <c r="G8610" s="75">
        <v>8607</v>
      </c>
      <c r="H8610">
        <f t="shared" ca="1" si="120"/>
        <v>2.2739232668733921E-2</v>
      </c>
    </row>
    <row r="8611" spans="7:8" x14ac:dyDescent="0.3">
      <c r="G8611" s="75">
        <v>8608</v>
      </c>
      <c r="H8611">
        <f t="shared" ca="1" si="120"/>
        <v>-6.6024497637937728E-3</v>
      </c>
    </row>
    <row r="8612" spans="7:8" x14ac:dyDescent="0.3">
      <c r="G8612" s="75">
        <v>8609</v>
      </c>
      <c r="H8612">
        <f t="shared" ca="1" si="120"/>
        <v>-9.7672870460129586E-3</v>
      </c>
    </row>
    <row r="8613" spans="7:8" x14ac:dyDescent="0.3">
      <c r="G8613" s="75">
        <v>8610</v>
      </c>
      <c r="H8613">
        <f t="shared" ca="1" si="120"/>
        <v>-1.0314070433318577E-2</v>
      </c>
    </row>
    <row r="8614" spans="7:8" x14ac:dyDescent="0.3">
      <c r="G8614" s="75">
        <v>8611</v>
      </c>
      <c r="H8614">
        <f t="shared" ca="1" si="120"/>
        <v>-5.4437566228451618E-3</v>
      </c>
    </row>
    <row r="8615" spans="7:8" x14ac:dyDescent="0.3">
      <c r="G8615" s="75">
        <v>8612</v>
      </c>
      <c r="H8615">
        <f t="shared" ca="1" si="120"/>
        <v>-8.3428416589265853E-3</v>
      </c>
    </row>
    <row r="8616" spans="7:8" x14ac:dyDescent="0.3">
      <c r="G8616" s="75">
        <v>8613</v>
      </c>
      <c r="H8616">
        <f t="shared" ca="1" si="120"/>
        <v>2.2092682094519658E-2</v>
      </c>
    </row>
    <row r="8617" spans="7:8" x14ac:dyDescent="0.3">
      <c r="G8617" s="75">
        <v>8614</v>
      </c>
      <c r="H8617">
        <f t="shared" ca="1" si="120"/>
        <v>6.8905238039417439E-3</v>
      </c>
    </row>
    <row r="8618" spans="7:8" x14ac:dyDescent="0.3">
      <c r="G8618" s="75">
        <v>8615</v>
      </c>
      <c r="H8618">
        <f t="shared" ca="1" si="120"/>
        <v>-7.2954323908001693E-3</v>
      </c>
    </row>
    <row r="8619" spans="7:8" x14ac:dyDescent="0.3">
      <c r="G8619" s="75">
        <v>8616</v>
      </c>
      <c r="H8619">
        <f t="shared" ca="1" si="120"/>
        <v>3.1704575003515248E-3</v>
      </c>
    </row>
    <row r="8620" spans="7:8" x14ac:dyDescent="0.3">
      <c r="G8620" s="75">
        <v>8617</v>
      </c>
      <c r="H8620">
        <f t="shared" ca="1" si="120"/>
        <v>-3.4191849016480553E-3</v>
      </c>
    </row>
    <row r="8621" spans="7:8" x14ac:dyDescent="0.3">
      <c r="G8621" s="75">
        <v>8618</v>
      </c>
      <c r="H8621">
        <f t="shared" ca="1" si="120"/>
        <v>-2.7626211014149867E-2</v>
      </c>
    </row>
    <row r="8622" spans="7:8" x14ac:dyDescent="0.3">
      <c r="G8622" s="75">
        <v>8619</v>
      </c>
      <c r="H8622">
        <f t="shared" ca="1" si="120"/>
        <v>-2.0689878726365229E-3</v>
      </c>
    </row>
    <row r="8623" spans="7:8" x14ac:dyDescent="0.3">
      <c r="G8623" s="75">
        <v>8620</v>
      </c>
      <c r="H8623">
        <f t="shared" ca="1" si="120"/>
        <v>1.6633912127107645E-2</v>
      </c>
    </row>
    <row r="8624" spans="7:8" x14ac:dyDescent="0.3">
      <c r="G8624" s="75">
        <v>8621</v>
      </c>
      <c r="H8624">
        <f t="shared" ca="1" si="120"/>
        <v>-9.3278778180464744E-3</v>
      </c>
    </row>
    <row r="8625" spans="7:8" x14ac:dyDescent="0.3">
      <c r="G8625" s="75">
        <v>8622</v>
      </c>
      <c r="H8625">
        <f t="shared" ca="1" si="120"/>
        <v>4.4733560799857736E-3</v>
      </c>
    </row>
    <row r="8626" spans="7:8" x14ac:dyDescent="0.3">
      <c r="G8626" s="75">
        <v>8623</v>
      </c>
      <c r="H8626">
        <f t="shared" ca="1" si="120"/>
        <v>1.353133573980261E-2</v>
      </c>
    </row>
    <row r="8627" spans="7:8" x14ac:dyDescent="0.3">
      <c r="G8627" s="75">
        <v>8624</v>
      </c>
      <c r="H8627">
        <f t="shared" ca="1" si="120"/>
        <v>-1.1977004861792697E-2</v>
      </c>
    </row>
    <row r="8628" spans="7:8" x14ac:dyDescent="0.3">
      <c r="G8628" s="75">
        <v>8625</v>
      </c>
      <c r="H8628">
        <f t="shared" ca="1" si="120"/>
        <v>1.1503767633193803E-2</v>
      </c>
    </row>
    <row r="8629" spans="7:8" x14ac:dyDescent="0.3">
      <c r="G8629" s="75">
        <v>8626</v>
      </c>
      <c r="H8629">
        <f t="shared" ca="1" si="120"/>
        <v>-6.4951904482245405E-3</v>
      </c>
    </row>
    <row r="8630" spans="7:8" x14ac:dyDescent="0.3">
      <c r="G8630" s="75">
        <v>8627</v>
      </c>
      <c r="H8630">
        <f t="shared" ca="1" si="120"/>
        <v>7.4829707081827904E-3</v>
      </c>
    </row>
    <row r="8631" spans="7:8" x14ac:dyDescent="0.3">
      <c r="G8631" s="75">
        <v>8628</v>
      </c>
      <c r="H8631">
        <f t="shared" ca="1" si="120"/>
        <v>1.0438489314777253E-2</v>
      </c>
    </row>
    <row r="8632" spans="7:8" x14ac:dyDescent="0.3">
      <c r="G8632" s="75">
        <v>8629</v>
      </c>
      <c r="H8632">
        <f t="shared" ca="1" si="120"/>
        <v>-2.6918837277054579E-3</v>
      </c>
    </row>
    <row r="8633" spans="7:8" x14ac:dyDescent="0.3">
      <c r="G8633" s="75">
        <v>8630</v>
      </c>
      <c r="H8633">
        <f t="shared" ca="1" si="120"/>
        <v>1.7690097048204855E-2</v>
      </c>
    </row>
    <row r="8634" spans="7:8" x14ac:dyDescent="0.3">
      <c r="G8634" s="75">
        <v>8631</v>
      </c>
      <c r="H8634">
        <f t="shared" ca="1" si="120"/>
        <v>1.7347275720609929E-3</v>
      </c>
    </row>
    <row r="8635" spans="7:8" x14ac:dyDescent="0.3">
      <c r="G8635" s="75">
        <v>8632</v>
      </c>
      <c r="H8635">
        <f t="shared" ca="1" si="120"/>
        <v>-1.2297102851549883E-2</v>
      </c>
    </row>
    <row r="8636" spans="7:8" x14ac:dyDescent="0.3">
      <c r="G8636" s="75">
        <v>8633</v>
      </c>
      <c r="H8636">
        <f t="shared" ca="1" si="120"/>
        <v>1.1459617920802004E-2</v>
      </c>
    </row>
    <row r="8637" spans="7:8" x14ac:dyDescent="0.3">
      <c r="G8637" s="75">
        <v>8634</v>
      </c>
      <c r="H8637">
        <f t="shared" ca="1" si="120"/>
        <v>2.328392932963462E-2</v>
      </c>
    </row>
    <row r="8638" spans="7:8" x14ac:dyDescent="0.3">
      <c r="G8638" s="75">
        <v>8635</v>
      </c>
      <c r="H8638">
        <f t="shared" ca="1" si="120"/>
        <v>-7.6978588077309187E-3</v>
      </c>
    </row>
    <row r="8639" spans="7:8" x14ac:dyDescent="0.3">
      <c r="G8639" s="75">
        <v>8636</v>
      </c>
      <c r="H8639">
        <f t="shared" ca="1" si="120"/>
        <v>-7.7815333784797252E-3</v>
      </c>
    </row>
    <row r="8640" spans="7:8" x14ac:dyDescent="0.3">
      <c r="G8640" s="75">
        <v>8637</v>
      </c>
      <c r="H8640">
        <f t="shared" ca="1" si="120"/>
        <v>1.5651705331711264E-2</v>
      </c>
    </row>
    <row r="8641" spans="7:8" x14ac:dyDescent="0.3">
      <c r="G8641" s="75">
        <v>8638</v>
      </c>
      <c r="H8641">
        <f t="shared" ca="1" si="120"/>
        <v>8.8123037027895579E-3</v>
      </c>
    </row>
    <row r="8642" spans="7:8" x14ac:dyDescent="0.3">
      <c r="G8642" s="75">
        <v>8639</v>
      </c>
      <c r="H8642">
        <f t="shared" ref="H8642:H8705" ca="1" si="121">_xlfn.NORM.INV(RAND(),$N$4,$N$5)</f>
        <v>1.0615253018525549E-2</v>
      </c>
    </row>
    <row r="8643" spans="7:8" x14ac:dyDescent="0.3">
      <c r="G8643" s="75">
        <v>8640</v>
      </c>
      <c r="H8643">
        <f t="shared" ca="1" si="121"/>
        <v>1.8696187414184162E-2</v>
      </c>
    </row>
    <row r="8644" spans="7:8" x14ac:dyDescent="0.3">
      <c r="G8644" s="75">
        <v>8641</v>
      </c>
      <c r="H8644">
        <f t="shared" ca="1" si="121"/>
        <v>-1.63103925050276E-2</v>
      </c>
    </row>
    <row r="8645" spans="7:8" x14ac:dyDescent="0.3">
      <c r="G8645" s="75">
        <v>8642</v>
      </c>
      <c r="H8645">
        <f t="shared" ca="1" si="121"/>
        <v>-3.3257855783271986E-3</v>
      </c>
    </row>
    <row r="8646" spans="7:8" x14ac:dyDescent="0.3">
      <c r="G8646" s="75">
        <v>8643</v>
      </c>
      <c r="H8646">
        <f t="shared" ca="1" si="121"/>
        <v>-6.0097212258894937E-3</v>
      </c>
    </row>
    <row r="8647" spans="7:8" x14ac:dyDescent="0.3">
      <c r="G8647" s="75">
        <v>8644</v>
      </c>
      <c r="H8647">
        <f t="shared" ca="1" si="121"/>
        <v>2.0736453003595445E-2</v>
      </c>
    </row>
    <row r="8648" spans="7:8" x14ac:dyDescent="0.3">
      <c r="G8648" s="75">
        <v>8645</v>
      </c>
      <c r="H8648">
        <f t="shared" ca="1" si="121"/>
        <v>-5.4214372049246158E-3</v>
      </c>
    </row>
    <row r="8649" spans="7:8" x14ac:dyDescent="0.3">
      <c r="G8649" s="75">
        <v>8646</v>
      </c>
      <c r="H8649">
        <f t="shared" ca="1" si="121"/>
        <v>7.7141402200970261E-3</v>
      </c>
    </row>
    <row r="8650" spans="7:8" x14ac:dyDescent="0.3">
      <c r="G8650" s="75">
        <v>8647</v>
      </c>
      <c r="H8650">
        <f t="shared" ca="1" si="121"/>
        <v>-1.7087226649487113E-3</v>
      </c>
    </row>
    <row r="8651" spans="7:8" x14ac:dyDescent="0.3">
      <c r="G8651" s="75">
        <v>8648</v>
      </c>
      <c r="H8651">
        <f t="shared" ca="1" si="121"/>
        <v>-9.8357917769163472E-3</v>
      </c>
    </row>
    <row r="8652" spans="7:8" x14ac:dyDescent="0.3">
      <c r="G8652" s="75">
        <v>8649</v>
      </c>
      <c r="H8652">
        <f t="shared" ca="1" si="121"/>
        <v>6.5515515461733974E-3</v>
      </c>
    </row>
    <row r="8653" spans="7:8" x14ac:dyDescent="0.3">
      <c r="G8653" s="75">
        <v>8650</v>
      </c>
      <c r="H8653">
        <f t="shared" ca="1" si="121"/>
        <v>-5.0288612510277705E-3</v>
      </c>
    </row>
    <row r="8654" spans="7:8" x14ac:dyDescent="0.3">
      <c r="G8654" s="75">
        <v>8651</v>
      </c>
      <c r="H8654">
        <f t="shared" ca="1" si="121"/>
        <v>2.3676729118180598E-3</v>
      </c>
    </row>
    <row r="8655" spans="7:8" x14ac:dyDescent="0.3">
      <c r="G8655" s="75">
        <v>8652</v>
      </c>
      <c r="H8655">
        <f t="shared" ca="1" si="121"/>
        <v>1.0803561255848944E-2</v>
      </c>
    </row>
    <row r="8656" spans="7:8" x14ac:dyDescent="0.3">
      <c r="G8656" s="75">
        <v>8653</v>
      </c>
      <c r="H8656">
        <f t="shared" ca="1" si="121"/>
        <v>7.5024200318984198E-3</v>
      </c>
    </row>
    <row r="8657" spans="7:8" x14ac:dyDescent="0.3">
      <c r="G8657" s="75">
        <v>8654</v>
      </c>
      <c r="H8657">
        <f t="shared" ca="1" si="121"/>
        <v>9.8821446638679439E-3</v>
      </c>
    </row>
    <row r="8658" spans="7:8" x14ac:dyDescent="0.3">
      <c r="G8658" s="75">
        <v>8655</v>
      </c>
      <c r="H8658">
        <f t="shared" ca="1" si="121"/>
        <v>1.6778248927183829E-2</v>
      </c>
    </row>
    <row r="8659" spans="7:8" x14ac:dyDescent="0.3">
      <c r="G8659" s="75">
        <v>8656</v>
      </c>
      <c r="H8659">
        <f t="shared" ca="1" si="121"/>
        <v>-2.413022695068678E-2</v>
      </c>
    </row>
    <row r="8660" spans="7:8" x14ac:dyDescent="0.3">
      <c r="G8660" s="75">
        <v>8657</v>
      </c>
      <c r="H8660">
        <f t="shared" ca="1" si="121"/>
        <v>8.7756079264412375E-3</v>
      </c>
    </row>
    <row r="8661" spans="7:8" x14ac:dyDescent="0.3">
      <c r="G8661" s="75">
        <v>8658</v>
      </c>
      <c r="H8661">
        <f t="shared" ca="1" si="121"/>
        <v>7.9449505518086432E-3</v>
      </c>
    </row>
    <row r="8662" spans="7:8" x14ac:dyDescent="0.3">
      <c r="G8662" s="75">
        <v>8659</v>
      </c>
      <c r="H8662">
        <f t="shared" ca="1" si="121"/>
        <v>2.705574744154571E-3</v>
      </c>
    </row>
    <row r="8663" spans="7:8" x14ac:dyDescent="0.3">
      <c r="G8663" s="75">
        <v>8660</v>
      </c>
      <c r="H8663">
        <f t="shared" ca="1" si="121"/>
        <v>-1.0277111297779902E-2</v>
      </c>
    </row>
    <row r="8664" spans="7:8" x14ac:dyDescent="0.3">
      <c r="G8664" s="75">
        <v>8661</v>
      </c>
      <c r="H8664">
        <f t="shared" ca="1" si="121"/>
        <v>1.628915295462454E-2</v>
      </c>
    </row>
    <row r="8665" spans="7:8" x14ac:dyDescent="0.3">
      <c r="G8665" s="75">
        <v>8662</v>
      </c>
      <c r="H8665">
        <f t="shared" ca="1" si="121"/>
        <v>-3.8583145148050287E-2</v>
      </c>
    </row>
    <row r="8666" spans="7:8" x14ac:dyDescent="0.3">
      <c r="G8666" s="75">
        <v>8663</v>
      </c>
      <c r="H8666">
        <f t="shared" ca="1" si="121"/>
        <v>-4.8767860610054127E-3</v>
      </c>
    </row>
    <row r="8667" spans="7:8" x14ac:dyDescent="0.3">
      <c r="G8667" s="75">
        <v>8664</v>
      </c>
      <c r="H8667">
        <f t="shared" ca="1" si="121"/>
        <v>3.7631837421129512E-3</v>
      </c>
    </row>
    <row r="8668" spans="7:8" x14ac:dyDescent="0.3">
      <c r="G8668" s="75">
        <v>8665</v>
      </c>
      <c r="H8668">
        <f t="shared" ca="1" si="121"/>
        <v>1.2345998377441181E-2</v>
      </c>
    </row>
    <row r="8669" spans="7:8" x14ac:dyDescent="0.3">
      <c r="G8669" s="75">
        <v>8666</v>
      </c>
      <c r="H8669">
        <f t="shared" ca="1" si="121"/>
        <v>1.5025212181765316E-2</v>
      </c>
    </row>
    <row r="8670" spans="7:8" x14ac:dyDescent="0.3">
      <c r="G8670" s="75">
        <v>8667</v>
      </c>
      <c r="H8670">
        <f t="shared" ca="1" si="121"/>
        <v>6.2763982281417935E-3</v>
      </c>
    </row>
    <row r="8671" spans="7:8" x14ac:dyDescent="0.3">
      <c r="G8671" s="75">
        <v>8668</v>
      </c>
      <c r="H8671">
        <f t="shared" ca="1" si="121"/>
        <v>-1.2006562359145618E-3</v>
      </c>
    </row>
    <row r="8672" spans="7:8" x14ac:dyDescent="0.3">
      <c r="G8672" s="75">
        <v>8669</v>
      </c>
      <c r="H8672">
        <f t="shared" ca="1" si="121"/>
        <v>2.0273414536630674E-2</v>
      </c>
    </row>
    <row r="8673" spans="7:8" x14ac:dyDescent="0.3">
      <c r="G8673" s="75">
        <v>8670</v>
      </c>
      <c r="H8673">
        <f t="shared" ca="1" si="121"/>
        <v>-1.5640330040021552E-3</v>
      </c>
    </row>
    <row r="8674" spans="7:8" x14ac:dyDescent="0.3">
      <c r="G8674" s="75">
        <v>8671</v>
      </c>
      <c r="H8674">
        <f t="shared" ca="1" si="121"/>
        <v>-1.1378972873883843E-2</v>
      </c>
    </row>
    <row r="8675" spans="7:8" x14ac:dyDescent="0.3">
      <c r="G8675" s="75">
        <v>8672</v>
      </c>
      <c r="H8675">
        <f t="shared" ca="1" si="121"/>
        <v>-1.1456316165247248E-2</v>
      </c>
    </row>
    <row r="8676" spans="7:8" x14ac:dyDescent="0.3">
      <c r="G8676" s="75">
        <v>8673</v>
      </c>
      <c r="H8676">
        <f t="shared" ca="1" si="121"/>
        <v>-1.1421080673226823E-2</v>
      </c>
    </row>
    <row r="8677" spans="7:8" x14ac:dyDescent="0.3">
      <c r="G8677" s="75">
        <v>8674</v>
      </c>
      <c r="H8677">
        <f t="shared" ca="1" si="121"/>
        <v>-1.4100349242505573E-2</v>
      </c>
    </row>
    <row r="8678" spans="7:8" x14ac:dyDescent="0.3">
      <c r="G8678" s="75">
        <v>8675</v>
      </c>
      <c r="H8678">
        <f t="shared" ca="1" si="121"/>
        <v>-8.8586653300090912E-3</v>
      </c>
    </row>
    <row r="8679" spans="7:8" x14ac:dyDescent="0.3">
      <c r="G8679" s="75">
        <v>8676</v>
      </c>
      <c r="H8679">
        <f t="shared" ca="1" si="121"/>
        <v>1.0598940538809075E-2</v>
      </c>
    </row>
    <row r="8680" spans="7:8" x14ac:dyDescent="0.3">
      <c r="G8680" s="75">
        <v>8677</v>
      </c>
      <c r="H8680">
        <f t="shared" ca="1" si="121"/>
        <v>8.3742814330526986E-3</v>
      </c>
    </row>
    <row r="8681" spans="7:8" x14ac:dyDescent="0.3">
      <c r="G8681" s="75">
        <v>8678</v>
      </c>
      <c r="H8681">
        <f t="shared" ca="1" si="121"/>
        <v>-2.2166316095522488E-2</v>
      </c>
    </row>
    <row r="8682" spans="7:8" x14ac:dyDescent="0.3">
      <c r="G8682" s="75">
        <v>8679</v>
      </c>
      <c r="H8682">
        <f t="shared" ca="1" si="121"/>
        <v>-2.9131849848652906E-2</v>
      </c>
    </row>
    <row r="8683" spans="7:8" x14ac:dyDescent="0.3">
      <c r="G8683" s="75">
        <v>8680</v>
      </c>
      <c r="H8683">
        <f t="shared" ca="1" si="121"/>
        <v>1.5473533615652018E-2</v>
      </c>
    </row>
    <row r="8684" spans="7:8" x14ac:dyDescent="0.3">
      <c r="G8684" s="75">
        <v>8681</v>
      </c>
      <c r="H8684">
        <f t="shared" ca="1" si="121"/>
        <v>-6.4152595237993741E-3</v>
      </c>
    </row>
    <row r="8685" spans="7:8" x14ac:dyDescent="0.3">
      <c r="G8685" s="75">
        <v>8682</v>
      </c>
      <c r="H8685">
        <f t="shared" ca="1" si="121"/>
        <v>-8.5083449712640043E-3</v>
      </c>
    </row>
    <row r="8686" spans="7:8" x14ac:dyDescent="0.3">
      <c r="G8686" s="75">
        <v>8683</v>
      </c>
      <c r="H8686">
        <f t="shared" ca="1" si="121"/>
        <v>1.3171780908036165E-2</v>
      </c>
    </row>
    <row r="8687" spans="7:8" x14ac:dyDescent="0.3">
      <c r="G8687" s="75">
        <v>8684</v>
      </c>
      <c r="H8687">
        <f t="shared" ca="1" si="121"/>
        <v>1.1857526478470045E-4</v>
      </c>
    </row>
    <row r="8688" spans="7:8" x14ac:dyDescent="0.3">
      <c r="G8688" s="75">
        <v>8685</v>
      </c>
      <c r="H8688">
        <f t="shared" ca="1" si="121"/>
        <v>-2.725221990554208E-2</v>
      </c>
    </row>
    <row r="8689" spans="7:8" x14ac:dyDescent="0.3">
      <c r="G8689" s="75">
        <v>8686</v>
      </c>
      <c r="H8689">
        <f t="shared" ca="1" si="121"/>
        <v>2.3216475357830438E-3</v>
      </c>
    </row>
    <row r="8690" spans="7:8" x14ac:dyDescent="0.3">
      <c r="G8690" s="75">
        <v>8687</v>
      </c>
      <c r="H8690">
        <f t="shared" ca="1" si="121"/>
        <v>1.3602939346360244E-2</v>
      </c>
    </row>
    <row r="8691" spans="7:8" x14ac:dyDescent="0.3">
      <c r="G8691" s="75">
        <v>8688</v>
      </c>
      <c r="H8691">
        <f t="shared" ca="1" si="121"/>
        <v>-5.8704777642066483E-3</v>
      </c>
    </row>
    <row r="8692" spans="7:8" x14ac:dyDescent="0.3">
      <c r="G8692" s="75">
        <v>8689</v>
      </c>
      <c r="H8692">
        <f t="shared" ca="1" si="121"/>
        <v>4.688642211414005E-3</v>
      </c>
    </row>
    <row r="8693" spans="7:8" x14ac:dyDescent="0.3">
      <c r="G8693" s="75">
        <v>8690</v>
      </c>
      <c r="H8693">
        <f t="shared" ca="1" si="121"/>
        <v>7.3058792355667329E-5</v>
      </c>
    </row>
    <row r="8694" spans="7:8" x14ac:dyDescent="0.3">
      <c r="G8694" s="75">
        <v>8691</v>
      </c>
      <c r="H8694">
        <f t="shared" ca="1" si="121"/>
        <v>-9.7419522513930989E-3</v>
      </c>
    </row>
    <row r="8695" spans="7:8" x14ac:dyDescent="0.3">
      <c r="G8695" s="75">
        <v>8692</v>
      </c>
      <c r="H8695">
        <f t="shared" ca="1" si="121"/>
        <v>2.4886419089743962E-2</v>
      </c>
    </row>
    <row r="8696" spans="7:8" x14ac:dyDescent="0.3">
      <c r="G8696" s="75">
        <v>8693</v>
      </c>
      <c r="H8696">
        <f t="shared" ca="1" si="121"/>
        <v>7.7041549440157227E-3</v>
      </c>
    </row>
    <row r="8697" spans="7:8" x14ac:dyDescent="0.3">
      <c r="G8697" s="75">
        <v>8694</v>
      </c>
      <c r="H8697">
        <f t="shared" ca="1" si="121"/>
        <v>-6.0545705636241018E-3</v>
      </c>
    </row>
    <row r="8698" spans="7:8" x14ac:dyDescent="0.3">
      <c r="G8698" s="75">
        <v>8695</v>
      </c>
      <c r="H8698">
        <f t="shared" ca="1" si="121"/>
        <v>3.6128510993644085E-3</v>
      </c>
    </row>
    <row r="8699" spans="7:8" x14ac:dyDescent="0.3">
      <c r="G8699" s="75">
        <v>8696</v>
      </c>
      <c r="H8699">
        <f t="shared" ca="1" si="121"/>
        <v>6.0572643358684421E-3</v>
      </c>
    </row>
    <row r="8700" spans="7:8" x14ac:dyDescent="0.3">
      <c r="G8700" s="75">
        <v>8697</v>
      </c>
      <c r="H8700">
        <f t="shared" ca="1" si="121"/>
        <v>-7.5468501600398068E-3</v>
      </c>
    </row>
    <row r="8701" spans="7:8" x14ac:dyDescent="0.3">
      <c r="G8701" s="75">
        <v>8698</v>
      </c>
      <c r="H8701">
        <f t="shared" ca="1" si="121"/>
        <v>1.9549250266893105E-2</v>
      </c>
    </row>
    <row r="8702" spans="7:8" x14ac:dyDescent="0.3">
      <c r="G8702" s="75">
        <v>8699</v>
      </c>
      <c r="H8702">
        <f t="shared" ca="1" si="121"/>
        <v>2.9847752528876508E-5</v>
      </c>
    </row>
    <row r="8703" spans="7:8" x14ac:dyDescent="0.3">
      <c r="G8703" s="75">
        <v>8700</v>
      </c>
      <c r="H8703">
        <f t="shared" ca="1" si="121"/>
        <v>2.5604541499510995E-3</v>
      </c>
    </row>
    <row r="8704" spans="7:8" x14ac:dyDescent="0.3">
      <c r="G8704" s="75">
        <v>8701</v>
      </c>
      <c r="H8704">
        <f t="shared" ca="1" si="121"/>
        <v>-1.5641521071413422E-2</v>
      </c>
    </row>
    <row r="8705" spans="7:8" x14ac:dyDescent="0.3">
      <c r="G8705" s="75">
        <v>8702</v>
      </c>
      <c r="H8705">
        <f t="shared" ca="1" si="121"/>
        <v>-3.1517382552251699E-2</v>
      </c>
    </row>
    <row r="8706" spans="7:8" x14ac:dyDescent="0.3">
      <c r="G8706" s="75">
        <v>8703</v>
      </c>
      <c r="H8706">
        <f t="shared" ref="H8706:H8769" ca="1" si="122">_xlfn.NORM.INV(RAND(),$N$4,$N$5)</f>
        <v>-1.0664676504365866E-2</v>
      </c>
    </row>
    <row r="8707" spans="7:8" x14ac:dyDescent="0.3">
      <c r="G8707" s="75">
        <v>8704</v>
      </c>
      <c r="H8707">
        <f t="shared" ca="1" si="122"/>
        <v>-1.5847809708727585E-3</v>
      </c>
    </row>
    <row r="8708" spans="7:8" x14ac:dyDescent="0.3">
      <c r="G8708" s="75">
        <v>8705</v>
      </c>
      <c r="H8708">
        <f t="shared" ca="1" si="122"/>
        <v>-2.7059428652533798E-2</v>
      </c>
    </row>
    <row r="8709" spans="7:8" x14ac:dyDescent="0.3">
      <c r="G8709" s="75">
        <v>8706</v>
      </c>
      <c r="H8709">
        <f t="shared" ca="1" si="122"/>
        <v>-2.3887212155158334E-3</v>
      </c>
    </row>
    <row r="8710" spans="7:8" x14ac:dyDescent="0.3">
      <c r="G8710" s="75">
        <v>8707</v>
      </c>
      <c r="H8710">
        <f t="shared" ca="1" si="122"/>
        <v>-1.0710868196349945E-2</v>
      </c>
    </row>
    <row r="8711" spans="7:8" x14ac:dyDescent="0.3">
      <c r="G8711" s="75">
        <v>8708</v>
      </c>
      <c r="H8711">
        <f t="shared" ca="1" si="122"/>
        <v>4.0383512421214521E-3</v>
      </c>
    </row>
    <row r="8712" spans="7:8" x14ac:dyDescent="0.3">
      <c r="G8712" s="75">
        <v>8709</v>
      </c>
      <c r="H8712">
        <f t="shared" ca="1" si="122"/>
        <v>1.13956331041441E-3</v>
      </c>
    </row>
    <row r="8713" spans="7:8" x14ac:dyDescent="0.3">
      <c r="G8713" s="75">
        <v>8710</v>
      </c>
      <c r="H8713">
        <f t="shared" ca="1" si="122"/>
        <v>1.0454439945782568E-2</v>
      </c>
    </row>
    <row r="8714" spans="7:8" x14ac:dyDescent="0.3">
      <c r="G8714" s="75">
        <v>8711</v>
      </c>
      <c r="H8714">
        <f t="shared" ca="1" si="122"/>
        <v>-1.415680268958336E-2</v>
      </c>
    </row>
    <row r="8715" spans="7:8" x14ac:dyDescent="0.3">
      <c r="G8715" s="75">
        <v>8712</v>
      </c>
      <c r="H8715">
        <f t="shared" ca="1" si="122"/>
        <v>6.5047203825950965E-3</v>
      </c>
    </row>
    <row r="8716" spans="7:8" x14ac:dyDescent="0.3">
      <c r="G8716" s="75">
        <v>8713</v>
      </c>
      <c r="H8716">
        <f t="shared" ca="1" si="122"/>
        <v>-6.9926095008749026E-3</v>
      </c>
    </row>
    <row r="8717" spans="7:8" x14ac:dyDescent="0.3">
      <c r="G8717" s="75">
        <v>8714</v>
      </c>
      <c r="H8717">
        <f t="shared" ca="1" si="122"/>
        <v>-1.7762299725726551E-3</v>
      </c>
    </row>
    <row r="8718" spans="7:8" x14ac:dyDescent="0.3">
      <c r="G8718" s="75">
        <v>8715</v>
      </c>
      <c r="H8718">
        <f t="shared" ca="1" si="122"/>
        <v>9.9752545309035514E-3</v>
      </c>
    </row>
    <row r="8719" spans="7:8" x14ac:dyDescent="0.3">
      <c r="G8719" s="75">
        <v>8716</v>
      </c>
      <c r="H8719">
        <f t="shared" ca="1" si="122"/>
        <v>6.3873070004867791E-3</v>
      </c>
    </row>
    <row r="8720" spans="7:8" x14ac:dyDescent="0.3">
      <c r="G8720" s="75">
        <v>8717</v>
      </c>
      <c r="H8720">
        <f t="shared" ca="1" si="122"/>
        <v>-1.251029706195212E-3</v>
      </c>
    </row>
    <row r="8721" spans="7:8" x14ac:dyDescent="0.3">
      <c r="G8721" s="75">
        <v>8718</v>
      </c>
      <c r="H8721">
        <f t="shared" ca="1" si="122"/>
        <v>-7.3437950592999852E-3</v>
      </c>
    </row>
    <row r="8722" spans="7:8" x14ac:dyDescent="0.3">
      <c r="G8722" s="75">
        <v>8719</v>
      </c>
      <c r="H8722">
        <f t="shared" ca="1" si="122"/>
        <v>-2.4568011979582882E-4</v>
      </c>
    </row>
    <row r="8723" spans="7:8" x14ac:dyDescent="0.3">
      <c r="G8723" s="75">
        <v>8720</v>
      </c>
      <c r="H8723">
        <f t="shared" ca="1" si="122"/>
        <v>7.4195660367553946E-3</v>
      </c>
    </row>
    <row r="8724" spans="7:8" x14ac:dyDescent="0.3">
      <c r="G8724" s="75">
        <v>8721</v>
      </c>
      <c r="H8724">
        <f t="shared" ca="1" si="122"/>
        <v>2.2885930282538266E-2</v>
      </c>
    </row>
    <row r="8725" spans="7:8" x14ac:dyDescent="0.3">
      <c r="G8725" s="75">
        <v>8722</v>
      </c>
      <c r="H8725">
        <f t="shared" ca="1" si="122"/>
        <v>1.8775143393822673E-3</v>
      </c>
    </row>
    <row r="8726" spans="7:8" x14ac:dyDescent="0.3">
      <c r="G8726" s="75">
        <v>8723</v>
      </c>
      <c r="H8726">
        <f t="shared" ca="1" si="122"/>
        <v>4.3356219727971353E-4</v>
      </c>
    </row>
    <row r="8727" spans="7:8" x14ac:dyDescent="0.3">
      <c r="G8727" s="75">
        <v>8724</v>
      </c>
      <c r="H8727">
        <f t="shared" ca="1" si="122"/>
        <v>-1.3818595460432665E-2</v>
      </c>
    </row>
    <row r="8728" spans="7:8" x14ac:dyDescent="0.3">
      <c r="G8728" s="75">
        <v>8725</v>
      </c>
      <c r="H8728">
        <f t="shared" ca="1" si="122"/>
        <v>-1.0869379071929499E-2</v>
      </c>
    </row>
    <row r="8729" spans="7:8" x14ac:dyDescent="0.3">
      <c r="G8729" s="75">
        <v>8726</v>
      </c>
      <c r="H8729">
        <f t="shared" ca="1" si="122"/>
        <v>1.0210553697693586E-2</v>
      </c>
    </row>
    <row r="8730" spans="7:8" x14ac:dyDescent="0.3">
      <c r="G8730" s="75">
        <v>8727</v>
      </c>
      <c r="H8730">
        <f t="shared" ca="1" si="122"/>
        <v>1.5871621897278063E-2</v>
      </c>
    </row>
    <row r="8731" spans="7:8" x14ac:dyDescent="0.3">
      <c r="G8731" s="75">
        <v>8728</v>
      </c>
      <c r="H8731">
        <f t="shared" ca="1" si="122"/>
        <v>-9.5435348937465882E-3</v>
      </c>
    </row>
    <row r="8732" spans="7:8" x14ac:dyDescent="0.3">
      <c r="G8732" s="75">
        <v>8729</v>
      </c>
      <c r="H8732">
        <f t="shared" ca="1" si="122"/>
        <v>-6.8605510178648662E-3</v>
      </c>
    </row>
    <row r="8733" spans="7:8" x14ac:dyDescent="0.3">
      <c r="G8733" s="75">
        <v>8730</v>
      </c>
      <c r="H8733">
        <f t="shared" ca="1" si="122"/>
        <v>-1.649448995627651E-2</v>
      </c>
    </row>
    <row r="8734" spans="7:8" x14ac:dyDescent="0.3">
      <c r="G8734" s="75">
        <v>8731</v>
      </c>
      <c r="H8734">
        <f t="shared" ca="1" si="122"/>
        <v>-2.0538074365674851E-2</v>
      </c>
    </row>
    <row r="8735" spans="7:8" x14ac:dyDescent="0.3">
      <c r="G8735" s="75">
        <v>8732</v>
      </c>
      <c r="H8735">
        <f t="shared" ca="1" si="122"/>
        <v>1.0822301645577136E-2</v>
      </c>
    </row>
    <row r="8736" spans="7:8" x14ac:dyDescent="0.3">
      <c r="G8736" s="75">
        <v>8733</v>
      </c>
      <c r="H8736">
        <f t="shared" ca="1" si="122"/>
        <v>4.7693885492412456E-3</v>
      </c>
    </row>
    <row r="8737" spans="7:8" x14ac:dyDescent="0.3">
      <c r="G8737" s="75">
        <v>8734</v>
      </c>
      <c r="H8737">
        <f t="shared" ca="1" si="122"/>
        <v>6.0864799070711852E-3</v>
      </c>
    </row>
    <row r="8738" spans="7:8" x14ac:dyDescent="0.3">
      <c r="G8738" s="75">
        <v>8735</v>
      </c>
      <c r="H8738">
        <f t="shared" ca="1" si="122"/>
        <v>-1.5064389391017475E-2</v>
      </c>
    </row>
    <row r="8739" spans="7:8" x14ac:dyDescent="0.3">
      <c r="G8739" s="75">
        <v>8736</v>
      </c>
      <c r="H8739">
        <f t="shared" ca="1" si="122"/>
        <v>1.4395166531923667E-2</v>
      </c>
    </row>
    <row r="8740" spans="7:8" x14ac:dyDescent="0.3">
      <c r="G8740" s="75">
        <v>8737</v>
      </c>
      <c r="H8740">
        <f t="shared" ca="1" si="122"/>
        <v>-1.9497473734747771E-3</v>
      </c>
    </row>
    <row r="8741" spans="7:8" x14ac:dyDescent="0.3">
      <c r="G8741" s="75">
        <v>8738</v>
      </c>
      <c r="H8741">
        <f t="shared" ca="1" si="122"/>
        <v>-1.6319522812684672E-4</v>
      </c>
    </row>
    <row r="8742" spans="7:8" x14ac:dyDescent="0.3">
      <c r="G8742" s="75">
        <v>8739</v>
      </c>
      <c r="H8742">
        <f t="shared" ca="1" si="122"/>
        <v>2.5079059864226622E-3</v>
      </c>
    </row>
    <row r="8743" spans="7:8" x14ac:dyDescent="0.3">
      <c r="G8743" s="75">
        <v>8740</v>
      </c>
      <c r="H8743">
        <f t="shared" ca="1" si="122"/>
        <v>3.4450776470938654E-3</v>
      </c>
    </row>
    <row r="8744" spans="7:8" x14ac:dyDescent="0.3">
      <c r="G8744" s="75">
        <v>8741</v>
      </c>
      <c r="H8744">
        <f t="shared" ca="1" si="122"/>
        <v>-5.5878365336187461E-3</v>
      </c>
    </row>
    <row r="8745" spans="7:8" x14ac:dyDescent="0.3">
      <c r="G8745" s="75">
        <v>8742</v>
      </c>
      <c r="H8745">
        <f t="shared" ca="1" si="122"/>
        <v>-9.6712942355008553E-3</v>
      </c>
    </row>
    <row r="8746" spans="7:8" x14ac:dyDescent="0.3">
      <c r="G8746" s="75">
        <v>8743</v>
      </c>
      <c r="H8746">
        <f t="shared" ca="1" si="122"/>
        <v>-8.2809690954418983E-3</v>
      </c>
    </row>
    <row r="8747" spans="7:8" x14ac:dyDescent="0.3">
      <c r="G8747" s="75">
        <v>8744</v>
      </c>
      <c r="H8747">
        <f t="shared" ca="1" si="122"/>
        <v>-1.6455960079038795E-2</v>
      </c>
    </row>
    <row r="8748" spans="7:8" x14ac:dyDescent="0.3">
      <c r="G8748" s="75">
        <v>8745</v>
      </c>
      <c r="H8748">
        <f t="shared" ca="1" si="122"/>
        <v>1.5847385741461089E-2</v>
      </c>
    </row>
    <row r="8749" spans="7:8" x14ac:dyDescent="0.3">
      <c r="G8749" s="75">
        <v>8746</v>
      </c>
      <c r="H8749">
        <f t="shared" ca="1" si="122"/>
        <v>8.3485514753433299E-3</v>
      </c>
    </row>
    <row r="8750" spans="7:8" x14ac:dyDescent="0.3">
      <c r="G8750" s="75">
        <v>8747</v>
      </c>
      <c r="H8750">
        <f t="shared" ca="1" si="122"/>
        <v>4.7684109939507705E-3</v>
      </c>
    </row>
    <row r="8751" spans="7:8" x14ac:dyDescent="0.3">
      <c r="G8751" s="75">
        <v>8748</v>
      </c>
      <c r="H8751">
        <f t="shared" ca="1" si="122"/>
        <v>-8.3076854609801434E-3</v>
      </c>
    </row>
    <row r="8752" spans="7:8" x14ac:dyDescent="0.3">
      <c r="G8752" s="75">
        <v>8749</v>
      </c>
      <c r="H8752">
        <f t="shared" ca="1" si="122"/>
        <v>-1.3645162296161504E-3</v>
      </c>
    </row>
    <row r="8753" spans="7:8" x14ac:dyDescent="0.3">
      <c r="G8753" s="75">
        <v>8750</v>
      </c>
      <c r="H8753">
        <f t="shared" ca="1" si="122"/>
        <v>2.0498793808845797E-2</v>
      </c>
    </row>
    <row r="8754" spans="7:8" x14ac:dyDescent="0.3">
      <c r="G8754" s="75">
        <v>8751</v>
      </c>
      <c r="H8754">
        <f t="shared" ca="1" si="122"/>
        <v>-1.4595586878694647E-2</v>
      </c>
    </row>
    <row r="8755" spans="7:8" x14ac:dyDescent="0.3">
      <c r="G8755" s="75">
        <v>8752</v>
      </c>
      <c r="H8755">
        <f t="shared" ca="1" si="122"/>
        <v>1.2963412875786699E-2</v>
      </c>
    </row>
    <row r="8756" spans="7:8" x14ac:dyDescent="0.3">
      <c r="G8756" s="75">
        <v>8753</v>
      </c>
      <c r="H8756">
        <f t="shared" ca="1" si="122"/>
        <v>1.751155316177378E-3</v>
      </c>
    </row>
    <row r="8757" spans="7:8" x14ac:dyDescent="0.3">
      <c r="G8757" s="75">
        <v>8754</v>
      </c>
      <c r="H8757">
        <f t="shared" ca="1" si="122"/>
        <v>-9.0769086907566121E-4</v>
      </c>
    </row>
    <row r="8758" spans="7:8" x14ac:dyDescent="0.3">
      <c r="G8758" s="75">
        <v>8755</v>
      </c>
      <c r="H8758">
        <f t="shared" ca="1" si="122"/>
        <v>-2.4196865890170536E-2</v>
      </c>
    </row>
    <row r="8759" spans="7:8" x14ac:dyDescent="0.3">
      <c r="G8759" s="75">
        <v>8756</v>
      </c>
      <c r="H8759">
        <f t="shared" ca="1" si="122"/>
        <v>1.0290142489547634E-2</v>
      </c>
    </row>
    <row r="8760" spans="7:8" x14ac:dyDescent="0.3">
      <c r="G8760" s="75">
        <v>8757</v>
      </c>
      <c r="H8760">
        <f t="shared" ca="1" si="122"/>
        <v>-2.0639957020887885E-3</v>
      </c>
    </row>
    <row r="8761" spans="7:8" x14ac:dyDescent="0.3">
      <c r="G8761" s="75">
        <v>8758</v>
      </c>
      <c r="H8761">
        <f t="shared" ca="1" si="122"/>
        <v>4.3222351481433793E-3</v>
      </c>
    </row>
    <row r="8762" spans="7:8" x14ac:dyDescent="0.3">
      <c r="G8762" s="75">
        <v>8759</v>
      </c>
      <c r="H8762">
        <f t="shared" ca="1" si="122"/>
        <v>7.5906658633066604E-3</v>
      </c>
    </row>
    <row r="8763" spans="7:8" x14ac:dyDescent="0.3">
      <c r="G8763" s="75">
        <v>8760</v>
      </c>
      <c r="H8763">
        <f t="shared" ca="1" si="122"/>
        <v>1.0134014060394071E-3</v>
      </c>
    </row>
    <row r="8764" spans="7:8" x14ac:dyDescent="0.3">
      <c r="G8764" s="75">
        <v>8761</v>
      </c>
      <c r="H8764">
        <f t="shared" ca="1" si="122"/>
        <v>-5.2232749715253567E-3</v>
      </c>
    </row>
    <row r="8765" spans="7:8" x14ac:dyDescent="0.3">
      <c r="G8765" s="75">
        <v>8762</v>
      </c>
      <c r="H8765">
        <f t="shared" ca="1" si="122"/>
        <v>4.3876629050758177E-3</v>
      </c>
    </row>
    <row r="8766" spans="7:8" x14ac:dyDescent="0.3">
      <c r="G8766" s="75">
        <v>8763</v>
      </c>
      <c r="H8766">
        <f t="shared" ca="1" si="122"/>
        <v>-1.727793036455141E-3</v>
      </c>
    </row>
    <row r="8767" spans="7:8" x14ac:dyDescent="0.3">
      <c r="G8767" s="75">
        <v>8764</v>
      </c>
      <c r="H8767">
        <f t="shared" ca="1" si="122"/>
        <v>-5.4420427730100824E-3</v>
      </c>
    </row>
    <row r="8768" spans="7:8" x14ac:dyDescent="0.3">
      <c r="G8768" s="75">
        <v>8765</v>
      </c>
      <c r="H8768">
        <f t="shared" ca="1" si="122"/>
        <v>1.5111585426472406E-2</v>
      </c>
    </row>
    <row r="8769" spans="7:8" x14ac:dyDescent="0.3">
      <c r="G8769" s="75">
        <v>8766</v>
      </c>
      <c r="H8769">
        <f t="shared" ca="1" si="122"/>
        <v>7.5659288793058542E-3</v>
      </c>
    </row>
    <row r="8770" spans="7:8" x14ac:dyDescent="0.3">
      <c r="G8770" s="75">
        <v>8767</v>
      </c>
      <c r="H8770">
        <f t="shared" ref="H8770:H8833" ca="1" si="123">_xlfn.NORM.INV(RAND(),$N$4,$N$5)</f>
        <v>-1.1021353608293533E-2</v>
      </c>
    </row>
    <row r="8771" spans="7:8" x14ac:dyDescent="0.3">
      <c r="G8771" s="75">
        <v>8768</v>
      </c>
      <c r="H8771">
        <f t="shared" ca="1" si="123"/>
        <v>-2.1183159900866706E-3</v>
      </c>
    </row>
    <row r="8772" spans="7:8" x14ac:dyDescent="0.3">
      <c r="G8772" s="75">
        <v>8769</v>
      </c>
      <c r="H8772">
        <f t="shared" ca="1" si="123"/>
        <v>5.9210350095808984E-3</v>
      </c>
    </row>
    <row r="8773" spans="7:8" x14ac:dyDescent="0.3">
      <c r="G8773" s="75">
        <v>8770</v>
      </c>
      <c r="H8773">
        <f t="shared" ca="1" si="123"/>
        <v>-1.2774519836666524E-2</v>
      </c>
    </row>
    <row r="8774" spans="7:8" x14ac:dyDescent="0.3">
      <c r="G8774" s="75">
        <v>8771</v>
      </c>
      <c r="H8774">
        <f t="shared" ca="1" si="123"/>
        <v>7.1253685039583833E-4</v>
      </c>
    </row>
    <row r="8775" spans="7:8" x14ac:dyDescent="0.3">
      <c r="G8775" s="75">
        <v>8772</v>
      </c>
      <c r="H8775">
        <f t="shared" ca="1" si="123"/>
        <v>-5.4602080757251772E-3</v>
      </c>
    </row>
    <row r="8776" spans="7:8" x14ac:dyDescent="0.3">
      <c r="G8776" s="75">
        <v>8773</v>
      </c>
      <c r="H8776">
        <f t="shared" ca="1" si="123"/>
        <v>-9.0998290149995643E-3</v>
      </c>
    </row>
    <row r="8777" spans="7:8" x14ac:dyDescent="0.3">
      <c r="G8777" s="75">
        <v>8774</v>
      </c>
      <c r="H8777">
        <f t="shared" ca="1" si="123"/>
        <v>-1.4101937576505002E-2</v>
      </c>
    </row>
    <row r="8778" spans="7:8" x14ac:dyDescent="0.3">
      <c r="G8778" s="75">
        <v>8775</v>
      </c>
      <c r="H8778">
        <f t="shared" ca="1" si="123"/>
        <v>-1.7380943683557293E-2</v>
      </c>
    </row>
    <row r="8779" spans="7:8" x14ac:dyDescent="0.3">
      <c r="G8779" s="75">
        <v>8776</v>
      </c>
      <c r="H8779">
        <f t="shared" ca="1" si="123"/>
        <v>-1.5952915945265243E-3</v>
      </c>
    </row>
    <row r="8780" spans="7:8" x14ac:dyDescent="0.3">
      <c r="G8780" s="75">
        <v>8777</v>
      </c>
      <c r="H8780">
        <f t="shared" ca="1" si="123"/>
        <v>8.2460588689711248E-3</v>
      </c>
    </row>
    <row r="8781" spans="7:8" x14ac:dyDescent="0.3">
      <c r="G8781" s="75">
        <v>8778</v>
      </c>
      <c r="H8781">
        <f t="shared" ca="1" si="123"/>
        <v>8.6827086840144813E-3</v>
      </c>
    </row>
    <row r="8782" spans="7:8" x14ac:dyDescent="0.3">
      <c r="G8782" s="75">
        <v>8779</v>
      </c>
      <c r="H8782">
        <f t="shared" ca="1" si="123"/>
        <v>2.9593923060658644E-3</v>
      </c>
    </row>
    <row r="8783" spans="7:8" x14ac:dyDescent="0.3">
      <c r="G8783" s="75">
        <v>8780</v>
      </c>
      <c r="H8783">
        <f t="shared" ca="1" si="123"/>
        <v>-1.0460042705395861E-3</v>
      </c>
    </row>
    <row r="8784" spans="7:8" x14ac:dyDescent="0.3">
      <c r="G8784" s="75">
        <v>8781</v>
      </c>
      <c r="H8784">
        <f t="shared" ca="1" si="123"/>
        <v>-4.7080523217312559E-4</v>
      </c>
    </row>
    <row r="8785" spans="7:8" x14ac:dyDescent="0.3">
      <c r="G8785" s="75">
        <v>8782</v>
      </c>
      <c r="H8785">
        <f t="shared" ca="1" si="123"/>
        <v>9.2920677662906171E-3</v>
      </c>
    </row>
    <row r="8786" spans="7:8" x14ac:dyDescent="0.3">
      <c r="G8786" s="75">
        <v>8783</v>
      </c>
      <c r="H8786">
        <f t="shared" ca="1" si="123"/>
        <v>4.1665454305738776E-3</v>
      </c>
    </row>
    <row r="8787" spans="7:8" x14ac:dyDescent="0.3">
      <c r="G8787" s="75">
        <v>8784</v>
      </c>
      <c r="H8787">
        <f t="shared" ca="1" si="123"/>
        <v>-1.287899963761897E-4</v>
      </c>
    </row>
    <row r="8788" spans="7:8" x14ac:dyDescent="0.3">
      <c r="G8788" s="75">
        <v>8785</v>
      </c>
      <c r="H8788">
        <f t="shared" ca="1" si="123"/>
        <v>-2.1655103841022063E-2</v>
      </c>
    </row>
    <row r="8789" spans="7:8" x14ac:dyDescent="0.3">
      <c r="G8789" s="75">
        <v>8786</v>
      </c>
      <c r="H8789">
        <f t="shared" ca="1" si="123"/>
        <v>1.0710706133705911E-2</v>
      </c>
    </row>
    <row r="8790" spans="7:8" x14ac:dyDescent="0.3">
      <c r="G8790" s="75">
        <v>8787</v>
      </c>
      <c r="H8790">
        <f t="shared" ca="1" si="123"/>
        <v>-1.7746354166203588E-2</v>
      </c>
    </row>
    <row r="8791" spans="7:8" x14ac:dyDescent="0.3">
      <c r="G8791" s="75">
        <v>8788</v>
      </c>
      <c r="H8791">
        <f t="shared" ca="1" si="123"/>
        <v>-2.0063513916251125E-2</v>
      </c>
    </row>
    <row r="8792" spans="7:8" x14ac:dyDescent="0.3">
      <c r="G8792" s="75">
        <v>8789</v>
      </c>
      <c r="H8792">
        <f t="shared" ca="1" si="123"/>
        <v>-7.3207807722077195E-3</v>
      </c>
    </row>
    <row r="8793" spans="7:8" x14ac:dyDescent="0.3">
      <c r="G8793" s="75">
        <v>8790</v>
      </c>
      <c r="H8793">
        <f t="shared" ca="1" si="123"/>
        <v>-9.0442433949041942E-4</v>
      </c>
    </row>
    <row r="8794" spans="7:8" x14ac:dyDescent="0.3">
      <c r="G8794" s="75">
        <v>8791</v>
      </c>
      <c r="H8794">
        <f t="shared" ca="1" si="123"/>
        <v>1.1521161343820618E-2</v>
      </c>
    </row>
    <row r="8795" spans="7:8" x14ac:dyDescent="0.3">
      <c r="G8795" s="75">
        <v>8792</v>
      </c>
      <c r="H8795">
        <f t="shared" ca="1" si="123"/>
        <v>4.1036228309247998E-3</v>
      </c>
    </row>
    <row r="8796" spans="7:8" x14ac:dyDescent="0.3">
      <c r="G8796" s="75">
        <v>8793</v>
      </c>
      <c r="H8796">
        <f t="shared" ca="1" si="123"/>
        <v>-3.7371278321824525E-4</v>
      </c>
    </row>
    <row r="8797" spans="7:8" x14ac:dyDescent="0.3">
      <c r="G8797" s="75">
        <v>8794</v>
      </c>
      <c r="H8797">
        <f t="shared" ca="1" si="123"/>
        <v>-1.9103901778679575E-2</v>
      </c>
    </row>
    <row r="8798" spans="7:8" x14ac:dyDescent="0.3">
      <c r="G8798" s="75">
        <v>8795</v>
      </c>
      <c r="H8798">
        <f t="shared" ca="1" si="123"/>
        <v>-1.8326989726342529E-3</v>
      </c>
    </row>
    <row r="8799" spans="7:8" x14ac:dyDescent="0.3">
      <c r="G8799" s="75">
        <v>8796</v>
      </c>
      <c r="H8799">
        <f t="shared" ca="1" si="123"/>
        <v>-1.108453180138292E-2</v>
      </c>
    </row>
    <row r="8800" spans="7:8" x14ac:dyDescent="0.3">
      <c r="G8800" s="75">
        <v>8797</v>
      </c>
      <c r="H8800">
        <f t="shared" ca="1" si="123"/>
        <v>2.2389120992922878E-2</v>
      </c>
    </row>
    <row r="8801" spans="7:8" x14ac:dyDescent="0.3">
      <c r="G8801" s="75">
        <v>8798</v>
      </c>
      <c r="H8801">
        <f t="shared" ca="1" si="123"/>
        <v>-3.0200211395192429E-3</v>
      </c>
    </row>
    <row r="8802" spans="7:8" x14ac:dyDescent="0.3">
      <c r="G8802" s="75">
        <v>8799</v>
      </c>
      <c r="H8802">
        <f t="shared" ca="1" si="123"/>
        <v>-1.100616056135892E-2</v>
      </c>
    </row>
    <row r="8803" spans="7:8" x14ac:dyDescent="0.3">
      <c r="G8803" s="75">
        <v>8800</v>
      </c>
      <c r="H8803">
        <f t="shared" ca="1" si="123"/>
        <v>1.6015290177208732E-2</v>
      </c>
    </row>
    <row r="8804" spans="7:8" x14ac:dyDescent="0.3">
      <c r="G8804" s="75">
        <v>8801</v>
      </c>
      <c r="H8804">
        <f t="shared" ca="1" si="123"/>
        <v>7.2858384433110825E-3</v>
      </c>
    </row>
    <row r="8805" spans="7:8" x14ac:dyDescent="0.3">
      <c r="G8805" s="75">
        <v>8802</v>
      </c>
      <c r="H8805">
        <f t="shared" ca="1" si="123"/>
        <v>3.1779516728021352E-2</v>
      </c>
    </row>
    <row r="8806" spans="7:8" x14ac:dyDescent="0.3">
      <c r="G8806" s="75">
        <v>8803</v>
      </c>
      <c r="H8806">
        <f t="shared" ca="1" si="123"/>
        <v>1.715038566879637E-2</v>
      </c>
    </row>
    <row r="8807" spans="7:8" x14ac:dyDescent="0.3">
      <c r="G8807" s="75">
        <v>8804</v>
      </c>
      <c r="H8807">
        <f t="shared" ca="1" si="123"/>
        <v>-1.5968206920533919E-2</v>
      </c>
    </row>
    <row r="8808" spans="7:8" x14ac:dyDescent="0.3">
      <c r="G8808" s="75">
        <v>8805</v>
      </c>
      <c r="H8808">
        <f t="shared" ca="1" si="123"/>
        <v>-9.8078867685599119E-3</v>
      </c>
    </row>
    <row r="8809" spans="7:8" x14ac:dyDescent="0.3">
      <c r="G8809" s="75">
        <v>8806</v>
      </c>
      <c r="H8809">
        <f t="shared" ca="1" si="123"/>
        <v>-1.0808934511673581E-2</v>
      </c>
    </row>
    <row r="8810" spans="7:8" x14ac:dyDescent="0.3">
      <c r="G8810" s="75">
        <v>8807</v>
      </c>
      <c r="H8810">
        <f t="shared" ca="1" si="123"/>
        <v>2.159029695413606E-2</v>
      </c>
    </row>
    <row r="8811" spans="7:8" x14ac:dyDescent="0.3">
      <c r="G8811" s="75">
        <v>8808</v>
      </c>
      <c r="H8811">
        <f t="shared" ca="1" si="123"/>
        <v>4.1446260664791956E-3</v>
      </c>
    </row>
    <row r="8812" spans="7:8" x14ac:dyDescent="0.3">
      <c r="G8812" s="75">
        <v>8809</v>
      </c>
      <c r="H8812">
        <f t="shared" ca="1" si="123"/>
        <v>-8.4562375076477504E-3</v>
      </c>
    </row>
    <row r="8813" spans="7:8" x14ac:dyDescent="0.3">
      <c r="G8813" s="75">
        <v>8810</v>
      </c>
      <c r="H8813">
        <f t="shared" ca="1" si="123"/>
        <v>2.1090713702838311E-3</v>
      </c>
    </row>
    <row r="8814" spans="7:8" x14ac:dyDescent="0.3">
      <c r="G8814" s="75">
        <v>8811</v>
      </c>
      <c r="H8814">
        <f t="shared" ca="1" si="123"/>
        <v>1.5347476321303439E-2</v>
      </c>
    </row>
    <row r="8815" spans="7:8" x14ac:dyDescent="0.3">
      <c r="G8815" s="75">
        <v>8812</v>
      </c>
      <c r="H8815">
        <f t="shared" ca="1" si="123"/>
        <v>-5.9119304988361288E-3</v>
      </c>
    </row>
    <row r="8816" spans="7:8" x14ac:dyDescent="0.3">
      <c r="G8816" s="75">
        <v>8813</v>
      </c>
      <c r="H8816">
        <f t="shared" ca="1" si="123"/>
        <v>-4.1966943878629431E-3</v>
      </c>
    </row>
    <row r="8817" spans="7:8" x14ac:dyDescent="0.3">
      <c r="G8817" s="75">
        <v>8814</v>
      </c>
      <c r="H8817">
        <f t="shared" ca="1" si="123"/>
        <v>7.0833010212807707E-3</v>
      </c>
    </row>
    <row r="8818" spans="7:8" x14ac:dyDescent="0.3">
      <c r="G8818" s="75">
        <v>8815</v>
      </c>
      <c r="H8818">
        <f t="shared" ca="1" si="123"/>
        <v>-4.8598688143052342E-3</v>
      </c>
    </row>
    <row r="8819" spans="7:8" x14ac:dyDescent="0.3">
      <c r="G8819" s="75">
        <v>8816</v>
      </c>
      <c r="H8819">
        <f t="shared" ca="1" si="123"/>
        <v>8.9827831062071831E-3</v>
      </c>
    </row>
    <row r="8820" spans="7:8" x14ac:dyDescent="0.3">
      <c r="G8820" s="75">
        <v>8817</v>
      </c>
      <c r="H8820">
        <f t="shared" ca="1" si="123"/>
        <v>1.6739287434531239E-2</v>
      </c>
    </row>
    <row r="8821" spans="7:8" x14ac:dyDescent="0.3">
      <c r="G8821" s="75">
        <v>8818</v>
      </c>
      <c r="H8821">
        <f t="shared" ca="1" si="123"/>
        <v>8.5594920042413869E-3</v>
      </c>
    </row>
    <row r="8822" spans="7:8" x14ac:dyDescent="0.3">
      <c r="G8822" s="75">
        <v>8819</v>
      </c>
      <c r="H8822">
        <f t="shared" ca="1" si="123"/>
        <v>-4.6176186574290821E-3</v>
      </c>
    </row>
    <row r="8823" spans="7:8" x14ac:dyDescent="0.3">
      <c r="G8823" s="75">
        <v>8820</v>
      </c>
      <c r="H8823">
        <f t="shared" ca="1" si="123"/>
        <v>-5.6646572911295172E-3</v>
      </c>
    </row>
    <row r="8824" spans="7:8" x14ac:dyDescent="0.3">
      <c r="G8824" s="75">
        <v>8821</v>
      </c>
      <c r="H8824">
        <f t="shared" ca="1" si="123"/>
        <v>2.3981424694946435E-2</v>
      </c>
    </row>
    <row r="8825" spans="7:8" x14ac:dyDescent="0.3">
      <c r="G8825" s="75">
        <v>8822</v>
      </c>
      <c r="H8825">
        <f t="shared" ca="1" si="123"/>
        <v>1.1220000225025506E-2</v>
      </c>
    </row>
    <row r="8826" spans="7:8" x14ac:dyDescent="0.3">
      <c r="G8826" s="75">
        <v>8823</v>
      </c>
      <c r="H8826">
        <f t="shared" ca="1" si="123"/>
        <v>1.749862610890892E-2</v>
      </c>
    </row>
    <row r="8827" spans="7:8" x14ac:dyDescent="0.3">
      <c r="G8827" s="75">
        <v>8824</v>
      </c>
      <c r="H8827">
        <f t="shared" ca="1" si="123"/>
        <v>-1.8843205856144268E-2</v>
      </c>
    </row>
    <row r="8828" spans="7:8" x14ac:dyDescent="0.3">
      <c r="G8828" s="75">
        <v>8825</v>
      </c>
      <c r="H8828">
        <f t="shared" ca="1" si="123"/>
        <v>-4.9704757380726666E-3</v>
      </c>
    </row>
    <row r="8829" spans="7:8" x14ac:dyDescent="0.3">
      <c r="G8829" s="75">
        <v>8826</v>
      </c>
      <c r="H8829">
        <f t="shared" ca="1" si="123"/>
        <v>1.1720909675526943E-2</v>
      </c>
    </row>
    <row r="8830" spans="7:8" x14ac:dyDescent="0.3">
      <c r="G8830" s="75">
        <v>8827</v>
      </c>
      <c r="H8830">
        <f t="shared" ca="1" si="123"/>
        <v>4.6197805683235657E-4</v>
      </c>
    </row>
    <row r="8831" spans="7:8" x14ac:dyDescent="0.3">
      <c r="G8831" s="75">
        <v>8828</v>
      </c>
      <c r="H8831">
        <f t="shared" ca="1" si="123"/>
        <v>-1.7153200376834741E-2</v>
      </c>
    </row>
    <row r="8832" spans="7:8" x14ac:dyDescent="0.3">
      <c r="G8832" s="75">
        <v>8829</v>
      </c>
      <c r="H8832">
        <f t="shared" ca="1" si="123"/>
        <v>2.5305626651630695E-2</v>
      </c>
    </row>
    <row r="8833" spans="7:8" x14ac:dyDescent="0.3">
      <c r="G8833" s="75">
        <v>8830</v>
      </c>
      <c r="H8833">
        <f t="shared" ca="1" si="123"/>
        <v>9.6771670898709375E-3</v>
      </c>
    </row>
    <row r="8834" spans="7:8" x14ac:dyDescent="0.3">
      <c r="G8834" s="75">
        <v>8831</v>
      </c>
      <c r="H8834">
        <f t="shared" ref="H8834:H8897" ca="1" si="124">_xlfn.NORM.INV(RAND(),$N$4,$N$5)</f>
        <v>8.7632619588058625E-3</v>
      </c>
    </row>
    <row r="8835" spans="7:8" x14ac:dyDescent="0.3">
      <c r="G8835" s="75">
        <v>8832</v>
      </c>
      <c r="H8835">
        <f t="shared" ca="1" si="124"/>
        <v>1.8353356489634171E-2</v>
      </c>
    </row>
    <row r="8836" spans="7:8" x14ac:dyDescent="0.3">
      <c r="G8836" s="75">
        <v>8833</v>
      </c>
      <c r="H8836">
        <f t="shared" ca="1" si="124"/>
        <v>4.1250435819629403E-4</v>
      </c>
    </row>
    <row r="8837" spans="7:8" x14ac:dyDescent="0.3">
      <c r="G8837" s="75">
        <v>8834</v>
      </c>
      <c r="H8837">
        <f t="shared" ca="1" si="124"/>
        <v>-6.4109394173843398E-3</v>
      </c>
    </row>
    <row r="8838" spans="7:8" x14ac:dyDescent="0.3">
      <c r="G8838" s="75">
        <v>8835</v>
      </c>
      <c r="H8838">
        <f t="shared" ca="1" si="124"/>
        <v>-5.0141558240917857E-4</v>
      </c>
    </row>
    <row r="8839" spans="7:8" x14ac:dyDescent="0.3">
      <c r="G8839" s="75">
        <v>8836</v>
      </c>
      <c r="H8839">
        <f t="shared" ca="1" si="124"/>
        <v>-9.0641339776934577E-3</v>
      </c>
    </row>
    <row r="8840" spans="7:8" x14ac:dyDescent="0.3">
      <c r="G8840" s="75">
        <v>8837</v>
      </c>
      <c r="H8840">
        <f t="shared" ca="1" si="124"/>
        <v>-1.3860751717550579E-2</v>
      </c>
    </row>
    <row r="8841" spans="7:8" x14ac:dyDescent="0.3">
      <c r="G8841" s="75">
        <v>8838</v>
      </c>
      <c r="H8841">
        <f t="shared" ca="1" si="124"/>
        <v>3.2528835695921966E-3</v>
      </c>
    </row>
    <row r="8842" spans="7:8" x14ac:dyDescent="0.3">
      <c r="G8842" s="75">
        <v>8839</v>
      </c>
      <c r="H8842">
        <f t="shared" ca="1" si="124"/>
        <v>-6.9566044233077499E-3</v>
      </c>
    </row>
    <row r="8843" spans="7:8" x14ac:dyDescent="0.3">
      <c r="G8843" s="75">
        <v>8840</v>
      </c>
      <c r="H8843">
        <f t="shared" ca="1" si="124"/>
        <v>9.5283981829525771E-3</v>
      </c>
    </row>
    <row r="8844" spans="7:8" x14ac:dyDescent="0.3">
      <c r="G8844" s="75">
        <v>8841</v>
      </c>
      <c r="H8844">
        <f t="shared" ca="1" si="124"/>
        <v>2.1998224482626252E-2</v>
      </c>
    </row>
    <row r="8845" spans="7:8" x14ac:dyDescent="0.3">
      <c r="G8845" s="75">
        <v>8842</v>
      </c>
      <c r="H8845">
        <f t="shared" ca="1" si="124"/>
        <v>2.6712003417460367E-3</v>
      </c>
    </row>
    <row r="8846" spans="7:8" x14ac:dyDescent="0.3">
      <c r="G8846" s="75">
        <v>8843</v>
      </c>
      <c r="H8846">
        <f t="shared" ca="1" si="124"/>
        <v>-6.8335050779640555E-3</v>
      </c>
    </row>
    <row r="8847" spans="7:8" x14ac:dyDescent="0.3">
      <c r="G8847" s="75">
        <v>8844</v>
      </c>
      <c r="H8847">
        <f t="shared" ca="1" si="124"/>
        <v>1.7568281433117214E-2</v>
      </c>
    </row>
    <row r="8848" spans="7:8" x14ac:dyDescent="0.3">
      <c r="G8848" s="75">
        <v>8845</v>
      </c>
      <c r="H8848">
        <f t="shared" ca="1" si="124"/>
        <v>-1.2522895145670926E-2</v>
      </c>
    </row>
    <row r="8849" spans="7:8" x14ac:dyDescent="0.3">
      <c r="G8849" s="75">
        <v>8846</v>
      </c>
      <c r="H8849">
        <f t="shared" ca="1" si="124"/>
        <v>-1.8162393605240329E-2</v>
      </c>
    </row>
    <row r="8850" spans="7:8" x14ac:dyDescent="0.3">
      <c r="G8850" s="75">
        <v>8847</v>
      </c>
      <c r="H8850">
        <f t="shared" ca="1" si="124"/>
        <v>-1.3638742229839471E-2</v>
      </c>
    </row>
    <row r="8851" spans="7:8" x14ac:dyDescent="0.3">
      <c r="G8851" s="75">
        <v>8848</v>
      </c>
      <c r="H8851">
        <f t="shared" ca="1" si="124"/>
        <v>-8.6771108199695888E-3</v>
      </c>
    </row>
    <row r="8852" spans="7:8" x14ac:dyDescent="0.3">
      <c r="G8852" s="75">
        <v>8849</v>
      </c>
      <c r="H8852">
        <f t="shared" ca="1" si="124"/>
        <v>-1.4339175995615962E-2</v>
      </c>
    </row>
    <row r="8853" spans="7:8" x14ac:dyDescent="0.3">
      <c r="G8853" s="75">
        <v>8850</v>
      </c>
      <c r="H8853">
        <f t="shared" ca="1" si="124"/>
        <v>-5.8328356357128675E-3</v>
      </c>
    </row>
    <row r="8854" spans="7:8" x14ac:dyDescent="0.3">
      <c r="G8854" s="75">
        <v>8851</v>
      </c>
      <c r="H8854">
        <f t="shared" ca="1" si="124"/>
        <v>7.333220431885978E-3</v>
      </c>
    </row>
    <row r="8855" spans="7:8" x14ac:dyDescent="0.3">
      <c r="G8855" s="75">
        <v>8852</v>
      </c>
      <c r="H8855">
        <f t="shared" ca="1" si="124"/>
        <v>-9.4360714044732404E-3</v>
      </c>
    </row>
    <row r="8856" spans="7:8" x14ac:dyDescent="0.3">
      <c r="G8856" s="75">
        <v>8853</v>
      </c>
      <c r="H8856">
        <f t="shared" ca="1" si="124"/>
        <v>-3.2771589808424338E-3</v>
      </c>
    </row>
    <row r="8857" spans="7:8" x14ac:dyDescent="0.3">
      <c r="G8857" s="75">
        <v>8854</v>
      </c>
      <c r="H8857">
        <f t="shared" ca="1" si="124"/>
        <v>-1.6805428571695702E-2</v>
      </c>
    </row>
    <row r="8858" spans="7:8" x14ac:dyDescent="0.3">
      <c r="G8858" s="75">
        <v>8855</v>
      </c>
      <c r="H8858">
        <f t="shared" ca="1" si="124"/>
        <v>3.1523267472253124E-3</v>
      </c>
    </row>
    <row r="8859" spans="7:8" x14ac:dyDescent="0.3">
      <c r="G8859" s="75">
        <v>8856</v>
      </c>
      <c r="H8859">
        <f t="shared" ca="1" si="124"/>
        <v>-1.3397698135112096E-2</v>
      </c>
    </row>
    <row r="8860" spans="7:8" x14ac:dyDescent="0.3">
      <c r="G8860" s="75">
        <v>8857</v>
      </c>
      <c r="H8860">
        <f t="shared" ca="1" si="124"/>
        <v>-9.0932720228884217E-4</v>
      </c>
    </row>
    <row r="8861" spans="7:8" x14ac:dyDescent="0.3">
      <c r="G8861" s="75">
        <v>8858</v>
      </c>
      <c r="H8861">
        <f t="shared" ca="1" si="124"/>
        <v>-3.1366403792151601E-3</v>
      </c>
    </row>
    <row r="8862" spans="7:8" x14ac:dyDescent="0.3">
      <c r="G8862" s="75">
        <v>8859</v>
      </c>
      <c r="H8862">
        <f t="shared" ca="1" si="124"/>
        <v>-1.2159119966835791E-2</v>
      </c>
    </row>
    <row r="8863" spans="7:8" x14ac:dyDescent="0.3">
      <c r="G8863" s="75">
        <v>8860</v>
      </c>
      <c r="H8863">
        <f t="shared" ca="1" si="124"/>
        <v>-2.9760425652023471E-3</v>
      </c>
    </row>
    <row r="8864" spans="7:8" x14ac:dyDescent="0.3">
      <c r="G8864" s="75">
        <v>8861</v>
      </c>
      <c r="H8864">
        <f t="shared" ca="1" si="124"/>
        <v>-9.3905642070910775E-3</v>
      </c>
    </row>
    <row r="8865" spans="7:8" x14ac:dyDescent="0.3">
      <c r="G8865" s="75">
        <v>8862</v>
      </c>
      <c r="H8865">
        <f t="shared" ca="1" si="124"/>
        <v>5.277035711420814E-3</v>
      </c>
    </row>
    <row r="8866" spans="7:8" x14ac:dyDescent="0.3">
      <c r="G8866" s="75">
        <v>8863</v>
      </c>
      <c r="H8866">
        <f t="shared" ca="1" si="124"/>
        <v>-3.6103720773453682E-2</v>
      </c>
    </row>
    <row r="8867" spans="7:8" x14ac:dyDescent="0.3">
      <c r="G8867" s="75">
        <v>8864</v>
      </c>
      <c r="H8867">
        <f t="shared" ca="1" si="124"/>
        <v>-1.4459979417160748E-2</v>
      </c>
    </row>
    <row r="8868" spans="7:8" x14ac:dyDescent="0.3">
      <c r="G8868" s="75">
        <v>8865</v>
      </c>
      <c r="H8868">
        <f t="shared" ca="1" si="124"/>
        <v>-1.7647290201856406E-2</v>
      </c>
    </row>
    <row r="8869" spans="7:8" x14ac:dyDescent="0.3">
      <c r="G8869" s="75">
        <v>8866</v>
      </c>
      <c r="H8869">
        <f t="shared" ca="1" si="124"/>
        <v>-6.5610345699447592E-3</v>
      </c>
    </row>
    <row r="8870" spans="7:8" x14ac:dyDescent="0.3">
      <c r="G8870" s="75">
        <v>8867</v>
      </c>
      <c r="H8870">
        <f t="shared" ca="1" si="124"/>
        <v>9.6919571821807281E-3</v>
      </c>
    </row>
    <row r="8871" spans="7:8" x14ac:dyDescent="0.3">
      <c r="G8871" s="75">
        <v>8868</v>
      </c>
      <c r="H8871">
        <f t="shared" ca="1" si="124"/>
        <v>-1.1677670687057309E-3</v>
      </c>
    </row>
    <row r="8872" spans="7:8" x14ac:dyDescent="0.3">
      <c r="G8872" s="75">
        <v>8869</v>
      </c>
      <c r="H8872">
        <f t="shared" ca="1" si="124"/>
        <v>-7.6448622918311876E-4</v>
      </c>
    </row>
    <row r="8873" spans="7:8" x14ac:dyDescent="0.3">
      <c r="G8873" s="75">
        <v>8870</v>
      </c>
      <c r="H8873">
        <f t="shared" ca="1" si="124"/>
        <v>1.3539779161608168E-3</v>
      </c>
    </row>
    <row r="8874" spans="7:8" x14ac:dyDescent="0.3">
      <c r="G8874" s="75">
        <v>8871</v>
      </c>
      <c r="H8874">
        <f t="shared" ca="1" si="124"/>
        <v>-1.0143872410847023E-2</v>
      </c>
    </row>
    <row r="8875" spans="7:8" x14ac:dyDescent="0.3">
      <c r="G8875" s="75">
        <v>8872</v>
      </c>
      <c r="H8875">
        <f t="shared" ca="1" si="124"/>
        <v>2.1024640615938234E-3</v>
      </c>
    </row>
    <row r="8876" spans="7:8" x14ac:dyDescent="0.3">
      <c r="G8876" s="75">
        <v>8873</v>
      </c>
      <c r="H8876">
        <f t="shared" ca="1" si="124"/>
        <v>-1.2087531180151928E-2</v>
      </c>
    </row>
    <row r="8877" spans="7:8" x14ac:dyDescent="0.3">
      <c r="G8877" s="75">
        <v>8874</v>
      </c>
      <c r="H8877">
        <f t="shared" ca="1" si="124"/>
        <v>9.4717110376441697E-3</v>
      </c>
    </row>
    <row r="8878" spans="7:8" x14ac:dyDescent="0.3">
      <c r="G8878" s="75">
        <v>8875</v>
      </c>
      <c r="H8878">
        <f t="shared" ca="1" si="124"/>
        <v>1.9002886136947589E-2</v>
      </c>
    </row>
    <row r="8879" spans="7:8" x14ac:dyDescent="0.3">
      <c r="G8879" s="75">
        <v>8876</v>
      </c>
      <c r="H8879">
        <f t="shared" ca="1" si="124"/>
        <v>2.3966275820427136E-3</v>
      </c>
    </row>
    <row r="8880" spans="7:8" x14ac:dyDescent="0.3">
      <c r="G8880" s="75">
        <v>8877</v>
      </c>
      <c r="H8880">
        <f t="shared" ca="1" si="124"/>
        <v>-1.1821538773147226E-3</v>
      </c>
    </row>
    <row r="8881" spans="7:8" x14ac:dyDescent="0.3">
      <c r="G8881" s="75">
        <v>8878</v>
      </c>
      <c r="H8881">
        <f t="shared" ca="1" si="124"/>
        <v>-8.1495473125244005E-3</v>
      </c>
    </row>
    <row r="8882" spans="7:8" x14ac:dyDescent="0.3">
      <c r="G8882" s="75">
        <v>8879</v>
      </c>
      <c r="H8882">
        <f t="shared" ca="1" si="124"/>
        <v>-8.5630925266782978E-3</v>
      </c>
    </row>
    <row r="8883" spans="7:8" x14ac:dyDescent="0.3">
      <c r="G8883" s="75">
        <v>8880</v>
      </c>
      <c r="H8883">
        <f t="shared" ca="1" si="124"/>
        <v>1.5087937458575815E-2</v>
      </c>
    </row>
    <row r="8884" spans="7:8" x14ac:dyDescent="0.3">
      <c r="G8884" s="75">
        <v>8881</v>
      </c>
      <c r="H8884">
        <f t="shared" ca="1" si="124"/>
        <v>2.4531072850245233E-2</v>
      </c>
    </row>
    <row r="8885" spans="7:8" x14ac:dyDescent="0.3">
      <c r="G8885" s="75">
        <v>8882</v>
      </c>
      <c r="H8885">
        <f t="shared" ca="1" si="124"/>
        <v>-1.0935158477803957E-2</v>
      </c>
    </row>
    <row r="8886" spans="7:8" x14ac:dyDescent="0.3">
      <c r="G8886" s="75">
        <v>8883</v>
      </c>
      <c r="H8886">
        <f t="shared" ca="1" si="124"/>
        <v>1.591366838529291E-3</v>
      </c>
    </row>
    <row r="8887" spans="7:8" x14ac:dyDescent="0.3">
      <c r="G8887" s="75">
        <v>8884</v>
      </c>
      <c r="H8887">
        <f t="shared" ca="1" si="124"/>
        <v>1.4529488435280919E-2</v>
      </c>
    </row>
    <row r="8888" spans="7:8" x14ac:dyDescent="0.3">
      <c r="G8888" s="75">
        <v>8885</v>
      </c>
      <c r="H8888">
        <f t="shared" ca="1" si="124"/>
        <v>2.3672768983538695E-4</v>
      </c>
    </row>
    <row r="8889" spans="7:8" x14ac:dyDescent="0.3">
      <c r="G8889" s="75">
        <v>8886</v>
      </c>
      <c r="H8889">
        <f t="shared" ca="1" si="124"/>
        <v>-5.0055407256496239E-3</v>
      </c>
    </row>
    <row r="8890" spans="7:8" x14ac:dyDescent="0.3">
      <c r="G8890" s="75">
        <v>8887</v>
      </c>
      <c r="H8890">
        <f t="shared" ca="1" si="124"/>
        <v>-1.1321413280305179E-2</v>
      </c>
    </row>
    <row r="8891" spans="7:8" x14ac:dyDescent="0.3">
      <c r="G8891" s="75">
        <v>8888</v>
      </c>
      <c r="H8891">
        <f t="shared" ca="1" si="124"/>
        <v>9.8396950111827482E-3</v>
      </c>
    </row>
    <row r="8892" spans="7:8" x14ac:dyDescent="0.3">
      <c r="G8892" s="75">
        <v>8889</v>
      </c>
      <c r="H8892">
        <f t="shared" ca="1" si="124"/>
        <v>3.160280516698952E-3</v>
      </c>
    </row>
    <row r="8893" spans="7:8" x14ac:dyDescent="0.3">
      <c r="G8893" s="75">
        <v>8890</v>
      </c>
      <c r="H8893">
        <f t="shared" ca="1" si="124"/>
        <v>-2.6418529864723635E-3</v>
      </c>
    </row>
    <row r="8894" spans="7:8" x14ac:dyDescent="0.3">
      <c r="G8894" s="75">
        <v>8891</v>
      </c>
      <c r="H8894">
        <f t="shared" ca="1" si="124"/>
        <v>6.9444083894813153E-3</v>
      </c>
    </row>
    <row r="8895" spans="7:8" x14ac:dyDescent="0.3">
      <c r="G8895" s="75">
        <v>8892</v>
      </c>
      <c r="H8895">
        <f t="shared" ca="1" si="124"/>
        <v>6.2237660789360022E-3</v>
      </c>
    </row>
    <row r="8896" spans="7:8" x14ac:dyDescent="0.3">
      <c r="G8896" s="75">
        <v>8893</v>
      </c>
      <c r="H8896">
        <f t="shared" ca="1" si="124"/>
        <v>-3.6243562455667783E-3</v>
      </c>
    </row>
    <row r="8897" spans="7:8" x14ac:dyDescent="0.3">
      <c r="G8897" s="75">
        <v>8894</v>
      </c>
      <c r="H8897">
        <f t="shared" ca="1" si="124"/>
        <v>-1.0373078141926733E-3</v>
      </c>
    </row>
    <row r="8898" spans="7:8" x14ac:dyDescent="0.3">
      <c r="G8898" s="75">
        <v>8895</v>
      </c>
      <c r="H8898">
        <f t="shared" ref="H8898:H8961" ca="1" si="125">_xlfn.NORM.INV(RAND(),$N$4,$N$5)</f>
        <v>1.5761538018065446E-3</v>
      </c>
    </row>
    <row r="8899" spans="7:8" x14ac:dyDescent="0.3">
      <c r="G8899" s="75">
        <v>8896</v>
      </c>
      <c r="H8899">
        <f t="shared" ca="1" si="125"/>
        <v>1.4497361646416523E-2</v>
      </c>
    </row>
    <row r="8900" spans="7:8" x14ac:dyDescent="0.3">
      <c r="G8900" s="75">
        <v>8897</v>
      </c>
      <c r="H8900">
        <f t="shared" ca="1" si="125"/>
        <v>6.2441210116831753E-3</v>
      </c>
    </row>
    <row r="8901" spans="7:8" x14ac:dyDescent="0.3">
      <c r="G8901" s="75">
        <v>8898</v>
      </c>
      <c r="H8901">
        <f t="shared" ca="1" si="125"/>
        <v>-6.835007919312729E-3</v>
      </c>
    </row>
    <row r="8902" spans="7:8" x14ac:dyDescent="0.3">
      <c r="G8902" s="75">
        <v>8899</v>
      </c>
      <c r="H8902">
        <f t="shared" ca="1" si="125"/>
        <v>9.6836048089019196E-4</v>
      </c>
    </row>
    <row r="8903" spans="7:8" x14ac:dyDescent="0.3">
      <c r="G8903" s="75">
        <v>8900</v>
      </c>
      <c r="H8903">
        <f t="shared" ca="1" si="125"/>
        <v>3.4056844999153005E-3</v>
      </c>
    </row>
    <row r="8904" spans="7:8" x14ac:dyDescent="0.3">
      <c r="G8904" s="75">
        <v>8901</v>
      </c>
      <c r="H8904">
        <f t="shared" ca="1" si="125"/>
        <v>8.1475940997612906E-3</v>
      </c>
    </row>
    <row r="8905" spans="7:8" x14ac:dyDescent="0.3">
      <c r="G8905" s="75">
        <v>8902</v>
      </c>
      <c r="H8905">
        <f t="shared" ca="1" si="125"/>
        <v>4.6586852785931703E-3</v>
      </c>
    </row>
    <row r="8906" spans="7:8" x14ac:dyDescent="0.3">
      <c r="G8906" s="75">
        <v>8903</v>
      </c>
      <c r="H8906">
        <f t="shared" ca="1" si="125"/>
        <v>1.6301329591757428E-2</v>
      </c>
    </row>
    <row r="8907" spans="7:8" x14ac:dyDescent="0.3">
      <c r="G8907" s="75">
        <v>8904</v>
      </c>
      <c r="H8907">
        <f t="shared" ca="1" si="125"/>
        <v>-1.4884115400071915E-2</v>
      </c>
    </row>
    <row r="8908" spans="7:8" x14ac:dyDescent="0.3">
      <c r="G8908" s="75">
        <v>8905</v>
      </c>
      <c r="H8908">
        <f t="shared" ca="1" si="125"/>
        <v>-3.1216107418418307E-2</v>
      </c>
    </row>
    <row r="8909" spans="7:8" x14ac:dyDescent="0.3">
      <c r="G8909" s="75">
        <v>8906</v>
      </c>
      <c r="H8909">
        <f t="shared" ca="1" si="125"/>
        <v>1.8760713243671416E-3</v>
      </c>
    </row>
    <row r="8910" spans="7:8" x14ac:dyDescent="0.3">
      <c r="G8910" s="75">
        <v>8907</v>
      </c>
      <c r="H8910">
        <f t="shared" ca="1" si="125"/>
        <v>2.9559552183504832E-2</v>
      </c>
    </row>
    <row r="8911" spans="7:8" x14ac:dyDescent="0.3">
      <c r="G8911" s="75">
        <v>8908</v>
      </c>
      <c r="H8911">
        <f t="shared" ca="1" si="125"/>
        <v>1.7450466351915019E-2</v>
      </c>
    </row>
    <row r="8912" spans="7:8" x14ac:dyDescent="0.3">
      <c r="G8912" s="75">
        <v>8909</v>
      </c>
      <c r="H8912">
        <f t="shared" ca="1" si="125"/>
        <v>-2.2057240161465427E-2</v>
      </c>
    </row>
    <row r="8913" spans="7:8" x14ac:dyDescent="0.3">
      <c r="G8913" s="75">
        <v>8910</v>
      </c>
      <c r="H8913">
        <f t="shared" ca="1" si="125"/>
        <v>-1.0125080055933301E-3</v>
      </c>
    </row>
    <row r="8914" spans="7:8" x14ac:dyDescent="0.3">
      <c r="G8914" s="75">
        <v>8911</v>
      </c>
      <c r="H8914">
        <f t="shared" ca="1" si="125"/>
        <v>7.7636083295067222E-3</v>
      </c>
    </row>
    <row r="8915" spans="7:8" x14ac:dyDescent="0.3">
      <c r="G8915" s="75">
        <v>8912</v>
      </c>
      <c r="H8915">
        <f t="shared" ca="1" si="125"/>
        <v>-5.071297482953303E-3</v>
      </c>
    </row>
    <row r="8916" spans="7:8" x14ac:dyDescent="0.3">
      <c r="G8916" s="75">
        <v>8913</v>
      </c>
      <c r="H8916">
        <f t="shared" ca="1" si="125"/>
        <v>4.7792499978004015E-3</v>
      </c>
    </row>
    <row r="8917" spans="7:8" x14ac:dyDescent="0.3">
      <c r="G8917" s="75">
        <v>8914</v>
      </c>
      <c r="H8917">
        <f t="shared" ca="1" si="125"/>
        <v>-1.4764059329776586E-2</v>
      </c>
    </row>
    <row r="8918" spans="7:8" x14ac:dyDescent="0.3">
      <c r="G8918" s="75">
        <v>8915</v>
      </c>
      <c r="H8918">
        <f t="shared" ca="1" si="125"/>
        <v>8.1370351065346187E-3</v>
      </c>
    </row>
    <row r="8919" spans="7:8" x14ac:dyDescent="0.3">
      <c r="G8919" s="75">
        <v>8916</v>
      </c>
      <c r="H8919">
        <f t="shared" ca="1" si="125"/>
        <v>-5.1804043248191494E-3</v>
      </c>
    </row>
    <row r="8920" spans="7:8" x14ac:dyDescent="0.3">
      <c r="G8920" s="75">
        <v>8917</v>
      </c>
      <c r="H8920">
        <f t="shared" ca="1" si="125"/>
        <v>2.1431906409897089E-2</v>
      </c>
    </row>
    <row r="8921" spans="7:8" x14ac:dyDescent="0.3">
      <c r="G8921" s="75">
        <v>8918</v>
      </c>
      <c r="H8921">
        <f t="shared" ca="1" si="125"/>
        <v>-1.5407600106050962E-2</v>
      </c>
    </row>
    <row r="8922" spans="7:8" x14ac:dyDescent="0.3">
      <c r="G8922" s="75">
        <v>8919</v>
      </c>
      <c r="H8922">
        <f t="shared" ca="1" si="125"/>
        <v>-2.2697358358814076E-3</v>
      </c>
    </row>
    <row r="8923" spans="7:8" x14ac:dyDescent="0.3">
      <c r="G8923" s="75">
        <v>8920</v>
      </c>
      <c r="H8923">
        <f t="shared" ca="1" si="125"/>
        <v>2.4670327269038502E-2</v>
      </c>
    </row>
    <row r="8924" spans="7:8" x14ac:dyDescent="0.3">
      <c r="G8924" s="75">
        <v>8921</v>
      </c>
      <c r="H8924">
        <f t="shared" ca="1" si="125"/>
        <v>1.4074865853218611E-2</v>
      </c>
    </row>
    <row r="8925" spans="7:8" x14ac:dyDescent="0.3">
      <c r="G8925" s="75">
        <v>8922</v>
      </c>
      <c r="H8925">
        <f t="shared" ca="1" si="125"/>
        <v>-8.5738595065452897E-3</v>
      </c>
    </row>
    <row r="8926" spans="7:8" x14ac:dyDescent="0.3">
      <c r="G8926" s="75">
        <v>8923</v>
      </c>
      <c r="H8926">
        <f t="shared" ca="1" si="125"/>
        <v>-3.5608009087179171E-3</v>
      </c>
    </row>
    <row r="8927" spans="7:8" x14ac:dyDescent="0.3">
      <c r="G8927" s="75">
        <v>8924</v>
      </c>
      <c r="H8927">
        <f t="shared" ca="1" si="125"/>
        <v>9.7219216325009697E-3</v>
      </c>
    </row>
    <row r="8928" spans="7:8" x14ac:dyDescent="0.3">
      <c r="G8928" s="75">
        <v>8925</v>
      </c>
      <c r="H8928">
        <f t="shared" ca="1" si="125"/>
        <v>-1.5566212654235407E-2</v>
      </c>
    </row>
    <row r="8929" spans="7:8" x14ac:dyDescent="0.3">
      <c r="G8929" s="75">
        <v>8926</v>
      </c>
      <c r="H8929">
        <f t="shared" ca="1" si="125"/>
        <v>-2.8005882633047197E-2</v>
      </c>
    </row>
    <row r="8930" spans="7:8" x14ac:dyDescent="0.3">
      <c r="G8930" s="75">
        <v>8927</v>
      </c>
      <c r="H8930">
        <f t="shared" ca="1" si="125"/>
        <v>1.3808548931899209E-2</v>
      </c>
    </row>
    <row r="8931" spans="7:8" x14ac:dyDescent="0.3">
      <c r="G8931" s="75">
        <v>8928</v>
      </c>
      <c r="H8931">
        <f t="shared" ca="1" si="125"/>
        <v>-8.006309748144657E-3</v>
      </c>
    </row>
    <row r="8932" spans="7:8" x14ac:dyDescent="0.3">
      <c r="G8932" s="75">
        <v>8929</v>
      </c>
      <c r="H8932">
        <f t="shared" ca="1" si="125"/>
        <v>9.8610502576556413E-3</v>
      </c>
    </row>
    <row r="8933" spans="7:8" x14ac:dyDescent="0.3">
      <c r="G8933" s="75">
        <v>8930</v>
      </c>
      <c r="H8933">
        <f t="shared" ca="1" si="125"/>
        <v>3.0486672371476129E-3</v>
      </c>
    </row>
    <row r="8934" spans="7:8" x14ac:dyDescent="0.3">
      <c r="G8934" s="75">
        <v>8931</v>
      </c>
      <c r="H8934">
        <f t="shared" ca="1" si="125"/>
        <v>1.3898842994686092E-2</v>
      </c>
    </row>
    <row r="8935" spans="7:8" x14ac:dyDescent="0.3">
      <c r="G8935" s="75">
        <v>8932</v>
      </c>
      <c r="H8935">
        <f t="shared" ca="1" si="125"/>
        <v>3.9597977117261148E-3</v>
      </c>
    </row>
    <row r="8936" spans="7:8" x14ac:dyDescent="0.3">
      <c r="G8936" s="75">
        <v>8933</v>
      </c>
      <c r="H8936">
        <f t="shared" ca="1" si="125"/>
        <v>-2.3739928136325337E-2</v>
      </c>
    </row>
    <row r="8937" spans="7:8" x14ac:dyDescent="0.3">
      <c r="G8937" s="75">
        <v>8934</v>
      </c>
      <c r="H8937">
        <f t="shared" ca="1" si="125"/>
        <v>1.5707544357987484E-2</v>
      </c>
    </row>
    <row r="8938" spans="7:8" x14ac:dyDescent="0.3">
      <c r="G8938" s="75">
        <v>8935</v>
      </c>
      <c r="H8938">
        <f t="shared" ca="1" si="125"/>
        <v>-1.7305806665473548E-2</v>
      </c>
    </row>
    <row r="8939" spans="7:8" x14ac:dyDescent="0.3">
      <c r="G8939" s="75">
        <v>8936</v>
      </c>
      <c r="H8939">
        <f t="shared" ca="1" si="125"/>
        <v>2.1275480113186144E-2</v>
      </c>
    </row>
    <row r="8940" spans="7:8" x14ac:dyDescent="0.3">
      <c r="G8940" s="75">
        <v>8937</v>
      </c>
      <c r="H8940">
        <f t="shared" ca="1" si="125"/>
        <v>1.5915994082676507E-2</v>
      </c>
    </row>
    <row r="8941" spans="7:8" x14ac:dyDescent="0.3">
      <c r="G8941" s="75">
        <v>8938</v>
      </c>
      <c r="H8941">
        <f t="shared" ca="1" si="125"/>
        <v>-5.8902599720651004E-3</v>
      </c>
    </row>
    <row r="8942" spans="7:8" x14ac:dyDescent="0.3">
      <c r="G8942" s="75">
        <v>8939</v>
      </c>
      <c r="H8942">
        <f t="shared" ca="1" si="125"/>
        <v>-5.9127311751304276E-3</v>
      </c>
    </row>
    <row r="8943" spans="7:8" x14ac:dyDescent="0.3">
      <c r="G8943" s="75">
        <v>8940</v>
      </c>
      <c r="H8943">
        <f t="shared" ca="1" si="125"/>
        <v>-1.8273142099624724E-2</v>
      </c>
    </row>
    <row r="8944" spans="7:8" x14ac:dyDescent="0.3">
      <c r="G8944" s="75">
        <v>8941</v>
      </c>
      <c r="H8944">
        <f t="shared" ca="1" si="125"/>
        <v>-1.6744989210467912E-2</v>
      </c>
    </row>
    <row r="8945" spans="7:8" x14ac:dyDescent="0.3">
      <c r="G8945" s="75">
        <v>8942</v>
      </c>
      <c r="H8945">
        <f t="shared" ca="1" si="125"/>
        <v>1.7017709573481424E-2</v>
      </c>
    </row>
    <row r="8946" spans="7:8" x14ac:dyDescent="0.3">
      <c r="G8946" s="75">
        <v>8943</v>
      </c>
      <c r="H8946">
        <f t="shared" ca="1" si="125"/>
        <v>-1.5768114826657284E-2</v>
      </c>
    </row>
    <row r="8947" spans="7:8" x14ac:dyDescent="0.3">
      <c r="G8947" s="75">
        <v>8944</v>
      </c>
      <c r="H8947">
        <f t="shared" ca="1" si="125"/>
        <v>3.7249106136279355E-3</v>
      </c>
    </row>
    <row r="8948" spans="7:8" x14ac:dyDescent="0.3">
      <c r="G8948" s="75">
        <v>8945</v>
      </c>
      <c r="H8948">
        <f t="shared" ca="1" si="125"/>
        <v>1.9962715527676783E-2</v>
      </c>
    </row>
    <row r="8949" spans="7:8" x14ac:dyDescent="0.3">
      <c r="G8949" s="75">
        <v>8946</v>
      </c>
      <c r="H8949">
        <f t="shared" ca="1" si="125"/>
        <v>-4.4386613898658956E-3</v>
      </c>
    </row>
    <row r="8950" spans="7:8" x14ac:dyDescent="0.3">
      <c r="G8950" s="75">
        <v>8947</v>
      </c>
      <c r="H8950">
        <f t="shared" ca="1" si="125"/>
        <v>-1.7762703170691918E-4</v>
      </c>
    </row>
    <row r="8951" spans="7:8" x14ac:dyDescent="0.3">
      <c r="G8951" s="75">
        <v>8948</v>
      </c>
      <c r="H8951">
        <f t="shared" ca="1" si="125"/>
        <v>2.886090634800683E-2</v>
      </c>
    </row>
    <row r="8952" spans="7:8" x14ac:dyDescent="0.3">
      <c r="G8952" s="75">
        <v>8949</v>
      </c>
      <c r="H8952">
        <f t="shared" ca="1" si="125"/>
        <v>-9.5513689548995633E-3</v>
      </c>
    </row>
    <row r="8953" spans="7:8" x14ac:dyDescent="0.3">
      <c r="G8953" s="75">
        <v>8950</v>
      </c>
      <c r="H8953">
        <f t="shared" ca="1" si="125"/>
        <v>2.5355625946087978E-2</v>
      </c>
    </row>
    <row r="8954" spans="7:8" x14ac:dyDescent="0.3">
      <c r="G8954" s="75">
        <v>8951</v>
      </c>
      <c r="H8954">
        <f t="shared" ca="1" si="125"/>
        <v>-2.0383123211830407E-2</v>
      </c>
    </row>
    <row r="8955" spans="7:8" x14ac:dyDescent="0.3">
      <c r="G8955" s="75">
        <v>8952</v>
      </c>
      <c r="H8955">
        <f t="shared" ca="1" si="125"/>
        <v>9.5062987266629614E-4</v>
      </c>
    </row>
    <row r="8956" spans="7:8" x14ac:dyDescent="0.3">
      <c r="G8956" s="75">
        <v>8953</v>
      </c>
      <c r="H8956">
        <f t="shared" ca="1" si="125"/>
        <v>5.2434244351145087E-3</v>
      </c>
    </row>
    <row r="8957" spans="7:8" x14ac:dyDescent="0.3">
      <c r="G8957" s="75">
        <v>8954</v>
      </c>
      <c r="H8957">
        <f t="shared" ca="1" si="125"/>
        <v>1.4991989408489902E-2</v>
      </c>
    </row>
    <row r="8958" spans="7:8" x14ac:dyDescent="0.3">
      <c r="G8958" s="75">
        <v>8955</v>
      </c>
      <c r="H8958">
        <f t="shared" ca="1" si="125"/>
        <v>-3.6256333130600202E-3</v>
      </c>
    </row>
    <row r="8959" spans="7:8" x14ac:dyDescent="0.3">
      <c r="G8959" s="75">
        <v>8956</v>
      </c>
      <c r="H8959">
        <f t="shared" ca="1" si="125"/>
        <v>1.207773914853329E-2</v>
      </c>
    </row>
    <row r="8960" spans="7:8" x14ac:dyDescent="0.3">
      <c r="G8960" s="75">
        <v>8957</v>
      </c>
      <c r="H8960">
        <f t="shared" ca="1" si="125"/>
        <v>2.3143948175341649E-3</v>
      </c>
    </row>
    <row r="8961" spans="7:8" x14ac:dyDescent="0.3">
      <c r="G8961" s="75">
        <v>8958</v>
      </c>
      <c r="H8961">
        <f t="shared" ca="1" si="125"/>
        <v>-3.531273302587367E-2</v>
      </c>
    </row>
    <row r="8962" spans="7:8" x14ac:dyDescent="0.3">
      <c r="G8962" s="75">
        <v>8959</v>
      </c>
      <c r="H8962">
        <f t="shared" ref="H8962:H9025" ca="1" si="126">_xlfn.NORM.INV(RAND(),$N$4,$N$5)</f>
        <v>8.9571749265491586E-3</v>
      </c>
    </row>
    <row r="8963" spans="7:8" x14ac:dyDescent="0.3">
      <c r="G8963" s="75">
        <v>8960</v>
      </c>
      <c r="H8963">
        <f t="shared" ca="1" si="126"/>
        <v>-8.8652670087577077E-3</v>
      </c>
    </row>
    <row r="8964" spans="7:8" x14ac:dyDescent="0.3">
      <c r="G8964" s="75">
        <v>8961</v>
      </c>
      <c r="H8964">
        <f t="shared" ca="1" si="126"/>
        <v>1.2789243031606598E-2</v>
      </c>
    </row>
    <row r="8965" spans="7:8" x14ac:dyDescent="0.3">
      <c r="G8965" s="75">
        <v>8962</v>
      </c>
      <c r="H8965">
        <f t="shared" ca="1" si="126"/>
        <v>-7.1631594551282195E-3</v>
      </c>
    </row>
    <row r="8966" spans="7:8" x14ac:dyDescent="0.3">
      <c r="G8966" s="75">
        <v>8963</v>
      </c>
      <c r="H8966">
        <f t="shared" ca="1" si="126"/>
        <v>-1.9977509567103844E-2</v>
      </c>
    </row>
    <row r="8967" spans="7:8" x14ac:dyDescent="0.3">
      <c r="G8967" s="75">
        <v>8964</v>
      </c>
      <c r="H8967">
        <f t="shared" ca="1" si="126"/>
        <v>2.8972592569689679E-2</v>
      </c>
    </row>
    <row r="8968" spans="7:8" x14ac:dyDescent="0.3">
      <c r="G8968" s="75">
        <v>8965</v>
      </c>
      <c r="H8968">
        <f t="shared" ca="1" si="126"/>
        <v>1.3188570987054207E-3</v>
      </c>
    </row>
    <row r="8969" spans="7:8" x14ac:dyDescent="0.3">
      <c r="G8969" s="75">
        <v>8966</v>
      </c>
      <c r="H8969">
        <f t="shared" ca="1" si="126"/>
        <v>1.2699819303094687E-3</v>
      </c>
    </row>
    <row r="8970" spans="7:8" x14ac:dyDescent="0.3">
      <c r="G8970" s="75">
        <v>8967</v>
      </c>
      <c r="H8970">
        <f t="shared" ca="1" si="126"/>
        <v>-4.3353729686668012E-4</v>
      </c>
    </row>
    <row r="8971" spans="7:8" x14ac:dyDescent="0.3">
      <c r="G8971" s="75">
        <v>8968</v>
      </c>
      <c r="H8971">
        <f t="shared" ca="1" si="126"/>
        <v>-1.3053745190434342E-2</v>
      </c>
    </row>
    <row r="8972" spans="7:8" x14ac:dyDescent="0.3">
      <c r="G8972" s="75">
        <v>8969</v>
      </c>
      <c r="H8972">
        <f t="shared" ca="1" si="126"/>
        <v>6.5328495117066292E-4</v>
      </c>
    </row>
    <row r="8973" spans="7:8" x14ac:dyDescent="0.3">
      <c r="G8973" s="75">
        <v>8970</v>
      </c>
      <c r="H8973">
        <f t="shared" ca="1" si="126"/>
        <v>1.7636058552410662E-2</v>
      </c>
    </row>
    <row r="8974" spans="7:8" x14ac:dyDescent="0.3">
      <c r="G8974" s="75">
        <v>8971</v>
      </c>
      <c r="H8974">
        <f t="shared" ca="1" si="126"/>
        <v>-3.3572410225410098E-3</v>
      </c>
    </row>
    <row r="8975" spans="7:8" x14ac:dyDescent="0.3">
      <c r="G8975" s="75">
        <v>8972</v>
      </c>
      <c r="H8975">
        <f t="shared" ca="1" si="126"/>
        <v>-8.4984317494002336E-3</v>
      </c>
    </row>
    <row r="8976" spans="7:8" x14ac:dyDescent="0.3">
      <c r="G8976" s="75">
        <v>8973</v>
      </c>
      <c r="H8976">
        <f t="shared" ca="1" si="126"/>
        <v>1.3669218559252837E-2</v>
      </c>
    </row>
    <row r="8977" spans="7:8" x14ac:dyDescent="0.3">
      <c r="G8977" s="75">
        <v>8974</v>
      </c>
      <c r="H8977">
        <f t="shared" ca="1" si="126"/>
        <v>-2.3070598515088406E-3</v>
      </c>
    </row>
    <row r="8978" spans="7:8" x14ac:dyDescent="0.3">
      <c r="G8978" s="75">
        <v>8975</v>
      </c>
      <c r="H8978">
        <f t="shared" ca="1" si="126"/>
        <v>4.7460046087447659E-4</v>
      </c>
    </row>
    <row r="8979" spans="7:8" x14ac:dyDescent="0.3">
      <c r="G8979" s="75">
        <v>8976</v>
      </c>
      <c r="H8979">
        <f t="shared" ca="1" si="126"/>
        <v>-1.7432864387503199E-2</v>
      </c>
    </row>
    <row r="8980" spans="7:8" x14ac:dyDescent="0.3">
      <c r="G8980" s="75">
        <v>8977</v>
      </c>
      <c r="H8980">
        <f t="shared" ca="1" si="126"/>
        <v>-1.2290280416124059E-2</v>
      </c>
    </row>
    <row r="8981" spans="7:8" x14ac:dyDescent="0.3">
      <c r="G8981" s="75">
        <v>8978</v>
      </c>
      <c r="H8981">
        <f t="shared" ca="1" si="126"/>
        <v>1.6303906963949875E-2</v>
      </c>
    </row>
    <row r="8982" spans="7:8" x14ac:dyDescent="0.3">
      <c r="G8982" s="75">
        <v>8979</v>
      </c>
      <c r="H8982">
        <f t="shared" ca="1" si="126"/>
        <v>-7.4614955215874506E-3</v>
      </c>
    </row>
    <row r="8983" spans="7:8" x14ac:dyDescent="0.3">
      <c r="G8983" s="75">
        <v>8980</v>
      </c>
      <c r="H8983">
        <f t="shared" ca="1" si="126"/>
        <v>8.8693011747362476E-3</v>
      </c>
    </row>
    <row r="8984" spans="7:8" x14ac:dyDescent="0.3">
      <c r="G8984" s="75">
        <v>8981</v>
      </c>
      <c r="H8984">
        <f t="shared" ca="1" si="126"/>
        <v>3.5760387343572995E-3</v>
      </c>
    </row>
    <row r="8985" spans="7:8" x14ac:dyDescent="0.3">
      <c r="G8985" s="75">
        <v>8982</v>
      </c>
      <c r="H8985">
        <f t="shared" ca="1" si="126"/>
        <v>1.3540787591960356E-2</v>
      </c>
    </row>
    <row r="8986" spans="7:8" x14ac:dyDescent="0.3">
      <c r="G8986" s="75">
        <v>8983</v>
      </c>
      <c r="H8986">
        <f t="shared" ca="1" si="126"/>
        <v>-3.412124965348462E-2</v>
      </c>
    </row>
    <row r="8987" spans="7:8" x14ac:dyDescent="0.3">
      <c r="G8987" s="75">
        <v>8984</v>
      </c>
      <c r="H8987">
        <f t="shared" ca="1" si="126"/>
        <v>3.4939803792561686E-4</v>
      </c>
    </row>
    <row r="8988" spans="7:8" x14ac:dyDescent="0.3">
      <c r="G8988" s="75">
        <v>8985</v>
      </c>
      <c r="H8988">
        <f t="shared" ca="1" si="126"/>
        <v>1.2273821370849067E-2</v>
      </c>
    </row>
    <row r="8989" spans="7:8" x14ac:dyDescent="0.3">
      <c r="G8989" s="75">
        <v>8986</v>
      </c>
      <c r="H8989">
        <f t="shared" ca="1" si="126"/>
        <v>-1.6898381379759055E-2</v>
      </c>
    </row>
    <row r="8990" spans="7:8" x14ac:dyDescent="0.3">
      <c r="G8990" s="75">
        <v>8987</v>
      </c>
      <c r="H8990">
        <f t="shared" ca="1" si="126"/>
        <v>-8.595591955252932E-3</v>
      </c>
    </row>
    <row r="8991" spans="7:8" x14ac:dyDescent="0.3">
      <c r="G8991" s="75">
        <v>8988</v>
      </c>
      <c r="H8991">
        <f t="shared" ca="1" si="126"/>
        <v>1.6949758397051651E-2</v>
      </c>
    </row>
    <row r="8992" spans="7:8" x14ac:dyDescent="0.3">
      <c r="G8992" s="75">
        <v>8989</v>
      </c>
      <c r="H8992">
        <f t="shared" ca="1" si="126"/>
        <v>1.1688581853673861E-2</v>
      </c>
    </row>
    <row r="8993" spans="7:8" x14ac:dyDescent="0.3">
      <c r="G8993" s="75">
        <v>8990</v>
      </c>
      <c r="H8993">
        <f t="shared" ca="1" si="126"/>
        <v>-1.086479479903764E-2</v>
      </c>
    </row>
    <row r="8994" spans="7:8" x14ac:dyDescent="0.3">
      <c r="G8994" s="75">
        <v>8991</v>
      </c>
      <c r="H8994">
        <f t="shared" ca="1" si="126"/>
        <v>3.2265844380469123E-3</v>
      </c>
    </row>
    <row r="8995" spans="7:8" x14ac:dyDescent="0.3">
      <c r="G8995" s="75">
        <v>8992</v>
      </c>
      <c r="H8995">
        <f t="shared" ca="1" si="126"/>
        <v>-1.5200493108587557E-4</v>
      </c>
    </row>
    <row r="8996" spans="7:8" x14ac:dyDescent="0.3">
      <c r="G8996" s="75">
        <v>8993</v>
      </c>
      <c r="H8996">
        <f t="shared" ca="1" si="126"/>
        <v>-5.0210741509427986E-3</v>
      </c>
    </row>
    <row r="8997" spans="7:8" x14ac:dyDescent="0.3">
      <c r="G8997" s="75">
        <v>8994</v>
      </c>
      <c r="H8997">
        <f t="shared" ca="1" si="126"/>
        <v>-1.1304406608999895E-2</v>
      </c>
    </row>
    <row r="8998" spans="7:8" x14ac:dyDescent="0.3">
      <c r="G8998" s="75">
        <v>8995</v>
      </c>
      <c r="H8998">
        <f t="shared" ca="1" si="126"/>
        <v>-1.1143156388741313E-2</v>
      </c>
    </row>
    <row r="8999" spans="7:8" x14ac:dyDescent="0.3">
      <c r="G8999" s="75">
        <v>8996</v>
      </c>
      <c r="H8999">
        <f t="shared" ca="1" si="126"/>
        <v>1.1678652910411607E-2</v>
      </c>
    </row>
    <row r="9000" spans="7:8" x14ac:dyDescent="0.3">
      <c r="G9000" s="75">
        <v>8997</v>
      </c>
      <c r="H9000">
        <f t="shared" ca="1" si="126"/>
        <v>9.8195701651759707E-4</v>
      </c>
    </row>
    <row r="9001" spans="7:8" x14ac:dyDescent="0.3">
      <c r="G9001" s="75">
        <v>8998</v>
      </c>
      <c r="H9001">
        <f t="shared" ca="1" si="126"/>
        <v>-1.6351408936481144E-2</v>
      </c>
    </row>
    <row r="9002" spans="7:8" x14ac:dyDescent="0.3">
      <c r="G9002" s="75">
        <v>8999</v>
      </c>
      <c r="H9002">
        <f t="shared" ca="1" si="126"/>
        <v>1.5567797474061916E-2</v>
      </c>
    </row>
    <row r="9003" spans="7:8" x14ac:dyDescent="0.3">
      <c r="G9003" s="75">
        <v>9000</v>
      </c>
      <c r="H9003">
        <f t="shared" ca="1" si="126"/>
        <v>2.6515274404938878E-3</v>
      </c>
    </row>
    <row r="9004" spans="7:8" x14ac:dyDescent="0.3">
      <c r="G9004" s="75">
        <v>9001</v>
      </c>
      <c r="H9004">
        <f t="shared" ca="1" si="126"/>
        <v>1.1013160859435368E-3</v>
      </c>
    </row>
    <row r="9005" spans="7:8" x14ac:dyDescent="0.3">
      <c r="G9005" s="75">
        <v>9002</v>
      </c>
      <c r="H9005">
        <f t="shared" ca="1" si="126"/>
        <v>1.1766770336838959E-2</v>
      </c>
    </row>
    <row r="9006" spans="7:8" x14ac:dyDescent="0.3">
      <c r="G9006" s="75">
        <v>9003</v>
      </c>
      <c r="H9006">
        <f t="shared" ca="1" si="126"/>
        <v>-4.3137302724480036E-4</v>
      </c>
    </row>
    <row r="9007" spans="7:8" x14ac:dyDescent="0.3">
      <c r="G9007" s="75">
        <v>9004</v>
      </c>
      <c r="H9007">
        <f t="shared" ca="1" si="126"/>
        <v>1.1724748717307797E-3</v>
      </c>
    </row>
    <row r="9008" spans="7:8" x14ac:dyDescent="0.3">
      <c r="G9008" s="75">
        <v>9005</v>
      </c>
      <c r="H9008">
        <f t="shared" ca="1" si="126"/>
        <v>1.6273634070781941E-2</v>
      </c>
    </row>
    <row r="9009" spans="7:8" x14ac:dyDescent="0.3">
      <c r="G9009" s="75">
        <v>9006</v>
      </c>
      <c r="H9009">
        <f t="shared" ca="1" si="126"/>
        <v>1.9680999297864269E-2</v>
      </c>
    </row>
    <row r="9010" spans="7:8" x14ac:dyDescent="0.3">
      <c r="G9010" s="75">
        <v>9007</v>
      </c>
      <c r="H9010">
        <f t="shared" ca="1" si="126"/>
        <v>-5.1759658289542874E-3</v>
      </c>
    </row>
    <row r="9011" spans="7:8" x14ac:dyDescent="0.3">
      <c r="G9011" s="75">
        <v>9008</v>
      </c>
      <c r="H9011">
        <f t="shared" ca="1" si="126"/>
        <v>-3.7982032316700963E-3</v>
      </c>
    </row>
    <row r="9012" spans="7:8" x14ac:dyDescent="0.3">
      <c r="G9012" s="75">
        <v>9009</v>
      </c>
      <c r="H9012">
        <f t="shared" ca="1" si="126"/>
        <v>-7.1010336299389971E-4</v>
      </c>
    </row>
    <row r="9013" spans="7:8" x14ac:dyDescent="0.3">
      <c r="G9013" s="75">
        <v>9010</v>
      </c>
      <c r="H9013">
        <f t="shared" ca="1" si="126"/>
        <v>8.1418160621226227E-3</v>
      </c>
    </row>
    <row r="9014" spans="7:8" x14ac:dyDescent="0.3">
      <c r="G9014" s="75">
        <v>9011</v>
      </c>
      <c r="H9014">
        <f t="shared" ca="1" si="126"/>
        <v>-6.2545970550817722E-3</v>
      </c>
    </row>
    <row r="9015" spans="7:8" x14ac:dyDescent="0.3">
      <c r="G9015" s="75">
        <v>9012</v>
      </c>
      <c r="H9015">
        <f t="shared" ca="1" si="126"/>
        <v>-3.159670470965902E-3</v>
      </c>
    </row>
    <row r="9016" spans="7:8" x14ac:dyDescent="0.3">
      <c r="G9016" s="75">
        <v>9013</v>
      </c>
      <c r="H9016">
        <f t="shared" ca="1" si="126"/>
        <v>1.4597737644732075E-2</v>
      </c>
    </row>
    <row r="9017" spans="7:8" x14ac:dyDescent="0.3">
      <c r="G9017" s="75">
        <v>9014</v>
      </c>
      <c r="H9017">
        <f t="shared" ca="1" si="126"/>
        <v>3.0481696406604333E-2</v>
      </c>
    </row>
    <row r="9018" spans="7:8" x14ac:dyDescent="0.3">
      <c r="G9018" s="75">
        <v>9015</v>
      </c>
      <c r="H9018">
        <f t="shared" ca="1" si="126"/>
        <v>-1.8017700855116919E-2</v>
      </c>
    </row>
    <row r="9019" spans="7:8" x14ac:dyDescent="0.3">
      <c r="G9019" s="75">
        <v>9016</v>
      </c>
      <c r="H9019">
        <f t="shared" ca="1" si="126"/>
        <v>-8.2683663186334123E-3</v>
      </c>
    </row>
    <row r="9020" spans="7:8" x14ac:dyDescent="0.3">
      <c r="G9020" s="75">
        <v>9017</v>
      </c>
      <c r="H9020">
        <f t="shared" ca="1" si="126"/>
        <v>4.9639046938529392E-2</v>
      </c>
    </row>
    <row r="9021" spans="7:8" x14ac:dyDescent="0.3">
      <c r="G9021" s="75">
        <v>9018</v>
      </c>
      <c r="H9021">
        <f t="shared" ca="1" si="126"/>
        <v>1.0673513677903848E-2</v>
      </c>
    </row>
    <row r="9022" spans="7:8" x14ac:dyDescent="0.3">
      <c r="G9022" s="75">
        <v>9019</v>
      </c>
      <c r="H9022">
        <f t="shared" ca="1" si="126"/>
        <v>-3.0808128951908334E-3</v>
      </c>
    </row>
    <row r="9023" spans="7:8" x14ac:dyDescent="0.3">
      <c r="G9023" s="75">
        <v>9020</v>
      </c>
      <c r="H9023">
        <f t="shared" ca="1" si="126"/>
        <v>1.5142177877246532E-2</v>
      </c>
    </row>
    <row r="9024" spans="7:8" x14ac:dyDescent="0.3">
      <c r="G9024" s="75">
        <v>9021</v>
      </c>
      <c r="H9024">
        <f t="shared" ca="1" si="126"/>
        <v>2.953965844536751E-2</v>
      </c>
    </row>
    <row r="9025" spans="7:8" x14ac:dyDescent="0.3">
      <c r="G9025" s="75">
        <v>9022</v>
      </c>
      <c r="H9025">
        <f t="shared" ca="1" si="126"/>
        <v>-1.8990864057220128E-2</v>
      </c>
    </row>
    <row r="9026" spans="7:8" x14ac:dyDescent="0.3">
      <c r="G9026" s="75">
        <v>9023</v>
      </c>
      <c r="H9026">
        <f t="shared" ref="H9026:H9089" ca="1" si="127">_xlfn.NORM.INV(RAND(),$N$4,$N$5)</f>
        <v>-9.0671672410578448E-3</v>
      </c>
    </row>
    <row r="9027" spans="7:8" x14ac:dyDescent="0.3">
      <c r="G9027" s="75">
        <v>9024</v>
      </c>
      <c r="H9027">
        <f t="shared" ca="1" si="127"/>
        <v>-2.173953856915439E-3</v>
      </c>
    </row>
    <row r="9028" spans="7:8" x14ac:dyDescent="0.3">
      <c r="G9028" s="75">
        <v>9025</v>
      </c>
      <c r="H9028">
        <f t="shared" ca="1" si="127"/>
        <v>1.8852809207153823E-2</v>
      </c>
    </row>
    <row r="9029" spans="7:8" x14ac:dyDescent="0.3">
      <c r="G9029" s="75">
        <v>9026</v>
      </c>
      <c r="H9029">
        <f t="shared" ca="1" si="127"/>
        <v>5.745255820511057E-3</v>
      </c>
    </row>
    <row r="9030" spans="7:8" x14ac:dyDescent="0.3">
      <c r="G9030" s="75">
        <v>9027</v>
      </c>
      <c r="H9030">
        <f t="shared" ca="1" si="127"/>
        <v>7.3230806909514792E-3</v>
      </c>
    </row>
    <row r="9031" spans="7:8" x14ac:dyDescent="0.3">
      <c r="G9031" s="75">
        <v>9028</v>
      </c>
      <c r="H9031">
        <f t="shared" ca="1" si="127"/>
        <v>-2.7275989101293963E-2</v>
      </c>
    </row>
    <row r="9032" spans="7:8" x14ac:dyDescent="0.3">
      <c r="G9032" s="75">
        <v>9029</v>
      </c>
      <c r="H9032">
        <f t="shared" ca="1" si="127"/>
        <v>1.5327017941312302E-2</v>
      </c>
    </row>
    <row r="9033" spans="7:8" x14ac:dyDescent="0.3">
      <c r="G9033" s="75">
        <v>9030</v>
      </c>
      <c r="H9033">
        <f t="shared" ca="1" si="127"/>
        <v>-1.8010143888880677E-3</v>
      </c>
    </row>
    <row r="9034" spans="7:8" x14ac:dyDescent="0.3">
      <c r="G9034" s="75">
        <v>9031</v>
      </c>
      <c r="H9034">
        <f t="shared" ca="1" si="127"/>
        <v>-1.2008203215532641E-2</v>
      </c>
    </row>
    <row r="9035" spans="7:8" x14ac:dyDescent="0.3">
      <c r="G9035" s="75">
        <v>9032</v>
      </c>
      <c r="H9035">
        <f t="shared" ca="1" si="127"/>
        <v>6.7804323715224058E-4</v>
      </c>
    </row>
    <row r="9036" spans="7:8" x14ac:dyDescent="0.3">
      <c r="G9036" s="75">
        <v>9033</v>
      </c>
      <c r="H9036">
        <f t="shared" ca="1" si="127"/>
        <v>-4.8881933653464526E-3</v>
      </c>
    </row>
    <row r="9037" spans="7:8" x14ac:dyDescent="0.3">
      <c r="G9037" s="75">
        <v>9034</v>
      </c>
      <c r="H9037">
        <f t="shared" ca="1" si="127"/>
        <v>1.3441389990797501E-2</v>
      </c>
    </row>
    <row r="9038" spans="7:8" x14ac:dyDescent="0.3">
      <c r="G9038" s="75">
        <v>9035</v>
      </c>
      <c r="H9038">
        <f t="shared" ca="1" si="127"/>
        <v>-4.9229981503567328E-3</v>
      </c>
    </row>
    <row r="9039" spans="7:8" x14ac:dyDescent="0.3">
      <c r="G9039" s="75">
        <v>9036</v>
      </c>
      <c r="H9039">
        <f t="shared" ca="1" si="127"/>
        <v>2.2914337833597133E-3</v>
      </c>
    </row>
    <row r="9040" spans="7:8" x14ac:dyDescent="0.3">
      <c r="G9040" s="75">
        <v>9037</v>
      </c>
      <c r="H9040">
        <f t="shared" ca="1" si="127"/>
        <v>-2.1593196252133991E-4</v>
      </c>
    </row>
    <row r="9041" spans="7:8" x14ac:dyDescent="0.3">
      <c r="G9041" s="75">
        <v>9038</v>
      </c>
      <c r="H9041">
        <f t="shared" ca="1" si="127"/>
        <v>-7.8026172872552001E-3</v>
      </c>
    </row>
    <row r="9042" spans="7:8" x14ac:dyDescent="0.3">
      <c r="G9042" s="75">
        <v>9039</v>
      </c>
      <c r="H9042">
        <f t="shared" ca="1" si="127"/>
        <v>1.4213519775206106E-3</v>
      </c>
    </row>
    <row r="9043" spans="7:8" x14ac:dyDescent="0.3">
      <c r="G9043" s="75">
        <v>9040</v>
      </c>
      <c r="H9043">
        <f t="shared" ca="1" si="127"/>
        <v>3.9088480392369621E-3</v>
      </c>
    </row>
    <row r="9044" spans="7:8" x14ac:dyDescent="0.3">
      <c r="G9044" s="75">
        <v>9041</v>
      </c>
      <c r="H9044">
        <f t="shared" ca="1" si="127"/>
        <v>3.1325335248254451E-3</v>
      </c>
    </row>
    <row r="9045" spans="7:8" x14ac:dyDescent="0.3">
      <c r="G9045" s="75">
        <v>9042</v>
      </c>
      <c r="H9045">
        <f t="shared" ca="1" si="127"/>
        <v>-3.5146392946518723E-2</v>
      </c>
    </row>
    <row r="9046" spans="7:8" x14ac:dyDescent="0.3">
      <c r="G9046" s="75">
        <v>9043</v>
      </c>
      <c r="H9046">
        <f t="shared" ca="1" si="127"/>
        <v>-8.2741215053474971E-3</v>
      </c>
    </row>
    <row r="9047" spans="7:8" x14ac:dyDescent="0.3">
      <c r="G9047" s="75">
        <v>9044</v>
      </c>
      <c r="H9047">
        <f t="shared" ca="1" si="127"/>
        <v>1.0725784719899989E-2</v>
      </c>
    </row>
    <row r="9048" spans="7:8" x14ac:dyDescent="0.3">
      <c r="G9048" s="75">
        <v>9045</v>
      </c>
      <c r="H9048">
        <f t="shared" ca="1" si="127"/>
        <v>-5.4763448725387862E-3</v>
      </c>
    </row>
    <row r="9049" spans="7:8" x14ac:dyDescent="0.3">
      <c r="G9049" s="75">
        <v>9046</v>
      </c>
      <c r="H9049">
        <f t="shared" ca="1" si="127"/>
        <v>-6.25122786104976E-3</v>
      </c>
    </row>
    <row r="9050" spans="7:8" x14ac:dyDescent="0.3">
      <c r="G9050" s="75">
        <v>9047</v>
      </c>
      <c r="H9050">
        <f t="shared" ca="1" si="127"/>
        <v>-2.6691887029470791E-2</v>
      </c>
    </row>
    <row r="9051" spans="7:8" x14ac:dyDescent="0.3">
      <c r="G9051" s="75">
        <v>9048</v>
      </c>
      <c r="H9051">
        <f t="shared" ca="1" si="127"/>
        <v>4.9099258916794554E-4</v>
      </c>
    </row>
    <row r="9052" spans="7:8" x14ac:dyDescent="0.3">
      <c r="G9052" s="75">
        <v>9049</v>
      </c>
      <c r="H9052">
        <f t="shared" ca="1" si="127"/>
        <v>6.0329728452252901E-3</v>
      </c>
    </row>
    <row r="9053" spans="7:8" x14ac:dyDescent="0.3">
      <c r="G9053" s="75">
        <v>9050</v>
      </c>
      <c r="H9053">
        <f t="shared" ca="1" si="127"/>
        <v>-9.545083622737557E-3</v>
      </c>
    </row>
    <row r="9054" spans="7:8" x14ac:dyDescent="0.3">
      <c r="G9054" s="75">
        <v>9051</v>
      </c>
      <c r="H9054">
        <f t="shared" ca="1" si="127"/>
        <v>-9.3280353926497618E-3</v>
      </c>
    </row>
    <row r="9055" spans="7:8" x14ac:dyDescent="0.3">
      <c r="G9055" s="75">
        <v>9052</v>
      </c>
      <c r="H9055">
        <f t="shared" ca="1" si="127"/>
        <v>1.5103212743010462E-2</v>
      </c>
    </row>
    <row r="9056" spans="7:8" x14ac:dyDescent="0.3">
      <c r="G9056" s="75">
        <v>9053</v>
      </c>
      <c r="H9056">
        <f t="shared" ca="1" si="127"/>
        <v>9.7697483128763446E-3</v>
      </c>
    </row>
    <row r="9057" spans="7:8" x14ac:dyDescent="0.3">
      <c r="G9057" s="75">
        <v>9054</v>
      </c>
      <c r="H9057">
        <f t="shared" ca="1" si="127"/>
        <v>4.0370996648927768E-3</v>
      </c>
    </row>
    <row r="9058" spans="7:8" x14ac:dyDescent="0.3">
      <c r="G9058" s="75">
        <v>9055</v>
      </c>
      <c r="H9058">
        <f t="shared" ca="1" si="127"/>
        <v>5.4495545020749629E-3</v>
      </c>
    </row>
    <row r="9059" spans="7:8" x14ac:dyDescent="0.3">
      <c r="G9059" s="75">
        <v>9056</v>
      </c>
      <c r="H9059">
        <f t="shared" ca="1" si="127"/>
        <v>-5.948487170180294E-3</v>
      </c>
    </row>
    <row r="9060" spans="7:8" x14ac:dyDescent="0.3">
      <c r="G9060" s="75">
        <v>9057</v>
      </c>
      <c r="H9060">
        <f t="shared" ca="1" si="127"/>
        <v>-7.5166785012623308E-3</v>
      </c>
    </row>
    <row r="9061" spans="7:8" x14ac:dyDescent="0.3">
      <c r="G9061" s="75">
        <v>9058</v>
      </c>
      <c r="H9061">
        <f t="shared" ca="1" si="127"/>
        <v>4.086860907398552E-4</v>
      </c>
    </row>
    <row r="9062" spans="7:8" x14ac:dyDescent="0.3">
      <c r="G9062" s="75">
        <v>9059</v>
      </c>
      <c r="H9062">
        <f t="shared" ca="1" si="127"/>
        <v>-2.6341932301780272E-3</v>
      </c>
    </row>
    <row r="9063" spans="7:8" x14ac:dyDescent="0.3">
      <c r="G9063" s="75">
        <v>9060</v>
      </c>
      <c r="H9063">
        <f t="shared" ca="1" si="127"/>
        <v>2.2377213529729688E-3</v>
      </c>
    </row>
    <row r="9064" spans="7:8" x14ac:dyDescent="0.3">
      <c r="G9064" s="75">
        <v>9061</v>
      </c>
      <c r="H9064">
        <f t="shared" ca="1" si="127"/>
        <v>2.9608596552582581E-2</v>
      </c>
    </row>
    <row r="9065" spans="7:8" x14ac:dyDescent="0.3">
      <c r="G9065" s="75">
        <v>9062</v>
      </c>
      <c r="H9065">
        <f t="shared" ca="1" si="127"/>
        <v>1.6707207537299981E-2</v>
      </c>
    </row>
    <row r="9066" spans="7:8" x14ac:dyDescent="0.3">
      <c r="G9066" s="75">
        <v>9063</v>
      </c>
      <c r="H9066">
        <f t="shared" ca="1" si="127"/>
        <v>-2.6679221874973485E-3</v>
      </c>
    </row>
    <row r="9067" spans="7:8" x14ac:dyDescent="0.3">
      <c r="G9067" s="75">
        <v>9064</v>
      </c>
      <c r="H9067">
        <f t="shared" ca="1" si="127"/>
        <v>2.8399374046981719E-2</v>
      </c>
    </row>
    <row r="9068" spans="7:8" x14ac:dyDescent="0.3">
      <c r="G9068" s="75">
        <v>9065</v>
      </c>
      <c r="H9068">
        <f t="shared" ca="1" si="127"/>
        <v>9.4299999152544951E-3</v>
      </c>
    </row>
    <row r="9069" spans="7:8" x14ac:dyDescent="0.3">
      <c r="G9069" s="75">
        <v>9066</v>
      </c>
      <c r="H9069">
        <f t="shared" ca="1" si="127"/>
        <v>-8.7868694762973931E-3</v>
      </c>
    </row>
    <row r="9070" spans="7:8" x14ac:dyDescent="0.3">
      <c r="G9070" s="75">
        <v>9067</v>
      </c>
      <c r="H9070">
        <f t="shared" ca="1" si="127"/>
        <v>1.2326764915787554E-2</v>
      </c>
    </row>
    <row r="9071" spans="7:8" x14ac:dyDescent="0.3">
      <c r="G9071" s="75">
        <v>9068</v>
      </c>
      <c r="H9071">
        <f t="shared" ca="1" si="127"/>
        <v>9.0099059565141356E-4</v>
      </c>
    </row>
    <row r="9072" spans="7:8" x14ac:dyDescent="0.3">
      <c r="G9072" s="75">
        <v>9069</v>
      </c>
      <c r="H9072">
        <f t="shared" ca="1" si="127"/>
        <v>-1.1950999262636893E-3</v>
      </c>
    </row>
    <row r="9073" spans="7:8" x14ac:dyDescent="0.3">
      <c r="G9073" s="75">
        <v>9070</v>
      </c>
      <c r="H9073">
        <f t="shared" ca="1" si="127"/>
        <v>-1.4200509541495225E-2</v>
      </c>
    </row>
    <row r="9074" spans="7:8" x14ac:dyDescent="0.3">
      <c r="G9074" s="75">
        <v>9071</v>
      </c>
      <c r="H9074">
        <f t="shared" ca="1" si="127"/>
        <v>3.106225928209506E-3</v>
      </c>
    </row>
    <row r="9075" spans="7:8" x14ac:dyDescent="0.3">
      <c r="G9075" s="75">
        <v>9072</v>
      </c>
      <c r="H9075">
        <f t="shared" ca="1" si="127"/>
        <v>-1.1586852437163694E-2</v>
      </c>
    </row>
    <row r="9076" spans="7:8" x14ac:dyDescent="0.3">
      <c r="G9076" s="75">
        <v>9073</v>
      </c>
      <c r="H9076">
        <f t="shared" ca="1" si="127"/>
        <v>-3.5279556085469465E-3</v>
      </c>
    </row>
    <row r="9077" spans="7:8" x14ac:dyDescent="0.3">
      <c r="G9077" s="75">
        <v>9074</v>
      </c>
      <c r="H9077">
        <f t="shared" ca="1" si="127"/>
        <v>1.3005610351642553E-2</v>
      </c>
    </row>
    <row r="9078" spans="7:8" x14ac:dyDescent="0.3">
      <c r="G9078" s="75">
        <v>9075</v>
      </c>
      <c r="H9078">
        <f t="shared" ca="1" si="127"/>
        <v>2.7553662141682065E-2</v>
      </c>
    </row>
    <row r="9079" spans="7:8" x14ac:dyDescent="0.3">
      <c r="G9079" s="75">
        <v>9076</v>
      </c>
      <c r="H9079">
        <f t="shared" ca="1" si="127"/>
        <v>-1.3334582209876284E-2</v>
      </c>
    </row>
    <row r="9080" spans="7:8" x14ac:dyDescent="0.3">
      <c r="G9080" s="75">
        <v>9077</v>
      </c>
      <c r="H9080">
        <f t="shared" ca="1" si="127"/>
        <v>-1.8203970887120644E-2</v>
      </c>
    </row>
    <row r="9081" spans="7:8" x14ac:dyDescent="0.3">
      <c r="G9081" s="75">
        <v>9078</v>
      </c>
      <c r="H9081">
        <f t="shared" ca="1" si="127"/>
        <v>1.3367021877375882E-2</v>
      </c>
    </row>
    <row r="9082" spans="7:8" x14ac:dyDescent="0.3">
      <c r="G9082" s="75">
        <v>9079</v>
      </c>
      <c r="H9082">
        <f t="shared" ca="1" si="127"/>
        <v>2.5227720300662296E-2</v>
      </c>
    </row>
    <row r="9083" spans="7:8" x14ac:dyDescent="0.3">
      <c r="G9083" s="75">
        <v>9080</v>
      </c>
      <c r="H9083">
        <f t="shared" ca="1" si="127"/>
        <v>3.9292213767559989E-3</v>
      </c>
    </row>
    <row r="9084" spans="7:8" x14ac:dyDescent="0.3">
      <c r="G9084" s="75">
        <v>9081</v>
      </c>
      <c r="H9084">
        <f t="shared" ca="1" si="127"/>
        <v>-1.4363663978808502E-2</v>
      </c>
    </row>
    <row r="9085" spans="7:8" x14ac:dyDescent="0.3">
      <c r="G9085" s="75">
        <v>9082</v>
      </c>
      <c r="H9085">
        <f t="shared" ca="1" si="127"/>
        <v>8.2640385962895607E-3</v>
      </c>
    </row>
    <row r="9086" spans="7:8" x14ac:dyDescent="0.3">
      <c r="G9086" s="75">
        <v>9083</v>
      </c>
      <c r="H9086">
        <f t="shared" ca="1" si="127"/>
        <v>8.054248167294175E-3</v>
      </c>
    </row>
    <row r="9087" spans="7:8" x14ac:dyDescent="0.3">
      <c r="G9087" s="75">
        <v>9084</v>
      </c>
      <c r="H9087">
        <f t="shared" ca="1" si="127"/>
        <v>1.2070840780386042E-2</v>
      </c>
    </row>
    <row r="9088" spans="7:8" x14ac:dyDescent="0.3">
      <c r="G9088" s="75">
        <v>9085</v>
      </c>
      <c r="H9088">
        <f t="shared" ca="1" si="127"/>
        <v>-1.2997838484132173E-2</v>
      </c>
    </row>
    <row r="9089" spans="7:8" x14ac:dyDescent="0.3">
      <c r="G9089" s="75">
        <v>9086</v>
      </c>
      <c r="H9089">
        <f t="shared" ca="1" si="127"/>
        <v>9.7415740606818322E-3</v>
      </c>
    </row>
    <row r="9090" spans="7:8" x14ac:dyDescent="0.3">
      <c r="G9090" s="75">
        <v>9087</v>
      </c>
      <c r="H9090">
        <f t="shared" ref="H9090:H9153" ca="1" si="128">_xlfn.NORM.INV(RAND(),$N$4,$N$5)</f>
        <v>7.1508320417014307E-3</v>
      </c>
    </row>
    <row r="9091" spans="7:8" x14ac:dyDescent="0.3">
      <c r="G9091" s="75">
        <v>9088</v>
      </c>
      <c r="H9091">
        <f t="shared" ca="1" si="128"/>
        <v>1.1480154060885075E-3</v>
      </c>
    </row>
    <row r="9092" spans="7:8" x14ac:dyDescent="0.3">
      <c r="G9092" s="75">
        <v>9089</v>
      </c>
      <c r="H9092">
        <f t="shared" ca="1" si="128"/>
        <v>-8.0705250461004709E-3</v>
      </c>
    </row>
    <row r="9093" spans="7:8" x14ac:dyDescent="0.3">
      <c r="G9093" s="75">
        <v>9090</v>
      </c>
      <c r="H9093">
        <f t="shared" ca="1" si="128"/>
        <v>2.4735373579060746E-3</v>
      </c>
    </row>
    <row r="9094" spans="7:8" x14ac:dyDescent="0.3">
      <c r="G9094" s="75">
        <v>9091</v>
      </c>
      <c r="H9094">
        <f t="shared" ca="1" si="128"/>
        <v>1.4615029477348912E-2</v>
      </c>
    </row>
    <row r="9095" spans="7:8" x14ac:dyDescent="0.3">
      <c r="G9095" s="75">
        <v>9092</v>
      </c>
      <c r="H9095">
        <f t="shared" ca="1" si="128"/>
        <v>-1.4113926918643566E-2</v>
      </c>
    </row>
    <row r="9096" spans="7:8" x14ac:dyDescent="0.3">
      <c r="G9096" s="75">
        <v>9093</v>
      </c>
      <c r="H9096">
        <f t="shared" ca="1" si="128"/>
        <v>5.5155855953344388E-3</v>
      </c>
    </row>
    <row r="9097" spans="7:8" x14ac:dyDescent="0.3">
      <c r="G9097" s="75">
        <v>9094</v>
      </c>
      <c r="H9097">
        <f t="shared" ca="1" si="128"/>
        <v>2.5645107121782876E-2</v>
      </c>
    </row>
    <row r="9098" spans="7:8" x14ac:dyDescent="0.3">
      <c r="G9098" s="75">
        <v>9095</v>
      </c>
      <c r="H9098">
        <f t="shared" ca="1" si="128"/>
        <v>7.5163308777195705E-3</v>
      </c>
    </row>
    <row r="9099" spans="7:8" x14ac:dyDescent="0.3">
      <c r="G9099" s="75">
        <v>9096</v>
      </c>
      <c r="H9099">
        <f t="shared" ca="1" si="128"/>
        <v>1.115099883555885E-2</v>
      </c>
    </row>
    <row r="9100" spans="7:8" x14ac:dyDescent="0.3">
      <c r="G9100" s="75">
        <v>9097</v>
      </c>
      <c r="H9100">
        <f t="shared" ca="1" si="128"/>
        <v>9.1949731646464132E-3</v>
      </c>
    </row>
    <row r="9101" spans="7:8" x14ac:dyDescent="0.3">
      <c r="G9101" s="75">
        <v>9098</v>
      </c>
      <c r="H9101">
        <f t="shared" ca="1" si="128"/>
        <v>-6.1490897956300956E-3</v>
      </c>
    </row>
    <row r="9102" spans="7:8" x14ac:dyDescent="0.3">
      <c r="G9102" s="75">
        <v>9099</v>
      </c>
      <c r="H9102">
        <f t="shared" ca="1" si="128"/>
        <v>4.3476200922594951E-3</v>
      </c>
    </row>
    <row r="9103" spans="7:8" x14ac:dyDescent="0.3">
      <c r="G9103" s="75">
        <v>9100</v>
      </c>
      <c r="H9103">
        <f t="shared" ca="1" si="128"/>
        <v>3.1499781297433952E-3</v>
      </c>
    </row>
    <row r="9104" spans="7:8" x14ac:dyDescent="0.3">
      <c r="G9104" s="75">
        <v>9101</v>
      </c>
      <c r="H9104">
        <f t="shared" ca="1" si="128"/>
        <v>-3.1303133479356989E-3</v>
      </c>
    </row>
    <row r="9105" spans="7:8" x14ac:dyDescent="0.3">
      <c r="G9105" s="75">
        <v>9102</v>
      </c>
      <c r="H9105">
        <f t="shared" ca="1" si="128"/>
        <v>-1.4219263913965946E-4</v>
      </c>
    </row>
    <row r="9106" spans="7:8" x14ac:dyDescent="0.3">
      <c r="G9106" s="75">
        <v>9103</v>
      </c>
      <c r="H9106">
        <f t="shared" ca="1" si="128"/>
        <v>1.150522635319475E-2</v>
      </c>
    </row>
    <row r="9107" spans="7:8" x14ac:dyDescent="0.3">
      <c r="G9107" s="75">
        <v>9104</v>
      </c>
      <c r="H9107">
        <f t="shared" ca="1" si="128"/>
        <v>-7.0353986657582359E-3</v>
      </c>
    </row>
    <row r="9108" spans="7:8" x14ac:dyDescent="0.3">
      <c r="G9108" s="75">
        <v>9105</v>
      </c>
      <c r="H9108">
        <f t="shared" ca="1" si="128"/>
        <v>-2.0290445888789404E-2</v>
      </c>
    </row>
    <row r="9109" spans="7:8" x14ac:dyDescent="0.3">
      <c r="G9109" s="75">
        <v>9106</v>
      </c>
      <c r="H9109">
        <f t="shared" ca="1" si="128"/>
        <v>-4.3259308144369662E-3</v>
      </c>
    </row>
    <row r="9110" spans="7:8" x14ac:dyDescent="0.3">
      <c r="G9110" s="75">
        <v>9107</v>
      </c>
      <c r="H9110">
        <f t="shared" ca="1" si="128"/>
        <v>-1.161524795390209E-2</v>
      </c>
    </row>
    <row r="9111" spans="7:8" x14ac:dyDescent="0.3">
      <c r="G9111" s="75">
        <v>9108</v>
      </c>
      <c r="H9111">
        <f t="shared" ca="1" si="128"/>
        <v>-9.4268988450046476E-4</v>
      </c>
    </row>
    <row r="9112" spans="7:8" x14ac:dyDescent="0.3">
      <c r="G9112" s="75">
        <v>9109</v>
      </c>
      <c r="H9112">
        <f t="shared" ca="1" si="128"/>
        <v>3.0973053883473992E-3</v>
      </c>
    </row>
    <row r="9113" spans="7:8" x14ac:dyDescent="0.3">
      <c r="G9113" s="75">
        <v>9110</v>
      </c>
      <c r="H9113">
        <f t="shared" ca="1" si="128"/>
        <v>-7.6723481963462126E-3</v>
      </c>
    </row>
    <row r="9114" spans="7:8" x14ac:dyDescent="0.3">
      <c r="G9114" s="75">
        <v>9111</v>
      </c>
      <c r="H9114">
        <f t="shared" ca="1" si="128"/>
        <v>1.3209254709556762E-2</v>
      </c>
    </row>
    <row r="9115" spans="7:8" x14ac:dyDescent="0.3">
      <c r="G9115" s="75">
        <v>9112</v>
      </c>
      <c r="H9115">
        <f t="shared" ca="1" si="128"/>
        <v>3.286890440102463E-4</v>
      </c>
    </row>
    <row r="9116" spans="7:8" x14ac:dyDescent="0.3">
      <c r="G9116" s="75">
        <v>9113</v>
      </c>
      <c r="H9116">
        <f t="shared" ca="1" si="128"/>
        <v>-8.1685724861996895E-4</v>
      </c>
    </row>
    <row r="9117" spans="7:8" x14ac:dyDescent="0.3">
      <c r="G9117" s="75">
        <v>9114</v>
      </c>
      <c r="H9117">
        <f t="shared" ca="1" si="128"/>
        <v>2.9407230500272082E-3</v>
      </c>
    </row>
    <row r="9118" spans="7:8" x14ac:dyDescent="0.3">
      <c r="G9118" s="75">
        <v>9115</v>
      </c>
      <c r="H9118">
        <f t="shared" ca="1" si="128"/>
        <v>2.8230627212713088E-2</v>
      </c>
    </row>
    <row r="9119" spans="7:8" x14ac:dyDescent="0.3">
      <c r="G9119" s="75">
        <v>9116</v>
      </c>
      <c r="H9119">
        <f t="shared" ca="1" si="128"/>
        <v>2.6812332233350677E-2</v>
      </c>
    </row>
    <row r="9120" spans="7:8" x14ac:dyDescent="0.3">
      <c r="G9120" s="75">
        <v>9117</v>
      </c>
      <c r="H9120">
        <f t="shared" ca="1" si="128"/>
        <v>4.5771099093177168E-3</v>
      </c>
    </row>
    <row r="9121" spans="7:8" x14ac:dyDescent="0.3">
      <c r="G9121" s="75">
        <v>9118</v>
      </c>
      <c r="H9121">
        <f t="shared" ca="1" si="128"/>
        <v>3.4293344004034366E-3</v>
      </c>
    </row>
    <row r="9122" spans="7:8" x14ac:dyDescent="0.3">
      <c r="G9122" s="75">
        <v>9119</v>
      </c>
      <c r="H9122">
        <f t="shared" ca="1" si="128"/>
        <v>-5.0713666238892969E-3</v>
      </c>
    </row>
    <row r="9123" spans="7:8" x14ac:dyDescent="0.3">
      <c r="G9123" s="75">
        <v>9120</v>
      </c>
      <c r="H9123">
        <f t="shared" ca="1" si="128"/>
        <v>1.3314551839509739E-2</v>
      </c>
    </row>
    <row r="9124" spans="7:8" x14ac:dyDescent="0.3">
      <c r="G9124" s="75">
        <v>9121</v>
      </c>
      <c r="H9124">
        <f t="shared" ca="1" si="128"/>
        <v>2.8264224465328032E-3</v>
      </c>
    </row>
    <row r="9125" spans="7:8" x14ac:dyDescent="0.3">
      <c r="G9125" s="75">
        <v>9122</v>
      </c>
      <c r="H9125">
        <f t="shared" ca="1" si="128"/>
        <v>1.5723627365032806E-3</v>
      </c>
    </row>
    <row r="9126" spans="7:8" x14ac:dyDescent="0.3">
      <c r="G9126" s="75">
        <v>9123</v>
      </c>
      <c r="H9126">
        <f t="shared" ca="1" si="128"/>
        <v>-2.0508297365844932E-3</v>
      </c>
    </row>
    <row r="9127" spans="7:8" x14ac:dyDescent="0.3">
      <c r="G9127" s="75">
        <v>9124</v>
      </c>
      <c r="H9127">
        <f t="shared" ca="1" si="128"/>
        <v>-9.7107340844358962E-3</v>
      </c>
    </row>
    <row r="9128" spans="7:8" x14ac:dyDescent="0.3">
      <c r="G9128" s="75">
        <v>9125</v>
      </c>
      <c r="H9128">
        <f t="shared" ca="1" si="128"/>
        <v>-1.5486157131307467E-2</v>
      </c>
    </row>
    <row r="9129" spans="7:8" x14ac:dyDescent="0.3">
      <c r="G9129" s="75">
        <v>9126</v>
      </c>
      <c r="H9129">
        <f t="shared" ca="1" si="128"/>
        <v>2.0488805796885421E-2</v>
      </c>
    </row>
    <row r="9130" spans="7:8" x14ac:dyDescent="0.3">
      <c r="G9130" s="75">
        <v>9127</v>
      </c>
      <c r="H9130">
        <f t="shared" ca="1" si="128"/>
        <v>9.7375740791095615E-3</v>
      </c>
    </row>
    <row r="9131" spans="7:8" x14ac:dyDescent="0.3">
      <c r="G9131" s="75">
        <v>9128</v>
      </c>
      <c r="H9131">
        <f t="shared" ca="1" si="128"/>
        <v>-1.2512204543268547E-3</v>
      </c>
    </row>
    <row r="9132" spans="7:8" x14ac:dyDescent="0.3">
      <c r="G9132" s="75">
        <v>9129</v>
      </c>
      <c r="H9132">
        <f t="shared" ca="1" si="128"/>
        <v>5.3350067010009749E-3</v>
      </c>
    </row>
    <row r="9133" spans="7:8" x14ac:dyDescent="0.3">
      <c r="G9133" s="75">
        <v>9130</v>
      </c>
      <c r="H9133">
        <f t="shared" ca="1" si="128"/>
        <v>-7.4225221053979551E-3</v>
      </c>
    </row>
    <row r="9134" spans="7:8" x14ac:dyDescent="0.3">
      <c r="G9134" s="75">
        <v>9131</v>
      </c>
      <c r="H9134">
        <f t="shared" ca="1" si="128"/>
        <v>2.7356901364103698E-2</v>
      </c>
    </row>
    <row r="9135" spans="7:8" x14ac:dyDescent="0.3">
      <c r="G9135" s="75">
        <v>9132</v>
      </c>
      <c r="H9135">
        <f t="shared" ca="1" si="128"/>
        <v>1.5115822558560303E-2</v>
      </c>
    </row>
    <row r="9136" spans="7:8" x14ac:dyDescent="0.3">
      <c r="G9136" s="75">
        <v>9133</v>
      </c>
      <c r="H9136">
        <f t="shared" ca="1" si="128"/>
        <v>-8.2359869465790745E-3</v>
      </c>
    </row>
    <row r="9137" spans="7:8" x14ac:dyDescent="0.3">
      <c r="G9137" s="75">
        <v>9134</v>
      </c>
      <c r="H9137">
        <f t="shared" ca="1" si="128"/>
        <v>2.9127247656085794E-3</v>
      </c>
    </row>
    <row r="9138" spans="7:8" x14ac:dyDescent="0.3">
      <c r="G9138" s="75">
        <v>9135</v>
      </c>
      <c r="H9138">
        <f t="shared" ca="1" si="128"/>
        <v>2.0396144686002653E-3</v>
      </c>
    </row>
    <row r="9139" spans="7:8" x14ac:dyDescent="0.3">
      <c r="G9139" s="75">
        <v>9136</v>
      </c>
      <c r="H9139">
        <f t="shared" ca="1" si="128"/>
        <v>-9.246418644218329E-3</v>
      </c>
    </row>
    <row r="9140" spans="7:8" x14ac:dyDescent="0.3">
      <c r="G9140" s="75">
        <v>9137</v>
      </c>
      <c r="H9140">
        <f t="shared" ca="1" si="128"/>
        <v>-1.0040918669363968E-2</v>
      </c>
    </row>
    <row r="9141" spans="7:8" x14ac:dyDescent="0.3">
      <c r="G9141" s="75">
        <v>9138</v>
      </c>
      <c r="H9141">
        <f t="shared" ca="1" si="128"/>
        <v>6.863043426270597E-3</v>
      </c>
    </row>
    <row r="9142" spans="7:8" x14ac:dyDescent="0.3">
      <c r="G9142" s="75">
        <v>9139</v>
      </c>
      <c r="H9142">
        <f t="shared" ca="1" si="128"/>
        <v>-3.6089669488875084E-2</v>
      </c>
    </row>
    <row r="9143" spans="7:8" x14ac:dyDescent="0.3">
      <c r="G9143" s="75">
        <v>9140</v>
      </c>
      <c r="H9143">
        <f t="shared" ca="1" si="128"/>
        <v>1.0367084402357661E-2</v>
      </c>
    </row>
    <row r="9144" spans="7:8" x14ac:dyDescent="0.3">
      <c r="G9144" s="75">
        <v>9141</v>
      </c>
      <c r="H9144">
        <f t="shared" ca="1" si="128"/>
        <v>3.7689946321014826E-3</v>
      </c>
    </row>
    <row r="9145" spans="7:8" x14ac:dyDescent="0.3">
      <c r="G9145" s="75">
        <v>9142</v>
      </c>
      <c r="H9145">
        <f t="shared" ca="1" si="128"/>
        <v>-1.1737004536882855E-2</v>
      </c>
    </row>
    <row r="9146" spans="7:8" x14ac:dyDescent="0.3">
      <c r="G9146" s="75">
        <v>9143</v>
      </c>
      <c r="H9146">
        <f t="shared" ca="1" si="128"/>
        <v>3.6632186193067594E-2</v>
      </c>
    </row>
    <row r="9147" spans="7:8" x14ac:dyDescent="0.3">
      <c r="G9147" s="75">
        <v>9144</v>
      </c>
      <c r="H9147">
        <f t="shared" ca="1" si="128"/>
        <v>6.2452113254457646E-3</v>
      </c>
    </row>
    <row r="9148" spans="7:8" x14ac:dyDescent="0.3">
      <c r="G9148" s="75">
        <v>9145</v>
      </c>
      <c r="H9148">
        <f t="shared" ca="1" si="128"/>
        <v>-1.973301962213057E-2</v>
      </c>
    </row>
    <row r="9149" spans="7:8" x14ac:dyDescent="0.3">
      <c r="G9149" s="75">
        <v>9146</v>
      </c>
      <c r="H9149">
        <f t="shared" ca="1" si="128"/>
        <v>-1.046033084201679E-2</v>
      </c>
    </row>
    <row r="9150" spans="7:8" x14ac:dyDescent="0.3">
      <c r="G9150" s="75">
        <v>9147</v>
      </c>
      <c r="H9150">
        <f t="shared" ca="1" si="128"/>
        <v>-1.8277807276224731E-2</v>
      </c>
    </row>
    <row r="9151" spans="7:8" x14ac:dyDescent="0.3">
      <c r="G9151" s="75">
        <v>9148</v>
      </c>
      <c r="H9151">
        <f t="shared" ca="1" si="128"/>
        <v>8.3657531048093522E-3</v>
      </c>
    </row>
    <row r="9152" spans="7:8" x14ac:dyDescent="0.3">
      <c r="G9152" s="75">
        <v>9149</v>
      </c>
      <c r="H9152">
        <f t="shared" ca="1" si="128"/>
        <v>1.3608414360077398E-2</v>
      </c>
    </row>
    <row r="9153" spans="7:8" x14ac:dyDescent="0.3">
      <c r="G9153" s="75">
        <v>9150</v>
      </c>
      <c r="H9153">
        <f t="shared" ca="1" si="128"/>
        <v>-1.5885256802836054E-3</v>
      </c>
    </row>
    <row r="9154" spans="7:8" x14ac:dyDescent="0.3">
      <c r="G9154" s="75">
        <v>9151</v>
      </c>
      <c r="H9154">
        <f t="shared" ref="H9154:H9217" ca="1" si="129">_xlfn.NORM.INV(RAND(),$N$4,$N$5)</f>
        <v>2.355066235031382E-2</v>
      </c>
    </row>
    <row r="9155" spans="7:8" x14ac:dyDescent="0.3">
      <c r="G9155" s="75">
        <v>9152</v>
      </c>
      <c r="H9155">
        <f t="shared" ca="1" si="129"/>
        <v>-5.5647750211171591E-4</v>
      </c>
    </row>
    <row r="9156" spans="7:8" x14ac:dyDescent="0.3">
      <c r="G9156" s="75">
        <v>9153</v>
      </c>
      <c r="H9156">
        <f t="shared" ca="1" si="129"/>
        <v>-3.6809331699733496E-3</v>
      </c>
    </row>
    <row r="9157" spans="7:8" x14ac:dyDescent="0.3">
      <c r="G9157" s="75">
        <v>9154</v>
      </c>
      <c r="H9157">
        <f t="shared" ca="1" si="129"/>
        <v>2.1971843902719866E-3</v>
      </c>
    </row>
    <row r="9158" spans="7:8" x14ac:dyDescent="0.3">
      <c r="G9158" s="75">
        <v>9155</v>
      </c>
      <c r="H9158">
        <f t="shared" ca="1" si="129"/>
        <v>-1.1013379527584641E-2</v>
      </c>
    </row>
    <row r="9159" spans="7:8" x14ac:dyDescent="0.3">
      <c r="G9159" s="75">
        <v>9156</v>
      </c>
      <c r="H9159">
        <f t="shared" ca="1" si="129"/>
        <v>7.6610013290479327E-3</v>
      </c>
    </row>
    <row r="9160" spans="7:8" x14ac:dyDescent="0.3">
      <c r="G9160" s="75">
        <v>9157</v>
      </c>
      <c r="H9160">
        <f t="shared" ca="1" si="129"/>
        <v>-9.3554400350223579E-3</v>
      </c>
    </row>
    <row r="9161" spans="7:8" x14ac:dyDescent="0.3">
      <c r="G9161" s="75">
        <v>9158</v>
      </c>
      <c r="H9161">
        <f t="shared" ca="1" si="129"/>
        <v>-8.8815644292836986E-3</v>
      </c>
    </row>
    <row r="9162" spans="7:8" x14ac:dyDescent="0.3">
      <c r="G9162" s="75">
        <v>9159</v>
      </c>
      <c r="H9162">
        <f t="shared" ca="1" si="129"/>
        <v>-3.7334433269832767E-3</v>
      </c>
    </row>
    <row r="9163" spans="7:8" x14ac:dyDescent="0.3">
      <c r="G9163" s="75">
        <v>9160</v>
      </c>
      <c r="H9163">
        <f t="shared" ca="1" si="129"/>
        <v>4.339683095692849E-3</v>
      </c>
    </row>
    <row r="9164" spans="7:8" x14ac:dyDescent="0.3">
      <c r="G9164" s="75">
        <v>9161</v>
      </c>
      <c r="H9164">
        <f t="shared" ca="1" si="129"/>
        <v>2.4893484894359624E-3</v>
      </c>
    </row>
    <row r="9165" spans="7:8" x14ac:dyDescent="0.3">
      <c r="G9165" s="75">
        <v>9162</v>
      </c>
      <c r="H9165">
        <f t="shared" ca="1" si="129"/>
        <v>1.3472025859997711E-2</v>
      </c>
    </row>
    <row r="9166" spans="7:8" x14ac:dyDescent="0.3">
      <c r="G9166" s="75">
        <v>9163</v>
      </c>
      <c r="H9166">
        <f t="shared" ca="1" si="129"/>
        <v>-4.0597611863502836E-3</v>
      </c>
    </row>
    <row r="9167" spans="7:8" x14ac:dyDescent="0.3">
      <c r="G9167" s="75">
        <v>9164</v>
      </c>
      <c r="H9167">
        <f t="shared" ca="1" si="129"/>
        <v>2.2283106073401082E-3</v>
      </c>
    </row>
    <row r="9168" spans="7:8" x14ac:dyDescent="0.3">
      <c r="G9168" s="75">
        <v>9165</v>
      </c>
      <c r="H9168">
        <f t="shared" ca="1" si="129"/>
        <v>-1.0038668247296177E-2</v>
      </c>
    </row>
    <row r="9169" spans="7:8" x14ac:dyDescent="0.3">
      <c r="G9169" s="75">
        <v>9166</v>
      </c>
      <c r="H9169">
        <f t="shared" ca="1" si="129"/>
        <v>1.5273875552784042E-2</v>
      </c>
    </row>
    <row r="9170" spans="7:8" x14ac:dyDescent="0.3">
      <c r="G9170" s="75">
        <v>9167</v>
      </c>
      <c r="H9170">
        <f t="shared" ca="1" si="129"/>
        <v>-1.6401727550642956E-2</v>
      </c>
    </row>
    <row r="9171" spans="7:8" x14ac:dyDescent="0.3">
      <c r="G9171" s="75">
        <v>9168</v>
      </c>
      <c r="H9171">
        <f t="shared" ca="1" si="129"/>
        <v>1.9871090884586037E-2</v>
      </c>
    </row>
    <row r="9172" spans="7:8" x14ac:dyDescent="0.3">
      <c r="G9172" s="75">
        <v>9169</v>
      </c>
      <c r="H9172">
        <f t="shared" ca="1" si="129"/>
        <v>-8.1013058375802409E-3</v>
      </c>
    </row>
    <row r="9173" spans="7:8" x14ac:dyDescent="0.3">
      <c r="G9173" s="75">
        <v>9170</v>
      </c>
      <c r="H9173">
        <f t="shared" ca="1" si="129"/>
        <v>2.1802901399476726E-2</v>
      </c>
    </row>
    <row r="9174" spans="7:8" x14ac:dyDescent="0.3">
      <c r="G9174" s="75">
        <v>9171</v>
      </c>
      <c r="H9174">
        <f t="shared" ca="1" si="129"/>
        <v>8.8460675173169167E-5</v>
      </c>
    </row>
    <row r="9175" spans="7:8" x14ac:dyDescent="0.3">
      <c r="G9175" s="75">
        <v>9172</v>
      </c>
      <c r="H9175">
        <f t="shared" ca="1" si="129"/>
        <v>-6.6797363029448998E-4</v>
      </c>
    </row>
    <row r="9176" spans="7:8" x14ac:dyDescent="0.3">
      <c r="G9176" s="75">
        <v>9173</v>
      </c>
      <c r="H9176">
        <f t="shared" ca="1" si="129"/>
        <v>1.3850554068427228E-2</v>
      </c>
    </row>
    <row r="9177" spans="7:8" x14ac:dyDescent="0.3">
      <c r="G9177" s="75">
        <v>9174</v>
      </c>
      <c r="H9177">
        <f t="shared" ca="1" si="129"/>
        <v>5.7058748085282128E-2</v>
      </c>
    </row>
    <row r="9178" spans="7:8" x14ac:dyDescent="0.3">
      <c r="G9178" s="75">
        <v>9175</v>
      </c>
      <c r="H9178">
        <f t="shared" ca="1" si="129"/>
        <v>-1.0000456549274268E-2</v>
      </c>
    </row>
    <row r="9179" spans="7:8" x14ac:dyDescent="0.3">
      <c r="G9179" s="75">
        <v>9176</v>
      </c>
      <c r="H9179">
        <f t="shared" ca="1" si="129"/>
        <v>-1.4153240335542813E-2</v>
      </c>
    </row>
    <row r="9180" spans="7:8" x14ac:dyDescent="0.3">
      <c r="G9180" s="75">
        <v>9177</v>
      </c>
      <c r="H9180">
        <f t="shared" ca="1" si="129"/>
        <v>3.9519090379343284E-3</v>
      </c>
    </row>
    <row r="9181" spans="7:8" x14ac:dyDescent="0.3">
      <c r="G9181" s="75">
        <v>9178</v>
      </c>
      <c r="H9181">
        <f t="shared" ca="1" si="129"/>
        <v>-4.0361579186326858E-3</v>
      </c>
    </row>
    <row r="9182" spans="7:8" x14ac:dyDescent="0.3">
      <c r="G9182" s="75">
        <v>9179</v>
      </c>
      <c r="H9182">
        <f t="shared" ca="1" si="129"/>
        <v>7.1724034981513448E-3</v>
      </c>
    </row>
    <row r="9183" spans="7:8" x14ac:dyDescent="0.3">
      <c r="G9183" s="75">
        <v>9180</v>
      </c>
      <c r="H9183">
        <f t="shared" ca="1" si="129"/>
        <v>-2.2842523748784313E-3</v>
      </c>
    </row>
    <row r="9184" spans="7:8" x14ac:dyDescent="0.3">
      <c r="G9184" s="75">
        <v>9181</v>
      </c>
      <c r="H9184">
        <f t="shared" ca="1" si="129"/>
        <v>-1.3605838764315981E-3</v>
      </c>
    </row>
    <row r="9185" spans="7:8" x14ac:dyDescent="0.3">
      <c r="G9185" s="75">
        <v>9182</v>
      </c>
      <c r="H9185">
        <f t="shared" ca="1" si="129"/>
        <v>3.8841901002562305E-4</v>
      </c>
    </row>
    <row r="9186" spans="7:8" x14ac:dyDescent="0.3">
      <c r="G9186" s="75">
        <v>9183</v>
      </c>
      <c r="H9186">
        <f t="shared" ca="1" si="129"/>
        <v>2.1817019428719731E-3</v>
      </c>
    </row>
    <row r="9187" spans="7:8" x14ac:dyDescent="0.3">
      <c r="G9187" s="75">
        <v>9184</v>
      </c>
      <c r="H9187">
        <f t="shared" ca="1" si="129"/>
        <v>-1.5603992261778337E-2</v>
      </c>
    </row>
    <row r="9188" spans="7:8" x14ac:dyDescent="0.3">
      <c r="G9188" s="75">
        <v>9185</v>
      </c>
      <c r="H9188">
        <f t="shared" ca="1" si="129"/>
        <v>2.4603410546891816E-2</v>
      </c>
    </row>
    <row r="9189" spans="7:8" x14ac:dyDescent="0.3">
      <c r="G9189" s="75">
        <v>9186</v>
      </c>
      <c r="H9189">
        <f t="shared" ca="1" si="129"/>
        <v>4.550864241474965E-3</v>
      </c>
    </row>
    <row r="9190" spans="7:8" x14ac:dyDescent="0.3">
      <c r="G9190" s="75">
        <v>9187</v>
      </c>
      <c r="H9190">
        <f t="shared" ca="1" si="129"/>
        <v>1.042850562181909E-2</v>
      </c>
    </row>
    <row r="9191" spans="7:8" x14ac:dyDescent="0.3">
      <c r="G9191" s="75">
        <v>9188</v>
      </c>
      <c r="H9191">
        <f t="shared" ca="1" si="129"/>
        <v>1.189664902048135E-2</v>
      </c>
    </row>
    <row r="9192" spans="7:8" x14ac:dyDescent="0.3">
      <c r="G9192" s="75">
        <v>9189</v>
      </c>
      <c r="H9192">
        <f t="shared" ca="1" si="129"/>
        <v>-2.5986359629562579E-3</v>
      </c>
    </row>
    <row r="9193" spans="7:8" x14ac:dyDescent="0.3">
      <c r="G9193" s="75">
        <v>9190</v>
      </c>
      <c r="H9193">
        <f t="shared" ca="1" si="129"/>
        <v>3.6973046170535617E-3</v>
      </c>
    </row>
    <row r="9194" spans="7:8" x14ac:dyDescent="0.3">
      <c r="G9194" s="75">
        <v>9191</v>
      </c>
      <c r="H9194">
        <f t="shared" ca="1" si="129"/>
        <v>2.7052276073147607E-3</v>
      </c>
    </row>
    <row r="9195" spans="7:8" x14ac:dyDescent="0.3">
      <c r="G9195" s="75">
        <v>9192</v>
      </c>
      <c r="H9195">
        <f t="shared" ca="1" si="129"/>
        <v>8.0150897869449463E-3</v>
      </c>
    </row>
    <row r="9196" spans="7:8" x14ac:dyDescent="0.3">
      <c r="G9196" s="75">
        <v>9193</v>
      </c>
      <c r="H9196">
        <f t="shared" ca="1" si="129"/>
        <v>1.7229548111846661E-2</v>
      </c>
    </row>
    <row r="9197" spans="7:8" x14ac:dyDescent="0.3">
      <c r="G9197" s="75">
        <v>9194</v>
      </c>
      <c r="H9197">
        <f t="shared" ca="1" si="129"/>
        <v>4.5472842607979798E-2</v>
      </c>
    </row>
    <row r="9198" spans="7:8" x14ac:dyDescent="0.3">
      <c r="G9198" s="75">
        <v>9195</v>
      </c>
      <c r="H9198">
        <f t="shared" ca="1" si="129"/>
        <v>-1.0269588240873777E-2</v>
      </c>
    </row>
    <row r="9199" spans="7:8" x14ac:dyDescent="0.3">
      <c r="G9199" s="75">
        <v>9196</v>
      </c>
      <c r="H9199">
        <f t="shared" ca="1" si="129"/>
        <v>-1.318159859673358E-2</v>
      </c>
    </row>
    <row r="9200" spans="7:8" x14ac:dyDescent="0.3">
      <c r="G9200" s="75">
        <v>9197</v>
      </c>
      <c r="H9200">
        <f t="shared" ca="1" si="129"/>
        <v>-2.2363419607837598E-4</v>
      </c>
    </row>
    <row r="9201" spans="7:8" x14ac:dyDescent="0.3">
      <c r="G9201" s="75">
        <v>9198</v>
      </c>
      <c r="H9201">
        <f t="shared" ca="1" si="129"/>
        <v>-7.0290115790627222E-3</v>
      </c>
    </row>
    <row r="9202" spans="7:8" x14ac:dyDescent="0.3">
      <c r="G9202" s="75">
        <v>9199</v>
      </c>
      <c r="H9202">
        <f t="shared" ca="1" si="129"/>
        <v>1.8742355718146187E-2</v>
      </c>
    </row>
    <row r="9203" spans="7:8" x14ac:dyDescent="0.3">
      <c r="G9203" s="75">
        <v>9200</v>
      </c>
      <c r="H9203">
        <f t="shared" ca="1" si="129"/>
        <v>1.7030487562968016E-2</v>
      </c>
    </row>
    <row r="9204" spans="7:8" x14ac:dyDescent="0.3">
      <c r="G9204" s="75">
        <v>9201</v>
      </c>
      <c r="H9204">
        <f t="shared" ca="1" si="129"/>
        <v>6.1937197709385251E-3</v>
      </c>
    </row>
    <row r="9205" spans="7:8" x14ac:dyDescent="0.3">
      <c r="G9205" s="75">
        <v>9202</v>
      </c>
      <c r="H9205">
        <f t="shared" ca="1" si="129"/>
        <v>5.6484850834085986E-3</v>
      </c>
    </row>
    <row r="9206" spans="7:8" x14ac:dyDescent="0.3">
      <c r="G9206" s="75">
        <v>9203</v>
      </c>
      <c r="H9206">
        <f t="shared" ca="1" si="129"/>
        <v>-2.6894460551173487E-2</v>
      </c>
    </row>
    <row r="9207" spans="7:8" x14ac:dyDescent="0.3">
      <c r="G9207" s="75">
        <v>9204</v>
      </c>
      <c r="H9207">
        <f t="shared" ca="1" si="129"/>
        <v>-2.2719814192481872E-2</v>
      </c>
    </row>
    <row r="9208" spans="7:8" x14ac:dyDescent="0.3">
      <c r="G9208" s="75">
        <v>9205</v>
      </c>
      <c r="H9208">
        <f t="shared" ca="1" si="129"/>
        <v>-3.7937118050130681E-4</v>
      </c>
    </row>
    <row r="9209" spans="7:8" x14ac:dyDescent="0.3">
      <c r="G9209" s="75">
        <v>9206</v>
      </c>
      <c r="H9209">
        <f t="shared" ca="1" si="129"/>
        <v>8.1673247716412701E-3</v>
      </c>
    </row>
    <row r="9210" spans="7:8" x14ac:dyDescent="0.3">
      <c r="G9210" s="75">
        <v>9207</v>
      </c>
      <c r="H9210">
        <f t="shared" ca="1" si="129"/>
        <v>-6.6363993552515186E-3</v>
      </c>
    </row>
    <row r="9211" spans="7:8" x14ac:dyDescent="0.3">
      <c r="G9211" s="75">
        <v>9208</v>
      </c>
      <c r="H9211">
        <f t="shared" ca="1" si="129"/>
        <v>-1.103787128198975E-2</v>
      </c>
    </row>
    <row r="9212" spans="7:8" x14ac:dyDescent="0.3">
      <c r="G9212" s="75">
        <v>9209</v>
      </c>
      <c r="H9212">
        <f t="shared" ca="1" si="129"/>
        <v>-1.2386817347076712E-2</v>
      </c>
    </row>
    <row r="9213" spans="7:8" x14ac:dyDescent="0.3">
      <c r="G9213" s="75">
        <v>9210</v>
      </c>
      <c r="H9213">
        <f t="shared" ca="1" si="129"/>
        <v>-4.2048920898346241E-3</v>
      </c>
    </row>
    <row r="9214" spans="7:8" x14ac:dyDescent="0.3">
      <c r="G9214" s="75">
        <v>9211</v>
      </c>
      <c r="H9214">
        <f t="shared" ca="1" si="129"/>
        <v>-1.4315154917306913E-2</v>
      </c>
    </row>
    <row r="9215" spans="7:8" x14ac:dyDescent="0.3">
      <c r="G9215" s="75">
        <v>9212</v>
      </c>
      <c r="H9215">
        <f t="shared" ca="1" si="129"/>
        <v>-7.6363643031305724E-3</v>
      </c>
    </row>
    <row r="9216" spans="7:8" x14ac:dyDescent="0.3">
      <c r="G9216" s="75">
        <v>9213</v>
      </c>
      <c r="H9216">
        <f t="shared" ca="1" si="129"/>
        <v>-1.3081880817861073E-2</v>
      </c>
    </row>
    <row r="9217" spans="7:8" x14ac:dyDescent="0.3">
      <c r="G9217" s="75">
        <v>9214</v>
      </c>
      <c r="H9217">
        <f t="shared" ca="1" si="129"/>
        <v>1.847223048218339E-2</v>
      </c>
    </row>
    <row r="9218" spans="7:8" x14ac:dyDescent="0.3">
      <c r="G9218" s="75">
        <v>9215</v>
      </c>
      <c r="H9218">
        <f t="shared" ref="H9218:H9281" ca="1" si="130">_xlfn.NORM.INV(RAND(),$N$4,$N$5)</f>
        <v>3.5329644438536971E-2</v>
      </c>
    </row>
    <row r="9219" spans="7:8" x14ac:dyDescent="0.3">
      <c r="G9219" s="75">
        <v>9216</v>
      </c>
      <c r="H9219">
        <f t="shared" ca="1" si="130"/>
        <v>-8.7450799341157875E-3</v>
      </c>
    </row>
    <row r="9220" spans="7:8" x14ac:dyDescent="0.3">
      <c r="G9220" s="75">
        <v>9217</v>
      </c>
      <c r="H9220">
        <f t="shared" ca="1" si="130"/>
        <v>1.2872575859969312E-2</v>
      </c>
    </row>
    <row r="9221" spans="7:8" x14ac:dyDescent="0.3">
      <c r="G9221" s="75">
        <v>9218</v>
      </c>
      <c r="H9221">
        <f t="shared" ca="1" si="130"/>
        <v>8.7098923800385444E-3</v>
      </c>
    </row>
    <row r="9222" spans="7:8" x14ac:dyDescent="0.3">
      <c r="G9222" s="75">
        <v>9219</v>
      </c>
      <c r="H9222">
        <f t="shared" ca="1" si="130"/>
        <v>-8.9534528189416391E-3</v>
      </c>
    </row>
    <row r="9223" spans="7:8" x14ac:dyDescent="0.3">
      <c r="G9223" s="75">
        <v>9220</v>
      </c>
      <c r="H9223">
        <f t="shared" ca="1" si="130"/>
        <v>-3.9442380446143904E-3</v>
      </c>
    </row>
    <row r="9224" spans="7:8" x14ac:dyDescent="0.3">
      <c r="G9224" s="75">
        <v>9221</v>
      </c>
      <c r="H9224">
        <f t="shared" ca="1" si="130"/>
        <v>1.1178475136254359E-2</v>
      </c>
    </row>
    <row r="9225" spans="7:8" x14ac:dyDescent="0.3">
      <c r="G9225" s="75">
        <v>9222</v>
      </c>
      <c r="H9225">
        <f t="shared" ca="1" si="130"/>
        <v>-1.1255215329447756E-2</v>
      </c>
    </row>
    <row r="9226" spans="7:8" x14ac:dyDescent="0.3">
      <c r="G9226" s="75">
        <v>9223</v>
      </c>
      <c r="H9226">
        <f t="shared" ca="1" si="130"/>
        <v>3.3211523619386354E-2</v>
      </c>
    </row>
    <row r="9227" spans="7:8" x14ac:dyDescent="0.3">
      <c r="G9227" s="75">
        <v>9224</v>
      </c>
      <c r="H9227">
        <f t="shared" ca="1" si="130"/>
        <v>9.5418900576870781E-3</v>
      </c>
    </row>
    <row r="9228" spans="7:8" x14ac:dyDescent="0.3">
      <c r="G9228" s="75">
        <v>9225</v>
      </c>
      <c r="H9228">
        <f t="shared" ca="1" si="130"/>
        <v>1.2378631699131734E-3</v>
      </c>
    </row>
    <row r="9229" spans="7:8" x14ac:dyDescent="0.3">
      <c r="G9229" s="75">
        <v>9226</v>
      </c>
      <c r="H9229">
        <f t="shared" ca="1" si="130"/>
        <v>1.6724349532686905E-3</v>
      </c>
    </row>
    <row r="9230" spans="7:8" x14ac:dyDescent="0.3">
      <c r="G9230" s="75">
        <v>9227</v>
      </c>
      <c r="H9230">
        <f t="shared" ca="1" si="130"/>
        <v>-1.0584394229849151E-2</v>
      </c>
    </row>
    <row r="9231" spans="7:8" x14ac:dyDescent="0.3">
      <c r="G9231" s="75">
        <v>9228</v>
      </c>
      <c r="H9231">
        <f t="shared" ca="1" si="130"/>
        <v>2.2417216771487055E-2</v>
      </c>
    </row>
    <row r="9232" spans="7:8" x14ac:dyDescent="0.3">
      <c r="G9232" s="75">
        <v>9229</v>
      </c>
      <c r="H9232">
        <f t="shared" ca="1" si="130"/>
        <v>1.4196791028385052E-2</v>
      </c>
    </row>
    <row r="9233" spans="7:8" x14ac:dyDescent="0.3">
      <c r="G9233" s="75">
        <v>9230</v>
      </c>
      <c r="H9233">
        <f t="shared" ca="1" si="130"/>
        <v>-8.5897657920199692E-5</v>
      </c>
    </row>
    <row r="9234" spans="7:8" x14ac:dyDescent="0.3">
      <c r="G9234" s="75">
        <v>9231</v>
      </c>
      <c r="H9234">
        <f t="shared" ca="1" si="130"/>
        <v>4.843443282325922E-4</v>
      </c>
    </row>
    <row r="9235" spans="7:8" x14ac:dyDescent="0.3">
      <c r="G9235" s="75">
        <v>9232</v>
      </c>
      <c r="H9235">
        <f t="shared" ca="1" si="130"/>
        <v>1.0350729743508912E-2</v>
      </c>
    </row>
    <row r="9236" spans="7:8" x14ac:dyDescent="0.3">
      <c r="G9236" s="75">
        <v>9233</v>
      </c>
      <c r="H9236">
        <f t="shared" ca="1" si="130"/>
        <v>-6.28260595291316E-3</v>
      </c>
    </row>
    <row r="9237" spans="7:8" x14ac:dyDescent="0.3">
      <c r="G9237" s="75">
        <v>9234</v>
      </c>
      <c r="H9237">
        <f t="shared" ca="1" si="130"/>
        <v>1.7096927259078617E-3</v>
      </c>
    </row>
    <row r="9238" spans="7:8" x14ac:dyDescent="0.3">
      <c r="G9238" s="75">
        <v>9235</v>
      </c>
      <c r="H9238">
        <f t="shared" ca="1" si="130"/>
        <v>-1.503567857582745E-2</v>
      </c>
    </row>
    <row r="9239" spans="7:8" x14ac:dyDescent="0.3">
      <c r="G9239" s="75">
        <v>9236</v>
      </c>
      <c r="H9239">
        <f t="shared" ca="1" si="130"/>
        <v>4.7249129173796214E-3</v>
      </c>
    </row>
    <row r="9240" spans="7:8" x14ac:dyDescent="0.3">
      <c r="G9240" s="75">
        <v>9237</v>
      </c>
      <c r="H9240">
        <f t="shared" ca="1" si="130"/>
        <v>8.2416894351357572E-3</v>
      </c>
    </row>
    <row r="9241" spans="7:8" x14ac:dyDescent="0.3">
      <c r="G9241" s="75">
        <v>9238</v>
      </c>
      <c r="H9241">
        <f t="shared" ca="1" si="130"/>
        <v>1.618124859983049E-3</v>
      </c>
    </row>
    <row r="9242" spans="7:8" x14ac:dyDescent="0.3">
      <c r="G9242" s="75">
        <v>9239</v>
      </c>
      <c r="H9242">
        <f t="shared" ca="1" si="130"/>
        <v>-5.0935300081472049E-3</v>
      </c>
    </row>
    <row r="9243" spans="7:8" x14ac:dyDescent="0.3">
      <c r="G9243" s="75">
        <v>9240</v>
      </c>
      <c r="H9243">
        <f t="shared" ca="1" si="130"/>
        <v>7.6332196711151202E-3</v>
      </c>
    </row>
    <row r="9244" spans="7:8" x14ac:dyDescent="0.3">
      <c r="G9244" s="75">
        <v>9241</v>
      </c>
      <c r="H9244">
        <f t="shared" ca="1" si="130"/>
        <v>2.7428602676909868E-2</v>
      </c>
    </row>
    <row r="9245" spans="7:8" x14ac:dyDescent="0.3">
      <c r="G9245" s="75">
        <v>9242</v>
      </c>
      <c r="H9245">
        <f t="shared" ca="1" si="130"/>
        <v>-1.1164275468612985E-2</v>
      </c>
    </row>
    <row r="9246" spans="7:8" x14ac:dyDescent="0.3">
      <c r="G9246" s="75">
        <v>9243</v>
      </c>
      <c r="H9246">
        <f t="shared" ca="1" si="130"/>
        <v>-2.6661777193977046E-3</v>
      </c>
    </row>
    <row r="9247" spans="7:8" x14ac:dyDescent="0.3">
      <c r="G9247" s="75">
        <v>9244</v>
      </c>
      <c r="H9247">
        <f t="shared" ca="1" si="130"/>
        <v>-1.7498259442116509E-2</v>
      </c>
    </row>
    <row r="9248" spans="7:8" x14ac:dyDescent="0.3">
      <c r="G9248" s="75">
        <v>9245</v>
      </c>
      <c r="H9248">
        <f t="shared" ca="1" si="130"/>
        <v>1.2968990937885661E-2</v>
      </c>
    </row>
    <row r="9249" spans="7:8" x14ac:dyDescent="0.3">
      <c r="G9249" s="75">
        <v>9246</v>
      </c>
      <c r="H9249">
        <f t="shared" ca="1" si="130"/>
        <v>1.8552895903150408E-3</v>
      </c>
    </row>
    <row r="9250" spans="7:8" x14ac:dyDescent="0.3">
      <c r="G9250" s="75">
        <v>9247</v>
      </c>
      <c r="H9250">
        <f t="shared" ca="1" si="130"/>
        <v>1.3764544864700034E-2</v>
      </c>
    </row>
    <row r="9251" spans="7:8" x14ac:dyDescent="0.3">
      <c r="G9251" s="75">
        <v>9248</v>
      </c>
      <c r="H9251">
        <f t="shared" ca="1" si="130"/>
        <v>-2.0322522212328588E-2</v>
      </c>
    </row>
    <row r="9252" spans="7:8" x14ac:dyDescent="0.3">
      <c r="G9252" s="75">
        <v>9249</v>
      </c>
      <c r="H9252">
        <f t="shared" ca="1" si="130"/>
        <v>-1.1257130777137485E-2</v>
      </c>
    </row>
    <row r="9253" spans="7:8" x14ac:dyDescent="0.3">
      <c r="G9253" s="75">
        <v>9250</v>
      </c>
      <c r="H9253">
        <f t="shared" ca="1" si="130"/>
        <v>-1.9487890680737967E-2</v>
      </c>
    </row>
    <row r="9254" spans="7:8" x14ac:dyDescent="0.3">
      <c r="G9254" s="75">
        <v>9251</v>
      </c>
      <c r="H9254">
        <f t="shared" ca="1" si="130"/>
        <v>-1.1355380832469406E-2</v>
      </c>
    </row>
    <row r="9255" spans="7:8" x14ac:dyDescent="0.3">
      <c r="G9255" s="75">
        <v>9252</v>
      </c>
      <c r="H9255">
        <f t="shared" ca="1" si="130"/>
        <v>-3.1669612959852342E-4</v>
      </c>
    </row>
    <row r="9256" spans="7:8" x14ac:dyDescent="0.3">
      <c r="G9256" s="75">
        <v>9253</v>
      </c>
      <c r="H9256">
        <f t="shared" ca="1" si="130"/>
        <v>-4.7664830957858751E-3</v>
      </c>
    </row>
    <row r="9257" spans="7:8" x14ac:dyDescent="0.3">
      <c r="G9257" s="75">
        <v>9254</v>
      </c>
      <c r="H9257">
        <f t="shared" ca="1" si="130"/>
        <v>-1.7603373040585922E-2</v>
      </c>
    </row>
    <row r="9258" spans="7:8" x14ac:dyDescent="0.3">
      <c r="G9258" s="75">
        <v>9255</v>
      </c>
      <c r="H9258">
        <f t="shared" ca="1" si="130"/>
        <v>1.098873716004088E-2</v>
      </c>
    </row>
    <row r="9259" spans="7:8" x14ac:dyDescent="0.3">
      <c r="G9259" s="75">
        <v>9256</v>
      </c>
      <c r="H9259">
        <f t="shared" ca="1" si="130"/>
        <v>1.0645822185814589E-2</v>
      </c>
    </row>
    <row r="9260" spans="7:8" x14ac:dyDescent="0.3">
      <c r="G9260" s="75">
        <v>9257</v>
      </c>
      <c r="H9260">
        <f t="shared" ca="1" si="130"/>
        <v>-8.5870927181999266E-4</v>
      </c>
    </row>
    <row r="9261" spans="7:8" x14ac:dyDescent="0.3">
      <c r="G9261" s="75">
        <v>9258</v>
      </c>
      <c r="H9261">
        <f t="shared" ca="1" si="130"/>
        <v>-1.5894223772078688E-2</v>
      </c>
    </row>
    <row r="9262" spans="7:8" x14ac:dyDescent="0.3">
      <c r="G9262" s="75">
        <v>9259</v>
      </c>
      <c r="H9262">
        <f t="shared" ca="1" si="130"/>
        <v>1.568205269465175E-3</v>
      </c>
    </row>
    <row r="9263" spans="7:8" x14ac:dyDescent="0.3">
      <c r="G9263" s="75">
        <v>9260</v>
      </c>
      <c r="H9263">
        <f t="shared" ca="1" si="130"/>
        <v>2.6815087905316683E-3</v>
      </c>
    </row>
    <row r="9264" spans="7:8" x14ac:dyDescent="0.3">
      <c r="G9264" s="75">
        <v>9261</v>
      </c>
      <c r="H9264">
        <f t="shared" ca="1" si="130"/>
        <v>1.4177108875970811E-2</v>
      </c>
    </row>
    <row r="9265" spans="7:8" x14ac:dyDescent="0.3">
      <c r="G9265" s="75">
        <v>9262</v>
      </c>
      <c r="H9265">
        <f t="shared" ca="1" si="130"/>
        <v>2.7709614776102797E-2</v>
      </c>
    </row>
    <row r="9266" spans="7:8" x14ac:dyDescent="0.3">
      <c r="G9266" s="75">
        <v>9263</v>
      </c>
      <c r="H9266">
        <f t="shared" ca="1" si="130"/>
        <v>-1.3595446277321158E-2</v>
      </c>
    </row>
    <row r="9267" spans="7:8" x14ac:dyDescent="0.3">
      <c r="G9267" s="75">
        <v>9264</v>
      </c>
      <c r="H9267">
        <f t="shared" ca="1" si="130"/>
        <v>-1.0754604119584808E-2</v>
      </c>
    </row>
    <row r="9268" spans="7:8" x14ac:dyDescent="0.3">
      <c r="G9268" s="75">
        <v>9265</v>
      </c>
      <c r="H9268">
        <f t="shared" ca="1" si="130"/>
        <v>-8.3430775884896582E-4</v>
      </c>
    </row>
    <row r="9269" spans="7:8" x14ac:dyDescent="0.3">
      <c r="G9269" s="75">
        <v>9266</v>
      </c>
      <c r="H9269">
        <f t="shared" ca="1" si="130"/>
        <v>-4.9602218740967211E-3</v>
      </c>
    </row>
    <row r="9270" spans="7:8" x14ac:dyDescent="0.3">
      <c r="G9270" s="75">
        <v>9267</v>
      </c>
      <c r="H9270">
        <f t="shared" ca="1" si="130"/>
        <v>-1.1515499970772905E-2</v>
      </c>
    </row>
    <row r="9271" spans="7:8" x14ac:dyDescent="0.3">
      <c r="G9271" s="75">
        <v>9268</v>
      </c>
      <c r="H9271">
        <f t="shared" ca="1" si="130"/>
        <v>8.0494103154070233E-3</v>
      </c>
    </row>
    <row r="9272" spans="7:8" x14ac:dyDescent="0.3">
      <c r="G9272" s="75">
        <v>9269</v>
      </c>
      <c r="H9272">
        <f t="shared" ca="1" si="130"/>
        <v>1.2002057687699576E-2</v>
      </c>
    </row>
    <row r="9273" spans="7:8" x14ac:dyDescent="0.3">
      <c r="G9273" s="75">
        <v>9270</v>
      </c>
      <c r="H9273">
        <f t="shared" ca="1" si="130"/>
        <v>-1.1729475677559668E-2</v>
      </c>
    </row>
    <row r="9274" spans="7:8" x14ac:dyDescent="0.3">
      <c r="G9274" s="75">
        <v>9271</v>
      </c>
      <c r="H9274">
        <f t="shared" ca="1" si="130"/>
        <v>-1.4836195798914339E-2</v>
      </c>
    </row>
    <row r="9275" spans="7:8" x14ac:dyDescent="0.3">
      <c r="G9275" s="75">
        <v>9272</v>
      </c>
      <c r="H9275">
        <f t="shared" ca="1" si="130"/>
        <v>6.551909888909334E-3</v>
      </c>
    </row>
    <row r="9276" spans="7:8" x14ac:dyDescent="0.3">
      <c r="G9276" s="75">
        <v>9273</v>
      </c>
      <c r="H9276">
        <f t="shared" ca="1" si="130"/>
        <v>6.5349959801960823E-3</v>
      </c>
    </row>
    <row r="9277" spans="7:8" x14ac:dyDescent="0.3">
      <c r="G9277" s="75">
        <v>9274</v>
      </c>
      <c r="H9277">
        <f t="shared" ca="1" si="130"/>
        <v>1.9895492515416661E-2</v>
      </c>
    </row>
    <row r="9278" spans="7:8" x14ac:dyDescent="0.3">
      <c r="G9278" s="75">
        <v>9275</v>
      </c>
      <c r="H9278">
        <f t="shared" ca="1" si="130"/>
        <v>1.2424608717414114E-2</v>
      </c>
    </row>
    <row r="9279" spans="7:8" x14ac:dyDescent="0.3">
      <c r="G9279" s="75">
        <v>9276</v>
      </c>
      <c r="H9279">
        <f t="shared" ca="1" si="130"/>
        <v>-1.0670594163612258E-2</v>
      </c>
    </row>
    <row r="9280" spans="7:8" x14ac:dyDescent="0.3">
      <c r="G9280" s="75">
        <v>9277</v>
      </c>
      <c r="H9280">
        <f t="shared" ca="1" si="130"/>
        <v>6.1471993769125098E-3</v>
      </c>
    </row>
    <row r="9281" spans="7:8" x14ac:dyDescent="0.3">
      <c r="G9281" s="75">
        <v>9278</v>
      </c>
      <c r="H9281">
        <f t="shared" ca="1" si="130"/>
        <v>1.4416108313384501E-2</v>
      </c>
    </row>
    <row r="9282" spans="7:8" x14ac:dyDescent="0.3">
      <c r="G9282" s="75">
        <v>9279</v>
      </c>
      <c r="H9282">
        <f t="shared" ref="H9282:H9345" ca="1" si="131">_xlfn.NORM.INV(RAND(),$N$4,$N$5)</f>
        <v>1.2228420287954745E-2</v>
      </c>
    </row>
    <row r="9283" spans="7:8" x14ac:dyDescent="0.3">
      <c r="G9283" s="75">
        <v>9280</v>
      </c>
      <c r="H9283">
        <f t="shared" ca="1" si="131"/>
        <v>-9.1862408988897856E-3</v>
      </c>
    </row>
    <row r="9284" spans="7:8" x14ac:dyDescent="0.3">
      <c r="G9284" s="75">
        <v>9281</v>
      </c>
      <c r="H9284">
        <f t="shared" ca="1" si="131"/>
        <v>6.4641660288468602E-3</v>
      </c>
    </row>
    <row r="9285" spans="7:8" x14ac:dyDescent="0.3">
      <c r="G9285" s="75">
        <v>9282</v>
      </c>
      <c r="H9285">
        <f t="shared" ca="1" si="131"/>
        <v>-1.3976009045733467E-2</v>
      </c>
    </row>
    <row r="9286" spans="7:8" x14ac:dyDescent="0.3">
      <c r="G9286" s="75">
        <v>9283</v>
      </c>
      <c r="H9286">
        <f t="shared" ca="1" si="131"/>
        <v>-5.6468877677580452E-3</v>
      </c>
    </row>
    <row r="9287" spans="7:8" x14ac:dyDescent="0.3">
      <c r="G9287" s="75">
        <v>9284</v>
      </c>
      <c r="H9287">
        <f t="shared" ca="1" si="131"/>
        <v>-2.3756852293073581E-2</v>
      </c>
    </row>
    <row r="9288" spans="7:8" x14ac:dyDescent="0.3">
      <c r="G9288" s="75">
        <v>9285</v>
      </c>
      <c r="H9288">
        <f t="shared" ca="1" si="131"/>
        <v>-1.4943736133577021E-3</v>
      </c>
    </row>
    <row r="9289" spans="7:8" x14ac:dyDescent="0.3">
      <c r="G9289" s="75">
        <v>9286</v>
      </c>
      <c r="H9289">
        <f t="shared" ca="1" si="131"/>
        <v>1.0562432605728918E-2</v>
      </c>
    </row>
    <row r="9290" spans="7:8" x14ac:dyDescent="0.3">
      <c r="G9290" s="75">
        <v>9287</v>
      </c>
      <c r="H9290">
        <f t="shared" ca="1" si="131"/>
        <v>-3.1301785224807964E-3</v>
      </c>
    </row>
    <row r="9291" spans="7:8" x14ac:dyDescent="0.3">
      <c r="G9291" s="75">
        <v>9288</v>
      </c>
      <c r="H9291">
        <f t="shared" ca="1" si="131"/>
        <v>-6.2094077495792651E-3</v>
      </c>
    </row>
    <row r="9292" spans="7:8" x14ac:dyDescent="0.3">
      <c r="G9292" s="75">
        <v>9289</v>
      </c>
      <c r="H9292">
        <f t="shared" ca="1" si="131"/>
        <v>-1.1178222633532464E-2</v>
      </c>
    </row>
    <row r="9293" spans="7:8" x14ac:dyDescent="0.3">
      <c r="G9293" s="75">
        <v>9290</v>
      </c>
      <c r="H9293">
        <f t="shared" ca="1" si="131"/>
        <v>-1.8289700567988391E-2</v>
      </c>
    </row>
    <row r="9294" spans="7:8" x14ac:dyDescent="0.3">
      <c r="G9294" s="75">
        <v>9291</v>
      </c>
      <c r="H9294">
        <f t="shared" ca="1" si="131"/>
        <v>-1.4238574528332229E-2</v>
      </c>
    </row>
    <row r="9295" spans="7:8" x14ac:dyDescent="0.3">
      <c r="G9295" s="75">
        <v>9292</v>
      </c>
      <c r="H9295">
        <f t="shared" ca="1" si="131"/>
        <v>-4.6714782438391032E-3</v>
      </c>
    </row>
    <row r="9296" spans="7:8" x14ac:dyDescent="0.3">
      <c r="G9296" s="75">
        <v>9293</v>
      </c>
      <c r="H9296">
        <f t="shared" ca="1" si="131"/>
        <v>1.4190370692326674E-2</v>
      </c>
    </row>
    <row r="9297" spans="7:8" x14ac:dyDescent="0.3">
      <c r="G9297" s="75">
        <v>9294</v>
      </c>
      <c r="H9297">
        <f t="shared" ca="1" si="131"/>
        <v>1.2557181691696418E-2</v>
      </c>
    </row>
    <row r="9298" spans="7:8" x14ac:dyDescent="0.3">
      <c r="G9298" s="75">
        <v>9295</v>
      </c>
      <c r="H9298">
        <f t="shared" ca="1" si="131"/>
        <v>-5.244171591141886E-3</v>
      </c>
    </row>
    <row r="9299" spans="7:8" x14ac:dyDescent="0.3">
      <c r="G9299" s="75">
        <v>9296</v>
      </c>
      <c r="H9299">
        <f t="shared" ca="1" si="131"/>
        <v>1.0132248996365686E-2</v>
      </c>
    </row>
    <row r="9300" spans="7:8" x14ac:dyDescent="0.3">
      <c r="G9300" s="75">
        <v>9297</v>
      </c>
      <c r="H9300">
        <f t="shared" ca="1" si="131"/>
        <v>-2.7408456832745563E-3</v>
      </c>
    </row>
    <row r="9301" spans="7:8" x14ac:dyDescent="0.3">
      <c r="G9301" s="75">
        <v>9298</v>
      </c>
      <c r="H9301">
        <f t="shared" ca="1" si="131"/>
        <v>2.6684454216039832E-2</v>
      </c>
    </row>
    <row r="9302" spans="7:8" x14ac:dyDescent="0.3">
      <c r="G9302" s="75">
        <v>9299</v>
      </c>
      <c r="H9302">
        <f t="shared" ca="1" si="131"/>
        <v>2.0296683547860298E-2</v>
      </c>
    </row>
    <row r="9303" spans="7:8" x14ac:dyDescent="0.3">
      <c r="G9303" s="75">
        <v>9300</v>
      </c>
      <c r="H9303">
        <f t="shared" ca="1" si="131"/>
        <v>2.4231347027050314E-2</v>
      </c>
    </row>
    <row r="9304" spans="7:8" x14ac:dyDescent="0.3">
      <c r="G9304" s="75">
        <v>9301</v>
      </c>
      <c r="H9304">
        <f t="shared" ca="1" si="131"/>
        <v>4.9386553451074742E-5</v>
      </c>
    </row>
    <row r="9305" spans="7:8" x14ac:dyDescent="0.3">
      <c r="G9305" s="75">
        <v>9302</v>
      </c>
      <c r="H9305">
        <f t="shared" ca="1" si="131"/>
        <v>4.4756867005786198E-3</v>
      </c>
    </row>
    <row r="9306" spans="7:8" x14ac:dyDescent="0.3">
      <c r="G9306" s="75">
        <v>9303</v>
      </c>
      <c r="H9306">
        <f t="shared" ca="1" si="131"/>
        <v>1.2774380213521218E-2</v>
      </c>
    </row>
    <row r="9307" spans="7:8" x14ac:dyDescent="0.3">
      <c r="G9307" s="75">
        <v>9304</v>
      </c>
      <c r="H9307">
        <f t="shared" ca="1" si="131"/>
        <v>-5.3047797473867835E-3</v>
      </c>
    </row>
    <row r="9308" spans="7:8" x14ac:dyDescent="0.3">
      <c r="G9308" s="75">
        <v>9305</v>
      </c>
      <c r="H9308">
        <f t="shared" ca="1" si="131"/>
        <v>2.8831236070931692E-3</v>
      </c>
    </row>
    <row r="9309" spans="7:8" x14ac:dyDescent="0.3">
      <c r="G9309" s="75">
        <v>9306</v>
      </c>
      <c r="H9309">
        <f t="shared" ca="1" si="131"/>
        <v>-5.5463889223087382E-3</v>
      </c>
    </row>
    <row r="9310" spans="7:8" x14ac:dyDescent="0.3">
      <c r="G9310" s="75">
        <v>9307</v>
      </c>
      <c r="H9310">
        <f t="shared" ca="1" si="131"/>
        <v>-1.2473938596961337E-2</v>
      </c>
    </row>
    <row r="9311" spans="7:8" x14ac:dyDescent="0.3">
      <c r="G9311" s="75">
        <v>9308</v>
      </c>
      <c r="H9311">
        <f t="shared" ca="1" si="131"/>
        <v>-1.441112630036866E-2</v>
      </c>
    </row>
    <row r="9312" spans="7:8" x14ac:dyDescent="0.3">
      <c r="G9312" s="75">
        <v>9309</v>
      </c>
      <c r="H9312">
        <f t="shared" ca="1" si="131"/>
        <v>1.8454439655453042E-2</v>
      </c>
    </row>
    <row r="9313" spans="7:8" x14ac:dyDescent="0.3">
      <c r="G9313" s="75">
        <v>9310</v>
      </c>
      <c r="H9313">
        <f t="shared" ca="1" si="131"/>
        <v>3.2679436645587892E-3</v>
      </c>
    </row>
    <row r="9314" spans="7:8" x14ac:dyDescent="0.3">
      <c r="G9314" s="75">
        <v>9311</v>
      </c>
      <c r="H9314">
        <f t="shared" ca="1" si="131"/>
        <v>2.2783194699508937E-2</v>
      </c>
    </row>
    <row r="9315" spans="7:8" x14ac:dyDescent="0.3">
      <c r="G9315" s="75">
        <v>9312</v>
      </c>
      <c r="H9315">
        <f t="shared" ca="1" si="131"/>
        <v>2.0011462156546297E-2</v>
      </c>
    </row>
    <row r="9316" spans="7:8" x14ac:dyDescent="0.3">
      <c r="G9316" s="75">
        <v>9313</v>
      </c>
      <c r="H9316">
        <f t="shared" ca="1" si="131"/>
        <v>6.5433626220850315E-3</v>
      </c>
    </row>
    <row r="9317" spans="7:8" x14ac:dyDescent="0.3">
      <c r="G9317" s="75">
        <v>9314</v>
      </c>
      <c r="H9317">
        <f t="shared" ca="1" si="131"/>
        <v>1.0961642223609031E-2</v>
      </c>
    </row>
    <row r="9318" spans="7:8" x14ac:dyDescent="0.3">
      <c r="G9318" s="75">
        <v>9315</v>
      </c>
      <c r="H9318">
        <f t="shared" ca="1" si="131"/>
        <v>-4.5334519492526478E-3</v>
      </c>
    </row>
    <row r="9319" spans="7:8" x14ac:dyDescent="0.3">
      <c r="G9319" s="75">
        <v>9316</v>
      </c>
      <c r="H9319">
        <f t="shared" ca="1" si="131"/>
        <v>1.6220775483394931E-2</v>
      </c>
    </row>
    <row r="9320" spans="7:8" x14ac:dyDescent="0.3">
      <c r="G9320" s="75">
        <v>9317</v>
      </c>
      <c r="H9320">
        <f t="shared" ca="1" si="131"/>
        <v>1.1318429053532985E-2</v>
      </c>
    </row>
    <row r="9321" spans="7:8" x14ac:dyDescent="0.3">
      <c r="G9321" s="75">
        <v>9318</v>
      </c>
      <c r="H9321">
        <f t="shared" ca="1" si="131"/>
        <v>-2.2572109514823954E-2</v>
      </c>
    </row>
    <row r="9322" spans="7:8" x14ac:dyDescent="0.3">
      <c r="G9322" s="75">
        <v>9319</v>
      </c>
      <c r="H9322">
        <f t="shared" ca="1" si="131"/>
        <v>-1.1315715477842523E-2</v>
      </c>
    </row>
    <row r="9323" spans="7:8" x14ac:dyDescent="0.3">
      <c r="G9323" s="75">
        <v>9320</v>
      </c>
      <c r="H9323">
        <f t="shared" ca="1" si="131"/>
        <v>8.3044601221550877E-3</v>
      </c>
    </row>
    <row r="9324" spans="7:8" x14ac:dyDescent="0.3">
      <c r="G9324" s="75">
        <v>9321</v>
      </c>
      <c r="H9324">
        <f t="shared" ca="1" si="131"/>
        <v>-3.260153723409813E-3</v>
      </c>
    </row>
    <row r="9325" spans="7:8" x14ac:dyDescent="0.3">
      <c r="G9325" s="75">
        <v>9322</v>
      </c>
      <c r="H9325">
        <f t="shared" ca="1" si="131"/>
        <v>2.5362325523743895E-4</v>
      </c>
    </row>
    <row r="9326" spans="7:8" x14ac:dyDescent="0.3">
      <c r="G9326" s="75">
        <v>9323</v>
      </c>
      <c r="H9326">
        <f t="shared" ca="1" si="131"/>
        <v>-7.2925209216142539E-3</v>
      </c>
    </row>
    <row r="9327" spans="7:8" x14ac:dyDescent="0.3">
      <c r="G9327" s="75">
        <v>9324</v>
      </c>
      <c r="H9327">
        <f t="shared" ca="1" si="131"/>
        <v>9.8639790608071355E-3</v>
      </c>
    </row>
    <row r="9328" spans="7:8" x14ac:dyDescent="0.3">
      <c r="G9328" s="75">
        <v>9325</v>
      </c>
      <c r="H9328">
        <f t="shared" ca="1" si="131"/>
        <v>1.0004907191409802E-3</v>
      </c>
    </row>
    <row r="9329" spans="7:8" x14ac:dyDescent="0.3">
      <c r="G9329" s="75">
        <v>9326</v>
      </c>
      <c r="H9329">
        <f t="shared" ca="1" si="131"/>
        <v>2.2540342161487217E-2</v>
      </c>
    </row>
    <row r="9330" spans="7:8" x14ac:dyDescent="0.3">
      <c r="G9330" s="75">
        <v>9327</v>
      </c>
      <c r="H9330">
        <f t="shared" ca="1" si="131"/>
        <v>2.9729346548433336E-3</v>
      </c>
    </row>
    <row r="9331" spans="7:8" x14ac:dyDescent="0.3">
      <c r="G9331" s="75">
        <v>9328</v>
      </c>
      <c r="H9331">
        <f t="shared" ca="1" si="131"/>
        <v>1.1403483943545095E-2</v>
      </c>
    </row>
    <row r="9332" spans="7:8" x14ac:dyDescent="0.3">
      <c r="G9332" s="75">
        <v>9329</v>
      </c>
      <c r="H9332">
        <f t="shared" ca="1" si="131"/>
        <v>-2.3009159619701656E-3</v>
      </c>
    </row>
    <row r="9333" spans="7:8" x14ac:dyDescent="0.3">
      <c r="G9333" s="75">
        <v>9330</v>
      </c>
      <c r="H9333">
        <f t="shared" ca="1" si="131"/>
        <v>-9.1338036865960953E-3</v>
      </c>
    </row>
    <row r="9334" spans="7:8" x14ac:dyDescent="0.3">
      <c r="G9334" s="75">
        <v>9331</v>
      </c>
      <c r="H9334">
        <f t="shared" ca="1" si="131"/>
        <v>1.4688765859503124E-2</v>
      </c>
    </row>
    <row r="9335" spans="7:8" x14ac:dyDescent="0.3">
      <c r="G9335" s="75">
        <v>9332</v>
      </c>
      <c r="H9335">
        <f t="shared" ca="1" si="131"/>
        <v>-1.2571440540218226E-2</v>
      </c>
    </row>
    <row r="9336" spans="7:8" x14ac:dyDescent="0.3">
      <c r="G9336" s="75">
        <v>9333</v>
      </c>
      <c r="H9336">
        <f t="shared" ca="1" si="131"/>
        <v>4.286413347556456E-3</v>
      </c>
    </row>
    <row r="9337" spans="7:8" x14ac:dyDescent="0.3">
      <c r="G9337" s="75">
        <v>9334</v>
      </c>
      <c r="H9337">
        <f t="shared" ca="1" si="131"/>
        <v>7.9935606071848391E-3</v>
      </c>
    </row>
    <row r="9338" spans="7:8" x14ac:dyDescent="0.3">
      <c r="G9338" s="75">
        <v>9335</v>
      </c>
      <c r="H9338">
        <f t="shared" ca="1" si="131"/>
        <v>7.7002156676461821E-3</v>
      </c>
    </row>
    <row r="9339" spans="7:8" x14ac:dyDescent="0.3">
      <c r="G9339" s="75">
        <v>9336</v>
      </c>
      <c r="H9339">
        <f t="shared" ca="1" si="131"/>
        <v>1.3512510985338172E-2</v>
      </c>
    </row>
    <row r="9340" spans="7:8" x14ac:dyDescent="0.3">
      <c r="G9340" s="75">
        <v>9337</v>
      </c>
      <c r="H9340">
        <f t="shared" ca="1" si="131"/>
        <v>-1.0228173300131753E-2</v>
      </c>
    </row>
    <row r="9341" spans="7:8" x14ac:dyDescent="0.3">
      <c r="G9341" s="75">
        <v>9338</v>
      </c>
      <c r="H9341">
        <f t="shared" ca="1" si="131"/>
        <v>1.3593167451471143E-3</v>
      </c>
    </row>
    <row r="9342" spans="7:8" x14ac:dyDescent="0.3">
      <c r="G9342" s="75">
        <v>9339</v>
      </c>
      <c r="H9342">
        <f t="shared" ca="1" si="131"/>
        <v>-3.6877124669969742E-3</v>
      </c>
    </row>
    <row r="9343" spans="7:8" x14ac:dyDescent="0.3">
      <c r="G9343" s="75">
        <v>9340</v>
      </c>
      <c r="H9343">
        <f t="shared" ca="1" si="131"/>
        <v>-7.627566317934747E-4</v>
      </c>
    </row>
    <row r="9344" spans="7:8" x14ac:dyDescent="0.3">
      <c r="G9344" s="75">
        <v>9341</v>
      </c>
      <c r="H9344">
        <f t="shared" ca="1" si="131"/>
        <v>2.066324261386684E-3</v>
      </c>
    </row>
    <row r="9345" spans="7:8" x14ac:dyDescent="0.3">
      <c r="G9345" s="75">
        <v>9342</v>
      </c>
      <c r="H9345">
        <f t="shared" ca="1" si="131"/>
        <v>1.7563701356578015E-2</v>
      </c>
    </row>
    <row r="9346" spans="7:8" x14ac:dyDescent="0.3">
      <c r="G9346" s="75">
        <v>9343</v>
      </c>
      <c r="H9346">
        <f t="shared" ref="H9346:H9409" ca="1" si="132">_xlfn.NORM.INV(RAND(),$N$4,$N$5)</f>
        <v>1.8096155481980507E-2</v>
      </c>
    </row>
    <row r="9347" spans="7:8" x14ac:dyDescent="0.3">
      <c r="G9347" s="75">
        <v>9344</v>
      </c>
      <c r="H9347">
        <f t="shared" ca="1" si="132"/>
        <v>5.7404601804959231E-3</v>
      </c>
    </row>
    <row r="9348" spans="7:8" x14ac:dyDescent="0.3">
      <c r="G9348" s="75">
        <v>9345</v>
      </c>
      <c r="H9348">
        <f t="shared" ca="1" si="132"/>
        <v>1.2035635944494808E-2</v>
      </c>
    </row>
    <row r="9349" spans="7:8" x14ac:dyDescent="0.3">
      <c r="G9349" s="75">
        <v>9346</v>
      </c>
      <c r="H9349">
        <f t="shared" ca="1" si="132"/>
        <v>2.0016360311090466E-2</v>
      </c>
    </row>
    <row r="9350" spans="7:8" x14ac:dyDescent="0.3">
      <c r="G9350" s="75">
        <v>9347</v>
      </c>
      <c r="H9350">
        <f t="shared" ca="1" si="132"/>
        <v>4.0626849102576943E-3</v>
      </c>
    </row>
    <row r="9351" spans="7:8" x14ac:dyDescent="0.3">
      <c r="G9351" s="75">
        <v>9348</v>
      </c>
      <c r="H9351">
        <f t="shared" ca="1" si="132"/>
        <v>3.8428106156482033E-3</v>
      </c>
    </row>
    <row r="9352" spans="7:8" x14ac:dyDescent="0.3">
      <c r="G9352" s="75">
        <v>9349</v>
      </c>
      <c r="H9352">
        <f t="shared" ca="1" si="132"/>
        <v>-5.344053380729486E-4</v>
      </c>
    </row>
    <row r="9353" spans="7:8" x14ac:dyDescent="0.3">
      <c r="G9353" s="75">
        <v>9350</v>
      </c>
      <c r="H9353">
        <f t="shared" ca="1" si="132"/>
        <v>1.8303065955849458E-3</v>
      </c>
    </row>
    <row r="9354" spans="7:8" x14ac:dyDescent="0.3">
      <c r="G9354" s="75">
        <v>9351</v>
      </c>
      <c r="H9354">
        <f t="shared" ca="1" si="132"/>
        <v>-5.0397820851206801E-3</v>
      </c>
    </row>
    <row r="9355" spans="7:8" x14ac:dyDescent="0.3">
      <c r="G9355" s="75">
        <v>9352</v>
      </c>
      <c r="H9355">
        <f t="shared" ca="1" si="132"/>
        <v>-2.0363106513567979E-2</v>
      </c>
    </row>
    <row r="9356" spans="7:8" x14ac:dyDescent="0.3">
      <c r="G9356" s="75">
        <v>9353</v>
      </c>
      <c r="H9356">
        <f t="shared" ca="1" si="132"/>
        <v>-1.4160263791744936E-2</v>
      </c>
    </row>
    <row r="9357" spans="7:8" x14ac:dyDescent="0.3">
      <c r="G9357" s="75">
        <v>9354</v>
      </c>
      <c r="H9357">
        <f t="shared" ca="1" si="132"/>
        <v>3.1134694251325149E-3</v>
      </c>
    </row>
    <row r="9358" spans="7:8" x14ac:dyDescent="0.3">
      <c r="G9358" s="75">
        <v>9355</v>
      </c>
      <c r="H9358">
        <f t="shared" ca="1" si="132"/>
        <v>1.5465125399191548E-3</v>
      </c>
    </row>
    <row r="9359" spans="7:8" x14ac:dyDescent="0.3">
      <c r="G9359" s="75">
        <v>9356</v>
      </c>
      <c r="H9359">
        <f t="shared" ca="1" si="132"/>
        <v>-3.1395747372475545E-2</v>
      </c>
    </row>
    <row r="9360" spans="7:8" x14ac:dyDescent="0.3">
      <c r="G9360" s="75">
        <v>9357</v>
      </c>
      <c r="H9360">
        <f t="shared" ca="1" si="132"/>
        <v>1.3388888747742592E-3</v>
      </c>
    </row>
    <row r="9361" spans="7:8" x14ac:dyDescent="0.3">
      <c r="G9361" s="75">
        <v>9358</v>
      </c>
      <c r="H9361">
        <f t="shared" ca="1" si="132"/>
        <v>2.2450020017037234E-4</v>
      </c>
    </row>
    <row r="9362" spans="7:8" x14ac:dyDescent="0.3">
      <c r="G9362" s="75">
        <v>9359</v>
      </c>
      <c r="H9362">
        <f t="shared" ca="1" si="132"/>
        <v>-1.2244939324388571E-2</v>
      </c>
    </row>
    <row r="9363" spans="7:8" x14ac:dyDescent="0.3">
      <c r="G9363" s="75">
        <v>9360</v>
      </c>
      <c r="H9363">
        <f t="shared" ca="1" si="132"/>
        <v>-1.8981401513158299E-2</v>
      </c>
    </row>
    <row r="9364" spans="7:8" x14ac:dyDescent="0.3">
      <c r="G9364" s="75">
        <v>9361</v>
      </c>
      <c r="H9364">
        <f t="shared" ca="1" si="132"/>
        <v>1.8698330115827961E-2</v>
      </c>
    </row>
    <row r="9365" spans="7:8" x14ac:dyDescent="0.3">
      <c r="G9365" s="75">
        <v>9362</v>
      </c>
      <c r="H9365">
        <f t="shared" ca="1" si="132"/>
        <v>-5.6065087358655686E-3</v>
      </c>
    </row>
    <row r="9366" spans="7:8" x14ac:dyDescent="0.3">
      <c r="G9366" s="75">
        <v>9363</v>
      </c>
      <c r="H9366">
        <f t="shared" ca="1" si="132"/>
        <v>1.1742759173354347E-2</v>
      </c>
    </row>
    <row r="9367" spans="7:8" x14ac:dyDescent="0.3">
      <c r="G9367" s="75">
        <v>9364</v>
      </c>
      <c r="H9367">
        <f t="shared" ca="1" si="132"/>
        <v>9.4809997583271063E-3</v>
      </c>
    </row>
    <row r="9368" spans="7:8" x14ac:dyDescent="0.3">
      <c r="G9368" s="75">
        <v>9365</v>
      </c>
      <c r="H9368">
        <f t="shared" ca="1" si="132"/>
        <v>1.2901301205467154E-2</v>
      </c>
    </row>
    <row r="9369" spans="7:8" x14ac:dyDescent="0.3">
      <c r="G9369" s="75">
        <v>9366</v>
      </c>
      <c r="H9369">
        <f t="shared" ca="1" si="132"/>
        <v>1.2755075277642122E-2</v>
      </c>
    </row>
    <row r="9370" spans="7:8" x14ac:dyDescent="0.3">
      <c r="G9370" s="75">
        <v>9367</v>
      </c>
      <c r="H9370">
        <f t="shared" ca="1" si="132"/>
        <v>1.9413805679709923E-2</v>
      </c>
    </row>
    <row r="9371" spans="7:8" x14ac:dyDescent="0.3">
      <c r="G9371" s="75">
        <v>9368</v>
      </c>
      <c r="H9371">
        <f t="shared" ca="1" si="132"/>
        <v>1.8716918425003572E-3</v>
      </c>
    </row>
    <row r="9372" spans="7:8" x14ac:dyDescent="0.3">
      <c r="G9372" s="75">
        <v>9369</v>
      </c>
      <c r="H9372">
        <f t="shared" ca="1" si="132"/>
        <v>-6.5109327510853342E-3</v>
      </c>
    </row>
    <row r="9373" spans="7:8" x14ac:dyDescent="0.3">
      <c r="G9373" s="75">
        <v>9370</v>
      </c>
      <c r="H9373">
        <f t="shared" ca="1" si="132"/>
        <v>2.5496160956440046E-2</v>
      </c>
    </row>
    <row r="9374" spans="7:8" x14ac:dyDescent="0.3">
      <c r="G9374" s="75">
        <v>9371</v>
      </c>
      <c r="H9374">
        <f t="shared" ca="1" si="132"/>
        <v>-4.0817434725351287E-3</v>
      </c>
    </row>
    <row r="9375" spans="7:8" x14ac:dyDescent="0.3">
      <c r="G9375" s="75">
        <v>9372</v>
      </c>
      <c r="H9375">
        <f t="shared" ca="1" si="132"/>
        <v>-1.2672931030418698E-5</v>
      </c>
    </row>
    <row r="9376" spans="7:8" x14ac:dyDescent="0.3">
      <c r="G9376" s="75">
        <v>9373</v>
      </c>
      <c r="H9376">
        <f t="shared" ca="1" si="132"/>
        <v>-1.1999788418451821E-2</v>
      </c>
    </row>
    <row r="9377" spans="7:8" x14ac:dyDescent="0.3">
      <c r="G9377" s="75">
        <v>9374</v>
      </c>
      <c r="H9377">
        <f t="shared" ca="1" si="132"/>
        <v>-6.4198757602299157E-5</v>
      </c>
    </row>
    <row r="9378" spans="7:8" x14ac:dyDescent="0.3">
      <c r="G9378" s="75">
        <v>9375</v>
      </c>
      <c r="H9378">
        <f t="shared" ca="1" si="132"/>
        <v>1.4207152635382614E-2</v>
      </c>
    </row>
    <row r="9379" spans="7:8" x14ac:dyDescent="0.3">
      <c r="G9379" s="75">
        <v>9376</v>
      </c>
      <c r="H9379">
        <f t="shared" ca="1" si="132"/>
        <v>8.5300583372239832E-3</v>
      </c>
    </row>
    <row r="9380" spans="7:8" x14ac:dyDescent="0.3">
      <c r="G9380" s="75">
        <v>9377</v>
      </c>
      <c r="H9380">
        <f t="shared" ca="1" si="132"/>
        <v>5.2325255347319766E-3</v>
      </c>
    </row>
    <row r="9381" spans="7:8" x14ac:dyDescent="0.3">
      <c r="G9381" s="75">
        <v>9378</v>
      </c>
      <c r="H9381">
        <f t="shared" ca="1" si="132"/>
        <v>1.5734730645296402E-2</v>
      </c>
    </row>
    <row r="9382" spans="7:8" x14ac:dyDescent="0.3">
      <c r="G9382" s="75">
        <v>9379</v>
      </c>
      <c r="H9382">
        <f t="shared" ca="1" si="132"/>
        <v>9.1735589462586808E-3</v>
      </c>
    </row>
    <row r="9383" spans="7:8" x14ac:dyDescent="0.3">
      <c r="G9383" s="75">
        <v>9380</v>
      </c>
      <c r="H9383">
        <f t="shared" ca="1" si="132"/>
        <v>-4.7614615662166212E-3</v>
      </c>
    </row>
    <row r="9384" spans="7:8" x14ac:dyDescent="0.3">
      <c r="G9384" s="75">
        <v>9381</v>
      </c>
      <c r="H9384">
        <f t="shared" ca="1" si="132"/>
        <v>1.7501095515802897E-4</v>
      </c>
    </row>
    <row r="9385" spans="7:8" x14ac:dyDescent="0.3">
      <c r="G9385" s="75">
        <v>9382</v>
      </c>
      <c r="H9385">
        <f t="shared" ca="1" si="132"/>
        <v>-1.5447802191200901E-2</v>
      </c>
    </row>
    <row r="9386" spans="7:8" x14ac:dyDescent="0.3">
      <c r="G9386" s="75">
        <v>9383</v>
      </c>
      <c r="H9386">
        <f t="shared" ca="1" si="132"/>
        <v>-7.1440101644489728E-3</v>
      </c>
    </row>
    <row r="9387" spans="7:8" x14ac:dyDescent="0.3">
      <c r="G9387" s="75">
        <v>9384</v>
      </c>
      <c r="H9387">
        <f t="shared" ca="1" si="132"/>
        <v>2.1233701645088893E-2</v>
      </c>
    </row>
    <row r="9388" spans="7:8" x14ac:dyDescent="0.3">
      <c r="G9388" s="75">
        <v>9385</v>
      </c>
      <c r="H9388">
        <f t="shared" ca="1" si="132"/>
        <v>-4.0604842524966959E-3</v>
      </c>
    </row>
    <row r="9389" spans="7:8" x14ac:dyDescent="0.3">
      <c r="G9389" s="75">
        <v>9386</v>
      </c>
      <c r="H9389">
        <f t="shared" ca="1" si="132"/>
        <v>-1.0716002083320178E-2</v>
      </c>
    </row>
    <row r="9390" spans="7:8" x14ac:dyDescent="0.3">
      <c r="G9390" s="75">
        <v>9387</v>
      </c>
      <c r="H9390">
        <f t="shared" ca="1" si="132"/>
        <v>2.4273180609834795E-3</v>
      </c>
    </row>
    <row r="9391" spans="7:8" x14ac:dyDescent="0.3">
      <c r="G9391" s="75">
        <v>9388</v>
      </c>
      <c r="H9391">
        <f t="shared" ca="1" si="132"/>
        <v>-3.5877112237462261E-2</v>
      </c>
    </row>
    <row r="9392" spans="7:8" x14ac:dyDescent="0.3">
      <c r="G9392" s="75">
        <v>9389</v>
      </c>
      <c r="H9392">
        <f t="shared" ca="1" si="132"/>
        <v>9.3899142714994315E-3</v>
      </c>
    </row>
    <row r="9393" spans="7:8" x14ac:dyDescent="0.3">
      <c r="G9393" s="75">
        <v>9390</v>
      </c>
      <c r="H9393">
        <f t="shared" ca="1" si="132"/>
        <v>6.0011962872039103E-3</v>
      </c>
    </row>
    <row r="9394" spans="7:8" x14ac:dyDescent="0.3">
      <c r="G9394" s="75">
        <v>9391</v>
      </c>
      <c r="H9394">
        <f t="shared" ca="1" si="132"/>
        <v>3.7407121802267742E-3</v>
      </c>
    </row>
    <row r="9395" spans="7:8" x14ac:dyDescent="0.3">
      <c r="G9395" s="75">
        <v>9392</v>
      </c>
      <c r="H9395">
        <f t="shared" ca="1" si="132"/>
        <v>2.510220447983132E-2</v>
      </c>
    </row>
    <row r="9396" spans="7:8" x14ac:dyDescent="0.3">
      <c r="G9396" s="75">
        <v>9393</v>
      </c>
      <c r="H9396">
        <f t="shared" ca="1" si="132"/>
        <v>1.8439879002937854E-2</v>
      </c>
    </row>
    <row r="9397" spans="7:8" x14ac:dyDescent="0.3">
      <c r="G9397" s="75">
        <v>9394</v>
      </c>
      <c r="H9397">
        <f t="shared" ca="1" si="132"/>
        <v>-1.5172036848921147E-2</v>
      </c>
    </row>
    <row r="9398" spans="7:8" x14ac:dyDescent="0.3">
      <c r="G9398" s="75">
        <v>9395</v>
      </c>
      <c r="H9398">
        <f t="shared" ca="1" si="132"/>
        <v>1.4864803523261253E-2</v>
      </c>
    </row>
    <row r="9399" spans="7:8" x14ac:dyDescent="0.3">
      <c r="G9399" s="75">
        <v>9396</v>
      </c>
      <c r="H9399">
        <f t="shared" ca="1" si="132"/>
        <v>-1.1633588869173225E-2</v>
      </c>
    </row>
    <row r="9400" spans="7:8" x14ac:dyDescent="0.3">
      <c r="G9400" s="75">
        <v>9397</v>
      </c>
      <c r="H9400">
        <f t="shared" ca="1" si="132"/>
        <v>-2.0028216000333353E-2</v>
      </c>
    </row>
    <row r="9401" spans="7:8" x14ac:dyDescent="0.3">
      <c r="G9401" s="75">
        <v>9398</v>
      </c>
      <c r="H9401">
        <f t="shared" ca="1" si="132"/>
        <v>1.2536154252175264E-3</v>
      </c>
    </row>
    <row r="9402" spans="7:8" x14ac:dyDescent="0.3">
      <c r="G9402" s="75">
        <v>9399</v>
      </c>
      <c r="H9402">
        <f t="shared" ca="1" si="132"/>
        <v>-1.6607709911621922E-2</v>
      </c>
    </row>
    <row r="9403" spans="7:8" x14ac:dyDescent="0.3">
      <c r="G9403" s="75">
        <v>9400</v>
      </c>
      <c r="H9403">
        <f t="shared" ca="1" si="132"/>
        <v>-1.8093645750516019E-2</v>
      </c>
    </row>
    <row r="9404" spans="7:8" x14ac:dyDescent="0.3">
      <c r="G9404" s="75">
        <v>9401</v>
      </c>
      <c r="H9404">
        <f t="shared" ca="1" si="132"/>
        <v>9.9460507597852431E-3</v>
      </c>
    </row>
    <row r="9405" spans="7:8" x14ac:dyDescent="0.3">
      <c r="G9405" s="75">
        <v>9402</v>
      </c>
      <c r="H9405">
        <f t="shared" ca="1" si="132"/>
        <v>6.1232475884737613E-4</v>
      </c>
    </row>
    <row r="9406" spans="7:8" x14ac:dyDescent="0.3">
      <c r="G9406" s="75">
        <v>9403</v>
      </c>
      <c r="H9406">
        <f t="shared" ca="1" si="132"/>
        <v>1.4781938868193411E-2</v>
      </c>
    </row>
    <row r="9407" spans="7:8" x14ac:dyDescent="0.3">
      <c r="G9407" s="75">
        <v>9404</v>
      </c>
      <c r="H9407">
        <f t="shared" ca="1" si="132"/>
        <v>1.0091828593680432E-2</v>
      </c>
    </row>
    <row r="9408" spans="7:8" x14ac:dyDescent="0.3">
      <c r="G9408" s="75">
        <v>9405</v>
      </c>
      <c r="H9408">
        <f t="shared" ca="1" si="132"/>
        <v>-7.4169092610337807E-3</v>
      </c>
    </row>
    <row r="9409" spans="7:8" x14ac:dyDescent="0.3">
      <c r="G9409" s="75">
        <v>9406</v>
      </c>
      <c r="H9409">
        <f t="shared" ca="1" si="132"/>
        <v>9.548044731205952E-3</v>
      </c>
    </row>
    <row r="9410" spans="7:8" x14ac:dyDescent="0.3">
      <c r="G9410" s="75">
        <v>9407</v>
      </c>
      <c r="H9410">
        <f t="shared" ref="H9410:H9473" ca="1" si="133">_xlfn.NORM.INV(RAND(),$N$4,$N$5)</f>
        <v>-1.550999566641771E-2</v>
      </c>
    </row>
    <row r="9411" spans="7:8" x14ac:dyDescent="0.3">
      <c r="G9411" s="75">
        <v>9408</v>
      </c>
      <c r="H9411">
        <f t="shared" ca="1" si="133"/>
        <v>1.3237680246143147E-2</v>
      </c>
    </row>
    <row r="9412" spans="7:8" x14ac:dyDescent="0.3">
      <c r="G9412" s="75">
        <v>9409</v>
      </c>
      <c r="H9412">
        <f t="shared" ca="1" si="133"/>
        <v>-7.5945733231925321E-3</v>
      </c>
    </row>
    <row r="9413" spans="7:8" x14ac:dyDescent="0.3">
      <c r="G9413" s="75">
        <v>9410</v>
      </c>
      <c r="H9413">
        <f t="shared" ca="1" si="133"/>
        <v>1.8539584240650095E-2</v>
      </c>
    </row>
    <row r="9414" spans="7:8" x14ac:dyDescent="0.3">
      <c r="G9414" s="75">
        <v>9411</v>
      </c>
      <c r="H9414">
        <f t="shared" ca="1" si="133"/>
        <v>-2.8590346816013148E-3</v>
      </c>
    </row>
    <row r="9415" spans="7:8" x14ac:dyDescent="0.3">
      <c r="G9415" s="75">
        <v>9412</v>
      </c>
      <c r="H9415">
        <f t="shared" ca="1" si="133"/>
        <v>-8.6424856736619163E-3</v>
      </c>
    </row>
    <row r="9416" spans="7:8" x14ac:dyDescent="0.3">
      <c r="G9416" s="75">
        <v>9413</v>
      </c>
      <c r="H9416">
        <f t="shared" ca="1" si="133"/>
        <v>-2.2556040711453274E-2</v>
      </c>
    </row>
    <row r="9417" spans="7:8" x14ac:dyDescent="0.3">
      <c r="G9417" s="75">
        <v>9414</v>
      </c>
      <c r="H9417">
        <f t="shared" ca="1" si="133"/>
        <v>2.3815781825704492E-2</v>
      </c>
    </row>
    <row r="9418" spans="7:8" x14ac:dyDescent="0.3">
      <c r="G9418" s="75">
        <v>9415</v>
      </c>
      <c r="H9418">
        <f t="shared" ca="1" si="133"/>
        <v>-2.9707798390344901E-3</v>
      </c>
    </row>
    <row r="9419" spans="7:8" x14ac:dyDescent="0.3">
      <c r="G9419" s="75">
        <v>9416</v>
      </c>
      <c r="H9419">
        <f t="shared" ca="1" si="133"/>
        <v>8.2738713285625994E-3</v>
      </c>
    </row>
    <row r="9420" spans="7:8" x14ac:dyDescent="0.3">
      <c r="G9420" s="75">
        <v>9417</v>
      </c>
      <c r="H9420">
        <f t="shared" ca="1" si="133"/>
        <v>4.9442691502203833E-3</v>
      </c>
    </row>
    <row r="9421" spans="7:8" x14ac:dyDescent="0.3">
      <c r="G9421" s="75">
        <v>9418</v>
      </c>
      <c r="H9421">
        <f t="shared" ca="1" si="133"/>
        <v>1.1822573291578826E-2</v>
      </c>
    </row>
    <row r="9422" spans="7:8" x14ac:dyDescent="0.3">
      <c r="G9422" s="75">
        <v>9419</v>
      </c>
      <c r="H9422">
        <f t="shared" ca="1" si="133"/>
        <v>-1.1325323165267544E-3</v>
      </c>
    </row>
    <row r="9423" spans="7:8" x14ac:dyDescent="0.3">
      <c r="G9423" s="75">
        <v>9420</v>
      </c>
      <c r="H9423">
        <f t="shared" ca="1" si="133"/>
        <v>-1.3979783419179758E-2</v>
      </c>
    </row>
    <row r="9424" spans="7:8" x14ac:dyDescent="0.3">
      <c r="G9424" s="75">
        <v>9421</v>
      </c>
      <c r="H9424">
        <f t="shared" ca="1" si="133"/>
        <v>2.0178461176657454E-2</v>
      </c>
    </row>
    <row r="9425" spans="7:8" x14ac:dyDescent="0.3">
      <c r="G9425" s="75">
        <v>9422</v>
      </c>
      <c r="H9425">
        <f t="shared" ca="1" si="133"/>
        <v>1.5040841967190355E-2</v>
      </c>
    </row>
    <row r="9426" spans="7:8" x14ac:dyDescent="0.3">
      <c r="G9426" s="75">
        <v>9423</v>
      </c>
      <c r="H9426">
        <f t="shared" ca="1" si="133"/>
        <v>1.3711696500644986E-2</v>
      </c>
    </row>
    <row r="9427" spans="7:8" x14ac:dyDescent="0.3">
      <c r="G9427" s="75">
        <v>9424</v>
      </c>
      <c r="H9427">
        <f t="shared" ca="1" si="133"/>
        <v>-2.6512533072603036E-2</v>
      </c>
    </row>
    <row r="9428" spans="7:8" x14ac:dyDescent="0.3">
      <c r="G9428" s="75">
        <v>9425</v>
      </c>
      <c r="H9428">
        <f t="shared" ca="1" si="133"/>
        <v>-6.9922504528039753E-4</v>
      </c>
    </row>
    <row r="9429" spans="7:8" x14ac:dyDescent="0.3">
      <c r="G9429" s="75">
        <v>9426</v>
      </c>
      <c r="H9429">
        <f t="shared" ca="1" si="133"/>
        <v>3.2466734071982917E-2</v>
      </c>
    </row>
    <row r="9430" spans="7:8" x14ac:dyDescent="0.3">
      <c r="G9430" s="75">
        <v>9427</v>
      </c>
      <c r="H9430">
        <f t="shared" ca="1" si="133"/>
        <v>-7.3564753053858636E-3</v>
      </c>
    </row>
    <row r="9431" spans="7:8" x14ac:dyDescent="0.3">
      <c r="G9431" s="75">
        <v>9428</v>
      </c>
      <c r="H9431">
        <f t="shared" ca="1" si="133"/>
        <v>3.6946263543213833E-3</v>
      </c>
    </row>
    <row r="9432" spans="7:8" x14ac:dyDescent="0.3">
      <c r="G9432" s="75">
        <v>9429</v>
      </c>
      <c r="H9432">
        <f t="shared" ca="1" si="133"/>
        <v>1.1822204970350197E-2</v>
      </c>
    </row>
    <row r="9433" spans="7:8" x14ac:dyDescent="0.3">
      <c r="G9433" s="75">
        <v>9430</v>
      </c>
      <c r="H9433">
        <f t="shared" ca="1" si="133"/>
        <v>-2.2501910973349933E-3</v>
      </c>
    </row>
    <row r="9434" spans="7:8" x14ac:dyDescent="0.3">
      <c r="G9434" s="75">
        <v>9431</v>
      </c>
      <c r="H9434">
        <f t="shared" ca="1" si="133"/>
        <v>-7.4763186147651216E-3</v>
      </c>
    </row>
    <row r="9435" spans="7:8" x14ac:dyDescent="0.3">
      <c r="G9435" s="75">
        <v>9432</v>
      </c>
      <c r="H9435">
        <f t="shared" ca="1" si="133"/>
        <v>-1.0991656851306151E-2</v>
      </c>
    </row>
    <row r="9436" spans="7:8" x14ac:dyDescent="0.3">
      <c r="G9436" s="75">
        <v>9433</v>
      </c>
      <c r="H9436">
        <f t="shared" ca="1" si="133"/>
        <v>2.6046186073732901E-3</v>
      </c>
    </row>
    <row r="9437" spans="7:8" x14ac:dyDescent="0.3">
      <c r="G9437" s="75">
        <v>9434</v>
      </c>
      <c r="H9437">
        <f t="shared" ca="1" si="133"/>
        <v>-1.4617057741908621E-2</v>
      </c>
    </row>
    <row r="9438" spans="7:8" x14ac:dyDescent="0.3">
      <c r="G9438" s="75">
        <v>9435</v>
      </c>
      <c r="H9438">
        <f t="shared" ca="1" si="133"/>
        <v>-1.6806077201281973E-2</v>
      </c>
    </row>
    <row r="9439" spans="7:8" x14ac:dyDescent="0.3">
      <c r="G9439" s="75">
        <v>9436</v>
      </c>
      <c r="H9439">
        <f t="shared" ca="1" si="133"/>
        <v>8.3880692455709852E-4</v>
      </c>
    </row>
    <row r="9440" spans="7:8" x14ac:dyDescent="0.3">
      <c r="G9440" s="75">
        <v>9437</v>
      </c>
      <c r="H9440">
        <f t="shared" ca="1" si="133"/>
        <v>1.1473919518607264E-2</v>
      </c>
    </row>
    <row r="9441" spans="7:8" x14ac:dyDescent="0.3">
      <c r="G9441" s="75">
        <v>9438</v>
      </c>
      <c r="H9441">
        <f t="shared" ca="1" si="133"/>
        <v>-1.649658761259877E-2</v>
      </c>
    </row>
    <row r="9442" spans="7:8" x14ac:dyDescent="0.3">
      <c r="G9442" s="75">
        <v>9439</v>
      </c>
      <c r="H9442">
        <f t="shared" ca="1" si="133"/>
        <v>-1.2966880748214935E-2</v>
      </c>
    </row>
    <row r="9443" spans="7:8" x14ac:dyDescent="0.3">
      <c r="G9443" s="75">
        <v>9440</v>
      </c>
      <c r="H9443">
        <f t="shared" ca="1" si="133"/>
        <v>8.6206484005918616E-3</v>
      </c>
    </row>
    <row r="9444" spans="7:8" x14ac:dyDescent="0.3">
      <c r="G9444" s="75">
        <v>9441</v>
      </c>
      <c r="H9444">
        <f t="shared" ca="1" si="133"/>
        <v>5.3333748723576359E-3</v>
      </c>
    </row>
    <row r="9445" spans="7:8" x14ac:dyDescent="0.3">
      <c r="G9445" s="75">
        <v>9442</v>
      </c>
      <c r="H9445">
        <f t="shared" ca="1" si="133"/>
        <v>1.4403255436164065E-2</v>
      </c>
    </row>
    <row r="9446" spans="7:8" x14ac:dyDescent="0.3">
      <c r="G9446" s="75">
        <v>9443</v>
      </c>
      <c r="H9446">
        <f t="shared" ca="1" si="133"/>
        <v>6.0800367469768333E-3</v>
      </c>
    </row>
    <row r="9447" spans="7:8" x14ac:dyDescent="0.3">
      <c r="G9447" s="75">
        <v>9444</v>
      </c>
      <c r="H9447">
        <f t="shared" ca="1" si="133"/>
        <v>9.6007938772486503E-3</v>
      </c>
    </row>
    <row r="9448" spans="7:8" x14ac:dyDescent="0.3">
      <c r="G9448" s="75">
        <v>9445</v>
      </c>
      <c r="H9448">
        <f t="shared" ca="1" si="133"/>
        <v>1.1137715731705616E-2</v>
      </c>
    </row>
    <row r="9449" spans="7:8" x14ac:dyDescent="0.3">
      <c r="G9449" s="75">
        <v>9446</v>
      </c>
      <c r="H9449">
        <f t="shared" ca="1" si="133"/>
        <v>3.2497193204873362E-3</v>
      </c>
    </row>
    <row r="9450" spans="7:8" x14ac:dyDescent="0.3">
      <c r="G9450" s="75">
        <v>9447</v>
      </c>
      <c r="H9450">
        <f t="shared" ca="1" si="133"/>
        <v>4.6733706749691869E-3</v>
      </c>
    </row>
    <row r="9451" spans="7:8" x14ac:dyDescent="0.3">
      <c r="G9451" s="75">
        <v>9448</v>
      </c>
      <c r="H9451">
        <f t="shared" ca="1" si="133"/>
        <v>-1.1473661315477845E-2</v>
      </c>
    </row>
    <row r="9452" spans="7:8" x14ac:dyDescent="0.3">
      <c r="G9452" s="75">
        <v>9449</v>
      </c>
      <c r="H9452">
        <f t="shared" ca="1" si="133"/>
        <v>5.1670119765461989E-3</v>
      </c>
    </row>
    <row r="9453" spans="7:8" x14ac:dyDescent="0.3">
      <c r="G9453" s="75">
        <v>9450</v>
      </c>
      <c r="H9453">
        <f t="shared" ca="1" si="133"/>
        <v>2.3429127391687756E-3</v>
      </c>
    </row>
    <row r="9454" spans="7:8" x14ac:dyDescent="0.3">
      <c r="G9454" s="75">
        <v>9451</v>
      </c>
      <c r="H9454">
        <f t="shared" ca="1" si="133"/>
        <v>-2.1715297238031179E-3</v>
      </c>
    </row>
    <row r="9455" spans="7:8" x14ac:dyDescent="0.3">
      <c r="G9455" s="75">
        <v>9452</v>
      </c>
      <c r="H9455">
        <f t="shared" ca="1" si="133"/>
        <v>9.1928779017262175E-4</v>
      </c>
    </row>
    <row r="9456" spans="7:8" x14ac:dyDescent="0.3">
      <c r="G9456" s="75">
        <v>9453</v>
      </c>
      <c r="H9456">
        <f t="shared" ca="1" si="133"/>
        <v>2.500062574516039E-2</v>
      </c>
    </row>
    <row r="9457" spans="7:8" x14ac:dyDescent="0.3">
      <c r="G9457" s="75">
        <v>9454</v>
      </c>
      <c r="H9457">
        <f t="shared" ca="1" si="133"/>
        <v>-3.0739009915412975E-3</v>
      </c>
    </row>
    <row r="9458" spans="7:8" x14ac:dyDescent="0.3">
      <c r="G9458" s="75">
        <v>9455</v>
      </c>
      <c r="H9458">
        <f t="shared" ca="1" si="133"/>
        <v>1.9132975017809978E-3</v>
      </c>
    </row>
    <row r="9459" spans="7:8" x14ac:dyDescent="0.3">
      <c r="G9459" s="75">
        <v>9456</v>
      </c>
      <c r="H9459">
        <f t="shared" ca="1" si="133"/>
        <v>-3.0005123567372963E-3</v>
      </c>
    </row>
    <row r="9460" spans="7:8" x14ac:dyDescent="0.3">
      <c r="G9460" s="75">
        <v>9457</v>
      </c>
      <c r="H9460">
        <f t="shared" ca="1" si="133"/>
        <v>5.7602847442463382E-3</v>
      </c>
    </row>
    <row r="9461" spans="7:8" x14ac:dyDescent="0.3">
      <c r="G9461" s="75">
        <v>9458</v>
      </c>
      <c r="H9461">
        <f t="shared" ca="1" si="133"/>
        <v>1.6087475090727527E-2</v>
      </c>
    </row>
    <row r="9462" spans="7:8" x14ac:dyDescent="0.3">
      <c r="G9462" s="75">
        <v>9459</v>
      </c>
      <c r="H9462">
        <f t="shared" ca="1" si="133"/>
        <v>-1.3736332166975356E-2</v>
      </c>
    </row>
    <row r="9463" spans="7:8" x14ac:dyDescent="0.3">
      <c r="G9463" s="75">
        <v>9460</v>
      </c>
      <c r="H9463">
        <f t="shared" ca="1" si="133"/>
        <v>-1.4581925004809385E-2</v>
      </c>
    </row>
    <row r="9464" spans="7:8" x14ac:dyDescent="0.3">
      <c r="G9464" s="75">
        <v>9461</v>
      </c>
      <c r="H9464">
        <f t="shared" ca="1" si="133"/>
        <v>7.728210676389945E-3</v>
      </c>
    </row>
    <row r="9465" spans="7:8" x14ac:dyDescent="0.3">
      <c r="G9465" s="75">
        <v>9462</v>
      </c>
      <c r="H9465">
        <f t="shared" ca="1" si="133"/>
        <v>1.1206244220959741E-2</v>
      </c>
    </row>
    <row r="9466" spans="7:8" x14ac:dyDescent="0.3">
      <c r="G9466" s="75">
        <v>9463</v>
      </c>
      <c r="H9466">
        <f t="shared" ca="1" si="133"/>
        <v>-1.8758083677891022E-3</v>
      </c>
    </row>
    <row r="9467" spans="7:8" x14ac:dyDescent="0.3">
      <c r="G9467" s="75">
        <v>9464</v>
      </c>
      <c r="H9467">
        <f t="shared" ca="1" si="133"/>
        <v>7.9551421467094607E-3</v>
      </c>
    </row>
    <row r="9468" spans="7:8" x14ac:dyDescent="0.3">
      <c r="G9468" s="75">
        <v>9465</v>
      </c>
      <c r="H9468">
        <f t="shared" ca="1" si="133"/>
        <v>4.0157216411038591E-3</v>
      </c>
    </row>
    <row r="9469" spans="7:8" x14ac:dyDescent="0.3">
      <c r="G9469" s="75">
        <v>9466</v>
      </c>
      <c r="H9469">
        <f t="shared" ca="1" si="133"/>
        <v>1.5120013170824134E-2</v>
      </c>
    </row>
    <row r="9470" spans="7:8" x14ac:dyDescent="0.3">
      <c r="G9470" s="75">
        <v>9467</v>
      </c>
      <c r="H9470">
        <f t="shared" ca="1" si="133"/>
        <v>-1.3602043927612202E-2</v>
      </c>
    </row>
    <row r="9471" spans="7:8" x14ac:dyDescent="0.3">
      <c r="G9471" s="75">
        <v>9468</v>
      </c>
      <c r="H9471">
        <f t="shared" ca="1" si="133"/>
        <v>9.5742729370314715E-3</v>
      </c>
    </row>
    <row r="9472" spans="7:8" x14ac:dyDescent="0.3">
      <c r="G9472" s="75">
        <v>9469</v>
      </c>
      <c r="H9472">
        <f t="shared" ca="1" si="133"/>
        <v>1.6492721310891453E-2</v>
      </c>
    </row>
    <row r="9473" spans="7:8" x14ac:dyDescent="0.3">
      <c r="G9473" s="75">
        <v>9470</v>
      </c>
      <c r="H9473">
        <f t="shared" ca="1" si="133"/>
        <v>3.024633051778781E-3</v>
      </c>
    </row>
    <row r="9474" spans="7:8" x14ac:dyDescent="0.3">
      <c r="G9474" s="75">
        <v>9471</v>
      </c>
      <c r="H9474">
        <f t="shared" ref="H9474:H9537" ca="1" si="134">_xlfn.NORM.INV(RAND(),$N$4,$N$5)</f>
        <v>-1.5809459671081657E-2</v>
      </c>
    </row>
    <row r="9475" spans="7:8" x14ac:dyDescent="0.3">
      <c r="G9475" s="75">
        <v>9472</v>
      </c>
      <c r="H9475">
        <f t="shared" ca="1" si="134"/>
        <v>-4.3200608055277111E-3</v>
      </c>
    </row>
    <row r="9476" spans="7:8" x14ac:dyDescent="0.3">
      <c r="G9476" s="75">
        <v>9473</v>
      </c>
      <c r="H9476">
        <f t="shared" ca="1" si="134"/>
        <v>-2.5403531464426372E-2</v>
      </c>
    </row>
    <row r="9477" spans="7:8" x14ac:dyDescent="0.3">
      <c r="G9477" s="75">
        <v>9474</v>
      </c>
      <c r="H9477">
        <f t="shared" ca="1" si="134"/>
        <v>9.8201750292503612E-3</v>
      </c>
    </row>
    <row r="9478" spans="7:8" x14ac:dyDescent="0.3">
      <c r="G9478" s="75">
        <v>9475</v>
      </c>
      <c r="H9478">
        <f t="shared" ca="1" si="134"/>
        <v>7.3876697386920272E-3</v>
      </c>
    </row>
    <row r="9479" spans="7:8" x14ac:dyDescent="0.3">
      <c r="G9479" s="75">
        <v>9476</v>
      </c>
      <c r="H9479">
        <f t="shared" ca="1" si="134"/>
        <v>1.4614043710591666E-2</v>
      </c>
    </row>
    <row r="9480" spans="7:8" x14ac:dyDescent="0.3">
      <c r="G9480" s="75">
        <v>9477</v>
      </c>
      <c r="H9480">
        <f t="shared" ca="1" si="134"/>
        <v>-6.1566138068686353E-3</v>
      </c>
    </row>
    <row r="9481" spans="7:8" x14ac:dyDescent="0.3">
      <c r="G9481" s="75">
        <v>9478</v>
      </c>
      <c r="H9481">
        <f t="shared" ca="1" si="134"/>
        <v>8.8161294549580025E-3</v>
      </c>
    </row>
    <row r="9482" spans="7:8" x14ac:dyDescent="0.3">
      <c r="G9482" s="75">
        <v>9479</v>
      </c>
      <c r="H9482">
        <f t="shared" ca="1" si="134"/>
        <v>-1.3028623216660783E-2</v>
      </c>
    </row>
    <row r="9483" spans="7:8" x14ac:dyDescent="0.3">
      <c r="G9483" s="75">
        <v>9480</v>
      </c>
      <c r="H9483">
        <f t="shared" ca="1" si="134"/>
        <v>-6.4070854905313793E-3</v>
      </c>
    </row>
    <row r="9484" spans="7:8" x14ac:dyDescent="0.3">
      <c r="G9484" s="75">
        <v>9481</v>
      </c>
      <c r="H9484">
        <f t="shared" ca="1" si="134"/>
        <v>-4.2916583004622994E-3</v>
      </c>
    </row>
    <row r="9485" spans="7:8" x14ac:dyDescent="0.3">
      <c r="G9485" s="75">
        <v>9482</v>
      </c>
      <c r="H9485">
        <f t="shared" ca="1" si="134"/>
        <v>-4.951825799853314E-4</v>
      </c>
    </row>
    <row r="9486" spans="7:8" x14ac:dyDescent="0.3">
      <c r="G9486" s="75">
        <v>9483</v>
      </c>
      <c r="H9486">
        <f t="shared" ca="1" si="134"/>
        <v>-3.6017152309986415E-2</v>
      </c>
    </row>
    <row r="9487" spans="7:8" x14ac:dyDescent="0.3">
      <c r="G9487" s="75">
        <v>9484</v>
      </c>
      <c r="H9487">
        <f t="shared" ca="1" si="134"/>
        <v>-1.9355441564007699E-3</v>
      </c>
    </row>
    <row r="9488" spans="7:8" x14ac:dyDescent="0.3">
      <c r="G9488" s="75">
        <v>9485</v>
      </c>
      <c r="H9488">
        <f t="shared" ca="1" si="134"/>
        <v>-1.7279102401882777E-4</v>
      </c>
    </row>
    <row r="9489" spans="7:8" x14ac:dyDescent="0.3">
      <c r="G9489" s="75">
        <v>9486</v>
      </c>
      <c r="H9489">
        <f t="shared" ca="1" si="134"/>
        <v>1.4313431770834549E-2</v>
      </c>
    </row>
    <row r="9490" spans="7:8" x14ac:dyDescent="0.3">
      <c r="G9490" s="75">
        <v>9487</v>
      </c>
      <c r="H9490">
        <f t="shared" ca="1" si="134"/>
        <v>5.7902480129816206E-3</v>
      </c>
    </row>
    <row r="9491" spans="7:8" x14ac:dyDescent="0.3">
      <c r="G9491" s="75">
        <v>9488</v>
      </c>
      <c r="H9491">
        <f t="shared" ca="1" si="134"/>
        <v>-1.1166554661288687E-2</v>
      </c>
    </row>
    <row r="9492" spans="7:8" x14ac:dyDescent="0.3">
      <c r="G9492" s="75">
        <v>9489</v>
      </c>
      <c r="H9492">
        <f t="shared" ca="1" si="134"/>
        <v>8.7758498431257589E-3</v>
      </c>
    </row>
    <row r="9493" spans="7:8" x14ac:dyDescent="0.3">
      <c r="G9493" s="75">
        <v>9490</v>
      </c>
      <c r="H9493">
        <f t="shared" ca="1" si="134"/>
        <v>1.6190985829647321E-2</v>
      </c>
    </row>
    <row r="9494" spans="7:8" x14ac:dyDescent="0.3">
      <c r="G9494" s="75">
        <v>9491</v>
      </c>
      <c r="H9494">
        <f t="shared" ca="1" si="134"/>
        <v>3.0505734677397007E-4</v>
      </c>
    </row>
    <row r="9495" spans="7:8" x14ac:dyDescent="0.3">
      <c r="G9495" s="75">
        <v>9492</v>
      </c>
      <c r="H9495">
        <f t="shared" ca="1" si="134"/>
        <v>3.6992865878629645E-3</v>
      </c>
    </row>
    <row r="9496" spans="7:8" x14ac:dyDescent="0.3">
      <c r="G9496" s="75">
        <v>9493</v>
      </c>
      <c r="H9496">
        <f t="shared" ca="1" si="134"/>
        <v>1.8362935247420002E-2</v>
      </c>
    </row>
    <row r="9497" spans="7:8" x14ac:dyDescent="0.3">
      <c r="G9497" s="75">
        <v>9494</v>
      </c>
      <c r="H9497">
        <f t="shared" ca="1" si="134"/>
        <v>-1.4180947432336577E-2</v>
      </c>
    </row>
    <row r="9498" spans="7:8" x14ac:dyDescent="0.3">
      <c r="G9498" s="75">
        <v>9495</v>
      </c>
      <c r="H9498">
        <f t="shared" ca="1" si="134"/>
        <v>-2.2696477194513191E-4</v>
      </c>
    </row>
    <row r="9499" spans="7:8" x14ac:dyDescent="0.3">
      <c r="G9499" s="75">
        <v>9496</v>
      </c>
      <c r="H9499">
        <f t="shared" ca="1" si="134"/>
        <v>-1.3193187808666343E-2</v>
      </c>
    </row>
    <row r="9500" spans="7:8" x14ac:dyDescent="0.3">
      <c r="G9500" s="75">
        <v>9497</v>
      </c>
      <c r="H9500">
        <f t="shared" ca="1" si="134"/>
        <v>-7.0644954288778105E-3</v>
      </c>
    </row>
    <row r="9501" spans="7:8" x14ac:dyDescent="0.3">
      <c r="G9501" s="75">
        <v>9498</v>
      </c>
      <c r="H9501">
        <f t="shared" ca="1" si="134"/>
        <v>-7.7043284607186541E-3</v>
      </c>
    </row>
    <row r="9502" spans="7:8" x14ac:dyDescent="0.3">
      <c r="G9502" s="75">
        <v>9499</v>
      </c>
      <c r="H9502">
        <f t="shared" ca="1" si="134"/>
        <v>1.4782867402926942E-2</v>
      </c>
    </row>
    <row r="9503" spans="7:8" x14ac:dyDescent="0.3">
      <c r="G9503" s="75">
        <v>9500</v>
      </c>
      <c r="H9503">
        <f t="shared" ca="1" si="134"/>
        <v>-2.0561085297209469E-2</v>
      </c>
    </row>
    <row r="9504" spans="7:8" x14ac:dyDescent="0.3">
      <c r="G9504" s="75">
        <v>9501</v>
      </c>
      <c r="H9504">
        <f t="shared" ca="1" si="134"/>
        <v>1.0809193148265756E-2</v>
      </c>
    </row>
    <row r="9505" spans="7:8" x14ac:dyDescent="0.3">
      <c r="G9505" s="75">
        <v>9502</v>
      </c>
      <c r="H9505">
        <f t="shared" ca="1" si="134"/>
        <v>-5.9394192937758652E-3</v>
      </c>
    </row>
    <row r="9506" spans="7:8" x14ac:dyDescent="0.3">
      <c r="G9506" s="75">
        <v>9503</v>
      </c>
      <c r="H9506">
        <f t="shared" ca="1" si="134"/>
        <v>9.7635866885079133E-3</v>
      </c>
    </row>
    <row r="9507" spans="7:8" x14ac:dyDescent="0.3">
      <c r="G9507" s="75">
        <v>9504</v>
      </c>
      <c r="H9507">
        <f t="shared" ca="1" si="134"/>
        <v>-1.8357681005471047E-3</v>
      </c>
    </row>
    <row r="9508" spans="7:8" x14ac:dyDescent="0.3">
      <c r="G9508" s="75">
        <v>9505</v>
      </c>
      <c r="H9508">
        <f t="shared" ca="1" si="134"/>
        <v>-1.3174010301532039E-2</v>
      </c>
    </row>
    <row r="9509" spans="7:8" x14ac:dyDescent="0.3">
      <c r="G9509" s="75">
        <v>9506</v>
      </c>
      <c r="H9509">
        <f t="shared" ca="1" si="134"/>
        <v>-1.8918779521192538E-3</v>
      </c>
    </row>
    <row r="9510" spans="7:8" x14ac:dyDescent="0.3">
      <c r="G9510" s="75">
        <v>9507</v>
      </c>
      <c r="H9510">
        <f t="shared" ca="1" si="134"/>
        <v>1.4259852241910086E-2</v>
      </c>
    </row>
    <row r="9511" spans="7:8" x14ac:dyDescent="0.3">
      <c r="G9511" s="75">
        <v>9508</v>
      </c>
      <c r="H9511">
        <f t="shared" ca="1" si="134"/>
        <v>1.5432010406877983E-3</v>
      </c>
    </row>
    <row r="9512" spans="7:8" x14ac:dyDescent="0.3">
      <c r="G9512" s="75">
        <v>9509</v>
      </c>
      <c r="H9512">
        <f t="shared" ca="1" si="134"/>
        <v>1.3342561919984729E-3</v>
      </c>
    </row>
    <row r="9513" spans="7:8" x14ac:dyDescent="0.3">
      <c r="G9513" s="75">
        <v>9510</v>
      </c>
      <c r="H9513">
        <f t="shared" ca="1" si="134"/>
        <v>-2.0563887550853806E-2</v>
      </c>
    </row>
    <row r="9514" spans="7:8" x14ac:dyDescent="0.3">
      <c r="G9514" s="75">
        <v>9511</v>
      </c>
      <c r="H9514">
        <f t="shared" ca="1" si="134"/>
        <v>-1.0742426897490177E-2</v>
      </c>
    </row>
    <row r="9515" spans="7:8" x14ac:dyDescent="0.3">
      <c r="G9515" s="75">
        <v>9512</v>
      </c>
      <c r="H9515">
        <f t="shared" ca="1" si="134"/>
        <v>-2.1954641939189917E-2</v>
      </c>
    </row>
    <row r="9516" spans="7:8" x14ac:dyDescent="0.3">
      <c r="G9516" s="75">
        <v>9513</v>
      </c>
      <c r="H9516">
        <f t="shared" ca="1" si="134"/>
        <v>-1.8480027178608804E-4</v>
      </c>
    </row>
    <row r="9517" spans="7:8" x14ac:dyDescent="0.3">
      <c r="G9517" s="75">
        <v>9514</v>
      </c>
      <c r="H9517">
        <f t="shared" ca="1" si="134"/>
        <v>6.6147904173618913E-5</v>
      </c>
    </row>
    <row r="9518" spans="7:8" x14ac:dyDescent="0.3">
      <c r="G9518" s="75">
        <v>9515</v>
      </c>
      <c r="H9518">
        <f t="shared" ca="1" si="134"/>
        <v>2.1280172441410328E-2</v>
      </c>
    </row>
    <row r="9519" spans="7:8" x14ac:dyDescent="0.3">
      <c r="G9519" s="75">
        <v>9516</v>
      </c>
      <c r="H9519">
        <f t="shared" ca="1" si="134"/>
        <v>-1.314151589260695E-2</v>
      </c>
    </row>
    <row r="9520" spans="7:8" x14ac:dyDescent="0.3">
      <c r="G9520" s="75">
        <v>9517</v>
      </c>
      <c r="H9520">
        <f t="shared" ca="1" si="134"/>
        <v>1.5037353652580245E-2</v>
      </c>
    </row>
    <row r="9521" spans="7:8" x14ac:dyDescent="0.3">
      <c r="G9521" s="75">
        <v>9518</v>
      </c>
      <c r="H9521">
        <f t="shared" ca="1" si="134"/>
        <v>1.9107511430428562E-4</v>
      </c>
    </row>
    <row r="9522" spans="7:8" x14ac:dyDescent="0.3">
      <c r="G9522" s="75">
        <v>9519</v>
      </c>
      <c r="H9522">
        <f t="shared" ca="1" si="134"/>
        <v>4.7748756687548089E-3</v>
      </c>
    </row>
    <row r="9523" spans="7:8" x14ac:dyDescent="0.3">
      <c r="G9523" s="75">
        <v>9520</v>
      </c>
      <c r="H9523">
        <f t="shared" ca="1" si="134"/>
        <v>2.0622556139526623E-2</v>
      </c>
    </row>
    <row r="9524" spans="7:8" x14ac:dyDescent="0.3">
      <c r="G9524" s="75">
        <v>9521</v>
      </c>
      <c r="H9524">
        <f t="shared" ca="1" si="134"/>
        <v>9.8597156948355483E-3</v>
      </c>
    </row>
    <row r="9525" spans="7:8" x14ac:dyDescent="0.3">
      <c r="G9525" s="75">
        <v>9522</v>
      </c>
      <c r="H9525">
        <f t="shared" ca="1" si="134"/>
        <v>1.9079590766212837E-2</v>
      </c>
    </row>
    <row r="9526" spans="7:8" x14ac:dyDescent="0.3">
      <c r="G9526" s="75">
        <v>9523</v>
      </c>
      <c r="H9526">
        <f t="shared" ca="1" si="134"/>
        <v>-3.5781799739786806E-3</v>
      </c>
    </row>
    <row r="9527" spans="7:8" x14ac:dyDescent="0.3">
      <c r="G9527" s="75">
        <v>9524</v>
      </c>
      <c r="H9527">
        <f t="shared" ca="1" si="134"/>
        <v>1.5094006845587444E-2</v>
      </c>
    </row>
    <row r="9528" spans="7:8" x14ac:dyDescent="0.3">
      <c r="G9528" s="75">
        <v>9525</v>
      </c>
      <c r="H9528">
        <f t="shared" ca="1" si="134"/>
        <v>9.9966938918631138E-3</v>
      </c>
    </row>
    <row r="9529" spans="7:8" x14ac:dyDescent="0.3">
      <c r="G9529" s="75">
        <v>9526</v>
      </c>
      <c r="H9529">
        <f t="shared" ca="1" si="134"/>
        <v>1.1987354471775392E-2</v>
      </c>
    </row>
    <row r="9530" spans="7:8" x14ac:dyDescent="0.3">
      <c r="G9530" s="75">
        <v>9527</v>
      </c>
      <c r="H9530">
        <f t="shared" ca="1" si="134"/>
        <v>1.8351599141422717E-2</v>
      </c>
    </row>
    <row r="9531" spans="7:8" x14ac:dyDescent="0.3">
      <c r="G9531" s="75">
        <v>9528</v>
      </c>
      <c r="H9531">
        <f t="shared" ca="1" si="134"/>
        <v>-8.3577248229525017E-3</v>
      </c>
    </row>
    <row r="9532" spans="7:8" x14ac:dyDescent="0.3">
      <c r="G9532" s="75">
        <v>9529</v>
      </c>
      <c r="H9532">
        <f t="shared" ca="1" si="134"/>
        <v>2.1513313127330003E-2</v>
      </c>
    </row>
    <row r="9533" spans="7:8" x14ac:dyDescent="0.3">
      <c r="G9533" s="75">
        <v>9530</v>
      </c>
      <c r="H9533">
        <f t="shared" ca="1" si="134"/>
        <v>-4.8817015562675422E-4</v>
      </c>
    </row>
    <row r="9534" spans="7:8" x14ac:dyDescent="0.3">
      <c r="G9534" s="75">
        <v>9531</v>
      </c>
      <c r="H9534">
        <f t="shared" ca="1" si="134"/>
        <v>-1.0178806576099727E-2</v>
      </c>
    </row>
    <row r="9535" spans="7:8" x14ac:dyDescent="0.3">
      <c r="G9535" s="75">
        <v>9532</v>
      </c>
      <c r="H9535">
        <f t="shared" ca="1" si="134"/>
        <v>1.9841218514930477E-3</v>
      </c>
    </row>
    <row r="9536" spans="7:8" x14ac:dyDescent="0.3">
      <c r="G9536" s="75">
        <v>9533</v>
      </c>
      <c r="H9536">
        <f t="shared" ca="1" si="134"/>
        <v>3.1903784157579817E-3</v>
      </c>
    </row>
    <row r="9537" spans="7:8" x14ac:dyDescent="0.3">
      <c r="G9537" s="75">
        <v>9534</v>
      </c>
      <c r="H9537">
        <f t="shared" ca="1" si="134"/>
        <v>4.1232875380037984E-3</v>
      </c>
    </row>
    <row r="9538" spans="7:8" x14ac:dyDescent="0.3">
      <c r="G9538" s="75">
        <v>9535</v>
      </c>
      <c r="H9538">
        <f t="shared" ref="H9538:H9601" ca="1" si="135">_xlfn.NORM.INV(RAND(),$N$4,$N$5)</f>
        <v>1.2667718963087854E-2</v>
      </c>
    </row>
    <row r="9539" spans="7:8" x14ac:dyDescent="0.3">
      <c r="G9539" s="75">
        <v>9536</v>
      </c>
      <c r="H9539">
        <f t="shared" ca="1" si="135"/>
        <v>-5.7021049396416322E-3</v>
      </c>
    </row>
    <row r="9540" spans="7:8" x14ac:dyDescent="0.3">
      <c r="G9540" s="75">
        <v>9537</v>
      </c>
      <c r="H9540">
        <f t="shared" ca="1" si="135"/>
        <v>-1.7662553022574942E-3</v>
      </c>
    </row>
    <row r="9541" spans="7:8" x14ac:dyDescent="0.3">
      <c r="G9541" s="75">
        <v>9538</v>
      </c>
      <c r="H9541">
        <f t="shared" ca="1" si="135"/>
        <v>4.6696608133093799E-3</v>
      </c>
    </row>
    <row r="9542" spans="7:8" x14ac:dyDescent="0.3">
      <c r="G9542" s="75">
        <v>9539</v>
      </c>
      <c r="H9542">
        <f t="shared" ca="1" si="135"/>
        <v>2.0413214651212822E-2</v>
      </c>
    </row>
    <row r="9543" spans="7:8" x14ac:dyDescent="0.3">
      <c r="G9543" s="75">
        <v>9540</v>
      </c>
      <c r="H9543">
        <f t="shared" ca="1" si="135"/>
        <v>-6.0311216959558845E-3</v>
      </c>
    </row>
    <row r="9544" spans="7:8" x14ac:dyDescent="0.3">
      <c r="G9544" s="75">
        <v>9541</v>
      </c>
      <c r="H9544">
        <f t="shared" ca="1" si="135"/>
        <v>1.9108604987068237E-2</v>
      </c>
    </row>
    <row r="9545" spans="7:8" x14ac:dyDescent="0.3">
      <c r="G9545" s="75">
        <v>9542</v>
      </c>
      <c r="H9545">
        <f t="shared" ca="1" si="135"/>
        <v>9.8818245407936295E-3</v>
      </c>
    </row>
    <row r="9546" spans="7:8" x14ac:dyDescent="0.3">
      <c r="G9546" s="75">
        <v>9543</v>
      </c>
      <c r="H9546">
        <f t="shared" ca="1" si="135"/>
        <v>8.1549814154431317E-3</v>
      </c>
    </row>
    <row r="9547" spans="7:8" x14ac:dyDescent="0.3">
      <c r="G9547" s="75">
        <v>9544</v>
      </c>
      <c r="H9547">
        <f t="shared" ca="1" si="135"/>
        <v>1.2334517966939857E-3</v>
      </c>
    </row>
    <row r="9548" spans="7:8" x14ac:dyDescent="0.3">
      <c r="G9548" s="75">
        <v>9545</v>
      </c>
      <c r="H9548">
        <f t="shared" ca="1" si="135"/>
        <v>1.338001833031459E-2</v>
      </c>
    </row>
    <row r="9549" spans="7:8" x14ac:dyDescent="0.3">
      <c r="G9549" s="75">
        <v>9546</v>
      </c>
      <c r="H9549">
        <f t="shared" ca="1" si="135"/>
        <v>-1.8870990713968014E-2</v>
      </c>
    </row>
    <row r="9550" spans="7:8" x14ac:dyDescent="0.3">
      <c r="G9550" s="75">
        <v>9547</v>
      </c>
      <c r="H9550">
        <f t="shared" ca="1" si="135"/>
        <v>-2.1984996346780396E-2</v>
      </c>
    </row>
    <row r="9551" spans="7:8" x14ac:dyDescent="0.3">
      <c r="G9551" s="75">
        <v>9548</v>
      </c>
      <c r="H9551">
        <f t="shared" ca="1" si="135"/>
        <v>-4.1723687875078255E-3</v>
      </c>
    </row>
    <row r="9552" spans="7:8" x14ac:dyDescent="0.3">
      <c r="G9552" s="75">
        <v>9549</v>
      </c>
      <c r="H9552">
        <f t="shared" ca="1" si="135"/>
        <v>1.2279439809901652E-2</v>
      </c>
    </row>
    <row r="9553" spans="7:8" x14ac:dyDescent="0.3">
      <c r="G9553" s="75">
        <v>9550</v>
      </c>
      <c r="H9553">
        <f t="shared" ca="1" si="135"/>
        <v>-1.3074341420546899E-2</v>
      </c>
    </row>
    <row r="9554" spans="7:8" x14ac:dyDescent="0.3">
      <c r="G9554" s="75">
        <v>9551</v>
      </c>
      <c r="H9554">
        <f t="shared" ca="1" si="135"/>
        <v>-6.7165413314701728E-3</v>
      </c>
    </row>
    <row r="9555" spans="7:8" x14ac:dyDescent="0.3">
      <c r="G9555" s="75">
        <v>9552</v>
      </c>
      <c r="H9555">
        <f t="shared" ca="1" si="135"/>
        <v>-1.2248507878231622E-2</v>
      </c>
    </row>
    <row r="9556" spans="7:8" x14ac:dyDescent="0.3">
      <c r="G9556" s="75">
        <v>9553</v>
      </c>
      <c r="H9556">
        <f t="shared" ca="1" si="135"/>
        <v>-1.4444510284082472E-2</v>
      </c>
    </row>
    <row r="9557" spans="7:8" x14ac:dyDescent="0.3">
      <c r="G9557" s="75">
        <v>9554</v>
      </c>
      <c r="H9557">
        <f t="shared" ca="1" si="135"/>
        <v>-2.6884721075999429E-2</v>
      </c>
    </row>
    <row r="9558" spans="7:8" x14ac:dyDescent="0.3">
      <c r="G9558" s="75">
        <v>9555</v>
      </c>
      <c r="H9558">
        <f t="shared" ca="1" si="135"/>
        <v>2.5117921833857045E-4</v>
      </c>
    </row>
    <row r="9559" spans="7:8" x14ac:dyDescent="0.3">
      <c r="G9559" s="75">
        <v>9556</v>
      </c>
      <c r="H9559">
        <f t="shared" ca="1" si="135"/>
        <v>1.4261903464331961E-2</v>
      </c>
    </row>
    <row r="9560" spans="7:8" x14ac:dyDescent="0.3">
      <c r="G9560" s="75">
        <v>9557</v>
      </c>
      <c r="H9560">
        <f t="shared" ca="1" si="135"/>
        <v>3.3455715685922074E-4</v>
      </c>
    </row>
    <row r="9561" spans="7:8" x14ac:dyDescent="0.3">
      <c r="G9561" s="75">
        <v>9558</v>
      </c>
      <c r="H9561">
        <f t="shared" ca="1" si="135"/>
        <v>2.7353980954442213E-2</v>
      </c>
    </row>
    <row r="9562" spans="7:8" x14ac:dyDescent="0.3">
      <c r="G9562" s="75">
        <v>9559</v>
      </c>
      <c r="H9562">
        <f t="shared" ca="1" si="135"/>
        <v>-1.0253625715056371E-2</v>
      </c>
    </row>
    <row r="9563" spans="7:8" x14ac:dyDescent="0.3">
      <c r="G9563" s="75">
        <v>9560</v>
      </c>
      <c r="H9563">
        <f t="shared" ca="1" si="135"/>
        <v>-5.8980108861013776E-3</v>
      </c>
    </row>
    <row r="9564" spans="7:8" x14ac:dyDescent="0.3">
      <c r="G9564" s="75">
        <v>9561</v>
      </c>
      <c r="H9564">
        <f t="shared" ca="1" si="135"/>
        <v>5.0556237103039506E-3</v>
      </c>
    </row>
    <row r="9565" spans="7:8" x14ac:dyDescent="0.3">
      <c r="G9565" s="75">
        <v>9562</v>
      </c>
      <c r="H9565">
        <f t="shared" ca="1" si="135"/>
        <v>3.8170033313681767E-2</v>
      </c>
    </row>
    <row r="9566" spans="7:8" x14ac:dyDescent="0.3">
      <c r="G9566" s="75">
        <v>9563</v>
      </c>
      <c r="H9566">
        <f t="shared" ca="1" si="135"/>
        <v>-3.624986405671092E-2</v>
      </c>
    </row>
    <row r="9567" spans="7:8" x14ac:dyDescent="0.3">
      <c r="G9567" s="75">
        <v>9564</v>
      </c>
      <c r="H9567">
        <f t="shared" ca="1" si="135"/>
        <v>1.3109411622254867E-2</v>
      </c>
    </row>
    <row r="9568" spans="7:8" x14ac:dyDescent="0.3">
      <c r="G9568" s="75">
        <v>9565</v>
      </c>
      <c r="H9568">
        <f t="shared" ca="1" si="135"/>
        <v>-3.5755981337281357E-4</v>
      </c>
    </row>
    <row r="9569" spans="7:8" x14ac:dyDescent="0.3">
      <c r="G9569" s="75">
        <v>9566</v>
      </c>
      <c r="H9569">
        <f t="shared" ca="1" si="135"/>
        <v>4.8748623945992862E-3</v>
      </c>
    </row>
    <row r="9570" spans="7:8" x14ac:dyDescent="0.3">
      <c r="G9570" s="75">
        <v>9567</v>
      </c>
      <c r="H9570">
        <f t="shared" ca="1" si="135"/>
        <v>1.4253736513753031E-2</v>
      </c>
    </row>
    <row r="9571" spans="7:8" x14ac:dyDescent="0.3">
      <c r="G9571" s="75">
        <v>9568</v>
      </c>
      <c r="H9571">
        <f t="shared" ca="1" si="135"/>
        <v>-9.1231819886592874E-3</v>
      </c>
    </row>
    <row r="9572" spans="7:8" x14ac:dyDescent="0.3">
      <c r="G9572" s="75">
        <v>9569</v>
      </c>
      <c r="H9572">
        <f t="shared" ca="1" si="135"/>
        <v>8.2707504977322117E-3</v>
      </c>
    </row>
    <row r="9573" spans="7:8" x14ac:dyDescent="0.3">
      <c r="G9573" s="75">
        <v>9570</v>
      </c>
      <c r="H9573">
        <f t="shared" ca="1" si="135"/>
        <v>1.5733355207578181E-2</v>
      </c>
    </row>
    <row r="9574" spans="7:8" x14ac:dyDescent="0.3">
      <c r="G9574" s="75">
        <v>9571</v>
      </c>
      <c r="H9574">
        <f t="shared" ca="1" si="135"/>
        <v>3.1125687433180499E-3</v>
      </c>
    </row>
    <row r="9575" spans="7:8" x14ac:dyDescent="0.3">
      <c r="G9575" s="75">
        <v>9572</v>
      </c>
      <c r="H9575">
        <f t="shared" ca="1" si="135"/>
        <v>-4.2781211196739083E-4</v>
      </c>
    </row>
    <row r="9576" spans="7:8" x14ac:dyDescent="0.3">
      <c r="G9576" s="75">
        <v>9573</v>
      </c>
      <c r="H9576">
        <f t="shared" ca="1" si="135"/>
        <v>5.3087623439073686E-3</v>
      </c>
    </row>
    <row r="9577" spans="7:8" x14ac:dyDescent="0.3">
      <c r="G9577" s="75">
        <v>9574</v>
      </c>
      <c r="H9577">
        <f t="shared" ca="1" si="135"/>
        <v>-7.8369064960667548E-3</v>
      </c>
    </row>
    <row r="9578" spans="7:8" x14ac:dyDescent="0.3">
      <c r="G9578" s="75">
        <v>9575</v>
      </c>
      <c r="H9578">
        <f t="shared" ca="1" si="135"/>
        <v>3.4756949443182375E-2</v>
      </c>
    </row>
    <row r="9579" spans="7:8" x14ac:dyDescent="0.3">
      <c r="G9579" s="75">
        <v>9576</v>
      </c>
      <c r="H9579">
        <f t="shared" ca="1" si="135"/>
        <v>-2.9977429039502654E-4</v>
      </c>
    </row>
    <row r="9580" spans="7:8" x14ac:dyDescent="0.3">
      <c r="G9580" s="75">
        <v>9577</v>
      </c>
      <c r="H9580">
        <f t="shared" ca="1" si="135"/>
        <v>6.3456372628273722E-3</v>
      </c>
    </row>
    <row r="9581" spans="7:8" x14ac:dyDescent="0.3">
      <c r="G9581" s="75">
        <v>9578</v>
      </c>
      <c r="H9581">
        <f t="shared" ca="1" si="135"/>
        <v>2.8837456637083557E-3</v>
      </c>
    </row>
    <row r="9582" spans="7:8" x14ac:dyDescent="0.3">
      <c r="G9582" s="75">
        <v>9579</v>
      </c>
      <c r="H9582">
        <f t="shared" ca="1" si="135"/>
        <v>-8.2343468238275357E-3</v>
      </c>
    </row>
    <row r="9583" spans="7:8" x14ac:dyDescent="0.3">
      <c r="G9583" s="75">
        <v>9580</v>
      </c>
      <c r="H9583">
        <f t="shared" ca="1" si="135"/>
        <v>-8.738430576675775E-3</v>
      </c>
    </row>
    <row r="9584" spans="7:8" x14ac:dyDescent="0.3">
      <c r="G9584" s="75">
        <v>9581</v>
      </c>
      <c r="H9584">
        <f t="shared" ca="1" si="135"/>
        <v>3.8135884124807671E-3</v>
      </c>
    </row>
    <row r="9585" spans="7:8" x14ac:dyDescent="0.3">
      <c r="G9585" s="75">
        <v>9582</v>
      </c>
      <c r="H9585">
        <f t="shared" ca="1" si="135"/>
        <v>-1.7150608752552716E-2</v>
      </c>
    </row>
    <row r="9586" spans="7:8" x14ac:dyDescent="0.3">
      <c r="G9586" s="75">
        <v>9583</v>
      </c>
      <c r="H9586">
        <f t="shared" ca="1" si="135"/>
        <v>1.5108803616035798E-2</v>
      </c>
    </row>
    <row r="9587" spans="7:8" x14ac:dyDescent="0.3">
      <c r="G9587" s="75">
        <v>9584</v>
      </c>
      <c r="H9587">
        <f t="shared" ca="1" si="135"/>
        <v>3.3606488356564494E-3</v>
      </c>
    </row>
    <row r="9588" spans="7:8" x14ac:dyDescent="0.3">
      <c r="G9588" s="75">
        <v>9585</v>
      </c>
      <c r="H9588">
        <f t="shared" ca="1" si="135"/>
        <v>4.3995611396381463E-3</v>
      </c>
    </row>
    <row r="9589" spans="7:8" x14ac:dyDescent="0.3">
      <c r="G9589" s="75">
        <v>9586</v>
      </c>
      <c r="H9589">
        <f t="shared" ca="1" si="135"/>
        <v>2.5953935687860107E-2</v>
      </c>
    </row>
    <row r="9590" spans="7:8" x14ac:dyDescent="0.3">
      <c r="G9590" s="75">
        <v>9587</v>
      </c>
      <c r="H9590">
        <f t="shared" ca="1" si="135"/>
        <v>-7.3010671561748097E-3</v>
      </c>
    </row>
    <row r="9591" spans="7:8" x14ac:dyDescent="0.3">
      <c r="G9591" s="75">
        <v>9588</v>
      </c>
      <c r="H9591">
        <f t="shared" ca="1" si="135"/>
        <v>1.0950941480805628E-2</v>
      </c>
    </row>
    <row r="9592" spans="7:8" x14ac:dyDescent="0.3">
      <c r="G9592" s="75">
        <v>9589</v>
      </c>
      <c r="H9592">
        <f t="shared" ca="1" si="135"/>
        <v>-2.3850722939065545E-4</v>
      </c>
    </row>
    <row r="9593" spans="7:8" x14ac:dyDescent="0.3">
      <c r="G9593" s="75">
        <v>9590</v>
      </c>
      <c r="H9593">
        <f t="shared" ca="1" si="135"/>
        <v>1.1119977460463084E-2</v>
      </c>
    </row>
    <row r="9594" spans="7:8" x14ac:dyDescent="0.3">
      <c r="G9594" s="75">
        <v>9591</v>
      </c>
      <c r="H9594">
        <f t="shared" ca="1" si="135"/>
        <v>-5.7708068133780523E-3</v>
      </c>
    </row>
    <row r="9595" spans="7:8" x14ac:dyDescent="0.3">
      <c r="G9595" s="75">
        <v>9592</v>
      </c>
      <c r="H9595">
        <f t="shared" ca="1" si="135"/>
        <v>2.4269243861215792E-2</v>
      </c>
    </row>
    <row r="9596" spans="7:8" x14ac:dyDescent="0.3">
      <c r="G9596" s="75">
        <v>9593</v>
      </c>
      <c r="H9596">
        <f t="shared" ca="1" si="135"/>
        <v>-1.1965481614576763E-2</v>
      </c>
    </row>
    <row r="9597" spans="7:8" x14ac:dyDescent="0.3">
      <c r="G9597" s="75">
        <v>9594</v>
      </c>
      <c r="H9597">
        <f t="shared" ca="1" si="135"/>
        <v>2.8108766056931411E-2</v>
      </c>
    </row>
    <row r="9598" spans="7:8" x14ac:dyDescent="0.3">
      <c r="G9598" s="75">
        <v>9595</v>
      </c>
      <c r="H9598">
        <f t="shared" ca="1" si="135"/>
        <v>-9.1691723884452271E-3</v>
      </c>
    </row>
    <row r="9599" spans="7:8" x14ac:dyDescent="0.3">
      <c r="G9599" s="75">
        <v>9596</v>
      </c>
      <c r="H9599">
        <f t="shared" ca="1" si="135"/>
        <v>-3.5050912899370892E-3</v>
      </c>
    </row>
    <row r="9600" spans="7:8" x14ac:dyDescent="0.3">
      <c r="G9600" s="75">
        <v>9597</v>
      </c>
      <c r="H9600">
        <f t="shared" ca="1" si="135"/>
        <v>2.6625297349109386E-2</v>
      </c>
    </row>
    <row r="9601" spans="7:8" x14ac:dyDescent="0.3">
      <c r="G9601" s="75">
        <v>9598</v>
      </c>
      <c r="H9601">
        <f t="shared" ca="1" si="135"/>
        <v>-3.4490929293805707E-3</v>
      </c>
    </row>
    <row r="9602" spans="7:8" x14ac:dyDescent="0.3">
      <c r="G9602" s="75">
        <v>9599</v>
      </c>
      <c r="H9602">
        <f t="shared" ref="H9602:H9665" ca="1" si="136">_xlfn.NORM.INV(RAND(),$N$4,$N$5)</f>
        <v>1.7238266752733145E-2</v>
      </c>
    </row>
    <row r="9603" spans="7:8" x14ac:dyDescent="0.3">
      <c r="G9603" s="75">
        <v>9600</v>
      </c>
      <c r="H9603">
        <f t="shared" ca="1" si="136"/>
        <v>2.0958217191049105E-2</v>
      </c>
    </row>
    <row r="9604" spans="7:8" x14ac:dyDescent="0.3">
      <c r="G9604" s="75">
        <v>9601</v>
      </c>
      <c r="H9604">
        <f t="shared" ca="1" si="136"/>
        <v>1.5714677794239924E-2</v>
      </c>
    </row>
    <row r="9605" spans="7:8" x14ac:dyDescent="0.3">
      <c r="G9605" s="75">
        <v>9602</v>
      </c>
      <c r="H9605">
        <f t="shared" ca="1" si="136"/>
        <v>1.1228381422355348E-2</v>
      </c>
    </row>
    <row r="9606" spans="7:8" x14ac:dyDescent="0.3">
      <c r="G9606" s="75">
        <v>9603</v>
      </c>
      <c r="H9606">
        <f t="shared" ca="1" si="136"/>
        <v>3.0874155115916332E-3</v>
      </c>
    </row>
    <row r="9607" spans="7:8" x14ac:dyDescent="0.3">
      <c r="G9607" s="75">
        <v>9604</v>
      </c>
      <c r="H9607">
        <f t="shared" ca="1" si="136"/>
        <v>-2.8316766610058225E-3</v>
      </c>
    </row>
    <row r="9608" spans="7:8" x14ac:dyDescent="0.3">
      <c r="G9608" s="75">
        <v>9605</v>
      </c>
      <c r="H9608">
        <f t="shared" ca="1" si="136"/>
        <v>-2.0286436473158378E-3</v>
      </c>
    </row>
    <row r="9609" spans="7:8" x14ac:dyDescent="0.3">
      <c r="G9609" s="75">
        <v>9606</v>
      </c>
      <c r="H9609">
        <f t="shared" ca="1" si="136"/>
        <v>-2.6702044999226682E-2</v>
      </c>
    </row>
    <row r="9610" spans="7:8" x14ac:dyDescent="0.3">
      <c r="G9610" s="75">
        <v>9607</v>
      </c>
      <c r="H9610">
        <f t="shared" ca="1" si="136"/>
        <v>2.3004065563095786E-2</v>
      </c>
    </row>
    <row r="9611" spans="7:8" x14ac:dyDescent="0.3">
      <c r="G9611" s="75">
        <v>9608</v>
      </c>
      <c r="H9611">
        <f t="shared" ca="1" si="136"/>
        <v>-5.7201544089458128E-3</v>
      </c>
    </row>
    <row r="9612" spans="7:8" x14ac:dyDescent="0.3">
      <c r="G9612" s="75">
        <v>9609</v>
      </c>
      <c r="H9612">
        <f t="shared" ca="1" si="136"/>
        <v>-8.8257283551073911E-3</v>
      </c>
    </row>
    <row r="9613" spans="7:8" x14ac:dyDescent="0.3">
      <c r="G9613" s="75">
        <v>9610</v>
      </c>
      <c r="H9613">
        <f t="shared" ca="1" si="136"/>
        <v>2.1369114859540919E-2</v>
      </c>
    </row>
    <row r="9614" spans="7:8" x14ac:dyDescent="0.3">
      <c r="G9614" s="75">
        <v>9611</v>
      </c>
      <c r="H9614">
        <f t="shared" ca="1" si="136"/>
        <v>5.0997827961489937E-3</v>
      </c>
    </row>
    <row r="9615" spans="7:8" x14ac:dyDescent="0.3">
      <c r="G9615" s="75">
        <v>9612</v>
      </c>
      <c r="H9615">
        <f t="shared" ca="1" si="136"/>
        <v>1.0831016031838231E-2</v>
      </c>
    </row>
    <row r="9616" spans="7:8" x14ac:dyDescent="0.3">
      <c r="G9616" s="75">
        <v>9613</v>
      </c>
      <c r="H9616">
        <f t="shared" ca="1" si="136"/>
        <v>3.0911750552373515E-4</v>
      </c>
    </row>
    <row r="9617" spans="7:8" x14ac:dyDescent="0.3">
      <c r="G9617" s="75">
        <v>9614</v>
      </c>
      <c r="H9617">
        <f t="shared" ca="1" si="136"/>
        <v>-4.4929576074830653E-3</v>
      </c>
    </row>
    <row r="9618" spans="7:8" x14ac:dyDescent="0.3">
      <c r="G9618" s="75">
        <v>9615</v>
      </c>
      <c r="H9618">
        <f t="shared" ca="1" si="136"/>
        <v>-3.53742442672666E-3</v>
      </c>
    </row>
    <row r="9619" spans="7:8" x14ac:dyDescent="0.3">
      <c r="G9619" s="75">
        <v>9616</v>
      </c>
      <c r="H9619">
        <f t="shared" ca="1" si="136"/>
        <v>1.6598561742234862E-2</v>
      </c>
    </row>
    <row r="9620" spans="7:8" x14ac:dyDescent="0.3">
      <c r="G9620" s="75">
        <v>9617</v>
      </c>
      <c r="H9620">
        <f t="shared" ca="1" si="136"/>
        <v>-1.2485136477267365E-2</v>
      </c>
    </row>
    <row r="9621" spans="7:8" x14ac:dyDescent="0.3">
      <c r="G9621" s="75">
        <v>9618</v>
      </c>
      <c r="H9621">
        <f t="shared" ca="1" si="136"/>
        <v>7.9288528720652587E-3</v>
      </c>
    </row>
    <row r="9622" spans="7:8" x14ac:dyDescent="0.3">
      <c r="G9622" s="75">
        <v>9619</v>
      </c>
      <c r="H9622">
        <f t="shared" ca="1" si="136"/>
        <v>9.5650687232757825E-3</v>
      </c>
    </row>
    <row r="9623" spans="7:8" x14ac:dyDescent="0.3">
      <c r="G9623" s="75">
        <v>9620</v>
      </c>
      <c r="H9623">
        <f t="shared" ca="1" si="136"/>
        <v>-1.4928115726961018E-2</v>
      </c>
    </row>
    <row r="9624" spans="7:8" x14ac:dyDescent="0.3">
      <c r="G9624" s="75">
        <v>9621</v>
      </c>
      <c r="H9624">
        <f t="shared" ca="1" si="136"/>
        <v>-9.7817905999483708E-3</v>
      </c>
    </row>
    <row r="9625" spans="7:8" x14ac:dyDescent="0.3">
      <c r="G9625" s="75">
        <v>9622</v>
      </c>
      <c r="H9625">
        <f t="shared" ca="1" si="136"/>
        <v>-1.4888165680820869E-2</v>
      </c>
    </row>
    <row r="9626" spans="7:8" x14ac:dyDescent="0.3">
      <c r="G9626" s="75">
        <v>9623</v>
      </c>
      <c r="H9626">
        <f t="shared" ca="1" si="136"/>
        <v>-4.1202344480092109E-3</v>
      </c>
    </row>
    <row r="9627" spans="7:8" x14ac:dyDescent="0.3">
      <c r="G9627" s="75">
        <v>9624</v>
      </c>
      <c r="H9627">
        <f t="shared" ca="1" si="136"/>
        <v>-3.2795953786247729E-2</v>
      </c>
    </row>
    <row r="9628" spans="7:8" x14ac:dyDescent="0.3">
      <c r="G9628" s="75">
        <v>9625</v>
      </c>
      <c r="H9628">
        <f t="shared" ca="1" si="136"/>
        <v>9.4015687531943969E-4</v>
      </c>
    </row>
    <row r="9629" spans="7:8" x14ac:dyDescent="0.3">
      <c r="G9629" s="75">
        <v>9626</v>
      </c>
      <c r="H9629">
        <f t="shared" ca="1" si="136"/>
        <v>1.0327062408726197E-2</v>
      </c>
    </row>
    <row r="9630" spans="7:8" x14ac:dyDescent="0.3">
      <c r="G9630" s="75">
        <v>9627</v>
      </c>
      <c r="H9630">
        <f t="shared" ca="1" si="136"/>
        <v>-1.7108239374705837E-2</v>
      </c>
    </row>
    <row r="9631" spans="7:8" x14ac:dyDescent="0.3">
      <c r="G9631" s="75">
        <v>9628</v>
      </c>
      <c r="H9631">
        <f t="shared" ca="1" si="136"/>
        <v>-5.8316563457086164E-3</v>
      </c>
    </row>
    <row r="9632" spans="7:8" x14ac:dyDescent="0.3">
      <c r="G9632" s="75">
        <v>9629</v>
      </c>
      <c r="H9632">
        <f t="shared" ca="1" si="136"/>
        <v>1.5410566016403264E-3</v>
      </c>
    </row>
    <row r="9633" spans="7:8" x14ac:dyDescent="0.3">
      <c r="G9633" s="75">
        <v>9630</v>
      </c>
      <c r="H9633">
        <f t="shared" ca="1" si="136"/>
        <v>-4.7897007672178353E-3</v>
      </c>
    </row>
    <row r="9634" spans="7:8" x14ac:dyDescent="0.3">
      <c r="G9634" s="75">
        <v>9631</v>
      </c>
      <c r="H9634">
        <f t="shared" ca="1" si="136"/>
        <v>6.0738847969707297E-3</v>
      </c>
    </row>
    <row r="9635" spans="7:8" x14ac:dyDescent="0.3">
      <c r="G9635" s="75">
        <v>9632</v>
      </c>
      <c r="H9635">
        <f t="shared" ca="1" si="136"/>
        <v>-6.1343715643450616E-3</v>
      </c>
    </row>
    <row r="9636" spans="7:8" x14ac:dyDescent="0.3">
      <c r="G9636" s="75">
        <v>9633</v>
      </c>
      <c r="H9636">
        <f t="shared" ca="1" si="136"/>
        <v>-1.5910556080571507E-3</v>
      </c>
    </row>
    <row r="9637" spans="7:8" x14ac:dyDescent="0.3">
      <c r="G9637" s="75">
        <v>9634</v>
      </c>
      <c r="H9637">
        <f t="shared" ca="1" si="136"/>
        <v>8.9188359818303444E-3</v>
      </c>
    </row>
    <row r="9638" spans="7:8" x14ac:dyDescent="0.3">
      <c r="G9638" s="75">
        <v>9635</v>
      </c>
      <c r="H9638">
        <f t="shared" ca="1" si="136"/>
        <v>-2.1240611281394203E-2</v>
      </c>
    </row>
    <row r="9639" spans="7:8" x14ac:dyDescent="0.3">
      <c r="G9639" s="75">
        <v>9636</v>
      </c>
      <c r="H9639">
        <f t="shared" ca="1" si="136"/>
        <v>1.9600309937880056E-3</v>
      </c>
    </row>
    <row r="9640" spans="7:8" x14ac:dyDescent="0.3">
      <c r="G9640" s="75">
        <v>9637</v>
      </c>
      <c r="H9640">
        <f t="shared" ca="1" si="136"/>
        <v>1.5117593258294086E-2</v>
      </c>
    </row>
    <row r="9641" spans="7:8" x14ac:dyDescent="0.3">
      <c r="G9641" s="75">
        <v>9638</v>
      </c>
      <c r="H9641">
        <f t="shared" ca="1" si="136"/>
        <v>-1.0212501118415871E-2</v>
      </c>
    </row>
    <row r="9642" spans="7:8" x14ac:dyDescent="0.3">
      <c r="G9642" s="75">
        <v>9639</v>
      </c>
      <c r="H9642">
        <f t="shared" ca="1" si="136"/>
        <v>-6.1155928065462807E-3</v>
      </c>
    </row>
    <row r="9643" spans="7:8" x14ac:dyDescent="0.3">
      <c r="G9643" s="75">
        <v>9640</v>
      </c>
      <c r="H9643">
        <f t="shared" ca="1" si="136"/>
        <v>-4.0519304469050464E-3</v>
      </c>
    </row>
    <row r="9644" spans="7:8" x14ac:dyDescent="0.3">
      <c r="G9644" s="75">
        <v>9641</v>
      </c>
      <c r="H9644">
        <f t="shared" ca="1" si="136"/>
        <v>1.8108052954468566E-2</v>
      </c>
    </row>
    <row r="9645" spans="7:8" x14ac:dyDescent="0.3">
      <c r="G9645" s="75">
        <v>9642</v>
      </c>
      <c r="H9645">
        <f t="shared" ca="1" si="136"/>
        <v>1.7658934500654064E-2</v>
      </c>
    </row>
    <row r="9646" spans="7:8" x14ac:dyDescent="0.3">
      <c r="G9646" s="75">
        <v>9643</v>
      </c>
      <c r="H9646">
        <f t="shared" ca="1" si="136"/>
        <v>-2.543905365206536E-2</v>
      </c>
    </row>
    <row r="9647" spans="7:8" x14ac:dyDescent="0.3">
      <c r="G9647" s="75">
        <v>9644</v>
      </c>
      <c r="H9647">
        <f t="shared" ca="1" si="136"/>
        <v>-7.7737498101059024E-3</v>
      </c>
    </row>
    <row r="9648" spans="7:8" x14ac:dyDescent="0.3">
      <c r="G9648" s="75">
        <v>9645</v>
      </c>
      <c r="H9648">
        <f t="shared" ca="1" si="136"/>
        <v>-5.8425170402664518E-3</v>
      </c>
    </row>
    <row r="9649" spans="7:8" x14ac:dyDescent="0.3">
      <c r="G9649" s="75">
        <v>9646</v>
      </c>
      <c r="H9649">
        <f t="shared" ca="1" si="136"/>
        <v>-1.50653952565398E-2</v>
      </c>
    </row>
    <row r="9650" spans="7:8" x14ac:dyDescent="0.3">
      <c r="G9650" s="75">
        <v>9647</v>
      </c>
      <c r="H9650">
        <f t="shared" ca="1" si="136"/>
        <v>1.2393572317841854E-2</v>
      </c>
    </row>
    <row r="9651" spans="7:8" x14ac:dyDescent="0.3">
      <c r="G9651" s="75">
        <v>9648</v>
      </c>
      <c r="H9651">
        <f t="shared" ca="1" si="136"/>
        <v>9.255156461644657E-3</v>
      </c>
    </row>
    <row r="9652" spans="7:8" x14ac:dyDescent="0.3">
      <c r="G9652" s="75">
        <v>9649</v>
      </c>
      <c r="H9652">
        <f t="shared" ca="1" si="136"/>
        <v>3.5217849219277295E-7</v>
      </c>
    </row>
    <row r="9653" spans="7:8" x14ac:dyDescent="0.3">
      <c r="G9653" s="75">
        <v>9650</v>
      </c>
      <c r="H9653">
        <f t="shared" ca="1" si="136"/>
        <v>8.8828921222431651E-3</v>
      </c>
    </row>
    <row r="9654" spans="7:8" x14ac:dyDescent="0.3">
      <c r="G9654" s="75">
        <v>9651</v>
      </c>
      <c r="H9654">
        <f t="shared" ca="1" si="136"/>
        <v>-1.5816585806152635E-2</v>
      </c>
    </row>
    <row r="9655" spans="7:8" x14ac:dyDescent="0.3">
      <c r="G9655" s="75">
        <v>9652</v>
      </c>
      <c r="H9655">
        <f t="shared" ca="1" si="136"/>
        <v>-1.1987333491462557E-2</v>
      </c>
    </row>
    <row r="9656" spans="7:8" x14ac:dyDescent="0.3">
      <c r="G9656" s="75">
        <v>9653</v>
      </c>
      <c r="H9656">
        <f t="shared" ca="1" si="136"/>
        <v>1.2153377109765778E-2</v>
      </c>
    </row>
    <row r="9657" spans="7:8" x14ac:dyDescent="0.3">
      <c r="G9657" s="75">
        <v>9654</v>
      </c>
      <c r="H9657">
        <f t="shared" ca="1" si="136"/>
        <v>-3.0593121556513714E-2</v>
      </c>
    </row>
    <row r="9658" spans="7:8" x14ac:dyDescent="0.3">
      <c r="G9658" s="75">
        <v>9655</v>
      </c>
      <c r="H9658">
        <f t="shared" ca="1" si="136"/>
        <v>-1.0207608736206448E-2</v>
      </c>
    </row>
    <row r="9659" spans="7:8" x14ac:dyDescent="0.3">
      <c r="G9659" s="75">
        <v>9656</v>
      </c>
      <c r="H9659">
        <f t="shared" ca="1" si="136"/>
        <v>1.8915689406851031E-2</v>
      </c>
    </row>
    <row r="9660" spans="7:8" x14ac:dyDescent="0.3">
      <c r="G9660" s="75">
        <v>9657</v>
      </c>
      <c r="H9660">
        <f t="shared" ca="1" si="136"/>
        <v>1.0729975823332866E-2</v>
      </c>
    </row>
    <row r="9661" spans="7:8" x14ac:dyDescent="0.3">
      <c r="G9661" s="75">
        <v>9658</v>
      </c>
      <c r="H9661">
        <f t="shared" ca="1" si="136"/>
        <v>5.8009984950416725E-3</v>
      </c>
    </row>
    <row r="9662" spans="7:8" x14ac:dyDescent="0.3">
      <c r="G9662" s="75">
        <v>9659</v>
      </c>
      <c r="H9662">
        <f t="shared" ca="1" si="136"/>
        <v>-6.0955813657403565E-3</v>
      </c>
    </row>
    <row r="9663" spans="7:8" x14ac:dyDescent="0.3">
      <c r="G9663" s="75">
        <v>9660</v>
      </c>
      <c r="H9663">
        <f t="shared" ca="1" si="136"/>
        <v>1.9805503235597152E-3</v>
      </c>
    </row>
    <row r="9664" spans="7:8" x14ac:dyDescent="0.3">
      <c r="G9664" s="75">
        <v>9661</v>
      </c>
      <c r="H9664">
        <f t="shared" ca="1" si="136"/>
        <v>-1.1526255409498773E-2</v>
      </c>
    </row>
    <row r="9665" spans="7:8" x14ac:dyDescent="0.3">
      <c r="G9665" s="75">
        <v>9662</v>
      </c>
      <c r="H9665">
        <f t="shared" ca="1" si="136"/>
        <v>-1.0609300996205035E-2</v>
      </c>
    </row>
    <row r="9666" spans="7:8" x14ac:dyDescent="0.3">
      <c r="G9666" s="75">
        <v>9663</v>
      </c>
      <c r="H9666">
        <f t="shared" ref="H9666:H9729" ca="1" si="137">_xlfn.NORM.INV(RAND(),$N$4,$N$5)</f>
        <v>-9.0234954021745832E-4</v>
      </c>
    </row>
    <row r="9667" spans="7:8" x14ac:dyDescent="0.3">
      <c r="G9667" s="75">
        <v>9664</v>
      </c>
      <c r="H9667">
        <f t="shared" ca="1" si="137"/>
        <v>4.1633426188808446E-3</v>
      </c>
    </row>
    <row r="9668" spans="7:8" x14ac:dyDescent="0.3">
      <c r="G9668" s="75">
        <v>9665</v>
      </c>
      <c r="H9668">
        <f t="shared" ca="1" si="137"/>
        <v>6.2027412972974656E-4</v>
      </c>
    </row>
    <row r="9669" spans="7:8" x14ac:dyDescent="0.3">
      <c r="G9669" s="75">
        <v>9666</v>
      </c>
      <c r="H9669">
        <f t="shared" ca="1" si="137"/>
        <v>-8.0716945905536363E-3</v>
      </c>
    </row>
    <row r="9670" spans="7:8" x14ac:dyDescent="0.3">
      <c r="G9670" s="75">
        <v>9667</v>
      </c>
      <c r="H9670">
        <f t="shared" ca="1" si="137"/>
        <v>-5.2529770867858899E-3</v>
      </c>
    </row>
    <row r="9671" spans="7:8" x14ac:dyDescent="0.3">
      <c r="G9671" s="75">
        <v>9668</v>
      </c>
      <c r="H9671">
        <f t="shared" ca="1" si="137"/>
        <v>2.0819189945290431E-2</v>
      </c>
    </row>
    <row r="9672" spans="7:8" x14ac:dyDescent="0.3">
      <c r="G9672" s="75">
        <v>9669</v>
      </c>
      <c r="H9672">
        <f t="shared" ca="1" si="137"/>
        <v>-4.4416146321483415E-3</v>
      </c>
    </row>
    <row r="9673" spans="7:8" x14ac:dyDescent="0.3">
      <c r="G9673" s="75">
        <v>9670</v>
      </c>
      <c r="H9673">
        <f t="shared" ca="1" si="137"/>
        <v>-5.7623026269945105E-3</v>
      </c>
    </row>
    <row r="9674" spans="7:8" x14ac:dyDescent="0.3">
      <c r="G9674" s="75">
        <v>9671</v>
      </c>
      <c r="H9674">
        <f t="shared" ca="1" si="137"/>
        <v>2.1877244649797238E-4</v>
      </c>
    </row>
    <row r="9675" spans="7:8" x14ac:dyDescent="0.3">
      <c r="G9675" s="75">
        <v>9672</v>
      </c>
      <c r="H9675">
        <f t="shared" ca="1" si="137"/>
        <v>-8.0402791927422224E-3</v>
      </c>
    </row>
    <row r="9676" spans="7:8" x14ac:dyDescent="0.3">
      <c r="G9676" s="75">
        <v>9673</v>
      </c>
      <c r="H9676">
        <f t="shared" ca="1" si="137"/>
        <v>2.2206389840558078E-2</v>
      </c>
    </row>
    <row r="9677" spans="7:8" x14ac:dyDescent="0.3">
      <c r="G9677" s="75">
        <v>9674</v>
      </c>
      <c r="H9677">
        <f t="shared" ca="1" si="137"/>
        <v>5.2192994350561918E-3</v>
      </c>
    </row>
    <row r="9678" spans="7:8" x14ac:dyDescent="0.3">
      <c r="G9678" s="75">
        <v>9675</v>
      </c>
      <c r="H9678">
        <f t="shared" ca="1" si="137"/>
        <v>4.4223811045063901E-3</v>
      </c>
    </row>
    <row r="9679" spans="7:8" x14ac:dyDescent="0.3">
      <c r="G9679" s="75">
        <v>9676</v>
      </c>
      <c r="H9679">
        <f t="shared" ca="1" si="137"/>
        <v>1.2230012572530528E-2</v>
      </c>
    </row>
    <row r="9680" spans="7:8" x14ac:dyDescent="0.3">
      <c r="G9680" s="75">
        <v>9677</v>
      </c>
      <c r="H9680">
        <f t="shared" ca="1" si="137"/>
        <v>2.2050915376124251E-2</v>
      </c>
    </row>
    <row r="9681" spans="7:8" x14ac:dyDescent="0.3">
      <c r="G9681" s="75">
        <v>9678</v>
      </c>
      <c r="H9681">
        <f t="shared" ca="1" si="137"/>
        <v>-1.1837312084705096E-2</v>
      </c>
    </row>
    <row r="9682" spans="7:8" x14ac:dyDescent="0.3">
      <c r="G9682" s="75">
        <v>9679</v>
      </c>
      <c r="H9682">
        <f t="shared" ca="1" si="137"/>
        <v>1.9725747201318509E-2</v>
      </c>
    </row>
    <row r="9683" spans="7:8" x14ac:dyDescent="0.3">
      <c r="G9683" s="75">
        <v>9680</v>
      </c>
      <c r="H9683">
        <f t="shared" ca="1" si="137"/>
        <v>-8.9208372755568439E-3</v>
      </c>
    </row>
    <row r="9684" spans="7:8" x14ac:dyDescent="0.3">
      <c r="G9684" s="75">
        <v>9681</v>
      </c>
      <c r="H9684">
        <f t="shared" ca="1" si="137"/>
        <v>-6.8658732928269586E-3</v>
      </c>
    </row>
    <row r="9685" spans="7:8" x14ac:dyDescent="0.3">
      <c r="G9685" s="75">
        <v>9682</v>
      </c>
      <c r="H9685">
        <f t="shared" ca="1" si="137"/>
        <v>-9.5023695457747612E-4</v>
      </c>
    </row>
    <row r="9686" spans="7:8" x14ac:dyDescent="0.3">
      <c r="G9686" s="75">
        <v>9683</v>
      </c>
      <c r="H9686">
        <f t="shared" ca="1" si="137"/>
        <v>-1.1074038120315424E-2</v>
      </c>
    </row>
    <row r="9687" spans="7:8" x14ac:dyDescent="0.3">
      <c r="G9687" s="75">
        <v>9684</v>
      </c>
      <c r="H9687">
        <f t="shared" ca="1" si="137"/>
        <v>2.9042471723227315E-2</v>
      </c>
    </row>
    <row r="9688" spans="7:8" x14ac:dyDescent="0.3">
      <c r="G9688" s="75">
        <v>9685</v>
      </c>
      <c r="H9688">
        <f t="shared" ca="1" si="137"/>
        <v>1.2391298129835136E-2</v>
      </c>
    </row>
    <row r="9689" spans="7:8" x14ac:dyDescent="0.3">
      <c r="G9689" s="75">
        <v>9686</v>
      </c>
      <c r="H9689">
        <f t="shared" ca="1" si="137"/>
        <v>-3.9198435498772662E-3</v>
      </c>
    </row>
    <row r="9690" spans="7:8" x14ac:dyDescent="0.3">
      <c r="G9690" s="75">
        <v>9687</v>
      </c>
      <c r="H9690">
        <f t="shared" ca="1" si="137"/>
        <v>-5.7258782694404398E-3</v>
      </c>
    </row>
    <row r="9691" spans="7:8" x14ac:dyDescent="0.3">
      <c r="G9691" s="75">
        <v>9688</v>
      </c>
      <c r="H9691">
        <f t="shared" ca="1" si="137"/>
        <v>1.1287810949210114E-2</v>
      </c>
    </row>
    <row r="9692" spans="7:8" x14ac:dyDescent="0.3">
      <c r="G9692" s="75">
        <v>9689</v>
      </c>
      <c r="H9692">
        <f t="shared" ca="1" si="137"/>
        <v>3.2470948304504893E-2</v>
      </c>
    </row>
    <row r="9693" spans="7:8" x14ac:dyDescent="0.3">
      <c r="G9693" s="75">
        <v>9690</v>
      </c>
      <c r="H9693">
        <f t="shared" ca="1" si="137"/>
        <v>-2.9775103373470622E-3</v>
      </c>
    </row>
    <row r="9694" spans="7:8" x14ac:dyDescent="0.3">
      <c r="G9694" s="75">
        <v>9691</v>
      </c>
      <c r="H9694">
        <f t="shared" ca="1" si="137"/>
        <v>5.7367696588033592E-3</v>
      </c>
    </row>
    <row r="9695" spans="7:8" x14ac:dyDescent="0.3">
      <c r="G9695" s="75">
        <v>9692</v>
      </c>
      <c r="H9695">
        <f t="shared" ca="1" si="137"/>
        <v>-1.1607304063841155E-2</v>
      </c>
    </row>
    <row r="9696" spans="7:8" x14ac:dyDescent="0.3">
      <c r="G9696" s="75">
        <v>9693</v>
      </c>
      <c r="H9696">
        <f t="shared" ca="1" si="137"/>
        <v>3.5981621341741278E-3</v>
      </c>
    </row>
    <row r="9697" spans="7:8" x14ac:dyDescent="0.3">
      <c r="G9697" s="75">
        <v>9694</v>
      </c>
      <c r="H9697">
        <f t="shared" ca="1" si="137"/>
        <v>-1.3260404215883672E-3</v>
      </c>
    </row>
    <row r="9698" spans="7:8" x14ac:dyDescent="0.3">
      <c r="G9698" s="75">
        <v>9695</v>
      </c>
      <c r="H9698">
        <f t="shared" ca="1" si="137"/>
        <v>1.7207452873465291E-2</v>
      </c>
    </row>
    <row r="9699" spans="7:8" x14ac:dyDescent="0.3">
      <c r="G9699" s="75">
        <v>9696</v>
      </c>
      <c r="H9699">
        <f t="shared" ca="1" si="137"/>
        <v>-9.967062957705889E-3</v>
      </c>
    </row>
    <row r="9700" spans="7:8" x14ac:dyDescent="0.3">
      <c r="G9700" s="75">
        <v>9697</v>
      </c>
      <c r="H9700">
        <f t="shared" ca="1" si="137"/>
        <v>-5.2454421751489478E-3</v>
      </c>
    </row>
    <row r="9701" spans="7:8" x14ac:dyDescent="0.3">
      <c r="G9701" s="75">
        <v>9698</v>
      </c>
      <c r="H9701">
        <f t="shared" ca="1" si="137"/>
        <v>-2.2845222067991881E-2</v>
      </c>
    </row>
    <row r="9702" spans="7:8" x14ac:dyDescent="0.3">
      <c r="G9702" s="75">
        <v>9699</v>
      </c>
      <c r="H9702">
        <f t="shared" ca="1" si="137"/>
        <v>-1.0621137917454226E-2</v>
      </c>
    </row>
    <row r="9703" spans="7:8" x14ac:dyDescent="0.3">
      <c r="G9703" s="75">
        <v>9700</v>
      </c>
      <c r="H9703">
        <f t="shared" ca="1" si="137"/>
        <v>-3.579633191018795E-3</v>
      </c>
    </row>
    <row r="9704" spans="7:8" x14ac:dyDescent="0.3">
      <c r="G9704" s="75">
        <v>9701</v>
      </c>
      <c r="H9704">
        <f t="shared" ca="1" si="137"/>
        <v>-2.1940250886134205E-3</v>
      </c>
    </row>
    <row r="9705" spans="7:8" x14ac:dyDescent="0.3">
      <c r="G9705" s="75">
        <v>9702</v>
      </c>
      <c r="H9705">
        <f t="shared" ca="1" si="137"/>
        <v>-1.2091879312755148E-2</v>
      </c>
    </row>
    <row r="9706" spans="7:8" x14ac:dyDescent="0.3">
      <c r="G9706" s="75">
        <v>9703</v>
      </c>
      <c r="H9706">
        <f t="shared" ca="1" si="137"/>
        <v>-2.6910016641199853E-3</v>
      </c>
    </row>
    <row r="9707" spans="7:8" x14ac:dyDescent="0.3">
      <c r="G9707" s="75">
        <v>9704</v>
      </c>
      <c r="H9707">
        <f t="shared" ca="1" si="137"/>
        <v>-5.7533108490632695E-3</v>
      </c>
    </row>
    <row r="9708" spans="7:8" x14ac:dyDescent="0.3">
      <c r="G9708" s="75">
        <v>9705</v>
      </c>
      <c r="H9708">
        <f t="shared" ca="1" si="137"/>
        <v>-1.065886855906603E-2</v>
      </c>
    </row>
    <row r="9709" spans="7:8" x14ac:dyDescent="0.3">
      <c r="G9709" s="75">
        <v>9706</v>
      </c>
      <c r="H9709">
        <f t="shared" ca="1" si="137"/>
        <v>8.7633315516839156E-4</v>
      </c>
    </row>
    <row r="9710" spans="7:8" x14ac:dyDescent="0.3">
      <c r="G9710" s="75">
        <v>9707</v>
      </c>
      <c r="H9710">
        <f t="shared" ca="1" si="137"/>
        <v>-1.1051555753889847E-2</v>
      </c>
    </row>
    <row r="9711" spans="7:8" x14ac:dyDescent="0.3">
      <c r="G9711" s="75">
        <v>9708</v>
      </c>
      <c r="H9711">
        <f t="shared" ca="1" si="137"/>
        <v>-9.7585990906937561E-3</v>
      </c>
    </row>
    <row r="9712" spans="7:8" x14ac:dyDescent="0.3">
      <c r="G9712" s="75">
        <v>9709</v>
      </c>
      <c r="H9712">
        <f t="shared" ca="1" si="137"/>
        <v>3.623586045218678E-4</v>
      </c>
    </row>
    <row r="9713" spans="7:8" x14ac:dyDescent="0.3">
      <c r="G9713" s="75">
        <v>9710</v>
      </c>
      <c r="H9713">
        <f t="shared" ca="1" si="137"/>
        <v>-7.8034832540520242E-3</v>
      </c>
    </row>
    <row r="9714" spans="7:8" x14ac:dyDescent="0.3">
      <c r="G9714" s="75">
        <v>9711</v>
      </c>
      <c r="H9714">
        <f t="shared" ca="1" si="137"/>
        <v>4.1709906618448843E-4</v>
      </c>
    </row>
    <row r="9715" spans="7:8" x14ac:dyDescent="0.3">
      <c r="G9715" s="75">
        <v>9712</v>
      </c>
      <c r="H9715">
        <f t="shared" ca="1" si="137"/>
        <v>-1.8650131129312273E-2</v>
      </c>
    </row>
    <row r="9716" spans="7:8" x14ac:dyDescent="0.3">
      <c r="G9716" s="75">
        <v>9713</v>
      </c>
      <c r="H9716">
        <f t="shared" ca="1" si="137"/>
        <v>2.6826029844511878E-2</v>
      </c>
    </row>
    <row r="9717" spans="7:8" x14ac:dyDescent="0.3">
      <c r="G9717" s="75">
        <v>9714</v>
      </c>
      <c r="H9717">
        <f t="shared" ca="1" si="137"/>
        <v>-4.9208663925900346E-3</v>
      </c>
    </row>
    <row r="9718" spans="7:8" x14ac:dyDescent="0.3">
      <c r="G9718" s="75">
        <v>9715</v>
      </c>
      <c r="H9718">
        <f t="shared" ca="1" si="137"/>
        <v>-1.6929242196927562E-2</v>
      </c>
    </row>
    <row r="9719" spans="7:8" x14ac:dyDescent="0.3">
      <c r="G9719" s="75">
        <v>9716</v>
      </c>
      <c r="H9719">
        <f t="shared" ca="1" si="137"/>
        <v>-8.4795473538178488E-3</v>
      </c>
    </row>
    <row r="9720" spans="7:8" x14ac:dyDescent="0.3">
      <c r="G9720" s="75">
        <v>9717</v>
      </c>
      <c r="H9720">
        <f t="shared" ca="1" si="137"/>
        <v>-2.5347118180597682E-3</v>
      </c>
    </row>
    <row r="9721" spans="7:8" x14ac:dyDescent="0.3">
      <c r="G9721" s="75">
        <v>9718</v>
      </c>
      <c r="H9721">
        <f t="shared" ca="1" si="137"/>
        <v>2.1392695767109584E-2</v>
      </c>
    </row>
    <row r="9722" spans="7:8" x14ac:dyDescent="0.3">
      <c r="G9722" s="75">
        <v>9719</v>
      </c>
      <c r="H9722">
        <f t="shared" ca="1" si="137"/>
        <v>2.1131509570091272E-3</v>
      </c>
    </row>
    <row r="9723" spans="7:8" x14ac:dyDescent="0.3">
      <c r="G9723" s="75">
        <v>9720</v>
      </c>
      <c r="H9723">
        <f t="shared" ca="1" si="137"/>
        <v>-1.6361548751902807E-2</v>
      </c>
    </row>
    <row r="9724" spans="7:8" x14ac:dyDescent="0.3">
      <c r="G9724" s="75">
        <v>9721</v>
      </c>
      <c r="H9724">
        <f t="shared" ca="1" si="137"/>
        <v>-6.230591818031068E-3</v>
      </c>
    </row>
    <row r="9725" spans="7:8" x14ac:dyDescent="0.3">
      <c r="G9725" s="75">
        <v>9722</v>
      </c>
      <c r="H9725">
        <f t="shared" ca="1" si="137"/>
        <v>-2.2057311651669242E-2</v>
      </c>
    </row>
    <row r="9726" spans="7:8" x14ac:dyDescent="0.3">
      <c r="G9726" s="75">
        <v>9723</v>
      </c>
      <c r="H9726">
        <f t="shared" ca="1" si="137"/>
        <v>9.9472583794202631E-3</v>
      </c>
    </row>
    <row r="9727" spans="7:8" x14ac:dyDescent="0.3">
      <c r="G9727" s="75">
        <v>9724</v>
      </c>
      <c r="H9727">
        <f t="shared" ca="1" si="137"/>
        <v>8.814557895389933E-3</v>
      </c>
    </row>
    <row r="9728" spans="7:8" x14ac:dyDescent="0.3">
      <c r="G9728" s="75">
        <v>9725</v>
      </c>
      <c r="H9728">
        <f t="shared" ca="1" si="137"/>
        <v>-1.3591473367487381E-2</v>
      </c>
    </row>
    <row r="9729" spans="7:8" x14ac:dyDescent="0.3">
      <c r="G9729" s="75">
        <v>9726</v>
      </c>
      <c r="H9729">
        <f t="shared" ca="1" si="137"/>
        <v>-1.6217505654725689E-3</v>
      </c>
    </row>
    <row r="9730" spans="7:8" x14ac:dyDescent="0.3">
      <c r="G9730" s="75">
        <v>9727</v>
      </c>
      <c r="H9730">
        <f t="shared" ref="H9730:H9793" ca="1" si="138">_xlfn.NORM.INV(RAND(),$N$4,$N$5)</f>
        <v>2.3106990276355243E-3</v>
      </c>
    </row>
    <row r="9731" spans="7:8" x14ac:dyDescent="0.3">
      <c r="G9731" s="75">
        <v>9728</v>
      </c>
      <c r="H9731">
        <f t="shared" ca="1" si="138"/>
        <v>9.2388880161069014E-4</v>
      </c>
    </row>
    <row r="9732" spans="7:8" x14ac:dyDescent="0.3">
      <c r="G9732" s="75">
        <v>9729</v>
      </c>
      <c r="H9732">
        <f t="shared" ca="1" si="138"/>
        <v>5.2755070524545039E-3</v>
      </c>
    </row>
    <row r="9733" spans="7:8" x14ac:dyDescent="0.3">
      <c r="G9733" s="75">
        <v>9730</v>
      </c>
      <c r="H9733">
        <f t="shared" ca="1" si="138"/>
        <v>8.658385587981746E-3</v>
      </c>
    </row>
    <row r="9734" spans="7:8" x14ac:dyDescent="0.3">
      <c r="G9734" s="75">
        <v>9731</v>
      </c>
      <c r="H9734">
        <f t="shared" ca="1" si="138"/>
        <v>-2.9452796242941605E-3</v>
      </c>
    </row>
    <row r="9735" spans="7:8" x14ac:dyDescent="0.3">
      <c r="G9735" s="75">
        <v>9732</v>
      </c>
      <c r="H9735">
        <f t="shared" ca="1" si="138"/>
        <v>2.1515906816691771E-2</v>
      </c>
    </row>
    <row r="9736" spans="7:8" x14ac:dyDescent="0.3">
      <c r="G9736" s="75">
        <v>9733</v>
      </c>
      <c r="H9736">
        <f t="shared" ca="1" si="138"/>
        <v>3.3355675399520412E-3</v>
      </c>
    </row>
    <row r="9737" spans="7:8" x14ac:dyDescent="0.3">
      <c r="G9737" s="75">
        <v>9734</v>
      </c>
      <c r="H9737">
        <f t="shared" ca="1" si="138"/>
        <v>4.0216920535050106E-3</v>
      </c>
    </row>
    <row r="9738" spans="7:8" x14ac:dyDescent="0.3">
      <c r="G9738" s="75">
        <v>9735</v>
      </c>
      <c r="H9738">
        <f t="shared" ca="1" si="138"/>
        <v>-2.0661622222376989E-2</v>
      </c>
    </row>
    <row r="9739" spans="7:8" x14ac:dyDescent="0.3">
      <c r="G9739" s="75">
        <v>9736</v>
      </c>
      <c r="H9739">
        <f t="shared" ca="1" si="138"/>
        <v>-9.2492870748313617E-3</v>
      </c>
    </row>
    <row r="9740" spans="7:8" x14ac:dyDescent="0.3">
      <c r="G9740" s="75">
        <v>9737</v>
      </c>
      <c r="H9740">
        <f t="shared" ca="1" si="138"/>
        <v>-4.1457516936630441E-3</v>
      </c>
    </row>
    <row r="9741" spans="7:8" x14ac:dyDescent="0.3">
      <c r="G9741" s="75">
        <v>9738</v>
      </c>
      <c r="H9741">
        <f t="shared" ca="1" si="138"/>
        <v>1.7461878761721252E-2</v>
      </c>
    </row>
    <row r="9742" spans="7:8" x14ac:dyDescent="0.3">
      <c r="G9742" s="75">
        <v>9739</v>
      </c>
      <c r="H9742">
        <f t="shared" ca="1" si="138"/>
        <v>-1.8877940202436883E-2</v>
      </c>
    </row>
    <row r="9743" spans="7:8" x14ac:dyDescent="0.3">
      <c r="G9743" s="75">
        <v>9740</v>
      </c>
      <c r="H9743">
        <f t="shared" ca="1" si="138"/>
        <v>8.7743015266995052E-3</v>
      </c>
    </row>
    <row r="9744" spans="7:8" x14ac:dyDescent="0.3">
      <c r="G9744" s="75">
        <v>9741</v>
      </c>
      <c r="H9744">
        <f t="shared" ca="1" si="138"/>
        <v>2.4348006505272326E-2</v>
      </c>
    </row>
    <row r="9745" spans="7:8" x14ac:dyDescent="0.3">
      <c r="G9745" s="75">
        <v>9742</v>
      </c>
      <c r="H9745">
        <f t="shared" ca="1" si="138"/>
        <v>-1.5276328709116363E-2</v>
      </c>
    </row>
    <row r="9746" spans="7:8" x14ac:dyDescent="0.3">
      <c r="G9746" s="75">
        <v>9743</v>
      </c>
      <c r="H9746">
        <f t="shared" ca="1" si="138"/>
        <v>1.6967851320270438E-2</v>
      </c>
    </row>
    <row r="9747" spans="7:8" x14ac:dyDescent="0.3">
      <c r="G9747" s="75">
        <v>9744</v>
      </c>
      <c r="H9747">
        <f t="shared" ca="1" si="138"/>
        <v>7.7370094844452101E-3</v>
      </c>
    </row>
    <row r="9748" spans="7:8" x14ac:dyDescent="0.3">
      <c r="G9748" s="75">
        <v>9745</v>
      </c>
      <c r="H9748">
        <f t="shared" ca="1" si="138"/>
        <v>1.9988695899568105E-2</v>
      </c>
    </row>
    <row r="9749" spans="7:8" x14ac:dyDescent="0.3">
      <c r="G9749" s="75">
        <v>9746</v>
      </c>
      <c r="H9749">
        <f t="shared" ca="1" si="138"/>
        <v>-1.7903310686490068E-2</v>
      </c>
    </row>
    <row r="9750" spans="7:8" x14ac:dyDescent="0.3">
      <c r="G9750" s="75">
        <v>9747</v>
      </c>
      <c r="H9750">
        <f t="shared" ca="1" si="138"/>
        <v>-1.8665551009018545E-2</v>
      </c>
    </row>
    <row r="9751" spans="7:8" x14ac:dyDescent="0.3">
      <c r="G9751" s="75">
        <v>9748</v>
      </c>
      <c r="H9751">
        <f t="shared" ca="1" si="138"/>
        <v>-1.4136902900429259E-2</v>
      </c>
    </row>
    <row r="9752" spans="7:8" x14ac:dyDescent="0.3">
      <c r="G9752" s="75">
        <v>9749</v>
      </c>
      <c r="H9752">
        <f t="shared" ca="1" si="138"/>
        <v>1.4993413692646715E-2</v>
      </c>
    </row>
    <row r="9753" spans="7:8" x14ac:dyDescent="0.3">
      <c r="G9753" s="75">
        <v>9750</v>
      </c>
      <c r="H9753">
        <f t="shared" ca="1" si="138"/>
        <v>7.3882407747512058E-3</v>
      </c>
    </row>
    <row r="9754" spans="7:8" x14ac:dyDescent="0.3">
      <c r="G9754" s="75">
        <v>9751</v>
      </c>
      <c r="H9754">
        <f t="shared" ca="1" si="138"/>
        <v>2.1788650401192364E-3</v>
      </c>
    </row>
    <row r="9755" spans="7:8" x14ac:dyDescent="0.3">
      <c r="G9755" s="75">
        <v>9752</v>
      </c>
      <c r="H9755">
        <f t="shared" ca="1" si="138"/>
        <v>1.693494922703865E-2</v>
      </c>
    </row>
    <row r="9756" spans="7:8" x14ac:dyDescent="0.3">
      <c r="G9756" s="75">
        <v>9753</v>
      </c>
      <c r="H9756">
        <f t="shared" ca="1" si="138"/>
        <v>-6.9736559843855553E-3</v>
      </c>
    </row>
    <row r="9757" spans="7:8" x14ac:dyDescent="0.3">
      <c r="G9757" s="75">
        <v>9754</v>
      </c>
      <c r="H9757">
        <f t="shared" ca="1" si="138"/>
        <v>-1.957709934988137E-3</v>
      </c>
    </row>
    <row r="9758" spans="7:8" x14ac:dyDescent="0.3">
      <c r="G9758" s="75">
        <v>9755</v>
      </c>
      <c r="H9758">
        <f t="shared" ca="1" si="138"/>
        <v>-2.5776607032035421E-3</v>
      </c>
    </row>
    <row r="9759" spans="7:8" x14ac:dyDescent="0.3">
      <c r="G9759" s="75">
        <v>9756</v>
      </c>
      <c r="H9759">
        <f t="shared" ca="1" si="138"/>
        <v>1.1826751749642175E-2</v>
      </c>
    </row>
    <row r="9760" spans="7:8" x14ac:dyDescent="0.3">
      <c r="G9760" s="75">
        <v>9757</v>
      </c>
      <c r="H9760">
        <f t="shared" ca="1" si="138"/>
        <v>5.2520625005998255E-3</v>
      </c>
    </row>
    <row r="9761" spans="7:8" x14ac:dyDescent="0.3">
      <c r="G9761" s="75">
        <v>9758</v>
      </c>
      <c r="H9761">
        <f t="shared" ca="1" si="138"/>
        <v>1.9654156050088131E-2</v>
      </c>
    </row>
    <row r="9762" spans="7:8" x14ac:dyDescent="0.3">
      <c r="G9762" s="75">
        <v>9759</v>
      </c>
      <c r="H9762">
        <f t="shared" ca="1" si="138"/>
        <v>-3.2330330398815613E-3</v>
      </c>
    </row>
    <row r="9763" spans="7:8" x14ac:dyDescent="0.3">
      <c r="G9763" s="75">
        <v>9760</v>
      </c>
      <c r="H9763">
        <f t="shared" ca="1" si="138"/>
        <v>-1.3906997282402061E-2</v>
      </c>
    </row>
    <row r="9764" spans="7:8" x14ac:dyDescent="0.3">
      <c r="G9764" s="75">
        <v>9761</v>
      </c>
      <c r="H9764">
        <f t="shared" ca="1" si="138"/>
        <v>-8.866355911293514E-3</v>
      </c>
    </row>
    <row r="9765" spans="7:8" x14ac:dyDescent="0.3">
      <c r="G9765" s="75">
        <v>9762</v>
      </c>
      <c r="H9765">
        <f t="shared" ca="1" si="138"/>
        <v>5.3132243326977262E-3</v>
      </c>
    </row>
    <row r="9766" spans="7:8" x14ac:dyDescent="0.3">
      <c r="G9766" s="75">
        <v>9763</v>
      </c>
      <c r="H9766">
        <f t="shared" ca="1" si="138"/>
        <v>-5.7385994267452191E-5</v>
      </c>
    </row>
    <row r="9767" spans="7:8" x14ac:dyDescent="0.3">
      <c r="G9767" s="75">
        <v>9764</v>
      </c>
      <c r="H9767">
        <f t="shared" ca="1" si="138"/>
        <v>1.5937993081247864E-2</v>
      </c>
    </row>
    <row r="9768" spans="7:8" x14ac:dyDescent="0.3">
      <c r="G9768" s="75">
        <v>9765</v>
      </c>
      <c r="H9768">
        <f t="shared" ca="1" si="138"/>
        <v>-5.2473516048117189E-3</v>
      </c>
    </row>
    <row r="9769" spans="7:8" x14ac:dyDescent="0.3">
      <c r="G9769" s="75">
        <v>9766</v>
      </c>
      <c r="H9769">
        <f t="shared" ca="1" si="138"/>
        <v>1.4346995987287788E-2</v>
      </c>
    </row>
    <row r="9770" spans="7:8" x14ac:dyDescent="0.3">
      <c r="G9770" s="75">
        <v>9767</v>
      </c>
      <c r="H9770">
        <f t="shared" ca="1" si="138"/>
        <v>-7.4365148539007157E-3</v>
      </c>
    </row>
    <row r="9771" spans="7:8" x14ac:dyDescent="0.3">
      <c r="G9771" s="75">
        <v>9768</v>
      </c>
      <c r="H9771">
        <f t="shared" ca="1" si="138"/>
        <v>-2.2435796703178142E-2</v>
      </c>
    </row>
    <row r="9772" spans="7:8" x14ac:dyDescent="0.3">
      <c r="G9772" s="75">
        <v>9769</v>
      </c>
      <c r="H9772">
        <f t="shared" ca="1" si="138"/>
        <v>1.7925448193775301E-2</v>
      </c>
    </row>
    <row r="9773" spans="7:8" x14ac:dyDescent="0.3">
      <c r="G9773" s="75">
        <v>9770</v>
      </c>
      <c r="H9773">
        <f t="shared" ca="1" si="138"/>
        <v>2.2006411539609319E-2</v>
      </c>
    </row>
    <row r="9774" spans="7:8" x14ac:dyDescent="0.3">
      <c r="G9774" s="75">
        <v>9771</v>
      </c>
      <c r="H9774">
        <f t="shared" ca="1" si="138"/>
        <v>1.6758633515551746E-2</v>
      </c>
    </row>
    <row r="9775" spans="7:8" x14ac:dyDescent="0.3">
      <c r="G9775" s="75">
        <v>9772</v>
      </c>
      <c r="H9775">
        <f t="shared" ca="1" si="138"/>
        <v>4.8092862084048475E-3</v>
      </c>
    </row>
    <row r="9776" spans="7:8" x14ac:dyDescent="0.3">
      <c r="G9776" s="75">
        <v>9773</v>
      </c>
      <c r="H9776">
        <f t="shared" ca="1" si="138"/>
        <v>-2.6211726025781824E-3</v>
      </c>
    </row>
    <row r="9777" spans="7:8" x14ac:dyDescent="0.3">
      <c r="G9777" s="75">
        <v>9774</v>
      </c>
      <c r="H9777">
        <f t="shared" ca="1" si="138"/>
        <v>1.7631230781594353E-2</v>
      </c>
    </row>
    <row r="9778" spans="7:8" x14ac:dyDescent="0.3">
      <c r="G9778" s="75">
        <v>9775</v>
      </c>
      <c r="H9778">
        <f t="shared" ca="1" si="138"/>
        <v>1.1958243422759035E-2</v>
      </c>
    </row>
    <row r="9779" spans="7:8" x14ac:dyDescent="0.3">
      <c r="G9779" s="75">
        <v>9776</v>
      </c>
      <c r="H9779">
        <f t="shared" ca="1" si="138"/>
        <v>-7.6819242254645183E-3</v>
      </c>
    </row>
    <row r="9780" spans="7:8" x14ac:dyDescent="0.3">
      <c r="G9780" s="75">
        <v>9777</v>
      </c>
      <c r="H9780">
        <f t="shared" ca="1" si="138"/>
        <v>-2.0672394046600141E-2</v>
      </c>
    </row>
    <row r="9781" spans="7:8" x14ac:dyDescent="0.3">
      <c r="G9781" s="75">
        <v>9778</v>
      </c>
      <c r="H9781">
        <f t="shared" ca="1" si="138"/>
        <v>1.1971312275056715E-2</v>
      </c>
    </row>
    <row r="9782" spans="7:8" x14ac:dyDescent="0.3">
      <c r="G9782" s="75">
        <v>9779</v>
      </c>
      <c r="H9782">
        <f t="shared" ca="1" si="138"/>
        <v>2.1374853028782803E-3</v>
      </c>
    </row>
    <row r="9783" spans="7:8" x14ac:dyDescent="0.3">
      <c r="G9783" s="75">
        <v>9780</v>
      </c>
      <c r="H9783">
        <f t="shared" ca="1" si="138"/>
        <v>-3.0500153599081902E-3</v>
      </c>
    </row>
    <row r="9784" spans="7:8" x14ac:dyDescent="0.3">
      <c r="G9784" s="75">
        <v>9781</v>
      </c>
      <c r="H9784">
        <f t="shared" ca="1" si="138"/>
        <v>2.8616006139550433E-2</v>
      </c>
    </row>
    <row r="9785" spans="7:8" x14ac:dyDescent="0.3">
      <c r="G9785" s="75">
        <v>9782</v>
      </c>
      <c r="H9785">
        <f t="shared" ca="1" si="138"/>
        <v>-1.7723761224883332E-2</v>
      </c>
    </row>
    <row r="9786" spans="7:8" x14ac:dyDescent="0.3">
      <c r="G9786" s="75">
        <v>9783</v>
      </c>
      <c r="H9786">
        <f t="shared" ca="1" si="138"/>
        <v>1.1820471910433943E-2</v>
      </c>
    </row>
    <row r="9787" spans="7:8" x14ac:dyDescent="0.3">
      <c r="G9787" s="75">
        <v>9784</v>
      </c>
      <c r="H9787">
        <f t="shared" ca="1" si="138"/>
        <v>-3.2543381156741567E-2</v>
      </c>
    </row>
    <row r="9788" spans="7:8" x14ac:dyDescent="0.3">
      <c r="G9788" s="75">
        <v>9785</v>
      </c>
      <c r="H9788">
        <f t="shared" ca="1" si="138"/>
        <v>2.1564762688786033E-2</v>
      </c>
    </row>
    <row r="9789" spans="7:8" x14ac:dyDescent="0.3">
      <c r="G9789" s="75">
        <v>9786</v>
      </c>
      <c r="H9789">
        <f t="shared" ca="1" si="138"/>
        <v>5.3336255969375019E-3</v>
      </c>
    </row>
    <row r="9790" spans="7:8" x14ac:dyDescent="0.3">
      <c r="G9790" s="75">
        <v>9787</v>
      </c>
      <c r="H9790">
        <f t="shared" ca="1" si="138"/>
        <v>-7.0120822213908928E-3</v>
      </c>
    </row>
    <row r="9791" spans="7:8" x14ac:dyDescent="0.3">
      <c r="G9791" s="75">
        <v>9788</v>
      </c>
      <c r="H9791">
        <f t="shared" ca="1" si="138"/>
        <v>-5.2755015106714116E-3</v>
      </c>
    </row>
    <row r="9792" spans="7:8" x14ac:dyDescent="0.3">
      <c r="G9792" s="75">
        <v>9789</v>
      </c>
      <c r="H9792">
        <f t="shared" ca="1" si="138"/>
        <v>1.1427994428023204E-2</v>
      </c>
    </row>
    <row r="9793" spans="7:8" x14ac:dyDescent="0.3">
      <c r="G9793" s="75">
        <v>9790</v>
      </c>
      <c r="H9793">
        <f t="shared" ca="1" si="138"/>
        <v>-1.1208496563471667E-2</v>
      </c>
    </row>
    <row r="9794" spans="7:8" x14ac:dyDescent="0.3">
      <c r="G9794" s="75">
        <v>9791</v>
      </c>
      <c r="H9794">
        <f t="shared" ref="H9794:H9857" ca="1" si="139">_xlfn.NORM.INV(RAND(),$N$4,$N$5)</f>
        <v>2.3822885043431372E-2</v>
      </c>
    </row>
    <row r="9795" spans="7:8" x14ac:dyDescent="0.3">
      <c r="G9795" s="75">
        <v>9792</v>
      </c>
      <c r="H9795">
        <f t="shared" ca="1" si="139"/>
        <v>-1.6344687964739278E-2</v>
      </c>
    </row>
    <row r="9796" spans="7:8" x14ac:dyDescent="0.3">
      <c r="G9796" s="75">
        <v>9793</v>
      </c>
      <c r="H9796">
        <f t="shared" ca="1" si="139"/>
        <v>7.8853318021386218E-3</v>
      </c>
    </row>
    <row r="9797" spans="7:8" x14ac:dyDescent="0.3">
      <c r="G9797" s="75">
        <v>9794</v>
      </c>
      <c r="H9797">
        <f t="shared" ca="1" si="139"/>
        <v>5.6452190995758909E-3</v>
      </c>
    </row>
    <row r="9798" spans="7:8" x14ac:dyDescent="0.3">
      <c r="G9798" s="75">
        <v>9795</v>
      </c>
      <c r="H9798">
        <f t="shared" ca="1" si="139"/>
        <v>1.7273770862863062E-3</v>
      </c>
    </row>
    <row r="9799" spans="7:8" x14ac:dyDescent="0.3">
      <c r="G9799" s="75">
        <v>9796</v>
      </c>
      <c r="H9799">
        <f t="shared" ca="1" si="139"/>
        <v>1.2987218035177713E-2</v>
      </c>
    </row>
    <row r="9800" spans="7:8" x14ac:dyDescent="0.3">
      <c r="G9800" s="75">
        <v>9797</v>
      </c>
      <c r="H9800">
        <f t="shared" ca="1" si="139"/>
        <v>5.3540473454783428E-3</v>
      </c>
    </row>
    <row r="9801" spans="7:8" x14ac:dyDescent="0.3">
      <c r="G9801" s="75">
        <v>9798</v>
      </c>
      <c r="H9801">
        <f t="shared" ca="1" si="139"/>
        <v>-1.7424277899225047E-2</v>
      </c>
    </row>
    <row r="9802" spans="7:8" x14ac:dyDescent="0.3">
      <c r="G9802" s="75">
        <v>9799</v>
      </c>
      <c r="H9802">
        <f t="shared" ca="1" si="139"/>
        <v>-9.1343826103484869E-3</v>
      </c>
    </row>
    <row r="9803" spans="7:8" x14ac:dyDescent="0.3">
      <c r="G9803" s="75">
        <v>9800</v>
      </c>
      <c r="H9803">
        <f t="shared" ca="1" si="139"/>
        <v>1.3005854932464013E-2</v>
      </c>
    </row>
    <row r="9804" spans="7:8" x14ac:dyDescent="0.3">
      <c r="G9804" s="75">
        <v>9801</v>
      </c>
      <c r="H9804">
        <f t="shared" ca="1" si="139"/>
        <v>-8.2108183161078395E-3</v>
      </c>
    </row>
    <row r="9805" spans="7:8" x14ac:dyDescent="0.3">
      <c r="G9805" s="75">
        <v>9802</v>
      </c>
      <c r="H9805">
        <f t="shared" ca="1" si="139"/>
        <v>2.3788304614124588E-2</v>
      </c>
    </row>
    <row r="9806" spans="7:8" x14ac:dyDescent="0.3">
      <c r="G9806" s="75">
        <v>9803</v>
      </c>
      <c r="H9806">
        <f t="shared" ca="1" si="139"/>
        <v>-4.1037164749195216E-3</v>
      </c>
    </row>
    <row r="9807" spans="7:8" x14ac:dyDescent="0.3">
      <c r="G9807" s="75">
        <v>9804</v>
      </c>
      <c r="H9807">
        <f t="shared" ca="1" si="139"/>
        <v>2.58956100427476E-2</v>
      </c>
    </row>
    <row r="9808" spans="7:8" x14ac:dyDescent="0.3">
      <c r="G9808" s="75">
        <v>9805</v>
      </c>
      <c r="H9808">
        <f t="shared" ca="1" si="139"/>
        <v>3.2712412583871045E-2</v>
      </c>
    </row>
    <row r="9809" spans="7:8" x14ac:dyDescent="0.3">
      <c r="G9809" s="75">
        <v>9806</v>
      </c>
      <c r="H9809">
        <f t="shared" ca="1" si="139"/>
        <v>1.3941706905089472E-3</v>
      </c>
    </row>
    <row r="9810" spans="7:8" x14ac:dyDescent="0.3">
      <c r="G9810" s="75">
        <v>9807</v>
      </c>
      <c r="H9810">
        <f t="shared" ca="1" si="139"/>
        <v>-2.7961760418575587E-3</v>
      </c>
    </row>
    <row r="9811" spans="7:8" x14ac:dyDescent="0.3">
      <c r="G9811" s="75">
        <v>9808</v>
      </c>
      <c r="H9811">
        <f t="shared" ca="1" si="139"/>
        <v>1.3869580324743949E-3</v>
      </c>
    </row>
    <row r="9812" spans="7:8" x14ac:dyDescent="0.3">
      <c r="G9812" s="75">
        <v>9809</v>
      </c>
      <c r="H9812">
        <f t="shared" ca="1" si="139"/>
        <v>5.9301522493125959E-3</v>
      </c>
    </row>
    <row r="9813" spans="7:8" x14ac:dyDescent="0.3">
      <c r="G9813" s="75">
        <v>9810</v>
      </c>
      <c r="H9813">
        <f t="shared" ca="1" si="139"/>
        <v>2.4601674377008963E-2</v>
      </c>
    </row>
    <row r="9814" spans="7:8" x14ac:dyDescent="0.3">
      <c r="G9814" s="75">
        <v>9811</v>
      </c>
      <c r="H9814">
        <f t="shared" ca="1" si="139"/>
        <v>-9.2738802208184592E-4</v>
      </c>
    </row>
    <row r="9815" spans="7:8" x14ac:dyDescent="0.3">
      <c r="G9815" s="75">
        <v>9812</v>
      </c>
      <c r="H9815">
        <f t="shared" ca="1" si="139"/>
        <v>-2.4081700653959849E-2</v>
      </c>
    </row>
    <row r="9816" spans="7:8" x14ac:dyDescent="0.3">
      <c r="G9816" s="75">
        <v>9813</v>
      </c>
      <c r="H9816">
        <f t="shared" ca="1" si="139"/>
        <v>6.7247224578186231E-3</v>
      </c>
    </row>
    <row r="9817" spans="7:8" x14ac:dyDescent="0.3">
      <c r="G9817" s="75">
        <v>9814</v>
      </c>
      <c r="H9817">
        <f t="shared" ca="1" si="139"/>
        <v>5.5505128668656238E-4</v>
      </c>
    </row>
    <row r="9818" spans="7:8" x14ac:dyDescent="0.3">
      <c r="G9818" s="75">
        <v>9815</v>
      </c>
      <c r="H9818">
        <f t="shared" ca="1" si="139"/>
        <v>1.7718066923693948E-3</v>
      </c>
    </row>
    <row r="9819" spans="7:8" x14ac:dyDescent="0.3">
      <c r="G9819" s="75">
        <v>9816</v>
      </c>
      <c r="H9819">
        <f t="shared" ca="1" si="139"/>
        <v>-1.5392954130202143E-2</v>
      </c>
    </row>
    <row r="9820" spans="7:8" x14ac:dyDescent="0.3">
      <c r="G9820" s="75">
        <v>9817</v>
      </c>
      <c r="H9820">
        <f t="shared" ca="1" si="139"/>
        <v>-1.369285522687108E-3</v>
      </c>
    </row>
    <row r="9821" spans="7:8" x14ac:dyDescent="0.3">
      <c r="G9821" s="75">
        <v>9818</v>
      </c>
      <c r="H9821">
        <f t="shared" ca="1" si="139"/>
        <v>-3.2824907495807749E-3</v>
      </c>
    </row>
    <row r="9822" spans="7:8" x14ac:dyDescent="0.3">
      <c r="G9822" s="75">
        <v>9819</v>
      </c>
      <c r="H9822">
        <f t="shared" ca="1" si="139"/>
        <v>-2.1604481803531899E-2</v>
      </c>
    </row>
    <row r="9823" spans="7:8" x14ac:dyDescent="0.3">
      <c r="G9823" s="75">
        <v>9820</v>
      </c>
      <c r="H9823">
        <f t="shared" ca="1" si="139"/>
        <v>-8.4992777543976723E-3</v>
      </c>
    </row>
    <row r="9824" spans="7:8" x14ac:dyDescent="0.3">
      <c r="G9824" s="75">
        <v>9821</v>
      </c>
      <c r="H9824">
        <f t="shared" ca="1" si="139"/>
        <v>-1.1401914566244085E-3</v>
      </c>
    </row>
    <row r="9825" spans="7:8" x14ac:dyDescent="0.3">
      <c r="G9825" s="75">
        <v>9822</v>
      </c>
      <c r="H9825">
        <f t="shared" ca="1" si="139"/>
        <v>1.6756455461500189E-2</v>
      </c>
    </row>
    <row r="9826" spans="7:8" x14ac:dyDescent="0.3">
      <c r="G9826" s="75">
        <v>9823</v>
      </c>
      <c r="H9826">
        <f t="shared" ca="1" si="139"/>
        <v>1.1092340219501309E-2</v>
      </c>
    </row>
    <row r="9827" spans="7:8" x14ac:dyDescent="0.3">
      <c r="G9827" s="75">
        <v>9824</v>
      </c>
      <c r="H9827">
        <f t="shared" ca="1" si="139"/>
        <v>-1.7099786827565758E-2</v>
      </c>
    </row>
    <row r="9828" spans="7:8" x14ac:dyDescent="0.3">
      <c r="G9828" s="75">
        <v>9825</v>
      </c>
      <c r="H9828">
        <f t="shared" ca="1" si="139"/>
        <v>3.3387353192467298E-4</v>
      </c>
    </row>
    <row r="9829" spans="7:8" x14ac:dyDescent="0.3">
      <c r="G9829" s="75">
        <v>9826</v>
      </c>
      <c r="H9829">
        <f t="shared" ca="1" si="139"/>
        <v>2.659396847537376E-2</v>
      </c>
    </row>
    <row r="9830" spans="7:8" x14ac:dyDescent="0.3">
      <c r="G9830" s="75">
        <v>9827</v>
      </c>
      <c r="H9830">
        <f t="shared" ca="1" si="139"/>
        <v>7.3309669021612706E-3</v>
      </c>
    </row>
    <row r="9831" spans="7:8" x14ac:dyDescent="0.3">
      <c r="G9831" s="75">
        <v>9828</v>
      </c>
      <c r="H9831">
        <f t="shared" ca="1" si="139"/>
        <v>3.601864792980288E-3</v>
      </c>
    </row>
    <row r="9832" spans="7:8" x14ac:dyDescent="0.3">
      <c r="G9832" s="75">
        <v>9829</v>
      </c>
      <c r="H9832">
        <f t="shared" ca="1" si="139"/>
        <v>-1.6597303423842961E-3</v>
      </c>
    </row>
    <row r="9833" spans="7:8" x14ac:dyDescent="0.3">
      <c r="G9833" s="75">
        <v>9830</v>
      </c>
      <c r="H9833">
        <f t="shared" ca="1" si="139"/>
        <v>-1.3380787785153551E-2</v>
      </c>
    </row>
    <row r="9834" spans="7:8" x14ac:dyDescent="0.3">
      <c r="G9834" s="75">
        <v>9831</v>
      </c>
      <c r="H9834">
        <f t="shared" ca="1" si="139"/>
        <v>9.3925560586465028E-4</v>
      </c>
    </row>
    <row r="9835" spans="7:8" x14ac:dyDescent="0.3">
      <c r="G9835" s="75">
        <v>9832</v>
      </c>
      <c r="H9835">
        <f t="shared" ca="1" si="139"/>
        <v>1.7350551696594056E-2</v>
      </c>
    </row>
    <row r="9836" spans="7:8" x14ac:dyDescent="0.3">
      <c r="G9836" s="75">
        <v>9833</v>
      </c>
      <c r="H9836">
        <f t="shared" ca="1" si="139"/>
        <v>4.9962448545145012E-3</v>
      </c>
    </row>
    <row r="9837" spans="7:8" x14ac:dyDescent="0.3">
      <c r="G9837" s="75">
        <v>9834</v>
      </c>
      <c r="H9837">
        <f t="shared" ca="1" si="139"/>
        <v>-7.3596612979791604E-3</v>
      </c>
    </row>
    <row r="9838" spans="7:8" x14ac:dyDescent="0.3">
      <c r="G9838" s="75">
        <v>9835</v>
      </c>
      <c r="H9838">
        <f t="shared" ca="1" si="139"/>
        <v>1.4929145774618444E-2</v>
      </c>
    </row>
    <row r="9839" spans="7:8" x14ac:dyDescent="0.3">
      <c r="G9839" s="75">
        <v>9836</v>
      </c>
      <c r="H9839">
        <f t="shared" ca="1" si="139"/>
        <v>-4.0449017876381197E-3</v>
      </c>
    </row>
    <row r="9840" spans="7:8" x14ac:dyDescent="0.3">
      <c r="G9840" s="75">
        <v>9837</v>
      </c>
      <c r="H9840">
        <f t="shared" ca="1" si="139"/>
        <v>-1.0442074453813071E-2</v>
      </c>
    </row>
    <row r="9841" spans="7:8" x14ac:dyDescent="0.3">
      <c r="G9841" s="75">
        <v>9838</v>
      </c>
      <c r="H9841">
        <f t="shared" ca="1" si="139"/>
        <v>-4.714193532453682E-3</v>
      </c>
    </row>
    <row r="9842" spans="7:8" x14ac:dyDescent="0.3">
      <c r="G9842" s="75">
        <v>9839</v>
      </c>
      <c r="H9842">
        <f t="shared" ca="1" si="139"/>
        <v>8.7696535150158625E-4</v>
      </c>
    </row>
    <row r="9843" spans="7:8" x14ac:dyDescent="0.3">
      <c r="G9843" s="75">
        <v>9840</v>
      </c>
      <c r="H9843">
        <f t="shared" ca="1" si="139"/>
        <v>1.5339266154785421E-2</v>
      </c>
    </row>
    <row r="9844" spans="7:8" x14ac:dyDescent="0.3">
      <c r="G9844" s="75">
        <v>9841</v>
      </c>
      <c r="H9844">
        <f t="shared" ca="1" si="139"/>
        <v>1.1112640859949664E-2</v>
      </c>
    </row>
    <row r="9845" spans="7:8" x14ac:dyDescent="0.3">
      <c r="G9845" s="75">
        <v>9842</v>
      </c>
      <c r="H9845">
        <f t="shared" ca="1" si="139"/>
        <v>2.6414793359097275E-2</v>
      </c>
    </row>
    <row r="9846" spans="7:8" x14ac:dyDescent="0.3">
      <c r="G9846" s="75">
        <v>9843</v>
      </c>
      <c r="H9846">
        <f t="shared" ca="1" si="139"/>
        <v>4.5377995586947722E-3</v>
      </c>
    </row>
    <row r="9847" spans="7:8" x14ac:dyDescent="0.3">
      <c r="G9847" s="75">
        <v>9844</v>
      </c>
      <c r="H9847">
        <f t="shared" ca="1" si="139"/>
        <v>-9.6753717107424635E-3</v>
      </c>
    </row>
    <row r="9848" spans="7:8" x14ac:dyDescent="0.3">
      <c r="G9848" s="75">
        <v>9845</v>
      </c>
      <c r="H9848">
        <f t="shared" ca="1" si="139"/>
        <v>-4.7773505202878307E-3</v>
      </c>
    </row>
    <row r="9849" spans="7:8" x14ac:dyDescent="0.3">
      <c r="G9849" s="75">
        <v>9846</v>
      </c>
      <c r="H9849">
        <f t="shared" ca="1" si="139"/>
        <v>-2.5491552433403168E-2</v>
      </c>
    </row>
    <row r="9850" spans="7:8" x14ac:dyDescent="0.3">
      <c r="G9850" s="75">
        <v>9847</v>
      </c>
      <c r="H9850">
        <f t="shared" ca="1" si="139"/>
        <v>6.4945720708896315E-3</v>
      </c>
    </row>
    <row r="9851" spans="7:8" x14ac:dyDescent="0.3">
      <c r="G9851" s="75">
        <v>9848</v>
      </c>
      <c r="H9851">
        <f t="shared" ca="1" si="139"/>
        <v>-9.5524054489995122E-4</v>
      </c>
    </row>
    <row r="9852" spans="7:8" x14ac:dyDescent="0.3">
      <c r="G9852" s="75">
        <v>9849</v>
      </c>
      <c r="H9852">
        <f t="shared" ca="1" si="139"/>
        <v>1.4071029929352842E-2</v>
      </c>
    </row>
    <row r="9853" spans="7:8" x14ac:dyDescent="0.3">
      <c r="G9853" s="75">
        <v>9850</v>
      </c>
      <c r="H9853">
        <f t="shared" ca="1" si="139"/>
        <v>2.2024624041237742E-2</v>
      </c>
    </row>
    <row r="9854" spans="7:8" x14ac:dyDescent="0.3">
      <c r="G9854" s="75">
        <v>9851</v>
      </c>
      <c r="H9854">
        <f t="shared" ca="1" si="139"/>
        <v>-2.2099986487186187E-3</v>
      </c>
    </row>
    <row r="9855" spans="7:8" x14ac:dyDescent="0.3">
      <c r="G9855" s="75">
        <v>9852</v>
      </c>
      <c r="H9855">
        <f t="shared" ca="1" si="139"/>
        <v>-1.7786353931648111E-2</v>
      </c>
    </row>
    <row r="9856" spans="7:8" x14ac:dyDescent="0.3">
      <c r="G9856" s="75">
        <v>9853</v>
      </c>
      <c r="H9856">
        <f t="shared" ca="1" si="139"/>
        <v>-4.3497477354037294E-3</v>
      </c>
    </row>
    <row r="9857" spans="7:8" x14ac:dyDescent="0.3">
      <c r="G9857" s="75">
        <v>9854</v>
      </c>
      <c r="H9857">
        <f t="shared" ca="1" si="139"/>
        <v>3.9440267642054721E-3</v>
      </c>
    </row>
    <row r="9858" spans="7:8" x14ac:dyDescent="0.3">
      <c r="G9858" s="75">
        <v>9855</v>
      </c>
      <c r="H9858">
        <f t="shared" ref="H9858:H9921" ca="1" si="140">_xlfn.NORM.INV(RAND(),$N$4,$N$5)</f>
        <v>8.3786717140301229E-4</v>
      </c>
    </row>
    <row r="9859" spans="7:8" x14ac:dyDescent="0.3">
      <c r="G9859" s="75">
        <v>9856</v>
      </c>
      <c r="H9859">
        <f t="shared" ca="1" si="140"/>
        <v>6.3588991908519266E-3</v>
      </c>
    </row>
    <row r="9860" spans="7:8" x14ac:dyDescent="0.3">
      <c r="G9860" s="75">
        <v>9857</v>
      </c>
      <c r="H9860">
        <f t="shared" ca="1" si="140"/>
        <v>-4.106965121130777E-3</v>
      </c>
    </row>
    <row r="9861" spans="7:8" x14ac:dyDescent="0.3">
      <c r="G9861" s="75">
        <v>9858</v>
      </c>
      <c r="H9861">
        <f t="shared" ca="1" si="140"/>
        <v>-6.9048788897520356E-3</v>
      </c>
    </row>
    <row r="9862" spans="7:8" x14ac:dyDescent="0.3">
      <c r="G9862" s="75">
        <v>9859</v>
      </c>
      <c r="H9862">
        <f t="shared" ca="1" si="140"/>
        <v>-1.6752045719559017E-2</v>
      </c>
    </row>
    <row r="9863" spans="7:8" x14ac:dyDescent="0.3">
      <c r="G9863" s="75">
        <v>9860</v>
      </c>
      <c r="H9863">
        <f t="shared" ca="1" si="140"/>
        <v>2.4334732107250509E-3</v>
      </c>
    </row>
    <row r="9864" spans="7:8" x14ac:dyDescent="0.3">
      <c r="G9864" s="75">
        <v>9861</v>
      </c>
      <c r="H9864">
        <f t="shared" ca="1" si="140"/>
        <v>-8.8366452181272599E-3</v>
      </c>
    </row>
    <row r="9865" spans="7:8" x14ac:dyDescent="0.3">
      <c r="G9865" s="75">
        <v>9862</v>
      </c>
      <c r="H9865">
        <f t="shared" ca="1" si="140"/>
        <v>-2.0394639893575595E-2</v>
      </c>
    </row>
    <row r="9866" spans="7:8" x14ac:dyDescent="0.3">
      <c r="G9866" s="75">
        <v>9863</v>
      </c>
      <c r="H9866">
        <f t="shared" ca="1" si="140"/>
        <v>3.3781875046268756E-2</v>
      </c>
    </row>
    <row r="9867" spans="7:8" x14ac:dyDescent="0.3">
      <c r="G9867" s="75">
        <v>9864</v>
      </c>
      <c r="H9867">
        <f t="shared" ca="1" si="140"/>
        <v>-9.4476590594340486E-3</v>
      </c>
    </row>
    <row r="9868" spans="7:8" x14ac:dyDescent="0.3">
      <c r="G9868" s="75">
        <v>9865</v>
      </c>
      <c r="H9868">
        <f t="shared" ca="1" si="140"/>
        <v>1.7051467101041932E-3</v>
      </c>
    </row>
    <row r="9869" spans="7:8" x14ac:dyDescent="0.3">
      <c r="G9869" s="75">
        <v>9866</v>
      </c>
      <c r="H9869">
        <f t="shared" ca="1" si="140"/>
        <v>-2.5584301884583284E-3</v>
      </c>
    </row>
    <row r="9870" spans="7:8" x14ac:dyDescent="0.3">
      <c r="G9870" s="75">
        <v>9867</v>
      </c>
      <c r="H9870">
        <f t="shared" ca="1" si="140"/>
        <v>-2.3829497378821913E-2</v>
      </c>
    </row>
    <row r="9871" spans="7:8" x14ac:dyDescent="0.3">
      <c r="G9871" s="75">
        <v>9868</v>
      </c>
      <c r="H9871">
        <f t="shared" ca="1" si="140"/>
        <v>-1.0806478170657038E-3</v>
      </c>
    </row>
    <row r="9872" spans="7:8" x14ac:dyDescent="0.3">
      <c r="G9872" s="75">
        <v>9869</v>
      </c>
      <c r="H9872">
        <f t="shared" ca="1" si="140"/>
        <v>3.3145542020875446E-3</v>
      </c>
    </row>
    <row r="9873" spans="7:8" x14ac:dyDescent="0.3">
      <c r="G9873" s="75">
        <v>9870</v>
      </c>
      <c r="H9873">
        <f t="shared" ca="1" si="140"/>
        <v>-5.2629998008184836E-3</v>
      </c>
    </row>
    <row r="9874" spans="7:8" x14ac:dyDescent="0.3">
      <c r="G9874" s="75">
        <v>9871</v>
      </c>
      <c r="H9874">
        <f t="shared" ca="1" si="140"/>
        <v>-6.9432454107469337E-3</v>
      </c>
    </row>
    <row r="9875" spans="7:8" x14ac:dyDescent="0.3">
      <c r="G9875" s="75">
        <v>9872</v>
      </c>
      <c r="H9875">
        <f t="shared" ca="1" si="140"/>
        <v>4.8624415971820429E-3</v>
      </c>
    </row>
    <row r="9876" spans="7:8" x14ac:dyDescent="0.3">
      <c r="G9876" s="75">
        <v>9873</v>
      </c>
      <c r="H9876">
        <f t="shared" ca="1" si="140"/>
        <v>-6.527986339248511E-4</v>
      </c>
    </row>
    <row r="9877" spans="7:8" x14ac:dyDescent="0.3">
      <c r="G9877" s="75">
        <v>9874</v>
      </c>
      <c r="H9877">
        <f t="shared" ca="1" si="140"/>
        <v>8.894309134905581E-3</v>
      </c>
    </row>
    <row r="9878" spans="7:8" x14ac:dyDescent="0.3">
      <c r="G9878" s="75">
        <v>9875</v>
      </c>
      <c r="H9878">
        <f t="shared" ca="1" si="140"/>
        <v>-2.9450900944515514E-4</v>
      </c>
    </row>
    <row r="9879" spans="7:8" x14ac:dyDescent="0.3">
      <c r="G9879" s="75">
        <v>9876</v>
      </c>
      <c r="H9879">
        <f t="shared" ca="1" si="140"/>
        <v>-1.8979924617024441E-2</v>
      </c>
    </row>
    <row r="9880" spans="7:8" x14ac:dyDescent="0.3">
      <c r="G9880" s="75">
        <v>9877</v>
      </c>
      <c r="H9880">
        <f t="shared" ca="1" si="140"/>
        <v>-1.3993155919540822E-2</v>
      </c>
    </row>
    <row r="9881" spans="7:8" x14ac:dyDescent="0.3">
      <c r="G9881" s="75">
        <v>9878</v>
      </c>
      <c r="H9881">
        <f t="shared" ca="1" si="140"/>
        <v>4.6323359100115952E-3</v>
      </c>
    </row>
    <row r="9882" spans="7:8" x14ac:dyDescent="0.3">
      <c r="G9882" s="75">
        <v>9879</v>
      </c>
      <c r="H9882">
        <f t="shared" ca="1" si="140"/>
        <v>-2.1716615869158361E-2</v>
      </c>
    </row>
    <row r="9883" spans="7:8" x14ac:dyDescent="0.3">
      <c r="G9883" s="75">
        <v>9880</v>
      </c>
      <c r="H9883">
        <f t="shared" ca="1" si="140"/>
        <v>-9.9405200692744503E-3</v>
      </c>
    </row>
    <row r="9884" spans="7:8" x14ac:dyDescent="0.3">
      <c r="G9884" s="75">
        <v>9881</v>
      </c>
      <c r="H9884">
        <f t="shared" ca="1" si="140"/>
        <v>-1.4524724227261161E-3</v>
      </c>
    </row>
    <row r="9885" spans="7:8" x14ac:dyDescent="0.3">
      <c r="G9885" s="75">
        <v>9882</v>
      </c>
      <c r="H9885">
        <f t="shared" ca="1" si="140"/>
        <v>5.9666199365852142E-3</v>
      </c>
    </row>
    <row r="9886" spans="7:8" x14ac:dyDescent="0.3">
      <c r="G9886" s="75">
        <v>9883</v>
      </c>
      <c r="H9886">
        <f t="shared" ca="1" si="140"/>
        <v>3.4535370073515794E-3</v>
      </c>
    </row>
    <row r="9887" spans="7:8" x14ac:dyDescent="0.3">
      <c r="G9887" s="75">
        <v>9884</v>
      </c>
      <c r="H9887">
        <f t="shared" ca="1" si="140"/>
        <v>9.3877681503488405E-3</v>
      </c>
    </row>
    <row r="9888" spans="7:8" x14ac:dyDescent="0.3">
      <c r="G9888" s="75">
        <v>9885</v>
      </c>
      <c r="H9888">
        <f t="shared" ca="1" si="140"/>
        <v>3.3509525532591004E-2</v>
      </c>
    </row>
    <row r="9889" spans="7:8" x14ac:dyDescent="0.3">
      <c r="G9889" s="75">
        <v>9886</v>
      </c>
      <c r="H9889">
        <f t="shared" ca="1" si="140"/>
        <v>-1.167765273253219E-2</v>
      </c>
    </row>
    <row r="9890" spans="7:8" x14ac:dyDescent="0.3">
      <c r="G9890" s="75">
        <v>9887</v>
      </c>
      <c r="H9890">
        <f t="shared" ca="1" si="140"/>
        <v>-2.0638651615283851E-3</v>
      </c>
    </row>
    <row r="9891" spans="7:8" x14ac:dyDescent="0.3">
      <c r="G9891" s="75">
        <v>9888</v>
      </c>
      <c r="H9891">
        <f t="shared" ca="1" si="140"/>
        <v>6.8236510947225458E-3</v>
      </c>
    </row>
    <row r="9892" spans="7:8" x14ac:dyDescent="0.3">
      <c r="G9892" s="75">
        <v>9889</v>
      </c>
      <c r="H9892">
        <f t="shared" ca="1" si="140"/>
        <v>1.3005827929392314E-2</v>
      </c>
    </row>
    <row r="9893" spans="7:8" x14ac:dyDescent="0.3">
      <c r="G9893" s="75">
        <v>9890</v>
      </c>
      <c r="H9893">
        <f t="shared" ca="1" si="140"/>
        <v>-1.4752248405934287E-2</v>
      </c>
    </row>
    <row r="9894" spans="7:8" x14ac:dyDescent="0.3">
      <c r="G9894" s="75">
        <v>9891</v>
      </c>
      <c r="H9894">
        <f t="shared" ca="1" si="140"/>
        <v>7.0792650086219464E-3</v>
      </c>
    </row>
    <row r="9895" spans="7:8" x14ac:dyDescent="0.3">
      <c r="G9895" s="75">
        <v>9892</v>
      </c>
      <c r="H9895">
        <f t="shared" ca="1" si="140"/>
        <v>3.6003873198216835E-3</v>
      </c>
    </row>
    <row r="9896" spans="7:8" x14ac:dyDescent="0.3">
      <c r="G9896" s="75">
        <v>9893</v>
      </c>
      <c r="H9896">
        <f t="shared" ca="1" si="140"/>
        <v>-8.2997941496361655E-3</v>
      </c>
    </row>
    <row r="9897" spans="7:8" x14ac:dyDescent="0.3">
      <c r="G9897" s="75">
        <v>9894</v>
      </c>
      <c r="H9897">
        <f t="shared" ca="1" si="140"/>
        <v>-2.1542159004521229E-2</v>
      </c>
    </row>
    <row r="9898" spans="7:8" x14ac:dyDescent="0.3">
      <c r="G9898" s="75">
        <v>9895</v>
      </c>
      <c r="H9898">
        <f t="shared" ca="1" si="140"/>
        <v>-6.5810769532699698E-3</v>
      </c>
    </row>
    <row r="9899" spans="7:8" x14ac:dyDescent="0.3">
      <c r="G9899" s="75">
        <v>9896</v>
      </c>
      <c r="H9899">
        <f t="shared" ca="1" si="140"/>
        <v>2.2813581490545274E-2</v>
      </c>
    </row>
    <row r="9900" spans="7:8" x14ac:dyDescent="0.3">
      <c r="G9900" s="75">
        <v>9897</v>
      </c>
      <c r="H9900">
        <f t="shared" ca="1" si="140"/>
        <v>3.8648442581195579E-3</v>
      </c>
    </row>
    <row r="9901" spans="7:8" x14ac:dyDescent="0.3">
      <c r="G9901" s="75">
        <v>9898</v>
      </c>
      <c r="H9901">
        <f t="shared" ca="1" si="140"/>
        <v>-1.1023350637883299E-2</v>
      </c>
    </row>
    <row r="9902" spans="7:8" x14ac:dyDescent="0.3">
      <c r="G9902" s="75">
        <v>9899</v>
      </c>
      <c r="H9902">
        <f t="shared" ca="1" si="140"/>
        <v>4.850063778076885E-3</v>
      </c>
    </row>
    <row r="9903" spans="7:8" x14ac:dyDescent="0.3">
      <c r="G9903" s="75">
        <v>9900</v>
      </c>
      <c r="H9903">
        <f t="shared" ca="1" si="140"/>
        <v>-8.021798997123188E-3</v>
      </c>
    </row>
    <row r="9904" spans="7:8" x14ac:dyDescent="0.3">
      <c r="G9904" s="75">
        <v>9901</v>
      </c>
      <c r="H9904">
        <f t="shared" ca="1" si="140"/>
        <v>-1.6407756881525416E-3</v>
      </c>
    </row>
    <row r="9905" spans="7:8" x14ac:dyDescent="0.3">
      <c r="G9905" s="75">
        <v>9902</v>
      </c>
      <c r="H9905">
        <f t="shared" ca="1" si="140"/>
        <v>3.1587630234386134E-2</v>
      </c>
    </row>
    <row r="9906" spans="7:8" x14ac:dyDescent="0.3">
      <c r="G9906" s="75">
        <v>9903</v>
      </c>
      <c r="H9906">
        <f t="shared" ca="1" si="140"/>
        <v>1.5001139903264588E-2</v>
      </c>
    </row>
    <row r="9907" spans="7:8" x14ac:dyDescent="0.3">
      <c r="G9907" s="75">
        <v>9904</v>
      </c>
      <c r="H9907">
        <f t="shared" ca="1" si="140"/>
        <v>1.167589729943402E-2</v>
      </c>
    </row>
    <row r="9908" spans="7:8" x14ac:dyDescent="0.3">
      <c r="G9908" s="75">
        <v>9905</v>
      </c>
      <c r="H9908">
        <f t="shared" ca="1" si="140"/>
        <v>-2.6021753411032317E-2</v>
      </c>
    </row>
    <row r="9909" spans="7:8" x14ac:dyDescent="0.3">
      <c r="G9909" s="75">
        <v>9906</v>
      </c>
      <c r="H9909">
        <f t="shared" ca="1" si="140"/>
        <v>-1.4457762430460709E-3</v>
      </c>
    </row>
    <row r="9910" spans="7:8" x14ac:dyDescent="0.3">
      <c r="G9910" s="75">
        <v>9907</v>
      </c>
      <c r="H9910">
        <f t="shared" ca="1" si="140"/>
        <v>-9.2149863646723579E-3</v>
      </c>
    </row>
    <row r="9911" spans="7:8" x14ac:dyDescent="0.3">
      <c r="G9911" s="75">
        <v>9908</v>
      </c>
      <c r="H9911">
        <f t="shared" ca="1" si="140"/>
        <v>-1.6417420304530812E-2</v>
      </c>
    </row>
    <row r="9912" spans="7:8" x14ac:dyDescent="0.3">
      <c r="G9912" s="75">
        <v>9909</v>
      </c>
      <c r="H9912">
        <f t="shared" ca="1" si="140"/>
        <v>9.7705472965652143E-3</v>
      </c>
    </row>
    <row r="9913" spans="7:8" x14ac:dyDescent="0.3">
      <c r="G9913" s="75">
        <v>9910</v>
      </c>
      <c r="H9913">
        <f t="shared" ca="1" si="140"/>
        <v>6.6161404811696453E-3</v>
      </c>
    </row>
    <row r="9914" spans="7:8" x14ac:dyDescent="0.3">
      <c r="G9914" s="75">
        <v>9911</v>
      </c>
      <c r="H9914">
        <f t="shared" ca="1" si="140"/>
        <v>2.8680302124365667E-3</v>
      </c>
    </row>
    <row r="9915" spans="7:8" x14ac:dyDescent="0.3">
      <c r="G9915" s="75">
        <v>9912</v>
      </c>
      <c r="H9915">
        <f t="shared" ca="1" si="140"/>
        <v>-1.3047723021534551E-2</v>
      </c>
    </row>
    <row r="9916" spans="7:8" x14ac:dyDescent="0.3">
      <c r="G9916" s="75">
        <v>9913</v>
      </c>
      <c r="H9916">
        <f t="shared" ca="1" si="140"/>
        <v>-4.1632860879239481E-3</v>
      </c>
    </row>
    <row r="9917" spans="7:8" x14ac:dyDescent="0.3">
      <c r="G9917" s="75">
        <v>9914</v>
      </c>
      <c r="H9917">
        <f t="shared" ca="1" si="140"/>
        <v>2.7610961304761338E-2</v>
      </c>
    </row>
    <row r="9918" spans="7:8" x14ac:dyDescent="0.3">
      <c r="G9918" s="75">
        <v>9915</v>
      </c>
      <c r="H9918">
        <f t="shared" ca="1" si="140"/>
        <v>3.2410366807102435E-3</v>
      </c>
    </row>
    <row r="9919" spans="7:8" x14ac:dyDescent="0.3">
      <c r="G9919" s="75">
        <v>9916</v>
      </c>
      <c r="H9919">
        <f t="shared" ca="1" si="140"/>
        <v>8.1446625579863186E-4</v>
      </c>
    </row>
    <row r="9920" spans="7:8" x14ac:dyDescent="0.3">
      <c r="G9920" s="75">
        <v>9917</v>
      </c>
      <c r="H9920">
        <f t="shared" ca="1" si="140"/>
        <v>-1.9829624153993482E-2</v>
      </c>
    </row>
    <row r="9921" spans="7:8" x14ac:dyDescent="0.3">
      <c r="G9921" s="75">
        <v>9918</v>
      </c>
      <c r="H9921">
        <f t="shared" ca="1" si="140"/>
        <v>-1.0787607504459862E-2</v>
      </c>
    </row>
    <row r="9922" spans="7:8" x14ac:dyDescent="0.3">
      <c r="G9922" s="75">
        <v>9919</v>
      </c>
      <c r="H9922">
        <f t="shared" ref="H9922:H9985" ca="1" si="141">_xlfn.NORM.INV(RAND(),$N$4,$N$5)</f>
        <v>-1.3479751599912913E-2</v>
      </c>
    </row>
    <row r="9923" spans="7:8" x14ac:dyDescent="0.3">
      <c r="G9923" s="75">
        <v>9920</v>
      </c>
      <c r="H9923">
        <f t="shared" ca="1" si="141"/>
        <v>9.5705818099574486E-4</v>
      </c>
    </row>
    <row r="9924" spans="7:8" x14ac:dyDescent="0.3">
      <c r="G9924" s="75">
        <v>9921</v>
      </c>
      <c r="H9924">
        <f t="shared" ca="1" si="141"/>
        <v>6.1603847989803789E-3</v>
      </c>
    </row>
    <row r="9925" spans="7:8" x14ac:dyDescent="0.3">
      <c r="G9925" s="75">
        <v>9922</v>
      </c>
      <c r="H9925">
        <f t="shared" ca="1" si="141"/>
        <v>-3.4316341354328449E-3</v>
      </c>
    </row>
    <row r="9926" spans="7:8" x14ac:dyDescent="0.3">
      <c r="G9926" s="75">
        <v>9923</v>
      </c>
      <c r="H9926">
        <f t="shared" ca="1" si="141"/>
        <v>2.423404873080327E-2</v>
      </c>
    </row>
    <row r="9927" spans="7:8" x14ac:dyDescent="0.3">
      <c r="G9927" s="75">
        <v>9924</v>
      </c>
      <c r="H9927">
        <f t="shared" ca="1" si="141"/>
        <v>-8.2619510860681734E-3</v>
      </c>
    </row>
    <row r="9928" spans="7:8" x14ac:dyDescent="0.3">
      <c r="G9928" s="75">
        <v>9925</v>
      </c>
      <c r="H9928">
        <f t="shared" ca="1" si="141"/>
        <v>-4.0875299689512841E-3</v>
      </c>
    </row>
    <row r="9929" spans="7:8" x14ac:dyDescent="0.3">
      <c r="G9929" s="75">
        <v>9926</v>
      </c>
      <c r="H9929">
        <f t="shared" ca="1" si="141"/>
        <v>1.2202364836768202E-2</v>
      </c>
    </row>
    <row r="9930" spans="7:8" x14ac:dyDescent="0.3">
      <c r="G9930" s="75">
        <v>9927</v>
      </c>
      <c r="H9930">
        <f t="shared" ca="1" si="141"/>
        <v>-9.1726894898029529E-3</v>
      </c>
    </row>
    <row r="9931" spans="7:8" x14ac:dyDescent="0.3">
      <c r="G9931" s="75">
        <v>9928</v>
      </c>
      <c r="H9931">
        <f t="shared" ca="1" si="141"/>
        <v>-8.0251685013583741E-3</v>
      </c>
    </row>
    <row r="9932" spans="7:8" x14ac:dyDescent="0.3">
      <c r="G9932" s="75">
        <v>9929</v>
      </c>
      <c r="H9932">
        <f t="shared" ca="1" si="141"/>
        <v>-1.1507681196635634E-2</v>
      </c>
    </row>
    <row r="9933" spans="7:8" x14ac:dyDescent="0.3">
      <c r="G9933" s="75">
        <v>9930</v>
      </c>
      <c r="H9933">
        <f t="shared" ca="1" si="141"/>
        <v>-5.2299432889582381E-4</v>
      </c>
    </row>
    <row r="9934" spans="7:8" x14ac:dyDescent="0.3">
      <c r="G9934" s="75">
        <v>9931</v>
      </c>
      <c r="H9934">
        <f t="shared" ca="1" si="141"/>
        <v>8.9960538870258299E-3</v>
      </c>
    </row>
    <row r="9935" spans="7:8" x14ac:dyDescent="0.3">
      <c r="G9935" s="75">
        <v>9932</v>
      </c>
      <c r="H9935">
        <f t="shared" ca="1" si="141"/>
        <v>-8.8780839291612602E-3</v>
      </c>
    </row>
    <row r="9936" spans="7:8" x14ac:dyDescent="0.3">
      <c r="G9936" s="75">
        <v>9933</v>
      </c>
      <c r="H9936">
        <f t="shared" ca="1" si="141"/>
        <v>1.1984114869026216E-2</v>
      </c>
    </row>
    <row r="9937" spans="7:8" x14ac:dyDescent="0.3">
      <c r="G9937" s="75">
        <v>9934</v>
      </c>
      <c r="H9937">
        <f t="shared" ca="1" si="141"/>
        <v>9.4022236716260251E-3</v>
      </c>
    </row>
    <row r="9938" spans="7:8" x14ac:dyDescent="0.3">
      <c r="G9938" s="75">
        <v>9935</v>
      </c>
      <c r="H9938">
        <f t="shared" ca="1" si="141"/>
        <v>-9.1737854236287539E-3</v>
      </c>
    </row>
    <row r="9939" spans="7:8" x14ac:dyDescent="0.3">
      <c r="G9939" s="75">
        <v>9936</v>
      </c>
      <c r="H9939">
        <f t="shared" ca="1" si="141"/>
        <v>-2.2825229549455848E-2</v>
      </c>
    </row>
    <row r="9940" spans="7:8" x14ac:dyDescent="0.3">
      <c r="G9940" s="75">
        <v>9937</v>
      </c>
      <c r="H9940">
        <f t="shared" ca="1" si="141"/>
        <v>-1.1843736011205978E-2</v>
      </c>
    </row>
    <row r="9941" spans="7:8" x14ac:dyDescent="0.3">
      <c r="G9941" s="75">
        <v>9938</v>
      </c>
      <c r="H9941">
        <f t="shared" ca="1" si="141"/>
        <v>-4.0500405572693578E-3</v>
      </c>
    </row>
    <row r="9942" spans="7:8" x14ac:dyDescent="0.3">
      <c r="G9942" s="75">
        <v>9939</v>
      </c>
      <c r="H9942">
        <f t="shared" ca="1" si="141"/>
        <v>-9.3399599395401055E-3</v>
      </c>
    </row>
    <row r="9943" spans="7:8" x14ac:dyDescent="0.3">
      <c r="G9943" s="75">
        <v>9940</v>
      </c>
      <c r="H9943">
        <f t="shared" ca="1" si="141"/>
        <v>-2.0091757893214452E-2</v>
      </c>
    </row>
    <row r="9944" spans="7:8" x14ac:dyDescent="0.3">
      <c r="G9944" s="75">
        <v>9941</v>
      </c>
      <c r="H9944">
        <f t="shared" ca="1" si="141"/>
        <v>1.0542660629246571E-3</v>
      </c>
    </row>
    <row r="9945" spans="7:8" x14ac:dyDescent="0.3">
      <c r="G9945" s="75">
        <v>9942</v>
      </c>
      <c r="H9945">
        <f t="shared" ca="1" si="141"/>
        <v>2.4410575815332004E-3</v>
      </c>
    </row>
    <row r="9946" spans="7:8" x14ac:dyDescent="0.3">
      <c r="G9946" s="75">
        <v>9943</v>
      </c>
      <c r="H9946">
        <f t="shared" ca="1" si="141"/>
        <v>5.0343591534078354E-3</v>
      </c>
    </row>
    <row r="9947" spans="7:8" x14ac:dyDescent="0.3">
      <c r="G9947" s="75">
        <v>9944</v>
      </c>
      <c r="H9947">
        <f t="shared" ca="1" si="141"/>
        <v>9.8041485662826791E-3</v>
      </c>
    </row>
    <row r="9948" spans="7:8" x14ac:dyDescent="0.3">
      <c r="G9948" s="75">
        <v>9945</v>
      </c>
      <c r="H9948">
        <f t="shared" ca="1" si="141"/>
        <v>-1.0988907901065596E-2</v>
      </c>
    </row>
    <row r="9949" spans="7:8" x14ac:dyDescent="0.3">
      <c r="G9949" s="75">
        <v>9946</v>
      </c>
      <c r="H9949">
        <f t="shared" ca="1" si="141"/>
        <v>8.5234407400687734E-5</v>
      </c>
    </row>
    <row r="9950" spans="7:8" x14ac:dyDescent="0.3">
      <c r="G9950" s="75">
        <v>9947</v>
      </c>
      <c r="H9950">
        <f t="shared" ca="1" si="141"/>
        <v>-1.3048400404992904E-3</v>
      </c>
    </row>
    <row r="9951" spans="7:8" x14ac:dyDescent="0.3">
      <c r="G9951" s="75">
        <v>9948</v>
      </c>
      <c r="H9951">
        <f t="shared" ca="1" si="141"/>
        <v>-8.6301646558153353E-3</v>
      </c>
    </row>
    <row r="9952" spans="7:8" x14ac:dyDescent="0.3">
      <c r="G9952" s="75">
        <v>9949</v>
      </c>
      <c r="H9952">
        <f t="shared" ca="1" si="141"/>
        <v>3.0557219649410576E-3</v>
      </c>
    </row>
    <row r="9953" spans="7:8" x14ac:dyDescent="0.3">
      <c r="G9953" s="75">
        <v>9950</v>
      </c>
      <c r="H9953">
        <f t="shared" ca="1" si="141"/>
        <v>-1.7961785295452413E-2</v>
      </c>
    </row>
    <row r="9954" spans="7:8" x14ac:dyDescent="0.3">
      <c r="G9954" s="75">
        <v>9951</v>
      </c>
      <c r="H9954">
        <f t="shared" ca="1" si="141"/>
        <v>-1.4554776302428654E-3</v>
      </c>
    </row>
    <row r="9955" spans="7:8" x14ac:dyDescent="0.3">
      <c r="G9955" s="75">
        <v>9952</v>
      </c>
      <c r="H9955">
        <f t="shared" ca="1" si="141"/>
        <v>-8.4809962080680257E-3</v>
      </c>
    </row>
    <row r="9956" spans="7:8" x14ac:dyDescent="0.3">
      <c r="G9956" s="75">
        <v>9953</v>
      </c>
      <c r="H9956">
        <f t="shared" ca="1" si="141"/>
        <v>-7.4615187866595781E-3</v>
      </c>
    </row>
    <row r="9957" spans="7:8" x14ac:dyDescent="0.3">
      <c r="G9957" s="75">
        <v>9954</v>
      </c>
      <c r="H9957">
        <f t="shared" ca="1" si="141"/>
        <v>-1.0871173038394142E-2</v>
      </c>
    </row>
    <row r="9958" spans="7:8" x14ac:dyDescent="0.3">
      <c r="G9958" s="75">
        <v>9955</v>
      </c>
      <c r="H9958">
        <f t="shared" ca="1" si="141"/>
        <v>-1.8473200349700864E-2</v>
      </c>
    </row>
    <row r="9959" spans="7:8" x14ac:dyDescent="0.3">
      <c r="G9959" s="75">
        <v>9956</v>
      </c>
      <c r="H9959">
        <f t="shared" ca="1" si="141"/>
        <v>1.0217450326430514E-2</v>
      </c>
    </row>
    <row r="9960" spans="7:8" x14ac:dyDescent="0.3">
      <c r="G9960" s="75">
        <v>9957</v>
      </c>
      <c r="H9960">
        <f t="shared" ca="1" si="141"/>
        <v>-1.205065820613751E-2</v>
      </c>
    </row>
    <row r="9961" spans="7:8" x14ac:dyDescent="0.3">
      <c r="G9961" s="75">
        <v>9958</v>
      </c>
      <c r="H9961">
        <f t="shared" ca="1" si="141"/>
        <v>9.5666530165160642E-3</v>
      </c>
    </row>
    <row r="9962" spans="7:8" x14ac:dyDescent="0.3">
      <c r="G9962" s="75">
        <v>9959</v>
      </c>
      <c r="H9962">
        <f t="shared" ca="1" si="141"/>
        <v>2.546658851538932E-2</v>
      </c>
    </row>
    <row r="9963" spans="7:8" x14ac:dyDescent="0.3">
      <c r="G9963" s="75">
        <v>9960</v>
      </c>
      <c r="H9963">
        <f t="shared" ca="1" si="141"/>
        <v>-1.5124898672526426E-2</v>
      </c>
    </row>
    <row r="9964" spans="7:8" x14ac:dyDescent="0.3">
      <c r="G9964" s="75">
        <v>9961</v>
      </c>
      <c r="H9964">
        <f t="shared" ca="1" si="141"/>
        <v>7.9163886496038359E-3</v>
      </c>
    </row>
    <row r="9965" spans="7:8" x14ac:dyDescent="0.3">
      <c r="G9965" s="75">
        <v>9962</v>
      </c>
      <c r="H9965">
        <f t="shared" ca="1" si="141"/>
        <v>6.1642684251892402E-3</v>
      </c>
    </row>
    <row r="9966" spans="7:8" x14ac:dyDescent="0.3">
      <c r="G9966" s="75">
        <v>9963</v>
      </c>
      <c r="H9966">
        <f t="shared" ca="1" si="141"/>
        <v>-3.1013088969493174E-3</v>
      </c>
    </row>
    <row r="9967" spans="7:8" x14ac:dyDescent="0.3">
      <c r="G9967" s="75">
        <v>9964</v>
      </c>
      <c r="H9967">
        <f t="shared" ca="1" si="141"/>
        <v>-7.5925866437343368E-3</v>
      </c>
    </row>
    <row r="9968" spans="7:8" x14ac:dyDescent="0.3">
      <c r="G9968" s="75">
        <v>9965</v>
      </c>
      <c r="H9968">
        <f t="shared" ca="1" si="141"/>
        <v>2.0200446707939398E-3</v>
      </c>
    </row>
    <row r="9969" spans="7:8" x14ac:dyDescent="0.3">
      <c r="G9969" s="75">
        <v>9966</v>
      </c>
      <c r="H9969">
        <f t="shared" ca="1" si="141"/>
        <v>4.3956638248248778E-3</v>
      </c>
    </row>
    <row r="9970" spans="7:8" x14ac:dyDescent="0.3">
      <c r="G9970" s="75">
        <v>9967</v>
      </c>
      <c r="H9970">
        <f t="shared" ca="1" si="141"/>
        <v>-1.4739532365589529E-2</v>
      </c>
    </row>
    <row r="9971" spans="7:8" x14ac:dyDescent="0.3">
      <c r="G9971" s="75">
        <v>9968</v>
      </c>
      <c r="H9971">
        <f t="shared" ca="1" si="141"/>
        <v>8.2465912936012364E-3</v>
      </c>
    </row>
    <row r="9972" spans="7:8" x14ac:dyDescent="0.3">
      <c r="G9972" s="75">
        <v>9969</v>
      </c>
      <c r="H9972">
        <f t="shared" ca="1" si="141"/>
        <v>7.5144703842286208E-3</v>
      </c>
    </row>
    <row r="9973" spans="7:8" x14ac:dyDescent="0.3">
      <c r="G9973" s="75">
        <v>9970</v>
      </c>
      <c r="H9973">
        <f t="shared" ca="1" si="141"/>
        <v>5.6973450832775753E-3</v>
      </c>
    </row>
    <row r="9974" spans="7:8" x14ac:dyDescent="0.3">
      <c r="G9974" s="75">
        <v>9971</v>
      </c>
      <c r="H9974">
        <f t="shared" ca="1" si="141"/>
        <v>7.0753760579965307E-3</v>
      </c>
    </row>
    <row r="9975" spans="7:8" x14ac:dyDescent="0.3">
      <c r="G9975" s="75">
        <v>9972</v>
      </c>
      <c r="H9975">
        <f t="shared" ca="1" si="141"/>
        <v>7.1189552793001019E-3</v>
      </c>
    </row>
    <row r="9976" spans="7:8" x14ac:dyDescent="0.3">
      <c r="G9976" s="75">
        <v>9973</v>
      </c>
      <c r="H9976">
        <f t="shared" ca="1" si="141"/>
        <v>1.7152386670431872E-2</v>
      </c>
    </row>
    <row r="9977" spans="7:8" x14ac:dyDescent="0.3">
      <c r="G9977" s="75">
        <v>9974</v>
      </c>
      <c r="H9977">
        <f t="shared" ca="1" si="141"/>
        <v>1.8815915967693154E-2</v>
      </c>
    </row>
    <row r="9978" spans="7:8" x14ac:dyDescent="0.3">
      <c r="G9978" s="75">
        <v>9975</v>
      </c>
      <c r="H9978">
        <f t="shared" ca="1" si="141"/>
        <v>-8.7676293179454762E-3</v>
      </c>
    </row>
    <row r="9979" spans="7:8" x14ac:dyDescent="0.3">
      <c r="G9979" s="75">
        <v>9976</v>
      </c>
      <c r="H9979">
        <f t="shared" ca="1" si="141"/>
        <v>-1.5379311326723216E-2</v>
      </c>
    </row>
    <row r="9980" spans="7:8" x14ac:dyDescent="0.3">
      <c r="G9980" s="75">
        <v>9977</v>
      </c>
      <c r="H9980">
        <f t="shared" ca="1" si="141"/>
        <v>-1.5235558121372806E-2</v>
      </c>
    </row>
    <row r="9981" spans="7:8" x14ac:dyDescent="0.3">
      <c r="G9981" s="75">
        <v>9978</v>
      </c>
      <c r="H9981">
        <f t="shared" ca="1" si="141"/>
        <v>-9.7914635464060665E-3</v>
      </c>
    </row>
    <row r="9982" spans="7:8" x14ac:dyDescent="0.3">
      <c r="G9982" s="75">
        <v>9979</v>
      </c>
      <c r="H9982">
        <f t="shared" ca="1" si="141"/>
        <v>5.6725537004094044E-3</v>
      </c>
    </row>
    <row r="9983" spans="7:8" x14ac:dyDescent="0.3">
      <c r="G9983" s="75">
        <v>9980</v>
      </c>
      <c r="H9983">
        <f t="shared" ca="1" si="141"/>
        <v>7.4365549456425605E-3</v>
      </c>
    </row>
    <row r="9984" spans="7:8" x14ac:dyDescent="0.3">
      <c r="G9984" s="75">
        <v>9981</v>
      </c>
      <c r="H9984">
        <f t="shared" ca="1" si="141"/>
        <v>-7.7423112267111655E-3</v>
      </c>
    </row>
    <row r="9985" spans="7:8" x14ac:dyDescent="0.3">
      <c r="G9985" s="75">
        <v>9982</v>
      </c>
      <c r="H9985">
        <f t="shared" ca="1" si="141"/>
        <v>2.3644431211941739E-2</v>
      </c>
    </row>
    <row r="9986" spans="7:8" x14ac:dyDescent="0.3">
      <c r="G9986" s="75">
        <v>9983</v>
      </c>
      <c r="H9986">
        <f t="shared" ref="H9986:H10003" ca="1" si="142">_xlfn.NORM.INV(RAND(),$N$4,$N$5)</f>
        <v>3.8472975115790074E-3</v>
      </c>
    </row>
    <row r="9987" spans="7:8" x14ac:dyDescent="0.3">
      <c r="G9987" s="75">
        <v>9984</v>
      </c>
      <c r="H9987">
        <f t="shared" ca="1" si="142"/>
        <v>8.3574358983940864E-3</v>
      </c>
    </row>
    <row r="9988" spans="7:8" x14ac:dyDescent="0.3">
      <c r="G9988" s="75">
        <v>9985</v>
      </c>
      <c r="H9988">
        <f t="shared" ca="1" si="142"/>
        <v>-1.6451391722437304E-2</v>
      </c>
    </row>
    <row r="9989" spans="7:8" x14ac:dyDescent="0.3">
      <c r="G9989" s="75">
        <v>9986</v>
      </c>
      <c r="H9989">
        <f t="shared" ca="1" si="142"/>
        <v>-9.2829325210200975E-3</v>
      </c>
    </row>
    <row r="9990" spans="7:8" x14ac:dyDescent="0.3">
      <c r="G9990" s="75">
        <v>9987</v>
      </c>
      <c r="H9990">
        <f t="shared" ca="1" si="142"/>
        <v>-1.2231120805597306E-2</v>
      </c>
    </row>
    <row r="9991" spans="7:8" x14ac:dyDescent="0.3">
      <c r="G9991" s="75">
        <v>9988</v>
      </c>
      <c r="H9991">
        <f t="shared" ca="1" si="142"/>
        <v>-1.0613755458846325E-2</v>
      </c>
    </row>
    <row r="9992" spans="7:8" x14ac:dyDescent="0.3">
      <c r="G9992" s="75">
        <v>9989</v>
      </c>
      <c r="H9992">
        <f t="shared" ca="1" si="142"/>
        <v>1.1370617541590794E-2</v>
      </c>
    </row>
    <row r="9993" spans="7:8" x14ac:dyDescent="0.3">
      <c r="G9993" s="75">
        <v>9990</v>
      </c>
      <c r="H9993">
        <f t="shared" ca="1" si="142"/>
        <v>-1.0886838927758042E-2</v>
      </c>
    </row>
    <row r="9994" spans="7:8" x14ac:dyDescent="0.3">
      <c r="G9994" s="75">
        <v>9991</v>
      </c>
      <c r="H9994">
        <f t="shared" ca="1" si="142"/>
        <v>1.3157417314637094E-2</v>
      </c>
    </row>
    <row r="9995" spans="7:8" x14ac:dyDescent="0.3">
      <c r="G9995" s="75">
        <v>9992</v>
      </c>
      <c r="H9995">
        <f t="shared" ca="1" si="142"/>
        <v>2.1311088924274683E-3</v>
      </c>
    </row>
    <row r="9996" spans="7:8" x14ac:dyDescent="0.3">
      <c r="G9996" s="75">
        <v>9993</v>
      </c>
      <c r="H9996">
        <f t="shared" ca="1" si="142"/>
        <v>-1.9469180246621351E-2</v>
      </c>
    </row>
    <row r="9997" spans="7:8" x14ac:dyDescent="0.3">
      <c r="G9997" s="75">
        <v>9994</v>
      </c>
      <c r="H9997">
        <f t="shared" ca="1" si="142"/>
        <v>-1.3326745808168064E-3</v>
      </c>
    </row>
    <row r="9998" spans="7:8" x14ac:dyDescent="0.3">
      <c r="G9998" s="75">
        <v>9995</v>
      </c>
      <c r="H9998">
        <f t="shared" ca="1" si="142"/>
        <v>1.4630835546826593E-2</v>
      </c>
    </row>
    <row r="9999" spans="7:8" x14ac:dyDescent="0.3">
      <c r="G9999" s="75">
        <v>9996</v>
      </c>
      <c r="H9999">
        <f t="shared" ca="1" si="142"/>
        <v>5.7370988603218263E-3</v>
      </c>
    </row>
    <row r="10000" spans="7:8" x14ac:dyDescent="0.3">
      <c r="G10000" s="75">
        <v>9997</v>
      </c>
      <c r="H10000">
        <f t="shared" ca="1" si="142"/>
        <v>9.1684012402857267E-3</v>
      </c>
    </row>
    <row r="10001" spans="7:8" x14ac:dyDescent="0.3">
      <c r="G10001" s="75">
        <v>9998</v>
      </c>
      <c r="H10001">
        <f t="shared" ca="1" si="142"/>
        <v>1.7992986650188468E-2</v>
      </c>
    </row>
    <row r="10002" spans="7:8" x14ac:dyDescent="0.3">
      <c r="G10002" s="75">
        <v>9999</v>
      </c>
      <c r="H10002">
        <f t="shared" ca="1" si="142"/>
        <v>-1.9987253081004411E-2</v>
      </c>
    </row>
    <row r="10003" spans="7:8" x14ac:dyDescent="0.3">
      <c r="G10003" s="75">
        <v>10000</v>
      </c>
      <c r="H10003">
        <f t="shared" ca="1" si="142"/>
        <v>3.6523516023765474E-3</v>
      </c>
    </row>
  </sheetData>
  <autoFilter ref="B2:E2" xr:uid="{5E19D5B7-955C-4AD0-84FF-7B0D192FA066}">
    <sortState xmlns:xlrd2="http://schemas.microsoft.com/office/spreadsheetml/2017/richdata2" ref="B3:E2074">
      <sortCondition descending="1" ref="E2"/>
    </sortState>
  </autoFilter>
  <mergeCells count="2">
    <mergeCell ref="J2:N2"/>
    <mergeCell ref="J17:N1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46E6-9852-4615-BE23-85D09D7A274E}">
  <sheetPr>
    <tabColor rgb="FFE84726"/>
  </sheetPr>
  <dimension ref="B2:L40"/>
  <sheetViews>
    <sheetView showGridLines="0" topLeftCell="B1" workbookViewId="0">
      <selection activeCell="B2" sqref="B2:K2"/>
    </sheetView>
  </sheetViews>
  <sheetFormatPr defaultRowHeight="14.4" x14ac:dyDescent="0.3"/>
  <cols>
    <col min="1" max="1" width="1.88671875" customWidth="1"/>
    <col min="2" max="2" width="27.109375" customWidth="1"/>
    <col min="3" max="3" width="9" bestFit="1" customWidth="1"/>
    <col min="4" max="4" width="8" bestFit="1" customWidth="1"/>
    <col min="5" max="5" width="10" bestFit="1" customWidth="1"/>
    <col min="6" max="6" width="11.109375" bestFit="1" customWidth="1"/>
    <col min="7" max="7" width="13.6640625" bestFit="1" customWidth="1"/>
    <col min="11" max="11" width="20.21875" bestFit="1" customWidth="1"/>
  </cols>
  <sheetData>
    <row r="2" spans="2:12" x14ac:dyDescent="0.3">
      <c r="B2" s="236" t="s">
        <v>177</v>
      </c>
      <c r="C2" s="236"/>
      <c r="D2" s="236"/>
      <c r="E2" s="236"/>
      <c r="F2" s="236"/>
      <c r="G2" s="236"/>
      <c r="H2" s="236"/>
      <c r="I2" s="236"/>
      <c r="J2" s="236"/>
      <c r="K2" s="236"/>
      <c r="L2" s="91"/>
    </row>
    <row r="4" spans="2:12" x14ac:dyDescent="0.3">
      <c r="B4" t="s">
        <v>178</v>
      </c>
    </row>
    <row r="6" spans="2:12" x14ac:dyDescent="0.3">
      <c r="B6" s="92" t="s">
        <v>179</v>
      </c>
      <c r="C6" s="93"/>
      <c r="D6" s="93"/>
      <c r="E6" s="93"/>
      <c r="F6" s="93"/>
      <c r="G6" s="93"/>
      <c r="H6" s="93"/>
      <c r="I6" s="93"/>
      <c r="J6" s="93"/>
      <c r="K6" s="93"/>
    </row>
    <row r="7" spans="2:12" x14ac:dyDescent="0.3">
      <c r="H7" t="s">
        <v>180</v>
      </c>
      <c r="I7" t="s">
        <v>180</v>
      </c>
      <c r="J7" s="75" t="s">
        <v>181</v>
      </c>
      <c r="K7" s="75" t="s">
        <v>182</v>
      </c>
    </row>
    <row r="8" spans="2:12" ht="16.8" thickBot="1" x14ac:dyDescent="0.35">
      <c r="B8" s="94" t="s">
        <v>183</v>
      </c>
      <c r="C8" s="95"/>
      <c r="D8" s="95" t="s">
        <v>184</v>
      </c>
      <c r="E8" s="95" t="s">
        <v>185</v>
      </c>
      <c r="F8" s="95" t="s">
        <v>186</v>
      </c>
      <c r="G8" s="95" t="s">
        <v>187</v>
      </c>
      <c r="H8" s="95" t="s">
        <v>188</v>
      </c>
      <c r="I8" s="95" t="s">
        <v>189</v>
      </c>
      <c r="J8" s="96" t="s">
        <v>190</v>
      </c>
      <c r="K8" s="96" t="s">
        <v>191</v>
      </c>
    </row>
    <row r="9" spans="2:12" ht="15" thickTop="1" x14ac:dyDescent="0.3"/>
    <row r="10" spans="2:12" x14ac:dyDescent="0.3">
      <c r="B10" s="97" t="s">
        <v>299</v>
      </c>
      <c r="C10" s="97"/>
      <c r="D10" s="97" t="s">
        <v>192</v>
      </c>
      <c r="E10" s="212">
        <v>2290</v>
      </c>
      <c r="F10" s="212">
        <v>19400</v>
      </c>
      <c r="G10" s="98">
        <v>0.3</v>
      </c>
      <c r="H10" s="99">
        <f>E10/F10</f>
        <v>0.11804123711340206</v>
      </c>
      <c r="I10" s="99">
        <f>E10/(E10+F10)</f>
        <v>0.10557860765329645</v>
      </c>
      <c r="J10" s="100">
        <v>0.6</v>
      </c>
      <c r="K10" s="101">
        <f>J10/(1+(1-G10)*H10)</f>
        <v>0.55420654192258245</v>
      </c>
    </row>
    <row r="11" spans="2:12" x14ac:dyDescent="0.3">
      <c r="B11" s="97" t="s">
        <v>300</v>
      </c>
      <c r="C11" s="97"/>
      <c r="D11" s="97" t="s">
        <v>192</v>
      </c>
      <c r="E11" s="212">
        <v>750</v>
      </c>
      <c r="F11" s="212">
        <v>5900</v>
      </c>
      <c r="G11" s="98">
        <v>0.3</v>
      </c>
      <c r="H11" s="99">
        <f t="shared" ref="H11:H16" si="0">E11/F11</f>
        <v>0.1271186440677966</v>
      </c>
      <c r="I11" s="99">
        <f t="shared" ref="I11:I16" si="1">E11/(E11+F11)</f>
        <v>0.11278195488721804</v>
      </c>
      <c r="J11" s="100">
        <v>0.8</v>
      </c>
      <c r="K11" s="101">
        <f t="shared" ref="K11:K13" si="2">J11/(1+(1-G11)*H11)</f>
        <v>0.73463035019455258</v>
      </c>
    </row>
    <row r="12" spans="2:12" x14ac:dyDescent="0.3">
      <c r="B12" s="97" t="s">
        <v>301</v>
      </c>
      <c r="C12" s="97"/>
      <c r="D12" s="97" t="s">
        <v>192</v>
      </c>
      <c r="E12" s="212">
        <v>280</v>
      </c>
      <c r="F12" s="212">
        <v>7250</v>
      </c>
      <c r="G12" s="98">
        <v>0.3</v>
      </c>
      <c r="H12" s="99">
        <f t="shared" si="0"/>
        <v>3.8620689655172416E-2</v>
      </c>
      <c r="I12" s="99">
        <f t="shared" si="1"/>
        <v>3.7184594953519258E-2</v>
      </c>
      <c r="J12" s="100">
        <v>0.5</v>
      </c>
      <c r="K12" s="101">
        <f t="shared" si="2"/>
        <v>0.48683857104485634</v>
      </c>
    </row>
    <row r="13" spans="2:12" x14ac:dyDescent="0.3">
      <c r="B13" s="97" t="s">
        <v>302</v>
      </c>
      <c r="C13" s="97"/>
      <c r="D13" s="97" t="s">
        <v>192</v>
      </c>
      <c r="E13" s="212">
        <v>60</v>
      </c>
      <c r="F13" s="212">
        <v>3250</v>
      </c>
      <c r="G13" s="98">
        <v>0.3</v>
      </c>
      <c r="H13" s="99">
        <f t="shared" si="0"/>
        <v>1.8461538461538463E-2</v>
      </c>
      <c r="I13" s="99">
        <f t="shared" si="1"/>
        <v>1.812688821752266E-2</v>
      </c>
      <c r="J13" s="100">
        <v>0.25</v>
      </c>
      <c r="K13" s="101">
        <f t="shared" si="2"/>
        <v>0.24681044957472664</v>
      </c>
    </row>
    <row r="14" spans="2:12" x14ac:dyDescent="0.3">
      <c r="B14" s="97" t="s">
        <v>303</v>
      </c>
      <c r="C14" s="97"/>
      <c r="D14" s="97" t="s">
        <v>192</v>
      </c>
      <c r="E14" s="212">
        <v>18</v>
      </c>
      <c r="F14" s="212">
        <v>1650</v>
      </c>
      <c r="G14" s="98">
        <v>0.3</v>
      </c>
      <c r="H14" s="99">
        <f t="shared" si="0"/>
        <v>1.090909090909091E-2</v>
      </c>
      <c r="I14" s="99">
        <f t="shared" si="1"/>
        <v>1.0791366906474821E-2</v>
      </c>
      <c r="J14" s="100">
        <v>0.6</v>
      </c>
      <c r="K14" s="101">
        <f>J14/(1+(1-G14)*H14)</f>
        <v>0.59545290508841575</v>
      </c>
    </row>
    <row r="15" spans="2:12" x14ac:dyDescent="0.3">
      <c r="B15" s="97" t="s">
        <v>304</v>
      </c>
      <c r="C15" s="97"/>
      <c r="D15" s="97" t="s">
        <v>192</v>
      </c>
      <c r="E15" s="212">
        <v>153</v>
      </c>
      <c r="F15" s="212">
        <v>225</v>
      </c>
      <c r="G15" s="98">
        <v>0.3</v>
      </c>
      <c r="H15" s="99">
        <f t="shared" si="0"/>
        <v>0.68</v>
      </c>
      <c r="I15" s="99">
        <f t="shared" si="1"/>
        <v>0.40476190476190477</v>
      </c>
      <c r="J15" s="100">
        <v>0.95</v>
      </c>
      <c r="K15" s="101">
        <f>J15/(1+(1-G15)*H15)</f>
        <v>0.64363143631436315</v>
      </c>
    </row>
    <row r="16" spans="2:12" ht="15" thickBot="1" x14ac:dyDescent="0.35">
      <c r="B16" s="97" t="s">
        <v>305</v>
      </c>
      <c r="C16" s="107"/>
      <c r="D16" s="97" t="s">
        <v>192</v>
      </c>
      <c r="E16" s="212">
        <v>35</v>
      </c>
      <c r="F16" s="213">
        <v>800</v>
      </c>
      <c r="G16" s="147">
        <v>0.3</v>
      </c>
      <c r="H16" s="148">
        <f t="shared" si="0"/>
        <v>4.3749999999999997E-2</v>
      </c>
      <c r="I16" s="148">
        <f t="shared" si="1"/>
        <v>4.1916167664670656E-2</v>
      </c>
      <c r="J16" s="149">
        <v>0.7</v>
      </c>
      <c r="K16" s="150">
        <f>J16/(1+(1-G16)*H16)</f>
        <v>0.67919951485748942</v>
      </c>
    </row>
    <row r="17" spans="2:11" x14ac:dyDescent="0.3">
      <c r="F17" s="151" t="s">
        <v>193</v>
      </c>
      <c r="G17" s="152">
        <f>AVERAGE(G10:G16)</f>
        <v>0.3</v>
      </c>
      <c r="H17" s="153">
        <f>AVERAGE(H10:H16)</f>
        <v>0.14812874288671438</v>
      </c>
      <c r="I17" s="153">
        <f>AVERAGE(I10:I16)</f>
        <v>0.10444878357780096</v>
      </c>
      <c r="J17" s="154">
        <f>AVERAGE(J10:J16)</f>
        <v>0.62857142857142867</v>
      </c>
      <c r="K17" s="155">
        <f>AVERAGE(K10:K16)</f>
        <v>0.56296710985671239</v>
      </c>
    </row>
    <row r="18" spans="2:11" x14ac:dyDescent="0.3">
      <c r="F18" s="103" t="s">
        <v>194</v>
      </c>
      <c r="G18" s="156">
        <f>MEDIAN(G10:G16)</f>
        <v>0.3</v>
      </c>
      <c r="H18" s="157">
        <f>MEDIAN(H10:H16)</f>
        <v>4.3749999999999997E-2</v>
      </c>
      <c r="I18" s="157">
        <f>MEDIAN(I10:I16)</f>
        <v>4.1916167664670656E-2</v>
      </c>
      <c r="J18" s="158">
        <f>MEDIAN(J10:J16)</f>
        <v>0.6</v>
      </c>
      <c r="K18" s="159">
        <f t="shared" ref="K18" si="3">MEDIAN(K10:K14)</f>
        <v>0.55420654192258245</v>
      </c>
    </row>
    <row r="19" spans="2:11" ht="4.2" customHeight="1" x14ac:dyDescent="0.3">
      <c r="B19" s="104"/>
      <c r="C19" s="104"/>
      <c r="D19" s="104"/>
      <c r="E19" s="104"/>
      <c r="F19" s="104"/>
      <c r="G19" s="104"/>
      <c r="H19" s="104"/>
      <c r="I19" s="104"/>
      <c r="J19" s="104"/>
      <c r="K19" s="104"/>
    </row>
    <row r="20" spans="2:11" x14ac:dyDescent="0.3">
      <c r="B20" s="92" t="s">
        <v>195</v>
      </c>
      <c r="C20" s="92"/>
      <c r="D20" s="93"/>
      <c r="E20" s="93"/>
      <c r="G20" s="92" t="s">
        <v>196</v>
      </c>
      <c r="H20" s="93"/>
      <c r="I20" s="93"/>
      <c r="J20" s="93"/>
      <c r="K20" s="93"/>
    </row>
    <row r="22" spans="2:11" ht="16.2" x14ac:dyDescent="0.3">
      <c r="B22" s="105" t="s">
        <v>197</v>
      </c>
      <c r="C22" s="105"/>
      <c r="D22" s="105"/>
      <c r="E22" s="106">
        <v>7.4999999999999997E-2</v>
      </c>
      <c r="G22" s="107" t="s">
        <v>198</v>
      </c>
      <c r="H22" s="107"/>
      <c r="I22" s="107"/>
      <c r="J22" s="107"/>
      <c r="K22" s="108">
        <v>7.3899999999999993E-2</v>
      </c>
    </row>
    <row r="23" spans="2:11" ht="15" thickBot="1" x14ac:dyDescent="0.35">
      <c r="B23" t="s">
        <v>199</v>
      </c>
      <c r="E23" s="109">
        <f>G18</f>
        <v>0.3</v>
      </c>
      <c r="G23" s="107" t="s">
        <v>200</v>
      </c>
      <c r="H23" s="107"/>
      <c r="I23" s="107"/>
      <c r="J23" s="107"/>
      <c r="K23" s="110">
        <f>'[2]Rm Calculation '!G7-'WACC Calculation Asian Paints'!K22</f>
        <v>9.4117391304347847E-2</v>
      </c>
    </row>
    <row r="24" spans="2:11" ht="16.8" thickBot="1" x14ac:dyDescent="0.35">
      <c r="B24" s="111" t="s">
        <v>201</v>
      </c>
      <c r="C24" s="111"/>
      <c r="D24" s="111"/>
      <c r="E24" s="112">
        <f>E22*(1-E23)</f>
        <v>5.2499999999999998E-2</v>
      </c>
      <c r="G24" s="113" t="s">
        <v>202</v>
      </c>
      <c r="H24" s="113"/>
      <c r="I24" s="113"/>
      <c r="J24" s="113"/>
      <c r="K24" s="114">
        <f>K32</f>
        <v>0.57462467767762493</v>
      </c>
    </row>
    <row r="25" spans="2:11" x14ac:dyDescent="0.3">
      <c r="G25" s="111" t="s">
        <v>196</v>
      </c>
      <c r="H25" s="111"/>
      <c r="I25" s="111"/>
      <c r="J25" s="111"/>
      <c r="K25" s="115">
        <f>K22+(K23*K24)</f>
        <v>0.12798217564211978</v>
      </c>
    </row>
    <row r="28" spans="2:11" x14ac:dyDescent="0.3">
      <c r="B28" s="92" t="s">
        <v>203</v>
      </c>
      <c r="C28" s="93"/>
      <c r="D28" s="93"/>
      <c r="E28" s="93"/>
      <c r="G28" s="92" t="s">
        <v>204</v>
      </c>
      <c r="H28" s="93"/>
      <c r="I28" s="93"/>
      <c r="J28" s="93"/>
      <c r="K28" s="93"/>
    </row>
    <row r="29" spans="2:11" x14ac:dyDescent="0.3">
      <c r="B29" s="116"/>
      <c r="C29" s="102" t="s">
        <v>205</v>
      </c>
      <c r="D29" s="102" t="s">
        <v>206</v>
      </c>
      <c r="E29" s="102" t="s">
        <v>207</v>
      </c>
      <c r="G29" s="117" t="s">
        <v>208</v>
      </c>
      <c r="H29" s="117"/>
      <c r="I29" s="117"/>
      <c r="J29" s="117"/>
      <c r="K29" s="118">
        <f>K18</f>
        <v>0.55420654192258245</v>
      </c>
    </row>
    <row r="30" spans="2:11" x14ac:dyDescent="0.3">
      <c r="B30" s="117" t="s">
        <v>209</v>
      </c>
      <c r="C30" s="119">
        <f>E10</f>
        <v>2290</v>
      </c>
      <c r="D30" s="120">
        <f>C30/$C$33</f>
        <v>0.10557860765329645</v>
      </c>
      <c r="E30" s="121">
        <v>0.05</v>
      </c>
      <c r="G30" s="107" t="s">
        <v>210</v>
      </c>
      <c r="H30" s="107"/>
      <c r="I30" s="107"/>
      <c r="J30" s="107"/>
      <c r="K30" s="122">
        <f>E32</f>
        <v>5.2631578947368425E-2</v>
      </c>
    </row>
    <row r="31" spans="2:11" ht="15" thickBot="1" x14ac:dyDescent="0.35">
      <c r="B31" s="107" t="s">
        <v>211</v>
      </c>
      <c r="C31" s="97">
        <f>F10</f>
        <v>19400</v>
      </c>
      <c r="D31" s="122">
        <f>C31/$C$33</f>
        <v>0.89442139234670359</v>
      </c>
      <c r="E31" s="122">
        <f>E33-E30</f>
        <v>0.95</v>
      </c>
      <c r="G31" s="113" t="s">
        <v>199</v>
      </c>
      <c r="H31" s="113"/>
      <c r="I31" s="113"/>
      <c r="J31" s="113"/>
      <c r="K31" s="123">
        <f>G18</f>
        <v>0.3</v>
      </c>
    </row>
    <row r="32" spans="2:11" ht="15" thickBot="1" x14ac:dyDescent="0.35">
      <c r="B32" s="113" t="s">
        <v>212</v>
      </c>
      <c r="C32" s="113"/>
      <c r="D32" s="123">
        <f>C30/C31</f>
        <v>0.11804123711340206</v>
      </c>
      <c r="E32" s="123">
        <f>E30/E31</f>
        <v>5.2631578947368425E-2</v>
      </c>
      <c r="G32" s="229" t="s">
        <v>213</v>
      </c>
      <c r="H32" s="229"/>
      <c r="I32" s="229"/>
      <c r="J32" s="111"/>
      <c r="K32" s="124">
        <f>K29*(1+(1-K31)*K30)</f>
        <v>0.57462467767762493</v>
      </c>
    </row>
    <row r="33" spans="2:11" x14ac:dyDescent="0.3">
      <c r="B33" s="111" t="s">
        <v>214</v>
      </c>
      <c r="C33" s="111">
        <f>SUM(C30:C31)</f>
        <v>21690</v>
      </c>
      <c r="D33" s="125">
        <f>C33/$C$33</f>
        <v>1</v>
      </c>
      <c r="E33" s="115">
        <f>D33</f>
        <v>1</v>
      </c>
    </row>
    <row r="34" spans="2:11" x14ac:dyDescent="0.3">
      <c r="B34" s="126" t="s">
        <v>215</v>
      </c>
      <c r="C34" s="2"/>
      <c r="D34" s="2"/>
      <c r="E34" s="5"/>
    </row>
    <row r="35" spans="2:11" x14ac:dyDescent="0.3">
      <c r="B35" s="127" t="s">
        <v>216</v>
      </c>
      <c r="D35" t="s">
        <v>144</v>
      </c>
      <c r="E35" s="128"/>
      <c r="G35" s="92" t="s">
        <v>177</v>
      </c>
      <c r="H35" s="93"/>
      <c r="I35" s="93"/>
      <c r="J35" s="93"/>
      <c r="K35" s="93"/>
    </row>
    <row r="36" spans="2:11" x14ac:dyDescent="0.3">
      <c r="B36" s="127" t="s">
        <v>217</v>
      </c>
      <c r="E36" s="128"/>
      <c r="G36" s="107"/>
      <c r="H36" s="107"/>
      <c r="I36" s="107"/>
      <c r="J36" s="30" t="s">
        <v>218</v>
      </c>
      <c r="K36" s="38" t="s">
        <v>219</v>
      </c>
    </row>
    <row r="37" spans="2:11" x14ac:dyDescent="0.3">
      <c r="B37" s="127" t="s">
        <v>220</v>
      </c>
      <c r="E37" s="128"/>
      <c r="G37" s="107" t="s">
        <v>221</v>
      </c>
      <c r="H37" s="107"/>
      <c r="I37" s="107"/>
      <c r="J37" s="129">
        <f>E24</f>
        <v>5.2499999999999998E-2</v>
      </c>
      <c r="K37" s="122">
        <f>E30</f>
        <v>0.05</v>
      </c>
    </row>
    <row r="38" spans="2:11" ht="15" thickBot="1" x14ac:dyDescent="0.35">
      <c r="B38" s="127" t="s">
        <v>222</v>
      </c>
      <c r="E38" s="128"/>
      <c r="G38" s="130" t="s">
        <v>188</v>
      </c>
      <c r="H38" s="130"/>
      <c r="I38" s="130"/>
      <c r="J38" s="131">
        <f>K25</f>
        <v>0.12798217564211978</v>
      </c>
      <c r="K38" s="131">
        <f>E31</f>
        <v>0.95</v>
      </c>
    </row>
    <row r="39" spans="2:11" x14ac:dyDescent="0.3">
      <c r="B39" s="132" t="s">
        <v>223</v>
      </c>
      <c r="C39" s="93"/>
      <c r="D39" s="93"/>
      <c r="E39" s="133"/>
      <c r="G39" s="134" t="s">
        <v>224</v>
      </c>
      <c r="H39" s="134"/>
      <c r="I39" s="134"/>
      <c r="J39" s="134"/>
      <c r="K39" s="135">
        <f>SUMPRODUCT(J37:J38,K37:K38)</f>
        <v>0.12420806686001379</v>
      </c>
    </row>
    <row r="40" spans="2:11" ht="5.4" customHeight="1" x14ac:dyDescent="0.3">
      <c r="B40" s="104"/>
      <c r="C40" s="104"/>
      <c r="D40" s="104"/>
      <c r="E40" s="104"/>
      <c r="F40" s="104"/>
      <c r="G40" s="104"/>
      <c r="H40" s="104"/>
      <c r="I40" s="104"/>
      <c r="J40" s="104"/>
      <c r="K40" s="104"/>
    </row>
  </sheetData>
  <mergeCells count="2">
    <mergeCell ref="B2:K2"/>
    <mergeCell ref="G32:I3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776A8-ACED-49CC-9464-A8A212D92443}">
  <sheetPr>
    <tabColor rgb="FFE84726"/>
  </sheetPr>
  <dimension ref="B2:M45"/>
  <sheetViews>
    <sheetView showGridLines="0" workbookViewId="0">
      <selection activeCell="H2" sqref="H2:M2"/>
    </sheetView>
  </sheetViews>
  <sheetFormatPr defaultRowHeight="14.4" outlineLevelRow="1" x14ac:dyDescent="0.3"/>
  <cols>
    <col min="1" max="1" width="1.88671875" customWidth="1"/>
    <col min="2" max="2" width="19.5546875" bestFit="1" customWidth="1"/>
    <col min="3" max="5" width="10.88671875" bestFit="1" customWidth="1"/>
    <col min="6" max="6" width="9.6640625" bestFit="1" customWidth="1"/>
    <col min="7" max="7" width="9.88671875" bestFit="1" customWidth="1"/>
    <col min="8" max="8" width="10.88671875" bestFit="1" customWidth="1"/>
    <col min="9" max="11" width="9" bestFit="1" customWidth="1"/>
    <col min="12" max="13" width="9.44140625" bestFit="1" customWidth="1"/>
  </cols>
  <sheetData>
    <row r="2" spans="2:13" x14ac:dyDescent="0.3">
      <c r="B2" s="233" t="s">
        <v>225</v>
      </c>
      <c r="C2" s="233"/>
      <c r="D2" s="233"/>
      <c r="E2" s="233"/>
      <c r="F2" s="233"/>
      <c r="G2" s="233"/>
      <c r="H2" s="234">
        <f>'Historical IFS Asian Paints'!L3</f>
        <v>45745</v>
      </c>
      <c r="I2" s="235">
        <f>H2+366</f>
        <v>46111</v>
      </c>
      <c r="J2" s="235">
        <f t="shared" ref="J2:K2" si="0">I2+366</f>
        <v>46477</v>
      </c>
      <c r="K2" s="235">
        <f t="shared" si="0"/>
        <v>46843</v>
      </c>
      <c r="L2" s="235">
        <f>K2+365</f>
        <v>47208</v>
      </c>
      <c r="M2" s="235">
        <f>L2+365</f>
        <v>47573</v>
      </c>
    </row>
    <row r="4" spans="2:13" x14ac:dyDescent="0.3">
      <c r="B4" t="s">
        <v>226</v>
      </c>
      <c r="H4" s="202">
        <f>'Historical IFS Asian Paints'!L27+'Historical IFS Asian Paints'!L21</f>
        <v>4979.8700000000026</v>
      </c>
      <c r="I4" s="203">
        <f>H4*(1+$D$13)</f>
        <v>6013.3882017906681</v>
      </c>
      <c r="J4" s="203">
        <f>I4*(1+$D$13)</f>
        <v>7261.4019372865523</v>
      </c>
      <c r="K4" s="203">
        <f>J4*(1+$D$13)</f>
        <v>8768.4274364870635</v>
      </c>
      <c r="L4" s="203">
        <f>K4*(1+$D$13)</f>
        <v>10588.219791847754</v>
      </c>
      <c r="M4" s="203">
        <f>L4*(1+$D$13)</f>
        <v>12785.690384340092</v>
      </c>
    </row>
    <row r="5" spans="2:13" x14ac:dyDescent="0.3">
      <c r="B5" t="s">
        <v>199</v>
      </c>
      <c r="H5" s="137">
        <v>0.3</v>
      </c>
      <c r="I5" s="3">
        <f>H5</f>
        <v>0.3</v>
      </c>
      <c r="J5" s="3">
        <f t="shared" ref="J5:M5" si="1">I5</f>
        <v>0.3</v>
      </c>
      <c r="K5" s="3">
        <f t="shared" si="1"/>
        <v>0.3</v>
      </c>
      <c r="L5" s="3">
        <f t="shared" si="1"/>
        <v>0.3</v>
      </c>
      <c r="M5" s="3">
        <f t="shared" si="1"/>
        <v>0.3</v>
      </c>
    </row>
    <row r="6" spans="2:13" x14ac:dyDescent="0.3">
      <c r="B6" t="s">
        <v>227</v>
      </c>
      <c r="H6" s="204">
        <f t="shared" ref="H6:M6" si="2">H4-(H4*H5)</f>
        <v>3485.9090000000019</v>
      </c>
      <c r="I6" s="203">
        <f t="shared" si="2"/>
        <v>4209.3717412534679</v>
      </c>
      <c r="J6" s="203">
        <f t="shared" si="2"/>
        <v>5082.9813561005867</v>
      </c>
      <c r="K6" s="203">
        <f t="shared" si="2"/>
        <v>6137.8992055409444</v>
      </c>
      <c r="L6" s="203">
        <f t="shared" si="2"/>
        <v>7411.753854293428</v>
      </c>
      <c r="M6" s="203">
        <f t="shared" si="2"/>
        <v>8949.9832690380645</v>
      </c>
    </row>
    <row r="7" spans="2:13" x14ac:dyDescent="0.3">
      <c r="B7" t="s">
        <v>228</v>
      </c>
      <c r="H7" s="137">
        <f>'Historical IFS Asian Paints'!L44</f>
        <v>0.29191037925399443</v>
      </c>
      <c r="I7" s="3">
        <f>H7+(($M$7-$H$7)/4)</f>
        <v>0.3439327844404958</v>
      </c>
      <c r="J7" s="3">
        <f t="shared" ref="J7:L7" si="3">I7+(($M$7-$H$7)/4)</f>
        <v>0.39595518962699716</v>
      </c>
      <c r="K7" s="3">
        <f t="shared" si="3"/>
        <v>0.44797759481349853</v>
      </c>
      <c r="L7" s="3">
        <f t="shared" si="3"/>
        <v>0.49999999999999989</v>
      </c>
      <c r="M7" s="138">
        <v>0.5</v>
      </c>
    </row>
    <row r="8" spans="2:13" x14ac:dyDescent="0.3">
      <c r="B8" t="s">
        <v>229</v>
      </c>
      <c r="H8" s="204">
        <f>H6*(1-H7)</f>
        <v>2468.3359817650889</v>
      </c>
      <c r="I8" s="203">
        <f t="shared" ref="I8:M8" si="4">I6*(1-I7)</f>
        <v>2761.6307975390246</v>
      </c>
      <c r="J8" s="203">
        <f t="shared" si="4"/>
        <v>3070.3485093752879</v>
      </c>
      <c r="K8" s="203">
        <f t="shared" si="4"/>
        <v>3388.2578822350288</v>
      </c>
      <c r="L8" s="203">
        <f t="shared" si="4"/>
        <v>3705.8769271467149</v>
      </c>
      <c r="M8" s="203">
        <f t="shared" si="4"/>
        <v>4474.9916345190322</v>
      </c>
    </row>
    <row r="9" spans="2:13" x14ac:dyDescent="0.3">
      <c r="B9" t="s">
        <v>230</v>
      </c>
      <c r="H9" s="136">
        <v>0.5</v>
      </c>
      <c r="I9">
        <f>H9+1</f>
        <v>1.5</v>
      </c>
      <c r="J9">
        <f t="shared" ref="J9:M9" si="5">I9+1</f>
        <v>2.5</v>
      </c>
      <c r="K9">
        <f t="shared" si="5"/>
        <v>3.5</v>
      </c>
      <c r="L9">
        <f t="shared" si="5"/>
        <v>4.5</v>
      </c>
      <c r="M9">
        <f t="shared" si="5"/>
        <v>5.5</v>
      </c>
    </row>
    <row r="10" spans="2:13" x14ac:dyDescent="0.3">
      <c r="B10" t="s">
        <v>231</v>
      </c>
      <c r="H10" s="9"/>
      <c r="I10">
        <f>1/(1+$D$15)^I9</f>
        <v>0.83893816941095678</v>
      </c>
      <c r="J10">
        <f t="shared" ref="J10:M10" si="6">1/(1+$D$15)^J9</f>
        <v>0.74624813158845726</v>
      </c>
      <c r="K10">
        <f t="shared" si="6"/>
        <v>0.66379894753181823</v>
      </c>
      <c r="L10">
        <f t="shared" si="6"/>
        <v>0.59045915707209951</v>
      </c>
      <c r="M10">
        <f t="shared" si="6"/>
        <v>0.52522230935532277</v>
      </c>
    </row>
    <row r="11" spans="2:13" ht="15" thickBot="1" x14ac:dyDescent="0.35">
      <c r="B11" s="139" t="s">
        <v>232</v>
      </c>
      <c r="C11" s="139"/>
      <c r="D11" s="139"/>
      <c r="E11" s="139"/>
      <c r="F11" s="139"/>
      <c r="G11" s="139"/>
      <c r="H11" s="140"/>
      <c r="I11" s="205">
        <f>I10*I8</f>
        <v>2316.83748587631</v>
      </c>
      <c r="J11" s="205">
        <f t="shared" ref="J11:M11" si="7">J10*J8</f>
        <v>2291.2418384467132</v>
      </c>
      <c r="K11" s="205">
        <f t="shared" si="7"/>
        <v>2249.1220161939996</v>
      </c>
      <c r="L11" s="205">
        <f t="shared" si="7"/>
        <v>2188.1689666159914</v>
      </c>
      <c r="M11" s="205">
        <f t="shared" si="7"/>
        <v>2350.3654406278365</v>
      </c>
    </row>
    <row r="12" spans="2:13" ht="15" thickTop="1" x14ac:dyDescent="0.3"/>
    <row r="13" spans="2:13" outlineLevel="1" x14ac:dyDescent="0.3">
      <c r="B13" s="8" t="s">
        <v>233</v>
      </c>
      <c r="C13" s="8"/>
      <c r="D13" s="141">
        <f>'[2]India Sector Data '!$M$22</f>
        <v>0.20753919314975397</v>
      </c>
    </row>
    <row r="14" spans="2:13" outlineLevel="1" x14ac:dyDescent="0.3">
      <c r="B14" s="8" t="s">
        <v>234</v>
      </c>
      <c r="C14" s="8"/>
      <c r="D14" s="142">
        <v>6.5000000000000002E-2</v>
      </c>
    </row>
    <row r="15" spans="2:13" outlineLevel="1" x14ac:dyDescent="0.3">
      <c r="B15" s="8" t="s">
        <v>224</v>
      </c>
      <c r="C15" s="8"/>
      <c r="D15" s="141">
        <f>'WACC Calculation Asian Paints'!K39</f>
        <v>0.12420806686001379</v>
      </c>
    </row>
    <row r="17" spans="2:13" x14ac:dyDescent="0.3">
      <c r="B17" s="233" t="s">
        <v>235</v>
      </c>
      <c r="C17" s="233"/>
      <c r="D17" s="233"/>
      <c r="E17" s="233"/>
      <c r="F17" s="233"/>
      <c r="G17" s="233"/>
      <c r="H17" s="233"/>
      <c r="I17" s="143"/>
      <c r="J17" s="143"/>
      <c r="K17" s="143"/>
      <c r="L17" s="143"/>
      <c r="M17" s="143"/>
    </row>
    <row r="18" spans="2:13" x14ac:dyDescent="0.3">
      <c r="B18" t="s">
        <v>236</v>
      </c>
      <c r="H18" s="203">
        <f>M8*(1+D13)</f>
        <v>5403.7277876990102</v>
      </c>
    </row>
    <row r="19" spans="2:13" x14ac:dyDescent="0.3">
      <c r="B19" t="s">
        <v>224</v>
      </c>
      <c r="H19" s="3">
        <f>D15</f>
        <v>0.12420806686001379</v>
      </c>
    </row>
    <row r="20" spans="2:13" x14ac:dyDescent="0.3">
      <c r="B20" t="s">
        <v>237</v>
      </c>
      <c r="H20" s="3">
        <f>D14</f>
        <v>6.5000000000000002E-2</v>
      </c>
    </row>
    <row r="21" spans="2:13" ht="15" thickBot="1" x14ac:dyDescent="0.35">
      <c r="B21" s="144" t="s">
        <v>238</v>
      </c>
      <c r="C21" s="144"/>
      <c r="D21" s="144"/>
      <c r="E21" s="144"/>
      <c r="F21" s="144"/>
      <c r="G21" s="144"/>
      <c r="H21" s="206">
        <f>H18/(H19-H20)</f>
        <v>91266.749182591913</v>
      </c>
    </row>
    <row r="22" spans="2:13" ht="15" thickTop="1" x14ac:dyDescent="0.3"/>
    <row r="23" spans="2:13" x14ac:dyDescent="0.3">
      <c r="B23" s="233" t="s">
        <v>239</v>
      </c>
      <c r="C23" s="233"/>
      <c r="D23" s="233"/>
      <c r="E23" s="233"/>
      <c r="F23" s="233"/>
      <c r="G23" s="233"/>
      <c r="H23" s="233"/>
    </row>
    <row r="24" spans="2:13" x14ac:dyDescent="0.3">
      <c r="B24" t="s">
        <v>232</v>
      </c>
      <c r="H24" s="203">
        <f>SUM(I11:M11)</f>
        <v>11395.735747760851</v>
      </c>
    </row>
    <row r="25" spans="2:13" x14ac:dyDescent="0.3">
      <c r="B25" t="s">
        <v>240</v>
      </c>
      <c r="H25" s="203">
        <f>H21*M10</f>
        <v>47935.332773033944</v>
      </c>
    </row>
    <row r="26" spans="2:13" x14ac:dyDescent="0.3">
      <c r="B26" s="4" t="s">
        <v>241</v>
      </c>
      <c r="C26" s="4"/>
      <c r="D26" s="4"/>
      <c r="E26" s="4"/>
      <c r="F26" s="4"/>
      <c r="H26" s="207">
        <f>SUM(H24:H25)</f>
        <v>59331.068520794797</v>
      </c>
    </row>
    <row r="27" spans="2:13" x14ac:dyDescent="0.3">
      <c r="H27" s="73"/>
    </row>
    <row r="28" spans="2:13" x14ac:dyDescent="0.3">
      <c r="B28" t="s">
        <v>242</v>
      </c>
      <c r="H28" s="208">
        <f>'Historical IFS Asian Paints'!L61</f>
        <v>781.98</v>
      </c>
    </row>
    <row r="29" spans="2:13" x14ac:dyDescent="0.3">
      <c r="B29" t="s">
        <v>243</v>
      </c>
      <c r="H29" s="208">
        <f>'Historical IFS Asian Paints'!L49</f>
        <v>2290.29</v>
      </c>
    </row>
    <row r="30" spans="2:13" x14ac:dyDescent="0.3">
      <c r="B30" t="s">
        <v>244</v>
      </c>
      <c r="H30" s="209">
        <f>(H26+H28)-H29</f>
        <v>57822.7585207948</v>
      </c>
    </row>
    <row r="31" spans="2:13" x14ac:dyDescent="0.3">
      <c r="B31" t="s">
        <v>245</v>
      </c>
      <c r="H31" s="145">
        <f>'Raw Data Asian Paints'!K70/10000000</f>
        <v>95.919779000000005</v>
      </c>
    </row>
    <row r="32" spans="2:13" ht="15" thickBot="1" x14ac:dyDescent="0.35">
      <c r="B32" s="144" t="s">
        <v>246</v>
      </c>
      <c r="C32" s="144"/>
      <c r="D32" s="144"/>
      <c r="E32" s="144"/>
      <c r="F32" s="144"/>
      <c r="G32" s="144"/>
      <c r="H32" s="206">
        <f>H30/H31</f>
        <v>602.82414246174187</v>
      </c>
    </row>
    <row r="33" spans="2:8" ht="15" thickTop="1" x14ac:dyDescent="0.3"/>
    <row r="34" spans="2:8" x14ac:dyDescent="0.3">
      <c r="B34" t="s">
        <v>247</v>
      </c>
      <c r="H34" s="208">
        <v>2605.6</v>
      </c>
    </row>
    <row r="35" spans="2:8" x14ac:dyDescent="0.3">
      <c r="B35" t="s">
        <v>248</v>
      </c>
      <c r="H35" s="146">
        <f>H34/H32</f>
        <v>4.3223219119253571</v>
      </c>
    </row>
    <row r="36" spans="2:8" x14ac:dyDescent="0.3">
      <c r="G36" s="146"/>
    </row>
    <row r="37" spans="2:8" x14ac:dyDescent="0.3">
      <c r="B37" s="232" t="s">
        <v>249</v>
      </c>
      <c r="C37" s="232"/>
      <c r="D37" s="232"/>
      <c r="E37" s="232"/>
      <c r="F37" s="232"/>
      <c r="G37" s="232"/>
      <c r="H37" s="233"/>
    </row>
    <row r="38" spans="2:8" x14ac:dyDescent="0.3">
      <c r="B38" s="161">
        <f>H21</f>
        <v>91266.749182591913</v>
      </c>
      <c r="C38" s="162">
        <v>0.11</v>
      </c>
      <c r="D38" s="162">
        <v>0.12</v>
      </c>
      <c r="E38" s="162">
        <v>0.124</v>
      </c>
      <c r="F38" s="162">
        <v>0.13</v>
      </c>
      <c r="G38" s="165">
        <v>0.14000000000000001</v>
      </c>
      <c r="H38" s="166" t="s">
        <v>224</v>
      </c>
    </row>
    <row r="39" spans="2:8" x14ac:dyDescent="0.3">
      <c r="B39" s="160">
        <v>0.03</v>
      </c>
      <c r="C39" s="210">
        <f t="dataTable" ref="C39:G44" dt2D="1" dtr="1" r1="H19" r2="H20"/>
        <v>67546.597346237628</v>
      </c>
      <c r="D39" s="210">
        <v>60041.419863322335</v>
      </c>
      <c r="E39" s="210">
        <v>57486.465826585212</v>
      </c>
      <c r="F39" s="210">
        <v>54037.277876990098</v>
      </c>
      <c r="G39" s="210">
        <v>49124.798069990997</v>
      </c>
      <c r="H39" s="163"/>
    </row>
    <row r="40" spans="2:8" x14ac:dyDescent="0.3">
      <c r="B40" s="160">
        <v>0.04</v>
      </c>
      <c r="C40" s="210">
        <v>77196.111252842995</v>
      </c>
      <c r="D40" s="210">
        <v>67546.597346237642</v>
      </c>
      <c r="E40" s="210">
        <v>64330.092710702505</v>
      </c>
      <c r="F40" s="210">
        <v>60041.419863322335</v>
      </c>
      <c r="G40" s="210">
        <v>54037.277876990098</v>
      </c>
      <c r="H40" s="163"/>
    </row>
    <row r="41" spans="2:8" x14ac:dyDescent="0.3">
      <c r="B41" s="160">
        <v>0.05</v>
      </c>
      <c r="C41" s="210">
        <v>90062.129794983499</v>
      </c>
      <c r="D41" s="210">
        <v>77196.111252843009</v>
      </c>
      <c r="E41" s="210">
        <v>73023.348482419053</v>
      </c>
      <c r="F41" s="210">
        <v>67546.597346237628</v>
      </c>
      <c r="G41" s="210">
        <v>60041.419863322328</v>
      </c>
      <c r="H41" s="163"/>
    </row>
    <row r="42" spans="2:8" x14ac:dyDescent="0.3">
      <c r="B42" s="160">
        <v>5.3800000000000001E-2</v>
      </c>
      <c r="C42" s="210">
        <v>96151.739994644304</v>
      </c>
      <c r="D42" s="210">
        <v>81627.307971284143</v>
      </c>
      <c r="E42" s="211">
        <v>76976.17931195171</v>
      </c>
      <c r="F42" s="210">
        <v>70915.062830695664</v>
      </c>
      <c r="G42" s="210">
        <v>62688.257397900343</v>
      </c>
      <c r="H42" s="163"/>
    </row>
    <row r="43" spans="2:8" x14ac:dyDescent="0.3">
      <c r="B43" s="160">
        <v>0.06</v>
      </c>
      <c r="C43" s="210">
        <v>108074.5557539802</v>
      </c>
      <c r="D43" s="210">
        <v>90062.129794983499</v>
      </c>
      <c r="E43" s="210">
        <v>84433.246682797035</v>
      </c>
      <c r="F43" s="210">
        <v>77196.111252842995</v>
      </c>
      <c r="G43" s="210">
        <v>67546.597346237613</v>
      </c>
      <c r="H43" s="163"/>
    </row>
    <row r="44" spans="2:8" x14ac:dyDescent="0.3">
      <c r="B44" s="164">
        <v>7.0000000000000007E-2</v>
      </c>
      <c r="C44" s="210">
        <v>135093.19469247528</v>
      </c>
      <c r="D44" s="210">
        <v>108074.55575398022</v>
      </c>
      <c r="E44" s="210">
        <v>100069.03310553724</v>
      </c>
      <c r="F44" s="210">
        <v>90062.129794983499</v>
      </c>
      <c r="G44" s="210">
        <v>77196.111252842995</v>
      </c>
      <c r="H44" s="163"/>
    </row>
    <row r="45" spans="2:8" x14ac:dyDescent="0.3">
      <c r="B45" s="134" t="s">
        <v>250</v>
      </c>
      <c r="C45" s="9"/>
      <c r="D45" s="9"/>
      <c r="E45" s="9"/>
      <c r="F45" s="9"/>
      <c r="G45" s="9"/>
      <c r="H45" s="9"/>
    </row>
  </sheetData>
  <mergeCells count="4">
    <mergeCell ref="B2:G2"/>
    <mergeCell ref="B37:H37"/>
    <mergeCell ref="B23:H23"/>
    <mergeCell ref="B17:H17"/>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2E8D0-C3AA-4C72-9F63-C107A941338D}">
  <sheetPr>
    <tabColor rgb="FFE84726"/>
    <pageSetUpPr fitToPage="1"/>
  </sheetPr>
  <dimension ref="B2:O67"/>
  <sheetViews>
    <sheetView showGridLines="0" zoomScaleNormal="100" workbookViewId="0">
      <selection activeCell="E41" sqref="E41"/>
    </sheetView>
  </sheetViews>
  <sheetFormatPr defaultRowHeight="14.4" x14ac:dyDescent="0.3"/>
  <cols>
    <col min="1" max="1" width="1.88671875" customWidth="1"/>
    <col min="2" max="2" width="11.33203125" bestFit="1" customWidth="1"/>
    <col min="3" max="3" width="12.109375" customWidth="1"/>
    <col min="4" max="4" width="11.6640625" customWidth="1"/>
    <col min="5" max="5" width="20.88671875" customWidth="1"/>
    <col min="6" max="6" width="4.77734375" customWidth="1"/>
    <col min="7" max="7" width="17.44140625" bestFit="1" customWidth="1"/>
    <col min="8" max="8" width="12" bestFit="1" customWidth="1"/>
    <col min="9" max="9" width="13.44140625" bestFit="1" customWidth="1"/>
    <col min="10" max="10" width="12.6640625" bestFit="1" customWidth="1"/>
    <col min="11" max="11" width="12" bestFit="1" customWidth="1"/>
    <col min="12" max="15" width="12.6640625" bestFit="1" customWidth="1"/>
  </cols>
  <sheetData>
    <row r="2" spans="2:15" x14ac:dyDescent="0.3">
      <c r="B2" s="230" t="str">
        <f>"Forecasting - "&amp;'Historical IFS Asian Paints'!B6&amp;" ("&amp;'Raw Data Asian Paints'!B1&amp;")."</f>
        <v>Forecasting - Sales ( ASIAN PAINTS LTD ).</v>
      </c>
      <c r="C2" s="231"/>
      <c r="D2" s="231"/>
      <c r="E2" s="231"/>
      <c r="F2" s="113"/>
      <c r="G2" s="113" t="s">
        <v>309</v>
      </c>
      <c r="H2" s="113"/>
      <c r="I2" s="113"/>
      <c r="J2" s="113"/>
      <c r="K2" s="113"/>
      <c r="L2" s="113"/>
      <c r="M2" s="113"/>
      <c r="N2" s="113"/>
      <c r="O2" s="174"/>
    </row>
    <row r="3" spans="2:15" ht="15" thickBot="1" x14ac:dyDescent="0.35">
      <c r="B3" s="175" t="s">
        <v>310</v>
      </c>
      <c r="C3" s="191" t="s">
        <v>311</v>
      </c>
      <c r="D3" s="191" t="s">
        <v>312</v>
      </c>
      <c r="E3" s="191" t="s">
        <v>313</v>
      </c>
      <c r="F3" s="167"/>
      <c r="O3" s="176"/>
    </row>
    <row r="4" spans="2:15" x14ac:dyDescent="0.3">
      <c r="B4" s="177">
        <v>1</v>
      </c>
      <c r="C4" s="198">
        <f>'Historical IFS Asian Paints'!$C$3</f>
        <v>42460</v>
      </c>
      <c r="D4" s="192">
        <f t="array" ref="D4:D13">TRANSPOSE('Historical IFS Asian Paints'!C6:M6)</f>
        <v>14271.49</v>
      </c>
      <c r="E4" s="75"/>
      <c r="F4" s="193"/>
      <c r="G4" s="190" t="s">
        <v>314</v>
      </c>
      <c r="H4" s="190"/>
      <c r="O4" s="176"/>
    </row>
    <row r="5" spans="2:15" x14ac:dyDescent="0.3">
      <c r="B5" s="177">
        <v>2</v>
      </c>
      <c r="C5" s="198">
        <f>C4+365</f>
        <v>42825</v>
      </c>
      <c r="D5" s="192">
        <v>15061.99</v>
      </c>
      <c r="E5" s="178">
        <f t="shared" ref="E5:E13" si="0">D5/D4-1</f>
        <v>5.5390151974320734E-2</v>
      </c>
      <c r="G5" t="s">
        <v>315</v>
      </c>
      <c r="H5">
        <v>0.95966502225199346</v>
      </c>
      <c r="O5" s="176"/>
    </row>
    <row r="6" spans="2:15" x14ac:dyDescent="0.3">
      <c r="B6" s="177">
        <v>3</v>
      </c>
      <c r="C6" s="198">
        <f t="shared" ref="C6:C17" si="1">C5+365</f>
        <v>43190</v>
      </c>
      <c r="D6" s="192">
        <v>16824.55</v>
      </c>
      <c r="E6" s="178">
        <f t="shared" si="0"/>
        <v>0.11702039371955486</v>
      </c>
      <c r="G6" t="s">
        <v>316</v>
      </c>
      <c r="H6">
        <v>0.92095695493391905</v>
      </c>
      <c r="O6" s="176"/>
    </row>
    <row r="7" spans="2:15" x14ac:dyDescent="0.3">
      <c r="B7" s="177">
        <v>4</v>
      </c>
      <c r="C7" s="198">
        <f t="shared" si="1"/>
        <v>43555</v>
      </c>
      <c r="D7" s="192">
        <v>19240.13</v>
      </c>
      <c r="E7" s="178">
        <f t="shared" si="0"/>
        <v>0.14357471670861943</v>
      </c>
      <c r="G7" t="s">
        <v>317</v>
      </c>
      <c r="H7">
        <v>0.91107657430065903</v>
      </c>
      <c r="O7" s="176"/>
    </row>
    <row r="8" spans="2:15" x14ac:dyDescent="0.3">
      <c r="B8" s="177">
        <v>5</v>
      </c>
      <c r="C8" s="198">
        <f t="shared" si="1"/>
        <v>43920</v>
      </c>
      <c r="D8" s="192">
        <v>20211.25</v>
      </c>
      <c r="E8" s="178">
        <f t="shared" si="0"/>
        <v>5.0473671435691925E-2</v>
      </c>
      <c r="G8" t="s">
        <v>318</v>
      </c>
      <c r="H8">
        <v>2503.886983564722</v>
      </c>
      <c r="O8" s="176"/>
    </row>
    <row r="9" spans="2:15" ht="15" thickBot="1" x14ac:dyDescent="0.35">
      <c r="B9" s="177">
        <v>6</v>
      </c>
      <c r="C9" s="198">
        <f t="shared" si="1"/>
        <v>44285</v>
      </c>
      <c r="D9" s="192">
        <v>21712.79</v>
      </c>
      <c r="E9" s="178">
        <f t="shared" si="0"/>
        <v>7.4292287711052118E-2</v>
      </c>
      <c r="G9" s="188" t="s">
        <v>319</v>
      </c>
      <c r="H9" s="188">
        <v>10</v>
      </c>
      <c r="O9" s="176"/>
    </row>
    <row r="10" spans="2:15" ht="15" thickBot="1" x14ac:dyDescent="0.35">
      <c r="B10" s="177">
        <v>7</v>
      </c>
      <c r="C10" s="198">
        <f t="shared" si="1"/>
        <v>44650</v>
      </c>
      <c r="D10" s="192">
        <v>29101.279999999999</v>
      </c>
      <c r="E10" s="178">
        <f t="shared" si="0"/>
        <v>0.34028284711453471</v>
      </c>
      <c r="G10" t="s">
        <v>320</v>
      </c>
      <c r="O10" s="176"/>
    </row>
    <row r="11" spans="2:15" x14ac:dyDescent="0.3">
      <c r="B11" s="177">
        <v>8</v>
      </c>
      <c r="C11" s="198">
        <f t="shared" si="1"/>
        <v>45015</v>
      </c>
      <c r="D11" s="192">
        <v>34488.589999999997</v>
      </c>
      <c r="E11" s="178">
        <f t="shared" si="0"/>
        <v>0.18512278497715551</v>
      </c>
      <c r="G11" s="189"/>
      <c r="H11" s="189" t="s">
        <v>321</v>
      </c>
      <c r="I11" s="189" t="s">
        <v>322</v>
      </c>
      <c r="J11" s="189" t="s">
        <v>323</v>
      </c>
      <c r="K11" s="189" t="s">
        <v>324</v>
      </c>
      <c r="L11" s="189" t="s">
        <v>325</v>
      </c>
      <c r="O11" s="176"/>
    </row>
    <row r="12" spans="2:15" x14ac:dyDescent="0.3">
      <c r="B12" s="177">
        <v>9</v>
      </c>
      <c r="C12" s="198">
        <f t="shared" si="1"/>
        <v>45380</v>
      </c>
      <c r="D12" s="192">
        <v>35494.730000000003</v>
      </c>
      <c r="E12" s="178">
        <f t="shared" si="0"/>
        <v>2.9173126532572313E-2</v>
      </c>
      <c r="G12" t="s">
        <v>326</v>
      </c>
      <c r="H12">
        <v>1</v>
      </c>
      <c r="I12">
        <v>584379673.19264126</v>
      </c>
      <c r="J12">
        <v>584379673.19264126</v>
      </c>
      <c r="K12">
        <v>93.210675693375876</v>
      </c>
      <c r="L12">
        <v>1.1028789030805894E-5</v>
      </c>
      <c r="O12" s="176"/>
    </row>
    <row r="13" spans="2:15" x14ac:dyDescent="0.3">
      <c r="B13" s="177">
        <v>10</v>
      </c>
      <c r="C13" s="198">
        <f t="shared" si="1"/>
        <v>45745</v>
      </c>
      <c r="D13" s="192">
        <v>33905.620000000003</v>
      </c>
      <c r="E13" s="178">
        <f t="shared" si="0"/>
        <v>-4.4770308155605121E-2</v>
      </c>
      <c r="G13" t="s">
        <v>327</v>
      </c>
      <c r="H13">
        <v>8</v>
      </c>
      <c r="I13">
        <v>50155600.211718738</v>
      </c>
      <c r="J13">
        <v>6269450.0264648423</v>
      </c>
      <c r="O13" s="176"/>
    </row>
    <row r="14" spans="2:15" ht="15" thickBot="1" x14ac:dyDescent="0.35">
      <c r="B14" s="179">
        <v>11</v>
      </c>
      <c r="C14" s="199">
        <f t="shared" si="1"/>
        <v>46110</v>
      </c>
      <c r="D14" s="197">
        <f>$H$16+B14*$H$17</f>
        <v>38669.293333333342</v>
      </c>
      <c r="E14" s="180">
        <f t="shared" ref="E14:E17" si="2">D14/D13-1</f>
        <v>0.14049804526014675</v>
      </c>
      <c r="G14" s="188" t="s">
        <v>328</v>
      </c>
      <c r="H14" s="188">
        <v>9</v>
      </c>
      <c r="I14" s="188">
        <v>634535273.40436006</v>
      </c>
      <c r="J14" s="188"/>
      <c r="K14" s="188"/>
      <c r="L14" s="188"/>
      <c r="O14" s="176"/>
    </row>
    <row r="15" spans="2:15" x14ac:dyDescent="0.3">
      <c r="B15" s="179">
        <v>12</v>
      </c>
      <c r="C15" s="199">
        <f t="shared" si="1"/>
        <v>46475</v>
      </c>
      <c r="D15" s="197">
        <f t="shared" ref="D15:D17" si="3">$H$16+B15*$H$17</f>
        <v>41330.757212121222</v>
      </c>
      <c r="E15" s="180">
        <f t="shared" si="2"/>
        <v>6.8826286941573667E-2</v>
      </c>
      <c r="G15" s="189"/>
      <c r="H15" s="189" t="s">
        <v>329</v>
      </c>
      <c r="I15" s="189" t="s">
        <v>318</v>
      </c>
      <c r="J15" s="189" t="s">
        <v>330</v>
      </c>
      <c r="K15" s="189" t="s">
        <v>331</v>
      </c>
      <c r="L15" s="189" t="s">
        <v>332</v>
      </c>
      <c r="M15" s="189" t="s">
        <v>333</v>
      </c>
      <c r="N15" s="189" t="s">
        <v>334</v>
      </c>
      <c r="O15" s="194" t="s">
        <v>335</v>
      </c>
    </row>
    <row r="16" spans="2:15" x14ac:dyDescent="0.3">
      <c r="B16" s="179">
        <v>13</v>
      </c>
      <c r="C16" s="199">
        <f t="shared" si="1"/>
        <v>46840</v>
      </c>
      <c r="D16" s="197">
        <f t="shared" si="3"/>
        <v>43992.221090909101</v>
      </c>
      <c r="E16" s="180">
        <f t="shared" si="2"/>
        <v>6.4394268537798283E-2</v>
      </c>
      <c r="G16" t="s">
        <v>336</v>
      </c>
      <c r="H16">
        <v>9393.1906666666637</v>
      </c>
      <c r="I16">
        <v>1710.4804429409867</v>
      </c>
      <c r="J16">
        <v>5.4915510466264585</v>
      </c>
      <c r="K16">
        <v>5.7949416458131782E-4</v>
      </c>
      <c r="L16">
        <v>5448.8156920588935</v>
      </c>
      <c r="M16">
        <v>13337.565641274434</v>
      </c>
      <c r="N16">
        <v>5448.8156920588935</v>
      </c>
      <c r="O16" s="176">
        <v>13337.565641274434</v>
      </c>
    </row>
    <row r="17" spans="2:15" ht="15" thickBot="1" x14ac:dyDescent="0.35">
      <c r="B17" s="179">
        <v>14</v>
      </c>
      <c r="C17" s="199">
        <f t="shared" si="1"/>
        <v>47205</v>
      </c>
      <c r="D17" s="197">
        <f t="shared" si="3"/>
        <v>46653.68496969698</v>
      </c>
      <c r="E17" s="180">
        <f t="shared" si="2"/>
        <v>6.0498511163780799E-2</v>
      </c>
      <c r="G17" s="188" t="s">
        <v>310</v>
      </c>
      <c r="H17" s="188">
        <v>2661.4638787878798</v>
      </c>
      <c r="I17" s="188">
        <v>275.66888408763026</v>
      </c>
      <c r="J17" s="188">
        <v>9.6545676077893781</v>
      </c>
      <c r="K17" s="188">
        <v>1.1028789030805875E-5</v>
      </c>
      <c r="L17" s="188">
        <v>2025.7702921346863</v>
      </c>
      <c r="M17" s="188">
        <v>3297.1574654410733</v>
      </c>
      <c r="N17" s="188">
        <v>2025.7702921346863</v>
      </c>
      <c r="O17" s="195">
        <v>3297.1574654410733</v>
      </c>
    </row>
    <row r="18" spans="2:15" ht="6" customHeight="1" x14ac:dyDescent="0.3">
      <c r="B18" s="181"/>
      <c r="C18" s="181"/>
      <c r="D18" s="181"/>
      <c r="E18" s="181"/>
      <c r="F18" s="181"/>
      <c r="G18" s="181"/>
      <c r="H18" s="181"/>
      <c r="I18" s="181"/>
      <c r="J18" s="181"/>
      <c r="K18" s="181"/>
      <c r="L18" s="181"/>
      <c r="M18" s="181"/>
      <c r="N18" s="181"/>
      <c r="O18" s="181"/>
    </row>
    <row r="19" spans="2:15" ht="13.2" customHeight="1" x14ac:dyDescent="0.3">
      <c r="D19" s="182"/>
    </row>
    <row r="20" spans="2:15" ht="13.2" customHeight="1" x14ac:dyDescent="0.3">
      <c r="D20" s="182"/>
    </row>
    <row r="21" spans="2:15" x14ac:dyDescent="0.3">
      <c r="B21" s="230" t="str">
        <f>"Forecasting - "&amp;'Historical IFS Asian Paints'!B18&amp;" ("&amp;'Raw Data Asian Paints'!B1&amp;")."</f>
        <v>Forecasting - EBITDA  ( ASIAN PAINTS LTD ).</v>
      </c>
      <c r="C21" s="231"/>
      <c r="D21" s="231"/>
      <c r="E21" s="231"/>
      <c r="F21" s="113"/>
      <c r="G21" s="113" t="s">
        <v>309</v>
      </c>
      <c r="H21" s="113"/>
      <c r="I21" s="113"/>
      <c r="J21" s="113"/>
      <c r="K21" s="113"/>
      <c r="L21" s="113"/>
      <c r="M21" s="113"/>
      <c r="N21" s="113"/>
      <c r="O21" s="174"/>
    </row>
    <row r="22" spans="2:15" ht="15" thickBot="1" x14ac:dyDescent="0.35">
      <c r="B22" s="175" t="s">
        <v>310</v>
      </c>
      <c r="C22" s="196" t="s">
        <v>311</v>
      </c>
      <c r="D22" s="191" t="s">
        <v>28</v>
      </c>
      <c r="E22" s="191" t="s">
        <v>337</v>
      </c>
      <c r="O22" s="176"/>
    </row>
    <row r="23" spans="2:15" x14ac:dyDescent="0.3">
      <c r="B23" s="177">
        <v>1</v>
      </c>
      <c r="C23" s="198">
        <f>'Historical IFS Asian Paints'!$C$3</f>
        <v>42460</v>
      </c>
      <c r="D23" s="200">
        <f t="array" ref="D23:D32">TRANSPOSE('Historical IFS Asian Paints'!C18:M18)</f>
        <v>2725.0400000000013</v>
      </c>
      <c r="E23" s="75"/>
      <c r="G23" s="190" t="s">
        <v>314</v>
      </c>
      <c r="H23" s="190"/>
      <c r="O23" s="176"/>
    </row>
    <row r="24" spans="2:15" x14ac:dyDescent="0.3">
      <c r="B24" s="177">
        <v>2</v>
      </c>
      <c r="C24" s="198">
        <f>C23+365</f>
        <v>42825</v>
      </c>
      <c r="D24" s="200">
        <v>2993.76</v>
      </c>
      <c r="E24" s="178">
        <f t="shared" ref="E24:E32" si="4">D24/D23-1</f>
        <v>9.861139652995865E-2</v>
      </c>
      <c r="G24" t="s">
        <v>315</v>
      </c>
      <c r="H24">
        <v>0.93368914621279187</v>
      </c>
      <c r="O24" s="176"/>
    </row>
    <row r="25" spans="2:15" x14ac:dyDescent="0.3">
      <c r="B25" s="177">
        <v>3</v>
      </c>
      <c r="C25" s="198">
        <f t="shared" ref="C25:C36" si="5">C24+365</f>
        <v>43190</v>
      </c>
      <c r="D25" s="200">
        <v>3204.0100000000011</v>
      </c>
      <c r="E25" s="178">
        <f t="shared" si="4"/>
        <v>7.0229410507188561E-2</v>
      </c>
      <c r="G25" t="s">
        <v>316</v>
      </c>
      <c r="H25">
        <v>0.87177542175557221</v>
      </c>
      <c r="O25" s="176"/>
    </row>
    <row r="26" spans="2:15" x14ac:dyDescent="0.3">
      <c r="B26" s="177">
        <v>4</v>
      </c>
      <c r="C26" s="198">
        <f t="shared" si="5"/>
        <v>43555</v>
      </c>
      <c r="D26" s="200">
        <v>3764.9400000000014</v>
      </c>
      <c r="E26" s="178">
        <f t="shared" si="4"/>
        <v>0.17507123885381137</v>
      </c>
      <c r="G26" t="s">
        <v>317</v>
      </c>
      <c r="H26">
        <v>0.85574734947501874</v>
      </c>
      <c r="O26" s="176"/>
    </row>
    <row r="27" spans="2:15" x14ac:dyDescent="0.3">
      <c r="B27" s="177">
        <v>5</v>
      </c>
      <c r="C27" s="198">
        <f t="shared" si="5"/>
        <v>43920</v>
      </c>
      <c r="D27" s="200">
        <v>4161.7699999999977</v>
      </c>
      <c r="E27" s="178">
        <f t="shared" si="4"/>
        <v>0.10540141409955961</v>
      </c>
      <c r="G27" t="s">
        <v>318</v>
      </c>
      <c r="H27">
        <v>602.79167184844903</v>
      </c>
      <c r="O27" s="176"/>
    </row>
    <row r="28" spans="2:15" ht="15" thickBot="1" x14ac:dyDescent="0.35">
      <c r="B28" s="177">
        <v>6</v>
      </c>
      <c r="C28" s="198">
        <f t="shared" si="5"/>
        <v>44285</v>
      </c>
      <c r="D28" s="200">
        <v>4855.6000000000031</v>
      </c>
      <c r="E28" s="178">
        <f t="shared" si="4"/>
        <v>0.16671512361327179</v>
      </c>
      <c r="G28" s="188" t="s">
        <v>319</v>
      </c>
      <c r="H28" s="188">
        <v>10</v>
      </c>
      <c r="O28" s="176"/>
    </row>
    <row r="29" spans="2:15" ht="15" thickBot="1" x14ac:dyDescent="0.35">
      <c r="B29" s="177">
        <v>7</v>
      </c>
      <c r="C29" s="198">
        <f t="shared" si="5"/>
        <v>44650</v>
      </c>
      <c r="D29" s="200">
        <v>4803.6099999999988</v>
      </c>
      <c r="E29" s="178">
        <f t="shared" si="4"/>
        <v>-1.0707224647830249E-2</v>
      </c>
      <c r="G29" t="s">
        <v>320</v>
      </c>
      <c r="O29" s="176"/>
    </row>
    <row r="30" spans="2:15" x14ac:dyDescent="0.3">
      <c r="B30" s="177">
        <v>8</v>
      </c>
      <c r="C30" s="198">
        <f t="shared" si="5"/>
        <v>45015</v>
      </c>
      <c r="D30" s="200">
        <v>6259.8399999999956</v>
      </c>
      <c r="E30" s="178">
        <f t="shared" si="4"/>
        <v>0.3031532534906034</v>
      </c>
      <c r="G30" s="189"/>
      <c r="H30" s="189" t="s">
        <v>321</v>
      </c>
      <c r="I30" s="189" t="s">
        <v>322</v>
      </c>
      <c r="J30" s="189" t="s">
        <v>323</v>
      </c>
      <c r="K30" s="189" t="s">
        <v>324</v>
      </c>
      <c r="L30" s="189" t="s">
        <v>325</v>
      </c>
      <c r="O30" s="176"/>
    </row>
    <row r="31" spans="2:15" x14ac:dyDescent="0.3">
      <c r="B31" s="177">
        <v>9</v>
      </c>
      <c r="C31" s="198">
        <f t="shared" si="5"/>
        <v>45380</v>
      </c>
      <c r="D31" s="200">
        <v>7584.9800000000014</v>
      </c>
      <c r="E31" s="178">
        <f t="shared" si="4"/>
        <v>0.21168911665473988</v>
      </c>
      <c r="G31" t="s">
        <v>326</v>
      </c>
      <c r="H31">
        <v>1</v>
      </c>
      <c r="I31">
        <v>19763225.015041206</v>
      </c>
      <c r="J31">
        <v>19763225.015041206</v>
      </c>
      <c r="K31">
        <v>54.390534712853686</v>
      </c>
      <c r="L31">
        <v>7.8042685461057146E-5</v>
      </c>
      <c r="O31" s="176"/>
    </row>
    <row r="32" spans="2:15" x14ac:dyDescent="0.3">
      <c r="B32" s="177">
        <v>10</v>
      </c>
      <c r="C32" s="198">
        <f t="shared" si="5"/>
        <v>45745</v>
      </c>
      <c r="D32" s="200">
        <v>6006.2100000000019</v>
      </c>
      <c r="E32" s="178">
        <f t="shared" si="4"/>
        <v>-0.20814425351154509</v>
      </c>
      <c r="G32" t="s">
        <v>327</v>
      </c>
      <c r="H32">
        <v>8</v>
      </c>
      <c r="I32">
        <v>2906862.397198786</v>
      </c>
      <c r="J32">
        <v>363357.79964984825</v>
      </c>
      <c r="O32" s="176"/>
    </row>
    <row r="33" spans="2:15" ht="15" thickBot="1" x14ac:dyDescent="0.35">
      <c r="B33" s="179">
        <v>11</v>
      </c>
      <c r="C33" s="199">
        <f t="shared" si="5"/>
        <v>46110</v>
      </c>
      <c r="D33" s="201">
        <f>$H$35+B33*$H$36</f>
        <v>7327.9113333333335</v>
      </c>
      <c r="E33" s="180">
        <f t="shared" ref="E33:E36" si="6">D33/D32-1</f>
        <v>0.2200557978048272</v>
      </c>
      <c r="G33" s="188" t="s">
        <v>328</v>
      </c>
      <c r="H33" s="188">
        <v>9</v>
      </c>
      <c r="I33" s="188">
        <v>22670087.412239991</v>
      </c>
      <c r="J33" s="188"/>
      <c r="K33" s="188"/>
      <c r="L33" s="188"/>
      <c r="O33" s="176"/>
    </row>
    <row r="34" spans="2:15" x14ac:dyDescent="0.3">
      <c r="B34" s="179">
        <v>12</v>
      </c>
      <c r="C34" s="199">
        <f t="shared" si="5"/>
        <v>46475</v>
      </c>
      <c r="D34" s="201">
        <f t="shared" ref="D34:D36" si="7">$H$35+B34*$H$36</f>
        <v>7817.3541212121218</v>
      </c>
      <c r="E34" s="180">
        <f t="shared" si="6"/>
        <v>6.6791581613767859E-2</v>
      </c>
      <c r="G34" s="189"/>
      <c r="H34" s="189" t="s">
        <v>329</v>
      </c>
      <c r="I34" s="189" t="s">
        <v>318</v>
      </c>
      <c r="J34" s="189" t="s">
        <v>330</v>
      </c>
      <c r="K34" s="189" t="s">
        <v>331</v>
      </c>
      <c r="L34" s="189" t="s">
        <v>332</v>
      </c>
      <c r="M34" s="189" t="s">
        <v>333</v>
      </c>
      <c r="N34" s="189" t="s">
        <v>334</v>
      </c>
      <c r="O34" s="194" t="s">
        <v>335</v>
      </c>
    </row>
    <row r="35" spans="2:15" x14ac:dyDescent="0.3">
      <c r="B35" s="179">
        <v>13</v>
      </c>
      <c r="C35" s="199">
        <f t="shared" si="5"/>
        <v>46840</v>
      </c>
      <c r="D35" s="201">
        <f t="shared" si="7"/>
        <v>8306.79690909091</v>
      </c>
      <c r="E35" s="180">
        <f t="shared" si="6"/>
        <v>6.2609775672142431E-2</v>
      </c>
      <c r="G35" t="s">
        <v>336</v>
      </c>
      <c r="H35">
        <v>1944.0406666666672</v>
      </c>
      <c r="I35">
        <v>411.78510557076879</v>
      </c>
      <c r="J35">
        <v>4.7210077304084699</v>
      </c>
      <c r="K35">
        <v>1.5002139446465613E-3</v>
      </c>
      <c r="L35">
        <v>994.46251040498987</v>
      </c>
      <c r="M35">
        <v>2893.6188229283443</v>
      </c>
      <c r="N35">
        <v>994.46251040498987</v>
      </c>
      <c r="O35" s="176">
        <v>2893.6188229283443</v>
      </c>
    </row>
    <row r="36" spans="2:15" ht="15" thickBot="1" x14ac:dyDescent="0.35">
      <c r="B36" s="179">
        <v>14</v>
      </c>
      <c r="C36" s="199">
        <f t="shared" si="5"/>
        <v>47205</v>
      </c>
      <c r="D36" s="201">
        <f t="shared" si="7"/>
        <v>8796.2396969696983</v>
      </c>
      <c r="E36" s="180">
        <f t="shared" si="6"/>
        <v>5.8920760099858027E-2</v>
      </c>
      <c r="G36" s="188" t="s">
        <v>310</v>
      </c>
      <c r="H36" s="188">
        <v>489.4427878787879</v>
      </c>
      <c r="I36" s="188">
        <v>66.365178862508216</v>
      </c>
      <c r="J36" s="188">
        <v>7.3749938788349985</v>
      </c>
      <c r="K36" s="188">
        <v>7.8042685461057011E-5</v>
      </c>
      <c r="L36" s="188">
        <v>336.40441098827978</v>
      </c>
      <c r="M36" s="188">
        <v>642.48116476929602</v>
      </c>
      <c r="N36" s="188">
        <v>336.40441098827978</v>
      </c>
      <c r="O36" s="195">
        <v>642.48116476929602</v>
      </c>
    </row>
    <row r="37" spans="2:15" ht="6" customHeight="1" x14ac:dyDescent="0.3">
      <c r="B37" s="181"/>
      <c r="C37" s="181"/>
      <c r="D37" s="181"/>
      <c r="E37" s="181"/>
      <c r="F37" s="181"/>
      <c r="G37" s="181"/>
      <c r="H37" s="181"/>
      <c r="I37" s="181"/>
      <c r="J37" s="181"/>
      <c r="K37" s="181"/>
      <c r="L37" s="181"/>
      <c r="M37" s="181"/>
      <c r="N37" s="181"/>
      <c r="O37" s="181"/>
    </row>
    <row r="38" spans="2:15" ht="12.6" customHeight="1" x14ac:dyDescent="0.3"/>
    <row r="40" spans="2:15" x14ac:dyDescent="0.3">
      <c r="B40" s="230" t="str">
        <f>"Forecasting - "&amp;'Historical IFS Asian Paints'!B38&amp;" ("&amp;'Raw Data Asian Paints'!B1&amp;")."</f>
        <v>Forecasting - EPS  ( ASIAN PAINTS LTD ).</v>
      </c>
      <c r="C40" s="231"/>
      <c r="D40" s="231"/>
      <c r="E40" s="231"/>
      <c r="F40" s="113"/>
      <c r="G40" s="113" t="s">
        <v>309</v>
      </c>
      <c r="H40" s="113"/>
      <c r="I40" s="113"/>
      <c r="J40" s="113"/>
      <c r="K40" s="113"/>
      <c r="L40" s="113"/>
      <c r="M40" s="113"/>
      <c r="N40" s="113"/>
      <c r="O40" s="174"/>
    </row>
    <row r="41" spans="2:15" ht="15" thickBot="1" x14ac:dyDescent="0.35">
      <c r="B41" s="175" t="s">
        <v>310</v>
      </c>
      <c r="C41" s="191" t="s">
        <v>311</v>
      </c>
      <c r="D41" s="191" t="s">
        <v>338</v>
      </c>
      <c r="E41" s="191" t="s">
        <v>69</v>
      </c>
      <c r="O41" s="176"/>
    </row>
    <row r="42" spans="2:15" x14ac:dyDescent="0.3">
      <c r="B42" s="177">
        <v>1</v>
      </c>
      <c r="C42" s="198">
        <f>'Historical IFS Asian Paints'!$C$3</f>
        <v>42460</v>
      </c>
      <c r="D42" s="200">
        <f t="array" ref="D42:D51">TRANSPOSE('Historical IFS Asian Paints'!C38:M38)</f>
        <v>16.221538782318614</v>
      </c>
      <c r="E42" s="75"/>
      <c r="G42" s="190" t="s">
        <v>314</v>
      </c>
      <c r="H42" s="190"/>
      <c r="O42" s="176"/>
    </row>
    <row r="43" spans="2:15" x14ac:dyDescent="0.3">
      <c r="B43" s="177">
        <v>2</v>
      </c>
      <c r="C43" s="198">
        <f>C42+365</f>
        <v>42825</v>
      </c>
      <c r="D43" s="200">
        <v>17.497393661384489</v>
      </c>
      <c r="E43" s="178">
        <f t="shared" ref="E43:E51" si="8">D43/D42-1</f>
        <v>7.8651902028958443E-2</v>
      </c>
      <c r="G43" t="s">
        <v>315</v>
      </c>
      <c r="H43">
        <v>0.89795216119161814</v>
      </c>
      <c r="O43" s="176"/>
    </row>
    <row r="44" spans="2:15" x14ac:dyDescent="0.3">
      <c r="B44" s="177">
        <v>3</v>
      </c>
      <c r="C44" s="198">
        <f t="shared" ref="C44:C55" si="9">C43+365</f>
        <v>43190</v>
      </c>
      <c r="D44" s="200">
        <v>18.360195996663897</v>
      </c>
      <c r="E44" s="178">
        <f t="shared" si="8"/>
        <v>4.9310334554771629E-2</v>
      </c>
      <c r="G44" t="s">
        <v>316</v>
      </c>
      <c r="H44">
        <v>0.80631808378869774</v>
      </c>
      <c r="O44" s="176"/>
    </row>
    <row r="45" spans="2:15" x14ac:dyDescent="0.3">
      <c r="B45" s="177">
        <v>4</v>
      </c>
      <c r="C45" s="198">
        <f t="shared" si="9"/>
        <v>43555</v>
      </c>
      <c r="D45" s="200">
        <v>20.165450375312773</v>
      </c>
      <c r="E45" s="178">
        <f t="shared" si="8"/>
        <v>9.8324352255111824E-2</v>
      </c>
      <c r="G45" t="s">
        <v>317</v>
      </c>
      <c r="H45">
        <v>0.78210784426228497</v>
      </c>
      <c r="O45" s="176"/>
    </row>
    <row r="46" spans="2:15" x14ac:dyDescent="0.3">
      <c r="B46" s="177">
        <v>5</v>
      </c>
      <c r="C46" s="198">
        <f t="shared" si="9"/>
        <v>43920</v>
      </c>
      <c r="D46" s="200">
        <v>25.271997497914906</v>
      </c>
      <c r="E46" s="178">
        <f t="shared" si="8"/>
        <v>0.25323248564057566</v>
      </c>
      <c r="G46" t="s">
        <v>318</v>
      </c>
      <c r="H46">
        <v>5.0387597375095465</v>
      </c>
      <c r="O46" s="176"/>
    </row>
    <row r="47" spans="2:15" ht="15" thickBot="1" x14ac:dyDescent="0.35">
      <c r="B47" s="177">
        <v>6</v>
      </c>
      <c r="C47" s="198">
        <f t="shared" si="9"/>
        <v>44285</v>
      </c>
      <c r="D47" s="200">
        <v>29.973936613844902</v>
      </c>
      <c r="E47" s="178">
        <f t="shared" si="8"/>
        <v>0.1860533231026924</v>
      </c>
      <c r="G47" s="188" t="s">
        <v>319</v>
      </c>
      <c r="H47" s="188">
        <v>10</v>
      </c>
      <c r="O47" s="176"/>
    </row>
    <row r="48" spans="2:15" ht="15" thickBot="1" x14ac:dyDescent="0.35">
      <c r="B48" s="177">
        <v>7</v>
      </c>
      <c r="C48" s="198">
        <f t="shared" si="9"/>
        <v>44650</v>
      </c>
      <c r="D48" s="200">
        <v>29.075583819849857</v>
      </c>
      <c r="E48" s="178">
        <f t="shared" si="8"/>
        <v>-2.9971131438908061E-2</v>
      </c>
      <c r="G48" t="s">
        <v>320</v>
      </c>
      <c r="O48" s="176"/>
    </row>
    <row r="49" spans="2:15" x14ac:dyDescent="0.3">
      <c r="B49" s="177">
        <v>8</v>
      </c>
      <c r="C49" s="198">
        <f t="shared" si="9"/>
        <v>45015</v>
      </c>
      <c r="D49" s="200">
        <v>39.23967889908252</v>
      </c>
      <c r="E49" s="178">
        <f t="shared" si="8"/>
        <v>0.34957492658474676</v>
      </c>
      <c r="G49" s="189"/>
      <c r="H49" s="189" t="s">
        <v>321</v>
      </c>
      <c r="I49" s="189" t="s">
        <v>322</v>
      </c>
      <c r="J49" s="189" t="s">
        <v>323</v>
      </c>
      <c r="K49" s="189" t="s">
        <v>324</v>
      </c>
      <c r="L49" s="189" t="s">
        <v>325</v>
      </c>
      <c r="O49" s="176"/>
    </row>
    <row r="50" spans="2:15" x14ac:dyDescent="0.3">
      <c r="B50" s="177">
        <v>9</v>
      </c>
      <c r="C50" s="198">
        <f t="shared" si="9"/>
        <v>45380</v>
      </c>
      <c r="D50" s="200">
        <v>49.382089241034208</v>
      </c>
      <c r="E50" s="178">
        <f t="shared" si="8"/>
        <v>0.25847332665581102</v>
      </c>
      <c r="G50" t="s">
        <v>326</v>
      </c>
      <c r="H50">
        <v>1</v>
      </c>
      <c r="I50">
        <v>845.57982958902801</v>
      </c>
      <c r="J50">
        <v>845.57982958902801</v>
      </c>
      <c r="K50">
        <v>33.304837108654972</v>
      </c>
      <c r="L50">
        <v>4.1878722457576966E-4</v>
      </c>
      <c r="O50" s="176"/>
    </row>
    <row r="51" spans="2:15" x14ac:dyDescent="0.3">
      <c r="B51" s="177">
        <v>10</v>
      </c>
      <c r="C51" s="198">
        <f t="shared" si="9"/>
        <v>45745</v>
      </c>
      <c r="D51" s="200">
        <v>35.023874061718125</v>
      </c>
      <c r="E51" s="178">
        <f t="shared" si="8"/>
        <v>-0.29075754792863395</v>
      </c>
      <c r="G51" t="s">
        <v>327</v>
      </c>
      <c r="H51">
        <v>8</v>
      </c>
      <c r="I51">
        <v>203.11279753877818</v>
      </c>
      <c r="J51">
        <v>25.389099692347273</v>
      </c>
      <c r="O51" s="176"/>
    </row>
    <row r="52" spans="2:15" ht="15" thickBot="1" x14ac:dyDescent="0.35">
      <c r="B52" s="179">
        <v>11</v>
      </c>
      <c r="C52" s="199">
        <f t="shared" si="9"/>
        <v>46110</v>
      </c>
      <c r="D52" s="201">
        <f>$H$54+B52*$H$55</f>
        <v>45.62929524603836</v>
      </c>
      <c r="E52" s="180">
        <f t="shared" ref="E52:E55" si="10">D52/D51-1</f>
        <v>0.30280548535640706</v>
      </c>
      <c r="G52" s="188" t="s">
        <v>328</v>
      </c>
      <c r="H52" s="188">
        <v>9</v>
      </c>
      <c r="I52" s="188">
        <v>1048.6926271278062</v>
      </c>
      <c r="J52" s="188"/>
      <c r="K52" s="188"/>
      <c r="L52" s="188"/>
      <c r="O52" s="176"/>
    </row>
    <row r="53" spans="2:15" x14ac:dyDescent="0.3">
      <c r="B53" s="179">
        <v>12</v>
      </c>
      <c r="C53" s="199">
        <f t="shared" si="9"/>
        <v>46475</v>
      </c>
      <c r="D53" s="201">
        <f t="shared" ref="D53:D55" si="11">$H$54+B53*$H$55</f>
        <v>48.830771855333985</v>
      </c>
      <c r="E53" s="180">
        <f t="shared" si="10"/>
        <v>7.0162745052994913E-2</v>
      </c>
      <c r="G53" s="189"/>
      <c r="H53" s="189" t="s">
        <v>329</v>
      </c>
      <c r="I53" s="189" t="s">
        <v>318</v>
      </c>
      <c r="J53" s="189" t="s">
        <v>330</v>
      </c>
      <c r="K53" s="189" t="s">
        <v>331</v>
      </c>
      <c r="L53" s="189" t="s">
        <v>332</v>
      </c>
      <c r="M53" s="189" t="s">
        <v>333</v>
      </c>
      <c r="N53" s="189" t="s">
        <v>334</v>
      </c>
      <c r="O53" s="194" t="s">
        <v>335</v>
      </c>
    </row>
    <row r="54" spans="2:15" x14ac:dyDescent="0.3">
      <c r="B54" s="179">
        <v>13</v>
      </c>
      <c r="C54" s="199">
        <f t="shared" si="9"/>
        <v>46840</v>
      </c>
      <c r="D54" s="201">
        <f t="shared" si="11"/>
        <v>52.03224846462961</v>
      </c>
      <c r="E54" s="180">
        <f t="shared" si="10"/>
        <v>6.5562686962645556E-2</v>
      </c>
      <c r="G54" t="s">
        <v>336</v>
      </c>
      <c r="H54">
        <v>10.413052543786499</v>
      </c>
      <c r="I54">
        <v>3.4421281967839894</v>
      </c>
      <c r="J54">
        <v>3.0251785954734358</v>
      </c>
      <c r="K54">
        <v>1.6429487378388959E-2</v>
      </c>
      <c r="L54">
        <v>2.4754906880997565</v>
      </c>
      <c r="M54">
        <v>18.35061439947324</v>
      </c>
      <c r="N54">
        <v>2.4754906880997565</v>
      </c>
      <c r="O54" s="176">
        <v>18.35061439947324</v>
      </c>
    </row>
    <row r="55" spans="2:15" ht="15" thickBot="1" x14ac:dyDescent="0.35">
      <c r="B55" s="179">
        <v>14</v>
      </c>
      <c r="C55" s="199">
        <f t="shared" si="9"/>
        <v>47205</v>
      </c>
      <c r="D55" s="201">
        <f t="shared" si="11"/>
        <v>55.233725073925228</v>
      </c>
      <c r="E55" s="180">
        <f t="shared" si="10"/>
        <v>6.1528700061307395E-2</v>
      </c>
      <c r="G55" s="188" t="s">
        <v>310</v>
      </c>
      <c r="H55" s="188">
        <v>3.2014766092956237</v>
      </c>
      <c r="I55" s="188">
        <v>0.55474918921756233</v>
      </c>
      <c r="J55" s="188">
        <v>5.7710343187902593</v>
      </c>
      <c r="K55" s="188">
        <v>4.1878722457577074E-4</v>
      </c>
      <c r="L55" s="188">
        <v>1.922222684958766</v>
      </c>
      <c r="M55" s="188">
        <v>4.4807305336324816</v>
      </c>
      <c r="N55" s="188">
        <v>1.922222684958766</v>
      </c>
      <c r="O55" s="195">
        <v>4.4807305336324816</v>
      </c>
    </row>
    <row r="56" spans="2:15" ht="6" customHeight="1" x14ac:dyDescent="0.3">
      <c r="B56" s="183"/>
      <c r="C56" s="184"/>
      <c r="D56" s="185"/>
      <c r="E56" s="186"/>
      <c r="F56" s="181"/>
      <c r="G56" s="181"/>
      <c r="H56" s="181"/>
      <c r="I56" s="181"/>
      <c r="J56" s="181"/>
      <c r="K56" s="181"/>
      <c r="L56" s="181"/>
      <c r="M56" s="181"/>
      <c r="N56" s="181"/>
      <c r="O56" s="181"/>
    </row>
    <row r="57" spans="2:15" x14ac:dyDescent="0.3">
      <c r="B57" s="187"/>
      <c r="C57" s="75"/>
      <c r="D57" s="182"/>
      <c r="E57" s="1"/>
    </row>
    <row r="58" spans="2:15" x14ac:dyDescent="0.3">
      <c r="C58" s="75"/>
      <c r="D58" s="182"/>
      <c r="E58" s="1"/>
    </row>
    <row r="64" spans="2:15" x14ac:dyDescent="0.3">
      <c r="C64" s="3"/>
    </row>
    <row r="67" spans="3:3" x14ac:dyDescent="0.3">
      <c r="C67" s="3"/>
    </row>
  </sheetData>
  <mergeCells count="3">
    <mergeCell ref="B2:E2"/>
    <mergeCell ref="B21:E21"/>
    <mergeCell ref="B40:E40"/>
  </mergeCells>
  <pageMargins left="0.25" right="0.25" top="0.75" bottom="0.75" header="0.3" footer="0.3"/>
  <pageSetup scale="56"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5ACD-8468-40D1-B96C-C826CE51BC4E}">
  <sheetPr>
    <tabColor rgb="FFE84726"/>
  </sheetPr>
  <dimension ref="A1:N93"/>
  <sheetViews>
    <sheetView workbookViewId="0">
      <pane xSplit="1" ySplit="1" topLeftCell="B2" activePane="bottomRight" state="frozen"/>
      <selection activeCell="C4" sqref="C4"/>
      <selection pane="topRight" activeCell="C4" sqref="C4"/>
      <selection pane="bottomLeft" activeCell="C4" sqref="C4"/>
      <selection pane="bottomRight" activeCell="S13" sqref="S13"/>
    </sheetView>
  </sheetViews>
  <sheetFormatPr defaultColWidth="10.44140625" defaultRowHeight="13.2" x14ac:dyDescent="0.25"/>
  <cols>
    <col min="1" max="1" width="26.6640625" style="12" bestFit="1" customWidth="1"/>
    <col min="2" max="11" width="11.77734375" style="12" bestFit="1" customWidth="1"/>
    <col min="12" max="12" width="10.44140625" style="12"/>
    <col min="13" max="13" width="11.77734375" style="12" bestFit="1" customWidth="1"/>
    <col min="14" max="16384" width="10.44140625" style="12"/>
  </cols>
  <sheetData>
    <row r="1" spans="1:11" s="11" customFormat="1" ht="14.4" x14ac:dyDescent="0.3">
      <c r="A1" s="11" t="s">
        <v>251</v>
      </c>
      <c r="B1" s="57" t="s">
        <v>252</v>
      </c>
      <c r="E1" s="214" t="str">
        <f>IF(B2&lt;&gt;B3, "A NEW VERSION OF THE WORKSHEET IS AVAILABLE", "")</f>
        <v/>
      </c>
      <c r="F1" s="214"/>
      <c r="G1" s="214"/>
      <c r="H1" s="214"/>
      <c r="I1" s="214"/>
      <c r="J1" s="214"/>
      <c r="K1" s="214"/>
    </row>
    <row r="2" spans="1:11" x14ac:dyDescent="0.25">
      <c r="A2" s="11" t="s">
        <v>253</v>
      </c>
      <c r="B2" s="12">
        <v>2.1</v>
      </c>
      <c r="E2" s="215" t="s">
        <v>29</v>
      </c>
      <c r="F2" s="215"/>
      <c r="G2" s="215"/>
      <c r="H2" s="215"/>
      <c r="I2" s="215"/>
      <c r="J2" s="215"/>
      <c r="K2" s="215"/>
    </row>
    <row r="3" spans="1:11" x14ac:dyDescent="0.25">
      <c r="A3" s="11" t="s">
        <v>254</v>
      </c>
      <c r="B3" s="12">
        <v>2.1</v>
      </c>
    </row>
    <row r="4" spans="1:11" x14ac:dyDescent="0.25">
      <c r="A4" s="11"/>
    </row>
    <row r="5" spans="1:11" x14ac:dyDescent="0.25">
      <c r="A5" s="11" t="s">
        <v>255</v>
      </c>
    </row>
    <row r="6" spans="1:11" x14ac:dyDescent="0.25">
      <c r="A6" s="12" t="s">
        <v>256</v>
      </c>
      <c r="B6" s="12" t="s">
        <v>144</v>
      </c>
    </row>
    <row r="7" spans="1:11" ht="14.4" x14ac:dyDescent="0.3">
      <c r="A7" s="12" t="s">
        <v>257</v>
      </c>
      <c r="B7" s="60">
        <v>1</v>
      </c>
    </row>
    <row r="8" spans="1:11" ht="14.4" x14ac:dyDescent="0.3">
      <c r="A8" s="12" t="s">
        <v>258</v>
      </c>
      <c r="B8" s="60">
        <v>2605.6</v>
      </c>
    </row>
    <row r="9" spans="1:11" ht="14.4" x14ac:dyDescent="0.3">
      <c r="A9" s="12" t="s">
        <v>259</v>
      </c>
      <c r="B9" s="60">
        <v>249928.58</v>
      </c>
    </row>
    <row r="15" spans="1:11" ht="14.4" x14ac:dyDescent="0.3">
      <c r="A15" s="57" t="s">
        <v>30</v>
      </c>
      <c r="B15" s="12">
        <f>B26+B34</f>
        <v>3189.81</v>
      </c>
      <c r="K15" s="12">
        <f>K17-K18-K20-K21-K22-K23-K19</f>
        <v>6879.4100000000035</v>
      </c>
    </row>
    <row r="16" spans="1:11" s="13" customFormat="1" ht="14.4" x14ac:dyDescent="0.3">
      <c r="A16" s="59" t="s">
        <v>31</v>
      </c>
      <c r="B16" s="61">
        <v>42460</v>
      </c>
      <c r="C16" s="61">
        <v>42825</v>
      </c>
      <c r="D16" s="61">
        <v>43190</v>
      </c>
      <c r="E16" s="61">
        <v>43555</v>
      </c>
      <c r="F16" s="61">
        <v>43921</v>
      </c>
      <c r="G16" s="61">
        <v>44286</v>
      </c>
      <c r="H16" s="61">
        <v>44651</v>
      </c>
      <c r="I16" s="61">
        <v>45016</v>
      </c>
      <c r="J16" s="61">
        <v>45382</v>
      </c>
      <c r="K16" s="61">
        <v>45747</v>
      </c>
    </row>
    <row r="17" spans="1:11" ht="14.4" x14ac:dyDescent="0.3">
      <c r="A17" s="58" t="s">
        <v>260</v>
      </c>
      <c r="B17" s="60">
        <v>14271.49</v>
      </c>
      <c r="C17" s="60">
        <v>15061.99</v>
      </c>
      <c r="D17" s="60">
        <v>16824.55</v>
      </c>
      <c r="E17" s="60">
        <v>19240.13</v>
      </c>
      <c r="F17" s="60">
        <v>20211.25</v>
      </c>
      <c r="G17" s="60">
        <v>21712.79</v>
      </c>
      <c r="H17" s="60">
        <v>29101.279999999999</v>
      </c>
      <c r="I17" s="60">
        <v>34488.589999999997</v>
      </c>
      <c r="J17" s="60">
        <v>35494.730000000003</v>
      </c>
      <c r="K17" s="60">
        <v>33905.620000000003</v>
      </c>
    </row>
    <row r="18" spans="1:11" ht="14.4" x14ac:dyDescent="0.3">
      <c r="A18" s="58" t="s">
        <v>261</v>
      </c>
      <c r="B18" s="60">
        <v>6569.83</v>
      </c>
      <c r="C18" s="60">
        <v>7452.6</v>
      </c>
      <c r="D18" s="60">
        <v>8128.17</v>
      </c>
      <c r="E18" s="60">
        <v>9974.4</v>
      </c>
      <c r="F18" s="60">
        <v>9981.99</v>
      </c>
      <c r="G18" s="60">
        <v>10425.549999999999</v>
      </c>
      <c r="H18" s="60">
        <v>17123.25</v>
      </c>
      <c r="I18" s="60">
        <v>18985.53</v>
      </c>
      <c r="J18" s="60">
        <v>17410.84</v>
      </c>
      <c r="K18" s="60">
        <v>17504.509999999998</v>
      </c>
    </row>
    <row r="19" spans="1:11" ht="14.4" x14ac:dyDescent="0.3">
      <c r="A19" s="58" t="s">
        <v>262</v>
      </c>
      <c r="B19" s="60">
        <v>-199.33</v>
      </c>
      <c r="C19" s="60">
        <v>528.6</v>
      </c>
      <c r="D19" s="60">
        <v>-142.13</v>
      </c>
      <c r="E19" s="60">
        <v>293.26</v>
      </c>
      <c r="F19" s="60">
        <v>239.15</v>
      </c>
      <c r="G19" s="60">
        <v>92.45</v>
      </c>
      <c r="H19" s="60">
        <v>1324.97</v>
      </c>
      <c r="I19" s="60">
        <v>309.73</v>
      </c>
      <c r="J19" s="60">
        <v>-363.8</v>
      </c>
      <c r="K19" s="60">
        <v>205</v>
      </c>
    </row>
    <row r="20" spans="1:11" ht="14.4" x14ac:dyDescent="0.3">
      <c r="A20" s="58" t="s">
        <v>263</v>
      </c>
      <c r="B20" s="60">
        <v>114.48</v>
      </c>
      <c r="C20" s="60">
        <v>106.02</v>
      </c>
      <c r="D20" s="60">
        <v>110.3</v>
      </c>
      <c r="E20" s="60">
        <v>119.63</v>
      </c>
      <c r="F20" s="60">
        <v>97.79</v>
      </c>
      <c r="G20" s="60">
        <v>86.05</v>
      </c>
      <c r="H20" s="60">
        <v>117.23</v>
      </c>
      <c r="I20" s="60">
        <v>138.29</v>
      </c>
      <c r="J20" s="60">
        <v>133.25</v>
      </c>
      <c r="K20" s="60">
        <v>148.58000000000001</v>
      </c>
    </row>
    <row r="21" spans="1:11" ht="14.4" x14ac:dyDescent="0.3">
      <c r="A21" s="58" t="s">
        <v>264</v>
      </c>
      <c r="B21" s="60">
        <v>1535.22</v>
      </c>
      <c r="C21" s="60">
        <v>1662.75</v>
      </c>
      <c r="D21" s="60">
        <v>1691.68</v>
      </c>
      <c r="E21" s="60">
        <v>1862.35</v>
      </c>
      <c r="F21" s="60">
        <v>1946.12</v>
      </c>
      <c r="G21" s="60">
        <v>2068.31</v>
      </c>
      <c r="H21" s="60">
        <v>2880.45</v>
      </c>
      <c r="I21" s="60">
        <v>2916.2</v>
      </c>
      <c r="J21" s="60">
        <v>2767.18</v>
      </c>
      <c r="K21" s="60">
        <v>2687.4</v>
      </c>
    </row>
    <row r="22" spans="1:11" ht="14.4" x14ac:dyDescent="0.3">
      <c r="A22" s="58" t="s">
        <v>265</v>
      </c>
      <c r="B22" s="60">
        <v>994.98</v>
      </c>
      <c r="C22" s="60">
        <v>1039.8900000000001</v>
      </c>
      <c r="D22" s="60">
        <v>1121.8900000000001</v>
      </c>
      <c r="E22" s="60">
        <v>1242.69</v>
      </c>
      <c r="F22" s="60">
        <v>1371.27</v>
      </c>
      <c r="G22" s="60">
        <v>1547.61</v>
      </c>
      <c r="H22" s="60">
        <v>1794.61</v>
      </c>
      <c r="I22" s="60">
        <v>2036.41</v>
      </c>
      <c r="J22" s="60">
        <v>2334.92</v>
      </c>
      <c r="K22" s="60">
        <v>2605.7800000000002</v>
      </c>
    </row>
    <row r="23" spans="1:11" ht="14.4" x14ac:dyDescent="0.3">
      <c r="A23" s="58" t="s">
        <v>266</v>
      </c>
      <c r="B23" s="60">
        <v>3912.3</v>
      </c>
      <c r="C23" s="60">
        <v>4364.04</v>
      </c>
      <c r="D23" s="60">
        <v>2254.92</v>
      </c>
      <c r="E23" s="60">
        <v>2366.87</v>
      </c>
      <c r="F23" s="60">
        <v>2311.5100000000002</v>
      </c>
      <c r="G23" s="60">
        <v>2245.69</v>
      </c>
      <c r="H23" s="60">
        <v>2941.98</v>
      </c>
      <c r="I23" s="60">
        <v>3500.84</v>
      </c>
      <c r="J23" s="60">
        <v>3811.86</v>
      </c>
      <c r="K23" s="60">
        <v>3874.94</v>
      </c>
    </row>
    <row r="24" spans="1:11" ht="14.4" x14ac:dyDescent="0.3">
      <c r="A24" s="58" t="s">
        <v>267</v>
      </c>
      <c r="B24" s="60">
        <v>-1779.69</v>
      </c>
      <c r="C24" s="60">
        <v>-2028.47</v>
      </c>
      <c r="D24" s="60">
        <v>171.45</v>
      </c>
      <c r="E24" s="60">
        <v>202.51</v>
      </c>
      <c r="F24" s="60">
        <v>579.95000000000005</v>
      </c>
      <c r="G24" s="60">
        <v>576.42999999999995</v>
      </c>
      <c r="H24" s="60">
        <v>765.12</v>
      </c>
      <c r="I24" s="60">
        <v>961.21</v>
      </c>
      <c r="J24" s="60">
        <v>1087.9000000000001</v>
      </c>
      <c r="K24" s="60">
        <v>1283.2</v>
      </c>
    </row>
    <row r="25" spans="1:11" ht="14.4" x14ac:dyDescent="0.3">
      <c r="A25" s="58" t="s">
        <v>268</v>
      </c>
      <c r="B25" s="60">
        <v>213.39</v>
      </c>
      <c r="C25" s="60">
        <v>337.9</v>
      </c>
      <c r="D25" s="60">
        <v>336.41</v>
      </c>
      <c r="E25" s="60">
        <v>273.77</v>
      </c>
      <c r="F25" s="60">
        <v>350.1</v>
      </c>
      <c r="G25" s="60">
        <v>331.65</v>
      </c>
      <c r="H25" s="60">
        <v>295.88</v>
      </c>
      <c r="I25" s="60">
        <v>431.46</v>
      </c>
      <c r="J25" s="60">
        <v>820.96</v>
      </c>
      <c r="K25" s="60">
        <v>350.22</v>
      </c>
    </row>
    <row r="26" spans="1:11" ht="14.4" x14ac:dyDescent="0.3">
      <c r="A26" s="58" t="s">
        <v>269</v>
      </c>
      <c r="B26" s="60">
        <v>275.58</v>
      </c>
      <c r="C26" s="60">
        <v>334.79</v>
      </c>
      <c r="D26" s="60">
        <v>360.47</v>
      </c>
      <c r="E26" s="60">
        <v>622.14</v>
      </c>
      <c r="F26" s="60">
        <v>780.5</v>
      </c>
      <c r="G26" s="60">
        <v>791.27</v>
      </c>
      <c r="H26" s="60">
        <v>816.36</v>
      </c>
      <c r="I26" s="60">
        <v>858.02</v>
      </c>
      <c r="J26" s="60">
        <v>853</v>
      </c>
      <c r="K26" s="60">
        <v>1026.3399999999999</v>
      </c>
    </row>
    <row r="27" spans="1:11" ht="14.4" x14ac:dyDescent="0.3">
      <c r="A27" s="58" t="s">
        <v>270</v>
      </c>
      <c r="B27" s="60">
        <v>49</v>
      </c>
      <c r="C27" s="60">
        <v>37.33</v>
      </c>
      <c r="D27" s="60">
        <v>41.47</v>
      </c>
      <c r="E27" s="60">
        <v>110.47</v>
      </c>
      <c r="F27" s="60">
        <v>102.33</v>
      </c>
      <c r="G27" s="60">
        <v>91.63</v>
      </c>
      <c r="H27" s="60">
        <v>95.41</v>
      </c>
      <c r="I27" s="60">
        <v>144.44999999999999</v>
      </c>
      <c r="J27" s="60">
        <v>205.17</v>
      </c>
      <c r="K27" s="60">
        <v>227.02</v>
      </c>
    </row>
    <row r="28" spans="1:11" ht="14.4" x14ac:dyDescent="0.3">
      <c r="A28" s="58" t="s">
        <v>271</v>
      </c>
      <c r="B28" s="60">
        <v>2613.85</v>
      </c>
      <c r="C28" s="60">
        <v>2959.54</v>
      </c>
      <c r="D28" s="60">
        <v>3138.48</v>
      </c>
      <c r="E28" s="60">
        <v>3306.1</v>
      </c>
      <c r="F28" s="60">
        <v>3629.04</v>
      </c>
      <c r="G28" s="60">
        <v>4304.3500000000004</v>
      </c>
      <c r="H28" s="60">
        <v>4187.72</v>
      </c>
      <c r="I28" s="60">
        <v>5688.83</v>
      </c>
      <c r="J28" s="60">
        <v>7347.77</v>
      </c>
      <c r="K28" s="60">
        <v>5103.07</v>
      </c>
    </row>
    <row r="29" spans="1:11" ht="14.4" x14ac:dyDescent="0.3">
      <c r="A29" s="58" t="s">
        <v>272</v>
      </c>
      <c r="B29" s="60">
        <v>844.49</v>
      </c>
      <c r="C29" s="60">
        <v>943.29</v>
      </c>
      <c r="D29" s="60">
        <v>1040.96</v>
      </c>
      <c r="E29" s="60">
        <v>1098.06</v>
      </c>
      <c r="F29" s="60">
        <v>854.85</v>
      </c>
      <c r="G29" s="60">
        <v>1097.5999999999999</v>
      </c>
      <c r="H29" s="60">
        <v>1102.9100000000001</v>
      </c>
      <c r="I29" s="60">
        <v>1493.5</v>
      </c>
      <c r="J29" s="60">
        <v>1790.08</v>
      </c>
      <c r="K29" s="60">
        <v>1393.36</v>
      </c>
    </row>
    <row r="30" spans="1:11" ht="14.4" x14ac:dyDescent="0.3">
      <c r="A30" s="58" t="s">
        <v>273</v>
      </c>
      <c r="B30" s="60">
        <v>1745.16</v>
      </c>
      <c r="C30" s="60">
        <v>1939.43</v>
      </c>
      <c r="D30" s="60">
        <v>2038.93</v>
      </c>
      <c r="E30" s="60">
        <v>2155.92</v>
      </c>
      <c r="F30" s="60">
        <v>2705.17</v>
      </c>
      <c r="G30" s="60">
        <v>3139.29</v>
      </c>
      <c r="H30" s="60">
        <v>3030.57</v>
      </c>
      <c r="I30" s="60">
        <v>4106.45</v>
      </c>
      <c r="J30" s="60">
        <v>5460.23</v>
      </c>
      <c r="K30" s="60">
        <v>3667.23</v>
      </c>
    </row>
    <row r="31" spans="1:11" ht="14.4" x14ac:dyDescent="0.3">
      <c r="A31" s="58" t="s">
        <v>274</v>
      </c>
      <c r="B31" s="60">
        <v>719.4</v>
      </c>
      <c r="C31" s="60">
        <v>987.98</v>
      </c>
      <c r="D31" s="60">
        <v>834.5</v>
      </c>
      <c r="E31" s="60">
        <v>1007.16</v>
      </c>
      <c r="F31" s="60">
        <v>1151.04</v>
      </c>
      <c r="G31" s="60">
        <v>1712.17</v>
      </c>
      <c r="H31" s="60">
        <v>1836.87</v>
      </c>
      <c r="I31" s="60">
        <v>2460.35</v>
      </c>
      <c r="J31" s="60">
        <v>3194.14</v>
      </c>
      <c r="K31" s="60">
        <v>2378.8200000000002</v>
      </c>
    </row>
    <row r="32" spans="1:11" x14ac:dyDescent="0.25">
      <c r="A32" s="12" t="s">
        <v>33</v>
      </c>
      <c r="B32" s="14">
        <f>B29/B28</f>
        <v>0.32308280888344781</v>
      </c>
      <c r="C32" s="14">
        <f t="shared" ref="C32:K32" si="0">C29/C28</f>
        <v>0.31872858619920663</v>
      </c>
      <c r="D32" s="14">
        <f t="shared" si="0"/>
        <v>0.33167648033442942</v>
      </c>
      <c r="E32" s="14">
        <f t="shared" si="0"/>
        <v>0.3321315144732464</v>
      </c>
      <c r="F32" s="14">
        <f t="shared" si="0"/>
        <v>0.23555816414258318</v>
      </c>
      <c r="G32" s="14">
        <f t="shared" si="0"/>
        <v>0.25499785101118633</v>
      </c>
      <c r="H32" s="14">
        <f t="shared" si="0"/>
        <v>0.26336765590822692</v>
      </c>
      <c r="I32" s="14">
        <f t="shared" si="0"/>
        <v>0.26253201449155628</v>
      </c>
      <c r="J32" s="14">
        <f t="shared" si="0"/>
        <v>0.24362221463110573</v>
      </c>
      <c r="K32" s="14">
        <f t="shared" si="0"/>
        <v>0.27304348166887776</v>
      </c>
    </row>
    <row r="34" spans="1:11" x14ac:dyDescent="0.25">
      <c r="A34" s="12" t="s">
        <v>28</v>
      </c>
      <c r="B34" s="12">
        <f>+B30+B29+B27+B26</f>
        <v>2914.23</v>
      </c>
      <c r="C34" s="12">
        <f t="shared" ref="C34:K34" si="1">+C30+C29+C27+C26</f>
        <v>3254.84</v>
      </c>
      <c r="D34" s="12">
        <f t="shared" si="1"/>
        <v>3481.83</v>
      </c>
      <c r="E34" s="12">
        <f t="shared" si="1"/>
        <v>3986.5899999999997</v>
      </c>
      <c r="F34" s="12">
        <f t="shared" si="1"/>
        <v>4442.8500000000004</v>
      </c>
      <c r="G34" s="12">
        <f t="shared" si="1"/>
        <v>5119.7899999999991</v>
      </c>
      <c r="H34" s="12">
        <f t="shared" si="1"/>
        <v>5045.25</v>
      </c>
      <c r="I34" s="12">
        <f t="shared" si="1"/>
        <v>6602.42</v>
      </c>
      <c r="J34" s="12">
        <f t="shared" si="1"/>
        <v>8308.48</v>
      </c>
      <c r="K34" s="12">
        <f t="shared" si="1"/>
        <v>6313.9500000000007</v>
      </c>
    </row>
    <row r="36" spans="1:11" x14ac:dyDescent="0.25">
      <c r="B36" s="69"/>
      <c r="C36" s="69"/>
      <c r="D36" s="69"/>
      <c r="E36" s="69"/>
      <c r="F36" s="69"/>
      <c r="G36" s="69"/>
      <c r="H36" s="69"/>
      <c r="I36" s="69"/>
      <c r="J36" s="69"/>
      <c r="K36" s="69"/>
    </row>
    <row r="40" spans="1:11" ht="14.4" x14ac:dyDescent="0.3">
      <c r="A40" s="57" t="s">
        <v>34</v>
      </c>
      <c r="B40" s="60"/>
      <c r="C40" s="60"/>
      <c r="D40" s="60"/>
      <c r="E40" s="60"/>
      <c r="F40" s="60"/>
      <c r="G40" s="60"/>
      <c r="H40" s="60"/>
      <c r="I40" s="60"/>
      <c r="J40" s="60"/>
      <c r="K40" s="60"/>
    </row>
    <row r="41" spans="1:11" s="13" customFormat="1" ht="14.4" x14ac:dyDescent="0.3">
      <c r="A41" s="59" t="s">
        <v>31</v>
      </c>
      <c r="B41" s="61">
        <v>45199</v>
      </c>
      <c r="C41" s="61">
        <v>45291</v>
      </c>
      <c r="D41" s="61">
        <v>45382</v>
      </c>
      <c r="E41" s="61">
        <v>45473</v>
      </c>
      <c r="F41" s="61">
        <v>45565</v>
      </c>
      <c r="G41" s="61">
        <v>45657</v>
      </c>
      <c r="H41" s="61">
        <v>45747</v>
      </c>
      <c r="I41" s="61">
        <v>45838</v>
      </c>
      <c r="J41" s="61">
        <v>45930</v>
      </c>
      <c r="K41" s="61">
        <v>46022</v>
      </c>
    </row>
    <row r="42" spans="1:11" ht="14.4" x14ac:dyDescent="0.3">
      <c r="A42" s="58" t="s">
        <v>260</v>
      </c>
      <c r="B42" s="60">
        <v>8478.57</v>
      </c>
      <c r="C42" s="60">
        <v>9103.09</v>
      </c>
      <c r="D42" s="60">
        <v>8730.76</v>
      </c>
      <c r="E42" s="60">
        <v>8969.73</v>
      </c>
      <c r="F42" s="60">
        <v>8027.54</v>
      </c>
      <c r="G42" s="60">
        <v>8549.44</v>
      </c>
      <c r="H42" s="60">
        <v>8358.91</v>
      </c>
      <c r="I42" s="60">
        <v>8938.5499999999993</v>
      </c>
      <c r="J42" s="60">
        <v>8531.27</v>
      </c>
      <c r="K42" s="60">
        <v>8867.02</v>
      </c>
    </row>
    <row r="43" spans="1:11" ht="14.4" x14ac:dyDescent="0.3">
      <c r="A43" s="58" t="s">
        <v>275</v>
      </c>
      <c r="B43" s="60">
        <v>6762.34</v>
      </c>
      <c r="C43" s="60">
        <v>7047</v>
      </c>
      <c r="D43" s="60">
        <v>7039.39</v>
      </c>
      <c r="E43" s="60">
        <v>7275.96</v>
      </c>
      <c r="F43" s="60">
        <v>6788.03</v>
      </c>
      <c r="G43" s="60">
        <v>6912.71</v>
      </c>
      <c r="H43" s="60">
        <v>6922.71</v>
      </c>
      <c r="I43" s="60">
        <v>7313.58</v>
      </c>
      <c r="J43" s="60">
        <v>7027.89</v>
      </c>
      <c r="K43" s="60">
        <v>7086.06</v>
      </c>
    </row>
    <row r="44" spans="1:11" ht="14.4" x14ac:dyDescent="0.3">
      <c r="A44" s="58" t="s">
        <v>268</v>
      </c>
      <c r="B44" s="60">
        <v>194.33</v>
      </c>
      <c r="C44" s="60">
        <v>186.46</v>
      </c>
      <c r="D44" s="60">
        <v>212.43</v>
      </c>
      <c r="E44" s="60">
        <v>192.93</v>
      </c>
      <c r="F44" s="60">
        <v>24.53</v>
      </c>
      <c r="G44" s="60">
        <v>192.82</v>
      </c>
      <c r="H44" s="60">
        <v>-60.06</v>
      </c>
      <c r="I44" s="60">
        <v>229.11</v>
      </c>
      <c r="J44" s="60">
        <v>236.94</v>
      </c>
      <c r="K44" s="60">
        <v>69.14</v>
      </c>
    </row>
    <row r="45" spans="1:11" ht="14.4" x14ac:dyDescent="0.3">
      <c r="A45" s="58" t="s">
        <v>269</v>
      </c>
      <c r="B45" s="60">
        <v>208.72</v>
      </c>
      <c r="C45" s="60">
        <v>220.35</v>
      </c>
      <c r="D45" s="60">
        <v>225.61</v>
      </c>
      <c r="E45" s="60">
        <v>227.7</v>
      </c>
      <c r="F45" s="60">
        <v>241.99</v>
      </c>
      <c r="G45" s="60">
        <v>255.55</v>
      </c>
      <c r="H45" s="60">
        <v>301.10000000000002</v>
      </c>
      <c r="I45" s="60">
        <v>300.87</v>
      </c>
      <c r="J45" s="60">
        <v>304.93</v>
      </c>
      <c r="K45" s="60">
        <v>313.07</v>
      </c>
    </row>
    <row r="46" spans="1:11" ht="14.4" x14ac:dyDescent="0.3">
      <c r="A46" s="58" t="s">
        <v>270</v>
      </c>
      <c r="B46" s="60">
        <v>50.9</v>
      </c>
      <c r="C46" s="60">
        <v>54.42</v>
      </c>
      <c r="D46" s="60">
        <v>54.1</v>
      </c>
      <c r="E46" s="60">
        <v>55.38</v>
      </c>
      <c r="F46" s="60">
        <v>63.01</v>
      </c>
      <c r="G46" s="60">
        <v>55.84</v>
      </c>
      <c r="H46" s="60">
        <v>52.79</v>
      </c>
      <c r="I46" s="60">
        <v>44.5</v>
      </c>
      <c r="J46" s="60">
        <v>43.87</v>
      </c>
      <c r="K46" s="60">
        <v>47.94</v>
      </c>
    </row>
    <row r="47" spans="1:11" ht="14.4" x14ac:dyDescent="0.3">
      <c r="A47" s="58" t="s">
        <v>271</v>
      </c>
      <c r="B47" s="60">
        <v>1650.94</v>
      </c>
      <c r="C47" s="60">
        <v>1967.78</v>
      </c>
      <c r="D47" s="60">
        <v>1624.09</v>
      </c>
      <c r="E47" s="60">
        <v>1603.62</v>
      </c>
      <c r="F47" s="60">
        <v>959.04</v>
      </c>
      <c r="G47" s="60">
        <v>1518.16</v>
      </c>
      <c r="H47" s="60">
        <v>1022.25</v>
      </c>
      <c r="I47" s="60">
        <v>1508.71</v>
      </c>
      <c r="J47" s="60">
        <v>1391.52</v>
      </c>
      <c r="K47" s="60">
        <v>1489.09</v>
      </c>
    </row>
    <row r="48" spans="1:11" ht="14.4" x14ac:dyDescent="0.3">
      <c r="A48" s="58" t="s">
        <v>272</v>
      </c>
      <c r="B48" s="60">
        <v>418.55</v>
      </c>
      <c r="C48" s="60">
        <v>492.62</v>
      </c>
      <c r="D48" s="60">
        <v>348.79</v>
      </c>
      <c r="E48" s="60">
        <v>416.83</v>
      </c>
      <c r="F48" s="60">
        <v>265.38</v>
      </c>
      <c r="G48" s="60">
        <v>389.73</v>
      </c>
      <c r="H48" s="60">
        <v>321.42</v>
      </c>
      <c r="I48" s="60">
        <v>391.66</v>
      </c>
      <c r="J48" s="60">
        <v>373.29</v>
      </c>
      <c r="K48" s="60">
        <v>415.17</v>
      </c>
    </row>
    <row r="49" spans="1:11" ht="14.4" x14ac:dyDescent="0.3">
      <c r="A49" s="58" t="s">
        <v>273</v>
      </c>
      <c r="B49" s="60">
        <v>1205.42</v>
      </c>
      <c r="C49" s="60">
        <v>1447.72</v>
      </c>
      <c r="D49" s="60">
        <v>1256.72</v>
      </c>
      <c r="E49" s="60">
        <v>1169.98</v>
      </c>
      <c r="F49" s="60">
        <v>694.64</v>
      </c>
      <c r="G49" s="60">
        <v>1110.48</v>
      </c>
      <c r="H49" s="60">
        <v>692.13</v>
      </c>
      <c r="I49" s="60">
        <v>1099.77</v>
      </c>
      <c r="J49" s="60">
        <v>993.59</v>
      </c>
      <c r="K49" s="60">
        <v>1059.8699999999999</v>
      </c>
    </row>
    <row r="50" spans="1:11" ht="14.4" x14ac:dyDescent="0.3">
      <c r="A50" s="58" t="s">
        <v>276</v>
      </c>
      <c r="B50" s="60">
        <v>1716.23</v>
      </c>
      <c r="C50" s="60">
        <v>2056.09</v>
      </c>
      <c r="D50" s="60">
        <v>1691.37</v>
      </c>
      <c r="E50" s="60">
        <v>1693.77</v>
      </c>
      <c r="F50" s="60">
        <v>1239.51</v>
      </c>
      <c r="G50" s="60">
        <v>1636.73</v>
      </c>
      <c r="H50" s="60">
        <v>1436.2</v>
      </c>
      <c r="I50" s="60">
        <v>1624.97</v>
      </c>
      <c r="J50" s="60">
        <v>1503.38</v>
      </c>
      <c r="K50" s="60">
        <v>1780.96</v>
      </c>
    </row>
    <row r="51" spans="1:11" x14ac:dyDescent="0.25">
      <c r="A51" s="12" t="s">
        <v>28</v>
      </c>
      <c r="B51" s="12">
        <f>B49+B48+B46+B45</f>
        <v>1883.5900000000001</v>
      </c>
      <c r="C51" s="12">
        <f t="shared" ref="C51:K51" si="2">C49+C48+C46+C45</f>
        <v>2215.11</v>
      </c>
      <c r="D51" s="12">
        <f t="shared" si="2"/>
        <v>1885.2199999999998</v>
      </c>
      <c r="E51" s="12">
        <f t="shared" si="2"/>
        <v>1869.89</v>
      </c>
      <c r="F51" s="12">
        <f t="shared" si="2"/>
        <v>1265.02</v>
      </c>
      <c r="G51" s="12">
        <f t="shared" si="2"/>
        <v>1811.6</v>
      </c>
      <c r="H51" s="12">
        <f t="shared" si="2"/>
        <v>1367.44</v>
      </c>
      <c r="I51" s="12">
        <f t="shared" si="2"/>
        <v>1836.8000000000002</v>
      </c>
      <c r="J51" s="12">
        <f t="shared" si="2"/>
        <v>1715.68</v>
      </c>
      <c r="K51" s="12">
        <f t="shared" si="2"/>
        <v>1836.05</v>
      </c>
    </row>
    <row r="55" spans="1:11" ht="14.4" x14ac:dyDescent="0.3">
      <c r="A55" s="57" t="s">
        <v>35</v>
      </c>
      <c r="B55" s="60"/>
      <c r="C55" s="60"/>
      <c r="D55" s="60"/>
      <c r="E55" s="60"/>
      <c r="F55" s="60"/>
      <c r="G55" s="60"/>
      <c r="H55" s="60"/>
      <c r="I55" s="60"/>
      <c r="J55" s="60"/>
      <c r="K55" s="60"/>
    </row>
    <row r="56" spans="1:11" s="13" customFormat="1" ht="14.4" x14ac:dyDescent="0.3">
      <c r="A56" s="59" t="s">
        <v>31</v>
      </c>
      <c r="B56" s="61">
        <v>42460</v>
      </c>
      <c r="C56" s="61">
        <v>42825</v>
      </c>
      <c r="D56" s="61">
        <v>43190</v>
      </c>
      <c r="E56" s="61">
        <v>43555</v>
      </c>
      <c r="F56" s="61">
        <v>43921</v>
      </c>
      <c r="G56" s="61">
        <v>44286</v>
      </c>
      <c r="H56" s="61">
        <v>44651</v>
      </c>
      <c r="I56" s="61">
        <v>45016</v>
      </c>
      <c r="J56" s="61">
        <v>45382</v>
      </c>
      <c r="K56" s="61">
        <v>45747</v>
      </c>
    </row>
    <row r="57" spans="1:11" ht="14.4" x14ac:dyDescent="0.3">
      <c r="A57" s="58" t="s">
        <v>277</v>
      </c>
      <c r="B57" s="60">
        <v>95.92</v>
      </c>
      <c r="C57" s="60">
        <v>95.92</v>
      </c>
      <c r="D57" s="60">
        <v>95.92</v>
      </c>
      <c r="E57" s="60">
        <v>95.92</v>
      </c>
      <c r="F57" s="60">
        <v>95.92</v>
      </c>
      <c r="G57" s="60">
        <v>95.92</v>
      </c>
      <c r="H57" s="60">
        <v>95.92</v>
      </c>
      <c r="I57" s="60">
        <v>95.92</v>
      </c>
      <c r="J57" s="60">
        <v>95.92</v>
      </c>
      <c r="K57" s="60">
        <v>95.92</v>
      </c>
    </row>
    <row r="58" spans="1:11" ht="14.4" x14ac:dyDescent="0.3">
      <c r="A58" s="58" t="s">
        <v>278</v>
      </c>
      <c r="B58" s="60">
        <v>6428.9</v>
      </c>
      <c r="C58" s="60">
        <v>7507.97</v>
      </c>
      <c r="D58" s="60">
        <v>8314.31</v>
      </c>
      <c r="E58" s="60">
        <v>9374.6299999999992</v>
      </c>
      <c r="F58" s="60">
        <v>10034.24</v>
      </c>
      <c r="G58" s="60">
        <v>12710.37</v>
      </c>
      <c r="H58" s="60">
        <v>13715.64</v>
      </c>
      <c r="I58" s="60">
        <v>15896.31</v>
      </c>
      <c r="J58" s="60">
        <v>18632.38</v>
      </c>
      <c r="K58" s="60">
        <v>19303.89</v>
      </c>
    </row>
    <row r="59" spans="1:11" ht="14.4" x14ac:dyDescent="0.3">
      <c r="A59" s="58" t="s">
        <v>279</v>
      </c>
      <c r="B59" s="60">
        <v>323.29000000000002</v>
      </c>
      <c r="C59" s="60">
        <v>560.34</v>
      </c>
      <c r="D59" s="60">
        <v>533.42999999999995</v>
      </c>
      <c r="E59" s="60">
        <v>1319.6</v>
      </c>
      <c r="F59" s="60">
        <v>1118.5</v>
      </c>
      <c r="G59" s="60">
        <v>1093.1199999999999</v>
      </c>
      <c r="H59" s="60">
        <v>1586.88</v>
      </c>
      <c r="I59" s="60">
        <v>1932.62</v>
      </c>
      <c r="J59" s="60">
        <v>2474.38</v>
      </c>
      <c r="K59" s="60">
        <v>2290.29</v>
      </c>
    </row>
    <row r="60" spans="1:11" ht="14.4" x14ac:dyDescent="0.3">
      <c r="A60" s="58" t="s">
        <v>280</v>
      </c>
      <c r="B60" s="60">
        <v>3710.92</v>
      </c>
      <c r="C60" s="60">
        <v>4240.96</v>
      </c>
      <c r="D60" s="60">
        <v>4819.82</v>
      </c>
      <c r="E60" s="60">
        <v>5458.69</v>
      </c>
      <c r="F60" s="60">
        <v>4889.3100000000004</v>
      </c>
      <c r="G60" s="60">
        <v>6455.93</v>
      </c>
      <c r="H60" s="60">
        <v>7559.99</v>
      </c>
      <c r="I60" s="60">
        <v>7854.48</v>
      </c>
      <c r="J60" s="60">
        <v>8698.09</v>
      </c>
      <c r="K60" s="60">
        <v>8665.15</v>
      </c>
    </row>
    <row r="61" spans="1:11" s="11" customFormat="1" ht="14.4" x14ac:dyDescent="0.3">
      <c r="A61" s="57" t="s">
        <v>281</v>
      </c>
      <c r="B61" s="60">
        <v>10559.03</v>
      </c>
      <c r="C61" s="60">
        <v>12405.19</v>
      </c>
      <c r="D61" s="60">
        <v>13763.48</v>
      </c>
      <c r="E61" s="60">
        <v>16248.84</v>
      </c>
      <c r="F61" s="60">
        <v>16137.97</v>
      </c>
      <c r="G61" s="60">
        <v>20355.34</v>
      </c>
      <c r="H61" s="60">
        <v>22958.43</v>
      </c>
      <c r="I61" s="60">
        <v>25779.33</v>
      </c>
      <c r="J61" s="60">
        <v>29900.77</v>
      </c>
      <c r="K61" s="60">
        <v>30355.25</v>
      </c>
    </row>
    <row r="62" spans="1:11" ht="14.4" x14ac:dyDescent="0.3">
      <c r="A62" s="58" t="s">
        <v>282</v>
      </c>
      <c r="B62" s="60">
        <v>3416.35</v>
      </c>
      <c r="C62" s="60">
        <v>3303.74</v>
      </c>
      <c r="D62" s="60">
        <v>3732.24</v>
      </c>
      <c r="E62" s="60">
        <v>6496.56</v>
      </c>
      <c r="F62" s="60">
        <v>6272.31</v>
      </c>
      <c r="G62" s="60">
        <v>5858.52</v>
      </c>
      <c r="H62" s="60">
        <v>5519.06</v>
      </c>
      <c r="I62" s="60">
        <v>5770.46</v>
      </c>
      <c r="J62" s="60">
        <v>7146.62</v>
      </c>
      <c r="K62" s="60">
        <v>9220.1</v>
      </c>
    </row>
    <row r="63" spans="1:11" ht="14.4" x14ac:dyDescent="0.3">
      <c r="A63" s="58" t="s">
        <v>283</v>
      </c>
      <c r="B63" s="60">
        <v>106.59</v>
      </c>
      <c r="C63" s="60">
        <v>257.54000000000002</v>
      </c>
      <c r="D63" s="60">
        <v>1405.11</v>
      </c>
      <c r="E63" s="60">
        <v>209.67</v>
      </c>
      <c r="F63" s="60">
        <v>140.24</v>
      </c>
      <c r="G63" s="60">
        <v>182.98</v>
      </c>
      <c r="H63" s="60">
        <v>426.43</v>
      </c>
      <c r="I63" s="60">
        <v>1019.59</v>
      </c>
      <c r="J63" s="60">
        <v>2698.37</v>
      </c>
      <c r="K63" s="60">
        <v>1254.49</v>
      </c>
    </row>
    <row r="64" spans="1:11" ht="14.4" x14ac:dyDescent="0.3">
      <c r="A64" s="58" t="s">
        <v>284</v>
      </c>
      <c r="B64" s="60">
        <v>2712.13</v>
      </c>
      <c r="C64" s="60">
        <v>2651.99</v>
      </c>
      <c r="D64" s="60">
        <v>2140.6999999999998</v>
      </c>
      <c r="E64" s="60">
        <v>2568.58</v>
      </c>
      <c r="F64" s="60">
        <v>2018.85</v>
      </c>
      <c r="G64" s="60">
        <v>4736.8</v>
      </c>
      <c r="H64" s="60">
        <v>3247.53</v>
      </c>
      <c r="I64" s="60">
        <v>4261.71</v>
      </c>
      <c r="J64" s="60">
        <v>4587.92</v>
      </c>
      <c r="K64" s="60">
        <v>4724.75</v>
      </c>
    </row>
    <row r="65" spans="1:14" ht="14.4" x14ac:dyDescent="0.3">
      <c r="A65" s="58" t="s">
        <v>285</v>
      </c>
      <c r="B65" s="60">
        <v>4323.96</v>
      </c>
      <c r="C65" s="60">
        <v>6191.92</v>
      </c>
      <c r="D65" s="60">
        <v>6485.43</v>
      </c>
      <c r="E65" s="60">
        <v>6974.03</v>
      </c>
      <c r="F65" s="60">
        <v>7706.57</v>
      </c>
      <c r="G65" s="60">
        <v>9577.0400000000009</v>
      </c>
      <c r="H65" s="60">
        <v>13765.41</v>
      </c>
      <c r="I65" s="60">
        <v>14727.57</v>
      </c>
      <c r="J65" s="60">
        <v>15467.86</v>
      </c>
      <c r="K65" s="60">
        <v>15155.91</v>
      </c>
    </row>
    <row r="66" spans="1:14" s="11" customFormat="1" ht="14.4" x14ac:dyDescent="0.3">
      <c r="A66" s="57" t="s">
        <v>281</v>
      </c>
      <c r="B66" s="60">
        <v>10559.03</v>
      </c>
      <c r="C66" s="60">
        <v>12405.19</v>
      </c>
      <c r="D66" s="60">
        <v>13763.48</v>
      </c>
      <c r="E66" s="60">
        <v>16248.84</v>
      </c>
      <c r="F66" s="60">
        <v>16137.97</v>
      </c>
      <c r="G66" s="60">
        <v>20355.34</v>
      </c>
      <c r="H66" s="60">
        <v>22958.43</v>
      </c>
      <c r="I66" s="60">
        <v>25779.33</v>
      </c>
      <c r="J66" s="60">
        <v>29900.77</v>
      </c>
      <c r="K66" s="60">
        <v>30355.25</v>
      </c>
      <c r="N66" s="12"/>
    </row>
    <row r="67" spans="1:14" ht="14.4" x14ac:dyDescent="0.3">
      <c r="A67" s="58" t="s">
        <v>286</v>
      </c>
      <c r="B67" s="60">
        <v>1186.8399999999999</v>
      </c>
      <c r="C67" s="60">
        <v>1446.6</v>
      </c>
      <c r="D67" s="60">
        <v>1730.63</v>
      </c>
      <c r="E67" s="60">
        <v>1907.33</v>
      </c>
      <c r="F67" s="60">
        <v>1795.22</v>
      </c>
      <c r="G67" s="60">
        <v>2602.17</v>
      </c>
      <c r="H67" s="60">
        <v>3871.44</v>
      </c>
      <c r="I67" s="60">
        <v>4636.9399999999996</v>
      </c>
      <c r="J67" s="60">
        <v>4889.05</v>
      </c>
      <c r="K67" s="60">
        <v>4313.6499999999996</v>
      </c>
    </row>
    <row r="68" spans="1:14" ht="14.4" x14ac:dyDescent="0.3">
      <c r="A68" s="58" t="s">
        <v>287</v>
      </c>
      <c r="B68" s="60">
        <v>1998.24</v>
      </c>
      <c r="C68" s="60">
        <v>2626.94</v>
      </c>
      <c r="D68" s="60">
        <v>2658.31</v>
      </c>
      <c r="E68" s="60">
        <v>3149.86</v>
      </c>
      <c r="F68" s="60">
        <v>3389.81</v>
      </c>
      <c r="G68" s="60">
        <v>3798.6</v>
      </c>
      <c r="H68" s="60">
        <v>6152.98</v>
      </c>
      <c r="I68" s="60">
        <v>6210.64</v>
      </c>
      <c r="J68" s="60">
        <v>5923.41</v>
      </c>
      <c r="K68" s="60">
        <v>6719.27</v>
      </c>
    </row>
    <row r="69" spans="1:14" ht="14.4" x14ac:dyDescent="0.3">
      <c r="A69" s="58" t="s">
        <v>288</v>
      </c>
      <c r="B69" s="60">
        <v>424.2</v>
      </c>
      <c r="C69" s="60">
        <v>801.21</v>
      </c>
      <c r="D69" s="60">
        <v>404.65</v>
      </c>
      <c r="E69" s="60">
        <v>444.88</v>
      </c>
      <c r="F69" s="60">
        <v>782.83</v>
      </c>
      <c r="G69" s="60">
        <v>610.75</v>
      </c>
      <c r="H69" s="60">
        <v>864.33</v>
      </c>
      <c r="I69" s="60">
        <v>843.82</v>
      </c>
      <c r="J69" s="60">
        <v>1084.01</v>
      </c>
      <c r="K69" s="60">
        <v>781.98</v>
      </c>
    </row>
    <row r="70" spans="1:14" ht="14.4" x14ac:dyDescent="0.3">
      <c r="A70" s="58" t="s">
        <v>289</v>
      </c>
      <c r="B70" s="60">
        <v>959197790</v>
      </c>
      <c r="C70" s="60">
        <v>959197790</v>
      </c>
      <c r="D70" s="60">
        <v>959197790</v>
      </c>
      <c r="E70" s="60">
        <v>959197790</v>
      </c>
      <c r="F70" s="60">
        <v>959197790</v>
      </c>
      <c r="G70" s="60">
        <v>959197790</v>
      </c>
      <c r="H70" s="60">
        <v>959197790</v>
      </c>
      <c r="I70" s="60">
        <v>959197790</v>
      </c>
      <c r="J70" s="60">
        <v>959197790</v>
      </c>
      <c r="K70" s="60">
        <v>959197790</v>
      </c>
    </row>
    <row r="71" spans="1:14" ht="14.4" x14ac:dyDescent="0.3">
      <c r="A71" s="58" t="s">
        <v>290</v>
      </c>
      <c r="B71" s="60"/>
      <c r="C71" s="60"/>
      <c r="D71" s="60"/>
      <c r="E71" s="60"/>
      <c r="F71" s="60"/>
      <c r="G71" s="60"/>
      <c r="H71" s="60"/>
      <c r="I71" s="60"/>
      <c r="J71" s="60"/>
      <c r="K71" s="60"/>
    </row>
    <row r="72" spans="1:14" ht="14.4" x14ac:dyDescent="0.3">
      <c r="A72" s="58" t="s">
        <v>291</v>
      </c>
      <c r="B72" s="60">
        <v>1</v>
      </c>
      <c r="C72" s="60">
        <v>1</v>
      </c>
      <c r="D72" s="60">
        <v>1</v>
      </c>
      <c r="E72" s="60">
        <v>1</v>
      </c>
      <c r="F72" s="60">
        <v>1</v>
      </c>
      <c r="G72" s="60">
        <v>1</v>
      </c>
      <c r="H72" s="60">
        <v>1</v>
      </c>
      <c r="I72" s="60">
        <v>1</v>
      </c>
      <c r="J72" s="60">
        <v>1</v>
      </c>
      <c r="K72" s="60">
        <v>1</v>
      </c>
    </row>
    <row r="73" spans="1:14" x14ac:dyDescent="0.25">
      <c r="H73" s="12">
        <f>H62-G62+H45</f>
        <v>-38.360000000000014</v>
      </c>
      <c r="I73" s="12">
        <f t="shared" ref="I73:K73" si="3">I62-H62+I45</f>
        <v>552.26999999999964</v>
      </c>
      <c r="J73" s="12">
        <f t="shared" si="3"/>
        <v>1681.09</v>
      </c>
      <c r="K73" s="12">
        <f t="shared" si="3"/>
        <v>2386.5500000000006</v>
      </c>
    </row>
    <row r="75" spans="1:14" x14ac:dyDescent="0.25">
      <c r="A75" s="12" t="s">
        <v>131</v>
      </c>
      <c r="B75" s="12">
        <f>B65-SUM(B67:B69)</f>
        <v>714.68000000000029</v>
      </c>
      <c r="C75" s="12">
        <f t="shared" ref="C75:K75" si="4">C65-SUM(C67:C69)</f>
        <v>1317.17</v>
      </c>
      <c r="D75" s="12">
        <f t="shared" si="4"/>
        <v>1691.8400000000001</v>
      </c>
      <c r="E75" s="12">
        <f t="shared" si="4"/>
        <v>1471.9599999999991</v>
      </c>
      <c r="F75" s="12">
        <f t="shared" si="4"/>
        <v>1738.71</v>
      </c>
      <c r="G75" s="12">
        <f t="shared" si="4"/>
        <v>2565.5200000000004</v>
      </c>
      <c r="H75" s="12">
        <f t="shared" si="4"/>
        <v>2876.66</v>
      </c>
      <c r="I75" s="12">
        <f t="shared" si="4"/>
        <v>3036.17</v>
      </c>
      <c r="J75" s="12">
        <f t="shared" si="4"/>
        <v>3571.3900000000012</v>
      </c>
      <c r="K75" s="12">
        <f t="shared" si="4"/>
        <v>3341.01</v>
      </c>
    </row>
    <row r="77" spans="1:14" x14ac:dyDescent="0.25">
      <c r="A77" s="11" t="s">
        <v>42</v>
      </c>
      <c r="B77" s="12">
        <f>B61</f>
        <v>10559.03</v>
      </c>
      <c r="C77" s="12">
        <f t="shared" ref="C77:K77" si="5">C61</f>
        <v>12405.19</v>
      </c>
      <c r="D77" s="12">
        <f t="shared" si="5"/>
        <v>13763.48</v>
      </c>
      <c r="E77" s="12">
        <f t="shared" si="5"/>
        <v>16248.84</v>
      </c>
      <c r="F77" s="12">
        <f t="shared" si="5"/>
        <v>16137.97</v>
      </c>
      <c r="G77" s="12">
        <f t="shared" si="5"/>
        <v>20355.34</v>
      </c>
      <c r="H77" s="12">
        <f t="shared" si="5"/>
        <v>22958.43</v>
      </c>
      <c r="I77" s="12">
        <f t="shared" si="5"/>
        <v>25779.33</v>
      </c>
      <c r="J77" s="12">
        <f t="shared" si="5"/>
        <v>29900.77</v>
      </c>
      <c r="K77" s="12">
        <f t="shared" si="5"/>
        <v>30355.25</v>
      </c>
    </row>
    <row r="80" spans="1:14" ht="14.4" x14ac:dyDescent="0.3">
      <c r="A80" s="57" t="s">
        <v>43</v>
      </c>
      <c r="B80" s="60"/>
      <c r="C80" s="60"/>
      <c r="D80" s="60"/>
      <c r="E80" s="60"/>
      <c r="F80" s="60"/>
      <c r="G80" s="60"/>
      <c r="H80" s="60"/>
      <c r="I80" s="60"/>
      <c r="J80" s="60"/>
      <c r="K80" s="60"/>
    </row>
    <row r="81" spans="1:12" s="13" customFormat="1" ht="14.4" x14ac:dyDescent="0.3">
      <c r="A81" s="59" t="s">
        <v>31</v>
      </c>
      <c r="B81" s="61">
        <v>42460</v>
      </c>
      <c r="C81" s="61">
        <v>42825</v>
      </c>
      <c r="D81" s="61">
        <v>43190</v>
      </c>
      <c r="E81" s="61">
        <v>43555</v>
      </c>
      <c r="F81" s="61">
        <v>43921</v>
      </c>
      <c r="G81" s="61">
        <v>44286</v>
      </c>
      <c r="H81" s="61">
        <v>44651</v>
      </c>
      <c r="I81" s="61">
        <v>45016</v>
      </c>
      <c r="J81" s="61">
        <v>45382</v>
      </c>
      <c r="K81" s="61">
        <v>45747</v>
      </c>
      <c r="L81" s="56"/>
    </row>
    <row r="82" spans="1:12" s="11" customFormat="1" ht="14.4" x14ac:dyDescent="0.3">
      <c r="A82" s="58" t="s">
        <v>292</v>
      </c>
      <c r="B82" s="60">
        <v>2242.9499999999998</v>
      </c>
      <c r="C82" s="60">
        <v>1527.33</v>
      </c>
      <c r="D82" s="60">
        <v>2113.44</v>
      </c>
      <c r="E82" s="60">
        <v>2469.54</v>
      </c>
      <c r="F82" s="60">
        <v>3038.15</v>
      </c>
      <c r="G82" s="60">
        <v>3683.35</v>
      </c>
      <c r="H82" s="60">
        <v>986.49</v>
      </c>
      <c r="I82" s="60">
        <v>4193.43</v>
      </c>
      <c r="J82" s="60">
        <v>6103.6</v>
      </c>
      <c r="K82" s="60">
        <v>4423.96</v>
      </c>
    </row>
    <row r="83" spans="1:12" ht="14.4" x14ac:dyDescent="0.3">
      <c r="A83" s="58" t="s">
        <v>293</v>
      </c>
      <c r="B83" s="60">
        <v>-866.21</v>
      </c>
      <c r="C83" s="60">
        <v>-681.11</v>
      </c>
      <c r="D83" s="60">
        <v>-1556.14</v>
      </c>
      <c r="E83" s="60">
        <v>-917.79</v>
      </c>
      <c r="F83" s="60">
        <v>-517.91</v>
      </c>
      <c r="G83" s="60">
        <v>-540.54</v>
      </c>
      <c r="H83" s="60">
        <v>-316.75</v>
      </c>
      <c r="I83" s="60">
        <v>-1282.3399999999999</v>
      </c>
      <c r="J83" s="60">
        <v>-2548.48</v>
      </c>
      <c r="K83" s="60">
        <v>-940.91</v>
      </c>
    </row>
    <row r="84" spans="1:12" ht="14.4" x14ac:dyDescent="0.3">
      <c r="A84" s="58" t="s">
        <v>294</v>
      </c>
      <c r="B84" s="60">
        <v>-848.98</v>
      </c>
      <c r="C84" s="60">
        <v>-756.43</v>
      </c>
      <c r="D84" s="60">
        <v>-1379.14</v>
      </c>
      <c r="E84" s="60">
        <v>-1117.46</v>
      </c>
      <c r="F84" s="60">
        <v>-2871.46</v>
      </c>
      <c r="G84" s="60">
        <v>-650.4</v>
      </c>
      <c r="H84" s="60">
        <v>-1807.61</v>
      </c>
      <c r="I84" s="60">
        <v>-2140.0500000000002</v>
      </c>
      <c r="J84" s="60">
        <v>-2982.5</v>
      </c>
      <c r="K84" s="60">
        <v>-3752.58</v>
      </c>
    </row>
    <row r="85" spans="1:12" s="11" customFormat="1" ht="14.4" x14ac:dyDescent="0.3">
      <c r="A85" s="58" t="s">
        <v>295</v>
      </c>
      <c r="B85" s="60">
        <v>527.76</v>
      </c>
      <c r="C85" s="60">
        <v>89.79</v>
      </c>
      <c r="D85" s="60">
        <v>-821.84</v>
      </c>
      <c r="E85" s="60">
        <v>434.29</v>
      </c>
      <c r="F85" s="60">
        <v>-351.22</v>
      </c>
      <c r="G85" s="60">
        <v>2492.41</v>
      </c>
      <c r="H85" s="60">
        <v>-1137.8699999999999</v>
      </c>
      <c r="I85" s="60">
        <v>771.04</v>
      </c>
      <c r="J85" s="60">
        <v>572.62</v>
      </c>
      <c r="K85" s="60">
        <v>-269.52999999999997</v>
      </c>
    </row>
    <row r="86" spans="1:12" ht="14.4" x14ac:dyDescent="0.3">
      <c r="A86" s="58"/>
      <c r="B86" s="60"/>
      <c r="C86" s="60"/>
      <c r="D86" s="60"/>
      <c r="E86" s="60"/>
      <c r="F86" s="60"/>
      <c r="G86" s="60"/>
      <c r="H86" s="60"/>
      <c r="I86" s="60"/>
      <c r="J86" s="60"/>
      <c r="K86" s="60"/>
    </row>
    <row r="87" spans="1:12" ht="14.4" x14ac:dyDescent="0.3">
      <c r="A87" s="58"/>
      <c r="B87" s="60"/>
      <c r="C87" s="60"/>
      <c r="D87" s="60"/>
      <c r="E87" s="60"/>
      <c r="F87" s="60"/>
      <c r="G87" s="60"/>
      <c r="H87" s="60"/>
      <c r="I87" s="60"/>
      <c r="J87" s="60"/>
      <c r="K87" s="60"/>
    </row>
    <row r="88" spans="1:12" ht="14.4" x14ac:dyDescent="0.3">
      <c r="A88" s="58"/>
      <c r="B88" s="60"/>
      <c r="C88" s="60"/>
      <c r="D88" s="60"/>
      <c r="E88" s="60"/>
      <c r="F88" s="60"/>
      <c r="G88" s="60"/>
      <c r="H88" s="60"/>
      <c r="I88" s="60"/>
      <c r="J88" s="60"/>
      <c r="K88" s="60"/>
    </row>
    <row r="89" spans="1:12" ht="14.4" x14ac:dyDescent="0.3">
      <c r="A89" s="58"/>
      <c r="B89" s="60"/>
      <c r="C89" s="60"/>
      <c r="D89" s="60"/>
      <c r="E89" s="60"/>
      <c r="F89" s="60"/>
      <c r="G89" s="60"/>
      <c r="H89" s="60"/>
      <c r="I89" s="60"/>
      <c r="J89" s="60"/>
      <c r="K89" s="60"/>
    </row>
    <row r="90" spans="1:12" s="11" customFormat="1" ht="14.4" x14ac:dyDescent="0.3">
      <c r="A90" s="57" t="s">
        <v>296</v>
      </c>
      <c r="B90" s="60">
        <v>868.4</v>
      </c>
      <c r="C90" s="60">
        <v>1073.5</v>
      </c>
      <c r="D90" s="60">
        <v>1120.4000000000001</v>
      </c>
      <c r="E90" s="60">
        <v>1492.7</v>
      </c>
      <c r="F90" s="60">
        <v>1666.5</v>
      </c>
      <c r="G90" s="60">
        <v>2537.4</v>
      </c>
      <c r="H90" s="60">
        <v>3079.95</v>
      </c>
      <c r="I90" s="60">
        <v>2761.65</v>
      </c>
      <c r="J90" s="60">
        <v>2846.75</v>
      </c>
      <c r="K90" s="60">
        <v>2340.65</v>
      </c>
    </row>
    <row r="92" spans="1:12" s="11" customFormat="1" ht="14.4" x14ac:dyDescent="0.3">
      <c r="A92" s="57" t="s">
        <v>297</v>
      </c>
      <c r="B92" s="57"/>
      <c r="C92" s="57"/>
      <c r="D92" s="57"/>
      <c r="E92" s="57"/>
      <c r="F92" s="57"/>
      <c r="G92" s="57"/>
      <c r="H92" s="57"/>
      <c r="I92" s="57"/>
      <c r="J92" s="57"/>
      <c r="K92" s="57"/>
    </row>
    <row r="93" spans="1:12" ht="14.4" x14ac:dyDescent="0.3">
      <c r="A93" s="58" t="s">
        <v>298</v>
      </c>
      <c r="B93" s="58">
        <v>95.92</v>
      </c>
      <c r="C93" s="58">
        <v>95.92</v>
      </c>
      <c r="D93" s="58">
        <v>95.92</v>
      </c>
      <c r="E93" s="58">
        <v>95.92</v>
      </c>
      <c r="F93" s="58">
        <v>95.92</v>
      </c>
      <c r="G93" s="58">
        <v>95.92</v>
      </c>
      <c r="H93" s="58">
        <v>95.92</v>
      </c>
      <c r="I93" s="58">
        <v>95.92</v>
      </c>
      <c r="J93" s="58">
        <v>95.92</v>
      </c>
      <c r="K93" s="58">
        <v>95.92</v>
      </c>
    </row>
  </sheetData>
  <mergeCells count="2">
    <mergeCell ref="E1:K1"/>
    <mergeCell ref="E2:K2"/>
  </mergeCells>
  <conditionalFormatting sqref="E1:K1">
    <cfRule type="cellIs" dxfId="0" priority="1" operator="notEqual">
      <formula>""</formula>
    </cfRule>
  </conditionalFormatting>
  <hyperlinks>
    <hyperlink ref="E1:K1" r:id="rId1" display="https://www.screener.in/excel/" xr:uid="{DAADE0C8-0329-4960-9C34-FBF32B822322}"/>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2F0CC-640C-48B3-92EF-C7D69E9ADCF8}">
  <sheetPr>
    <tabColor rgb="FFE84726"/>
  </sheetPr>
  <dimension ref="B1:AD69"/>
  <sheetViews>
    <sheetView workbookViewId="0">
      <selection activeCell="B1" sqref="B1"/>
    </sheetView>
  </sheetViews>
  <sheetFormatPr defaultRowHeight="14.4" x14ac:dyDescent="0.3"/>
  <cols>
    <col min="2" max="2" width="25.77734375" bestFit="1" customWidth="1"/>
    <col min="16" max="16" width="25.77734375" bestFit="1" customWidth="1"/>
    <col min="17" max="17" width="25.88671875" bestFit="1" customWidth="1"/>
    <col min="18" max="28" width="10.33203125" bestFit="1" customWidth="1"/>
    <col min="29" max="29" width="7.109375" bestFit="1" customWidth="1"/>
  </cols>
  <sheetData>
    <row r="1" spans="2:30" x14ac:dyDescent="0.3">
      <c r="R1" t="s">
        <v>135</v>
      </c>
      <c r="S1" t="s">
        <v>136</v>
      </c>
    </row>
    <row r="2" spans="2:30" x14ac:dyDescent="0.3">
      <c r="C2" s="15">
        <v>41699</v>
      </c>
      <c r="D2" s="15">
        <v>42064</v>
      </c>
      <c r="E2" s="15">
        <v>42430</v>
      </c>
      <c r="F2" s="15">
        <v>42795</v>
      </c>
      <c r="G2" s="15">
        <v>43160</v>
      </c>
      <c r="H2" s="15">
        <v>43525</v>
      </c>
      <c r="I2" s="15">
        <v>43891</v>
      </c>
      <c r="J2" s="15">
        <v>44256</v>
      </c>
      <c r="K2" s="15">
        <v>44621</v>
      </c>
      <c r="L2" s="15">
        <v>44986</v>
      </c>
      <c r="M2" s="15">
        <v>45352</v>
      </c>
      <c r="N2" s="15">
        <v>45717</v>
      </c>
      <c r="R2" s="15"/>
      <c r="S2" s="15"/>
      <c r="T2" s="15"/>
      <c r="U2" s="15"/>
      <c r="V2" s="15"/>
      <c r="W2" s="15"/>
      <c r="X2" s="15"/>
      <c r="Y2" s="15"/>
      <c r="Z2" s="15"/>
      <c r="AA2" s="15"/>
      <c r="AB2" s="15"/>
      <c r="AC2" s="15"/>
    </row>
    <row r="3" spans="2:30" x14ac:dyDescent="0.3">
      <c r="B3" s="8" t="s">
        <v>89</v>
      </c>
      <c r="C3" s="64">
        <v>1402</v>
      </c>
      <c r="D3" s="64">
        <v>1188</v>
      </c>
      <c r="E3" s="64">
        <v>2243</v>
      </c>
      <c r="F3" s="64">
        <v>1527</v>
      </c>
      <c r="G3" s="64">
        <v>2113</v>
      </c>
      <c r="H3" s="64">
        <v>2470</v>
      </c>
      <c r="I3" s="64">
        <v>3038</v>
      </c>
      <c r="J3" s="64">
        <v>3683</v>
      </c>
      <c r="K3" s="64">
        <v>986</v>
      </c>
      <c r="L3" s="64">
        <v>4193</v>
      </c>
      <c r="M3" s="64">
        <v>6104</v>
      </c>
      <c r="N3" s="64">
        <v>4424</v>
      </c>
      <c r="O3" s="7"/>
      <c r="P3" s="7"/>
      <c r="Q3" s="7"/>
      <c r="R3" s="7"/>
      <c r="S3" s="7"/>
      <c r="T3" s="7"/>
      <c r="U3" s="7"/>
      <c r="V3" s="7"/>
      <c r="W3" s="7"/>
      <c r="X3" s="7"/>
      <c r="Y3" s="7"/>
      <c r="Z3" s="7"/>
      <c r="AA3" s="7"/>
      <c r="AB3" s="7"/>
      <c r="AC3" s="7"/>
    </row>
    <row r="4" spans="2:30" x14ac:dyDescent="0.3">
      <c r="B4" t="s">
        <v>3</v>
      </c>
      <c r="C4" s="7">
        <v>2051</v>
      </c>
      <c r="D4" s="7">
        <v>2271</v>
      </c>
      <c r="E4" s="7">
        <v>2848</v>
      </c>
      <c r="F4" s="7">
        <v>3056</v>
      </c>
      <c r="G4" s="7">
        <v>3274</v>
      </c>
      <c r="H4" s="7">
        <v>3861</v>
      </c>
      <c r="I4" s="7">
        <v>4380</v>
      </c>
      <c r="J4" s="7">
        <v>4970</v>
      </c>
      <c r="K4" s="7">
        <v>4957</v>
      </c>
      <c r="L4" s="7">
        <v>6460</v>
      </c>
      <c r="M4" s="7">
        <v>7929</v>
      </c>
      <c r="N4" s="7">
        <v>6390</v>
      </c>
      <c r="P4" s="7"/>
      <c r="Q4" s="7"/>
      <c r="R4" s="7"/>
      <c r="S4" s="7"/>
      <c r="T4" s="7"/>
      <c r="U4" s="7"/>
      <c r="V4" s="7"/>
      <c r="W4" s="7"/>
      <c r="X4" s="7"/>
      <c r="Y4" s="7"/>
      <c r="Z4" s="7"/>
      <c r="AA4" s="7"/>
      <c r="AB4" s="7"/>
      <c r="AC4" s="7"/>
      <c r="AD4" s="7"/>
    </row>
    <row r="5" spans="2:30" x14ac:dyDescent="0.3">
      <c r="B5" t="s">
        <v>4</v>
      </c>
      <c r="C5">
        <v>-254</v>
      </c>
      <c r="D5" s="7">
        <v>-155</v>
      </c>
      <c r="E5" s="7">
        <v>-146</v>
      </c>
      <c r="F5">
        <v>-475</v>
      </c>
      <c r="G5">
        <v>-483</v>
      </c>
      <c r="H5">
        <v>-205</v>
      </c>
      <c r="I5">
        <v>160</v>
      </c>
      <c r="J5">
        <v>-849</v>
      </c>
      <c r="K5" s="7">
        <v>-1326</v>
      </c>
      <c r="L5">
        <v>-834</v>
      </c>
      <c r="M5">
        <v>-362</v>
      </c>
      <c r="N5" s="7">
        <v>282</v>
      </c>
      <c r="V5" s="7"/>
      <c r="X5" s="7"/>
      <c r="AB5" s="7"/>
      <c r="AC5" s="7"/>
      <c r="AD5" s="7"/>
    </row>
    <row r="6" spans="2:30" x14ac:dyDescent="0.3">
      <c r="B6" t="s">
        <v>5</v>
      </c>
      <c r="C6">
        <v>-231</v>
      </c>
      <c r="D6">
        <v>-144</v>
      </c>
      <c r="E6">
        <v>202</v>
      </c>
      <c r="F6">
        <v>-629</v>
      </c>
      <c r="G6">
        <v>-39</v>
      </c>
      <c r="H6">
        <v>-492</v>
      </c>
      <c r="I6">
        <v>-251</v>
      </c>
      <c r="J6" s="7">
        <v>-409</v>
      </c>
      <c r="K6">
        <v>-2354</v>
      </c>
      <c r="L6" s="7">
        <v>-56</v>
      </c>
      <c r="M6">
        <v>315</v>
      </c>
      <c r="N6">
        <v>-805</v>
      </c>
      <c r="X6" s="7"/>
    </row>
    <row r="7" spans="2:30" x14ac:dyDescent="0.3">
      <c r="B7" t="s">
        <v>6</v>
      </c>
      <c r="C7">
        <v>317</v>
      </c>
      <c r="D7">
        <v>-151</v>
      </c>
      <c r="E7">
        <v>142</v>
      </c>
      <c r="F7">
        <v>501</v>
      </c>
      <c r="G7">
        <v>442</v>
      </c>
      <c r="H7">
        <v>287</v>
      </c>
      <c r="I7">
        <v>-241</v>
      </c>
      <c r="J7">
        <v>1143</v>
      </c>
      <c r="K7">
        <v>644</v>
      </c>
      <c r="L7" s="7">
        <v>-539</v>
      </c>
      <c r="M7">
        <v>269</v>
      </c>
      <c r="N7">
        <v>-160</v>
      </c>
      <c r="W7" s="7"/>
    </row>
    <row r="8" spans="2:30" x14ac:dyDescent="0.3">
      <c r="B8" t="s">
        <v>7</v>
      </c>
      <c r="C8">
        <v>0</v>
      </c>
      <c r="D8">
        <v>0</v>
      </c>
      <c r="E8" s="7">
        <v>0</v>
      </c>
      <c r="F8">
        <v>0</v>
      </c>
      <c r="G8">
        <v>0</v>
      </c>
      <c r="H8">
        <v>0</v>
      </c>
      <c r="I8" s="7">
        <v>0</v>
      </c>
      <c r="J8" s="7">
        <v>-92</v>
      </c>
      <c r="K8" s="7">
        <v>242</v>
      </c>
      <c r="L8" s="7">
        <v>657</v>
      </c>
      <c r="M8">
        <v>-212</v>
      </c>
      <c r="N8">
        <v>114</v>
      </c>
      <c r="T8" s="7"/>
      <c r="V8" s="7"/>
      <c r="W8" s="7"/>
      <c r="X8" s="7"/>
      <c r="Y8" s="7"/>
    </row>
    <row r="9" spans="2:30" x14ac:dyDescent="0.3">
      <c r="B9" t="s">
        <v>8</v>
      </c>
      <c r="C9">
        <v>-168</v>
      </c>
      <c r="D9">
        <v>-450</v>
      </c>
      <c r="E9">
        <v>198</v>
      </c>
      <c r="F9">
        <v>-603</v>
      </c>
      <c r="G9">
        <v>-80</v>
      </c>
      <c r="H9" s="7">
        <v>-410</v>
      </c>
      <c r="I9">
        <v>-331</v>
      </c>
      <c r="J9" s="7">
        <v>-206</v>
      </c>
      <c r="K9" s="7">
        <v>-2795</v>
      </c>
      <c r="L9" s="7">
        <v>-772</v>
      </c>
      <c r="M9" s="7">
        <v>10</v>
      </c>
      <c r="N9">
        <v>-570</v>
      </c>
      <c r="P9" s="7"/>
      <c r="Q9" s="7"/>
      <c r="R9" s="7"/>
      <c r="T9" s="7"/>
      <c r="U9" s="7"/>
      <c r="V9" s="7"/>
      <c r="W9" s="7"/>
      <c r="X9" s="7"/>
      <c r="Y9" s="7"/>
      <c r="Z9" s="7"/>
      <c r="AA9" s="7"/>
      <c r="AB9" s="7"/>
    </row>
    <row r="10" spans="2:30" x14ac:dyDescent="0.3">
      <c r="B10" t="s">
        <v>9</v>
      </c>
      <c r="C10">
        <v>-480</v>
      </c>
      <c r="D10" s="7">
        <v>-633</v>
      </c>
      <c r="E10" s="7">
        <v>-802</v>
      </c>
      <c r="F10" s="7">
        <v>-925</v>
      </c>
      <c r="G10">
        <v>-1081</v>
      </c>
      <c r="H10">
        <v>-982</v>
      </c>
      <c r="I10" s="7">
        <v>-1011</v>
      </c>
      <c r="J10" s="7">
        <v>-1080</v>
      </c>
      <c r="K10">
        <v>-1176</v>
      </c>
      <c r="L10" s="7">
        <v>-1494</v>
      </c>
      <c r="M10" s="7">
        <v>-1835</v>
      </c>
      <c r="N10">
        <v>-1396</v>
      </c>
      <c r="T10" s="7"/>
      <c r="Y10" s="7"/>
      <c r="Z10" s="7"/>
      <c r="AB10" s="7"/>
      <c r="AC10" s="7"/>
      <c r="AD10" s="7"/>
    </row>
    <row r="11" spans="2:30" x14ac:dyDescent="0.3">
      <c r="B11" s="8" t="s">
        <v>90</v>
      </c>
      <c r="C11" s="64">
        <v>-586</v>
      </c>
      <c r="D11" s="64">
        <v>-465</v>
      </c>
      <c r="E11" s="64">
        <v>-866</v>
      </c>
      <c r="F11" s="64">
        <v>-681</v>
      </c>
      <c r="G11" s="64">
        <v>-1556</v>
      </c>
      <c r="H11" s="8">
        <v>-918</v>
      </c>
      <c r="I11" s="64">
        <v>-518</v>
      </c>
      <c r="J11" s="8">
        <v>-541</v>
      </c>
      <c r="K11" s="64">
        <v>-317</v>
      </c>
      <c r="L11" s="64">
        <v>-1282</v>
      </c>
      <c r="M11" s="8">
        <v>-2548</v>
      </c>
      <c r="N11" s="64">
        <v>-941</v>
      </c>
      <c r="T11" s="7"/>
      <c r="U11" s="7"/>
      <c r="Y11" s="7"/>
      <c r="Z11" s="7"/>
      <c r="AA11" s="7"/>
      <c r="AC11" s="7"/>
    </row>
    <row r="12" spans="2:30" x14ac:dyDescent="0.3">
      <c r="B12" t="s">
        <v>10</v>
      </c>
      <c r="C12">
        <v>-251</v>
      </c>
      <c r="D12" s="7">
        <v>-454</v>
      </c>
      <c r="E12" s="7">
        <v>-817</v>
      </c>
      <c r="F12" s="7">
        <v>-684</v>
      </c>
      <c r="G12" s="7">
        <v>-1426</v>
      </c>
      <c r="H12" s="7">
        <v>-1151</v>
      </c>
      <c r="I12" s="7">
        <v>-414</v>
      </c>
      <c r="J12" s="7">
        <v>-289</v>
      </c>
      <c r="K12" s="7">
        <v>-551</v>
      </c>
      <c r="L12" s="7">
        <v>-1446</v>
      </c>
      <c r="M12" s="7">
        <v>-2496</v>
      </c>
      <c r="N12" s="7">
        <v>-1830</v>
      </c>
      <c r="AB12" s="7"/>
      <c r="AC12" s="7"/>
    </row>
    <row r="13" spans="2:30" x14ac:dyDescent="0.3">
      <c r="B13" t="s">
        <v>11</v>
      </c>
      <c r="C13">
        <v>16</v>
      </c>
      <c r="D13">
        <v>16</v>
      </c>
      <c r="E13">
        <v>15</v>
      </c>
      <c r="F13">
        <v>17</v>
      </c>
      <c r="G13">
        <v>17</v>
      </c>
      <c r="H13">
        <v>17</v>
      </c>
      <c r="I13">
        <v>37</v>
      </c>
      <c r="J13">
        <v>28</v>
      </c>
      <c r="K13">
        <v>40</v>
      </c>
      <c r="L13">
        <v>26</v>
      </c>
      <c r="M13">
        <v>5</v>
      </c>
      <c r="N13">
        <v>10</v>
      </c>
    </row>
    <row r="14" spans="2:30" x14ac:dyDescent="0.3">
      <c r="B14" t="s">
        <v>12</v>
      </c>
      <c r="C14" s="7">
        <v>-872</v>
      </c>
      <c r="D14" s="7">
        <v>-243</v>
      </c>
      <c r="E14" s="7">
        <v>-282</v>
      </c>
      <c r="F14" s="7">
        <v>-153</v>
      </c>
      <c r="G14" s="7">
        <v>-320</v>
      </c>
      <c r="H14" s="7">
        <v>-573</v>
      </c>
      <c r="I14" s="7">
        <v>-25</v>
      </c>
      <c r="J14" s="7">
        <v>-140</v>
      </c>
      <c r="K14" s="7">
        <v>0</v>
      </c>
      <c r="L14" s="7">
        <v>-146</v>
      </c>
      <c r="M14" s="7">
        <v>-212</v>
      </c>
      <c r="N14" s="7">
        <v>-1</v>
      </c>
      <c r="AB14" s="7"/>
      <c r="AC14" s="7"/>
    </row>
    <row r="15" spans="2:30" x14ac:dyDescent="0.3">
      <c r="B15" t="s">
        <v>13</v>
      </c>
      <c r="C15" s="7">
        <v>463</v>
      </c>
      <c r="D15" s="7">
        <v>278</v>
      </c>
      <c r="E15" s="7">
        <v>205</v>
      </c>
      <c r="F15" s="7">
        <v>357</v>
      </c>
      <c r="G15" s="7">
        <v>362</v>
      </c>
      <c r="H15" s="7">
        <v>733</v>
      </c>
      <c r="I15" s="7">
        <v>118</v>
      </c>
      <c r="J15" s="7">
        <v>272</v>
      </c>
      <c r="K15" s="7">
        <v>207</v>
      </c>
      <c r="L15" s="7">
        <v>446</v>
      </c>
      <c r="M15" s="7">
        <v>240</v>
      </c>
      <c r="N15" s="7">
        <v>421</v>
      </c>
      <c r="AB15" s="7"/>
      <c r="AC15" s="7"/>
    </row>
    <row r="16" spans="2:30" x14ac:dyDescent="0.3">
      <c r="B16" t="s">
        <v>14</v>
      </c>
      <c r="C16">
        <v>14</v>
      </c>
      <c r="D16">
        <v>11</v>
      </c>
      <c r="E16">
        <v>15</v>
      </c>
      <c r="F16">
        <v>32</v>
      </c>
      <c r="G16">
        <v>39</v>
      </c>
      <c r="H16">
        <v>40</v>
      </c>
      <c r="I16">
        <v>65</v>
      </c>
      <c r="J16">
        <v>73</v>
      </c>
      <c r="K16">
        <v>77</v>
      </c>
      <c r="L16">
        <v>87</v>
      </c>
      <c r="M16">
        <v>135</v>
      </c>
      <c r="N16">
        <v>155</v>
      </c>
    </row>
    <row r="17" spans="2:29" x14ac:dyDescent="0.3">
      <c r="B17" t="s">
        <v>15</v>
      </c>
      <c r="C17">
        <v>65</v>
      </c>
      <c r="D17">
        <v>71</v>
      </c>
      <c r="E17">
        <v>69</v>
      </c>
      <c r="F17">
        <v>74</v>
      </c>
      <c r="G17">
        <v>38</v>
      </c>
      <c r="H17">
        <v>40</v>
      </c>
      <c r="I17">
        <v>27</v>
      </c>
      <c r="J17">
        <v>8</v>
      </c>
      <c r="K17">
        <v>15</v>
      </c>
      <c r="L17">
        <v>56</v>
      </c>
      <c r="M17">
        <v>129</v>
      </c>
      <c r="N17">
        <v>136</v>
      </c>
    </row>
    <row r="18" spans="2:29" x14ac:dyDescent="0.3">
      <c r="B18" t="s">
        <v>83</v>
      </c>
      <c r="C18">
        <v>0</v>
      </c>
      <c r="D18">
        <v>0</v>
      </c>
      <c r="E18">
        <v>0</v>
      </c>
      <c r="F18">
        <v>0</v>
      </c>
      <c r="G18">
        <v>0</v>
      </c>
      <c r="H18">
        <v>0</v>
      </c>
      <c r="I18">
        <v>0</v>
      </c>
      <c r="J18">
        <v>0</v>
      </c>
      <c r="K18">
        <v>0</v>
      </c>
      <c r="L18">
        <v>-180</v>
      </c>
      <c r="M18">
        <v>0</v>
      </c>
      <c r="N18">
        <v>0</v>
      </c>
    </row>
    <row r="19" spans="2:29" x14ac:dyDescent="0.3">
      <c r="B19" t="s">
        <v>16</v>
      </c>
      <c r="C19">
        <v>0</v>
      </c>
      <c r="D19">
        <v>0</v>
      </c>
      <c r="E19">
        <v>0</v>
      </c>
      <c r="F19">
        <v>0</v>
      </c>
      <c r="G19">
        <v>141</v>
      </c>
      <c r="H19">
        <v>0</v>
      </c>
      <c r="I19">
        <v>17</v>
      </c>
      <c r="J19">
        <v>0</v>
      </c>
      <c r="K19">
        <v>0</v>
      </c>
      <c r="L19">
        <v>0</v>
      </c>
      <c r="M19">
        <v>0</v>
      </c>
      <c r="N19">
        <v>38</v>
      </c>
    </row>
    <row r="20" spans="2:29" x14ac:dyDescent="0.3">
      <c r="B20" t="s">
        <v>17</v>
      </c>
      <c r="C20">
        <v>0</v>
      </c>
      <c r="D20">
        <v>0</v>
      </c>
      <c r="E20" s="7">
        <v>0</v>
      </c>
      <c r="F20">
        <v>0</v>
      </c>
      <c r="G20">
        <v>-525</v>
      </c>
      <c r="H20">
        <v>0</v>
      </c>
      <c r="I20">
        <v>0</v>
      </c>
      <c r="J20">
        <v>0</v>
      </c>
      <c r="K20">
        <v>0</v>
      </c>
      <c r="L20" s="7">
        <v>0</v>
      </c>
      <c r="M20">
        <v>0</v>
      </c>
      <c r="N20">
        <v>0</v>
      </c>
    </row>
    <row r="21" spans="2:29" x14ac:dyDescent="0.3">
      <c r="B21" t="s">
        <v>18</v>
      </c>
      <c r="C21" s="7">
        <v>-21</v>
      </c>
      <c r="D21">
        <v>-144</v>
      </c>
      <c r="E21" s="7">
        <v>-70</v>
      </c>
      <c r="F21" s="7">
        <v>-324</v>
      </c>
      <c r="G21" s="7">
        <v>118</v>
      </c>
      <c r="H21" s="7">
        <v>-24</v>
      </c>
      <c r="I21">
        <v>-343</v>
      </c>
      <c r="J21">
        <v>-493</v>
      </c>
      <c r="K21">
        <v>-105</v>
      </c>
      <c r="L21">
        <v>-126</v>
      </c>
      <c r="M21">
        <v>-350</v>
      </c>
      <c r="N21">
        <v>130</v>
      </c>
      <c r="T21" s="7"/>
      <c r="U21" s="7"/>
      <c r="V21" s="7"/>
      <c r="X21" s="7"/>
      <c r="Y21" s="7"/>
      <c r="Z21" s="7"/>
      <c r="AA21" s="7"/>
    </row>
    <row r="22" spans="2:29" x14ac:dyDescent="0.3">
      <c r="B22" s="8" t="s">
        <v>91</v>
      </c>
      <c r="C22" s="8">
        <v>-626</v>
      </c>
      <c r="D22" s="64">
        <v>-576</v>
      </c>
      <c r="E22" s="64">
        <v>-849</v>
      </c>
      <c r="F22" s="64">
        <v>-756</v>
      </c>
      <c r="G22" s="64">
        <v>-1379</v>
      </c>
      <c r="H22" s="64">
        <v>-1117</v>
      </c>
      <c r="I22" s="64">
        <v>-2871</v>
      </c>
      <c r="J22" s="64">
        <v>-650</v>
      </c>
      <c r="K22" s="64">
        <v>-1808</v>
      </c>
      <c r="L22" s="64">
        <v>-2140</v>
      </c>
      <c r="M22" s="64">
        <v>-2982</v>
      </c>
      <c r="N22" s="64">
        <v>-3753</v>
      </c>
      <c r="AB22" s="7"/>
      <c r="AC22" s="7"/>
    </row>
    <row r="23" spans="2:29" x14ac:dyDescent="0.3">
      <c r="B23" t="s">
        <v>86</v>
      </c>
      <c r="C23">
        <v>0</v>
      </c>
      <c r="D23">
        <v>0</v>
      </c>
      <c r="E23">
        <v>0</v>
      </c>
      <c r="F23">
        <v>0</v>
      </c>
      <c r="G23">
        <v>0</v>
      </c>
      <c r="H23">
        <v>0</v>
      </c>
      <c r="I23">
        <v>0</v>
      </c>
      <c r="J23">
        <v>0</v>
      </c>
      <c r="K23">
        <v>0</v>
      </c>
      <c r="L23">
        <v>0</v>
      </c>
      <c r="M23">
        <v>1</v>
      </c>
      <c r="N23">
        <v>0</v>
      </c>
    </row>
    <row r="24" spans="2:29" x14ac:dyDescent="0.3">
      <c r="B24" t="s">
        <v>19</v>
      </c>
      <c r="C24">
        <v>44</v>
      </c>
      <c r="D24" s="7">
        <v>239</v>
      </c>
      <c r="E24">
        <v>8</v>
      </c>
      <c r="F24">
        <v>271</v>
      </c>
      <c r="G24">
        <v>10</v>
      </c>
      <c r="H24" s="7">
        <v>243</v>
      </c>
      <c r="I24" s="7">
        <v>18</v>
      </c>
      <c r="J24" s="7">
        <v>155</v>
      </c>
      <c r="K24" s="7">
        <v>418</v>
      </c>
      <c r="L24" s="7">
        <v>254</v>
      </c>
      <c r="M24" s="7">
        <v>101</v>
      </c>
      <c r="N24" s="7">
        <v>415</v>
      </c>
      <c r="AB24" s="7"/>
      <c r="AC24" s="7"/>
    </row>
    <row r="25" spans="2:29" x14ac:dyDescent="0.3">
      <c r="B25" t="s">
        <v>20</v>
      </c>
      <c r="C25">
        <v>-81</v>
      </c>
      <c r="D25">
        <v>-86</v>
      </c>
      <c r="E25">
        <v>-119</v>
      </c>
      <c r="F25">
        <v>-58</v>
      </c>
      <c r="G25">
        <v>-54</v>
      </c>
      <c r="H25" s="7">
        <v>-26</v>
      </c>
      <c r="I25" s="7">
        <v>-482</v>
      </c>
      <c r="J25" s="7">
        <v>-14</v>
      </c>
      <c r="K25" s="7">
        <v>-8</v>
      </c>
      <c r="L25" s="7">
        <v>-25</v>
      </c>
      <c r="M25" s="7">
        <v>-98</v>
      </c>
      <c r="N25" s="7">
        <v>-428</v>
      </c>
      <c r="AB25" s="7"/>
      <c r="AC25" s="7"/>
    </row>
    <row r="26" spans="2:29" x14ac:dyDescent="0.3">
      <c r="B26" t="s">
        <v>21</v>
      </c>
      <c r="C26">
        <v>-42</v>
      </c>
      <c r="D26">
        <v>-35</v>
      </c>
      <c r="E26">
        <v>-40</v>
      </c>
      <c r="F26">
        <v>-36</v>
      </c>
      <c r="G26">
        <v>-35</v>
      </c>
      <c r="H26">
        <v>-106</v>
      </c>
      <c r="I26">
        <v>-101</v>
      </c>
      <c r="J26">
        <v>-89</v>
      </c>
      <c r="K26">
        <v>-94</v>
      </c>
      <c r="L26">
        <v>-142</v>
      </c>
      <c r="M26">
        <v>-191</v>
      </c>
      <c r="N26">
        <v>-203</v>
      </c>
      <c r="T26" s="7"/>
      <c r="U26" s="7"/>
      <c r="V26" s="7"/>
      <c r="X26" s="7"/>
      <c r="Y26" s="7"/>
      <c r="Z26" s="7"/>
      <c r="AA26" s="7"/>
    </row>
    <row r="27" spans="2:29" x14ac:dyDescent="0.3">
      <c r="B27" t="s">
        <v>22</v>
      </c>
      <c r="C27">
        <v>-547</v>
      </c>
      <c r="D27">
        <v>-695</v>
      </c>
      <c r="E27">
        <v>-764</v>
      </c>
      <c r="F27">
        <v>-947</v>
      </c>
      <c r="G27">
        <v>-1218</v>
      </c>
      <c r="H27" s="7">
        <v>-1049</v>
      </c>
      <c r="I27" s="7">
        <v>-2121</v>
      </c>
      <c r="J27" s="7">
        <v>-499</v>
      </c>
      <c r="K27" s="7">
        <v>-1763</v>
      </c>
      <c r="L27" s="7">
        <v>-1936</v>
      </c>
      <c r="M27" s="7">
        <v>-2551</v>
      </c>
      <c r="N27" s="7">
        <v>-3140</v>
      </c>
      <c r="AB27" s="7"/>
      <c r="AC27" s="7"/>
    </row>
    <row r="28" spans="2:29" x14ac:dyDescent="0.3">
      <c r="B28" t="s">
        <v>23</v>
      </c>
      <c r="C28">
        <v>0</v>
      </c>
      <c r="D28">
        <v>0</v>
      </c>
      <c r="E28">
        <v>0</v>
      </c>
      <c r="F28">
        <v>0</v>
      </c>
      <c r="G28">
        <v>0</v>
      </c>
      <c r="H28">
        <v>-180</v>
      </c>
      <c r="I28">
        <v>-179</v>
      </c>
      <c r="J28">
        <v>-203</v>
      </c>
      <c r="K28">
        <v>-221</v>
      </c>
      <c r="L28">
        <v>-256</v>
      </c>
      <c r="M28">
        <v>-286</v>
      </c>
      <c r="N28">
        <v>-325</v>
      </c>
    </row>
    <row r="29" spans="2:29" x14ac:dyDescent="0.3">
      <c r="B29" t="s">
        <v>24</v>
      </c>
      <c r="C29" s="7">
        <v>0</v>
      </c>
      <c r="D29" s="7">
        <v>0</v>
      </c>
      <c r="E29">
        <v>66</v>
      </c>
      <c r="F29" s="7">
        <v>13</v>
      </c>
      <c r="G29">
        <v>-82</v>
      </c>
      <c r="H29" s="7">
        <v>0</v>
      </c>
      <c r="I29">
        <v>-6</v>
      </c>
      <c r="J29">
        <v>0</v>
      </c>
      <c r="K29">
        <v>-140</v>
      </c>
      <c r="L29">
        <v>-36</v>
      </c>
      <c r="M29">
        <v>41</v>
      </c>
      <c r="N29" s="7">
        <v>-72</v>
      </c>
      <c r="W29" s="7"/>
      <c r="X29" s="7"/>
      <c r="AC29" s="7"/>
    </row>
    <row r="30" spans="2:29" x14ac:dyDescent="0.3">
      <c r="B30" t="s">
        <v>25</v>
      </c>
      <c r="C30" s="7">
        <v>190</v>
      </c>
      <c r="D30" s="7">
        <v>147</v>
      </c>
      <c r="E30">
        <v>528</v>
      </c>
      <c r="F30">
        <v>90</v>
      </c>
      <c r="G30">
        <v>-822</v>
      </c>
      <c r="H30">
        <v>434</v>
      </c>
      <c r="I30" s="7">
        <v>-351</v>
      </c>
      <c r="J30">
        <v>2492</v>
      </c>
      <c r="K30" s="7">
        <v>-1138</v>
      </c>
      <c r="L30">
        <v>771</v>
      </c>
      <c r="M30" s="7">
        <v>573</v>
      </c>
      <c r="N30">
        <v>-270</v>
      </c>
      <c r="P30" s="7"/>
      <c r="R30" s="7"/>
      <c r="U30" s="7"/>
      <c r="V30" s="7"/>
      <c r="W30" s="7"/>
      <c r="Y30" s="7"/>
      <c r="Z30" s="7"/>
      <c r="AA30" s="7"/>
      <c r="AB30" s="7"/>
    </row>
    <row r="31" spans="2:29" x14ac:dyDescent="0.3">
      <c r="B31" t="s">
        <v>133</v>
      </c>
      <c r="C31" s="7">
        <v>1167</v>
      </c>
      <c r="D31" s="7">
        <v>750</v>
      </c>
      <c r="E31" s="7">
        <v>1441</v>
      </c>
      <c r="F31" s="7">
        <v>860</v>
      </c>
      <c r="G31" s="7">
        <v>705</v>
      </c>
      <c r="H31">
        <v>1336</v>
      </c>
      <c r="I31" s="7">
        <v>2661</v>
      </c>
      <c r="J31" s="7">
        <v>3422</v>
      </c>
      <c r="K31" s="7">
        <v>475</v>
      </c>
      <c r="L31" s="7">
        <v>2774</v>
      </c>
      <c r="M31" s="7">
        <v>3613</v>
      </c>
      <c r="N31" s="7">
        <v>2604</v>
      </c>
      <c r="P31" s="6"/>
      <c r="Q31" s="6"/>
      <c r="R31" s="6"/>
      <c r="S31" s="6"/>
      <c r="T31" s="6"/>
      <c r="U31" s="6"/>
      <c r="V31" s="6"/>
      <c r="W31" s="6"/>
      <c r="X31" s="6"/>
      <c r="Y31" s="6"/>
      <c r="Z31" s="6"/>
      <c r="AA31" s="6"/>
      <c r="AB31" s="7"/>
      <c r="AC31" s="7"/>
    </row>
    <row r="32" spans="2:29" x14ac:dyDescent="0.3">
      <c r="B32" t="s">
        <v>134</v>
      </c>
      <c r="C32" s="6">
        <v>0.94</v>
      </c>
      <c r="D32" s="6">
        <v>0.81</v>
      </c>
      <c r="E32" s="6">
        <v>1.1200000000000001</v>
      </c>
      <c r="F32" s="6">
        <v>0.82</v>
      </c>
      <c r="G32" s="6">
        <v>1</v>
      </c>
      <c r="H32" s="6">
        <v>0.92</v>
      </c>
      <c r="I32" s="6">
        <v>0.97</v>
      </c>
      <c r="J32" s="6">
        <v>0.98</v>
      </c>
      <c r="K32" s="6">
        <v>0.45</v>
      </c>
      <c r="L32" s="6">
        <v>0.91</v>
      </c>
      <c r="M32" s="6">
        <v>1.05</v>
      </c>
      <c r="N32" s="6">
        <v>0.97</v>
      </c>
      <c r="R32" s="6"/>
      <c r="S32" s="6"/>
      <c r="T32" s="6"/>
      <c r="U32" s="6"/>
      <c r="V32" s="6"/>
      <c r="W32" s="6"/>
      <c r="X32" s="6"/>
      <c r="Y32" s="6"/>
      <c r="Z32" s="6"/>
      <c r="AA32" s="6"/>
      <c r="AB32" s="6"/>
      <c r="AC32" s="6"/>
    </row>
    <row r="39" spans="16:28" x14ac:dyDescent="0.3">
      <c r="Q39" s="167"/>
      <c r="R39" s="167"/>
      <c r="S39" s="167"/>
      <c r="T39" s="167"/>
      <c r="U39" s="167"/>
      <c r="V39" s="167"/>
      <c r="W39" s="167"/>
      <c r="X39" s="167"/>
      <c r="Y39" s="167"/>
      <c r="Z39" s="167"/>
      <c r="AA39" s="167"/>
      <c r="AB39" s="167"/>
    </row>
    <row r="40" spans="16:28" x14ac:dyDescent="0.3">
      <c r="P40" s="7"/>
      <c r="Q40" s="7"/>
      <c r="R40" s="7"/>
      <c r="S40" s="7"/>
      <c r="T40" s="7"/>
      <c r="U40" s="7"/>
      <c r="V40" s="7"/>
      <c r="W40" s="7"/>
      <c r="X40" s="7"/>
      <c r="Y40" s="7"/>
      <c r="Z40" s="7"/>
      <c r="AA40" s="7"/>
      <c r="AB40" s="7"/>
    </row>
    <row r="41" spans="16:28" x14ac:dyDescent="0.3">
      <c r="Q41" s="7"/>
      <c r="R41" s="7"/>
      <c r="S41" s="7"/>
      <c r="T41" s="7"/>
      <c r="U41" s="7"/>
      <c r="V41" s="7"/>
      <c r="W41" s="7"/>
      <c r="X41" s="7"/>
      <c r="Y41" s="7"/>
      <c r="Z41" s="7"/>
      <c r="AA41" s="7"/>
      <c r="AB41" s="7"/>
    </row>
    <row r="42" spans="16:28" x14ac:dyDescent="0.3">
      <c r="W42" s="7"/>
      <c r="Y42" s="7"/>
    </row>
    <row r="43" spans="16:28" x14ac:dyDescent="0.3">
      <c r="Y43" s="7"/>
    </row>
    <row r="44" spans="16:28" x14ac:dyDescent="0.3">
      <c r="X44" s="7"/>
    </row>
    <row r="45" spans="16:28" x14ac:dyDescent="0.3">
      <c r="R45" s="7"/>
      <c r="V45" s="7"/>
      <c r="W45" s="7"/>
      <c r="X45" s="7"/>
      <c r="Y45" s="7"/>
    </row>
    <row r="46" spans="16:28" x14ac:dyDescent="0.3">
      <c r="U46" s="7"/>
      <c r="W46" s="7"/>
      <c r="X46" s="7"/>
      <c r="Y46" s="7"/>
      <c r="Z46" s="7"/>
    </row>
    <row r="47" spans="16:28" x14ac:dyDescent="0.3">
      <c r="Q47" s="7"/>
      <c r="R47" s="7"/>
      <c r="S47" s="7"/>
      <c r="U47" s="7"/>
      <c r="V47" s="7"/>
      <c r="W47" s="7"/>
      <c r="X47" s="7"/>
      <c r="Y47" s="7"/>
      <c r="Z47" s="7"/>
      <c r="AA47" s="7"/>
      <c r="AB47" s="7"/>
    </row>
    <row r="48" spans="16:28" x14ac:dyDescent="0.3">
      <c r="U48" s="7"/>
      <c r="Z48" s="7"/>
      <c r="AA48" s="7"/>
    </row>
    <row r="49" spans="8:28" x14ac:dyDescent="0.3">
      <c r="U49" s="7"/>
      <c r="V49" s="7"/>
      <c r="Z49" s="7"/>
      <c r="AA49" s="7"/>
      <c r="AB49" s="7"/>
    </row>
    <row r="59" spans="8:28" x14ac:dyDescent="0.3">
      <c r="U59" s="7"/>
      <c r="V59" s="7"/>
      <c r="W59" s="7"/>
      <c r="Y59" s="7"/>
      <c r="Z59" s="7"/>
      <c r="AA59" s="7"/>
      <c r="AB59" s="7"/>
    </row>
    <row r="64" spans="8:28" x14ac:dyDescent="0.3">
      <c r="H64" s="7"/>
      <c r="I64" s="7"/>
      <c r="J64" s="7"/>
      <c r="K64" s="7"/>
      <c r="L64" s="7"/>
      <c r="M64" s="7"/>
      <c r="N64" s="7"/>
      <c r="U64" s="7"/>
      <c r="V64" s="7"/>
      <c r="W64" s="7"/>
      <c r="Y64" s="7"/>
      <c r="Z64" s="7"/>
      <c r="AA64" s="7"/>
      <c r="AB64" s="7"/>
    </row>
    <row r="66" spans="3:28" x14ac:dyDescent="0.3">
      <c r="C66" s="7"/>
      <c r="D66" s="7"/>
      <c r="F66" s="7"/>
      <c r="H66" s="7"/>
      <c r="N66" s="7"/>
    </row>
    <row r="67" spans="3:28" x14ac:dyDescent="0.3">
      <c r="C67" s="7"/>
      <c r="D67" s="7"/>
      <c r="I67" s="7"/>
      <c r="K67" s="7"/>
      <c r="M67" s="7"/>
      <c r="X67" s="7"/>
      <c r="Y67" s="7"/>
    </row>
    <row r="68" spans="3:28" x14ac:dyDescent="0.3">
      <c r="C68" s="7"/>
      <c r="D68" s="7"/>
      <c r="E68" s="7"/>
      <c r="F68" s="7"/>
      <c r="G68" s="7"/>
      <c r="I68" s="7"/>
      <c r="J68" s="7"/>
      <c r="K68" s="7"/>
      <c r="L68" s="7"/>
      <c r="M68" s="7"/>
      <c r="N68" s="7"/>
      <c r="Q68" s="7"/>
      <c r="S68" s="7"/>
      <c r="V68" s="7"/>
      <c r="W68" s="7"/>
      <c r="X68" s="7"/>
      <c r="Z68" s="7"/>
      <c r="AA68" s="7"/>
      <c r="AB68" s="7"/>
    </row>
    <row r="69" spans="3:28" x14ac:dyDescent="0.3">
      <c r="C69" s="6"/>
      <c r="D69" s="6"/>
      <c r="E69" s="6"/>
      <c r="F69" s="6"/>
      <c r="G69" s="6"/>
      <c r="H69" s="6"/>
      <c r="I69" s="6"/>
      <c r="J69" s="6"/>
      <c r="K69" s="6"/>
      <c r="L69" s="6"/>
      <c r="M69" s="6"/>
      <c r="N69" s="6"/>
      <c r="Q69" s="6"/>
      <c r="R69" s="6"/>
      <c r="S69" s="6"/>
      <c r="T69" s="6"/>
      <c r="U69" s="6"/>
      <c r="V69" s="6"/>
      <c r="W69" s="6"/>
      <c r="X69" s="6"/>
      <c r="Y69" s="6"/>
      <c r="Z69" s="6"/>
      <c r="AA69" s="6"/>
      <c r="AB69" s="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Historical IFS Asian Paints</vt:lpstr>
      <vt:lpstr>CommonSize Statement AsianPaint</vt:lpstr>
      <vt:lpstr>Ratio Analysis Asian Paints</vt:lpstr>
      <vt:lpstr>Dupont Analysis</vt:lpstr>
      <vt:lpstr>VAR Asian Paints</vt:lpstr>
      <vt:lpstr>WACC Calculation Asian Paints</vt:lpstr>
      <vt:lpstr>DCF Asian Paints</vt:lpstr>
      <vt:lpstr>Forecasting Asian Paints</vt:lpstr>
      <vt:lpstr>Raw Data Asian Paints</vt:lpstr>
      <vt:lpstr>Raw Sheet CF Asian Paints</vt:lpstr>
      <vt:lpstr>'Forecasting Asian Paints'!Print_Area</vt:lpstr>
      <vt:lpstr>'Raw Data Asian Paints'!UPDATE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ANSHU TOSAWAR</dc:creator>
  <cp:lastModifiedBy>ANSHU TOSAWAR</cp:lastModifiedBy>
  <cp:lastPrinted>2026-05-18T08:44:02Z</cp:lastPrinted>
  <dcterms:created xsi:type="dcterms:W3CDTF">2026-04-09T08:51:53Z</dcterms:created>
  <dcterms:modified xsi:type="dcterms:W3CDTF">2026-05-20T07:30:33Z</dcterms:modified>
</cp:coreProperties>
</file>